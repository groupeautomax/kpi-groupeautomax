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 codeName="{899C9086-67A9-5B14-2C2D-5A8001700F7D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Etats financiers BMW Sh\"/>
    </mc:Choice>
  </mc:AlternateContent>
  <xr:revisionPtr revIDLastSave="0" documentId="8_{99188282-9258-4E94-A8D3-727CDE9E7C80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L83" i="10" l="1"/>
  <c r="L82" i="10"/>
  <c r="J83" i="10"/>
  <c r="J84" i="10"/>
  <c r="I83" i="10"/>
  <c r="H83" i="10"/>
  <c r="J82" i="10"/>
  <c r="I82" i="10"/>
  <c r="H82" i="10"/>
  <c r="F83" i="10"/>
  <c r="F84" i="10"/>
  <c r="F82" i="10"/>
  <c r="E83" i="10"/>
  <c r="E82" i="10"/>
  <c r="J78" i="10"/>
  <c r="J79" i="10"/>
  <c r="I78" i="10"/>
  <c r="I79" i="10"/>
  <c r="J77" i="10"/>
  <c r="I77" i="10"/>
  <c r="F78" i="10"/>
  <c r="F79" i="10"/>
  <c r="F77" i="10"/>
  <c r="E78" i="10"/>
  <c r="E79" i="10"/>
  <c r="E77" i="10"/>
  <c r="L75" i="10"/>
  <c r="L76" i="10"/>
  <c r="L77" i="10"/>
  <c r="L78" i="10"/>
  <c r="L79" i="10"/>
  <c r="J75" i="10"/>
  <c r="I75" i="10"/>
  <c r="H75" i="10"/>
  <c r="H76" i="10"/>
  <c r="H77" i="10"/>
  <c r="H78" i="10"/>
  <c r="H79" i="10"/>
  <c r="F75" i="10"/>
  <c r="E75" i="10"/>
  <c r="K75" i="10"/>
  <c r="K76" i="10"/>
  <c r="K77" i="10"/>
  <c r="K78" i="10"/>
  <c r="K79" i="10"/>
  <c r="K80" i="10"/>
  <c r="K81" i="10"/>
  <c r="K82" i="10"/>
  <c r="K83" i="10"/>
  <c r="K84" i="10"/>
  <c r="G75" i="10"/>
  <c r="G76" i="10"/>
  <c r="G77" i="10"/>
  <c r="G78" i="10"/>
  <c r="G79" i="10"/>
  <c r="G80" i="10"/>
  <c r="G81" i="10"/>
  <c r="G82" i="10"/>
  <c r="G83" i="10"/>
  <c r="G84" i="10"/>
  <c r="L74" i="10"/>
  <c r="K74" i="10"/>
  <c r="J74" i="10"/>
  <c r="I74" i="10"/>
  <c r="H74" i="10"/>
  <c r="G74" i="10"/>
  <c r="F74" i="10"/>
  <c r="E74" i="10"/>
  <c r="L67" i="10"/>
  <c r="L68" i="10"/>
  <c r="L69" i="10"/>
  <c r="L70" i="10"/>
  <c r="L71" i="10"/>
  <c r="L72" i="10"/>
  <c r="K67" i="10"/>
  <c r="K68" i="10"/>
  <c r="K69" i="10"/>
  <c r="K70" i="10"/>
  <c r="K71" i="10"/>
  <c r="K72" i="10"/>
  <c r="J67" i="10"/>
  <c r="J68" i="10"/>
  <c r="J69" i="10"/>
  <c r="J70" i="10"/>
  <c r="J71" i="10"/>
  <c r="J72" i="10"/>
  <c r="I67" i="10"/>
  <c r="I68" i="10"/>
  <c r="I69" i="10"/>
  <c r="I70" i="10"/>
  <c r="I71" i="10"/>
  <c r="I72" i="10"/>
  <c r="H67" i="10"/>
  <c r="H68" i="10"/>
  <c r="H69" i="10"/>
  <c r="H70" i="10"/>
  <c r="H71" i="10"/>
  <c r="H72" i="10"/>
  <c r="G67" i="10"/>
  <c r="G68" i="10"/>
  <c r="G69" i="10"/>
  <c r="G70" i="10"/>
  <c r="G71" i="10"/>
  <c r="G72" i="10"/>
  <c r="F67" i="10"/>
  <c r="F68" i="10"/>
  <c r="F69" i="10"/>
  <c r="F70" i="10"/>
  <c r="F71" i="10"/>
  <c r="F72" i="10"/>
  <c r="E67" i="10"/>
  <c r="E68" i="10"/>
  <c r="E69" i="10"/>
  <c r="E70" i="10"/>
  <c r="E71" i="10"/>
  <c r="E72" i="10"/>
  <c r="L66" i="10"/>
  <c r="K66" i="10"/>
  <c r="J66" i="10"/>
  <c r="I66" i="10"/>
  <c r="H66" i="10"/>
  <c r="G66" i="10"/>
  <c r="F66" i="10"/>
  <c r="E66" i="10"/>
  <c r="J63" i="10"/>
  <c r="J62" i="10"/>
  <c r="J60" i="10"/>
  <c r="I63" i="10"/>
  <c r="I62" i="10"/>
  <c r="I60" i="10"/>
  <c r="F63" i="10"/>
  <c r="F62" i="10"/>
  <c r="F60" i="10"/>
  <c r="E63" i="10"/>
  <c r="E62" i="10"/>
  <c r="E60" i="10"/>
  <c r="L59" i="10"/>
  <c r="L60" i="10"/>
  <c r="L61" i="10"/>
  <c r="L62" i="10"/>
  <c r="L63" i="10"/>
  <c r="K59" i="10"/>
  <c r="K60" i="10"/>
  <c r="K61" i="10"/>
  <c r="K62" i="10"/>
  <c r="K63" i="10"/>
  <c r="K64" i="10"/>
  <c r="H59" i="10"/>
  <c r="H60" i="10"/>
  <c r="H61" i="10"/>
  <c r="H62" i="10"/>
  <c r="H63" i="10"/>
  <c r="G59" i="10"/>
  <c r="G60" i="10"/>
  <c r="G61" i="10"/>
  <c r="G62" i="10"/>
  <c r="G63" i="10"/>
  <c r="G64" i="10"/>
  <c r="L58" i="10"/>
  <c r="K58" i="10"/>
  <c r="J58" i="10"/>
  <c r="I58" i="10"/>
  <c r="H58" i="10"/>
  <c r="G58" i="10"/>
  <c r="F58" i="10"/>
  <c r="E58" i="10"/>
  <c r="L51" i="10"/>
  <c r="L52" i="10"/>
  <c r="L53" i="10"/>
  <c r="L54" i="10"/>
  <c r="L55" i="10"/>
  <c r="L56" i="10"/>
  <c r="L50" i="10"/>
  <c r="K51" i="10"/>
  <c r="K52" i="10"/>
  <c r="K53" i="10"/>
  <c r="K54" i="10"/>
  <c r="K55" i="10"/>
  <c r="K56" i="10"/>
  <c r="K50" i="10"/>
  <c r="J51" i="10"/>
  <c r="J52" i="10"/>
  <c r="J53" i="10"/>
  <c r="J54" i="10"/>
  <c r="J55" i="10"/>
  <c r="J56" i="10"/>
  <c r="J50" i="10"/>
  <c r="I51" i="10"/>
  <c r="I52" i="10"/>
  <c r="I53" i="10"/>
  <c r="I54" i="10"/>
  <c r="I55" i="10"/>
  <c r="I56" i="10"/>
  <c r="I50" i="10"/>
  <c r="H51" i="10"/>
  <c r="H52" i="10"/>
  <c r="H53" i="10"/>
  <c r="H54" i="10"/>
  <c r="H55" i="10"/>
  <c r="H56" i="10"/>
  <c r="H50" i="10"/>
  <c r="G51" i="10"/>
  <c r="G52" i="10"/>
  <c r="G53" i="10"/>
  <c r="G54" i="10"/>
  <c r="G55" i="10"/>
  <c r="G56" i="10"/>
  <c r="G50" i="10"/>
  <c r="F51" i="10"/>
  <c r="F52" i="10"/>
  <c r="F53" i="10"/>
  <c r="F54" i="10"/>
  <c r="F55" i="10"/>
  <c r="F56" i="10"/>
  <c r="F50" i="10"/>
  <c r="E51" i="10"/>
  <c r="E52" i="10"/>
  <c r="E53" i="10"/>
  <c r="E54" i="10"/>
  <c r="E55" i="10"/>
  <c r="E56" i="10"/>
  <c r="E50" i="10"/>
  <c r="J47" i="10"/>
  <c r="J46" i="10"/>
  <c r="I47" i="10"/>
  <c r="I46" i="10"/>
  <c r="F47" i="10"/>
  <c r="F46" i="10"/>
  <c r="E47" i="10"/>
  <c r="E46" i="10"/>
  <c r="J44" i="10"/>
  <c r="I44" i="10"/>
  <c r="F44" i="10"/>
  <c r="E44" i="10"/>
  <c r="L43" i="10"/>
  <c r="L44" i="10"/>
  <c r="L45" i="10"/>
  <c r="L46" i="10"/>
  <c r="L47" i="10"/>
  <c r="K43" i="10"/>
  <c r="K44" i="10"/>
  <c r="K45" i="10"/>
  <c r="K46" i="10"/>
  <c r="K47" i="10"/>
  <c r="K48" i="10"/>
  <c r="H43" i="10"/>
  <c r="H44" i="10"/>
  <c r="H45" i="10"/>
  <c r="H46" i="10"/>
  <c r="H47" i="10"/>
  <c r="G43" i="10"/>
  <c r="G44" i="10"/>
  <c r="G45" i="10"/>
  <c r="G46" i="10"/>
  <c r="G47" i="10"/>
  <c r="G48" i="10"/>
  <c r="L42" i="10"/>
  <c r="K42" i="10"/>
  <c r="J42" i="10"/>
  <c r="I42" i="10"/>
  <c r="H42" i="10"/>
  <c r="G42" i="10"/>
  <c r="F42" i="10"/>
  <c r="E42" i="10"/>
  <c r="L34" i="10"/>
  <c r="L35" i="10"/>
  <c r="L36" i="10"/>
  <c r="L37" i="10"/>
  <c r="L38" i="10"/>
  <c r="L39" i="10"/>
  <c r="L40" i="10"/>
  <c r="K34" i="10"/>
  <c r="K35" i="10"/>
  <c r="K36" i="10"/>
  <c r="K37" i="10"/>
  <c r="K38" i="10"/>
  <c r="K39" i="10"/>
  <c r="K40" i="10"/>
  <c r="J34" i="10"/>
  <c r="J35" i="10"/>
  <c r="J36" i="10"/>
  <c r="J37" i="10"/>
  <c r="J38" i="10"/>
  <c r="J39" i="10"/>
  <c r="J40" i="10"/>
  <c r="I34" i="10"/>
  <c r="I35" i="10"/>
  <c r="I36" i="10"/>
  <c r="I37" i="10"/>
  <c r="I38" i="10"/>
  <c r="I39" i="10"/>
  <c r="I40" i="10"/>
  <c r="H34" i="10"/>
  <c r="H35" i="10"/>
  <c r="H36" i="10"/>
  <c r="H37" i="10"/>
  <c r="H38" i="10"/>
  <c r="H39" i="10"/>
  <c r="H40" i="10"/>
  <c r="G34" i="10"/>
  <c r="G35" i="10"/>
  <c r="G36" i="10"/>
  <c r="G37" i="10"/>
  <c r="G38" i="10"/>
  <c r="G39" i="10"/>
  <c r="G40" i="10"/>
  <c r="F34" i="10"/>
  <c r="F35" i="10"/>
  <c r="F36" i="10"/>
  <c r="F37" i="10"/>
  <c r="F38" i="10"/>
  <c r="F39" i="10"/>
  <c r="F40" i="10"/>
  <c r="E34" i="10"/>
  <c r="E35" i="10"/>
  <c r="E36" i="10"/>
  <c r="E37" i="10"/>
  <c r="E38" i="10"/>
  <c r="E39" i="10"/>
  <c r="E40" i="10"/>
  <c r="L33" i="10"/>
  <c r="K33" i="10"/>
  <c r="J33" i="10"/>
  <c r="I33" i="10"/>
  <c r="H33" i="10"/>
  <c r="G33" i="10"/>
  <c r="F33" i="10"/>
  <c r="E33" i="10"/>
  <c r="L29" i="10"/>
  <c r="L30" i="10"/>
  <c r="L31" i="10"/>
  <c r="L28" i="10"/>
  <c r="K29" i="10"/>
  <c r="K30" i="10"/>
  <c r="K31" i="10"/>
  <c r="K28" i="10"/>
  <c r="J29" i="10"/>
  <c r="J30" i="10"/>
  <c r="J31" i="10"/>
  <c r="J28" i="10"/>
  <c r="I29" i="10"/>
  <c r="I30" i="10"/>
  <c r="I31" i="10"/>
  <c r="I28" i="10"/>
  <c r="H29" i="10"/>
  <c r="H30" i="10"/>
  <c r="H31" i="10"/>
  <c r="H28" i="10"/>
  <c r="G29" i="10"/>
  <c r="G30" i="10"/>
  <c r="G31" i="10"/>
  <c r="G28" i="10"/>
  <c r="F29" i="10"/>
  <c r="F30" i="10"/>
  <c r="F31" i="10"/>
  <c r="F28" i="10"/>
  <c r="E29" i="10"/>
  <c r="E30" i="10"/>
  <c r="E31" i="10"/>
  <c r="E28" i="10"/>
  <c r="J26" i="10"/>
  <c r="J25" i="10"/>
  <c r="I26" i="10"/>
  <c r="I25" i="10"/>
  <c r="F26" i="10"/>
  <c r="F25" i="10"/>
  <c r="E26" i="10"/>
  <c r="E2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M63" i="14"/>
  <c r="M64" i="14"/>
  <c r="L63" i="14"/>
  <c r="L64" i="14"/>
  <c r="K63" i="14"/>
  <c r="K64" i="14"/>
  <c r="J63" i="14"/>
  <c r="J64" i="14"/>
  <c r="I63" i="14"/>
  <c r="I64" i="14"/>
  <c r="H63" i="14"/>
  <c r="H64" i="14"/>
  <c r="G63" i="14"/>
  <c r="G64" i="14"/>
  <c r="F63" i="14"/>
  <c r="F64" i="14"/>
  <c r="M62" i="14"/>
  <c r="L62" i="14"/>
  <c r="K62" i="14"/>
  <c r="J62" i="14"/>
  <c r="I62" i="14"/>
  <c r="H62" i="14"/>
  <c r="G62" i="14"/>
  <c r="F62" i="14"/>
  <c r="M55" i="14"/>
  <c r="M56" i="14"/>
  <c r="M57" i="14"/>
  <c r="M58" i="14"/>
  <c r="M59" i="14"/>
  <c r="M60" i="14"/>
  <c r="L55" i="14"/>
  <c r="L56" i="14"/>
  <c r="L57" i="14"/>
  <c r="L58" i="14"/>
  <c r="L59" i="14"/>
  <c r="L60" i="14"/>
  <c r="K55" i="14"/>
  <c r="K56" i="14"/>
  <c r="K57" i="14"/>
  <c r="K58" i="14"/>
  <c r="K59" i="14"/>
  <c r="K60" i="14"/>
  <c r="J55" i="14"/>
  <c r="J56" i="14"/>
  <c r="J57" i="14"/>
  <c r="J58" i="14"/>
  <c r="J59" i="14"/>
  <c r="J60" i="14"/>
  <c r="I55" i="14"/>
  <c r="I56" i="14"/>
  <c r="I57" i="14"/>
  <c r="I58" i="14"/>
  <c r="I59" i="14"/>
  <c r="I60" i="14"/>
  <c r="H55" i="14"/>
  <c r="H56" i="14"/>
  <c r="H57" i="14"/>
  <c r="H58" i="14"/>
  <c r="H59" i="14"/>
  <c r="H60" i="14"/>
  <c r="G55" i="14"/>
  <c r="G56" i="14"/>
  <c r="G57" i="14"/>
  <c r="G58" i="14"/>
  <c r="G59" i="14"/>
  <c r="G60" i="14"/>
  <c r="F55" i="14"/>
  <c r="F56" i="14"/>
  <c r="F57" i="14"/>
  <c r="F58" i="14"/>
  <c r="F59" i="14"/>
  <c r="F60" i="14"/>
  <c r="M54" i="14"/>
  <c r="L54" i="14"/>
  <c r="K54" i="14"/>
  <c r="J54" i="14"/>
  <c r="I54" i="14"/>
  <c r="H54" i="14"/>
  <c r="G54" i="14"/>
  <c r="F54" i="14"/>
  <c r="M52" i="14"/>
  <c r="K52" i="14"/>
  <c r="J52" i="14"/>
  <c r="I52" i="14"/>
  <c r="G52" i="14"/>
  <c r="F52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6" i="9"/>
  <c r="N17" i="6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U75" i="5" l="1"/>
  <c r="U74" i="5"/>
  <c r="U73" i="5"/>
  <c r="U72" i="5"/>
  <c r="U71" i="5"/>
  <c r="U70" i="5"/>
  <c r="U69" i="5"/>
  <c r="U68" i="5"/>
  <c r="U67" i="5"/>
  <c r="U66" i="5"/>
  <c r="U65" i="5"/>
  <c r="U64" i="5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46" i="11" l="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M5" i="14" l="1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<sst xmlns="http://schemas.openxmlformats.org/spreadsheetml/2006/main" count="7449" uniqueCount="1893">
  <si>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</si>
  <si>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</si>
  <si>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</si>
  <si>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</si>
  <si>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</si>
  <si>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</si>
  <si>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</si>
  <si>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</si>
  <si>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</si>
  <si>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</si>
  <si>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</si>
  <si>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</si>
  <si>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</si>
  <si>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</si>
  <si>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</si>
  <si>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</si>
  <si>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</si>
  <si>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</si>
  <si>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</si>
  <si>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</si>
  <si>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</si>
  <si>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</si>
  <si>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</si>
  <si>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</si>
  <si>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</si>
  <si>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</si>
  <si>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814A</t>
  </si>
  <si>
    <t>Page 2</t>
  </si>
  <si>
    <t>SERVICE</t>
  </si>
  <si>
    <t>Page 1</t>
  </si>
  <si>
    <t>ACCT. NO.</t>
  </si>
  <si>
    <t>LINE NO.</t>
  </si>
  <si>
    <t xml:space="preserve"> </t>
  </si>
  <si>
    <t>200-1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</si>
  <si>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</si>
  <si>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</si>
  <si>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</si>
  <si>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</si>
  <si>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</si>
  <si>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</si>
  <si>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</si>
  <si>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</si>
  <si>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</si>
  <si>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</si>
  <si>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</si>
  <si>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</si>
  <si>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</si>
  <si>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</si>
  <si>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</si>
  <si>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</si>
  <si>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</si>
  <si>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</si>
  <si>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</si>
  <si>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</si>
  <si>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</si>
  <si>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</si>
  <si>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</si>
  <si>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</si>
  <si>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</si>
  <si>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</si>
  <si>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</si>
  <si>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</si>
  <si>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</si>
  <si>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</si>
  <si>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</si>
  <si>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</si>
  <si>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</si>
  <si>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</si>
  <si>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</si>
  <si>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</si>
  <si>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</si>
  <si>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</si>
  <si>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</si>
  <si>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</si>
  <si>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</si>
  <si>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</si>
  <si>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Page 3</t>
  </si>
  <si>
    <t>Page 4</t>
  </si>
  <si>
    <t>430C</t>
  </si>
  <si>
    <t>432C</t>
  </si>
  <si>
    <t>434C</t>
  </si>
  <si>
    <t>439D</t>
  </si>
  <si>
    <t>418A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</si>
  <si>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</si>
  <si>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</si>
  <si>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</si>
  <si>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</si>
  <si>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</si>
  <si>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</si>
  <si>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</si>
  <si>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</si>
  <si>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</si>
  <si>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</si>
  <si>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</si>
  <si>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</si>
  <si>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</si>
  <si>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</si>
  <si>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</si>
  <si>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</si>
  <si>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</si>
  <si>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</si>
  <si>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</si>
  <si>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</si>
  <si>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</si>
  <si>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</si>
  <si>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</si>
  <si>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</si>
  <si>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</si>
  <si>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</si>
  <si>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</si>
  <si>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</si>
  <si>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</si>
  <si>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</si>
  <si>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</si>
  <si>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</si>
  <si>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</si>
  <si>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</si>
  <si>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</si>
  <si>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</si>
  <si>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</si>
  <si>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</si>
  <si>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</si>
  <si>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</si>
  <si>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</si>
  <si>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</si>
  <si>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</si>
  <si>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</si>
  <si>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</si>
  <si>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</si>
  <si>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</si>
  <si>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</si>
  <si>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</si>
  <si>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</si>
  <si>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</si>
  <si>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</si>
  <si>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</si>
  <si>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</si>
  <si>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</si>
  <si>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</si>
  <si>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</si>
  <si>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</si>
  <si>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</si>
  <si>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</si>
  <si>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</si>
  <si>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</si>
  <si>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</si>
  <si>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</si>
  <si>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</si>
  <si>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</si>
  <si>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</si>
  <si>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</si>
  <si>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</si>
  <si>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Beginning Balance</t>
  </si>
  <si>
    <t>423E</t>
  </si>
  <si>
    <t>222A,222B,             222C</t>
  </si>
  <si>
    <t>462B</t>
  </si>
  <si>
    <t>462C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</si>
  <si>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</si>
  <si>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</si>
  <si>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</si>
  <si>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</si>
  <si>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</si>
  <si>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</si>
  <si>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</si>
  <si>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</si>
  <si>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</si>
  <si>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</si>
  <si>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</si>
  <si>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</si>
  <si>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</si>
  <si>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</si>
  <si>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</si>
  <si>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</si>
  <si>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</si>
  <si>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</si>
  <si>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</si>
  <si>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</si>
  <si>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</si>
  <si>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</si>
  <si>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</si>
  <si>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</si>
  <si>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</si>
  <si>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</si>
  <si>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</si>
  <si>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</si>
  <si>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</si>
  <si>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</si>
  <si>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</si>
  <si>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</si>
  <si>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</si>
  <si>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</si>
  <si>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</si>
  <si>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</si>
  <si>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</si>
  <si>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</si>
  <si>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</si>
  <si>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</si>
  <si>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</si>
  <si>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</si>
  <si>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</si>
  <si>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</si>
  <si>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</si>
  <si>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</si>
  <si>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Version</t>
  </si>
  <si>
    <t>430i xDrive Cabriolet</t>
  </si>
  <si>
    <t>530i xDrive</t>
  </si>
  <si>
    <t>540i xDrive</t>
  </si>
  <si>
    <t>423G</t>
  </si>
  <si>
    <t>656D</t>
  </si>
  <si>
    <t>699B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</si>
  <si>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</si>
  <si>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</si>
  <si>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</si>
  <si>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</si>
  <si>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</si>
  <si>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</si>
  <si>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</si>
  <si>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</si>
  <si>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</si>
  <si>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</si>
  <si>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</si>
  <si>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</si>
  <si>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</si>
  <si>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</si>
  <si>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</si>
  <si>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</si>
  <si>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</si>
  <si>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</si>
  <si>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</si>
  <si>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</si>
  <si>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</si>
  <si>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</si>
  <si>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</si>
  <si>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</si>
  <si>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</si>
  <si>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</si>
  <si>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</si>
  <si>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</si>
  <si>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</si>
  <si>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</si>
  <si>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</si>
  <si>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</si>
  <si>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</si>
  <si>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</si>
  <si>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</si>
  <si>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</si>
  <si>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</si>
  <si>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</si>
  <si>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</si>
  <si>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</si>
  <si>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</si>
  <si>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</si>
  <si>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</si>
  <si>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</si>
  <si>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</si>
  <si>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</si>
  <si>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</si>
  <si>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</si>
  <si>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</si>
  <si>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</si>
  <si>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</si>
  <si>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</si>
  <si>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</si>
  <si>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</si>
  <si>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</si>
  <si>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</si>
  <si>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</si>
  <si>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</si>
  <si>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</si>
  <si>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</si>
  <si>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</si>
  <si>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</si>
  <si>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</si>
  <si>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</si>
  <si>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</si>
  <si>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</si>
  <si>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</si>
  <si>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</si>
  <si>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</si>
  <si>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</si>
  <si>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</si>
  <si>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</si>
  <si>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</si>
  <si>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</si>
  <si>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</si>
  <si>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</si>
  <si>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</si>
  <si>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</si>
  <si>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</si>
  <si>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</si>
  <si>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</si>
  <si>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</si>
  <si>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</si>
  <si>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</si>
  <si>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</si>
  <si>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</si>
  <si>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</si>
  <si>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</si>
  <si>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</si>
  <si>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</si>
  <si>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</si>
  <si>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</si>
  <si>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</si>
  <si>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</si>
  <si>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</si>
  <si>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423I</t>
  </si>
  <si>
    <t>M440i xDrive Cabriolet</t>
  </si>
  <si>
    <t>X5 xDrive45e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</si>
  <si>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</si>
  <si>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</si>
  <si>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</si>
  <si>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</si>
  <si>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</si>
  <si>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</si>
  <si>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</si>
  <si>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</si>
  <si>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</si>
  <si>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</si>
  <si>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</si>
  <si>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</si>
  <si>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</si>
  <si>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</si>
  <si>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</si>
  <si>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</si>
  <si>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</si>
  <si>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</si>
  <si>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</si>
  <si>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</si>
  <si>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</si>
  <si>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</si>
  <si>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</si>
  <si>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</si>
  <si>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</si>
  <si>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</si>
  <si>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</si>
  <si>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</si>
  <si>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</si>
  <si>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</si>
  <si>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</si>
  <si>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</si>
  <si>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</si>
  <si>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</si>
  <si>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</si>
  <si>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</si>
  <si>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</si>
  <si>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</si>
  <si>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</si>
  <si>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</si>
  <si>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</si>
  <si>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</si>
  <si>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</si>
  <si>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</si>
  <si>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</si>
  <si>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</si>
  <si>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</si>
  <si>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</si>
  <si>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</si>
  <si>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</si>
  <si>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</si>
  <si>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</si>
  <si>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</si>
  <si>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</si>
  <si>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</si>
  <si>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</si>
  <si>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</si>
  <si>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</si>
  <si>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</si>
  <si>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</si>
  <si>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</si>
  <si>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</si>
  <si>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</si>
  <si>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</si>
  <si>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</si>
  <si>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</si>
  <si>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</si>
  <si>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</si>
  <si>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</si>
  <si>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</si>
  <si>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</si>
  <si>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</si>
  <si>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</si>
  <si>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</si>
  <si>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</si>
  <si>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</si>
  <si>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</si>
  <si>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</si>
  <si>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</si>
  <si>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</si>
  <si>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</si>
  <si>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</si>
  <si>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</si>
  <si>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</si>
  <si>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</si>
  <si>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</si>
  <si>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</si>
  <si>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</si>
  <si>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</si>
  <si>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</si>
  <si>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</si>
  <si>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</si>
  <si>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</si>
  <si>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</si>
  <si>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</si>
  <si>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</si>
  <si>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</si>
  <si>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</si>
  <si>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</si>
  <si>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</si>
  <si>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</si>
  <si>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</si>
  <si>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</si>
  <si>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</si>
  <si>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</si>
  <si>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</si>
  <si>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</si>
  <si>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</si>
  <si>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</si>
  <si>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</si>
  <si>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</si>
  <si>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</si>
  <si>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</si>
  <si>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</si>
  <si>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</si>
  <si>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</si>
  <si>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</si>
  <si>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</si>
  <si>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</si>
  <si>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</si>
  <si>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</si>
  <si>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</si>
  <si>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</si>
  <si>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</si>
  <si>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</si>
  <si>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</si>
  <si>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</si>
  <si>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</si>
  <si>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</si>
  <si>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</si>
  <si>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</si>
  <si>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</si>
  <si>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</si>
  <si>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</si>
  <si>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</si>
  <si>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</si>
  <si>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</si>
  <si>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</si>
  <si>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</si>
  <si>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</si>
  <si>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</si>
  <si>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</si>
  <si>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</si>
  <si>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</si>
  <si>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</si>
  <si>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</si>
  <si>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</si>
  <si>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</si>
  <si>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</si>
  <si>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</si>
  <si>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</si>
  <si>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</si>
  <si>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</si>
  <si>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</si>
  <si>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</si>
  <si>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</si>
  <si>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</si>
  <si>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</si>
  <si>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</si>
  <si>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</si>
  <si>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</si>
  <si>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</si>
  <si>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</si>
  <si>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</si>
  <si>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</si>
  <si>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</si>
  <si>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</si>
  <si>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</si>
  <si>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</si>
  <si>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</si>
  <si>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</si>
  <si>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</si>
  <si>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</si>
  <si>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</si>
  <si>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</si>
  <si>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</si>
  <si>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</si>
  <si>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</si>
  <si>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</si>
  <si>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</si>
  <si>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</si>
  <si>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</si>
  <si>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</si>
  <si>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</si>
  <si>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</si>
  <si>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</si>
  <si>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</si>
  <si>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</si>
  <si>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</si>
  <si>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</si>
  <si>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</si>
  <si>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</si>
  <si>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</si>
  <si>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</si>
  <si>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</si>
  <si>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</si>
  <si>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</si>
  <si>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</si>
  <si>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</si>
  <si>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</si>
  <si>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</si>
  <si>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</si>
  <si>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</si>
  <si>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</si>
  <si>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</si>
  <si>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</si>
  <si>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</si>
  <si>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</si>
  <si>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</si>
  <si>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</si>
  <si>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</si>
  <si>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</si>
  <si>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</si>
  <si>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</si>
  <si>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</si>
  <si>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</si>
  <si>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</si>
  <si>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</si>
  <si>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</si>
  <si>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</si>
  <si>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</si>
  <si>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</si>
  <si>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</si>
  <si>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</si>
  <si>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</si>
  <si>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</si>
  <si>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</si>
  <si>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</si>
  <si>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</si>
  <si>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</si>
  <si>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</si>
  <si>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</si>
  <si>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</si>
  <si>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</si>
  <si>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</si>
  <si>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</si>
  <si>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</si>
  <si>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</si>
  <si>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</si>
  <si>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</si>
  <si>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</si>
  <si>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</si>
  <si>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</si>
  <si>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</si>
  <si>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</si>
  <si>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</si>
  <si>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</si>
  <si>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</si>
  <si>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</si>
  <si>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</si>
  <si>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</si>
  <si>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</si>
  <si>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</si>
  <si>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</si>
  <si>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</si>
  <si>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</si>
  <si>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</si>
  <si>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</si>
  <si>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</si>
  <si>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</si>
  <si>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750e xDrive</t>
  </si>
  <si>
    <t>M850i xDrive Coupé</t>
  </si>
  <si>
    <t>M850i xDrive Gran Coupé</t>
  </si>
  <si>
    <t>M8 Coupé</t>
  </si>
  <si>
    <t>M8 Gran Coupé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</si>
  <si>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</si>
  <si>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</si>
  <si>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</si>
  <si>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</si>
  <si>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</si>
  <si>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</si>
  <si>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</si>
  <si>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X4 M / X4 M Compétition</t>
  </si>
  <si>
    <t>X5 M Compétition</t>
  </si>
  <si>
    <t>X6 M Compétition</t>
  </si>
  <si>
    <t>Autres modèles BMW</t>
  </si>
  <si>
    <t>Ventes aux entreprises - BMW</t>
  </si>
  <si>
    <t>Prime de volume rétroactive</t>
  </si>
  <si>
    <t>Réserve des concessionnaires - BMW</t>
  </si>
  <si>
    <t>Ventes de garantie prolongée - Véhicules BMW neufs</t>
  </si>
  <si>
    <t>Ventes de contrats de maintenance - Véhicules BMW neufs</t>
  </si>
  <si>
    <t>Revenus - Financement et assurance - Véhicules BMWi neufs</t>
  </si>
  <si>
    <t>Ventes de contrats de maintenance - Véhicules BMWi neufs</t>
  </si>
  <si>
    <t xml:space="preserve">Total BMW M (Note de service) (PAGE 5 Lignes 6-7, 13 à 16, 25 à 28, 35, 45 à 48 et PAGE 6 Lignes 7, 11, 18, 23, 27 à 29)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</si>
  <si>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</si>
  <si>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</si>
  <si>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</si>
  <si>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</si>
  <si>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</si>
  <si>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</si>
  <si>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</si>
  <si>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</si>
  <si>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</si>
  <si>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</si>
  <si>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</si>
  <si>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</si>
  <si>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</si>
  <si>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Ventes aux entreprises - MINI</t>
  </si>
  <si>
    <t>Autres modèles MINI</t>
  </si>
  <si>
    <t>Réserve des concessionnaires- MINI</t>
  </si>
  <si>
    <t>Revenus - Financement et assurance - Véhicules MINI neufs</t>
  </si>
  <si>
    <t>Ventes de garantie prolongée - Véhicules MINI neufs</t>
  </si>
  <si>
    <t>Ventes de contrats de maintenance - Véhicules MINI neufs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</si>
  <si>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</si>
  <si>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</si>
  <si>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</si>
  <si>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Autres unités hors BMW (y compris Euro Del.)</t>
  </si>
  <si>
    <t>Revenus - Financement et assurance - Autres véhicules neufs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</si>
  <si>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</si>
  <si>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</si>
  <si>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</si>
  <si>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</si>
  <si>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</si>
  <si>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</si>
  <si>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</si>
  <si>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</si>
  <si>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</si>
  <si>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</si>
  <si>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</si>
  <si>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</si>
  <si>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</si>
  <si>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</si>
  <si>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</si>
  <si>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</si>
  <si>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</si>
  <si>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</si>
  <si>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</si>
  <si>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</si>
  <si>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</si>
  <si>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</si>
  <si>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</si>
  <si>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</si>
  <si>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</si>
  <si>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</si>
  <si>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</si>
  <si>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</si>
  <si>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</si>
  <si>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</si>
  <si>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</si>
  <si>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</si>
  <si>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</si>
  <si>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</si>
  <si>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</si>
  <si>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</si>
  <si>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</si>
  <si>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</si>
  <si>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</si>
  <si>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</si>
  <si>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</si>
  <si>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</si>
  <si>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</si>
  <si>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</si>
  <si>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</si>
  <si>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</si>
  <si>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</si>
  <si>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</si>
  <si>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</si>
  <si>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</si>
  <si>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</si>
  <si>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</si>
  <si>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</si>
  <si>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</si>
  <si>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</si>
  <si>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</si>
  <si>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</si>
  <si>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</si>
  <si>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</si>
  <si>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</si>
  <si>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</si>
  <si>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</si>
  <si>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</si>
  <si>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</si>
  <si>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</si>
  <si>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</si>
  <si>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</si>
  <si>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</si>
  <si>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</si>
  <si>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</si>
  <si>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</si>
  <si>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</si>
  <si>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</si>
  <si>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</si>
  <si>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</si>
  <si>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</si>
  <si>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</si>
  <si>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</si>
  <si>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</si>
  <si>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</si>
  <si>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</si>
  <si>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</si>
  <si>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</si>
  <si>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</si>
  <si>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</si>
  <si>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</si>
  <si>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</si>
  <si>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</si>
  <si>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</si>
  <si>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</si>
  <si>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</si>
  <si>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</si>
  <si>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</si>
  <si>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</si>
  <si>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</si>
  <si>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</si>
  <si>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</si>
  <si>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</si>
  <si>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</si>
  <si>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</si>
  <si>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</si>
  <si>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</si>
  <si>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</si>
  <si>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</si>
  <si>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</si>
  <si>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</si>
  <si>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</si>
  <si>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</si>
  <si>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</si>
  <si>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</si>
  <si>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</si>
  <si>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</si>
  <si>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</si>
  <si>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</si>
  <si>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</si>
  <si>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</si>
  <si>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</si>
  <si>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</si>
  <si>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</si>
  <si>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</si>
  <si>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</si>
  <si>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</si>
  <si>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</si>
  <si>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</si>
  <si>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</si>
  <si>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</si>
  <si>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</si>
  <si>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</si>
  <si>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</si>
  <si>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</si>
  <si>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</si>
  <si>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</si>
  <si>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</si>
  <si>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</si>
  <si>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</si>
  <si>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</si>
  <si>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</si>
  <si>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</si>
  <si>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</si>
  <si>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</si>
  <si>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</si>
  <si>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</si>
  <si>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</si>
  <si>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</si>
  <si>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</si>
  <si>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</si>
  <si>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</si>
  <si>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</si>
  <si>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</si>
  <si>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</si>
  <si>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</si>
  <si>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</si>
  <si>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</si>
  <si>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409A</t>
  </si>
  <si>
    <t>EXPENSE % OF GP</t>
  </si>
  <si>
    <t>X2 xDrive28i</t>
  </si>
  <si>
    <t>X2 M35i xDrive</t>
  </si>
  <si>
    <t>Sous-total X2 VAS (Lignes 4-5)</t>
  </si>
  <si>
    <t>X6 xDrive40i</t>
  </si>
  <si>
    <t>iX xDrive 50</t>
  </si>
  <si>
    <t>Revenus - Financement et assurance - Véhicules BMW neufs 430B</t>
  </si>
  <si>
    <t>228 xDrive Gran Coupé</t>
  </si>
  <si>
    <t>419B</t>
  </si>
  <si>
    <t>430i xDrive Gran Coupé</t>
  </si>
  <si>
    <t>433A</t>
  </si>
  <si>
    <t>433B</t>
  </si>
  <si>
    <t>M440i xDrive Gran Coupé</t>
  </si>
  <si>
    <t>M4 CS</t>
  </si>
  <si>
    <t>443C</t>
  </si>
  <si>
    <t>427B</t>
  </si>
  <si>
    <t>412A</t>
  </si>
  <si>
    <t>M5 Tournée</t>
  </si>
  <si>
    <t>442C</t>
  </si>
  <si>
    <t>420A</t>
  </si>
  <si>
    <t>Sous-total Série 2 (Lignes 1 À 8)</t>
  </si>
  <si>
    <t>Sous-total Série 3 (Lignes 10 À 17)</t>
  </si>
  <si>
    <t>Sous-total Série 4 (Lignes 19 À 33)</t>
  </si>
  <si>
    <t>Sous-total Série 5 (Lignes 35 À 44)</t>
  </si>
  <si>
    <t>Sous-total Série 7 (Lignes 46 À 49)</t>
  </si>
  <si>
    <t>Sous-total Série 8 (Lignes 51 À 57)</t>
  </si>
  <si>
    <t>Sous-total Z4 (Lignes 59-60)</t>
  </si>
  <si>
    <t>X3 30 xDrive</t>
  </si>
  <si>
    <t>424A</t>
  </si>
  <si>
    <t>X3 M50 xDrive</t>
  </si>
  <si>
    <t>409C</t>
  </si>
  <si>
    <t>iX xDrive45</t>
  </si>
  <si>
    <t>402D</t>
  </si>
  <si>
    <t>iX xDrive60</t>
  </si>
  <si>
    <t>402E</t>
  </si>
  <si>
    <t>iX M70 xDrive</t>
  </si>
  <si>
    <t>402F</t>
  </si>
  <si>
    <t>Sous-total X3 VAS(Lignes 7 À 12)</t>
  </si>
  <si>
    <t>Sous-total X4 (Lignes 14 À 16)</t>
  </si>
  <si>
    <t>Sous-total X5 VAS (Lignes 18 À 23)</t>
  </si>
  <si>
    <t>Sous-total X6 SAC (Lignes 25 À 28)</t>
  </si>
  <si>
    <t>Sous-total X7 VAS (Lignes 30 À 34)</t>
  </si>
  <si>
    <t>Sous-total BMWi (Lignes 36 À 41)</t>
  </si>
  <si>
    <t>Sous-total Ventes BMW (Pg 5 - Lignes 9, 18, 34, 45, 50, 58, 61 et Pg 6 - Lignes 3, 6, 13, 17, 24, 29, 35, 42)</t>
  </si>
  <si>
    <t>Total Modèles BMW (Lignes 43 À 47)</t>
  </si>
  <si>
    <t>REVENUS - FINANCEMENT ET ASSURANCE - VÉHICULES BMW NEUFS (Lignes 50 à 52)</t>
  </si>
  <si>
    <t>REVENUS - FINANCEMENT ET ASSURANCE - VÉHICULES BMWi NEUFS (Lignes 54 à 55)</t>
  </si>
  <si>
    <t>Total Voitures  (Note de service) (Pg 5 - Lignes 9, 18, 34, 45, 50, 58, 61 et Pg 6 - Ligne 42)</t>
  </si>
  <si>
    <t>MINI Cooper C 3 portes</t>
  </si>
  <si>
    <t>439A</t>
  </si>
  <si>
    <t>441C</t>
  </si>
  <si>
    <t>MINI Cooper C Cabriolet</t>
  </si>
  <si>
    <t>441D</t>
  </si>
  <si>
    <t>Sous-total MINI (Lignes 1 À 16)</t>
  </si>
  <si>
    <t>Total Modèles MINI (Lignes 17 À 20)</t>
  </si>
  <si>
    <t>Sous-total Ventes Groupe BMW (Page 6, Ligne 43, Page 7, Ligne 17)</t>
  </si>
  <si>
    <t>REVENUS - FINANCEMENT ET ASSURANCE - VÉHICULES MINI NEUFS (Lignes 24 à 26)</t>
  </si>
  <si>
    <t>TOTAL ACTIVITÉ VÉHICULES NEUFS - AUTRES (LIGNES 33, 34)</t>
  </si>
  <si>
    <t>TOTAL ACTIVITÉ VÉHICULES NEUFS (LIGNES 32 ET 35) (Unités - Lignes 32 et 35)</t>
  </si>
  <si>
    <t>Revenus - Finance et assurance - Véhicules d’occasion BMW (Lignes 46 à 51)</t>
  </si>
  <si>
    <t>Revenus - Finance et assurance - Véhicules d’occasion MINI (Lignes 62 à 67)</t>
  </si>
  <si>
    <t>Total Activité Véhicules d’occasion du Groupe BMW (Lignes 38 à 44, 52, 54 à 60, 68) Unités Lignes 38, 40, 54, 56)</t>
  </si>
  <si>
    <t>Total Activité Véhicules d’occasion Autres (Lignes 70 à 77, Unités - Lignes 70 et 73)</t>
  </si>
  <si>
    <t>TOTAL - ACTIVITÉ VÉHICULES D’OCCASION  (LIGNES 70 ET 78)</t>
  </si>
  <si>
    <t>TOTAL ACTIVITÉS VARIABLES (LIGNES 36 ET 79)</t>
  </si>
  <si>
    <t>Calendrier de vieillissement des véhicules d’occasion</t>
  </si>
  <si>
    <t>INVENTAIRE TOTAL              ($ et unités)</t>
  </si>
  <si>
    <t>1-30 ($ et unités)</t>
  </si>
  <si>
    <t>31-60 ($ et unités)</t>
  </si>
  <si>
    <t>61-90 ($ et unités)</t>
  </si>
  <si>
    <t>91-120 ($ et unités)</t>
  </si>
  <si>
    <t>120+ ($ et unités)</t>
  </si>
  <si>
    <t>Résumé opérationnel</t>
  </si>
  <si>
    <t>VENTES DU MOIS EN COURS</t>
  </si>
  <si>
    <t>BÉNÉFICE BRUT DU MOIS COURANT</t>
  </si>
  <si>
    <t>BÉNÉFICE BRUT EN % DES VENTES/DÉPENSES EN % DU BÉNÉFICE</t>
  </si>
  <si>
    <t>VENTES AU CUMUL ANNUEL</t>
  </si>
  <si>
    <t>BÉNÉFICE BRUT AU CUMUL ANNUEL</t>
  </si>
  <si>
    <t>BMW - Voitures</t>
  </si>
  <si>
    <t>BMW - VAS</t>
  </si>
  <si>
    <t>TOTAL - ACTIVITÉS VARIABLES (Page 7-Ligne 80)</t>
  </si>
  <si>
    <t>TOTAL ACTIVITÉS FIXES (Page 9-Ligne 67)</t>
  </si>
  <si>
    <t>TOTAL ACTIVITÉS (Lignes 11 + 12)</t>
  </si>
  <si>
    <t>TOTAL DÉPENSES VARIABLES (Total Activités, Page 2-Ligne 12)</t>
  </si>
  <si>
    <t>TOTAL DÉPENSES DE PERSONNEL (Total Activités, Page 2-Ligne 23)</t>
  </si>
  <si>
    <t>TOTAL CHARGES SEMI-FIXES (Total Activités, Page 2-Ligne 44)</t>
  </si>
  <si>
    <t>TOTAL CHARGES FIXES (Total Activités, Page 2-Ligne 58)</t>
  </si>
  <si>
    <t>BÉNÉFICE D’EXPLOITATION TOTAL (Ligne 13 moins Lignes 14 à 17)</t>
  </si>
  <si>
    <t>TAUX HORAIRES DE MAIN-D’ŒUVRE FACTURÉS</t>
  </si>
  <si>
    <t>BMW Mécanique</t>
  </si>
  <si>
    <t>MINI Mécanique</t>
  </si>
  <si>
    <t>MOTORRAD Mécanique</t>
  </si>
  <si>
    <t>MINI Carrosserie</t>
  </si>
  <si>
    <t>Client</t>
  </si>
  <si>
    <t>Garantie</t>
  </si>
  <si>
    <t>Interne</t>
  </si>
  <si>
    <t>Programme SPA</t>
  </si>
  <si>
    <t>Nombre d’ateliers techniques</t>
  </si>
  <si>
    <t>Nombre d’aires de lavage</t>
  </si>
  <si>
    <t>Nombre de jours de service</t>
  </si>
  <si>
    <t>VÉHICULES NEUFS</t>
  </si>
  <si>
    <t>FINANCEMENT ET ASSURANCE</t>
  </si>
  <si>
    <t>VÉHICULES D’OCCASION</t>
  </si>
  <si>
    <t>ENTRETIEN</t>
  </si>
  <si>
    <t>PIÈCES</t>
  </si>
  <si>
    <t>CARROSSERIE</t>
  </si>
  <si>
    <t>ADMINISTRATION</t>
  </si>
  <si>
    <t xml:space="preserve">       Propriétaires</t>
  </si>
  <si>
    <t xml:space="preserve">       Gestionnaires</t>
  </si>
  <si>
    <t xml:space="preserve">       Personnel de vente - BMW</t>
  </si>
  <si>
    <t xml:space="preserve">       Personnel de vente - MINI</t>
  </si>
  <si>
    <t xml:space="preserve">       Product Geniius</t>
  </si>
  <si>
    <t xml:space="preserve">       Commis aux pièces - Groupe BMW</t>
  </si>
  <si>
    <t xml:space="preserve">       Techniciens - Groupe BMW</t>
  </si>
  <si>
    <t xml:space="preserve">       Apprentis - Groupe BMW</t>
  </si>
  <si>
    <t xml:space="preserve">       Consultant en service - Groupe BMW</t>
  </si>
  <si>
    <t xml:space="preserve">       Autres (personnel administratif)</t>
  </si>
  <si>
    <t xml:space="preserve">       Total</t>
  </si>
  <si>
    <t>Total - Bénéfice brut de BMW en % des ventes totales de BMW</t>
  </si>
  <si>
    <t>Total - Dépenses de BMW en % des ventes totales de BMW</t>
  </si>
  <si>
    <t>Profits nets/Pertes nettes avant impôt de BMW en % des ventes totales de BMW</t>
  </si>
  <si>
    <t>Ventes du Service Véhicules neufs de BMW en % des ventes totales de BMW</t>
  </si>
  <si>
    <t>Ventes du Service Véhicules d’occasion de BMW en % des ventes totales de BMW</t>
  </si>
  <si>
    <t>Ventes liées aux activités fixes de BMW en % des ventes totales de BMW</t>
  </si>
  <si>
    <t>Dépenses publicitaires de BMW en % des ventes totales de BMW</t>
  </si>
  <si>
    <t>Loyer ou équivalent de BMW en % des ventes totales de BMW</t>
  </si>
  <si>
    <t>PBNVV de BMW en % du prix de vente moyen d’un véhicule BMW neuf</t>
  </si>
  <si>
    <t>PBVOV de BMW en % du prix de vente moyen d’un véhicule BMW d’occasion</t>
  </si>
  <si>
    <t>Absorption des frais généraux fixes en %</t>
  </si>
  <si>
    <t>Dépenses publicitaires de MINI en % des ventes totales de MINI</t>
  </si>
  <si>
    <t>Loyer ou équivalent de MINI en % des ventes totales de MINI</t>
  </si>
  <si>
    <t>PBNVV de MINI en % du prix de vente moyen d’un véhicule MINI neuf</t>
  </si>
  <si>
    <t>PBVOV de MINI en % du prix de vente moyen d’un véhicule MINI d’occasion</t>
  </si>
  <si>
    <t>RÉSUMÉ DU PERSONNEL</t>
  </si>
  <si>
    <t>PROFIL FINANCIER DE BMW
(fondé sur la norme NADA)</t>
  </si>
  <si>
    <t>AJOUTS AU REVENU</t>
  </si>
  <si>
    <t>RETENUES SUR LE REVENU</t>
  </si>
  <si>
    <t xml:space="preserve">Taux de main-d’œuvre en vigueur - $ </t>
  </si>
  <si>
    <t xml:space="preserve">Heures par NIV unique -  </t>
  </si>
  <si>
    <t>Escompte de caisse Acquis</t>
  </si>
  <si>
    <t>Intérêts accumulés</t>
  </si>
  <si>
    <t>Autres revenus</t>
  </si>
  <si>
    <t>Recouvrement des créances douteuses</t>
  </si>
  <si>
    <t>Revenus de LOA et de location</t>
  </si>
  <si>
    <t>Revenu RBSC - BMW</t>
  </si>
  <si>
    <t>Revenu RBSC - MINI</t>
  </si>
  <si>
    <t>TOTAL AJOUTS</t>
  </si>
  <si>
    <t>COMPTE</t>
  </si>
  <si>
    <t>CPTE #</t>
  </si>
  <si>
    <t>Intérêts payés</t>
  </si>
  <si>
    <t>Autres retenues</t>
  </si>
  <si>
    <t>Frais de LOA et de location</t>
  </si>
  <si>
    <t>Primes RBSC versées - BMW</t>
  </si>
  <si>
    <t>Primes RBSC versées - MINI</t>
  </si>
  <si>
    <t>TOTAL RETENUES</t>
  </si>
  <si>
    <t>TOTAL AJOUTS ET RETENUES NETS SUR LE REVENU</t>
  </si>
  <si>
    <t>Total VAS (Note de service) (Pg 5 - Ligne 57 et Pg 6 - Lignes 3, 6, 13, 17, 24, 29, 35, 36-41)</t>
  </si>
  <si>
    <t>Total BMW M (Note de service) Pg 5 Lignes 7-8, 14 à 17, 29 à 33, 42 à 44, 54 à 57 et Pg 6 Lignes 11, 16, 23, 28, 32-34)</t>
  </si>
  <si>
    <t xml:space="preserve">GROUPE BMW CANADA </t>
  </si>
  <si>
    <t>ÉTATS FINANCIERS</t>
  </si>
  <si>
    <t xml:space="preserve">Couvrant la période de : </t>
  </si>
  <si>
    <t xml:space="preserve">Dest:        </t>
  </si>
  <si>
    <t>Nom du concessionnaire</t>
  </si>
  <si>
    <t>No du concessionnaire #</t>
  </si>
  <si>
    <t>ACTIF</t>
  </si>
  <si>
    <t>MONTANT</t>
  </si>
  <si>
    <t xml:space="preserve">PASSIF </t>
  </si>
  <si>
    <t>LIGNE</t>
  </si>
  <si>
    <t>ÉTAT DES REVENUS ET DES DÉPENSES POUR LES ACTIVITÉS VARIABLES</t>
  </si>
  <si>
    <t>A - BMW NEW VÉHICULES NEUFS</t>
  </si>
  <si>
    <t>ÉTAT DES REVENUS ET DES DÉPENSES POUR LES ACTIVITÉS FIXES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</si>
  <si>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sz val="11"/>
        <color theme="0"/>
        <rFont val="Calibri"/>
        <family val="2"/>
        <scheme val="minor"/>
      </rPr>
      <t xml:space="preserve"> DE RETOURS INSCRITS</t>
    </r>
  </si>
  <si>
    <t>MINI Cooper C 5 portes</t>
  </si>
  <si>
    <t>MINI Cooper 5 portes</t>
  </si>
  <si>
    <t>Total Activité Véhicules neufs du Groupe BMW (PAGE 6-Ligne 48, PAGE 7-Lignes 21, 29, 30, 31) (Unités - PAGE 6-Ligne 48, PAGE 7-Lignes 21, 30)</t>
  </si>
  <si>
    <t>Berline 550e xDrive</t>
  </si>
  <si>
    <t>Berline i5 xDrive</t>
  </si>
  <si>
    <t>Berline M5</t>
  </si>
  <si>
    <t>25.03</t>
  </si>
  <si>
    <t>142B</t>
  </si>
  <si>
    <t>A/R VEHICULES 31-60 JRS</t>
  </si>
  <si>
    <t>142C</t>
  </si>
  <si>
    <t>A/R VEHICULES 61-90 JRS</t>
  </si>
  <si>
    <t>144B</t>
  </si>
  <si>
    <t>A/R PIECES+SERVICE 31-60 JRS</t>
  </si>
  <si>
    <t>144C</t>
  </si>
  <si>
    <t>A/R PIECES+SERVICE 61-90 JRS</t>
  </si>
  <si>
    <t>144D</t>
  </si>
  <si>
    <t>A/R PIECES+SERVICE 91-120 JRS</t>
  </si>
  <si>
    <t>144E</t>
  </si>
  <si>
    <t>A/R PIECES+SERVICE 120+ JRS</t>
  </si>
  <si>
    <t>143B</t>
  </si>
  <si>
    <t>A/R GARANTIE BMW 31-60 JRS</t>
  </si>
  <si>
    <t>143D</t>
  </si>
  <si>
    <t>A/R GARANTIE BMW 91-120 JRS</t>
  </si>
  <si>
    <t>154B</t>
  </si>
  <si>
    <t>$ INV USAGE BMW AUTO 31-60 JRS</t>
  </si>
  <si>
    <t>132B</t>
  </si>
  <si>
    <t>NB INV USAGE BMW AUTO 31-60 JRS</t>
  </si>
  <si>
    <t>154C</t>
  </si>
  <si>
    <t>$ INV USAGE BMW AUTO 61-90 JRS</t>
  </si>
  <si>
    <t>132C</t>
  </si>
  <si>
    <t>NB INV USAGE BMW AUTO 61-90 JRS</t>
  </si>
  <si>
    <t>154D</t>
  </si>
  <si>
    <t>$ INV USAGE BMW AUTO 91-120 JRS</t>
  </si>
  <si>
    <t>132D</t>
  </si>
  <si>
    <t>NB INV USAGE BMW AUTO 91-120 JRS</t>
  </si>
  <si>
    <t>141B</t>
  </si>
  <si>
    <t>$ INV USAGE BMW CAMION 31-60 JRS</t>
  </si>
  <si>
    <t>133B</t>
  </si>
  <si>
    <t>NB INV USAGE BMW CAMION 31-60 JRS</t>
  </si>
  <si>
    <t>141C</t>
  </si>
  <si>
    <t>$ INV USAGE BMW CAMION 61-90 JRS</t>
  </si>
  <si>
    <t>133C</t>
  </si>
  <si>
    <t>NB INV USAGE BMW CAMION 61-90 JRS</t>
  </si>
  <si>
    <t>141D</t>
  </si>
  <si>
    <t>$ INV USAGE BMW CAMION 91-120 JRS</t>
  </si>
  <si>
    <t>133D</t>
  </si>
  <si>
    <t>NB INV USAGE BMW CAMION 91-120 JRS</t>
  </si>
  <si>
    <t>157B</t>
  </si>
  <si>
    <t>$ INV USAGE AUTRE 31-60 JRS</t>
  </si>
  <si>
    <t>138B</t>
  </si>
  <si>
    <t>NB INV USAGE AUTRE 31-60 JRS</t>
  </si>
  <si>
    <t>157C</t>
  </si>
  <si>
    <t>$ INV USAGE AUTRE 61-90 JRS</t>
  </si>
  <si>
    <t>138C</t>
  </si>
  <si>
    <t>NB INV USAGE AUTRE 61-90 JRS</t>
  </si>
  <si>
    <t>157D</t>
  </si>
  <si>
    <t>$ INV USAGE AUTRE 91-120 JRS</t>
  </si>
  <si>
    <t>138D</t>
  </si>
  <si>
    <t>NB INV USAGE AUTRE 91-120 JRS</t>
  </si>
  <si>
    <t>157E</t>
  </si>
  <si>
    <t>$ INV USAGE AUTRE 120+ JRS</t>
  </si>
  <si>
    <t>138E</t>
  </si>
  <si>
    <t>NB INV USAGE AUTRE 120+ JRS</t>
  </si>
  <si>
    <t>175A</t>
  </si>
  <si>
    <t>TAUX M/O CLIENT BMW</t>
  </si>
  <si>
    <t>176A</t>
  </si>
  <si>
    <t>TAUX M/O GARANTIE BMW</t>
  </si>
  <si>
    <t>177A</t>
  </si>
  <si>
    <t>TAUX M/O INTERNE BMW</t>
  </si>
  <si>
    <t>177S</t>
  </si>
  <si>
    <t>TAUX M/O PROGRAMME SPA BMW</t>
  </si>
  <si>
    <t>172M</t>
  </si>
  <si>
    <t># DE BAIE DE TECHNICIEN</t>
  </si>
  <si>
    <t>172N</t>
  </si>
  <si>
    <t># DE BAIE DE LAVAGE</t>
  </si>
  <si>
    <t>NOMBRE DE JOURS OUVRABLE SERVICE</t>
  </si>
  <si>
    <t>160Z</t>
  </si>
  <si>
    <t>NB EMP. PROPRIETAIRE ADMIN.</t>
  </si>
  <si>
    <t>161A</t>
  </si>
  <si>
    <t>NB EMP. SUPERVISION - NEUF</t>
  </si>
  <si>
    <t>161B</t>
  </si>
  <si>
    <t>NB EMP. SUPERVISION - USAGE</t>
  </si>
  <si>
    <t>161C</t>
  </si>
  <si>
    <t>NB EMP. SUPERBISION - SERVICE</t>
  </si>
  <si>
    <t>161D</t>
  </si>
  <si>
    <t>NB EMP. SUPERVISION - PIECES</t>
  </si>
  <si>
    <t>161Z</t>
  </si>
  <si>
    <t>NB EMP. SUPERVISION - ADMIN.</t>
  </si>
  <si>
    <t>164A</t>
  </si>
  <si>
    <t>NB EMP. VENDEURS BMW - NEUF</t>
  </si>
  <si>
    <t>NB EMP. VENDEURS BMW - F&amp;I</t>
  </si>
  <si>
    <t>164B</t>
  </si>
  <si>
    <t>NB EMP. VENDEURS BMW - USAGE</t>
  </si>
  <si>
    <t>164D</t>
  </si>
  <si>
    <t>NB EMP. COMMIS COMPTOIR - PIECES</t>
  </si>
  <si>
    <t>170C</t>
  </si>
  <si>
    <t>NB EMP. MECANICIENS - SERVICE</t>
  </si>
  <si>
    <t>173C</t>
  </si>
  <si>
    <t>NB EMP. AVISEURS - SERVICE</t>
  </si>
  <si>
    <t>166A</t>
  </si>
  <si>
    <t>NB EMP. AUTRES - NEUF</t>
  </si>
  <si>
    <t>166B</t>
  </si>
  <si>
    <t>NB EMP. AUTRES - USAGE</t>
  </si>
  <si>
    <t>166C</t>
  </si>
  <si>
    <t>NB EMP. AUTRES - SERVICE</t>
  </si>
  <si>
    <t>166Z</t>
  </si>
  <si>
    <t>NB EMP. AUTRES - ADMIN.</t>
  </si>
  <si>
    <t>178D</t>
  </si>
  <si>
    <t>PRODUCTIVITE TECHNICIEN</t>
  </si>
  <si>
    <t>INTERETS GAGNES</t>
  </si>
  <si>
    <t>AUTRES REVENUS</t>
  </si>
  <si>
    <t>REVENU RBSC BMW</t>
  </si>
  <si>
    <t>815C</t>
  </si>
  <si>
    <t>REVENU RBSC BMW USAGE</t>
  </si>
  <si>
    <t>470A@</t>
  </si>
  <si>
    <t># DE VTE - PCS BT CLIENT BMW AUTO</t>
  </si>
  <si>
    <t>VTE - PIECES BT CLIENT BMW AUTO</t>
  </si>
  <si>
    <t>670A</t>
  </si>
  <si>
    <t>C/V - PIECES BT CLIENT BMW AUTO</t>
  </si>
  <si>
    <t>470B@</t>
  </si>
  <si>
    <t># DE VTE - PCS BT CLIENT BMW CAMION</t>
  </si>
  <si>
    <t>VTE - PIECES BT CLIENT BMW CAMION</t>
  </si>
  <si>
    <t>670B</t>
  </si>
  <si>
    <t>C/V - PIECES BT CLIENT BMW CAMION</t>
  </si>
  <si>
    <t>470D@</t>
  </si>
  <si>
    <t># DE VTE - PIECES BT CLIENT BMW I</t>
  </si>
  <si>
    <t>VTE - PIECES BT CLIENT BMW I</t>
  </si>
  <si>
    <t>670D</t>
  </si>
  <si>
    <t>C/V - PIECES BT CLIENT BMW I</t>
  </si>
  <si>
    <t>472D@</t>
  </si>
  <si>
    <t># DE VTE - PCS ENTRETIEN BMW AUTO</t>
  </si>
  <si>
    <t>VTE - PIECES ENTRETIEN BMW AUTO</t>
  </si>
  <si>
    <t>672D</t>
  </si>
  <si>
    <t>C/V - PIECES ENTRETIEN BMW AUTO</t>
  </si>
  <si>
    <t>472E@</t>
  </si>
  <si>
    <t># DE VTE - PCS ENTRETIEN BMW CAMION</t>
  </si>
  <si>
    <t>VTE - PIECES ENTRETIEN BMW CAMION</t>
  </si>
  <si>
    <t>672E</t>
  </si>
  <si>
    <t>C/V - PIECES ENTRETIEN BMW CAMION</t>
  </si>
  <si>
    <t>471B@</t>
  </si>
  <si>
    <t># DE VTE - PCS BT CARROSS BMW CAMION</t>
  </si>
  <si>
    <t>472A@</t>
  </si>
  <si>
    <t># DE VTE - PCS GARANTIE BMW AUTO</t>
  </si>
  <si>
    <t>VTE - PIECES GARANTIE BMW AUTO</t>
  </si>
  <si>
    <t>672A</t>
  </si>
  <si>
    <t>C/V - PIECES GARANTIE BMW AUTO</t>
  </si>
  <si>
    <t>472B@</t>
  </si>
  <si>
    <t># DE VTE - PCS GARANTIE BMW CAMION</t>
  </si>
  <si>
    <t>VTE - PIECES GARANTIE BMW CAMION</t>
  </si>
  <si>
    <t>672B</t>
  </si>
  <si>
    <t>C/V - PIECES GARANTIE BMW CAMION</t>
  </si>
  <si>
    <t>VTE - PIECES GARANTIE BMW I</t>
  </si>
  <si>
    <t>672H</t>
  </si>
  <si>
    <t>C/V - PIECES GARANTIE BMW I</t>
  </si>
  <si>
    <t>473A@</t>
  </si>
  <si>
    <t># DE VTE - PCS INTERNE BMW AUTO</t>
  </si>
  <si>
    <t>VTE - PIECES INTERNE BMW AUTO</t>
  </si>
  <si>
    <t>673A</t>
  </si>
  <si>
    <t>C/V - PIECES INTERNE BMW AUTO</t>
  </si>
  <si>
    <t>473B@</t>
  </si>
  <si>
    <t># DE VTE - PCS INTERNE BMW CAMION</t>
  </si>
  <si>
    <t>VTE - PIECES INTERNE BMW CAMION</t>
  </si>
  <si>
    <t>673B</t>
  </si>
  <si>
    <t>C/V - PIECES INTERNE BMW CAMION</t>
  </si>
  <si>
    <t>473D@</t>
  </si>
  <si>
    <t># DE VTE - PIECES INTERNE BMW I</t>
  </si>
  <si>
    <t>VTE - PIECES INTERNE BMW I</t>
  </si>
  <si>
    <t>673D</t>
  </si>
  <si>
    <t>C/V - PIECES INTERNE BMW I</t>
  </si>
  <si>
    <t>474A@</t>
  </si>
  <si>
    <t># DE VTE - PCS COMPTOIR BMW AUTO</t>
  </si>
  <si>
    <t>VTE - PIECES COMPTOIR BMW AUTO</t>
  </si>
  <si>
    <t>674A</t>
  </si>
  <si>
    <t>C/V - PIECES COMPTOIR BMW AUTO</t>
  </si>
  <si>
    <t>474D@</t>
  </si>
  <si>
    <t># DE VTE - PCS COMP. BMW LIFESTYLE</t>
  </si>
  <si>
    <t>VTE - PIECES COMP. BMW LIFESTYLE</t>
  </si>
  <si>
    <t>674D</t>
  </si>
  <si>
    <t>C/V - PIECES COMP. BMW LIFESTYLE</t>
  </si>
  <si>
    <t>474E@</t>
  </si>
  <si>
    <t># DE VTE - PCS COMP. BMW ACCESS.</t>
  </si>
  <si>
    <t>VTE - PIECES COMP. BMW ACCESSOIRE</t>
  </si>
  <si>
    <t>674E</t>
  </si>
  <si>
    <t>C/V - PIECES COMP. BMW ACCESSOIRE</t>
  </si>
  <si>
    <t>475A@</t>
  </si>
  <si>
    <t># DE VTE - PIECES GROS BMW AUTO</t>
  </si>
  <si>
    <t>VTE - PIECES GROS BMW AUTO</t>
  </si>
  <si>
    <t>675A</t>
  </si>
  <si>
    <t>C/V - PIECES GROS BMW AUTO</t>
  </si>
  <si>
    <t>675L</t>
  </si>
  <si>
    <t>C/V - RISTOURNES VENTES WHOLESALES</t>
  </si>
  <si>
    <t>488A@</t>
  </si>
  <si>
    <t># DE VTE - PNEUS</t>
  </si>
  <si>
    <t>489A@</t>
  </si>
  <si>
    <t># DE VTE - HUILES &amp; GRAISSES</t>
  </si>
  <si>
    <t>488A</t>
  </si>
  <si>
    <t>VTE - PNEUS</t>
  </si>
  <si>
    <t>489A</t>
  </si>
  <si>
    <t>VTE - HUILES &amp; GRAISSES</t>
  </si>
  <si>
    <t>489B</t>
  </si>
  <si>
    <t>VTE - HUILE &amp; GRAISSE</t>
  </si>
  <si>
    <t>688A</t>
  </si>
  <si>
    <t>C/V - PNEUS</t>
  </si>
  <si>
    <t>689A</t>
  </si>
  <si>
    <t>C/V - HUILES &amp; GRAISSES</t>
  </si>
  <si>
    <t>689B</t>
  </si>
  <si>
    <t>C/V - HUILE &amp; GRAISSE</t>
  </si>
  <si>
    <t>677A</t>
  </si>
  <si>
    <t>C/V - RABAIS ACHAT VOLUME BMW AUTO</t>
  </si>
  <si>
    <t>460A@</t>
  </si>
  <si>
    <t># DE VTE - M/O CLIENT BMW AUTO</t>
  </si>
  <si>
    <t>VTE - M/O CLIENT BMW AUTO</t>
  </si>
  <si>
    <t>660A</t>
  </si>
  <si>
    <t>C/V - M/O CLIENT BMW AUTO</t>
  </si>
  <si>
    <t>460B@</t>
  </si>
  <si>
    <t># DE VTE - M/O CLIENT BMW CAMION</t>
  </si>
  <si>
    <t>VTE - M/O CLIENT BMW CAMION</t>
  </si>
  <si>
    <t>660B</t>
  </si>
  <si>
    <t>C/V - M/O CLIENT BMW CAMION</t>
  </si>
  <si>
    <t>460D@</t>
  </si>
  <si>
    <t># DE VTE - M/O CLIENT BMW I</t>
  </si>
  <si>
    <t>VTE - M/O CLIENT BMW I</t>
  </si>
  <si>
    <t>660D</t>
  </si>
  <si>
    <t>C/V - M/O CLIENT BMW I</t>
  </si>
  <si>
    <t>461D@</t>
  </si>
  <si>
    <t># DE VTE - M/O ENTRETIEN BMW AUTO</t>
  </si>
  <si>
    <t>VTE - M/O ENTRETIEN BMW AUTO</t>
  </si>
  <si>
    <t>661D</t>
  </si>
  <si>
    <t>C/V - M/O ENTRETIEN BMW AUTO</t>
  </si>
  <si>
    <t>461E@</t>
  </si>
  <si>
    <t># DE VTE - M/O ENTRETIEN BMW CAMION</t>
  </si>
  <si>
    <t>VTE - M/O ENTRETIEN BMW CAMION</t>
  </si>
  <si>
    <t>661E</t>
  </si>
  <si>
    <t>C/V - M/O ENTRETIEN BMW CAMION</t>
  </si>
  <si>
    <t>463A@</t>
  </si>
  <si>
    <t># DE VTE - SOUS-TRAITANCE BMW AUTO</t>
  </si>
  <si>
    <t>VTE - SOUS-TRAITANCE BMW AUTO</t>
  </si>
  <si>
    <t>663A</t>
  </si>
  <si>
    <t>C/V - SOUS-TRAITANCE BMW AUTO</t>
  </si>
  <si>
    <t>463B@</t>
  </si>
  <si>
    <t># DE VTE - SOUS-TRAITANCE BMW CAMION</t>
  </si>
  <si>
    <t>VTE - SOUS-TRAITANCE BMW CAMION</t>
  </si>
  <si>
    <t>663B</t>
  </si>
  <si>
    <t>C/V - SOUS-TRAITANCE BMW CAMION</t>
  </si>
  <si>
    <t>463D@</t>
  </si>
  <si>
    <t># DE VTE - SOUS-TRAITANCE BMW I</t>
  </si>
  <si>
    <t>VTE - SOUS-TRAITANCE BMW I</t>
  </si>
  <si>
    <t>663D</t>
  </si>
  <si>
    <t>C/V - SOUS-TRAITANCE BMW I</t>
  </si>
  <si>
    <t>461A@</t>
  </si>
  <si>
    <t># DE VTE - M/O GARANTIE BMW AUTO</t>
  </si>
  <si>
    <t>VTE - M/O GARANTIE BMW AUTO</t>
  </si>
  <si>
    <t>661A</t>
  </si>
  <si>
    <t>C/V - M/O GARANTIE BMW AUTO</t>
  </si>
  <si>
    <t>461B@</t>
  </si>
  <si>
    <t># DE VTE - M/O GARANTIE BMW CAMION</t>
  </si>
  <si>
    <t>VTE - M/O GARANTIE BMW CAMION</t>
  </si>
  <si>
    <t>661B</t>
  </si>
  <si>
    <t>C/V - M/O GARANTIE BMW CAMION</t>
  </si>
  <si>
    <t>461H@</t>
  </si>
  <si>
    <t># DE VTE - M/O GARANTIE BMW</t>
  </si>
  <si>
    <t>VTE - M/O GARANTIE BMW</t>
  </si>
  <si>
    <t>661H</t>
  </si>
  <si>
    <t>C/V - M/O GARANTIE BMW I</t>
  </si>
  <si>
    <t>462A@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</si>
  <si>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</si>
  <si>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</si>
  <si>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</si>
  <si>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</si>
  <si>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</si>
  <si>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</si>
  <si>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662A</t>
  </si>
  <si>
    <t>C/V - M/O INTERNE BMW AUTO</t>
  </si>
  <si>
    <t>662L</t>
  </si>
  <si>
    <t>C/V - SUBLET INTERNE AUTO</t>
  </si>
  <si>
    <t>462B@</t>
  </si>
  <si>
    <t># DE VTE - M/O INTERNE BMW CAMION</t>
  </si>
  <si>
    <t>462M@</t>
  </si>
  <si>
    <t># OF VTES -SUBLET INTERNE CAMION</t>
  </si>
  <si>
    <t>VTE - M/O INTERNE BMW CAMION</t>
  </si>
  <si>
    <t>VTES -SUBLET INTERNE CAMION</t>
  </si>
  <si>
    <t>662B</t>
  </si>
  <si>
    <t>C/V - M/O INTERNE BMW CAMION</t>
  </si>
  <si>
    <t>662M</t>
  </si>
  <si>
    <t>C/V - SUBLET INTERNE CAMION</t>
  </si>
  <si>
    <t>462D@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</si>
  <si>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</si>
  <si>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</si>
  <si>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</si>
  <si>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</si>
  <si>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</si>
  <si>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</si>
  <si>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662D</t>
  </si>
  <si>
    <t>C/V - M/O INTERNE BMW I</t>
  </si>
  <si>
    <t>662N</t>
  </si>
  <si>
    <t>C/V - SUBLET INTERNE ELECTRIQUE</t>
  </si>
  <si>
    <t>459A@</t>
  </si>
  <si>
    <t>459B@</t>
  </si>
  <si>
    <t># OF VTES -VTE - SUBLET ESTHETIQUE</t>
  </si>
  <si>
    <t>459B</t>
  </si>
  <si>
    <t>VTES -VTE - SUBLET ESTHETIQUE</t>
  </si>
  <si>
    <t>659A</t>
  </si>
  <si>
    <t>659B</t>
  </si>
  <si>
    <t>C/V - SUBLET ESTHETIQUE</t>
  </si>
  <si>
    <t>C/V - AJUST. M/O BMW AUTO</t>
  </si>
  <si>
    <t>C/V - AJUST. M/O BMW CAMION</t>
  </si>
  <si>
    <t>440A@</t>
  </si>
  <si>
    <t># DE VTE - USAGE BMW AUTO CERT</t>
  </si>
  <si>
    <t>446A@</t>
  </si>
  <si>
    <t># DE VTE - USAGE BMW CAMION CERT</t>
  </si>
  <si>
    <t>440A</t>
  </si>
  <si>
    <t>VTE - USAGE BMW AUTO CERT</t>
  </si>
  <si>
    <t>446A</t>
  </si>
  <si>
    <t>VTE - USAGE BMW CAMION CERT</t>
  </si>
  <si>
    <t>640A</t>
  </si>
  <si>
    <t>C/V - USAGE BMW AUTO CERT</t>
  </si>
  <si>
    <t>646A</t>
  </si>
  <si>
    <t>C/V - USAGE BMW CAMION CERT</t>
  </si>
  <si>
    <t>641A</t>
  </si>
  <si>
    <t>C/V - RECOND. BMW AUTO CERT</t>
  </si>
  <si>
    <t>648A</t>
  </si>
  <si>
    <t>C/V - RECOND. BMW CAMION CERT</t>
  </si>
  <si>
    <t>440B@</t>
  </si>
  <si>
    <t># DE VTE - USAGE BMW AUTO NON-CERT</t>
  </si>
  <si>
    <t>446B@</t>
  </si>
  <si>
    <t># DE VTE - USAGE BMW CAMION NON-CERT</t>
  </si>
  <si>
    <t>440B</t>
  </si>
  <si>
    <t>VTE - USAGE BMW AUTO NON-CERT</t>
  </si>
  <si>
    <t>446B</t>
  </si>
  <si>
    <t>VTE - USAGE BMW CAMION NON-CERT</t>
  </si>
  <si>
    <t>640B</t>
  </si>
  <si>
    <t>C/V - USAGE BMW AUTO NON-CERT</t>
  </si>
  <si>
    <t>646B</t>
  </si>
  <si>
    <t>C/V - USAGE BMW CAMION NON-CERT</t>
  </si>
  <si>
    <t>641B</t>
  </si>
  <si>
    <t>C/V - RECOND. BMW AUTO NON-CERT</t>
  </si>
  <si>
    <t>648B</t>
  </si>
  <si>
    <t>C/V - RECOND. BMW CAMION NON-CERT</t>
  </si>
  <si>
    <t>444B@</t>
  </si>
  <si>
    <t># DE VTE - GROS BMW CAMION</t>
  </si>
  <si>
    <t>444B</t>
  </si>
  <si>
    <t>VTE - GROS BMW CAMION</t>
  </si>
  <si>
    <t>644A</t>
  </si>
  <si>
    <t>C/V - GROS BMW AUTO</t>
  </si>
  <si>
    <t>644B</t>
  </si>
  <si>
    <t>C/V - GROS BMW CAMION</t>
  </si>
  <si>
    <t>450@</t>
  </si>
  <si>
    <t># DE VTE - MARQUAGE OTOPROTEC USAGE BMW AUTO</t>
  </si>
  <si>
    <t>450F@</t>
  </si>
  <si>
    <t># DE VTE - RIST FIN USAGE BMW AUTO</t>
  </si>
  <si>
    <t>VTE - RIST FINANCE USAGE BMW AUTO</t>
  </si>
  <si>
    <t>VTES -MARQUAGE USAGE BMW CERT</t>
  </si>
  <si>
    <t>806C</t>
  </si>
  <si>
    <t>FRAIS ADMINISTRATION USAGE</t>
  </si>
  <si>
    <t>C/V - MARQUAGE OTOPROTEC USAGE BMW CERT</t>
  </si>
  <si>
    <t>450H@</t>
  </si>
  <si>
    <t>454F@</t>
  </si>
  <si>
    <t># OF VTES -RIST FINANCE USAGE BMW NON-CERT</t>
  </si>
  <si>
    <t>454M@</t>
  </si>
  <si>
    <t># OF VTES -MARQUAGE USAGE BMW NON-CERT</t>
  </si>
  <si>
    <t>450H</t>
  </si>
  <si>
    <t>654M</t>
  </si>
  <si>
    <t>C/V - MARQUAGE OTOPROTEC USAGE BMW NON-CERT</t>
  </si>
  <si>
    <t>454M</t>
  </si>
  <si>
    <t>VTES -MARQUAGE USAGE BMW NON-CERT</t>
  </si>
  <si>
    <t>454F</t>
  </si>
  <si>
    <t>VTES -RIST FINANCE USAGE BMW NON-CERT</t>
  </si>
  <si>
    <t>452@</t>
  </si>
  <si>
    <t># DE VTE - GAR PROL USAGE BMW AUTO</t>
  </si>
  <si>
    <t>VTES -GAR PROL USAGE BMW CERT</t>
  </si>
  <si>
    <t>C/V - GAR PROL USAGE BMW CERT</t>
  </si>
  <si>
    <t>454A@</t>
  </si>
  <si>
    <t># OF VTES -CONT ENTRET USAGE BMW NON-CERT</t>
  </si>
  <si>
    <t>454A</t>
  </si>
  <si>
    <t>VTES -CONT ENTRET USAGE BMW NON-CERT</t>
  </si>
  <si>
    <t>654A</t>
  </si>
  <si>
    <t>C/V - CONT ENTRET USAGE BMW NON-CERT</t>
  </si>
  <si>
    <t>442@</t>
  </si>
  <si>
    <t># DE VTE - USAGE AUTRES</t>
  </si>
  <si>
    <t>VTE - USAGE AUTRES</t>
  </si>
  <si>
    <t>C/V - USAGE AUTRES</t>
  </si>
  <si>
    <t>444C@</t>
  </si>
  <si>
    <t># DE VTE - GROS AUTRE</t>
  </si>
  <si>
    <t>451@</t>
  </si>
  <si>
    <t># DE VTE - MARQUAGE OTOPROTEC USAGE AUTRE</t>
  </si>
  <si>
    <t>453@</t>
  </si>
  <si>
    <t># DE VTE - RIST FINANCE USAGE AUTRE</t>
  </si>
  <si>
    <t>416@</t>
  </si>
  <si>
    <t># DE VTE - X1 XDRIVE 28I</t>
  </si>
  <si>
    <t>VTE - X1 XDRIVE 28I</t>
  </si>
  <si>
    <t>C/V - X1 XDRIVE 28I</t>
  </si>
  <si>
    <t>423D@</t>
  </si>
  <si>
    <t># DE VTE - X5 XDRIVE 35I/ X5 XDRIVE 40I</t>
  </si>
  <si>
    <t>VTES -VTE - X5 XDRIVE 35I/ X5 XDRIVE 40I</t>
  </si>
  <si>
    <t>623D</t>
  </si>
  <si>
    <t>C/V - X5 XDRIVE 35I/ X5 XDRIVE 40I</t>
  </si>
  <si>
    <t>418@</t>
  </si>
  <si>
    <t># DE VTE - AUTRES MODELES BMW</t>
  </si>
  <si>
    <t>VTE - AUTRES MODELES BMW</t>
  </si>
  <si>
    <t>C/V - AUTRES MODELES BMW AUTO</t>
  </si>
  <si>
    <t>RESERVE DETAILLANT</t>
  </si>
  <si>
    <t>430A@</t>
  </si>
  <si>
    <t># DE VTE - MARQUAGE OTOPROTEC NEUF BMW AUTO</t>
  </si>
  <si>
    <t>430U@</t>
  </si>
  <si>
    <t># DE VTE - ASSIS USU NEUF BMW AUTO</t>
  </si>
  <si>
    <t>430E@</t>
  </si>
  <si>
    <t># DE SLS - PROTEC ESTHETIQUE NEUF BMW AUTO</t>
  </si>
  <si>
    <t>430C@</t>
  </si>
  <si>
    <t># DE VTE - ACCESSOIRES NEUFS BMW AUTO</t>
  </si>
  <si>
    <t>430A</t>
  </si>
  <si>
    <t>VTES -VTE - MARQUAGE NEUF BMW AUTO</t>
  </si>
  <si>
    <t>430U</t>
  </si>
  <si>
    <t>VTE - ASSIST USURE NEUF BMW AUTO</t>
  </si>
  <si>
    <t>430E</t>
  </si>
  <si>
    <t>VTE - PROTEC ESTHETIQUE NEUF BMW AUTO</t>
  </si>
  <si>
    <t>806A</t>
  </si>
  <si>
    <t>FRAIS D'ADMINISTRATION NEUF</t>
  </si>
  <si>
    <t>VTE - ACCESSOIRES NEUFS BMW AUTO</t>
  </si>
  <si>
    <t>630A</t>
  </si>
  <si>
    <t>C/V - MARQUAGE OTOPROTEC NEUF BMW AUTO</t>
  </si>
  <si>
    <t>630U</t>
  </si>
  <si>
    <t>C/V - ASSIST USURE NEUF BMW AUTO</t>
  </si>
  <si>
    <t>630E</t>
  </si>
  <si>
    <t>C/V - PROTEC ESTHETIQUE NAUF BMW AUTO</t>
  </si>
  <si>
    <t>630C</t>
  </si>
  <si>
    <t>C/V - ACCESSOIRES NEUF BMW AUTO</t>
  </si>
  <si>
    <t>434A@</t>
  </si>
  <si>
    <t># DE VTE - CONT ENTR NEUF BMW AUTO</t>
  </si>
  <si>
    <t>434A</t>
  </si>
  <si>
    <t>VTE - CONT ENTRT NEUF BMW AUTO</t>
  </si>
  <si>
    <t>634A</t>
  </si>
  <si>
    <t>C/V - CONT ENTRET NEUF BMW AUTO</t>
  </si>
  <si>
    <t>406G@</t>
  </si>
  <si>
    <t># DE VTE - M240I XDRIVE COUPE</t>
  </si>
  <si>
    <t>VTES -VTE - M240I XDRIVE COUPE</t>
  </si>
  <si>
    <t>606G</t>
  </si>
  <si>
    <t>C/V - M240I XDRIVE COUPE</t>
  </si>
  <si>
    <t>412C@</t>
  </si>
  <si>
    <t>M340I XDRIVE</t>
  </si>
  <si>
    <t>612C</t>
  </si>
  <si>
    <t>404I@</t>
  </si>
  <si>
    <t># OF VTES -i4 eDRIVE40 GRAN COUPE</t>
  </si>
  <si>
    <t>VTES -i4 eDRIVE40 GRAN COUPE</t>
  </si>
  <si>
    <t>604I</t>
  </si>
  <si>
    <t>C/V - i4 eDRIVE40 GRAN COUPE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</si>
  <si>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</si>
  <si>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</si>
  <si>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</si>
  <si>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</si>
  <si>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</si>
  <si>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</si>
  <si>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</si>
  <si>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</si>
  <si>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</si>
  <si>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</si>
  <si>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432@</t>
  </si>
  <si>
    <t># DE VTE - 530E XDRIVE</t>
  </si>
  <si>
    <t>VTES -VTE - 530E XDRIVE</t>
  </si>
  <si>
    <t>C/V - 530E XDRIVE</t>
  </si>
  <si>
    <t>415B@</t>
  </si>
  <si>
    <t># DE VTE - i7 xDRIVE60</t>
  </si>
  <si>
    <t>VTES -VTE - i7 xDRIVE60</t>
  </si>
  <si>
    <t>615B</t>
  </si>
  <si>
    <t>C/V - i7 xDRIVE60</t>
  </si>
  <si>
    <t>16E</t>
  </si>
  <si>
    <t>PUBLICITE - SERV. BMW</t>
  </si>
  <si>
    <t>16G</t>
  </si>
  <si>
    <t>PUBLICITE - PIECE BMW</t>
  </si>
  <si>
    <t>20E</t>
  </si>
  <si>
    <t>SAL. PROPRIETAIRE - SERV. BMW</t>
  </si>
  <si>
    <t>20G</t>
  </si>
  <si>
    <t>SAL. PROPRIETAIRE - PIECE BMW</t>
  </si>
  <si>
    <t>21E</t>
  </si>
  <si>
    <t>SAL. SUPERVISION - SERV. BMW</t>
  </si>
  <si>
    <t>21G</t>
  </si>
  <si>
    <t>SAL. SUPERVISION - PIECE BMW</t>
  </si>
  <si>
    <t>22E</t>
  </si>
  <si>
    <t>SAL. ADMIN. - SERV. BMW</t>
  </si>
  <si>
    <t>22G</t>
  </si>
  <si>
    <t>SAL. ADMIN. - PIECE BMW</t>
  </si>
  <si>
    <t>26E</t>
  </si>
  <si>
    <t>SAL. SPECIALISTES - SERV. BMW</t>
  </si>
  <si>
    <t>23E</t>
  </si>
  <si>
    <t>SAL. AUTRES - SERV. BMW</t>
  </si>
  <si>
    <t>23G</t>
  </si>
  <si>
    <t>SAL. AUTRES - PIECE BMW</t>
  </si>
  <si>
    <t>24E</t>
  </si>
  <si>
    <t>SAL. ABSENCE - SERV. BMW</t>
  </si>
  <si>
    <t>24G</t>
  </si>
  <si>
    <t>SAL. ABSENCE - PIECE BMW</t>
  </si>
  <si>
    <t>25E</t>
  </si>
  <si>
    <t>TAXES PAYE - SERV. BMW</t>
  </si>
  <si>
    <t>25G</t>
  </si>
  <si>
    <t>TAXES PAYE - PIECE BMW</t>
  </si>
  <si>
    <t>27E</t>
  </si>
  <si>
    <t>AVANT. SOCIAUX - SERV. BMW</t>
  </si>
  <si>
    <t>27G</t>
  </si>
  <si>
    <t>AVANT. SOCIAUX - PIECE BMW</t>
  </si>
  <si>
    <t>29E</t>
  </si>
  <si>
    <t>FONDS PENSIONS - SERV. BMW</t>
  </si>
  <si>
    <t>29G</t>
  </si>
  <si>
    <t>FONDS PENSIONS - PIECE BMW</t>
  </si>
  <si>
    <t>51E</t>
  </si>
  <si>
    <t>UNIFORMES - SERV. BMW</t>
  </si>
  <si>
    <t>53E</t>
  </si>
  <si>
    <t>VEH. COMPAGNIE - SERV. BMW</t>
  </si>
  <si>
    <t>53G</t>
  </si>
  <si>
    <t>VEH. COMPAGNIE - PIECE BMW</t>
  </si>
  <si>
    <t>60E</t>
  </si>
  <si>
    <t>FOURNITURES BUREAU - SERV. BMW</t>
  </si>
  <si>
    <t>60G</t>
  </si>
  <si>
    <t>FOURNITURES BUREAU - PIECE BMW</t>
  </si>
  <si>
    <t>61E</t>
  </si>
  <si>
    <t>AUTRES FOURNITURES - SERV. BMW</t>
  </si>
  <si>
    <t>63E</t>
  </si>
  <si>
    <t>AJUST. GARANTIE - SERV. BMW</t>
  </si>
  <si>
    <t>63G</t>
  </si>
  <si>
    <t>AJUST. GARANTIE - PIECE BMW</t>
  </si>
  <si>
    <t>68E</t>
  </si>
  <si>
    <t>TRAV. GRACIEUX - SERV. BMW</t>
  </si>
  <si>
    <t>68G</t>
  </si>
  <si>
    <t>TRAV. GRACIEUX - PIECE BMW</t>
  </si>
  <si>
    <t>69E</t>
  </si>
  <si>
    <t>FRAIS INFORMATIQUE - SERV. BMW</t>
  </si>
  <si>
    <t>69G</t>
  </si>
  <si>
    <t>FRAIS INFORMATIQUE - PIECE BMW</t>
  </si>
  <si>
    <t>70E</t>
  </si>
  <si>
    <t>SERV. EXTERIEURS - SERV. BMW</t>
  </si>
  <si>
    <t>70G</t>
  </si>
  <si>
    <t>SERV. EXTERIEURS - PIECE BMW</t>
  </si>
  <si>
    <t>70L</t>
  </si>
  <si>
    <t>CAMION PIECES - PIECES BMW</t>
  </si>
  <si>
    <t>71E</t>
  </si>
  <si>
    <t>FRAIS REPRESENTATION - SERV. BMW</t>
  </si>
  <si>
    <t>71G</t>
  </si>
  <si>
    <t>FRAIS REPRESENTATION - PIECE BMW</t>
  </si>
  <si>
    <t>72E</t>
  </si>
  <si>
    <t>COTIS. &amp; ABONN. - SERV. BMW</t>
  </si>
  <si>
    <t>72G</t>
  </si>
  <si>
    <t>COTIS. &amp; ABONN. - PIECE BMW</t>
  </si>
  <si>
    <t>74E</t>
  </si>
  <si>
    <t>FRAIS LEGAUX &amp; CTB - SERV. BMW</t>
  </si>
  <si>
    <t>74G</t>
  </si>
  <si>
    <t>FRAIS LEGAUX &amp; CTB - PIECE BMW</t>
  </si>
  <si>
    <t>75E</t>
  </si>
  <si>
    <t>TELEPHONE - SERV. BMW</t>
  </si>
  <si>
    <t>75G</t>
  </si>
  <si>
    <t>TELEPHONE - PIECE BMW</t>
  </si>
  <si>
    <t>76E</t>
  </si>
  <si>
    <t>FORMATION - SERV. BMW</t>
  </si>
  <si>
    <t>76G</t>
  </si>
  <si>
    <t>FORMATION - PIECE BMW</t>
  </si>
  <si>
    <t>77E</t>
  </si>
  <si>
    <t>FRAIS DIVERS - SERV. BMW</t>
  </si>
  <si>
    <t>77G</t>
  </si>
  <si>
    <t>FRAIS DIVERS - PIECE BMW</t>
  </si>
  <si>
    <t>78E</t>
  </si>
  <si>
    <t>TRANSPORT - SERV. BMW</t>
  </si>
  <si>
    <t>78G</t>
  </si>
  <si>
    <t>TRANSPORT - PIECE BMW</t>
  </si>
  <si>
    <t>73E</t>
  </si>
  <si>
    <t>REMISE CARTE CREDIT - SERV. BMW</t>
  </si>
  <si>
    <t>73G</t>
  </si>
  <si>
    <t>REMISE CARTE CREDIT - PIECE BMW</t>
  </si>
  <si>
    <t>52E</t>
  </si>
  <si>
    <t>DEP. VEHICULES PRETS - SERV. BMW</t>
  </si>
  <si>
    <t>54E</t>
  </si>
  <si>
    <t>REV BMW CANADA MOBILITY - SERV BMW</t>
  </si>
  <si>
    <t>52G</t>
  </si>
  <si>
    <t>DEP. VEHICULES PRETS - PIECE BMW</t>
  </si>
  <si>
    <t>54G</t>
  </si>
  <si>
    <t>REV BMW CANADA MOBILITY - PIECES BMW</t>
  </si>
  <si>
    <t>80E</t>
  </si>
  <si>
    <t>LOYER OU EQUIV. - SERV. BMW</t>
  </si>
  <si>
    <t>80G</t>
  </si>
  <si>
    <t>LOYER OU EQUIV. - PIECES BMW</t>
  </si>
  <si>
    <t>81E</t>
  </si>
  <si>
    <t>AMORT. AMEL. LOC. - SERV. BMW</t>
  </si>
  <si>
    <t>81G</t>
  </si>
  <si>
    <t>AMORT. AMEL. LOC. - PIECE BMW</t>
  </si>
  <si>
    <t>84E</t>
  </si>
  <si>
    <t>TAXES BATISSE - SERV. BMW</t>
  </si>
  <si>
    <t>84G</t>
  </si>
  <si>
    <t>TAXES BATISSE - PIECE BMW</t>
  </si>
  <si>
    <t>85E</t>
  </si>
  <si>
    <t>ASS. BATISSE - SERV. BMW</t>
  </si>
  <si>
    <t>85G</t>
  </si>
  <si>
    <t>ASS. BATISSE - PIECE BMW</t>
  </si>
  <si>
    <t>87E</t>
  </si>
  <si>
    <t>CHAUFF. ELECT. EAU - SERV. BMW</t>
  </si>
  <si>
    <t>87G</t>
  </si>
  <si>
    <t>CHAUFF. ELECT. EAU - PIECE BMW</t>
  </si>
  <si>
    <t>89E</t>
  </si>
  <si>
    <t>TAXES &amp; PERMIS - SERV. BMW</t>
  </si>
  <si>
    <t>89G</t>
  </si>
  <si>
    <t>TAXES &amp; PERMIS - PIECE BMW</t>
  </si>
  <si>
    <t>90E</t>
  </si>
  <si>
    <t>REP. EQUIPEMENT - SERV. BMW</t>
  </si>
  <si>
    <t>91E</t>
  </si>
  <si>
    <t>DEPREC. EQUIP. - SERV. BMW</t>
  </si>
  <si>
    <t>91G</t>
  </si>
  <si>
    <t>DEPREC. EQUIP. - PIECE BMW</t>
  </si>
  <si>
    <t>92E</t>
  </si>
  <si>
    <t>LOCATION EQUIP. - SERV. BMW</t>
  </si>
  <si>
    <t>92G</t>
  </si>
  <si>
    <t>LOCATION EQUIP. - PIECE BMW</t>
  </si>
  <si>
    <t>11A</t>
  </si>
  <si>
    <t>COMM. VENDEURS - NEUF BMW</t>
  </si>
  <si>
    <t>11C</t>
  </si>
  <si>
    <t>COMM. VENDEURS - USAGE BMW</t>
  </si>
  <si>
    <t>12A</t>
  </si>
  <si>
    <t>COMM. F&amp;I - NEUF BMW</t>
  </si>
  <si>
    <t>12C</t>
  </si>
  <si>
    <t>COMM. F&amp;I - USAGE BMW</t>
  </si>
  <si>
    <t>13A</t>
  </si>
  <si>
    <t>FRAIS LIVRAISON - NEUF BMW</t>
  </si>
  <si>
    <t>14A</t>
  </si>
  <si>
    <t>ENTRETIEN INVENTAIRE NEUF</t>
  </si>
  <si>
    <t>13C</t>
  </si>
  <si>
    <t>FRAIS LIVRAISON - USAGE BMW</t>
  </si>
  <si>
    <t>14C</t>
  </si>
  <si>
    <t>ENTRETIEN INVENTAIRE USAGE</t>
  </si>
  <si>
    <t>16A</t>
  </si>
  <si>
    <t>PUBLICITE - NEUF BMW</t>
  </si>
  <si>
    <t>16C</t>
  </si>
  <si>
    <t>PUBLICITE - USAGE BMW</t>
  </si>
  <si>
    <t>17A</t>
  </si>
  <si>
    <t>PUBLICITE GROUPE - NEUF BMW</t>
  </si>
  <si>
    <t>19A</t>
  </si>
  <si>
    <t>RECOUV. PUBLICITE - NEUF BMW</t>
  </si>
  <si>
    <t>19C</t>
  </si>
  <si>
    <t>RECOUV. PUBLICITE - USAGE BMW</t>
  </si>
  <si>
    <t>18A</t>
  </si>
  <si>
    <t>INT. FLOOR PLAN - NEUF BMW</t>
  </si>
  <si>
    <t>18L</t>
  </si>
  <si>
    <t>CREDIT INT FLOOR PLAN</t>
  </si>
  <si>
    <t>18C</t>
  </si>
  <si>
    <t>INT. FLOOR PLAN - USAGE BMW</t>
  </si>
  <si>
    <t>20A</t>
  </si>
  <si>
    <t>SAL. PROPRIETAIRE - NEUF BMW</t>
  </si>
  <si>
    <t>20C</t>
  </si>
  <si>
    <t>SAL. PROPRIETAIRE - USAGE BMW</t>
  </si>
  <si>
    <t>21A</t>
  </si>
  <si>
    <t>SAL. SUPERVISION - NEUF BMW</t>
  </si>
  <si>
    <t>21C</t>
  </si>
  <si>
    <t>SAL. SUPERVISION - USAGE BMW</t>
  </si>
  <si>
    <t>22A</t>
  </si>
  <si>
    <t>SAL. ADMIN. - NEUF BMW</t>
  </si>
  <si>
    <t>22C</t>
  </si>
  <si>
    <t>SAL. ADMIN. - USAGE BMW</t>
  </si>
  <si>
    <t>23A</t>
  </si>
  <si>
    <t>SAL. AUTRES - NEUF BMW</t>
  </si>
  <si>
    <t>23C</t>
  </si>
  <si>
    <t>SAL. AUTRES - USAGE BMW</t>
  </si>
  <si>
    <t>24A</t>
  </si>
  <si>
    <t>SAL. ABSENCE - NEUF BMW</t>
  </si>
  <si>
    <t>24C</t>
  </si>
  <si>
    <t>SAL. ABSENCE - USAGE BMW</t>
  </si>
  <si>
    <t>25A</t>
  </si>
  <si>
    <t>TAXES PAYE - NEUF BMW</t>
  </si>
  <si>
    <t>25C</t>
  </si>
  <si>
    <t>TAXES PAYE - USAGE BMW</t>
  </si>
  <si>
    <t>27A</t>
  </si>
  <si>
    <t>AVANT. SOCIAUX - NEUF BMW</t>
  </si>
  <si>
    <t>27C</t>
  </si>
  <si>
    <t>AVANT. SOCIAUX - USAGE BMW</t>
  </si>
  <si>
    <t>29A</t>
  </si>
  <si>
    <t>FONDS PENSIONS - NEUF BMW</t>
  </si>
  <si>
    <t>29C</t>
  </si>
  <si>
    <t>FONDS PENSIONS - USAGE BMW</t>
  </si>
  <si>
    <t>53A</t>
  </si>
  <si>
    <t>VEH. COMPAGNIE - NEUF BMW</t>
  </si>
  <si>
    <t>53C</t>
  </si>
  <si>
    <t>VEH. COMPAGNIE - USAGE BMW</t>
  </si>
  <si>
    <t>60A</t>
  </si>
  <si>
    <t>FOURNITURES BUREAU - NEUF BMW</t>
  </si>
  <si>
    <t>60C</t>
  </si>
  <si>
    <t>FOURNITURES BUREAU - USAGE BMW</t>
  </si>
  <si>
    <t>61A</t>
  </si>
  <si>
    <t>AUTRES FOURNITURES - NEUF BMW</t>
  </si>
  <si>
    <t>61C</t>
  </si>
  <si>
    <t>AUTRES FOURNITURES - USAGE BMW</t>
  </si>
  <si>
    <t>68A</t>
  </si>
  <si>
    <t>TRAV. GRACIEUX - NEUF BMW</t>
  </si>
  <si>
    <t>68C</t>
  </si>
  <si>
    <t>TRAV. GRACIEUX - USAGE BMW</t>
  </si>
  <si>
    <t>69A</t>
  </si>
  <si>
    <t>FRAIS INFORMATIQUE - NEUF BMW</t>
  </si>
  <si>
    <t>69C</t>
  </si>
  <si>
    <t>FRAIS INFORMATIQUE - USAGE BMW</t>
  </si>
  <si>
    <t>70A</t>
  </si>
  <si>
    <t>SERV. EXTERIEURS - NEUF BMW</t>
  </si>
  <si>
    <t>70C</t>
  </si>
  <si>
    <t>SERV. EXTERIEURS - USAGE BMW</t>
  </si>
  <si>
    <t>71A</t>
  </si>
  <si>
    <t>FRAIS REPRESENTATION - NEUF BMW</t>
  </si>
  <si>
    <t>71C</t>
  </si>
  <si>
    <t>FRAIS REPRESENTATION - USAGE BMW</t>
  </si>
  <si>
    <t>72A</t>
  </si>
  <si>
    <t>COTIS. &amp; ABONN. - NEUF BMW</t>
  </si>
  <si>
    <t>72C</t>
  </si>
  <si>
    <t>COTIS. &amp; ABONN. - USAGE BMW</t>
  </si>
  <si>
    <t>74A</t>
  </si>
  <si>
    <t>FRAIS LEGAUX &amp; CTB - NEUF BMW</t>
  </si>
  <si>
    <t>74C</t>
  </si>
  <si>
    <t>FRAIS LEGAUX &amp; CTB - USAGE BMW</t>
  </si>
  <si>
    <t>75A</t>
  </si>
  <si>
    <t>TELEPHONE - NEUF BMW</t>
  </si>
  <si>
    <t>75C</t>
  </si>
  <si>
    <t>TELEPHONE - USAGE BMW</t>
  </si>
  <si>
    <t>76A</t>
  </si>
  <si>
    <t>FORMATION - NEUF BMW</t>
  </si>
  <si>
    <t>76C</t>
  </si>
  <si>
    <t>FORMATION - USAGE BMW</t>
  </si>
  <si>
    <t>77A</t>
  </si>
  <si>
    <t>FRAIS DIVERS - NEUF BMW</t>
  </si>
  <si>
    <t>77C</t>
  </si>
  <si>
    <t>FRAIS DIVERS - USAGE BMW</t>
  </si>
  <si>
    <t>78A</t>
  </si>
  <si>
    <t>TRANSPORT - NEUF BMW</t>
  </si>
  <si>
    <t>78C</t>
  </si>
  <si>
    <t>TRANSPORT - USAGE BMW</t>
  </si>
  <si>
    <t>73A</t>
  </si>
  <si>
    <t>REMISE CARTE CREDIT - NEUF BMW</t>
  </si>
  <si>
    <t>73C</t>
  </si>
  <si>
    <t>REMISE CARTE CREDIT - USAGE BMW</t>
  </si>
  <si>
    <t>80A</t>
  </si>
  <si>
    <t>LOYER OU EQUIV. - NEUF BMW</t>
  </si>
  <si>
    <t>80C</t>
  </si>
  <si>
    <t>LOYER OU EQUIV. - USAGE BMW</t>
  </si>
  <si>
    <t>81A</t>
  </si>
  <si>
    <t>AMORT. AMEL. LOC. - NEUF BMW</t>
  </si>
  <si>
    <t>81C</t>
  </si>
  <si>
    <t>AMORT. AMEL. LOC. - USAGE BMW</t>
  </si>
  <si>
    <t>84A</t>
  </si>
  <si>
    <t>TAXES BATISSE - NEUF BMW</t>
  </si>
  <si>
    <t>84C</t>
  </si>
  <si>
    <t>TAXES BATISSE - USAGE BMW</t>
  </si>
  <si>
    <t>85A</t>
  </si>
  <si>
    <t>ASS. BATISSE - NEUF BMW</t>
  </si>
  <si>
    <t>85C</t>
  </si>
  <si>
    <t>ASS. BATISSE - USAGE BMW</t>
  </si>
  <si>
    <t>87A</t>
  </si>
  <si>
    <t>CHAUFF. ELECT. EAU - NEUF BMW</t>
  </si>
  <si>
    <t>87C</t>
  </si>
  <si>
    <t>CHAUFF. ELECT. EAU - USAGE BMW</t>
  </si>
  <si>
    <t>89A</t>
  </si>
  <si>
    <t>TAXES &amp; PERMIS - NEUF BMW</t>
  </si>
  <si>
    <t>89C</t>
  </si>
  <si>
    <t>TAXES &amp; PERMIS - USAGE BMW</t>
  </si>
  <si>
    <t>91A</t>
  </si>
  <si>
    <t>DEPREC. EQUIP. - NEUF BMW</t>
  </si>
  <si>
    <t>91C</t>
  </si>
  <si>
    <t>DEPREC. EQUIP. - USAGE BMW</t>
  </si>
  <si>
    <t>92A</t>
  </si>
  <si>
    <t>LOCATION EQUIP. - NEUF BMW</t>
  </si>
  <si>
    <t>92C</t>
  </si>
  <si>
    <t>LOCATION EQUIP. - USAGE BMW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</si>
  <si>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</si>
  <si>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</si>
  <si>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</si>
  <si>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</si>
  <si>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</si>
  <si>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</si>
  <si>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300A</t>
  </si>
  <si>
    <t>ECHANGE ENTRE CONCESSIONNAIRE</t>
  </si>
  <si>
    <t>300I</t>
  </si>
  <si>
    <t>PROTECTION BMW A/P</t>
  </si>
  <si>
    <t>301A</t>
  </si>
  <si>
    <t>FRAIS TPV A PAYER</t>
  </si>
  <si>
    <t>301B</t>
  </si>
  <si>
    <t>INTERET DE GROS A PAYER</t>
  </si>
  <si>
    <t>300L</t>
  </si>
  <si>
    <t>A/P INTERCO WHOLESALE &amp; ECHANGE</t>
  </si>
  <si>
    <t>300O</t>
  </si>
  <si>
    <t>A/P INTERCO FOURNISSEURS</t>
  </si>
  <si>
    <t>300N</t>
  </si>
  <si>
    <t>SAAQ A PAYER - INTERO COMPLEXE</t>
  </si>
  <si>
    <t>ENCAISSE</t>
  </si>
  <si>
    <t>202B</t>
  </si>
  <si>
    <t>PAIEMENTS FORFAITAIRES FLOOR PLAN</t>
  </si>
  <si>
    <t>202I</t>
  </si>
  <si>
    <t>RECEVABLE AVANCE COMPLEXE</t>
  </si>
  <si>
    <t>DEPOTS DE CLIENTS</t>
  </si>
  <si>
    <t>CONTRATS EN TRANSIT</t>
  </si>
  <si>
    <t>RECEVABLES VEHICULES</t>
  </si>
  <si>
    <t>210A</t>
  </si>
  <si>
    <t>WHOLESALE &amp; ECHANGE A/R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</si>
  <si>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</si>
  <si>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</si>
  <si>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</si>
  <si>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</si>
  <si>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</si>
  <si>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</si>
  <si>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220C</t>
  </si>
  <si>
    <t>RECEVABLE RECOURS COLLECTIF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</si>
  <si>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</si>
  <si>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</si>
  <si>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</si>
  <si>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</si>
  <si>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</si>
  <si>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</si>
  <si>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</si>
  <si>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222A</t>
  </si>
  <si>
    <t>RECLAMATION GARANTIE A/R BMW</t>
  </si>
  <si>
    <t>314L</t>
  </si>
  <si>
    <t>LIEN A PAYER</t>
  </si>
  <si>
    <t>230@</t>
  </si>
  <si>
    <t># DE VOITURES NEUVES BMW</t>
  </si>
  <si>
    <t>INV. VOITURES NEUVES BMW</t>
  </si>
  <si>
    <t>232@</t>
  </si>
  <si>
    <t># DE CAMIONS NEUFS BMW</t>
  </si>
  <si>
    <t>INV. CAMIONS NEUFS BMW</t>
  </si>
  <si>
    <t>234@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</si>
  <si>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</si>
  <si>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</si>
  <si>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</si>
  <si>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</si>
  <si>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</si>
  <si>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</si>
  <si>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</si>
  <si>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</si>
  <si>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</si>
  <si>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</si>
  <si>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</si>
  <si>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</si>
  <si>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</si>
  <si>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</si>
  <si>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</si>
  <si>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</si>
  <si>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</si>
  <si>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</si>
  <si>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</si>
  <si>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</si>
  <si>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</si>
  <si>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</si>
  <si>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</si>
  <si>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</si>
  <si>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324E</t>
  </si>
  <si>
    <t>TAXE DE LUXE</t>
  </si>
  <si>
    <t>324C</t>
  </si>
  <si>
    <t>TPS A PAYER</t>
  </si>
  <si>
    <t>324A</t>
  </si>
  <si>
    <t>TPS A RECEVOIR</t>
  </si>
  <si>
    <t>IMPOTS SUR LE REVENU</t>
  </si>
  <si>
    <t>BONUS EMPLOYES A/P</t>
  </si>
  <si>
    <t>240A@</t>
  </si>
  <si>
    <t># DE VOITURES USAGEES BMW</t>
  </si>
  <si>
    <t>NB INV + 30 JOURS USAGE BMW AUTO</t>
  </si>
  <si>
    <t>INV. VOITURES USAGEES BMW</t>
  </si>
  <si>
    <t>242A@</t>
  </si>
  <si>
    <t># DE CAMIONS USAGES BMW</t>
  </si>
  <si>
    <t>130D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</si>
  <si>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</si>
  <si>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</si>
  <si>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</si>
  <si>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</si>
  <si>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</si>
  <si>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</si>
  <si>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</si>
  <si>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</si>
  <si>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</si>
  <si>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</si>
  <si>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</si>
  <si>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</si>
  <si>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</si>
  <si>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</si>
  <si>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</si>
  <si>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</si>
  <si>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</si>
  <si>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</si>
  <si>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</si>
  <si>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331Z</t>
  </si>
  <si>
    <t>RESERVE AZOTE</t>
  </si>
  <si>
    <t>240C@</t>
  </si>
  <si>
    <t># DE VEHICULES USAGES AUTRES</t>
  </si>
  <si>
    <t>130F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</si>
  <si>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</si>
  <si>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</si>
  <si>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</si>
  <si>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</si>
  <si>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</si>
  <si>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</si>
  <si>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</si>
  <si>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</si>
  <si>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</si>
  <si>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</si>
  <si>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</si>
  <si>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</si>
  <si>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</si>
  <si>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</si>
  <si>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</si>
  <si>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</si>
  <si>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</si>
  <si>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</si>
  <si>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</si>
  <si>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275C</t>
  </si>
  <si>
    <t>FPA PUB USAGE</t>
  </si>
  <si>
    <t>275E</t>
  </si>
  <si>
    <t>FPA PUB FIXE</t>
  </si>
  <si>
    <t>276B</t>
  </si>
  <si>
    <t>FPA FORMATION</t>
  </si>
  <si>
    <t>279B</t>
  </si>
  <si>
    <t>FPA AUTRES</t>
  </si>
  <si>
    <t>276A</t>
  </si>
  <si>
    <t>FPA CCAQ</t>
  </si>
  <si>
    <t>TAXES A RECEVOIR</t>
  </si>
  <si>
    <t>279F</t>
  </si>
  <si>
    <t>CREDITS INTERETS FLOOR PLAN</t>
  </si>
  <si>
    <t>120A</t>
  </si>
  <si>
    <t>JANV. NB VENTE NEUF BMW AUTO</t>
  </si>
  <si>
    <t>126A</t>
  </si>
  <si>
    <t>JANV. NB VENTE NEUF BMW CAMION</t>
  </si>
  <si>
    <t>122A</t>
  </si>
  <si>
    <t>JANV. NB VENTE NEUF BMW I</t>
  </si>
  <si>
    <t>124A</t>
  </si>
  <si>
    <t>JANV. NB VENTE USAGE DETAIL</t>
  </si>
  <si>
    <t>127A</t>
  </si>
  <si>
    <t>JANV. NB VENTE USAGE GROS</t>
  </si>
  <si>
    <t>EQUIPEMENTS &amp; OUTILLAGES</t>
  </si>
  <si>
    <t>AMORT.CUM. EQUIP. &amp; OUTILLAGES</t>
  </si>
  <si>
    <t>EQUIPEMENTS PIECES &amp; ACCESSOIRES</t>
  </si>
  <si>
    <t>AMORT.CUM. EQUIP. PIECES &amp; ACCESS.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</si>
  <si>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</si>
  <si>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</si>
  <si>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</si>
  <si>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</si>
  <si>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</si>
  <si>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</si>
  <si>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</si>
  <si>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</si>
  <si>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</si>
  <si>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</si>
  <si>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</si>
  <si>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</si>
  <si>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</si>
  <si>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</si>
  <si>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</si>
  <si>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</si>
  <si>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</si>
  <si>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</si>
  <si>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</si>
  <si>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C/V - RECOND. AUTRES</t>
  </si>
  <si>
    <t>444C</t>
  </si>
  <si>
    <t>VTE - GROS AUTRES</t>
  </si>
  <si>
    <t>644C</t>
  </si>
  <si>
    <t>C/V - GROS AUTRES</t>
  </si>
  <si>
    <t>VTES -VTE - MARQUAGE USAGE AUTRE</t>
  </si>
  <si>
    <t>VTE - RIST FINANCE USAGE AUTRE</t>
  </si>
  <si>
    <t>C/V - MARQUAGE OTOPROTEC USAGE AUTRE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</si>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</sst>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8"/>
      <color rgb="FF0033CC"/>
      <name val="Arial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8" fillId="0" borderId="0" applyNumberFormat="0" applyFill="0" applyBorder="0" applyAlignment="0" applyProtection="0">
      <alignment vertical="top"/>
      <protection locked="0"/>
    </xf>
  </cellStyleXfs>
  <cellXfs count="1034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39" xfId="1" applyNumberFormat="1" applyFill="1" applyBorder="1" applyAlignment="1">
      <alignment horizontal="right" vertical="center"/>
    </xf>
    <xf numFmtId="3" fontId="1" fillId="0" borderId="39" xfId="1" applyNumberFormat="1" applyBorder="1" applyAlignment="1">
      <alignment horizontal="right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4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6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68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68" xfId="1" applyFill="1" applyBorder="1" applyAlignment="1">
      <alignment horizontal="center" vertical="center"/>
    </xf>
    <xf numFmtId="0" fontId="1" fillId="2" borderId="59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0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11" fillId="0" borderId="63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69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1" xfId="0" applyFont="1" applyFill="1" applyBorder="1" applyAlignment="1">
      <alignment horizontal="centerContinuous" vertical="center"/>
    </xf>
    <xf numFmtId="0" fontId="6" fillId="4" borderId="61" xfId="0" applyFont="1" applyFill="1" applyBorder="1" applyAlignment="1">
      <alignment horizontal="centerContinuous" vertical="center" wrapText="1"/>
    </xf>
    <xf numFmtId="0" fontId="7" fillId="4" borderId="61" xfId="0" applyFont="1" applyFill="1" applyBorder="1" applyAlignment="1">
      <alignment horizontal="centerContinuous" vertical="center"/>
    </xf>
    <xf numFmtId="1" fontId="34" fillId="4" borderId="62" xfId="0" applyNumberFormat="1" applyFont="1" applyFill="1" applyBorder="1" applyAlignment="1">
      <alignment horizontal="centerContinuous" vertical="center"/>
    </xf>
    <xf numFmtId="0" fontId="8" fillId="4" borderId="77" xfId="0" applyFont="1" applyFill="1" applyBorder="1" applyAlignment="1">
      <alignment horizontal="center" vertical="center"/>
    </xf>
    <xf numFmtId="1" fontId="8" fillId="4" borderId="77" xfId="0" applyNumberFormat="1" applyFont="1" applyFill="1" applyBorder="1" applyAlignment="1">
      <alignment horizontal="center" vertical="center"/>
    </xf>
    <xf numFmtId="1" fontId="8" fillId="4" borderId="78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9" fillId="0" borderId="13" xfId="0" applyFont="1" applyBorder="1" applyAlignment="1">
      <alignment horizontal="center" vertical="center" wrapText="1"/>
    </xf>
    <xf numFmtId="0" fontId="70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4" fillId="0" borderId="65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8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5" fillId="3" borderId="14" xfId="0" applyFont="1" applyFill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4" fillId="0" borderId="69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5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5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5" fillId="7" borderId="3" xfId="0" applyFont="1" applyFill="1" applyBorder="1" applyAlignment="1">
      <alignment vertical="center"/>
    </xf>
    <xf numFmtId="0" fontId="65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7" xfId="0" applyFill="1" applyBorder="1"/>
    <xf numFmtId="0" fontId="65" fillId="7" borderId="64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0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49" xfId="1" applyBorder="1"/>
    <xf numFmtId="0" fontId="1" fillId="0" borderId="50" xfId="1" applyBorder="1"/>
    <xf numFmtId="0" fontId="11" fillId="0" borderId="81" xfId="1" applyFont="1" applyBorder="1" applyAlignment="1">
      <alignment horizontal="right"/>
    </xf>
    <xf numFmtId="3" fontId="1" fillId="0" borderId="66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1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0" fillId="8" borderId="38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6" fillId="4" borderId="3" xfId="0" applyFont="1" applyFill="1" applyBorder="1" applyAlignment="1">
      <alignment vertical="center" textRotation="90" wrapText="1"/>
    </xf>
    <xf numFmtId="0" fontId="76" fillId="4" borderId="0" xfId="0" applyFont="1" applyFill="1" applyAlignment="1">
      <alignment vertical="center" textRotation="90" wrapText="1"/>
    </xf>
    <xf numFmtId="0" fontId="76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4" fillId="8" borderId="66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7" xfId="0" applyFont="1" applyFill="1" applyBorder="1" applyAlignment="1">
      <alignment horizontal="center" vertical="center"/>
    </xf>
    <xf numFmtId="0" fontId="0" fillId="2" borderId="87" xfId="0" applyFill="1" applyBorder="1"/>
    <xf numFmtId="0" fontId="0" fillId="2" borderId="8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0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7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0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6" xfId="0" applyBorder="1" applyAlignment="1">
      <alignment vertical="center"/>
    </xf>
    <xf numFmtId="0" fontId="74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79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8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8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8" fillId="0" borderId="3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4" xfId="0" applyNumberFormat="1" applyFont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" vertical="center" wrapText="1"/>
    </xf>
    <xf numFmtId="1" fontId="6" fillId="8" borderId="61" xfId="0" applyNumberFormat="1" applyFont="1" applyFill="1" applyBorder="1" applyAlignment="1">
      <alignment horizontal="centerContinuous" vertical="center" wrapText="1"/>
    </xf>
    <xf numFmtId="0" fontId="6" fillId="8" borderId="61" xfId="0" applyFont="1" applyFill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Continuous" vertical="center" wrapText="1"/>
    </xf>
    <xf numFmtId="0" fontId="7" fillId="8" borderId="61" xfId="0" applyFont="1" applyFill="1" applyBorder="1" applyAlignment="1">
      <alignment horizontal="centerContinuous" vertical="center"/>
    </xf>
    <xf numFmtId="1" fontId="34" fillId="8" borderId="62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4" xfId="0" applyNumberFormat="1" applyFont="1" applyBorder="1" applyAlignment="1">
      <alignment horizontal="center" vertical="center"/>
    </xf>
    <xf numFmtId="0" fontId="65" fillId="0" borderId="2" xfId="0" applyFont="1" applyBorder="1" applyAlignment="1">
      <alignment vertical="center"/>
    </xf>
    <xf numFmtId="0" fontId="65" fillId="0" borderId="1" xfId="0" applyFont="1" applyBorder="1" applyAlignment="1">
      <alignment vertical="center"/>
    </xf>
    <xf numFmtId="0" fontId="65" fillId="0" borderId="17" xfId="0" applyFont="1" applyBorder="1" applyAlignment="1">
      <alignment vertical="center"/>
    </xf>
    <xf numFmtId="0" fontId="66" fillId="0" borderId="20" xfId="0" applyFont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66" fillId="0" borderId="14" xfId="0" applyFont="1" applyBorder="1" applyAlignment="1">
      <alignment vertical="center" wrapText="1"/>
    </xf>
    <xf numFmtId="0" fontId="65" fillId="0" borderId="14" xfId="0" applyFont="1" applyBorder="1" applyAlignment="1">
      <alignment horizontal="left" vertical="center" wrapText="1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7" fillId="0" borderId="35" xfId="0" applyFont="1" applyBorder="1" applyAlignment="1">
      <alignment horizontal="left" vertical="center" wrapText="1"/>
    </xf>
    <xf numFmtId="0" fontId="65" fillId="0" borderId="12" xfId="0" applyFont="1" applyBorder="1" applyAlignment="1">
      <alignment vertical="center"/>
    </xf>
    <xf numFmtId="0" fontId="64" fillId="0" borderId="14" xfId="0" applyFont="1" applyBorder="1" applyAlignment="1">
      <alignment vertical="center"/>
    </xf>
    <xf numFmtId="0" fontId="64" fillId="0" borderId="12" xfId="0" applyFont="1" applyBorder="1" applyAlignment="1">
      <alignment vertical="center"/>
    </xf>
    <xf numFmtId="0" fontId="66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0" fillId="8" borderId="23" xfId="0" applyFont="1" applyFill="1" applyBorder="1" applyAlignment="1">
      <alignment horizontal="centerContinuous" vertical="center"/>
    </xf>
    <xf numFmtId="9" fontId="81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1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7" fillId="0" borderId="92" xfId="0" applyFont="1" applyBorder="1" applyAlignment="1">
      <alignment horizontal="centerContinuous" vertical="center"/>
    </xf>
    <xf numFmtId="0" fontId="8" fillId="0" borderId="92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68" fillId="0" borderId="15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6" borderId="16" xfId="0" quotePrefix="1" applyFont="1" applyFill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3" borderId="79" xfId="0" applyFont="1" applyFill="1" applyBorder="1" applyAlignment="1">
      <alignment horizontal="center" vertical="center"/>
    </xf>
    <xf numFmtId="0" fontId="9" fillId="3" borderId="93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5" fillId="6" borderId="15" xfId="0" quotePrefix="1" applyFont="1" applyFill="1" applyBorder="1" applyAlignment="1">
      <alignment horizontal="center" vertical="center" wrapText="1"/>
    </xf>
    <xf numFmtId="0" fontId="64" fillId="0" borderId="79" xfId="0" applyFont="1" applyBorder="1" applyAlignment="1">
      <alignment horizontal="center" vertical="center"/>
    </xf>
    <xf numFmtId="0" fontId="35" fillId="8" borderId="2" xfId="1" applyFont="1" applyFill="1" applyBorder="1" applyAlignment="1">
      <alignment horizontal="center" vertical="center"/>
    </xf>
    <xf numFmtId="0" fontId="35" fillId="8" borderId="0" xfId="1" applyFont="1" applyFill="1" applyAlignment="1">
      <alignment horizontal="center" vertical="center"/>
    </xf>
    <xf numFmtId="0" fontId="24" fillId="0" borderId="1" xfId="1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8" borderId="3" xfId="0" applyFont="1" applyFill="1" applyBorder="1" applyAlignment="1">
      <alignment vertical="center"/>
    </xf>
    <xf numFmtId="0" fontId="14" fillId="8" borderId="12" xfId="0" applyFont="1" applyFill="1" applyBorder="1" applyAlignment="1">
      <alignment vertical="center"/>
    </xf>
    <xf numFmtId="0" fontId="18" fillId="8" borderId="14" xfId="0" applyFont="1" applyFill="1" applyBorder="1" applyAlignment="1">
      <alignment vertical="center"/>
    </xf>
    <xf numFmtId="0" fontId="12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horizontal="centerContinuous" vertical="center"/>
    </xf>
    <xf numFmtId="0" fontId="9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vertical="center"/>
    </xf>
    <xf numFmtId="0" fontId="10" fillId="8" borderId="13" xfId="0" applyFont="1" applyFill="1" applyBorder="1" applyAlignment="1">
      <alignment horizontal="center" vertical="center"/>
    </xf>
    <xf numFmtId="0" fontId="0" fillId="8" borderId="13" xfId="0" applyFill="1" applyBorder="1" applyAlignment="1">
      <alignment vertical="center"/>
    </xf>
    <xf numFmtId="0" fontId="6" fillId="8" borderId="13" xfId="0" applyFont="1" applyFill="1" applyBorder="1" applyAlignment="1">
      <alignment vertical="center"/>
    </xf>
    <xf numFmtId="0" fontId="6" fillId="8" borderId="12" xfId="0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6" fillId="8" borderId="17" xfId="0" applyFont="1" applyFill="1" applyBorder="1" applyAlignment="1">
      <alignment vertical="center"/>
    </xf>
    <xf numFmtId="0" fontId="1" fillId="8" borderId="15" xfId="1" applyFill="1" applyBorder="1" applyAlignment="1">
      <alignment horizontal="center" vertical="center"/>
    </xf>
    <xf numFmtId="0" fontId="21" fillId="8" borderId="15" xfId="1" applyFont="1" applyFill="1" applyBorder="1" applyAlignment="1">
      <alignment horizontal="center" vertical="center"/>
    </xf>
    <xf numFmtId="0" fontId="21" fillId="8" borderId="16" xfId="1" applyFont="1" applyFill="1" applyBorder="1" applyAlignment="1">
      <alignment horizontal="center" vertical="center"/>
    </xf>
    <xf numFmtId="0" fontId="1" fillId="8" borderId="2" xfId="1" applyFill="1" applyBorder="1" applyAlignment="1">
      <alignment horizontal="center" vertical="center"/>
    </xf>
    <xf numFmtId="0" fontId="21" fillId="8" borderId="2" xfId="1" applyFont="1" applyFill="1" applyBorder="1" applyAlignment="1">
      <alignment horizontal="center" vertical="center"/>
    </xf>
    <xf numFmtId="0" fontId="21" fillId="8" borderId="0" xfId="1" applyFont="1" applyFill="1" applyAlignment="1">
      <alignment vertical="center"/>
    </xf>
    <xf numFmtId="0" fontId="21" fillId="8" borderId="20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8" borderId="14" xfId="0" applyFont="1" applyFill="1" applyBorder="1" applyAlignment="1">
      <alignment vertical="center"/>
    </xf>
    <xf numFmtId="0" fontId="9" fillId="8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6" xfId="1" applyNumberFormat="1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3" fontId="1" fillId="0" borderId="46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5" xfId="0" applyFont="1" applyFill="1" applyBorder="1" applyAlignment="1">
      <alignment horizontal="center" vertical="center" wrapText="1"/>
    </xf>
    <xf numFmtId="0" fontId="68" fillId="0" borderId="48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8" fillId="0" borderId="15" xfId="0" applyFont="1" applyBorder="1" applyAlignment="1">
      <alignment vertical="center" wrapText="1"/>
    </xf>
    <xf numFmtId="0" fontId="68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1" xfId="0" applyFont="1" applyFill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8" fillId="0" borderId="15" xfId="0" applyFont="1" applyBorder="1" applyAlignment="1">
      <alignment wrapText="1"/>
    </xf>
    <xf numFmtId="0" fontId="68" fillId="0" borderId="16" xfId="0" applyFont="1" applyBorder="1" applyAlignment="1">
      <alignment wrapText="1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3" xfId="0" applyFont="1" applyFill="1" applyBorder="1" applyAlignment="1">
      <alignment horizontal="center" vertical="center" wrapText="1"/>
    </xf>
    <xf numFmtId="0" fontId="6" fillId="4" borderId="60" xfId="0" applyFont="1" applyFill="1" applyBorder="1" applyAlignment="1">
      <alignment horizontal="center" vertical="center" wrapText="1"/>
    </xf>
    <xf numFmtId="0" fontId="28" fillId="4" borderId="89" xfId="0" applyFont="1" applyFill="1" applyBorder="1" applyAlignment="1">
      <alignment horizontal="center" vertical="center" wrapText="1"/>
    </xf>
    <xf numFmtId="0" fontId="28" fillId="4" borderId="90" xfId="0" applyFont="1" applyFill="1" applyBorder="1" applyAlignment="1">
      <alignment horizontal="center" vertical="center" wrapText="1"/>
    </xf>
    <xf numFmtId="0" fontId="8" fillId="4" borderId="75" xfId="0" applyFont="1" applyFill="1" applyBorder="1" applyAlignment="1">
      <alignment horizontal="center" vertical="center"/>
    </xf>
    <xf numFmtId="0" fontId="8" fillId="4" borderId="76" xfId="0" applyFont="1" applyFill="1" applyBorder="1" applyAlignment="1">
      <alignment horizontal="center" vertical="center"/>
    </xf>
    <xf numFmtId="0" fontId="83" fillId="0" borderId="35" xfId="0" applyFont="1" applyBorder="1" applyAlignment="1">
      <alignment vertical="center" wrapText="1"/>
    </xf>
    <xf numFmtId="0" fontId="83" fillId="0" borderId="31" xfId="0" applyFont="1" applyBorder="1" applyAlignment="1">
      <alignment vertical="center" wrapText="1"/>
    </xf>
    <xf numFmtId="0" fontId="74" fillId="8" borderId="79" xfId="0" applyFont="1" applyFill="1" applyBorder="1" applyAlignment="1">
      <alignment horizontal="center" vertical="center" wrapText="1"/>
    </xf>
    <xf numFmtId="0" fontId="74" fillId="8" borderId="80" xfId="0" applyFont="1" applyFill="1" applyBorder="1" applyAlignment="1">
      <alignment horizontal="center" vertical="center" wrapText="1"/>
    </xf>
    <xf numFmtId="0" fontId="74" fillId="8" borderId="14" xfId="0" applyFont="1" applyFill="1" applyBorder="1" applyAlignment="1">
      <alignment horizontal="center" vertical="center" wrapText="1"/>
    </xf>
    <xf numFmtId="0" fontId="74" fillId="8" borderId="16" xfId="0" applyFont="1" applyFill="1" applyBorder="1" applyAlignment="1">
      <alignment horizontal="center" vertical="center" wrapText="1"/>
    </xf>
    <xf numFmtId="0" fontId="74" fillId="8" borderId="15" xfId="0" applyFont="1" applyFill="1" applyBorder="1" applyAlignment="1">
      <alignment horizontal="center" vertical="center" wrapText="1"/>
    </xf>
    <xf numFmtId="0" fontId="74" fillId="8" borderId="67" xfId="0" applyFont="1" applyFill="1" applyBorder="1" applyAlignment="1">
      <alignment horizontal="center" vertical="center" wrapText="1"/>
    </xf>
    <xf numFmtId="0" fontId="74" fillId="8" borderId="21" xfId="0" applyFont="1" applyFill="1" applyBorder="1" applyAlignment="1">
      <alignment horizontal="center" vertical="center" wrapText="1"/>
    </xf>
    <xf numFmtId="0" fontId="74" fillId="8" borderId="11" xfId="0" applyFont="1" applyFill="1" applyBorder="1" applyAlignment="1">
      <alignment horizontal="center" vertical="center" wrapText="1"/>
    </xf>
    <xf numFmtId="0" fontId="83" fillId="0" borderId="14" xfId="0" applyFont="1" applyBorder="1" applyAlignment="1">
      <alignment horizontal="left" vertical="center" wrapText="1"/>
    </xf>
    <xf numFmtId="0" fontId="83" fillId="0" borderId="15" xfId="0" applyFont="1" applyBorder="1" applyAlignment="1">
      <alignment horizontal="left" vertical="center" wrapText="1"/>
    </xf>
    <xf numFmtId="0" fontId="33" fillId="8" borderId="82" xfId="0" applyFont="1" applyFill="1" applyBorder="1" applyAlignment="1">
      <alignment horizontal="center" vertical="center" wrapText="1"/>
    </xf>
    <xf numFmtId="0" fontId="0" fillId="8" borderId="83" xfId="0" applyFill="1" applyBorder="1" applyAlignment="1">
      <alignment vertical="center"/>
    </xf>
    <xf numFmtId="0" fontId="28" fillId="8" borderId="61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8" borderId="51" xfId="0" applyFont="1" applyFill="1" applyBorder="1" applyAlignment="1">
      <alignment horizontal="center" vertical="center" wrapText="1"/>
    </xf>
    <xf numFmtId="0" fontId="0" fillId="8" borderId="52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1" xfId="0" applyFont="1" applyFill="1" applyBorder="1" applyAlignment="1">
      <alignment horizontal="center" vertical="center" wrapText="1"/>
    </xf>
    <xf numFmtId="0" fontId="59" fillId="8" borderId="52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6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94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94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3" fillId="3" borderId="14" xfId="0" applyFont="1" applyFill="1" applyBorder="1" applyAlignment="1">
      <alignment vertical="center" wrapText="1"/>
    </xf>
    <xf numFmtId="0" fontId="0" fillId="0" borderId="94" xfId="0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3" fontId="1" fillId="0" borderId="15" xfId="1" applyNumberFormat="1" applyBorder="1" applyAlignment="1">
      <alignment horizontal="right" vertical="center"/>
    </xf>
    <xf numFmtId="0" fontId="73" fillId="0" borderId="1" xfId="1" applyFont="1" applyBorder="1" applyAlignment="1">
      <alignment horizontal="left" vertical="center"/>
    </xf>
    <xf numFmtId="0" fontId="73" fillId="0" borderId="2" xfId="1" applyFont="1" applyBorder="1" applyAlignment="1">
      <alignment horizontal="left" vertical="center"/>
    </xf>
    <xf numFmtId="0" fontId="73" fillId="0" borderId="20" xfId="1" applyFont="1" applyBorder="1" applyAlignment="1">
      <alignment horizontal="left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73" fillId="0" borderId="14" xfId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/>
    </xf>
    <xf numFmtId="0" fontId="73" fillId="0" borderId="94" xfId="1" applyFont="1" applyBorder="1" applyAlignment="1">
      <alignment horizontal="center" vertical="center"/>
    </xf>
    <xf numFmtId="0" fontId="73" fillId="0" borderId="16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0" fontId="24" fillId="0" borderId="14" xfId="1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3" fillId="0" borderId="14" xfId="1" applyFont="1" applyBorder="1" applyAlignment="1">
      <alignment horizontal="left" vertical="center"/>
    </xf>
    <xf numFmtId="0" fontId="73" fillId="0" borderId="15" xfId="1" applyFont="1" applyBorder="1" applyAlignment="1">
      <alignment horizontal="left" vertical="center"/>
    </xf>
    <xf numFmtId="0" fontId="73" fillId="0" borderId="94" xfId="1" applyFont="1" applyBorder="1" applyAlignment="1">
      <alignment horizontal="left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8" fillId="0" borderId="14" xfId="4" applyFill="1" applyBorder="1" applyAlignment="1" applyProtection="1">
      <alignment horizontal="left" vertical="center"/>
    </xf>
    <xf numFmtId="0" fontId="78" fillId="0" borderId="15" xfId="4" applyFill="1" applyBorder="1" applyAlignment="1" applyProtection="1">
      <alignment horizontal="left" vertical="center"/>
    </xf>
    <xf numFmtId="0" fontId="78" fillId="0" borderId="94" xfId="4" applyFill="1" applyBorder="1" applyAlignment="1" applyProtection="1">
      <alignment horizontal="left" vertical="center"/>
    </xf>
    <xf numFmtId="0" fontId="76" fillId="4" borderId="21" xfId="0" applyFont="1" applyFill="1" applyBorder="1" applyAlignment="1">
      <alignment horizontal="center" vertical="center" textRotation="90" wrapText="1"/>
    </xf>
    <xf numFmtId="0" fontId="76" fillId="4" borderId="22" xfId="0" applyFont="1" applyFill="1" applyBorder="1" applyAlignment="1">
      <alignment horizontal="center" vertical="center" textRotation="90" wrapText="1"/>
    </xf>
    <xf numFmtId="0" fontId="78" fillId="0" borderId="14" xfId="4" applyFill="1" applyBorder="1" applyAlignment="1" applyProtection="1">
      <alignment horizontal="center" vertical="center"/>
    </xf>
    <xf numFmtId="0" fontId="78" fillId="0" borderId="15" xfId="4" applyFill="1" applyBorder="1" applyAlignment="1" applyProtection="1">
      <alignment horizontal="center" vertical="center"/>
    </xf>
    <xf numFmtId="0" fontId="78" fillId="0" borderId="94" xfId="4" applyFill="1" applyBorder="1" applyAlignment="1" applyProtection="1">
      <alignment horizontal="center" vertical="center"/>
    </xf>
    <xf numFmtId="0" fontId="78" fillId="0" borderId="12" xfId="4" applyFill="1" applyBorder="1" applyAlignment="1" applyProtection="1">
      <alignment horizontal="center" vertical="center"/>
    </xf>
    <xf numFmtId="0" fontId="78" fillId="0" borderId="13" xfId="4" applyFill="1" applyBorder="1" applyAlignment="1" applyProtection="1">
      <alignment horizontal="center" vertical="center"/>
    </xf>
    <xf numFmtId="0" fontId="78" fillId="0" borderId="18" xfId="4" applyFill="1" applyBorder="1" applyAlignment="1" applyProtection="1">
      <alignment horizontal="center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5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165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0" fontId="43" fillId="8" borderId="0" xfId="1" applyFont="1" applyFill="1"/>
    <xf numFmtId="0" fontId="1" fillId="8" borderId="0" xfId="1" applyFill="1"/>
    <xf numFmtId="4" fontId="1" fillId="0" borderId="40" xfId="1" applyNumberFormat="1" applyBorder="1" applyAlignment="1">
      <alignment horizontal="right" vertical="center"/>
    </xf>
    <xf numFmtId="4" fontId="1" fillId="0" borderId="55" xfId="1" applyNumberFormat="1" applyBorder="1" applyAlignment="1">
      <alignment horizontal="right" vertical="center"/>
    </xf>
    <xf numFmtId="4" fontId="1" fillId="0" borderId="58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0" fontId="33" fillId="8" borderId="53" xfId="1" applyFont="1" applyFill="1" applyBorder="1" applyAlignment="1">
      <alignment horizontal="center" vertical="center" wrapText="1"/>
    </xf>
    <xf numFmtId="0" fontId="33" fillId="8" borderId="41" xfId="1" applyFont="1" applyFill="1" applyBorder="1" applyAlignment="1">
      <alignment horizontal="center" vertical="center" wrapText="1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0" xfId="1" applyNumberFormat="1" applyBorder="1" applyAlignment="1">
      <alignment horizontal="right" vertical="center"/>
    </xf>
    <xf numFmtId="0" fontId="54" fillId="0" borderId="55" xfId="0" applyFont="1" applyBorder="1" applyAlignment="1">
      <alignment horizontal="right" vertical="center"/>
    </xf>
    <xf numFmtId="4" fontId="1" fillId="0" borderId="11" xfId="1" applyNumberFormat="1" applyBorder="1" applyAlignment="1">
      <alignment horizontal="right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54" fillId="0" borderId="16" xfId="0" applyFont="1" applyBorder="1" applyAlignment="1">
      <alignment horizontal="right" vertical="center"/>
    </xf>
    <xf numFmtId="3" fontId="1" fillId="0" borderId="1" xfId="1" applyNumberFormat="1" applyBorder="1" applyAlignment="1">
      <alignment horizontal="right" vertical="center"/>
    </xf>
    <xf numFmtId="0" fontId="54" fillId="0" borderId="20" xfId="0" applyFont="1" applyBorder="1" applyAlignment="1">
      <alignment horizontal="right" vertical="center"/>
    </xf>
    <xf numFmtId="0" fontId="8" fillId="8" borderId="54" xfId="1" applyFont="1" applyFill="1" applyBorder="1" applyAlignment="1">
      <alignment horizontal="center" vertical="center"/>
    </xf>
    <xf numFmtId="0" fontId="1" fillId="8" borderId="57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6" xfId="1" applyFont="1" applyFill="1" applyBorder="1" applyAlignment="1">
      <alignment horizontal="center" vertical="center" wrapText="1"/>
    </xf>
    <xf numFmtId="0" fontId="8" fillId="8" borderId="26" xfId="1" applyFont="1" applyFill="1" applyBorder="1" applyAlignment="1">
      <alignment horizontal="center" vertical="center"/>
    </xf>
    <xf numFmtId="0" fontId="8" fillId="8" borderId="56" xfId="1" applyFont="1" applyFill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3" fontId="1" fillId="0" borderId="95" xfId="1" applyNumberFormat="1" applyBorder="1" applyAlignment="1">
      <alignment horizontal="right" vertical="center"/>
    </xf>
    <xf numFmtId="3" fontId="1" fillId="0" borderId="96" xfId="1" applyNumberFormat="1" applyBorder="1" applyAlignment="1">
      <alignment horizontal="right" vertical="center"/>
    </xf>
    <xf numFmtId="3" fontId="1" fillId="0" borderId="55" xfId="1" applyNumberFormat="1" applyBorder="1" applyAlignment="1">
      <alignment horizontal="right" vertical="center"/>
    </xf>
    <xf numFmtId="3" fontId="1" fillId="0" borderId="58" xfId="1" applyNumberFormat="1" applyBorder="1" applyAlignment="1">
      <alignment horizontal="right" vertical="center"/>
    </xf>
    <xf numFmtId="0" fontId="8" fillId="8" borderId="14" xfId="1" applyFont="1" applyFill="1" applyBorder="1" applyAlignment="1">
      <alignment horizontal="center" vertical="center"/>
    </xf>
    <xf numFmtId="0" fontId="8" fillId="8" borderId="15" xfId="1" applyFont="1" applyFill="1" applyBorder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6" xfId="1" applyNumberFormat="1" applyFont="1" applyFill="1" applyBorder="1" applyAlignment="1">
      <alignment horizontal="center" vertical="center"/>
    </xf>
    <xf numFmtId="0" fontId="62" fillId="8" borderId="26" xfId="0" applyFont="1" applyFill="1" applyBorder="1" applyAlignment="1">
      <alignment horizontal="center" vertical="center"/>
    </xf>
    <xf numFmtId="0" fontId="62" fillId="8" borderId="56" xfId="0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6" xfId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8" xfId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94" xfId="0" applyFont="1" applyBorder="1" applyAlignment="1">
      <alignment horizontal="center" vertical="center"/>
    </xf>
    <xf numFmtId="4" fontId="1" fillId="0" borderId="12" xfId="1" applyNumberFormat="1" applyBorder="1" applyAlignment="1">
      <alignment horizontal="right" vertical="center"/>
    </xf>
    <xf numFmtId="4" fontId="1" fillId="0" borderId="13" xfId="1" applyNumberFormat="1" applyBorder="1" applyAlignment="1">
      <alignment horizontal="right" vertical="center"/>
    </xf>
    <xf numFmtId="4" fontId="1" fillId="0" borderId="18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0" fontId="85" fillId="0" borderId="0" xfId="0" applyFont="1" applyAlignment="1">
      <alignment horizontal="righ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A52" zoomScale="110" zoomScaleNormal="110" zoomScaleSheetLayoutView="75" workbookViewId="0">
      <selection activeCell="F6" sqref="F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15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928</v>
      </c>
      <c r="C1" s="1"/>
      <c r="D1" s="2"/>
      <c r="E1" s="2"/>
      <c r="F1" s="2"/>
      <c r="G1" s="2"/>
      <c r="H1" s="2"/>
      <c r="I1" s="2"/>
      <c r="J1" s="3"/>
      <c r="K1" s="3"/>
      <c r="L1" s="204" t="s">
        <v>930</v>
      </c>
      <c r="M1" s="2"/>
      <c r="N1" s="2"/>
      <c r="O1" s="3"/>
      <c r="P1" s="3"/>
      <c r="Q1" s="140">
        <f>VLOOKUP(0,'FS Data'!$A:$J,7,FALSE)</f>
        <v>45658</v>
      </c>
      <c r="R1" s="4"/>
      <c r="S1" s="4"/>
      <c r="T1" s="3"/>
      <c r="U1" s="206" t="s">
        <v>931</v>
      </c>
      <c r="V1" s="139">
        <f>VLOOKUP(0,'FS Data'!$A:$J,8,FALSE)</f>
        <v>45658</v>
      </c>
      <c r="W1" s="770" t="s">
        <v>29</v>
      </c>
      <c r="X1" s="771"/>
    </row>
    <row r="2" spans="2:38" ht="18.75" customHeight="1" x14ac:dyDescent="0.25">
      <c r="B2" s="6" t="s">
        <v>929</v>
      </c>
      <c r="C2" s="6"/>
      <c r="D2" s="7"/>
      <c r="E2" s="7"/>
      <c r="F2" s="7"/>
      <c r="G2" s="7"/>
      <c r="H2" s="7"/>
      <c r="I2" s="7"/>
      <c r="J2" s="8"/>
      <c r="K2" s="205" t="s">
        <v>933</v>
      </c>
      <c r="L2" s="205"/>
      <c r="M2" s="7"/>
      <c r="N2" s="187">
        <f>VLOOKUP(0,'FS Data'!$A:$J,10,FALSE)</f>
        <v>9091</v>
      </c>
      <c r="O2" s="8"/>
      <c r="P2" s="8"/>
      <c r="S2" s="205" t="s">
        <v>932</v>
      </c>
      <c r="T2" s="8"/>
      <c r="V2" s="207" t="str">
        <f>VLOOKUP(0,'FS Data'!$A:$J,2,FALSE)</f>
        <v>BMW SHERBROOKE</v>
      </c>
      <c r="W2" s="8"/>
      <c r="X2" s="9"/>
    </row>
    <row r="3" spans="2:38" ht="27.75" customHeight="1" x14ac:dyDescent="0.25">
      <c r="B3" s="480" t="s">
        <v>934</v>
      </c>
      <c r="C3" s="481"/>
      <c r="D3" s="482"/>
      <c r="E3" s="482"/>
      <c r="F3" s="482"/>
      <c r="G3" s="482"/>
      <c r="H3" s="482"/>
      <c r="I3" s="483"/>
      <c r="J3" s="449" t="s">
        <v>385</v>
      </c>
      <c r="K3" s="484" t="s">
        <v>935</v>
      </c>
      <c r="L3" s="449" t="s">
        <v>937</v>
      </c>
      <c r="M3" s="485" t="s">
        <v>936</v>
      </c>
      <c r="N3" s="482"/>
      <c r="O3" s="482"/>
      <c r="P3" s="482"/>
      <c r="Q3" s="482"/>
      <c r="R3" s="482"/>
      <c r="S3" s="482"/>
      <c r="T3" s="482"/>
      <c r="U3" s="483"/>
      <c r="V3" s="449" t="s">
        <v>385</v>
      </c>
      <c r="W3" s="484" t="s">
        <v>935</v>
      </c>
      <c r="X3" s="486" t="s">
        <v>937</v>
      </c>
      <c r="Z3" s="215" t="s">
        <v>32</v>
      </c>
    </row>
    <row r="4" spans="2:38" ht="18.75" customHeight="1" x14ac:dyDescent="0.25">
      <c r="B4" s="749" t="s">
        <v>312</v>
      </c>
      <c r="C4" s="487"/>
      <c r="D4" s="488"/>
      <c r="E4" s="488"/>
      <c r="F4" s="488"/>
      <c r="G4" s="488"/>
      <c r="H4" s="488"/>
      <c r="I4" s="488"/>
      <c r="J4" s="489"/>
      <c r="K4" s="489"/>
      <c r="L4" s="10">
        <v>1</v>
      </c>
      <c r="M4" s="759" t="s">
        <v>387</v>
      </c>
      <c r="N4" s="490"/>
      <c r="O4" s="490"/>
      <c r="P4" s="490"/>
      <c r="Q4" s="490"/>
      <c r="R4" s="490"/>
      <c r="S4" s="491"/>
      <c r="T4" s="492"/>
      <c r="U4" s="493"/>
      <c r="V4" s="489"/>
      <c r="W4" s="489"/>
      <c r="X4" s="10">
        <v>1</v>
      </c>
    </row>
    <row r="5" spans="2:38" ht="18.75" customHeight="1" x14ac:dyDescent="0.25">
      <c r="B5" s="350" t="s">
        <v>313</v>
      </c>
      <c r="C5" s="11"/>
      <c r="D5" s="11"/>
      <c r="E5" s="11"/>
      <c r="F5" s="11"/>
      <c r="G5" s="11"/>
      <c r="H5" s="11"/>
      <c r="I5" s="11"/>
      <c r="J5" s="12"/>
      <c r="K5" s="736" t="s">
        <v>388</v>
      </c>
      <c r="L5" s="13">
        <v>2</v>
      </c>
      <c r="M5" s="350" t="s">
        <v>394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51" t="s">
        <v>314</v>
      </c>
      <c r="C6" s="18"/>
      <c r="D6" s="19"/>
      <c r="E6" s="19"/>
      <c r="F6" s="19"/>
      <c r="G6" s="19"/>
      <c r="H6" s="19"/>
      <c r="I6" s="19"/>
      <c r="J6" s="10" t="s">
        <v>33</v>
      </c>
      <c r="K6" s="20">
        <f>VLOOKUP(AC6,'FS Data'!$A:$B,2,FALSE)</f>
        <v>700</v>
      </c>
      <c r="L6" s="13">
        <v>3</v>
      </c>
      <c r="M6" s="354" t="s">
        <v>395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-71074</v>
      </c>
      <c r="X6" s="13">
        <v>3</v>
      </c>
      <c r="AC6" s="215">
        <v>100308</v>
      </c>
      <c r="AL6" s="215">
        <v>100318</v>
      </c>
    </row>
    <row r="7" spans="2:38" ht="18.75" customHeight="1" x14ac:dyDescent="0.25">
      <c r="B7" s="351" t="s">
        <v>315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1500272</v>
      </c>
      <c r="L7" s="13">
        <v>4</v>
      </c>
      <c r="M7" s="354" t="s">
        <v>396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78854</v>
      </c>
      <c r="X7" s="13">
        <v>4</v>
      </c>
      <c r="AC7" s="215">
        <v>100408</v>
      </c>
      <c r="AL7" s="215">
        <v>100418</v>
      </c>
    </row>
    <row r="8" spans="2:38" ht="18.75" customHeight="1" x14ac:dyDescent="0.25">
      <c r="B8" s="351" t="s">
        <v>316</v>
      </c>
      <c r="C8" s="34"/>
      <c r="D8" s="25"/>
      <c r="E8" s="25"/>
      <c r="F8" s="25"/>
      <c r="G8" s="25"/>
      <c r="H8" s="25"/>
      <c r="I8" s="150"/>
      <c r="J8" s="151">
        <v>205</v>
      </c>
      <c r="K8" s="146">
        <f>VLOOKUP(AC8,'FS Data'!$A:$B,2,FALSE)</f>
        <v>322735</v>
      </c>
      <c r="L8" s="13">
        <v>5</v>
      </c>
      <c r="M8" s="354" t="s">
        <v>397</v>
      </c>
      <c r="N8" s="141"/>
      <c r="O8" s="152"/>
      <c r="P8" s="152"/>
      <c r="Q8" s="152"/>
      <c r="R8" s="152"/>
      <c r="S8" s="152"/>
      <c r="T8" s="152"/>
      <c r="U8" s="152"/>
      <c r="V8" s="60">
        <v>305</v>
      </c>
      <c r="W8" s="146">
        <f>VLOOKUP(AL8,'FS Data'!$A:$B,2,FALSE)</f>
        <v>0</v>
      </c>
      <c r="X8" s="13">
        <v>5</v>
      </c>
      <c r="AC8" s="215">
        <v>100508</v>
      </c>
      <c r="AL8" s="215">
        <v>100518</v>
      </c>
    </row>
    <row r="9" spans="2:38" s="25" customFormat="1" ht="21.6" customHeight="1" x14ac:dyDescent="0.25">
      <c r="B9" s="352" t="s">
        <v>317</v>
      </c>
      <c r="C9" s="241"/>
      <c r="D9" s="15"/>
      <c r="E9" s="15"/>
      <c r="F9" s="15"/>
      <c r="G9" s="15"/>
      <c r="H9" s="15"/>
      <c r="I9" s="53"/>
      <c r="J9" s="16"/>
      <c r="K9" s="114">
        <f>VLOOKUP(AC9,'FS Data'!$A:$B,2,FALSE)</f>
        <v>1823707</v>
      </c>
      <c r="L9" s="13">
        <v>6</v>
      </c>
      <c r="M9" s="625" t="s">
        <v>398</v>
      </c>
      <c r="N9" s="501"/>
      <c r="O9" s="28"/>
      <c r="P9" s="28"/>
      <c r="Q9" s="28"/>
      <c r="R9" s="28"/>
      <c r="S9" s="28"/>
      <c r="T9" s="28"/>
      <c r="U9" s="28"/>
      <c r="V9" s="30"/>
      <c r="W9" s="114">
        <f>VLOOKUP(AL9,'FS Data'!$A:$B,2,FALSE)</f>
        <v>7780</v>
      </c>
      <c r="X9" s="13">
        <v>6</v>
      </c>
      <c r="Y9" s="216"/>
      <c r="Z9" s="216"/>
      <c r="AA9" s="216"/>
      <c r="AB9" s="216"/>
      <c r="AC9" s="215">
        <v>100608</v>
      </c>
      <c r="AD9" s="216"/>
      <c r="AE9" s="216"/>
      <c r="AF9" s="216"/>
      <c r="AG9" s="216"/>
      <c r="AH9" s="216"/>
      <c r="AI9" s="215"/>
      <c r="AL9" s="215">
        <v>100618</v>
      </c>
    </row>
    <row r="10" spans="2:38" s="25" customFormat="1" ht="18.75" customHeight="1" x14ac:dyDescent="0.25">
      <c r="B10" s="350" t="s">
        <v>318</v>
      </c>
      <c r="C10" s="24"/>
      <c r="D10" s="158"/>
      <c r="E10" s="158"/>
      <c r="F10" s="158"/>
      <c r="G10" s="158" t="s">
        <v>32</v>
      </c>
      <c r="H10" s="158" t="s">
        <v>32</v>
      </c>
      <c r="I10" s="316" t="s">
        <v>389</v>
      </c>
      <c r="J10" s="10"/>
      <c r="K10" s="20" t="s">
        <v>32</v>
      </c>
      <c r="L10" s="13">
        <v>7</v>
      </c>
      <c r="M10" s="750"/>
      <c r="N10" s="495"/>
      <c r="O10" s="495"/>
      <c r="P10" s="495"/>
      <c r="Q10" s="495"/>
      <c r="R10" s="495"/>
      <c r="S10" s="495"/>
      <c r="T10" s="495"/>
      <c r="U10" s="495"/>
      <c r="V10" s="496"/>
      <c r="W10" s="497"/>
      <c r="X10" s="13">
        <v>7</v>
      </c>
      <c r="Y10" s="216"/>
      <c r="Z10" s="216"/>
      <c r="AA10" s="216"/>
      <c r="AB10" s="216"/>
      <c r="AC10" s="215">
        <v>100708</v>
      </c>
      <c r="AD10" s="216"/>
      <c r="AE10" s="216"/>
      <c r="AF10" s="216"/>
      <c r="AG10" s="216"/>
      <c r="AH10" s="216"/>
      <c r="AI10" s="215"/>
      <c r="AL10" s="215">
        <v>100718</v>
      </c>
    </row>
    <row r="11" spans="2:38" s="25" customFormat="1" ht="18.75" customHeight="1" x14ac:dyDescent="0.25">
      <c r="B11" s="351" t="s">
        <v>319</v>
      </c>
      <c r="C11" s="18"/>
      <c r="D11" s="21"/>
      <c r="E11" s="21"/>
      <c r="F11" s="21"/>
      <c r="G11" s="21"/>
      <c r="H11" s="21"/>
      <c r="I11" s="27">
        <f>VLOOKUP(AA11,'FS Data'!$A:$B,2,FALSE)</f>
        <v>2734</v>
      </c>
      <c r="J11" s="10">
        <v>210</v>
      </c>
      <c r="K11" s="20">
        <f>VLOOKUP(AC11,'FS Data'!$A:$B,2,FALSE)</f>
        <v>6852</v>
      </c>
      <c r="L11" s="13">
        <v>8</v>
      </c>
      <c r="M11" s="626" t="s">
        <v>399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16"/>
      <c r="Z11" s="216"/>
      <c r="AA11" s="216">
        <v>100806</v>
      </c>
      <c r="AB11" s="216"/>
      <c r="AC11" s="215">
        <v>100808</v>
      </c>
      <c r="AD11" s="216"/>
      <c r="AE11" s="216"/>
      <c r="AF11" s="216"/>
      <c r="AG11" s="216"/>
      <c r="AH11" s="216"/>
      <c r="AI11" s="215"/>
      <c r="AL11" s="215">
        <v>100818</v>
      </c>
    </row>
    <row r="12" spans="2:38" s="25" customFormat="1" ht="18.75" customHeight="1" x14ac:dyDescent="0.25">
      <c r="B12" s="351" t="s">
        <v>320</v>
      </c>
      <c r="C12" s="32"/>
      <c r="D12" s="21"/>
      <c r="E12" s="21"/>
      <c r="F12" s="21"/>
      <c r="G12" s="21"/>
      <c r="H12" s="21"/>
      <c r="I12" s="27">
        <f>VLOOKUP(AA12,'FS Data'!$A:$B,2,FALSE)</f>
        <v>44442</v>
      </c>
      <c r="J12" s="10">
        <v>220</v>
      </c>
      <c r="K12" s="20">
        <f>VLOOKUP(AC12,'FS Data'!$A:$B,2,FALSE)</f>
        <v>51421</v>
      </c>
      <c r="L12" s="13">
        <v>9</v>
      </c>
      <c r="M12" s="354" t="s">
        <v>400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6074166</v>
      </c>
      <c r="X12" s="13">
        <v>9</v>
      </c>
      <c r="Y12" s="216"/>
      <c r="Z12" s="216"/>
      <c r="AA12" s="216">
        <v>100906</v>
      </c>
      <c r="AB12" s="216"/>
      <c r="AC12" s="215">
        <v>100908</v>
      </c>
      <c r="AD12" s="216"/>
      <c r="AE12" s="216"/>
      <c r="AF12" s="216"/>
      <c r="AG12" s="216"/>
      <c r="AH12" s="216"/>
      <c r="AI12" s="215"/>
      <c r="AL12" s="215">
        <v>100918</v>
      </c>
    </row>
    <row r="13" spans="2:38" s="25" customFormat="1" ht="18.75" customHeight="1" x14ac:dyDescent="0.25">
      <c r="B13" s="351" t="s">
        <v>321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31899</v>
      </c>
      <c r="L13" s="13">
        <v>10</v>
      </c>
      <c r="M13" s="354" t="s">
        <v>401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1084204</v>
      </c>
      <c r="X13" s="13">
        <v>10</v>
      </c>
      <c r="Y13" s="216"/>
      <c r="Z13" s="216"/>
      <c r="AA13" s="216">
        <v>101006</v>
      </c>
      <c r="AB13" s="216"/>
      <c r="AC13" s="215">
        <v>101008</v>
      </c>
      <c r="AD13" s="216"/>
      <c r="AE13" s="216"/>
      <c r="AF13" s="216"/>
      <c r="AG13" s="216"/>
      <c r="AH13" s="216"/>
      <c r="AI13" s="215"/>
      <c r="AL13" s="215">
        <v>101018</v>
      </c>
    </row>
    <row r="14" spans="2:38" s="25" customFormat="1" ht="18.75" customHeight="1" x14ac:dyDescent="0.25">
      <c r="B14" s="351" t="s">
        <v>322</v>
      </c>
      <c r="C14" s="18"/>
      <c r="D14" s="21"/>
      <c r="E14" s="21"/>
      <c r="F14" s="21"/>
      <c r="G14" s="21"/>
      <c r="H14" s="21"/>
      <c r="I14" s="21"/>
      <c r="J14" s="10" t="s">
        <v>35</v>
      </c>
      <c r="K14" s="20">
        <f>VLOOKUP(AC14,'FS Data'!$A:$B,2,FALSE)</f>
        <v>55356</v>
      </c>
      <c r="L14" s="13">
        <v>11</v>
      </c>
      <c r="M14" s="354" t="s">
        <v>362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16"/>
      <c r="Z14" s="216"/>
      <c r="AA14" s="216">
        <v>101106</v>
      </c>
      <c r="AB14" s="216"/>
      <c r="AC14" s="215">
        <v>101108</v>
      </c>
      <c r="AD14" s="216"/>
      <c r="AE14" s="216"/>
      <c r="AF14" s="216"/>
      <c r="AG14" s="216"/>
      <c r="AH14" s="216"/>
      <c r="AI14" s="215"/>
      <c r="AL14" s="215">
        <v>101118</v>
      </c>
    </row>
    <row r="15" spans="2:38" s="25" customFormat="1" ht="18.75" customHeight="1" x14ac:dyDescent="0.25">
      <c r="B15" s="353" t="s">
        <v>323</v>
      </c>
      <c r="C15" s="34"/>
      <c r="D15" s="34"/>
      <c r="E15" s="34"/>
      <c r="F15" s="34"/>
      <c r="G15" s="34"/>
      <c r="H15" s="34"/>
      <c r="I15" s="34"/>
      <c r="J15" s="209" t="s">
        <v>154</v>
      </c>
      <c r="K15" s="20">
        <f>VLOOKUP(AC15,'FS Data'!$A:$B,2,FALSE)</f>
        <v>24296</v>
      </c>
      <c r="L15" s="13">
        <v>12</v>
      </c>
      <c r="M15" s="354" t="s">
        <v>402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16"/>
      <c r="Z15" s="216"/>
      <c r="AA15" s="216">
        <v>101206</v>
      </c>
      <c r="AB15" s="216"/>
      <c r="AC15" s="215">
        <v>101208</v>
      </c>
      <c r="AD15" s="216"/>
      <c r="AE15" s="216"/>
      <c r="AF15" s="216"/>
      <c r="AG15" s="216"/>
      <c r="AH15" s="216"/>
      <c r="AI15" s="215"/>
      <c r="AL15" s="215">
        <v>101218</v>
      </c>
    </row>
    <row r="16" spans="2:38" s="25" customFormat="1" ht="18.75" customHeight="1" x14ac:dyDescent="0.25">
      <c r="B16" s="354" t="s">
        <v>324</v>
      </c>
      <c r="C16" s="141"/>
      <c r="D16" s="152"/>
      <c r="E16" s="152"/>
      <c r="F16" s="152"/>
      <c r="G16" s="152"/>
      <c r="H16" s="152"/>
      <c r="I16" s="152"/>
      <c r="J16" s="60">
        <v>340</v>
      </c>
      <c r="K16" s="162">
        <f>VLOOKUP(AC16,'FS Data'!$A:$B,2,FALSE)</f>
        <v>0</v>
      </c>
      <c r="L16" s="13">
        <v>13</v>
      </c>
      <c r="M16" s="354" t="s">
        <v>397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0</v>
      </c>
      <c r="X16" s="13">
        <v>13</v>
      </c>
      <c r="Y16" s="216"/>
      <c r="Z16" s="216"/>
      <c r="AA16" s="216">
        <v>101306</v>
      </c>
      <c r="AB16" s="216"/>
      <c r="AC16" s="215">
        <v>101308</v>
      </c>
      <c r="AD16" s="216"/>
      <c r="AE16" s="216"/>
      <c r="AF16" s="216"/>
      <c r="AG16" s="216"/>
      <c r="AH16" s="216"/>
      <c r="AI16" s="215"/>
      <c r="AL16" s="215">
        <v>101318</v>
      </c>
    </row>
    <row r="17" spans="2:38" s="25" customFormat="1" ht="21.6" customHeight="1" x14ac:dyDescent="0.25">
      <c r="B17" s="574" t="s">
        <v>325</v>
      </c>
      <c r="C17" s="241"/>
      <c r="D17" s="241"/>
      <c r="E17" s="241"/>
      <c r="F17" s="241"/>
      <c r="G17" s="241"/>
      <c r="H17" s="241"/>
      <c r="I17" s="241"/>
      <c r="J17" s="506"/>
      <c r="K17" s="114">
        <f>VLOOKUP(AC17,'FS Data'!$A:$B,2,FALSE)</f>
        <v>169824</v>
      </c>
      <c r="L17" s="13">
        <v>14</v>
      </c>
      <c r="M17" s="354" t="s">
        <v>403</v>
      </c>
      <c r="N17" s="153"/>
      <c r="O17" s="153"/>
      <c r="P17" s="153"/>
      <c r="Q17" s="153"/>
      <c r="R17" s="153"/>
      <c r="S17" s="153"/>
      <c r="T17" s="153"/>
      <c r="U17" s="153"/>
      <c r="V17" s="154">
        <v>316</v>
      </c>
      <c r="W17" s="146">
        <f>VLOOKUP(AL17,'FS Data'!$A:$B,2,FALSE)</f>
        <v>0</v>
      </c>
      <c r="X17" s="13">
        <v>14</v>
      </c>
      <c r="Y17" s="216"/>
      <c r="Z17" s="216"/>
      <c r="AA17" s="216">
        <v>101406</v>
      </c>
      <c r="AB17" s="216"/>
      <c r="AC17" s="215">
        <v>101408</v>
      </c>
      <c r="AD17" s="216"/>
      <c r="AE17" s="216"/>
      <c r="AF17" s="216"/>
      <c r="AG17" s="216"/>
      <c r="AH17" s="216"/>
      <c r="AI17" s="215"/>
      <c r="AL17" s="215">
        <v>101418</v>
      </c>
    </row>
    <row r="18" spans="2:38" s="25" customFormat="1" ht="21.6" customHeight="1" x14ac:dyDescent="0.25">
      <c r="B18" s="750"/>
      <c r="C18" s="499"/>
      <c r="D18" s="499"/>
      <c r="E18" s="499"/>
      <c r="F18" s="499"/>
      <c r="G18" s="499"/>
      <c r="H18" s="499"/>
      <c r="I18" s="499"/>
      <c r="J18" s="499"/>
      <c r="K18" s="500"/>
      <c r="L18" s="13">
        <v>15</v>
      </c>
      <c r="M18" s="352" t="s">
        <v>404</v>
      </c>
      <c r="N18" s="39"/>
      <c r="O18" s="39"/>
      <c r="P18" s="39"/>
      <c r="Q18" s="39"/>
      <c r="R18" s="39"/>
      <c r="S18" s="39"/>
      <c r="T18" s="39"/>
      <c r="U18" s="39"/>
      <c r="V18" s="502"/>
      <c r="W18" s="114">
        <f>VLOOKUP(AL18,'FS Data'!$A:$B,2,FALSE)</f>
        <v>7158370</v>
      </c>
      <c r="X18" s="13">
        <v>15</v>
      </c>
      <c r="Y18" s="216"/>
      <c r="Z18" s="216"/>
      <c r="AA18" s="216">
        <v>101506</v>
      </c>
      <c r="AB18" s="216"/>
      <c r="AC18" s="215">
        <v>101508</v>
      </c>
      <c r="AD18" s="216"/>
      <c r="AE18" s="216"/>
      <c r="AF18" s="216"/>
      <c r="AG18" s="216"/>
      <c r="AH18" s="216"/>
      <c r="AI18" s="215"/>
      <c r="AL18" s="215">
        <v>101518</v>
      </c>
    </row>
    <row r="19" spans="2:38" s="25" customFormat="1" ht="18.75" customHeight="1" x14ac:dyDescent="0.25">
      <c r="B19" s="352" t="s">
        <v>326</v>
      </c>
      <c r="C19" s="24"/>
      <c r="D19" s="37" t="s">
        <v>32</v>
      </c>
      <c r="E19" s="37"/>
      <c r="F19" s="37"/>
      <c r="G19" s="37"/>
      <c r="H19" s="37"/>
      <c r="I19" s="624" t="s">
        <v>393</v>
      </c>
      <c r="J19" s="38"/>
      <c r="K19" s="22"/>
      <c r="L19" s="16">
        <v>16</v>
      </c>
      <c r="M19" s="751"/>
      <c r="N19" s="495"/>
      <c r="O19" s="495"/>
      <c r="P19" s="495"/>
      <c r="Q19" s="495"/>
      <c r="R19" s="495"/>
      <c r="S19" s="495"/>
      <c r="T19" s="495"/>
      <c r="U19" s="495"/>
      <c r="V19" s="496"/>
      <c r="W19" s="504"/>
      <c r="X19" s="13">
        <v>16</v>
      </c>
      <c r="Y19" s="216"/>
      <c r="Z19" s="216"/>
      <c r="AA19" s="216">
        <v>101606</v>
      </c>
      <c r="AB19" s="216"/>
      <c r="AC19" s="215">
        <v>101608</v>
      </c>
      <c r="AD19" s="216"/>
      <c r="AE19" s="216"/>
      <c r="AF19" s="216"/>
      <c r="AG19" s="216"/>
      <c r="AH19" s="216"/>
      <c r="AI19" s="215"/>
      <c r="AL19" s="215">
        <v>101618</v>
      </c>
    </row>
    <row r="20" spans="2:38" s="25" customFormat="1" ht="18.75" customHeight="1" x14ac:dyDescent="0.25">
      <c r="B20" s="351" t="s">
        <v>327</v>
      </c>
      <c r="C20" s="18"/>
      <c r="D20" s="18"/>
      <c r="E20" s="18"/>
      <c r="F20" s="18"/>
      <c r="G20" s="18"/>
      <c r="H20" s="18"/>
      <c r="I20" s="27">
        <f>VLOOKUP(AA20,'FS Data'!$A:$B,2,FALSE)</f>
        <v>17</v>
      </c>
      <c r="J20" s="10">
        <v>230</v>
      </c>
      <c r="K20" s="20">
        <f>VLOOKUP(AC20,'FS Data'!$A:$B,2,FALSE)</f>
        <v>1170527</v>
      </c>
      <c r="L20" s="16">
        <v>17</v>
      </c>
      <c r="M20" s="350" t="s">
        <v>405</v>
      </c>
      <c r="N20" s="14"/>
      <c r="O20" s="14"/>
      <c r="P20" s="14"/>
      <c r="Q20" s="14"/>
      <c r="R20" s="14"/>
      <c r="S20" s="39"/>
      <c r="T20" s="39"/>
      <c r="U20" s="40"/>
      <c r="V20" s="36"/>
      <c r="W20" s="505"/>
      <c r="X20" s="13">
        <v>17</v>
      </c>
      <c r="Y20" s="216"/>
      <c r="Z20" s="216"/>
      <c r="AA20" s="216">
        <v>101706</v>
      </c>
      <c r="AB20" s="216"/>
      <c r="AC20" s="215">
        <v>101708</v>
      </c>
      <c r="AD20" s="216"/>
      <c r="AE20" s="216"/>
      <c r="AF20" s="216"/>
      <c r="AG20" s="216"/>
      <c r="AH20" s="216"/>
      <c r="AI20" s="215"/>
      <c r="AL20" s="215">
        <v>101718</v>
      </c>
    </row>
    <row r="21" spans="2:38" s="25" customFormat="1" ht="18.75" customHeight="1" x14ac:dyDescent="0.25">
      <c r="B21" s="351" t="s">
        <v>328</v>
      </c>
      <c r="C21" s="18"/>
      <c r="D21" s="18"/>
      <c r="E21" s="18"/>
      <c r="F21" s="18"/>
      <c r="G21" s="18"/>
      <c r="H21" s="18"/>
      <c r="I21" s="27">
        <f>VLOOKUP(AA21,'FS Data'!$A:$B,2,FALSE)</f>
        <v>42</v>
      </c>
      <c r="J21" s="10">
        <v>232</v>
      </c>
      <c r="K21" s="20">
        <f>VLOOKUP(AC21,'FS Data'!$A:$B,2,FALSE)</f>
        <v>3344604</v>
      </c>
      <c r="L21" s="13">
        <v>18</v>
      </c>
      <c r="M21" s="354" t="s">
        <v>406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16"/>
      <c r="Z21" s="216"/>
      <c r="AA21" s="216">
        <v>101806</v>
      </c>
      <c r="AB21" s="216"/>
      <c r="AC21" s="215">
        <v>101808</v>
      </c>
      <c r="AD21" s="216"/>
      <c r="AE21" s="216"/>
      <c r="AF21" s="216"/>
      <c r="AG21" s="216"/>
      <c r="AH21" s="216"/>
      <c r="AI21" s="215"/>
      <c r="AL21" s="215">
        <v>101818</v>
      </c>
    </row>
    <row r="22" spans="2:38" s="25" customFormat="1" ht="18.75" customHeight="1" x14ac:dyDescent="0.25">
      <c r="B22" s="351" t="s">
        <v>329</v>
      </c>
      <c r="C22" s="18"/>
      <c r="D22" s="18"/>
      <c r="E22" s="18"/>
      <c r="F22" s="18"/>
      <c r="G22" s="18"/>
      <c r="H22" s="18"/>
      <c r="I22" s="27">
        <f>VLOOKUP(AA22,'FS Data'!$A:$B,2,FALSE)</f>
        <v>10</v>
      </c>
      <c r="J22" s="10">
        <v>234</v>
      </c>
      <c r="K22" s="20">
        <f>VLOOKUP(AC22,'FS Data'!$A:$B,2,FALSE)</f>
        <v>1012436</v>
      </c>
      <c r="L22" s="13">
        <v>19</v>
      </c>
      <c r="M22" s="354" t="s">
        <v>407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181492</v>
      </c>
      <c r="X22" s="13">
        <v>19</v>
      </c>
      <c r="Y22" s="216"/>
      <c r="Z22" s="216"/>
      <c r="AA22" s="216">
        <v>101906</v>
      </c>
      <c r="AB22" s="216"/>
      <c r="AC22" s="215">
        <v>101908</v>
      </c>
      <c r="AD22" s="216"/>
      <c r="AE22" s="216"/>
      <c r="AF22" s="216"/>
      <c r="AG22" s="216"/>
      <c r="AH22" s="216"/>
      <c r="AI22" s="215"/>
      <c r="AL22" s="215">
        <v>101918</v>
      </c>
    </row>
    <row r="23" spans="2:38" s="25" customFormat="1" ht="18.75" customHeight="1" x14ac:dyDescent="0.25">
      <c r="B23" s="351" t="s">
        <v>330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54" t="s">
        <v>408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16"/>
      <c r="Z23" s="216"/>
      <c r="AA23" s="216">
        <v>102006</v>
      </c>
      <c r="AB23" s="216"/>
      <c r="AC23" s="215">
        <v>102008</v>
      </c>
      <c r="AD23" s="216"/>
      <c r="AE23" s="216"/>
      <c r="AF23" s="216"/>
      <c r="AG23" s="216"/>
      <c r="AH23" s="216"/>
      <c r="AI23" s="215"/>
      <c r="AL23" s="215">
        <v>102018</v>
      </c>
    </row>
    <row r="24" spans="2:38" s="25" customFormat="1" ht="18.75" customHeight="1" x14ac:dyDescent="0.25">
      <c r="B24" s="354" t="s">
        <v>331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54" t="s">
        <v>409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25513</v>
      </c>
      <c r="X24" s="13">
        <v>21</v>
      </c>
      <c r="Y24" s="216">
        <v>102104</v>
      </c>
      <c r="Z24" s="216">
        <v>102105</v>
      </c>
      <c r="AA24" s="216">
        <v>102106</v>
      </c>
      <c r="AB24" s="216">
        <v>102107</v>
      </c>
      <c r="AC24" s="215">
        <v>102108</v>
      </c>
      <c r="AD24" s="216"/>
      <c r="AE24" s="216"/>
      <c r="AF24" s="216"/>
      <c r="AG24" s="216"/>
      <c r="AH24" s="216"/>
      <c r="AI24" s="215"/>
      <c r="AL24" s="215">
        <v>102118</v>
      </c>
    </row>
    <row r="25" spans="2:38" s="25" customFormat="1" ht="18.75" customHeight="1" x14ac:dyDescent="0.25">
      <c r="B25" s="308" t="s">
        <v>332</v>
      </c>
      <c r="C25" s="132">
        <f>VLOOKUP(Y25,'FS Data'!$A:$B,2,FALSE)</f>
        <v>0</v>
      </c>
      <c r="D25" s="33" t="s">
        <v>391</v>
      </c>
      <c r="E25" s="133">
        <f>VLOOKUP(Z25,'FS Data'!$A:$B,2,FALSE)</f>
        <v>0</v>
      </c>
      <c r="F25" s="41" t="s">
        <v>137</v>
      </c>
      <c r="G25" s="133">
        <f>VLOOKUP(AA25,'FS Data'!$A:$B,2,FALSE)</f>
        <v>0</v>
      </c>
      <c r="H25" s="33" t="s">
        <v>392</v>
      </c>
      <c r="I25" s="136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54" t="s">
        <v>410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33290</v>
      </c>
      <c r="X25" s="13">
        <v>22</v>
      </c>
      <c r="Y25" s="216">
        <v>102204</v>
      </c>
      <c r="Z25" s="216">
        <v>102205</v>
      </c>
      <c r="AA25" s="216">
        <v>102206</v>
      </c>
      <c r="AB25" s="216">
        <v>102207</v>
      </c>
      <c r="AC25" s="215">
        <v>102208</v>
      </c>
      <c r="AD25" s="216"/>
      <c r="AE25" s="216"/>
      <c r="AF25" s="216"/>
      <c r="AG25" s="216"/>
      <c r="AH25" s="216"/>
      <c r="AI25" s="215"/>
      <c r="AL25" s="215">
        <v>102218</v>
      </c>
    </row>
    <row r="26" spans="2:38" s="25" customFormat="1" ht="21.6" customHeight="1" x14ac:dyDescent="0.25">
      <c r="B26" s="308" t="s">
        <v>333</v>
      </c>
      <c r="C26" s="78"/>
      <c r="D26" s="78"/>
      <c r="E26" s="155"/>
      <c r="F26" s="155"/>
      <c r="G26" s="155"/>
      <c r="H26" s="155"/>
      <c r="I26" s="156">
        <f>VLOOKUP(AA26,'FS Data'!$A:$B,2,FALSE)</f>
        <v>0</v>
      </c>
      <c r="J26" s="60" t="s">
        <v>38</v>
      </c>
      <c r="K26" s="146">
        <f>VLOOKUP(AC26,'FS Data'!$A:$B,2,FALSE)</f>
        <v>0</v>
      </c>
      <c r="L26" s="13">
        <v>23</v>
      </c>
      <c r="M26" s="354" t="s">
        <v>411</v>
      </c>
      <c r="N26" s="14"/>
      <c r="O26" s="15"/>
      <c r="P26" s="15"/>
      <c r="Q26" s="15"/>
      <c r="R26" s="15"/>
      <c r="S26" s="15"/>
      <c r="T26" s="15"/>
      <c r="U26" s="15"/>
      <c r="V26" s="13" t="s">
        <v>39</v>
      </c>
      <c r="W26" s="20">
        <f>VLOOKUP(AL26,'FS Data'!$A:$B,2,FALSE)</f>
        <v>-45932</v>
      </c>
      <c r="X26" s="13">
        <v>23</v>
      </c>
      <c r="Y26" s="216">
        <v>102304</v>
      </c>
      <c r="Z26" s="216">
        <v>102305</v>
      </c>
      <c r="AA26" s="216">
        <v>102306</v>
      </c>
      <c r="AB26" s="216">
        <v>102307</v>
      </c>
      <c r="AC26" s="215">
        <v>102308</v>
      </c>
      <c r="AD26" s="216"/>
      <c r="AE26" s="216"/>
      <c r="AF26" s="216"/>
      <c r="AG26" s="216"/>
      <c r="AH26" s="216"/>
      <c r="AI26" s="215"/>
      <c r="AL26" s="215">
        <v>102318</v>
      </c>
    </row>
    <row r="27" spans="2:38" s="25" customFormat="1" ht="18.75" customHeight="1" x14ac:dyDescent="0.25">
      <c r="B27" s="350" t="s">
        <v>334</v>
      </c>
      <c r="C27" s="241"/>
      <c r="D27" s="241"/>
      <c r="E27" s="241"/>
      <c r="F27" s="241"/>
      <c r="G27" s="241"/>
      <c r="H27" s="241"/>
      <c r="I27" s="241"/>
      <c r="J27" s="506"/>
      <c r="K27" s="114">
        <f>VLOOKUP(AC27,'FS Data'!$A:$B,2,FALSE)</f>
        <v>5527567</v>
      </c>
      <c r="L27" s="13">
        <v>24</v>
      </c>
      <c r="M27" s="354" t="s">
        <v>412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819185</v>
      </c>
      <c r="X27" s="13">
        <v>24</v>
      </c>
      <c r="Y27" s="216">
        <v>102404</v>
      </c>
      <c r="Z27" s="216">
        <v>102405</v>
      </c>
      <c r="AA27" s="216">
        <v>102406</v>
      </c>
      <c r="AB27" s="216">
        <v>102407</v>
      </c>
      <c r="AC27" s="215">
        <v>102408</v>
      </c>
      <c r="AD27" s="216"/>
      <c r="AE27" s="216"/>
      <c r="AF27" s="216"/>
      <c r="AG27" s="216"/>
      <c r="AH27" s="216"/>
      <c r="AI27" s="215"/>
      <c r="AL27" s="215">
        <v>102418</v>
      </c>
    </row>
    <row r="28" spans="2:38" s="25" customFormat="1" ht="18.75" customHeight="1" x14ac:dyDescent="0.25">
      <c r="B28" s="752"/>
      <c r="C28" s="499"/>
      <c r="D28" s="499"/>
      <c r="E28" s="499"/>
      <c r="F28" s="499"/>
      <c r="G28" s="499"/>
      <c r="H28" s="499"/>
      <c r="I28" s="499"/>
      <c r="J28" s="499"/>
      <c r="K28" s="500"/>
      <c r="L28" s="13">
        <v>25</v>
      </c>
      <c r="M28" s="354" t="s">
        <v>413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87165</v>
      </c>
      <c r="X28" s="13">
        <v>25</v>
      </c>
      <c r="Y28" s="216">
        <v>102504</v>
      </c>
      <c r="Z28" s="216">
        <v>102505</v>
      </c>
      <c r="AA28" s="216">
        <v>102506</v>
      </c>
      <c r="AB28" s="216">
        <v>102507</v>
      </c>
      <c r="AC28" s="215">
        <v>102508</v>
      </c>
      <c r="AD28" s="216"/>
      <c r="AE28" s="216"/>
      <c r="AF28" s="216"/>
      <c r="AG28" s="216"/>
      <c r="AH28" s="216"/>
      <c r="AI28" s="215"/>
      <c r="AL28" s="215">
        <v>102518</v>
      </c>
    </row>
    <row r="29" spans="2:38" s="25" customFormat="1" ht="18.75" customHeight="1" x14ac:dyDescent="0.25">
      <c r="B29" s="354" t="s">
        <v>335</v>
      </c>
      <c r="C29" s="11"/>
      <c r="D29" s="11"/>
      <c r="E29" s="772">
        <f>VLOOKUP(Z29,'FS Data'!$A:$B,2,FALSE)</f>
        <v>15</v>
      </c>
      <c r="F29" s="772"/>
      <c r="G29" s="773" t="s">
        <v>390</v>
      </c>
      <c r="H29" s="774"/>
      <c r="I29" s="137">
        <f>VLOOKUP(AA29,'FS Data'!$A:$B,2,FALSE)</f>
        <v>4</v>
      </c>
      <c r="J29" s="10" t="s">
        <v>67</v>
      </c>
      <c r="K29" s="20">
        <f>VLOOKUP(AC29,'FS Data'!$A:$B,2,FALSE)</f>
        <v>625584</v>
      </c>
      <c r="L29" s="13">
        <v>26</v>
      </c>
      <c r="M29" s="354" t="s">
        <v>414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16">
        <v>102604</v>
      </c>
      <c r="Z29" s="216">
        <v>102605</v>
      </c>
      <c r="AA29" s="216">
        <v>102606</v>
      </c>
      <c r="AB29" s="216">
        <v>102607</v>
      </c>
      <c r="AC29" s="215">
        <v>102608</v>
      </c>
      <c r="AD29" s="216"/>
      <c r="AE29" s="216"/>
      <c r="AF29" s="216"/>
      <c r="AG29" s="216"/>
      <c r="AH29" s="216"/>
      <c r="AI29" s="215"/>
      <c r="AL29" s="215">
        <v>102618</v>
      </c>
    </row>
    <row r="30" spans="2:38" s="25" customFormat="1" ht="18.75" customHeight="1" x14ac:dyDescent="0.25">
      <c r="B30" s="354" t="s">
        <v>336</v>
      </c>
      <c r="C30" s="11"/>
      <c r="D30" s="11"/>
      <c r="E30" s="772">
        <f>VLOOKUP(Z30,'FS Data'!$A:$B,2,FALSE)</f>
        <v>8</v>
      </c>
      <c r="F30" s="772"/>
      <c r="G30" s="773" t="s">
        <v>390</v>
      </c>
      <c r="H30" s="774"/>
      <c r="I30" s="137">
        <f>VLOOKUP(AA30,'FS Data'!$A:$B,2,FALSE)</f>
        <v>4</v>
      </c>
      <c r="J30" s="23" t="s">
        <v>68</v>
      </c>
      <c r="K30" s="20">
        <f>VLOOKUP(AC30,'FS Data'!$A:$B,2,FALSE)</f>
        <v>316413</v>
      </c>
      <c r="L30" s="13">
        <v>27</v>
      </c>
      <c r="M30" s="354" t="s">
        <v>415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16">
        <v>102704</v>
      </c>
      <c r="Z30" s="216">
        <v>102705</v>
      </c>
      <c r="AA30" s="216">
        <v>102706</v>
      </c>
      <c r="AB30" s="216">
        <v>102707</v>
      </c>
      <c r="AC30" s="215">
        <v>102708</v>
      </c>
      <c r="AD30" s="216"/>
      <c r="AE30" s="216"/>
      <c r="AF30" s="216"/>
      <c r="AG30" s="216"/>
      <c r="AH30" s="216"/>
      <c r="AI30" s="215"/>
      <c r="AL30" s="215">
        <v>102718</v>
      </c>
    </row>
    <row r="31" spans="2:38" s="25" customFormat="1" ht="18.75" customHeight="1" x14ac:dyDescent="0.25">
      <c r="B31" s="354" t="s">
        <v>337</v>
      </c>
      <c r="C31" s="11"/>
      <c r="D31" s="11"/>
      <c r="E31" s="772">
        <f>VLOOKUP(Z31,'FS Data'!$A:$B,2,FALSE)</f>
        <v>0</v>
      </c>
      <c r="F31" s="772"/>
      <c r="G31" s="773" t="s">
        <v>390</v>
      </c>
      <c r="H31" s="774"/>
      <c r="I31" s="137">
        <f>VLOOKUP(AA31,'FS Data'!$A:$B,2,FALSE)</f>
        <v>0</v>
      </c>
      <c r="J31" s="23" t="s">
        <v>69</v>
      </c>
      <c r="K31" s="20">
        <f>VLOOKUP(AC31,'FS Data'!$A:$B,2,FALSE)</f>
        <v>0</v>
      </c>
      <c r="L31" s="13">
        <v>28</v>
      </c>
      <c r="M31" s="354" t="s">
        <v>397</v>
      </c>
      <c r="N31" s="141"/>
      <c r="O31" s="152"/>
      <c r="P31" s="152"/>
      <c r="Q31" s="152"/>
      <c r="R31" s="152"/>
      <c r="S31" s="152"/>
      <c r="T31" s="152"/>
      <c r="U31" s="152"/>
      <c r="V31" s="60">
        <v>331</v>
      </c>
      <c r="W31" s="146">
        <f>VLOOKUP(AL31,'FS Data'!$A:$B,2,FALSE)</f>
        <v>317191</v>
      </c>
      <c r="X31" s="13">
        <v>28</v>
      </c>
      <c r="Y31" s="216">
        <v>102804</v>
      </c>
      <c r="Z31" s="216">
        <v>102805</v>
      </c>
      <c r="AA31" s="216">
        <v>102806</v>
      </c>
      <c r="AB31" s="216">
        <v>102807</v>
      </c>
      <c r="AC31" s="215">
        <v>102808</v>
      </c>
      <c r="AD31" s="216"/>
      <c r="AE31" s="216"/>
      <c r="AF31" s="216"/>
      <c r="AG31" s="216"/>
      <c r="AH31" s="216"/>
      <c r="AI31" s="215"/>
      <c r="AL31" s="215">
        <v>102818</v>
      </c>
    </row>
    <row r="32" spans="2:38" s="25" customFormat="1" ht="21.6" customHeight="1" x14ac:dyDescent="0.25">
      <c r="B32" s="354" t="s">
        <v>338</v>
      </c>
      <c r="C32" s="11"/>
      <c r="D32" s="11"/>
      <c r="E32" s="772">
        <f>VLOOKUP(Z32,'FS Data'!$A:$B,2,FALSE)</f>
        <v>22</v>
      </c>
      <c r="F32" s="772"/>
      <c r="G32" s="773" t="s">
        <v>390</v>
      </c>
      <c r="H32" s="774"/>
      <c r="I32" s="137">
        <f>VLOOKUP(AA32,'FS Data'!$A:$B,2,FALSE)</f>
        <v>9</v>
      </c>
      <c r="J32" s="10" t="s">
        <v>70</v>
      </c>
      <c r="K32" s="20">
        <f>VLOOKUP(AC32,'FS Data'!$A:$B,2,FALSE)</f>
        <v>689760</v>
      </c>
      <c r="L32" s="13">
        <v>29</v>
      </c>
      <c r="M32" s="350" t="s">
        <v>416</v>
      </c>
      <c r="N32" s="14"/>
      <c r="O32" s="15"/>
      <c r="P32" s="15"/>
      <c r="Q32" s="15"/>
      <c r="R32" s="15"/>
      <c r="S32" s="15"/>
      <c r="T32" s="15"/>
      <c r="U32" s="15"/>
      <c r="V32" s="16"/>
      <c r="W32" s="114">
        <f>VLOOKUP(AL32,'FS Data'!$A:$B,2,FALSE)</f>
        <v>1406296</v>
      </c>
      <c r="X32" s="13">
        <v>29</v>
      </c>
      <c r="Y32" s="216">
        <v>102904</v>
      </c>
      <c r="Z32" s="216">
        <v>102905</v>
      </c>
      <c r="AA32" s="216">
        <v>102906</v>
      </c>
      <c r="AB32" s="216">
        <v>102907</v>
      </c>
      <c r="AC32" s="215">
        <v>102908</v>
      </c>
      <c r="AD32" s="216"/>
      <c r="AE32" s="216"/>
      <c r="AF32" s="216"/>
      <c r="AG32" s="216"/>
      <c r="AH32" s="216"/>
      <c r="AI32" s="215"/>
      <c r="AL32" s="215">
        <v>102918</v>
      </c>
    </row>
    <row r="33" spans="2:38" s="43" customFormat="1" ht="21.6" customHeight="1" x14ac:dyDescent="0.25">
      <c r="B33" s="308" t="s">
        <v>339</v>
      </c>
      <c r="C33" s="344"/>
      <c r="D33" s="344"/>
      <c r="E33" s="778">
        <f>VLOOKUP(Z33,'FS Data'!$A:$B,2,FALSE)</f>
        <v>0</v>
      </c>
      <c r="F33" s="778"/>
      <c r="G33" s="773" t="s">
        <v>390</v>
      </c>
      <c r="H33" s="774"/>
      <c r="I33" s="157">
        <f>VLOOKUP(AA33,'FS Data'!$A:$B,2,FALSE)</f>
        <v>0</v>
      </c>
      <c r="J33" s="123" t="s">
        <v>71</v>
      </c>
      <c r="K33" s="146">
        <f>VLOOKUP(AC33,'FS Data'!$A:$B,2,FALSE)</f>
        <v>0</v>
      </c>
      <c r="L33" s="13">
        <v>30</v>
      </c>
      <c r="M33" s="494"/>
      <c r="N33" s="495"/>
      <c r="O33" s="495"/>
      <c r="P33" s="495"/>
      <c r="Q33" s="495"/>
      <c r="R33" s="495"/>
      <c r="S33" s="495"/>
      <c r="T33" s="495"/>
      <c r="U33" s="495"/>
      <c r="V33" s="496"/>
      <c r="W33" s="503"/>
      <c r="X33" s="42">
        <v>30</v>
      </c>
      <c r="Y33" s="216">
        <v>103004</v>
      </c>
      <c r="Z33" s="216">
        <v>103005</v>
      </c>
      <c r="AA33" s="216">
        <v>103006</v>
      </c>
      <c r="AB33" s="216">
        <v>103007</v>
      </c>
      <c r="AC33" s="215">
        <v>103008</v>
      </c>
      <c r="AD33" s="217"/>
      <c r="AE33" s="217"/>
      <c r="AF33" s="217"/>
      <c r="AG33" s="217"/>
      <c r="AH33" s="217"/>
      <c r="AI33" s="215"/>
      <c r="AL33" s="215">
        <v>103018</v>
      </c>
    </row>
    <row r="34" spans="2:38" s="25" customFormat="1" ht="21.6" customHeight="1" x14ac:dyDescent="0.25">
      <c r="B34" s="350" t="s">
        <v>340</v>
      </c>
      <c r="C34" s="473"/>
      <c r="D34" s="473"/>
      <c r="E34" s="473"/>
      <c r="F34" s="473"/>
      <c r="G34" s="473"/>
      <c r="H34" s="473"/>
      <c r="I34" s="473"/>
      <c r="J34" s="474"/>
      <c r="K34" s="114">
        <f>VLOOKUP(AC34,'FS Data'!$A:$B,2,FALSE)</f>
        <v>1631757</v>
      </c>
      <c r="L34" s="13">
        <v>31</v>
      </c>
      <c r="M34" s="775" t="s">
        <v>417</v>
      </c>
      <c r="N34" s="776"/>
      <c r="O34" s="776"/>
      <c r="P34" s="776"/>
      <c r="Q34" s="776"/>
      <c r="R34" s="776"/>
      <c r="S34" s="776"/>
      <c r="T34" s="776"/>
      <c r="U34" s="776"/>
      <c r="V34" s="777"/>
      <c r="W34" s="20">
        <f>VLOOKUP(AL34,'FS Data'!$A:$B,2,FALSE)</f>
        <v>8572446</v>
      </c>
      <c r="X34" s="13">
        <v>31</v>
      </c>
      <c r="Y34" s="216">
        <v>103104</v>
      </c>
      <c r="Z34" s="216">
        <v>103105</v>
      </c>
      <c r="AA34" s="216">
        <v>103106</v>
      </c>
      <c r="AB34" s="216">
        <v>103107</v>
      </c>
      <c r="AC34" s="215">
        <v>103108</v>
      </c>
      <c r="AD34" s="216"/>
      <c r="AE34" s="216"/>
      <c r="AF34" s="216"/>
      <c r="AG34" s="216"/>
      <c r="AH34" s="216"/>
      <c r="AI34" s="215"/>
      <c r="AL34" s="215">
        <v>103118</v>
      </c>
    </row>
    <row r="35" spans="2:38" s="25" customFormat="1" ht="18.75" customHeight="1" x14ac:dyDescent="0.25">
      <c r="B35" s="752"/>
      <c r="C35" s="499"/>
      <c r="D35" s="499"/>
      <c r="E35" s="499"/>
      <c r="F35" s="499"/>
      <c r="G35" s="499"/>
      <c r="H35" s="499"/>
      <c r="I35" s="499"/>
      <c r="J35" s="499"/>
      <c r="K35" s="500"/>
      <c r="L35" s="13">
        <v>32</v>
      </c>
      <c r="M35" s="755" t="s">
        <v>418</v>
      </c>
      <c r="N35" s="544"/>
      <c r="O35" s="544"/>
      <c r="P35" s="544"/>
      <c r="Q35" s="544"/>
      <c r="R35" s="544"/>
      <c r="S35" s="545"/>
      <c r="T35" s="492"/>
      <c r="U35" s="546"/>
      <c r="V35" s="547"/>
      <c r="W35" s="548"/>
      <c r="X35" s="13">
        <v>32</v>
      </c>
      <c r="Y35" s="216">
        <v>103204</v>
      </c>
      <c r="Z35" s="216">
        <v>103205</v>
      </c>
      <c r="AA35" s="216">
        <v>103206</v>
      </c>
      <c r="AB35" s="216">
        <v>103207</v>
      </c>
      <c r="AC35" s="215">
        <v>103208</v>
      </c>
      <c r="AD35" s="216"/>
      <c r="AE35" s="216"/>
      <c r="AF35" s="216"/>
      <c r="AG35" s="216"/>
      <c r="AH35" s="216"/>
      <c r="AI35" s="215"/>
      <c r="AL35" s="215">
        <v>103218</v>
      </c>
    </row>
    <row r="36" spans="2:38" s="25" customFormat="1" ht="18.75" customHeight="1" x14ac:dyDescent="0.25">
      <c r="B36" s="354" t="s">
        <v>341</v>
      </c>
      <c r="C36" s="14"/>
      <c r="D36" s="14"/>
      <c r="E36" s="14"/>
      <c r="F36" s="14"/>
      <c r="G36" s="14"/>
      <c r="H36" s="14"/>
      <c r="I36" s="242"/>
      <c r="J36" s="13" t="s">
        <v>72</v>
      </c>
      <c r="K36" s="20">
        <f>VLOOKUP(AC36,'FS Data'!$A:$B,2,FALSE)</f>
        <v>316621</v>
      </c>
      <c r="L36" s="13">
        <v>33</v>
      </c>
      <c r="M36" s="354" t="s">
        <v>419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16">
        <v>103304</v>
      </c>
      <c r="Z36" s="216">
        <v>103305</v>
      </c>
      <c r="AA36" s="216">
        <v>103306</v>
      </c>
      <c r="AB36" s="216">
        <v>103307</v>
      </c>
      <c r="AC36" s="215">
        <v>103308</v>
      </c>
      <c r="AD36" s="216"/>
      <c r="AE36" s="216"/>
      <c r="AF36" s="216"/>
      <c r="AG36" s="216"/>
      <c r="AH36" s="216"/>
      <c r="AI36" s="215"/>
      <c r="AL36" s="215">
        <v>103318</v>
      </c>
    </row>
    <row r="37" spans="2:38" s="25" customFormat="1" ht="18.75" customHeight="1" x14ac:dyDescent="0.25">
      <c r="B37" s="354" t="s">
        <v>342</v>
      </c>
      <c r="C37" s="14"/>
      <c r="D37" s="14"/>
      <c r="E37" s="14"/>
      <c r="F37" s="14"/>
      <c r="G37" s="14"/>
      <c r="H37" s="14"/>
      <c r="I37" s="242"/>
      <c r="J37" s="10" t="s">
        <v>129</v>
      </c>
      <c r="K37" s="20">
        <f>VLOOKUP(AC37,'FS Data'!$A:$B,2,FALSE)</f>
        <v>0</v>
      </c>
      <c r="L37" s="13">
        <v>34</v>
      </c>
      <c r="M37" s="354" t="s">
        <v>420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16">
        <v>103404</v>
      </c>
      <c r="Z37" s="216">
        <v>103405</v>
      </c>
      <c r="AA37" s="216">
        <v>103406</v>
      </c>
      <c r="AB37" s="216">
        <v>103407</v>
      </c>
      <c r="AC37" s="215">
        <v>103408</v>
      </c>
      <c r="AD37" s="216"/>
      <c r="AE37" s="216"/>
      <c r="AF37" s="216"/>
      <c r="AG37" s="216"/>
      <c r="AH37" s="216"/>
      <c r="AI37" s="215"/>
      <c r="AL37" s="215">
        <v>103418</v>
      </c>
    </row>
    <row r="38" spans="2:38" s="25" customFormat="1" ht="18.75" customHeight="1" x14ac:dyDescent="0.25">
      <c r="B38" s="354" t="s">
        <v>343</v>
      </c>
      <c r="C38" s="14"/>
      <c r="D38" s="14"/>
      <c r="E38" s="14"/>
      <c r="F38" s="14"/>
      <c r="G38" s="14"/>
      <c r="H38" s="14"/>
      <c r="I38" s="242"/>
      <c r="J38" s="10" t="s">
        <v>162</v>
      </c>
      <c r="K38" s="20">
        <f>VLOOKUP(AC38,'FS Data'!$A:$B,2,FALSE)</f>
        <v>0</v>
      </c>
      <c r="L38" s="13">
        <v>35</v>
      </c>
      <c r="M38" s="354" t="s">
        <v>421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16">
        <v>103504</v>
      </c>
      <c r="Z38" s="216">
        <v>103505</v>
      </c>
      <c r="AA38" s="216">
        <v>103506</v>
      </c>
      <c r="AB38" s="216">
        <v>103507</v>
      </c>
      <c r="AC38" s="215">
        <v>103508</v>
      </c>
      <c r="AD38" s="216"/>
      <c r="AE38" s="216"/>
      <c r="AF38" s="216"/>
      <c r="AG38" s="216"/>
      <c r="AH38" s="216"/>
      <c r="AI38" s="215"/>
      <c r="AL38" s="215">
        <v>103518</v>
      </c>
    </row>
    <row r="39" spans="2:38" s="25" customFormat="1" ht="18.75" customHeight="1" x14ac:dyDescent="0.25">
      <c r="B39" s="354" t="s">
        <v>344</v>
      </c>
      <c r="C39" s="14"/>
      <c r="D39" s="14"/>
      <c r="E39" s="14"/>
      <c r="F39" s="14"/>
      <c r="G39" s="14"/>
      <c r="H39" s="14"/>
      <c r="I39" s="242"/>
      <c r="J39" s="10" t="s">
        <v>130</v>
      </c>
      <c r="K39" s="20">
        <f>VLOOKUP(AC39,'FS Data'!$A:$B,2,FALSE)</f>
        <v>0</v>
      </c>
      <c r="L39" s="13">
        <v>36</v>
      </c>
      <c r="M39" s="354" t="s">
        <v>397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16">
        <v>103604</v>
      </c>
      <c r="Z39" s="216">
        <v>103605</v>
      </c>
      <c r="AA39" s="216">
        <v>103606</v>
      </c>
      <c r="AB39" s="216">
        <v>103607</v>
      </c>
      <c r="AC39" s="215">
        <v>103608</v>
      </c>
      <c r="AD39" s="216"/>
      <c r="AE39" s="216"/>
      <c r="AF39" s="216"/>
      <c r="AG39" s="216"/>
      <c r="AH39" s="216"/>
      <c r="AI39" s="215"/>
      <c r="AL39" s="215">
        <v>103618</v>
      </c>
    </row>
    <row r="40" spans="2:38" s="25" customFormat="1" ht="21.6" customHeight="1" x14ac:dyDescent="0.25">
      <c r="B40" s="354" t="s">
        <v>345</v>
      </c>
      <c r="C40" s="14"/>
      <c r="D40" s="14"/>
      <c r="E40" s="14"/>
      <c r="F40" s="14"/>
      <c r="G40" s="228"/>
      <c r="H40" s="14"/>
      <c r="I40" s="242"/>
      <c r="J40" s="10" t="s">
        <v>131</v>
      </c>
      <c r="K40" s="20">
        <f>VLOOKUP(AC40,'FS Data'!$A:$B,2,FALSE)</f>
        <v>0</v>
      </c>
      <c r="L40" s="13">
        <v>37</v>
      </c>
      <c r="M40" s="754"/>
      <c r="N40" s="549"/>
      <c r="O40" s="550"/>
      <c r="P40" s="550"/>
      <c r="Q40" s="550"/>
      <c r="R40" s="550"/>
      <c r="S40" s="550"/>
      <c r="T40" s="550"/>
      <c r="U40" s="550"/>
      <c r="V40" s="551"/>
      <c r="W40" s="552"/>
      <c r="X40" s="13">
        <v>37</v>
      </c>
      <c r="Y40" s="216">
        <v>103704</v>
      </c>
      <c r="Z40" s="216">
        <v>103705</v>
      </c>
      <c r="AA40" s="216">
        <v>103706</v>
      </c>
      <c r="AB40" s="216">
        <v>103707</v>
      </c>
      <c r="AC40" s="215">
        <v>103708</v>
      </c>
      <c r="AD40" s="216"/>
      <c r="AE40" s="216"/>
      <c r="AF40" s="216"/>
      <c r="AG40" s="216"/>
      <c r="AH40" s="216"/>
      <c r="AI40" s="215"/>
      <c r="AL40" s="215">
        <v>103718</v>
      </c>
    </row>
    <row r="41" spans="2:38" s="25" customFormat="1" ht="21.6" customHeight="1" x14ac:dyDescent="0.25">
      <c r="B41" s="354" t="s">
        <v>346</v>
      </c>
      <c r="C41" s="159"/>
      <c r="D41" s="159"/>
      <c r="E41" s="159"/>
      <c r="F41" s="159"/>
      <c r="G41" s="159"/>
      <c r="H41" s="159"/>
      <c r="I41" s="160"/>
      <c r="J41" s="123" t="s">
        <v>132</v>
      </c>
      <c r="K41" s="146">
        <f>VLOOKUP(AC41,'FS Data'!$A:$B,2,FALSE)</f>
        <v>0</v>
      </c>
      <c r="L41" s="13">
        <v>38</v>
      </c>
      <c r="M41" s="575" t="s">
        <v>422</v>
      </c>
      <c r="N41" s="14"/>
      <c r="O41" s="14"/>
      <c r="P41" s="14"/>
      <c r="Q41" s="14"/>
      <c r="R41" s="14"/>
      <c r="S41" s="14"/>
      <c r="T41" s="14"/>
      <c r="U41" s="14"/>
      <c r="V41" s="16"/>
      <c r="W41" s="114">
        <f>VLOOKUP(AL41,'FS Data'!$A:$B,2,FALSE)</f>
        <v>1101731</v>
      </c>
      <c r="X41" s="13">
        <v>38</v>
      </c>
      <c r="Y41" s="216">
        <v>103804</v>
      </c>
      <c r="Z41" s="216">
        <v>103805</v>
      </c>
      <c r="AA41" s="216">
        <v>103806</v>
      </c>
      <c r="AB41" s="216">
        <v>103807</v>
      </c>
      <c r="AC41" s="215">
        <v>103808</v>
      </c>
      <c r="AD41" s="216"/>
      <c r="AE41" s="216"/>
      <c r="AF41" s="216"/>
      <c r="AG41" s="216"/>
      <c r="AH41" s="216"/>
      <c r="AI41" s="215"/>
      <c r="AL41" s="215">
        <v>103818</v>
      </c>
    </row>
    <row r="42" spans="2:38" s="25" customFormat="1" ht="21.6" customHeight="1" x14ac:dyDescent="0.25">
      <c r="B42" s="350" t="s">
        <v>347</v>
      </c>
      <c r="C42" s="241"/>
      <c r="D42" s="241"/>
      <c r="E42" s="241"/>
      <c r="F42" s="241"/>
      <c r="G42" s="241"/>
      <c r="H42" s="241"/>
      <c r="I42" s="241"/>
      <c r="J42" s="506"/>
      <c r="K42" s="114">
        <f>VLOOKUP(AC42,'FS Data'!$A:$B,2,FALSE)</f>
        <v>316621</v>
      </c>
      <c r="L42" s="13">
        <v>39</v>
      </c>
      <c r="M42" s="575" t="s">
        <v>423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9674177</v>
      </c>
      <c r="X42" s="13">
        <v>39</v>
      </c>
      <c r="Y42" s="216">
        <v>103904</v>
      </c>
      <c r="Z42" s="216">
        <v>103905</v>
      </c>
      <c r="AA42" s="216">
        <v>103906</v>
      </c>
      <c r="AB42" s="216">
        <v>103907</v>
      </c>
      <c r="AC42" s="215">
        <v>103908</v>
      </c>
      <c r="AD42" s="216"/>
      <c r="AE42" s="216"/>
      <c r="AF42" s="216"/>
      <c r="AG42" s="216"/>
      <c r="AH42" s="216"/>
      <c r="AI42" s="215"/>
      <c r="AL42" s="215">
        <v>103918</v>
      </c>
    </row>
    <row r="43" spans="2:38" s="25" customFormat="1" ht="18.75" customHeight="1" x14ac:dyDescent="0.25">
      <c r="B43" s="752"/>
      <c r="C43" s="499"/>
      <c r="D43" s="499"/>
      <c r="E43" s="499"/>
      <c r="F43" s="499"/>
      <c r="G43" s="499"/>
      <c r="H43" s="499"/>
      <c r="I43" s="499"/>
      <c r="J43" s="499"/>
      <c r="K43" s="500"/>
      <c r="L43" s="13">
        <v>40</v>
      </c>
      <c r="M43" s="753" t="s">
        <v>424</v>
      </c>
      <c r="N43" s="553"/>
      <c r="O43" s="553"/>
      <c r="P43" s="553"/>
      <c r="Q43" s="553"/>
      <c r="R43" s="553"/>
      <c r="S43" s="554"/>
      <c r="T43" s="555"/>
      <c r="U43" s="556"/>
      <c r="V43" s="553"/>
      <c r="W43" s="557"/>
      <c r="X43" s="13">
        <v>40</v>
      </c>
      <c r="Y43" s="216">
        <v>104004</v>
      </c>
      <c r="Z43" s="216">
        <v>104005</v>
      </c>
      <c r="AA43" s="216">
        <v>104006</v>
      </c>
      <c r="AB43" s="216">
        <v>104007</v>
      </c>
      <c r="AC43" s="215">
        <v>104008</v>
      </c>
      <c r="AD43" s="216"/>
      <c r="AE43" s="216"/>
      <c r="AF43" s="216"/>
      <c r="AG43" s="216"/>
      <c r="AH43" s="216"/>
      <c r="AI43" s="215"/>
      <c r="AL43" s="215">
        <v>104018</v>
      </c>
    </row>
    <row r="44" spans="2:38" s="25" customFormat="1" ht="18.75" customHeight="1" x14ac:dyDescent="0.25">
      <c r="B44" s="354" t="s">
        <v>348</v>
      </c>
      <c r="C44" s="14"/>
      <c r="D44" s="14"/>
      <c r="E44" s="14"/>
      <c r="F44" s="14"/>
      <c r="G44" s="14"/>
      <c r="H44" s="14"/>
      <c r="I44" s="243"/>
      <c r="J44" s="10">
        <v>245</v>
      </c>
      <c r="K44" s="20">
        <f>VLOOKUP(AC44,'FS Data'!$A:$B,2,FALSE)</f>
        <v>0</v>
      </c>
      <c r="L44" s="13">
        <v>41</v>
      </c>
      <c r="M44" s="274" t="s">
        <v>425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16">
        <v>104104</v>
      </c>
      <c r="Z44" s="216">
        <v>104105</v>
      </c>
      <c r="AA44" s="216">
        <v>104106</v>
      </c>
      <c r="AB44" s="216">
        <v>104107</v>
      </c>
      <c r="AC44" s="215">
        <v>104108</v>
      </c>
      <c r="AD44" s="216"/>
      <c r="AE44" s="216"/>
      <c r="AF44" s="216"/>
      <c r="AG44" s="216"/>
      <c r="AH44" s="216"/>
      <c r="AI44" s="215"/>
      <c r="AL44" s="215">
        <v>104118</v>
      </c>
    </row>
    <row r="45" spans="2:38" s="25" customFormat="1" ht="18.75" customHeight="1" x14ac:dyDescent="0.25">
      <c r="B45" s="354" t="s">
        <v>349</v>
      </c>
      <c r="C45" s="14"/>
      <c r="D45" s="14"/>
      <c r="E45" s="14"/>
      <c r="F45" s="14"/>
      <c r="G45" s="14"/>
      <c r="H45" s="228"/>
      <c r="I45" s="243"/>
      <c r="J45" s="10">
        <v>246</v>
      </c>
      <c r="K45" s="20">
        <f>VLOOKUP(AC45,'FS Data'!$A:$B,2,FALSE)</f>
        <v>0</v>
      </c>
      <c r="L45" s="13">
        <v>42</v>
      </c>
      <c r="M45" s="627" t="s">
        <v>426</v>
      </c>
      <c r="N45" s="46"/>
      <c r="O45" s="46"/>
      <c r="P45" s="46"/>
      <c r="Q45" s="46"/>
      <c r="R45" s="46"/>
      <c r="S45" s="46"/>
      <c r="T45" s="46"/>
      <c r="U45" s="627" t="s">
        <v>427</v>
      </c>
      <c r="V45" s="47"/>
      <c r="W45" s="47"/>
      <c r="X45" s="13">
        <v>42</v>
      </c>
      <c r="Y45" s="216">
        <v>104204</v>
      </c>
      <c r="Z45" s="216">
        <v>104205</v>
      </c>
      <c r="AA45" s="216">
        <v>104206</v>
      </c>
      <c r="AB45" s="216">
        <v>104207</v>
      </c>
      <c r="AC45" s="215">
        <v>104208</v>
      </c>
      <c r="AD45" s="216"/>
      <c r="AE45" s="216"/>
      <c r="AF45" s="216"/>
      <c r="AG45" s="216"/>
      <c r="AH45" s="216"/>
      <c r="AI45" s="215"/>
      <c r="AL45" s="215">
        <v>104218</v>
      </c>
    </row>
    <row r="46" spans="2:38" s="25" customFormat="1" ht="18.75" customHeight="1" x14ac:dyDescent="0.25">
      <c r="B46" s="354" t="s">
        <v>350</v>
      </c>
      <c r="C46" s="14"/>
      <c r="D46" s="14"/>
      <c r="E46" s="14"/>
      <c r="F46" s="14"/>
      <c r="G46" s="14"/>
      <c r="H46" s="14"/>
      <c r="I46" s="242"/>
      <c r="J46" s="10">
        <v>247</v>
      </c>
      <c r="K46" s="20">
        <f>VLOOKUP(AC46,'FS Data'!$A:$B,2,FALSE)</f>
        <v>3655</v>
      </c>
      <c r="L46" s="13">
        <v>43</v>
      </c>
      <c r="M46" s="48" t="s">
        <v>133</v>
      </c>
      <c r="N46" s="787">
        <f>VLOOKUP(AI46,'FS Data'!$A:$B,2,FALSE)</f>
        <v>1099021</v>
      </c>
      <c r="O46" s="789"/>
      <c r="P46" s="789"/>
      <c r="Q46" s="789"/>
      <c r="R46" s="789"/>
      <c r="S46" s="49"/>
      <c r="T46" s="49"/>
      <c r="U46" s="50" t="s">
        <v>133</v>
      </c>
      <c r="V46" s="787">
        <f>VLOOKUP(AL46,'FS Data'!$A:$B,2,FALSE)</f>
        <v>1051751</v>
      </c>
      <c r="W46" s="788"/>
      <c r="X46" s="13">
        <v>43</v>
      </c>
      <c r="Y46" s="216">
        <v>104304</v>
      </c>
      <c r="Z46" s="216">
        <v>104305</v>
      </c>
      <c r="AA46" s="216">
        <v>104306</v>
      </c>
      <c r="AB46" s="216">
        <v>104307</v>
      </c>
      <c r="AC46" s="215">
        <v>104308</v>
      </c>
      <c r="AD46" s="216"/>
      <c r="AE46" s="216"/>
      <c r="AF46" s="216"/>
      <c r="AG46" s="216"/>
      <c r="AH46" s="216"/>
      <c r="AI46" s="215">
        <v>104315</v>
      </c>
      <c r="AL46" s="215">
        <v>104318</v>
      </c>
    </row>
    <row r="47" spans="2:38" s="25" customFormat="1" ht="21.6" customHeight="1" x14ac:dyDescent="0.25">
      <c r="B47" s="354" t="s">
        <v>351</v>
      </c>
      <c r="C47" s="14"/>
      <c r="D47" s="14"/>
      <c r="E47" s="14"/>
      <c r="F47" s="14"/>
      <c r="G47" s="14"/>
      <c r="H47" s="228"/>
      <c r="I47" s="242"/>
      <c r="J47" s="10">
        <v>248</v>
      </c>
      <c r="K47" s="20">
        <f>VLOOKUP(AC47,'FS Data'!$A:$B,2,FALSE)</f>
        <v>9435</v>
      </c>
      <c r="L47" s="13">
        <v>44</v>
      </c>
      <c r="M47" s="637" t="s">
        <v>428</v>
      </c>
      <c r="N47" s="638"/>
      <c r="O47" s="638"/>
      <c r="P47" s="638"/>
      <c r="Q47" s="638"/>
      <c r="R47" s="638"/>
      <c r="S47" s="638"/>
      <c r="T47" s="638"/>
      <c r="U47" s="185"/>
      <c r="V47" s="4"/>
      <c r="W47" s="51"/>
      <c r="X47" s="13">
        <v>44</v>
      </c>
      <c r="Y47" s="216">
        <v>104404</v>
      </c>
      <c r="Z47" s="216">
        <v>104405</v>
      </c>
      <c r="AA47" s="216">
        <v>104406</v>
      </c>
      <c r="AB47" s="216">
        <v>104407</v>
      </c>
      <c r="AC47" s="215">
        <v>104408</v>
      </c>
      <c r="AD47" s="216"/>
      <c r="AE47" s="216"/>
      <c r="AF47" s="216"/>
      <c r="AG47" s="216"/>
      <c r="AH47" s="216"/>
      <c r="AI47" s="215"/>
      <c r="AL47" s="215">
        <v>104418</v>
      </c>
    </row>
    <row r="48" spans="2:38" s="25" customFormat="1" ht="21.6" customHeight="1" x14ac:dyDescent="0.25">
      <c r="B48" s="354" t="s">
        <v>352</v>
      </c>
      <c r="C48" s="141"/>
      <c r="D48" s="141"/>
      <c r="E48" s="141"/>
      <c r="F48" s="141"/>
      <c r="G48" s="141"/>
      <c r="H48" s="141"/>
      <c r="I48" s="149"/>
      <c r="J48" s="123">
        <v>249</v>
      </c>
      <c r="K48" s="146">
        <f>VLOOKUP(AC48,'FS Data'!$A:$B,2,FALSE)</f>
        <v>176609</v>
      </c>
      <c r="L48" s="13">
        <v>45</v>
      </c>
      <c r="M48" s="639" t="s">
        <v>429</v>
      </c>
      <c r="N48" s="624"/>
      <c r="O48" s="624"/>
      <c r="P48" s="624"/>
      <c r="Q48" s="624"/>
      <c r="R48" s="624"/>
      <c r="S48" s="624"/>
      <c r="T48" s="624"/>
      <c r="U48" s="628"/>
      <c r="V48" s="49"/>
      <c r="W48" s="52"/>
      <c r="X48" s="13">
        <v>45</v>
      </c>
      <c r="Y48" s="216">
        <v>104504</v>
      </c>
      <c r="Z48" s="216">
        <v>104505</v>
      </c>
      <c r="AA48" s="216">
        <v>104506</v>
      </c>
      <c r="AB48" s="216">
        <v>104507</v>
      </c>
      <c r="AC48" s="215">
        <v>104508</v>
      </c>
      <c r="AD48" s="216"/>
      <c r="AE48" s="216"/>
      <c r="AF48" s="216"/>
      <c r="AG48" s="216"/>
      <c r="AH48" s="216"/>
      <c r="AI48" s="215"/>
      <c r="AL48" s="215">
        <v>104518</v>
      </c>
    </row>
    <row r="49" spans="2:38" s="25" customFormat="1" ht="18.75" customHeight="1" x14ac:dyDescent="0.25">
      <c r="B49" s="350" t="s">
        <v>353</v>
      </c>
      <c r="C49" s="241"/>
      <c r="D49" s="241"/>
      <c r="E49" s="241"/>
      <c r="F49" s="241"/>
      <c r="G49" s="241"/>
      <c r="H49" s="508"/>
      <c r="I49" s="241"/>
      <c r="J49" s="506"/>
      <c r="K49" s="114">
        <f>VLOOKUP(AC49,'FS Data'!$A:$B,2,FALSE)</f>
        <v>189699</v>
      </c>
      <c r="L49" s="13">
        <v>46</v>
      </c>
      <c r="M49" s="527" t="s">
        <v>430</v>
      </c>
      <c r="N49" s="527"/>
      <c r="O49" s="527"/>
      <c r="P49" s="527"/>
      <c r="Q49" s="527"/>
      <c r="R49" s="527"/>
      <c r="S49" s="756"/>
      <c r="T49" s="757"/>
      <c r="U49" s="758"/>
      <c r="V49" s="558"/>
      <c r="W49" s="539"/>
      <c r="X49" s="13">
        <v>46</v>
      </c>
      <c r="Y49" s="216">
        <v>104604</v>
      </c>
      <c r="Z49" s="216">
        <v>104605</v>
      </c>
      <c r="AA49" s="216">
        <v>104606</v>
      </c>
      <c r="AB49" s="216">
        <v>104607</v>
      </c>
      <c r="AC49" s="215">
        <v>104608</v>
      </c>
      <c r="AD49" s="216"/>
      <c r="AE49" s="216"/>
      <c r="AF49" s="216"/>
      <c r="AG49" s="216"/>
      <c r="AH49" s="216"/>
      <c r="AI49" s="215"/>
      <c r="AL49" s="215">
        <v>104618</v>
      </c>
    </row>
    <row r="50" spans="2:38" s="25" customFormat="1" ht="18.75" customHeight="1" x14ac:dyDescent="0.25">
      <c r="B50" s="350" t="s">
        <v>354</v>
      </c>
      <c r="C50" s="24"/>
      <c r="D50" s="24"/>
      <c r="E50" s="24"/>
      <c r="F50" s="24"/>
      <c r="G50" s="24"/>
      <c r="H50" s="24"/>
      <c r="I50" s="24"/>
      <c r="J50" s="509"/>
      <c r="K50" s="20">
        <f>VLOOKUP(AC50,'FS Data'!$A:$B,2,FALSE)</f>
        <v>7665644</v>
      </c>
      <c r="L50" s="13">
        <v>47</v>
      </c>
      <c r="M50" s="575" t="s">
        <v>431</v>
      </c>
      <c r="N50" s="622"/>
      <c r="O50" s="622"/>
      <c r="P50" s="622"/>
      <c r="Q50" s="622"/>
      <c r="R50" s="622"/>
      <c r="S50" s="622"/>
      <c r="T50" s="622"/>
      <c r="U50" s="622"/>
      <c r="V50" s="12"/>
      <c r="W50" s="559"/>
      <c r="X50" s="13">
        <v>47</v>
      </c>
      <c r="Y50" s="216">
        <v>104704</v>
      </c>
      <c r="Z50" s="216">
        <v>104705</v>
      </c>
      <c r="AA50" s="216">
        <v>104706</v>
      </c>
      <c r="AB50" s="216">
        <v>104707</v>
      </c>
      <c r="AC50" s="215">
        <v>104708</v>
      </c>
      <c r="AD50" s="216"/>
      <c r="AE50" s="216"/>
      <c r="AF50" s="216"/>
      <c r="AG50" s="216"/>
      <c r="AH50" s="216"/>
      <c r="AI50" s="215"/>
      <c r="AL50" s="215">
        <v>104718</v>
      </c>
    </row>
    <row r="51" spans="2:38" s="25" customFormat="1" ht="18.75" customHeight="1" x14ac:dyDescent="0.25">
      <c r="B51" s="350" t="s">
        <v>355</v>
      </c>
      <c r="C51" s="24"/>
      <c r="D51" s="18"/>
      <c r="E51" s="18"/>
      <c r="F51" s="18"/>
      <c r="G51" s="229"/>
      <c r="H51" s="229"/>
      <c r="I51" s="147"/>
      <c r="J51" s="499"/>
      <c r="K51" s="500"/>
      <c r="L51" s="13">
        <v>48</v>
      </c>
      <c r="M51" s="576" t="s">
        <v>432</v>
      </c>
      <c r="N51" s="584"/>
      <c r="O51" s="629"/>
      <c r="P51" s="629"/>
      <c r="Q51" s="629"/>
      <c r="R51" s="629"/>
      <c r="S51" s="629"/>
      <c r="T51" s="629"/>
      <c r="U51" s="629"/>
      <c r="V51" s="13">
        <v>350</v>
      </c>
      <c r="W51" s="20">
        <f>VLOOKUP(AL51,'FS Data'!$A:$B,2,FALSE)</f>
        <v>0</v>
      </c>
      <c r="X51" s="13">
        <v>48</v>
      </c>
      <c r="Y51" s="216">
        <v>104804</v>
      </c>
      <c r="Z51" s="216">
        <v>104805</v>
      </c>
      <c r="AA51" s="216">
        <v>104806</v>
      </c>
      <c r="AB51" s="216">
        <v>104807</v>
      </c>
      <c r="AC51" s="215">
        <v>104808</v>
      </c>
      <c r="AD51" s="216"/>
      <c r="AE51" s="216"/>
      <c r="AF51" s="216"/>
      <c r="AG51" s="216"/>
      <c r="AH51" s="216"/>
      <c r="AI51" s="215"/>
      <c r="AL51" s="215">
        <v>104818</v>
      </c>
    </row>
    <row r="52" spans="2:38" s="25" customFormat="1" ht="18.75" customHeight="1" x14ac:dyDescent="0.25">
      <c r="B52" s="354" t="s">
        <v>356</v>
      </c>
      <c r="C52" s="14"/>
      <c r="D52" s="14"/>
      <c r="E52" s="14"/>
      <c r="F52" s="14"/>
      <c r="G52" s="228"/>
      <c r="H52" s="14"/>
      <c r="I52" s="242"/>
      <c r="J52" s="10">
        <v>260</v>
      </c>
      <c r="K52" s="20">
        <f>VLOOKUP(AC52,'FS Data'!$A:$B,2,FALSE)</f>
        <v>0</v>
      </c>
      <c r="L52" s="13">
        <v>49</v>
      </c>
      <c r="M52" s="355" t="s">
        <v>433</v>
      </c>
      <c r="N52" s="355"/>
      <c r="O52" s="630"/>
      <c r="P52" s="631"/>
      <c r="Q52" s="632"/>
      <c r="R52" s="632"/>
      <c r="S52" s="632"/>
      <c r="T52" s="632"/>
      <c r="U52" s="633"/>
      <c r="V52" s="13">
        <v>360</v>
      </c>
      <c r="W52" s="20">
        <f>VLOOKUP(AL52,'FS Data'!$A:$B,2,FALSE)</f>
        <v>4390686</v>
      </c>
      <c r="X52" s="13">
        <v>49</v>
      </c>
      <c r="Y52" s="216">
        <v>104904</v>
      </c>
      <c r="Z52" s="216">
        <v>104905</v>
      </c>
      <c r="AA52" s="216">
        <v>104906</v>
      </c>
      <c r="AB52" s="216">
        <v>104907</v>
      </c>
      <c r="AC52" s="215">
        <v>104908</v>
      </c>
      <c r="AD52" s="216"/>
      <c r="AE52" s="216"/>
      <c r="AF52" s="216"/>
      <c r="AG52" s="216"/>
      <c r="AH52" s="216"/>
      <c r="AI52" s="215"/>
      <c r="AL52" s="215">
        <v>104918</v>
      </c>
    </row>
    <row r="53" spans="2:38" s="25" customFormat="1" ht="18.75" customHeight="1" x14ac:dyDescent="0.25">
      <c r="B53" s="354" t="s">
        <v>357</v>
      </c>
      <c r="C53" s="14"/>
      <c r="D53" s="14"/>
      <c r="E53" s="14"/>
      <c r="F53" s="14"/>
      <c r="G53" s="228"/>
      <c r="H53" s="14"/>
      <c r="I53" s="243"/>
      <c r="J53" s="10">
        <v>262</v>
      </c>
      <c r="K53" s="20">
        <f>VLOOKUP(AC53,'FS Data'!$A:$B,2,FALSE)</f>
        <v>0</v>
      </c>
      <c r="L53" s="13">
        <v>50</v>
      </c>
      <c r="M53" s="355" t="s">
        <v>434</v>
      </c>
      <c r="N53" s="355"/>
      <c r="O53" s="630"/>
      <c r="P53" s="630"/>
      <c r="Q53" s="634"/>
      <c r="R53" s="635"/>
      <c r="S53" s="632"/>
      <c r="T53" s="632"/>
      <c r="U53" s="633"/>
      <c r="V53" s="13">
        <v>365</v>
      </c>
      <c r="W53" s="20">
        <f>VLOOKUP(AL53,'FS Data'!$A:$B,2,FALSE)</f>
        <v>0</v>
      </c>
      <c r="X53" s="13">
        <v>50</v>
      </c>
      <c r="Y53" s="216">
        <v>105004</v>
      </c>
      <c r="Z53" s="216">
        <v>105005</v>
      </c>
      <c r="AA53" s="216">
        <v>105006</v>
      </c>
      <c r="AB53" s="216">
        <v>105007</v>
      </c>
      <c r="AC53" s="215">
        <v>105008</v>
      </c>
      <c r="AD53" s="216"/>
      <c r="AE53" s="216"/>
      <c r="AF53" s="216"/>
      <c r="AG53" s="216"/>
      <c r="AH53" s="216"/>
      <c r="AI53" s="215"/>
      <c r="AL53" s="215">
        <v>105018</v>
      </c>
    </row>
    <row r="54" spans="2:38" s="25" customFormat="1" ht="21.6" customHeight="1" x14ac:dyDescent="0.25">
      <c r="B54" s="354" t="s">
        <v>358</v>
      </c>
      <c r="C54" s="14"/>
      <c r="D54" s="14"/>
      <c r="E54" s="14"/>
      <c r="F54" s="14"/>
      <c r="G54" s="228"/>
      <c r="H54" s="14"/>
      <c r="I54" s="243"/>
      <c r="J54" s="10">
        <v>264</v>
      </c>
      <c r="K54" s="20">
        <f>VLOOKUP(AC54,'FS Data'!$A:$B,2,FALSE)</f>
        <v>0</v>
      </c>
      <c r="L54" s="13">
        <v>51</v>
      </c>
      <c r="M54" s="576" t="s">
        <v>435</v>
      </c>
      <c r="N54" s="584"/>
      <c r="O54" s="629"/>
      <c r="P54" s="629"/>
      <c r="Q54" s="629"/>
      <c r="R54" s="629"/>
      <c r="S54" s="629"/>
      <c r="T54" s="629"/>
      <c r="U54" s="629"/>
      <c r="V54" s="13">
        <v>370</v>
      </c>
      <c r="W54" s="20">
        <f>VLOOKUP(AL54,'FS Data'!$A:$B,2,FALSE)</f>
        <v>3866489</v>
      </c>
      <c r="X54" s="13">
        <v>51</v>
      </c>
      <c r="Y54" s="216">
        <v>105104</v>
      </c>
      <c r="Z54" s="216">
        <v>105105</v>
      </c>
      <c r="AA54" s="216">
        <v>105106</v>
      </c>
      <c r="AB54" s="216">
        <v>105107</v>
      </c>
      <c r="AC54" s="215">
        <v>105108</v>
      </c>
      <c r="AD54" s="216"/>
      <c r="AE54" s="216"/>
      <c r="AF54" s="216"/>
      <c r="AG54" s="216"/>
      <c r="AH54" s="216"/>
      <c r="AI54" s="215"/>
      <c r="AL54" s="215">
        <v>105118</v>
      </c>
    </row>
    <row r="55" spans="2:38" s="25" customFormat="1" ht="18.75" customHeight="1" x14ac:dyDescent="0.25">
      <c r="B55" s="354" t="s">
        <v>359</v>
      </c>
      <c r="C55" s="14"/>
      <c r="D55" s="14"/>
      <c r="E55" s="14"/>
      <c r="F55" s="14"/>
      <c r="G55" s="228"/>
      <c r="H55" s="14"/>
      <c r="I55" s="242"/>
      <c r="J55" s="10">
        <v>270</v>
      </c>
      <c r="K55" s="510">
        <f>VLOOKUP(AC55,'FS Data'!$A:$B,2,FALSE)</f>
        <v>12292</v>
      </c>
      <c r="L55" s="13">
        <v>52</v>
      </c>
      <c r="M55" s="354" t="s">
        <v>436</v>
      </c>
      <c r="N55" s="584"/>
      <c r="O55" s="629"/>
      <c r="P55" s="629"/>
      <c r="Q55" s="629"/>
      <c r="R55" s="629"/>
      <c r="S55" s="629"/>
      <c r="T55" s="629"/>
      <c r="U55" s="636"/>
      <c r="V55" s="13">
        <v>375</v>
      </c>
      <c r="W55" s="20">
        <f>VLOOKUP(AL55,'FS Data'!$A:$B,2,FALSE)</f>
        <v>0</v>
      </c>
      <c r="X55" s="16">
        <v>52</v>
      </c>
      <c r="Y55" s="216">
        <v>105204</v>
      </c>
      <c r="Z55" s="216">
        <v>105205</v>
      </c>
      <c r="AA55" s="216">
        <v>105206</v>
      </c>
      <c r="AB55" s="216">
        <v>105207</v>
      </c>
      <c r="AC55" s="215">
        <v>105208</v>
      </c>
      <c r="AD55" s="216"/>
      <c r="AE55" s="216"/>
      <c r="AF55" s="216"/>
      <c r="AG55" s="216"/>
      <c r="AH55" s="216"/>
      <c r="AI55" s="215"/>
      <c r="AL55" s="215">
        <v>105218</v>
      </c>
    </row>
    <row r="56" spans="2:38" s="25" customFormat="1" ht="18.75" customHeight="1" x14ac:dyDescent="0.25">
      <c r="B56" s="350" t="s">
        <v>360</v>
      </c>
      <c r="C56" s="24"/>
      <c r="D56" s="24"/>
      <c r="E56" s="24"/>
      <c r="F56" s="24"/>
      <c r="G56" s="24"/>
      <c r="H56" s="24"/>
      <c r="I56" s="24"/>
      <c r="J56" s="509"/>
      <c r="K56" s="20">
        <f>VLOOKUP(AC56,'FS Data'!$A:$B,2,FALSE)</f>
        <v>12292</v>
      </c>
      <c r="L56" s="13">
        <v>53</v>
      </c>
      <c r="M56" s="461"/>
      <c r="N56" s="760"/>
      <c r="O56" s="761"/>
      <c r="P56" s="761"/>
      <c r="Q56" s="761"/>
      <c r="R56" s="761"/>
      <c r="S56" s="761"/>
      <c r="T56" s="761"/>
      <c r="U56" s="761"/>
      <c r="V56" s="422"/>
      <c r="W56" s="537"/>
      <c r="X56" s="13">
        <v>53</v>
      </c>
      <c r="Y56" s="216">
        <v>105304</v>
      </c>
      <c r="Z56" s="216">
        <v>105305</v>
      </c>
      <c r="AA56" s="216">
        <v>105306</v>
      </c>
      <c r="AB56" s="216">
        <v>105307</v>
      </c>
      <c r="AC56" s="215">
        <v>105308</v>
      </c>
      <c r="AD56" s="216"/>
      <c r="AE56" s="216"/>
      <c r="AF56" s="216"/>
      <c r="AG56" s="216"/>
      <c r="AH56" s="216"/>
      <c r="AI56" s="215"/>
      <c r="AL56" s="215">
        <v>105318</v>
      </c>
    </row>
    <row r="57" spans="2:38" s="25" customFormat="1" ht="18.75" customHeight="1" x14ac:dyDescent="0.25">
      <c r="B57" s="752"/>
      <c r="C57" s="499"/>
      <c r="D57" s="499"/>
      <c r="E57" s="499"/>
      <c r="F57" s="499"/>
      <c r="G57" s="499"/>
      <c r="H57" s="499"/>
      <c r="I57" s="499"/>
      <c r="J57" s="514"/>
      <c r="K57" s="515"/>
      <c r="L57" s="13">
        <v>54</v>
      </c>
      <c r="M57" s="575" t="s">
        <v>437</v>
      </c>
      <c r="N57" s="622"/>
      <c r="O57" s="622"/>
      <c r="P57" s="622"/>
      <c r="Q57" s="622"/>
      <c r="R57" s="622"/>
      <c r="S57" s="622"/>
      <c r="T57" s="622"/>
      <c r="U57" s="620"/>
      <c r="V57" s="538"/>
      <c r="W57" s="539"/>
      <c r="X57" s="13">
        <v>54</v>
      </c>
      <c r="Y57" s="216">
        <v>105404</v>
      </c>
      <c r="Z57" s="216">
        <v>105405</v>
      </c>
      <c r="AA57" s="216">
        <v>105406</v>
      </c>
      <c r="AB57" s="216">
        <v>105407</v>
      </c>
      <c r="AC57" s="215">
        <v>105408</v>
      </c>
      <c r="AD57" s="216"/>
      <c r="AE57" s="216"/>
      <c r="AF57" s="216"/>
      <c r="AG57" s="216"/>
      <c r="AH57" s="216"/>
      <c r="AI57" s="215"/>
      <c r="AL57" s="215">
        <v>105418</v>
      </c>
    </row>
    <row r="58" spans="2:38" s="25" customFormat="1" ht="18.75" customHeight="1" x14ac:dyDescent="0.25">
      <c r="B58" s="350" t="s">
        <v>361</v>
      </c>
      <c r="C58" s="241"/>
      <c r="D58" s="14"/>
      <c r="E58" s="14"/>
      <c r="F58" s="14"/>
      <c r="G58" s="14"/>
      <c r="H58" s="14"/>
      <c r="I58" s="26" t="s">
        <v>36</v>
      </c>
      <c r="J58" s="498"/>
      <c r="K58" s="516"/>
      <c r="L58" s="13">
        <v>55</v>
      </c>
      <c r="M58" s="597"/>
      <c r="N58" s="622"/>
      <c r="O58" s="622"/>
      <c r="P58" s="622"/>
      <c r="Q58" s="622"/>
      <c r="R58" s="622"/>
      <c r="S58" s="622"/>
      <c r="T58" s="622"/>
      <c r="U58" s="622"/>
      <c r="V58" s="540"/>
      <c r="W58" s="520"/>
      <c r="X58" s="13">
        <v>55</v>
      </c>
      <c r="Y58" s="216">
        <v>105504</v>
      </c>
      <c r="Z58" s="216">
        <v>105505</v>
      </c>
      <c r="AA58" s="216">
        <v>105506</v>
      </c>
      <c r="AB58" s="216">
        <v>105507</v>
      </c>
      <c r="AC58" s="215">
        <v>105508</v>
      </c>
      <c r="AD58" s="216"/>
      <c r="AE58" s="216"/>
      <c r="AF58" s="216"/>
      <c r="AG58" s="216"/>
      <c r="AH58" s="216"/>
      <c r="AI58" s="215"/>
      <c r="AL58" s="215">
        <v>105518</v>
      </c>
    </row>
    <row r="59" spans="2:38" s="43" customFormat="1" ht="21.6" customHeight="1" x14ac:dyDescent="0.25">
      <c r="B59" s="354" t="s">
        <v>362</v>
      </c>
      <c r="C59" s="14"/>
      <c r="D59" s="14"/>
      <c r="E59" s="14"/>
      <c r="F59" s="14"/>
      <c r="G59" s="14"/>
      <c r="H59" s="14"/>
      <c r="I59" s="137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76" t="s">
        <v>438</v>
      </c>
      <c r="N59" s="584"/>
      <c r="O59" s="629"/>
      <c r="P59" s="629"/>
      <c r="Q59" s="629"/>
      <c r="R59" s="629"/>
      <c r="S59" s="629"/>
      <c r="T59" s="629"/>
      <c r="U59" s="629"/>
      <c r="V59" s="10">
        <v>380</v>
      </c>
      <c r="W59" s="20">
        <f>VLOOKUP(AL59,'FS Data'!$A:$B,2,FALSE)</f>
        <v>0</v>
      </c>
      <c r="X59" s="42">
        <v>56</v>
      </c>
      <c r="Y59" s="216">
        <v>105604</v>
      </c>
      <c r="Z59" s="216">
        <v>105605</v>
      </c>
      <c r="AA59" s="216">
        <v>105606</v>
      </c>
      <c r="AB59" s="216">
        <v>105607</v>
      </c>
      <c r="AC59" s="215">
        <v>105608</v>
      </c>
      <c r="AD59" s="217"/>
      <c r="AE59" s="217"/>
      <c r="AF59" s="217"/>
      <c r="AG59" s="217"/>
      <c r="AH59" s="217"/>
      <c r="AI59" s="215"/>
      <c r="AL59" s="215">
        <v>105618</v>
      </c>
    </row>
    <row r="60" spans="2:38" s="25" customFormat="1" ht="21.6" customHeight="1" x14ac:dyDescent="0.25">
      <c r="B60" s="354" t="s">
        <v>363</v>
      </c>
      <c r="C60" s="14"/>
      <c r="D60" s="14"/>
      <c r="E60" s="14"/>
      <c r="F60" s="14" t="s">
        <v>32</v>
      </c>
      <c r="G60" s="14" t="s">
        <v>32</v>
      </c>
      <c r="H60" s="14"/>
      <c r="I60" s="137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9" t="s">
        <v>439</v>
      </c>
      <c r="N60" s="780"/>
      <c r="O60" s="780"/>
      <c r="P60" s="780"/>
      <c r="Q60" s="780"/>
      <c r="R60" s="780"/>
      <c r="S60" s="780"/>
      <c r="T60" s="780"/>
      <c r="U60" s="781"/>
      <c r="V60" s="42">
        <v>390</v>
      </c>
      <c r="W60" s="20">
        <f>VLOOKUP(AL60,'FS Data'!$A:$B,2,FALSE)</f>
        <v>0</v>
      </c>
      <c r="X60" s="13">
        <v>57</v>
      </c>
      <c r="Y60" s="216">
        <v>105704</v>
      </c>
      <c r="Z60" s="216">
        <v>105705</v>
      </c>
      <c r="AA60" s="216">
        <v>105706</v>
      </c>
      <c r="AB60" s="216">
        <v>105707</v>
      </c>
      <c r="AC60" s="215">
        <v>105708</v>
      </c>
      <c r="AD60" s="216"/>
      <c r="AE60" s="216"/>
      <c r="AF60" s="216"/>
      <c r="AG60" s="216"/>
      <c r="AH60" s="216"/>
      <c r="AI60" s="215"/>
      <c r="AL60" s="215">
        <v>105718</v>
      </c>
    </row>
    <row r="61" spans="2:38" s="25" customFormat="1" ht="18.75" customHeight="1" x14ac:dyDescent="0.25">
      <c r="B61" s="350" t="s">
        <v>364</v>
      </c>
      <c r="C61" s="24"/>
      <c r="D61" s="24"/>
      <c r="E61" s="24"/>
      <c r="F61" s="24"/>
      <c r="G61" s="24"/>
      <c r="H61" s="24"/>
      <c r="I61" s="24"/>
      <c r="J61" s="509"/>
      <c r="K61" s="20">
        <f>VLOOKUP(AC61,'FS Data'!$A:$B,2,FALSE)</f>
        <v>0</v>
      </c>
      <c r="L61" s="13">
        <v>58</v>
      </c>
      <c r="M61" s="782"/>
      <c r="N61" s="783"/>
      <c r="O61" s="783"/>
      <c r="P61" s="783"/>
      <c r="Q61" s="783"/>
      <c r="R61" s="783"/>
      <c r="S61" s="783"/>
      <c r="T61" s="783"/>
      <c r="U61" s="783"/>
      <c r="V61" s="531"/>
      <c r="W61" s="532"/>
      <c r="X61" s="13">
        <v>58</v>
      </c>
      <c r="Y61" s="216">
        <v>105804</v>
      </c>
      <c r="Z61" s="216">
        <v>105805</v>
      </c>
      <c r="AA61" s="216">
        <v>105806</v>
      </c>
      <c r="AB61" s="216">
        <v>105807</v>
      </c>
      <c r="AC61" s="215">
        <v>105808</v>
      </c>
      <c r="AD61" s="216"/>
      <c r="AE61" s="216"/>
      <c r="AF61" s="216"/>
      <c r="AG61" s="216"/>
      <c r="AH61" s="216"/>
      <c r="AI61" s="215"/>
      <c r="AK61" s="216"/>
      <c r="AL61" s="215">
        <v>105818</v>
      </c>
    </row>
    <row r="62" spans="2:38" s="25" customFormat="1" ht="18.75" customHeight="1" x14ac:dyDescent="0.25">
      <c r="B62" s="575" t="s">
        <v>365</v>
      </c>
      <c r="C62" s="511"/>
      <c r="D62" s="511"/>
      <c r="E62" s="511"/>
      <c r="F62" s="511"/>
      <c r="G62" s="511"/>
      <c r="H62" s="511"/>
      <c r="I62" s="511"/>
      <c r="J62" s="512"/>
      <c r="K62" s="20">
        <f>VLOOKUP(AC62,'FS Data'!$A:$B,2,FALSE)</f>
        <v>9671467</v>
      </c>
      <c r="L62" s="13">
        <v>59</v>
      </c>
      <c r="M62" s="54"/>
      <c r="N62" s="784" t="s">
        <v>440</v>
      </c>
      <c r="O62" s="785"/>
      <c r="P62" s="785"/>
      <c r="Q62" s="786"/>
      <c r="R62" s="640" t="s">
        <v>441</v>
      </c>
      <c r="S62" s="641"/>
      <c r="T62" s="642"/>
      <c r="U62" s="643" t="s">
        <v>442</v>
      </c>
      <c r="V62" s="533"/>
      <c r="W62" s="534"/>
      <c r="X62" s="13">
        <v>59</v>
      </c>
      <c r="Y62" s="216">
        <v>105904</v>
      </c>
      <c r="Z62" s="216">
        <v>105905</v>
      </c>
      <c r="AA62" s="216">
        <v>105906</v>
      </c>
      <c r="AB62" s="216">
        <v>105907</v>
      </c>
      <c r="AC62" s="215">
        <v>105908</v>
      </c>
      <c r="AD62" s="216"/>
      <c r="AE62" s="216"/>
      <c r="AF62" s="216"/>
      <c r="AG62" s="216"/>
      <c r="AH62" s="216"/>
      <c r="AI62" s="215"/>
      <c r="AK62" s="216"/>
      <c r="AL62" s="215">
        <v>105918</v>
      </c>
    </row>
    <row r="63" spans="2:38" s="25" customFormat="1" ht="18.75" customHeight="1" x14ac:dyDescent="0.25">
      <c r="B63" s="755" t="s">
        <v>366</v>
      </c>
      <c r="C63" s="493"/>
      <c r="D63" s="490"/>
      <c r="E63" s="490"/>
      <c r="F63" s="490"/>
      <c r="G63" s="490"/>
      <c r="H63" s="490"/>
      <c r="I63" s="490"/>
      <c r="J63" s="517"/>
      <c r="K63" s="515"/>
      <c r="L63" s="13">
        <v>60</v>
      </c>
      <c r="M63" s="59"/>
      <c r="N63" s="644" t="s">
        <v>136</v>
      </c>
      <c r="O63" s="645" t="s">
        <v>443</v>
      </c>
      <c r="P63" s="645" t="s">
        <v>163</v>
      </c>
      <c r="Q63" s="644" t="s">
        <v>137</v>
      </c>
      <c r="R63" s="644" t="s">
        <v>444</v>
      </c>
      <c r="S63" s="644" t="s">
        <v>445</v>
      </c>
      <c r="T63" s="644" t="s">
        <v>446</v>
      </c>
      <c r="U63" s="646"/>
      <c r="V63" s="533"/>
      <c r="W63" s="534"/>
      <c r="X63" s="13">
        <v>60</v>
      </c>
      <c r="Y63" s="216">
        <v>106004</v>
      </c>
      <c r="Z63" s="216">
        <v>106005</v>
      </c>
      <c r="AA63" s="216">
        <v>106006</v>
      </c>
      <c r="AB63" s="216">
        <v>106007</v>
      </c>
      <c r="AC63" s="215">
        <v>106008</v>
      </c>
      <c r="AD63" s="216"/>
      <c r="AE63" s="216"/>
      <c r="AF63" s="216"/>
      <c r="AG63" s="216"/>
      <c r="AH63" s="216"/>
      <c r="AI63" s="215"/>
      <c r="AK63" s="216"/>
      <c r="AL63" s="215">
        <v>106018</v>
      </c>
    </row>
    <row r="64" spans="2:38" s="25" customFormat="1" ht="18.75" customHeight="1" x14ac:dyDescent="0.25">
      <c r="B64" s="355"/>
      <c r="C64" s="55" t="s">
        <v>30</v>
      </c>
      <c r="D64" s="790" t="s">
        <v>134</v>
      </c>
      <c r="E64" s="785"/>
      <c r="F64" s="785"/>
      <c r="G64" s="785"/>
      <c r="H64" s="786"/>
      <c r="I64" s="56" t="s">
        <v>135</v>
      </c>
      <c r="J64" s="57"/>
      <c r="K64" s="516"/>
      <c r="L64" s="13">
        <v>61</v>
      </c>
      <c r="M64" s="647" t="s">
        <v>139</v>
      </c>
      <c r="N64" s="114">
        <f>VLOOKUP(AD64,'FS Data'!$A:$B,2,FALSE)</f>
        <v>4</v>
      </c>
      <c r="O64" s="114">
        <f>VLOOKUP(AE64,'FS Data'!$A:$B,2,FALSE)</f>
        <v>5</v>
      </c>
      <c r="P64" s="222">
        <f>VLOOKUP(AF64,'FS Data'!$A:$B,2,FALSE)</f>
        <v>5</v>
      </c>
      <c r="Q64" s="114">
        <f>VLOOKUP(AG64,'FS Data'!$A:$B,2,FALSE)</f>
        <v>0</v>
      </c>
      <c r="R64" s="114">
        <f>VLOOKUP(AH64,'FS Data'!$A:$B,2,FALSE)</f>
        <v>13</v>
      </c>
      <c r="S64" s="114">
        <f>VLOOKUP(AI64,'FS Data'!$A:$B,2,FALSE)</f>
        <v>0</v>
      </c>
      <c r="T64" s="569">
        <f>VLOOKUP(AJ64,'FS Data'!$A:$B,2,FALSE)</f>
        <v>13</v>
      </c>
      <c r="U64" s="569">
        <f>VLOOKUP(AK64,'FS Data'!$A:$B,2,FALSE)</f>
        <v>-87245</v>
      </c>
      <c r="V64" s="543"/>
      <c r="W64" s="534"/>
      <c r="X64" s="13">
        <v>61</v>
      </c>
      <c r="Y64" s="216">
        <v>106104</v>
      </c>
      <c r="Z64" s="216">
        <v>106105</v>
      </c>
      <c r="AA64" s="216">
        <v>106106</v>
      </c>
      <c r="AB64" s="216">
        <v>106107</v>
      </c>
      <c r="AC64" s="215">
        <v>106108</v>
      </c>
      <c r="AD64" s="216">
        <v>106110</v>
      </c>
      <c r="AE64" s="216">
        <v>106111</v>
      </c>
      <c r="AF64" s="216">
        <v>106112</v>
      </c>
      <c r="AG64" s="216">
        <v>106113</v>
      </c>
      <c r="AH64" s="216">
        <v>106114</v>
      </c>
      <c r="AI64" s="215">
        <v>106115</v>
      </c>
      <c r="AJ64" s="215">
        <v>106116</v>
      </c>
      <c r="AK64" s="215">
        <v>106117</v>
      </c>
    </row>
    <row r="65" spans="2:38" s="25" customFormat="1" ht="18.75" customHeight="1" x14ac:dyDescent="0.25">
      <c r="B65" s="356" t="s">
        <v>367</v>
      </c>
      <c r="C65" s="42">
        <v>280</v>
      </c>
      <c r="D65" s="791">
        <f>VLOOKUP(Z65,'FS Data'!$A:$B,2,FALSE)</f>
        <v>0</v>
      </c>
      <c r="E65" s="792"/>
      <c r="F65" s="792"/>
      <c r="G65" s="792"/>
      <c r="H65" s="793"/>
      <c r="I65" s="518"/>
      <c r="J65" s="519"/>
      <c r="K65" s="20">
        <f>VLOOKUP(AC65,'FS Data'!$A:$B,2,FALSE)</f>
        <v>0</v>
      </c>
      <c r="L65" s="13">
        <v>62</v>
      </c>
      <c r="M65" s="647" t="s">
        <v>141</v>
      </c>
      <c r="N65" s="114">
        <f>VLOOKUP(AD65,'FS Data'!$A:$B,2,FALSE)</f>
        <v>0</v>
      </c>
      <c r="O65" s="114">
        <f>VLOOKUP(AE65,'FS Data'!$A:$B,2,FALSE)</f>
        <v>0</v>
      </c>
      <c r="P65" s="222">
        <f>VLOOKUP(AF65,'FS Data'!$A:$B,2,FALSE)</f>
        <v>0</v>
      </c>
      <c r="Q65" s="114">
        <f>VLOOKUP(AG65,'FS Data'!$A:$B,2,FALSE)</f>
        <v>0</v>
      </c>
      <c r="R65" s="114">
        <f>VLOOKUP(AH65,'FS Data'!$A:$B,2,FALSE)</f>
        <v>0</v>
      </c>
      <c r="S65" s="114">
        <f>VLOOKUP(AI65,'FS Data'!$A:$B,2,FALSE)</f>
        <v>0</v>
      </c>
      <c r="T65" s="569">
        <f>VLOOKUP(AJ65,'FS Data'!$A:$B,2,FALSE)</f>
        <v>0</v>
      </c>
      <c r="U65" s="569">
        <f>VLOOKUP(AK65,'FS Data'!$A:$B,2,FALSE)</f>
        <v>0</v>
      </c>
      <c r="V65" s="543"/>
      <c r="W65" s="534"/>
      <c r="X65" s="13">
        <v>62</v>
      </c>
      <c r="Y65" s="216">
        <v>106204</v>
      </c>
      <c r="Z65" s="216">
        <v>106205</v>
      </c>
      <c r="AA65" s="216">
        <v>106206</v>
      </c>
      <c r="AB65" s="216">
        <v>106207</v>
      </c>
      <c r="AC65" s="215">
        <v>106208</v>
      </c>
      <c r="AD65" s="216">
        <v>106210</v>
      </c>
      <c r="AE65" s="216">
        <v>106211</v>
      </c>
      <c r="AF65" s="216">
        <v>106212</v>
      </c>
      <c r="AG65" s="216">
        <v>106213</v>
      </c>
      <c r="AH65" s="216">
        <v>106214</v>
      </c>
      <c r="AI65" s="215">
        <v>106215</v>
      </c>
      <c r="AJ65" s="215">
        <v>106216</v>
      </c>
      <c r="AK65" s="215">
        <v>106217</v>
      </c>
    </row>
    <row r="66" spans="2:38" s="25" customFormat="1" ht="18.75" customHeight="1" x14ac:dyDescent="0.25">
      <c r="B66" s="356" t="s">
        <v>368</v>
      </c>
      <c r="C66" s="42" t="s">
        <v>138</v>
      </c>
      <c r="D66" s="791">
        <f>VLOOKUP(Z66,'FS Data'!$A:$B,2,FALSE)</f>
        <v>0</v>
      </c>
      <c r="E66" s="792"/>
      <c r="F66" s="792"/>
      <c r="G66" s="792"/>
      <c r="H66" s="793"/>
      <c r="I66" s="791">
        <f>VLOOKUP(AA66,'FS Data'!$A:$B,2,FALSE)</f>
        <v>0</v>
      </c>
      <c r="J66" s="794"/>
      <c r="K66" s="20">
        <f>VLOOKUP(AC66,'FS Data'!$A:$B,2,FALSE)</f>
        <v>0</v>
      </c>
      <c r="L66" s="13">
        <v>63</v>
      </c>
      <c r="M66" s="647" t="s">
        <v>143</v>
      </c>
      <c r="N66" s="114">
        <f>VLOOKUP(AD66,'FS Data'!$A:$B,2,FALSE)</f>
        <v>0</v>
      </c>
      <c r="O66" s="114">
        <f>VLOOKUP(AE66,'FS Data'!$A:$B,2,FALSE)</f>
        <v>0</v>
      </c>
      <c r="P66" s="222">
        <f>VLOOKUP(AF66,'FS Data'!$A:$B,2,FALSE)</f>
        <v>0</v>
      </c>
      <c r="Q66" s="114">
        <f>VLOOKUP(AG66,'FS Data'!$A:$B,2,FALSE)</f>
        <v>0</v>
      </c>
      <c r="R66" s="114">
        <f>VLOOKUP(AH66,'FS Data'!$A:$B,2,FALSE)</f>
        <v>0</v>
      </c>
      <c r="S66" s="114">
        <f>VLOOKUP(AI66,'FS Data'!$A:$B,2,FALSE)</f>
        <v>0</v>
      </c>
      <c r="T66" s="569">
        <f>VLOOKUP(AJ66,'FS Data'!$A:$B,2,FALSE)</f>
        <v>0</v>
      </c>
      <c r="U66" s="569">
        <f>VLOOKUP(AK66,'FS Data'!$A:$B,2,FALSE)</f>
        <v>0</v>
      </c>
      <c r="V66" s="543"/>
      <c r="W66" s="534"/>
      <c r="X66" s="13">
        <v>63</v>
      </c>
      <c r="Y66" s="216">
        <v>106304</v>
      </c>
      <c r="Z66" s="216">
        <v>106305</v>
      </c>
      <c r="AA66" s="216">
        <v>106306</v>
      </c>
      <c r="AB66" s="216">
        <v>106307</v>
      </c>
      <c r="AC66" s="215">
        <v>106308</v>
      </c>
      <c r="AD66" s="216">
        <v>106310</v>
      </c>
      <c r="AE66" s="216">
        <v>106311</v>
      </c>
      <c r="AF66" s="216">
        <v>106312</v>
      </c>
      <c r="AG66" s="216">
        <v>106313</v>
      </c>
      <c r="AH66" s="216">
        <v>106314</v>
      </c>
      <c r="AI66" s="215">
        <v>106315</v>
      </c>
      <c r="AJ66" s="215">
        <v>106316</v>
      </c>
      <c r="AK66" s="215">
        <v>106317</v>
      </c>
    </row>
    <row r="67" spans="2:38" s="25" customFormat="1" ht="18.75" customHeight="1" x14ac:dyDescent="0.25">
      <c r="B67" s="356" t="s">
        <v>369</v>
      </c>
      <c r="C67" s="42" t="s">
        <v>140</v>
      </c>
      <c r="D67" s="791">
        <f>VLOOKUP(Z67,'FS Data'!$A:$B,2,FALSE)</f>
        <v>671205</v>
      </c>
      <c r="E67" s="792"/>
      <c r="F67" s="792"/>
      <c r="G67" s="792"/>
      <c r="H67" s="793"/>
      <c r="I67" s="791">
        <f>VLOOKUP(AA67,'FS Data'!$A:$B,2,FALSE)</f>
        <v>455943</v>
      </c>
      <c r="J67" s="794"/>
      <c r="K67" s="20">
        <f>VLOOKUP(AC67,'FS Data'!$A:$B,2,FALSE)</f>
        <v>215262</v>
      </c>
      <c r="L67" s="13">
        <v>64</v>
      </c>
      <c r="M67" s="647" t="s">
        <v>145</v>
      </c>
      <c r="N67" s="114">
        <f>VLOOKUP(AD67,'FS Data'!$A:$B,2,FALSE)</f>
        <v>0</v>
      </c>
      <c r="O67" s="114">
        <f>VLOOKUP(AE67,'FS Data'!$A:$B,2,FALSE)</f>
        <v>0</v>
      </c>
      <c r="P67" s="222">
        <f>VLOOKUP(AF67,'FS Data'!$A:$B,2,FALSE)</f>
        <v>0</v>
      </c>
      <c r="Q67" s="114">
        <f>VLOOKUP(AG67,'FS Data'!$A:$B,2,FALSE)</f>
        <v>0</v>
      </c>
      <c r="R67" s="114">
        <f>VLOOKUP(AH67,'FS Data'!$A:$B,2,FALSE)</f>
        <v>0</v>
      </c>
      <c r="S67" s="114">
        <f>VLOOKUP(AI67,'FS Data'!$A:$B,2,FALSE)</f>
        <v>0</v>
      </c>
      <c r="T67" s="569">
        <f>VLOOKUP(AJ67,'FS Data'!$A:$B,2,FALSE)</f>
        <v>0</v>
      </c>
      <c r="U67" s="569">
        <f>VLOOKUP(AK67,'FS Data'!$A:$B,2,FALSE)</f>
        <v>0</v>
      </c>
      <c r="V67" s="543"/>
      <c r="W67" s="534"/>
      <c r="X67" s="13">
        <v>64</v>
      </c>
      <c r="Y67" s="216">
        <v>106404</v>
      </c>
      <c r="Z67" s="216">
        <v>106405</v>
      </c>
      <c r="AA67" s="216">
        <v>106406</v>
      </c>
      <c r="AB67" s="216">
        <v>106407</v>
      </c>
      <c r="AC67" s="215">
        <v>106408</v>
      </c>
      <c r="AD67" s="216">
        <v>106410</v>
      </c>
      <c r="AE67" s="216">
        <v>106411</v>
      </c>
      <c r="AF67" s="216">
        <v>106412</v>
      </c>
      <c r="AG67" s="216">
        <v>106413</v>
      </c>
      <c r="AH67" s="216">
        <v>106414</v>
      </c>
      <c r="AI67" s="215">
        <v>106415</v>
      </c>
      <c r="AJ67" s="215">
        <v>106416</v>
      </c>
      <c r="AK67" s="215">
        <v>106417</v>
      </c>
    </row>
    <row r="68" spans="2:38" s="25" customFormat="1" ht="18.75" customHeight="1" x14ac:dyDescent="0.25">
      <c r="B68" s="356" t="s">
        <v>370</v>
      </c>
      <c r="C68" s="42" t="s">
        <v>142</v>
      </c>
      <c r="D68" s="791">
        <f>VLOOKUP(Z68,'FS Data'!$A:$B,2,FALSE)</f>
        <v>17171</v>
      </c>
      <c r="E68" s="792"/>
      <c r="F68" s="792"/>
      <c r="G68" s="792"/>
      <c r="H68" s="793"/>
      <c r="I68" s="791">
        <f>VLOOKUP(AA68,'FS Data'!$A:$B,2,FALSE)</f>
        <v>15553</v>
      </c>
      <c r="J68" s="794"/>
      <c r="K68" s="20">
        <f>VLOOKUP(AC68,'FS Data'!$A:$B,2,FALSE)</f>
        <v>1618</v>
      </c>
      <c r="L68" s="13">
        <v>65</v>
      </c>
      <c r="M68" s="647" t="s">
        <v>143</v>
      </c>
      <c r="N68" s="114">
        <f>VLOOKUP(AD68,'FS Data'!$A:$B,2,FALSE)</f>
        <v>0</v>
      </c>
      <c r="O68" s="114">
        <f>VLOOKUP(AE68,'FS Data'!$A:$B,2,FALSE)</f>
        <v>0</v>
      </c>
      <c r="P68" s="222">
        <f>VLOOKUP(AF68,'FS Data'!$A:$B,2,FALSE)</f>
        <v>0</v>
      </c>
      <c r="Q68" s="114">
        <f>VLOOKUP(AG68,'FS Data'!$A:$B,2,FALSE)</f>
        <v>0</v>
      </c>
      <c r="R68" s="114">
        <f>VLOOKUP(AH68,'FS Data'!$A:$B,2,FALSE)</f>
        <v>0</v>
      </c>
      <c r="S68" s="114">
        <f>VLOOKUP(AI68,'FS Data'!$A:$B,2,FALSE)</f>
        <v>0</v>
      </c>
      <c r="T68" s="569">
        <f>VLOOKUP(AJ68,'FS Data'!$A:$B,2,FALSE)</f>
        <v>0</v>
      </c>
      <c r="U68" s="569">
        <f>VLOOKUP(AK68,'FS Data'!$A:$B,2,FALSE)</f>
        <v>0</v>
      </c>
      <c r="V68" s="533"/>
      <c r="W68" s="534"/>
      <c r="X68" s="13">
        <v>65</v>
      </c>
      <c r="Y68" s="216">
        <v>106504</v>
      </c>
      <c r="Z68" s="216">
        <v>106505</v>
      </c>
      <c r="AA68" s="216">
        <v>106506</v>
      </c>
      <c r="AB68" s="216">
        <v>106507</v>
      </c>
      <c r="AC68" s="215">
        <v>106508</v>
      </c>
      <c r="AD68" s="216">
        <v>106510</v>
      </c>
      <c r="AE68" s="216">
        <v>106511</v>
      </c>
      <c r="AF68" s="216">
        <v>106512</v>
      </c>
      <c r="AG68" s="216">
        <v>106513</v>
      </c>
      <c r="AH68" s="216">
        <v>106514</v>
      </c>
      <c r="AI68" s="215">
        <v>106515</v>
      </c>
      <c r="AJ68" s="215">
        <v>106516</v>
      </c>
      <c r="AK68" s="215">
        <v>106517</v>
      </c>
    </row>
    <row r="69" spans="2:38" s="25" customFormat="1" ht="18.75" customHeight="1" x14ac:dyDescent="0.25">
      <c r="B69" s="356" t="s">
        <v>371</v>
      </c>
      <c r="C69" s="42" t="s">
        <v>144</v>
      </c>
      <c r="D69" s="791">
        <f>VLOOKUP(Z69,'FS Data'!$A:$B,2,FALSE)</f>
        <v>739443</v>
      </c>
      <c r="E69" s="792"/>
      <c r="F69" s="792"/>
      <c r="G69" s="792"/>
      <c r="H69" s="793"/>
      <c r="I69" s="791">
        <f>VLOOKUP(AA69,'FS Data'!$A:$B,2,FALSE)</f>
        <v>482638</v>
      </c>
      <c r="J69" s="794"/>
      <c r="K69" s="20">
        <f>VLOOKUP(AC69,'FS Data'!$A:$B,2,FALSE)</f>
        <v>256805</v>
      </c>
      <c r="L69" s="13">
        <v>66</v>
      </c>
      <c r="M69" s="647" t="s">
        <v>139</v>
      </c>
      <c r="N69" s="114">
        <f>VLOOKUP(AD69,'FS Data'!$A:$B,2,FALSE)</f>
        <v>0</v>
      </c>
      <c r="O69" s="114">
        <f>VLOOKUP(AE69,'FS Data'!$A:$B,2,FALSE)</f>
        <v>0</v>
      </c>
      <c r="P69" s="222">
        <f>VLOOKUP(AF69,'FS Data'!$A:$B,2,FALSE)</f>
        <v>0</v>
      </c>
      <c r="Q69" s="114">
        <f>VLOOKUP(AG69,'FS Data'!$A:$B,2,FALSE)</f>
        <v>0</v>
      </c>
      <c r="R69" s="114">
        <f>VLOOKUP(AH69,'FS Data'!$A:$B,2,FALSE)</f>
        <v>0</v>
      </c>
      <c r="S69" s="114">
        <f>VLOOKUP(AI69,'FS Data'!$A:$B,2,FALSE)</f>
        <v>0</v>
      </c>
      <c r="T69" s="569">
        <f>VLOOKUP(AJ69,'FS Data'!$A:$B,2,FALSE)</f>
        <v>0</v>
      </c>
      <c r="U69" s="569">
        <f>VLOOKUP(AK69,'FS Data'!$A:$B,2,FALSE)</f>
        <v>0</v>
      </c>
      <c r="V69" s="533"/>
      <c r="W69" s="534"/>
      <c r="X69" s="13">
        <v>66</v>
      </c>
      <c r="Y69" s="216">
        <v>106604</v>
      </c>
      <c r="Z69" s="216">
        <v>106605</v>
      </c>
      <c r="AA69" s="216">
        <v>106606</v>
      </c>
      <c r="AB69" s="216">
        <v>106607</v>
      </c>
      <c r="AC69" s="215">
        <v>106608</v>
      </c>
      <c r="AD69" s="216">
        <v>106610</v>
      </c>
      <c r="AE69" s="216">
        <v>106611</v>
      </c>
      <c r="AF69" s="216">
        <v>106612</v>
      </c>
      <c r="AG69" s="216">
        <v>106613</v>
      </c>
      <c r="AH69" s="216">
        <v>106614</v>
      </c>
      <c r="AI69" s="215">
        <v>106615</v>
      </c>
      <c r="AJ69" s="215">
        <v>106616</v>
      </c>
      <c r="AK69" s="215">
        <v>106617</v>
      </c>
    </row>
    <row r="70" spans="2:38" s="25" customFormat="1" ht="18.75" customHeight="1" x14ac:dyDescent="0.25">
      <c r="B70" s="356" t="s">
        <v>372</v>
      </c>
      <c r="C70" s="42" t="s">
        <v>146</v>
      </c>
      <c r="D70" s="791">
        <f>VLOOKUP(Z70,'FS Data'!$A:$B,2,FALSE)</f>
        <v>2145</v>
      </c>
      <c r="E70" s="792"/>
      <c r="F70" s="792"/>
      <c r="G70" s="792"/>
      <c r="H70" s="793"/>
      <c r="I70" s="791">
        <f>VLOOKUP(AA70,'FS Data'!$A:$B,2,FALSE)</f>
        <v>2145</v>
      </c>
      <c r="J70" s="794"/>
      <c r="K70" s="20">
        <f>VLOOKUP(AC70,'FS Data'!$A:$B,2,FALSE)</f>
        <v>0</v>
      </c>
      <c r="L70" s="13">
        <v>67</v>
      </c>
      <c r="M70" s="647" t="s">
        <v>139</v>
      </c>
      <c r="N70" s="114">
        <f>VLOOKUP(AD70,'FS Data'!$A:$B,2,FALSE)</f>
        <v>0</v>
      </c>
      <c r="O70" s="114">
        <f>VLOOKUP(AE70,'FS Data'!$A:$B,2,FALSE)</f>
        <v>0</v>
      </c>
      <c r="P70" s="222">
        <f>VLOOKUP(AF70,'FS Data'!$A:$B,2,FALSE)</f>
        <v>0</v>
      </c>
      <c r="Q70" s="114">
        <f>VLOOKUP(AG70,'FS Data'!$A:$B,2,FALSE)</f>
        <v>0</v>
      </c>
      <c r="R70" s="114">
        <f>VLOOKUP(AH70,'FS Data'!$A:$B,2,FALSE)</f>
        <v>0</v>
      </c>
      <c r="S70" s="114">
        <f>VLOOKUP(AI70,'FS Data'!$A:$B,2,FALSE)</f>
        <v>0</v>
      </c>
      <c r="T70" s="569">
        <f>VLOOKUP(AJ70,'FS Data'!$A:$B,2,FALSE)</f>
        <v>0</v>
      </c>
      <c r="U70" s="569">
        <f>VLOOKUP(AK70,'FS Data'!$A:$B,2,FALSE)</f>
        <v>0</v>
      </c>
      <c r="V70" s="533"/>
      <c r="W70" s="534"/>
      <c r="X70" s="13">
        <v>67</v>
      </c>
      <c r="Y70" s="216">
        <v>106704</v>
      </c>
      <c r="Z70" s="216">
        <v>106705</v>
      </c>
      <c r="AA70" s="216">
        <v>106706</v>
      </c>
      <c r="AB70" s="216">
        <v>106707</v>
      </c>
      <c r="AC70" s="215">
        <v>106708</v>
      </c>
      <c r="AD70" s="216">
        <v>106710</v>
      </c>
      <c r="AE70" s="216">
        <v>106711</v>
      </c>
      <c r="AF70" s="216">
        <v>106712</v>
      </c>
      <c r="AG70" s="216">
        <v>106713</v>
      </c>
      <c r="AH70" s="216">
        <v>106714</v>
      </c>
      <c r="AI70" s="215">
        <v>106715</v>
      </c>
      <c r="AJ70" s="215">
        <v>106716</v>
      </c>
      <c r="AK70" s="215">
        <v>106717</v>
      </c>
    </row>
    <row r="71" spans="2:38" s="25" customFormat="1" ht="21.6" customHeight="1" x14ac:dyDescent="0.25">
      <c r="B71" s="356" t="s">
        <v>373</v>
      </c>
      <c r="C71" s="42" t="s">
        <v>147</v>
      </c>
      <c r="D71" s="791">
        <f>VLOOKUP(Z71,'FS Data'!$A:$B,2,FALSE)</f>
        <v>1378347</v>
      </c>
      <c r="E71" s="792"/>
      <c r="F71" s="792"/>
      <c r="G71" s="792"/>
      <c r="H71" s="793"/>
      <c r="I71" s="791">
        <f>VLOOKUP(AA71,'FS Data'!$A:$B,2,FALSE)</f>
        <v>737353</v>
      </c>
      <c r="J71" s="794"/>
      <c r="K71" s="20">
        <f>VLOOKUP(AC71,'FS Data'!$A:$B,2,FALSE)</f>
        <v>640994</v>
      </c>
      <c r="L71" s="13">
        <v>68</v>
      </c>
      <c r="M71" s="647" t="s">
        <v>145</v>
      </c>
      <c r="N71" s="114">
        <f>VLOOKUP(AD71,'FS Data'!$A:$B,2,FALSE)</f>
        <v>0</v>
      </c>
      <c r="O71" s="114">
        <f>VLOOKUP(AE71,'FS Data'!$A:$B,2,FALSE)</f>
        <v>0</v>
      </c>
      <c r="P71" s="222">
        <f>VLOOKUP(AF71,'FS Data'!$A:$B,2,FALSE)</f>
        <v>0</v>
      </c>
      <c r="Q71" s="114">
        <f>VLOOKUP(AG71,'FS Data'!$A:$B,2,FALSE)</f>
        <v>0</v>
      </c>
      <c r="R71" s="114">
        <f>VLOOKUP(AH71,'FS Data'!$A:$B,2,FALSE)</f>
        <v>0</v>
      </c>
      <c r="S71" s="114">
        <f>VLOOKUP(AI71,'FS Data'!$A:$B,2,FALSE)</f>
        <v>0</v>
      </c>
      <c r="T71" s="569">
        <f>VLOOKUP(AJ71,'FS Data'!$A:$B,2,FALSE)</f>
        <v>0</v>
      </c>
      <c r="U71" s="569">
        <f>VLOOKUP(AK71,'FS Data'!$A:$B,2,FALSE)</f>
        <v>0</v>
      </c>
      <c r="V71" s="533"/>
      <c r="W71" s="534"/>
      <c r="X71" s="13">
        <v>68</v>
      </c>
      <c r="Y71" s="216">
        <v>106804</v>
      </c>
      <c r="Z71" s="216">
        <v>106805</v>
      </c>
      <c r="AA71" s="216">
        <v>106806</v>
      </c>
      <c r="AB71" s="216">
        <v>106807</v>
      </c>
      <c r="AC71" s="215">
        <v>106808</v>
      </c>
      <c r="AD71" s="216">
        <v>106810</v>
      </c>
      <c r="AE71" s="216">
        <v>106811</v>
      </c>
      <c r="AF71" s="216">
        <v>106812</v>
      </c>
      <c r="AG71" s="216">
        <v>106813</v>
      </c>
      <c r="AH71" s="216">
        <v>106814</v>
      </c>
      <c r="AI71" s="215">
        <v>106815</v>
      </c>
      <c r="AJ71" s="215">
        <v>106816</v>
      </c>
      <c r="AK71" s="215">
        <v>106817</v>
      </c>
    </row>
    <row r="72" spans="2:38" s="25" customFormat="1" ht="18.75" customHeight="1" x14ac:dyDescent="0.25">
      <c r="B72" s="356" t="s">
        <v>374</v>
      </c>
      <c r="C72" s="42" t="s">
        <v>148</v>
      </c>
      <c r="D72" s="791">
        <f>VLOOKUP(Z72,'FS Data'!$A:$B,2,FALSE)</f>
        <v>0</v>
      </c>
      <c r="E72" s="792"/>
      <c r="F72" s="792"/>
      <c r="G72" s="792"/>
      <c r="H72" s="793"/>
      <c r="I72" s="791">
        <f>VLOOKUP(AA72,'FS Data'!$A:$B,2,FALSE)</f>
        <v>0</v>
      </c>
      <c r="J72" s="794"/>
      <c r="K72" s="20">
        <f>VLOOKUP(AC72,'FS Data'!$A:$B,2,FALSE)</f>
        <v>0</v>
      </c>
      <c r="L72" s="13">
        <v>69</v>
      </c>
      <c r="M72" s="647" t="s">
        <v>37</v>
      </c>
      <c r="N72" s="114">
        <f>VLOOKUP(AD72,'FS Data'!$A:$B,2,FALSE)</f>
        <v>0</v>
      </c>
      <c r="O72" s="114">
        <f>VLOOKUP(AE72,'FS Data'!$A:$B,2,FALSE)</f>
        <v>0</v>
      </c>
      <c r="P72" s="222">
        <f>VLOOKUP(AF72,'FS Data'!$A:$B,2,FALSE)</f>
        <v>0</v>
      </c>
      <c r="Q72" s="114">
        <f>VLOOKUP(AG72,'FS Data'!$A:$B,2,FALSE)</f>
        <v>0</v>
      </c>
      <c r="R72" s="114">
        <f>VLOOKUP(AH72,'FS Data'!$A:$B,2,FALSE)</f>
        <v>0</v>
      </c>
      <c r="S72" s="114">
        <f>VLOOKUP(AI72,'FS Data'!$A:$B,2,FALSE)</f>
        <v>0</v>
      </c>
      <c r="T72" s="569">
        <f>VLOOKUP(AJ72,'FS Data'!$A:$B,2,FALSE)</f>
        <v>0</v>
      </c>
      <c r="U72" s="569">
        <f>VLOOKUP(AK72,'FS Data'!$A:$B,2,FALSE)</f>
        <v>0</v>
      </c>
      <c r="V72" s="533"/>
      <c r="W72" s="534"/>
      <c r="X72" s="13">
        <v>69</v>
      </c>
      <c r="Y72" s="216">
        <v>106904</v>
      </c>
      <c r="Z72" s="216">
        <v>106905</v>
      </c>
      <c r="AA72" s="216">
        <v>106906</v>
      </c>
      <c r="AB72" s="216">
        <v>106907</v>
      </c>
      <c r="AC72" s="215">
        <v>106908</v>
      </c>
      <c r="AD72" s="216">
        <v>106910</v>
      </c>
      <c r="AE72" s="216">
        <v>106911</v>
      </c>
      <c r="AF72" s="216">
        <v>106912</v>
      </c>
      <c r="AG72" s="216">
        <v>106913</v>
      </c>
      <c r="AH72" s="216">
        <v>106914</v>
      </c>
      <c r="AI72" s="215">
        <v>106915</v>
      </c>
      <c r="AJ72" s="215">
        <v>106916</v>
      </c>
      <c r="AK72" s="215">
        <v>106917</v>
      </c>
    </row>
    <row r="73" spans="2:38" s="25" customFormat="1" ht="18.75" customHeight="1" x14ac:dyDescent="0.25">
      <c r="B73" s="350" t="s">
        <v>375</v>
      </c>
      <c r="C73" s="511"/>
      <c r="D73" s="511"/>
      <c r="E73" s="511"/>
      <c r="F73" s="511"/>
      <c r="G73" s="511"/>
      <c r="H73" s="511"/>
      <c r="I73" s="511"/>
      <c r="J73" s="512"/>
      <c r="K73" s="20">
        <f>VLOOKUP(AC73,'FS Data'!$A:$B,2,FALSE)</f>
        <v>1114679</v>
      </c>
      <c r="L73" s="13">
        <v>70</v>
      </c>
      <c r="M73" s="647" t="s">
        <v>149</v>
      </c>
      <c r="N73" s="114">
        <f>VLOOKUP(AD73,'FS Data'!$A:$B,2,FALSE)</f>
        <v>0</v>
      </c>
      <c r="O73" s="114">
        <f>VLOOKUP(AE73,'FS Data'!$A:$B,2,FALSE)</f>
        <v>0</v>
      </c>
      <c r="P73" s="222">
        <f>VLOOKUP(AF73,'FS Data'!$A:$B,2,FALSE)</f>
        <v>0</v>
      </c>
      <c r="Q73" s="114">
        <f>VLOOKUP(AG73,'FS Data'!$A:$B,2,FALSE)</f>
        <v>0</v>
      </c>
      <c r="R73" s="114">
        <f>VLOOKUP(AH73,'FS Data'!$A:$B,2,FALSE)</f>
        <v>0</v>
      </c>
      <c r="S73" s="114">
        <f>VLOOKUP(AI73,'FS Data'!$A:$B,2,FALSE)</f>
        <v>0</v>
      </c>
      <c r="T73" s="569">
        <f>VLOOKUP(AJ73,'FS Data'!$A:$B,2,FALSE)</f>
        <v>0</v>
      </c>
      <c r="U73" s="569">
        <f>VLOOKUP(AK73,'FS Data'!$A:$B,2,FALSE)</f>
        <v>0</v>
      </c>
      <c r="V73" s="533"/>
      <c r="W73" s="534"/>
      <c r="X73" s="13">
        <v>70</v>
      </c>
      <c r="Y73" s="216">
        <v>107004</v>
      </c>
      <c r="Z73" s="216">
        <v>107005</v>
      </c>
      <c r="AA73" s="216">
        <v>107006</v>
      </c>
      <c r="AB73" s="216">
        <v>107007</v>
      </c>
      <c r="AC73" s="215">
        <v>107008</v>
      </c>
      <c r="AD73" s="216">
        <v>107010</v>
      </c>
      <c r="AE73" s="216">
        <v>107011</v>
      </c>
      <c r="AF73" s="216">
        <v>107012</v>
      </c>
      <c r="AG73" s="216">
        <v>107013</v>
      </c>
      <c r="AH73" s="216">
        <v>107014</v>
      </c>
      <c r="AI73" s="215">
        <v>107015</v>
      </c>
      <c r="AJ73" s="215">
        <v>107016</v>
      </c>
      <c r="AK73" s="215">
        <v>107017</v>
      </c>
    </row>
    <row r="74" spans="2:38" s="25" customFormat="1" ht="18.75" customHeight="1" x14ac:dyDescent="0.25">
      <c r="B74" s="755" t="s">
        <v>376</v>
      </c>
      <c r="C74" s="493"/>
      <c r="D74" s="490"/>
      <c r="E74" s="490"/>
      <c r="F74" s="490"/>
      <c r="G74" s="490"/>
      <c r="H74" s="490"/>
      <c r="I74" s="490"/>
      <c r="J74" s="489"/>
      <c r="K74" s="520"/>
      <c r="L74" s="13">
        <v>71</v>
      </c>
      <c r="M74" s="647" t="s">
        <v>150</v>
      </c>
      <c r="N74" s="114">
        <f>VLOOKUP(AD74,'FS Data'!$A:$B,2,FALSE)</f>
        <v>0</v>
      </c>
      <c r="O74" s="114">
        <f>VLOOKUP(AE74,'FS Data'!$A:$B,2,FALSE)</f>
        <v>0</v>
      </c>
      <c r="P74" s="222">
        <f>VLOOKUP(AF74,'FS Data'!$A:$B,2,FALSE)</f>
        <v>0</v>
      </c>
      <c r="Q74" s="114">
        <f>VLOOKUP(AG74,'FS Data'!$A:$B,2,FALSE)</f>
        <v>0</v>
      </c>
      <c r="R74" s="114">
        <f>VLOOKUP(AH74,'FS Data'!$A:$B,2,FALSE)</f>
        <v>0</v>
      </c>
      <c r="S74" s="114">
        <f>VLOOKUP(AI74,'FS Data'!$A:$B,2,FALSE)</f>
        <v>0</v>
      </c>
      <c r="T74" s="569">
        <f>VLOOKUP(AJ74,'FS Data'!$A:$B,2,FALSE)</f>
        <v>0</v>
      </c>
      <c r="U74" s="569">
        <f>VLOOKUP(AK74,'FS Data'!$A:$B,2,FALSE)</f>
        <v>0</v>
      </c>
      <c r="V74" s="533"/>
      <c r="W74" s="534"/>
      <c r="X74" s="13">
        <v>71</v>
      </c>
      <c r="Y74" s="216">
        <v>107104</v>
      </c>
      <c r="Z74" s="216">
        <v>107105</v>
      </c>
      <c r="AA74" s="216">
        <v>107106</v>
      </c>
      <c r="AB74" s="216">
        <v>107107</v>
      </c>
      <c r="AC74" s="215">
        <v>107108</v>
      </c>
      <c r="AD74" s="216">
        <v>107110</v>
      </c>
      <c r="AE74" s="216">
        <v>107111</v>
      </c>
      <c r="AF74" s="216">
        <v>107112</v>
      </c>
      <c r="AG74" s="216">
        <v>107113</v>
      </c>
      <c r="AH74" s="216">
        <v>107114</v>
      </c>
      <c r="AI74" s="215">
        <v>107115</v>
      </c>
      <c r="AJ74" s="215">
        <v>107116</v>
      </c>
      <c r="AK74" s="215">
        <v>107117</v>
      </c>
    </row>
    <row r="75" spans="2:38" s="25" customFormat="1" ht="18.75" customHeight="1" x14ac:dyDescent="0.25">
      <c r="B75" s="354" t="s">
        <v>377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47" t="s">
        <v>151</v>
      </c>
      <c r="N75" s="128">
        <f>VLOOKUP(AD75,'FS Data'!$A:$B,2,FALSE)</f>
        <v>0</v>
      </c>
      <c r="O75" s="128">
        <f>VLOOKUP(AE75,'FS Data'!$A:$B,2,FALSE)</f>
        <v>0</v>
      </c>
      <c r="P75" s="223">
        <f>VLOOKUP(AF75,'FS Data'!$A:$B,2,FALSE)</f>
        <v>0</v>
      </c>
      <c r="Q75" s="128">
        <f>VLOOKUP(AG75,'FS Data'!$A:$B,2,FALSE)</f>
        <v>0</v>
      </c>
      <c r="R75" s="128">
        <f>VLOOKUP(AH75,'FS Data'!$A:$B,2,FALSE)</f>
        <v>0</v>
      </c>
      <c r="S75" s="128">
        <f>VLOOKUP(AI75,'FS Data'!$A:$B,2,FALSE)</f>
        <v>0</v>
      </c>
      <c r="T75" s="573">
        <f>VLOOKUP(AJ75,'FS Data'!$A:$B,2,FALSE)</f>
        <v>0</v>
      </c>
      <c r="U75" s="573">
        <f>VLOOKUP(AK75,'FS Data'!$A:$B,2,FALSE)</f>
        <v>0</v>
      </c>
      <c r="V75" s="535"/>
      <c r="W75" s="536"/>
      <c r="X75" s="13">
        <v>72</v>
      </c>
      <c r="Y75" s="216">
        <v>107204</v>
      </c>
      <c r="Z75" s="216">
        <v>107205</v>
      </c>
      <c r="AA75" s="216">
        <v>107206</v>
      </c>
      <c r="AB75" s="216">
        <v>107207</v>
      </c>
      <c r="AC75" s="215">
        <v>107208</v>
      </c>
      <c r="AD75" s="216">
        <v>107210</v>
      </c>
      <c r="AE75" s="216">
        <v>107211</v>
      </c>
      <c r="AF75" s="216">
        <v>107212</v>
      </c>
      <c r="AG75" s="216">
        <v>107213</v>
      </c>
      <c r="AH75" s="216">
        <v>107214</v>
      </c>
      <c r="AI75" s="215">
        <v>107215</v>
      </c>
      <c r="AJ75" s="215">
        <v>107216</v>
      </c>
      <c r="AK75" s="215">
        <v>107217</v>
      </c>
    </row>
    <row r="76" spans="2:38" s="25" customFormat="1" ht="18.75" customHeight="1" x14ac:dyDescent="0.25">
      <c r="B76" s="354" t="s">
        <v>378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13" t="s">
        <v>32</v>
      </c>
      <c r="N76" s="114">
        <f>VLOOKUP(AD76,'FS Data'!$A:$B,2,FALSE)</f>
        <v>4</v>
      </c>
      <c r="O76" s="114">
        <f>VLOOKUP(AE76,'FS Data'!$A:$B,2,FALSE)</f>
        <v>5</v>
      </c>
      <c r="P76" s="222">
        <f>VLOOKUP(AF76,'FS Data'!$A:$B,2,FALSE)</f>
        <v>5</v>
      </c>
      <c r="Q76" s="114">
        <f>VLOOKUP(AG76,'FS Data'!$A:$B,2,FALSE)</f>
        <v>0</v>
      </c>
      <c r="R76" s="114">
        <f>VLOOKUP(AH76,'FS Data'!$A:$B,2,FALSE)</f>
        <v>13</v>
      </c>
      <c r="S76" s="114">
        <f>VLOOKUP(AI76,'FS Data'!$A:$B,2,FALSE)</f>
        <v>0</v>
      </c>
      <c r="T76" s="573">
        <f>VLOOKUP(AJ76,'FS Data'!$A:$B,2,FALSE)</f>
        <v>13</v>
      </c>
      <c r="U76" s="561" t="s">
        <v>90</v>
      </c>
      <c r="V76" s="60">
        <v>399</v>
      </c>
      <c r="W76" s="20">
        <f>VLOOKUP(AL76,'FS Data'!$A:$B,2,FALSE)</f>
        <v>-87245</v>
      </c>
      <c r="X76" s="13">
        <v>73</v>
      </c>
      <c r="Y76" s="216">
        <v>107304</v>
      </c>
      <c r="Z76" s="216">
        <v>107305</v>
      </c>
      <c r="AA76" s="216">
        <v>107306</v>
      </c>
      <c r="AB76" s="216">
        <v>107307</v>
      </c>
      <c r="AC76" s="215">
        <v>107308</v>
      </c>
      <c r="AD76" s="216">
        <v>107310</v>
      </c>
      <c r="AE76" s="216">
        <v>107311</v>
      </c>
      <c r="AF76" s="216">
        <v>107312</v>
      </c>
      <c r="AG76" s="216">
        <v>107313</v>
      </c>
      <c r="AH76" s="216">
        <v>107314</v>
      </c>
      <c r="AI76" s="215">
        <v>107315</v>
      </c>
      <c r="AJ76" s="215">
        <v>107316</v>
      </c>
      <c r="AK76" s="215">
        <v>107317</v>
      </c>
      <c r="AL76" s="215">
        <v>107318</v>
      </c>
    </row>
    <row r="77" spans="2:38" s="25" customFormat="1" ht="18.75" customHeight="1" x14ac:dyDescent="0.25">
      <c r="B77" s="354" t="s">
        <v>379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9"/>
      <c r="X77" s="13">
        <v>74</v>
      </c>
      <c r="Y77" s="216">
        <v>107404</v>
      </c>
      <c r="Z77" s="216">
        <v>107405</v>
      </c>
      <c r="AA77" s="216">
        <v>107406</v>
      </c>
      <c r="AB77" s="216">
        <v>107407</v>
      </c>
      <c r="AC77" s="215">
        <v>107408</v>
      </c>
      <c r="AD77" s="216"/>
      <c r="AE77" s="216"/>
      <c r="AF77" s="216"/>
      <c r="AG77" s="216"/>
      <c r="AH77" s="216"/>
      <c r="AI77" s="215"/>
      <c r="AK77" s="216"/>
      <c r="AL77" s="215">
        <v>107418</v>
      </c>
    </row>
    <row r="78" spans="2:38" s="25" customFormat="1" ht="18.75" customHeight="1" x14ac:dyDescent="0.25">
      <c r="B78" s="354" t="s">
        <v>380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23"/>
      <c r="N78" s="523"/>
      <c r="O78" s="523"/>
      <c r="P78" s="523"/>
      <c r="Q78" s="523"/>
      <c r="R78" s="523"/>
      <c r="S78" s="524"/>
      <c r="T78" s="524"/>
      <c r="U78" s="524"/>
      <c r="V78" s="524"/>
      <c r="W78" s="530"/>
      <c r="X78" s="13">
        <v>75</v>
      </c>
      <c r="Y78" s="216">
        <v>107504</v>
      </c>
      <c r="Z78" s="216">
        <v>107505</v>
      </c>
      <c r="AA78" s="216">
        <v>107506</v>
      </c>
      <c r="AB78" s="216">
        <v>107507</v>
      </c>
      <c r="AC78" s="215">
        <v>107508</v>
      </c>
      <c r="AD78" s="216"/>
      <c r="AE78" s="216"/>
      <c r="AF78" s="216"/>
      <c r="AG78" s="216"/>
      <c r="AH78" s="216"/>
      <c r="AI78" s="215"/>
      <c r="AK78" s="216"/>
      <c r="AL78" s="215">
        <v>107518</v>
      </c>
    </row>
    <row r="79" spans="2:38" s="25" customFormat="1" ht="21.6" customHeight="1" x14ac:dyDescent="0.25">
      <c r="B79" s="354" t="s">
        <v>381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755" t="s">
        <v>447</v>
      </c>
      <c r="N79" s="525"/>
      <c r="O79" s="525"/>
      <c r="P79" s="525"/>
      <c r="Q79" s="525"/>
      <c r="R79" s="525"/>
      <c r="S79" s="525"/>
      <c r="T79" s="525"/>
      <c r="U79" s="525"/>
      <c r="V79" s="526"/>
      <c r="W79" s="20">
        <f>VLOOKUP(AL79,'FS Data'!$A:$B,2,FALSE)</f>
        <v>8169930</v>
      </c>
      <c r="X79" s="13">
        <v>76</v>
      </c>
      <c r="Y79" s="216">
        <v>107604</v>
      </c>
      <c r="Z79" s="216">
        <v>107605</v>
      </c>
      <c r="AA79" s="216">
        <v>107606</v>
      </c>
      <c r="AB79" s="216">
        <v>107607</v>
      </c>
      <c r="AC79" s="215">
        <v>107608</v>
      </c>
      <c r="AD79" s="216"/>
      <c r="AE79" s="216"/>
      <c r="AF79" s="216"/>
      <c r="AG79" s="216"/>
      <c r="AH79" s="216"/>
      <c r="AI79" s="215"/>
      <c r="AK79" s="216"/>
      <c r="AL79" s="215">
        <v>107618</v>
      </c>
    </row>
    <row r="80" spans="2:38" s="25" customFormat="1" ht="21.6" customHeight="1" x14ac:dyDescent="0.25">
      <c r="B80" s="355" t="s">
        <v>382</v>
      </c>
      <c r="C80" s="152"/>
      <c r="D80" s="152"/>
      <c r="E80" s="152"/>
      <c r="F80" s="152"/>
      <c r="G80" s="152"/>
      <c r="H80" s="152"/>
      <c r="I80" s="161"/>
      <c r="J80" s="123">
        <v>297</v>
      </c>
      <c r="K80" s="146">
        <f>VLOOKUP(AC80,'FS Data'!$A:$B,2,FALSE)</f>
        <v>2200000</v>
      </c>
      <c r="L80" s="13">
        <v>77</v>
      </c>
      <c r="M80" s="759" t="s">
        <v>448</v>
      </c>
      <c r="N80" s="527"/>
      <c r="O80" s="527"/>
      <c r="P80" s="527"/>
      <c r="Q80" s="527"/>
      <c r="R80" s="527"/>
      <c r="S80" s="527"/>
      <c r="T80" s="527"/>
      <c r="U80" s="527"/>
      <c r="V80" s="528"/>
      <c r="W80" s="146">
        <f>VLOOKUP(AL80,'FS Data'!$A:$B,2,FALSE)</f>
        <v>17844107</v>
      </c>
      <c r="X80" s="13">
        <v>77</v>
      </c>
      <c r="Y80" s="216">
        <v>107704</v>
      </c>
      <c r="Z80" s="216">
        <v>107705</v>
      </c>
      <c r="AA80" s="216">
        <v>107706</v>
      </c>
      <c r="AB80" s="216">
        <v>107707</v>
      </c>
      <c r="AC80" s="215">
        <v>107708</v>
      </c>
      <c r="AD80" s="216"/>
      <c r="AE80" s="216"/>
      <c r="AF80" s="216"/>
      <c r="AG80" s="216"/>
      <c r="AH80" s="216"/>
      <c r="AI80" s="215"/>
      <c r="AK80" s="216"/>
      <c r="AL80" s="215">
        <v>107718</v>
      </c>
    </row>
    <row r="81" spans="2:37" s="25" customFormat="1" ht="12.75" x14ac:dyDescent="0.25">
      <c r="B81" s="357" t="s">
        <v>383</v>
      </c>
      <c r="C81" s="14"/>
      <c r="D81" s="14"/>
      <c r="E81" s="14"/>
      <c r="F81" s="14"/>
      <c r="G81" s="14"/>
      <c r="H81" s="14"/>
      <c r="I81" s="14"/>
      <c r="J81" s="16"/>
      <c r="K81" s="114">
        <f>VLOOKUP(AC81,'FS Data'!$A:$B,2,FALSE)</f>
        <v>7057961</v>
      </c>
      <c r="L81" s="13">
        <v>78</v>
      </c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41"/>
      <c r="X81" s="13">
        <v>78</v>
      </c>
      <c r="Y81" s="216">
        <v>107804</v>
      </c>
      <c r="Z81" s="216">
        <v>107805</v>
      </c>
      <c r="AA81" s="216">
        <v>107806</v>
      </c>
      <c r="AB81" s="216">
        <v>107807</v>
      </c>
      <c r="AC81" s="215">
        <v>107808</v>
      </c>
      <c r="AD81" s="216"/>
      <c r="AE81" s="216"/>
      <c r="AF81" s="216"/>
      <c r="AG81" s="216"/>
      <c r="AH81" s="216"/>
      <c r="AI81" s="216"/>
      <c r="AJ81" s="216"/>
      <c r="AK81" s="216"/>
    </row>
    <row r="82" spans="2:37" s="25" customFormat="1" ht="12.75" x14ac:dyDescent="0.25">
      <c r="B82" s="762" t="s">
        <v>384</v>
      </c>
      <c r="C82" s="521"/>
      <c r="D82" s="490"/>
      <c r="E82" s="490"/>
      <c r="F82" s="490"/>
      <c r="G82" s="490"/>
      <c r="H82" s="490"/>
      <c r="I82" s="490"/>
      <c r="J82" s="522"/>
      <c r="K82" s="20">
        <f>VLOOKUP(AC82,'FS Data'!$A:$B,2,FALSE)</f>
        <v>17844107</v>
      </c>
      <c r="L82" s="13">
        <v>79</v>
      </c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42"/>
      <c r="X82" s="13">
        <v>79</v>
      </c>
      <c r="Y82" s="216">
        <v>107904</v>
      </c>
      <c r="Z82" s="216">
        <v>107905</v>
      </c>
      <c r="AA82" s="216">
        <v>107906</v>
      </c>
      <c r="AB82" s="216">
        <v>107907</v>
      </c>
      <c r="AC82" s="215">
        <v>107908</v>
      </c>
      <c r="AD82" s="562"/>
      <c r="AE82" s="562"/>
      <c r="AF82" s="562"/>
      <c r="AG82" s="562"/>
      <c r="AH82" s="562"/>
      <c r="AI82" s="562"/>
      <c r="AJ82" s="562"/>
    </row>
    <row r="83" spans="2:37" s="25" customFormat="1" x14ac:dyDescent="0.25">
      <c r="B83" s="247" t="s">
        <v>203</v>
      </c>
      <c r="C83" s="248" t="s">
        <v>948</v>
      </c>
      <c r="Y83" s="216"/>
      <c r="Z83" s="562"/>
      <c r="AA83" s="562"/>
      <c r="AB83" s="562"/>
      <c r="AC83" s="562"/>
      <c r="AD83" s="562"/>
      <c r="AE83" s="562"/>
      <c r="AF83" s="562"/>
      <c r="AG83" s="562"/>
      <c r="AH83" s="562"/>
      <c r="AI83" s="562"/>
      <c r="AJ83" s="562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zoomScaleNormal="100" workbookViewId="0">
      <selection activeCell="B1" sqref="B1:O1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15"/>
    <col min="31" max="16384" width="9.140625" style="5"/>
  </cols>
  <sheetData>
    <row r="1" spans="2:30" ht="18.75" customHeight="1" x14ac:dyDescent="0.25">
      <c r="B1" s="795" t="s">
        <v>521</v>
      </c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185"/>
      <c r="Q1" s="208" t="s">
        <v>27</v>
      </c>
    </row>
    <row r="2" spans="2:30" ht="18.75" customHeight="1" x14ac:dyDescent="0.25">
      <c r="B2" s="797" t="s">
        <v>386</v>
      </c>
      <c r="C2" s="799" t="s">
        <v>449</v>
      </c>
      <c r="D2" s="800"/>
      <c r="E2" s="803" t="s">
        <v>385</v>
      </c>
      <c r="F2" s="805" t="s">
        <v>514</v>
      </c>
      <c r="G2" s="806"/>
      <c r="H2" s="806"/>
      <c r="I2" s="807"/>
      <c r="J2" s="652" t="s">
        <v>515</v>
      </c>
      <c r="K2" s="652"/>
      <c r="L2" s="722"/>
      <c r="M2" s="722"/>
      <c r="N2" s="650" t="s">
        <v>516</v>
      </c>
      <c r="O2" s="651"/>
      <c r="P2" s="650"/>
      <c r="Q2" s="651"/>
      <c r="R2" s="716"/>
    </row>
    <row r="3" spans="2:30" ht="18.75" customHeight="1" x14ac:dyDescent="0.25">
      <c r="B3" s="798"/>
      <c r="C3" s="801"/>
      <c r="D3" s="802"/>
      <c r="E3" s="804"/>
      <c r="F3" s="653" t="s">
        <v>517</v>
      </c>
      <c r="G3" s="654" t="s">
        <v>518</v>
      </c>
      <c r="H3" s="653" t="s">
        <v>519</v>
      </c>
      <c r="I3" s="654" t="s">
        <v>518</v>
      </c>
      <c r="J3" s="655" t="s">
        <v>520</v>
      </c>
      <c r="K3" s="655" t="s">
        <v>517</v>
      </c>
      <c r="L3" s="654" t="s">
        <v>518</v>
      </c>
      <c r="M3" s="653" t="s">
        <v>519</v>
      </c>
      <c r="N3" s="654" t="s">
        <v>518</v>
      </c>
      <c r="O3" s="655" t="s">
        <v>520</v>
      </c>
      <c r="P3" s="653" t="s">
        <v>517</v>
      </c>
      <c r="Q3" s="654" t="s">
        <v>518</v>
      </c>
      <c r="R3" s="717"/>
    </row>
    <row r="4" spans="2:30" ht="18.75" customHeight="1" x14ac:dyDescent="0.25">
      <c r="B4" s="10">
        <v>1</v>
      </c>
      <c r="C4" s="577" t="s">
        <v>450</v>
      </c>
      <c r="D4" s="578"/>
      <c r="E4" s="579"/>
      <c r="F4" s="20">
        <f>VLOOKUP(S4,'FS Data'!$A:$B,2,FALSE)</f>
        <v>2334107</v>
      </c>
      <c r="G4" s="477"/>
      <c r="H4" s="117">
        <f>VLOOKUP(U4,'FS Data'!$A:$B,2,FALSE)</f>
        <v>2334107</v>
      </c>
      <c r="I4" s="478"/>
      <c r="J4" s="20">
        <f>VLOOKUP(W4,'FS Data'!$A:$B,2,FALSE)</f>
        <v>2334107</v>
      </c>
      <c r="K4" s="477"/>
      <c r="L4" s="117">
        <f>VLOOKUP(Y4,'FS Data'!$A:$B,2,FALSE)</f>
        <v>2334107</v>
      </c>
      <c r="M4" s="479"/>
      <c r="N4" s="20">
        <f>VLOOKUP(AA4,'FS Data'!$A:$B,2,FALSE)</f>
        <v>0</v>
      </c>
      <c r="O4" s="477"/>
      <c r="P4" s="117">
        <f>VLOOKUP(AC4,'FS Data'!$A:$B,2,FALSE)</f>
        <v>0</v>
      </c>
      <c r="Q4" s="477"/>
      <c r="R4" s="718"/>
      <c r="S4" s="215">
        <v>200104</v>
      </c>
      <c r="T4" s="215">
        <v>200106</v>
      </c>
      <c r="U4" s="215">
        <v>200108</v>
      </c>
      <c r="V4" s="215">
        <v>200110</v>
      </c>
      <c r="W4" s="215">
        <v>200114</v>
      </c>
      <c r="X4" s="215">
        <v>200116</v>
      </c>
      <c r="Y4" s="215">
        <v>200118</v>
      </c>
      <c r="Z4" s="215">
        <v>200120</v>
      </c>
      <c r="AA4" s="215">
        <v>200124</v>
      </c>
      <c r="AB4" s="215">
        <v>200126</v>
      </c>
      <c r="AC4" s="215">
        <v>200128</v>
      </c>
      <c r="AD4" s="215">
        <v>200130</v>
      </c>
    </row>
    <row r="5" spans="2:30" ht="18.75" customHeight="1" x14ac:dyDescent="0.25">
      <c r="B5" s="13">
        <v>2</v>
      </c>
      <c r="C5" s="575" t="s">
        <v>451</v>
      </c>
      <c r="D5" s="580"/>
      <c r="E5" s="579"/>
      <c r="F5" s="20">
        <f>VLOOKUP(S5,'FS Data'!$A:$B,2,FALSE)</f>
        <v>284197</v>
      </c>
      <c r="G5" s="263">
        <f>VLOOKUP(T5,'FS Data'!$A:$B,2,FALSE)/10</f>
        <v>12.2</v>
      </c>
      <c r="H5" s="117">
        <f>VLOOKUP(U5,'FS Data'!$A:$B,2,FALSE)</f>
        <v>284197</v>
      </c>
      <c r="I5" s="188">
        <f>VLOOKUP(V5,'FS Data'!$A:$B,2,FALSE)/10</f>
        <v>12.2</v>
      </c>
      <c r="J5" s="20">
        <f>VLOOKUP(W5,'FS Data'!$A:$B,2,FALSE)</f>
        <v>284197</v>
      </c>
      <c r="K5" s="263">
        <f>VLOOKUP(X5,'FS Data'!$A:$B,2,FALSE)/10</f>
        <v>12.2</v>
      </c>
      <c r="L5" s="117">
        <f>VLOOKUP(Y5,'FS Data'!$A:$B,2,FALSE)</f>
        <v>284197</v>
      </c>
      <c r="M5" s="188">
        <f>VLOOKUP(Z5,'FS Data'!$A:$B,2,FALSE)/10</f>
        <v>12.2</v>
      </c>
      <c r="N5" s="20">
        <f>VLOOKUP(AA5,'FS Data'!$A:$B,2,FALSE)</f>
        <v>0</v>
      </c>
      <c r="O5" s="263">
        <f>VLOOKUP(AB5,'FS Data'!$A:$B,2,FALSE)/10</f>
        <v>0</v>
      </c>
      <c r="P5" s="117">
        <f>VLOOKUP(AC5,'FS Data'!$A:$B,2,FALSE)</f>
        <v>0</v>
      </c>
      <c r="Q5" s="188">
        <f>VLOOKUP(AD5,'FS Data'!$A:$B,2,FALSE)/10</f>
        <v>0</v>
      </c>
      <c r="R5" s="718"/>
      <c r="S5" s="215">
        <v>200204</v>
      </c>
      <c r="T5" s="215">
        <v>200206</v>
      </c>
      <c r="U5" s="215">
        <v>200208</v>
      </c>
      <c r="V5" s="215">
        <v>200210</v>
      </c>
      <c r="W5" s="215">
        <v>200214</v>
      </c>
      <c r="X5" s="215">
        <v>200216</v>
      </c>
      <c r="Y5" s="215">
        <v>200218</v>
      </c>
      <c r="Z5" s="215">
        <v>200220</v>
      </c>
      <c r="AA5" s="215">
        <v>200224</v>
      </c>
      <c r="AB5" s="215">
        <v>200226</v>
      </c>
      <c r="AC5" s="215">
        <v>200228</v>
      </c>
      <c r="AD5" s="215">
        <v>200230</v>
      </c>
    </row>
    <row r="6" spans="2:30" ht="18.75" customHeight="1" x14ac:dyDescent="0.25">
      <c r="B6" s="13">
        <v>3</v>
      </c>
      <c r="C6" s="648"/>
      <c r="D6" s="649"/>
      <c r="E6" s="581"/>
      <c r="F6" s="723"/>
      <c r="G6" s="724" t="s">
        <v>770</v>
      </c>
      <c r="H6" s="725"/>
      <c r="I6" s="724" t="s">
        <v>770</v>
      </c>
      <c r="J6" s="726"/>
      <c r="K6" s="724" t="s">
        <v>770</v>
      </c>
      <c r="L6" s="725"/>
      <c r="M6" s="724" t="s">
        <v>770</v>
      </c>
      <c r="N6" s="723"/>
      <c r="O6" s="724" t="s">
        <v>770</v>
      </c>
      <c r="P6" s="725"/>
      <c r="Q6" s="724" t="s">
        <v>770</v>
      </c>
      <c r="R6" s="719"/>
      <c r="S6" s="215">
        <v>200304</v>
      </c>
      <c r="T6" s="215">
        <v>200306</v>
      </c>
      <c r="U6" s="215">
        <v>200308</v>
      </c>
      <c r="V6" s="215">
        <v>200310</v>
      </c>
      <c r="W6" s="215">
        <v>200314</v>
      </c>
      <c r="X6" s="215">
        <v>200316</v>
      </c>
      <c r="Y6" s="215">
        <v>200318</v>
      </c>
      <c r="Z6" s="215">
        <v>200320</v>
      </c>
      <c r="AA6" s="215">
        <v>200324</v>
      </c>
      <c r="AB6" s="215">
        <v>200326</v>
      </c>
      <c r="AC6" s="215">
        <v>200328</v>
      </c>
      <c r="AD6" s="215">
        <v>200330</v>
      </c>
    </row>
    <row r="7" spans="2:30" ht="18.75" customHeight="1" x14ac:dyDescent="0.25">
      <c r="B7" s="13">
        <v>4</v>
      </c>
      <c r="C7" s="354" t="s">
        <v>452</v>
      </c>
      <c r="D7" s="582"/>
      <c r="E7" s="285">
        <v>11</v>
      </c>
      <c r="F7" s="20">
        <f>VLOOKUP(S7,'FS Data'!$A:$B,2,FALSE)</f>
        <v>19573</v>
      </c>
      <c r="G7" s="263">
        <f>VLOOKUP(T7,'FS Data'!$A:$B,2,FALSE)/10</f>
        <v>6.9</v>
      </c>
      <c r="H7" s="117">
        <f>VLOOKUP(U7,'FS Data'!$A:$B,2,FALSE)</f>
        <v>19573</v>
      </c>
      <c r="I7" s="188">
        <f>VLOOKUP(V7,'FS Data'!$A:$B,2,FALSE)/10</f>
        <v>6.9</v>
      </c>
      <c r="J7" s="20">
        <f>VLOOKUP(W7,'FS Data'!$A:$B,2,FALSE)</f>
        <v>19573</v>
      </c>
      <c r="K7" s="263">
        <f>VLOOKUP(X7,'FS Data'!$A:$B,2,FALSE)/10</f>
        <v>6.9</v>
      </c>
      <c r="L7" s="117">
        <f>VLOOKUP(Y7,'FS Data'!$A:$B,2,FALSE)</f>
        <v>19573</v>
      </c>
      <c r="M7" s="188">
        <f>VLOOKUP(Z7,'FS Data'!$A:$B,2,FALSE)/10</f>
        <v>6.9</v>
      </c>
      <c r="N7" s="20">
        <f>VLOOKUP(AA7,'FS Data'!$A:$B,2,FALSE)</f>
        <v>0</v>
      </c>
      <c r="O7" s="263">
        <f>VLOOKUP(AB7,'FS Data'!$A:$B,2,FALSE)/10</f>
        <v>0</v>
      </c>
      <c r="P7" s="117">
        <f>VLOOKUP(AC7,'FS Data'!$A:$B,2,FALSE)</f>
        <v>0</v>
      </c>
      <c r="Q7" s="188">
        <f>VLOOKUP(AD7,'FS Data'!$A:$B,2,FALSE)/10</f>
        <v>0</v>
      </c>
      <c r="R7" s="718"/>
      <c r="S7" s="215">
        <v>200404</v>
      </c>
      <c r="T7" s="215">
        <v>200406</v>
      </c>
      <c r="U7" s="215">
        <v>200408</v>
      </c>
      <c r="V7" s="215">
        <v>200410</v>
      </c>
      <c r="W7" s="215">
        <v>200414</v>
      </c>
      <c r="X7" s="215">
        <v>200416</v>
      </c>
      <c r="Y7" s="215">
        <v>200418</v>
      </c>
      <c r="Z7" s="215">
        <v>200420</v>
      </c>
      <c r="AA7" s="215">
        <v>200424</v>
      </c>
      <c r="AB7" s="215">
        <v>200426</v>
      </c>
      <c r="AC7" s="215">
        <v>200428</v>
      </c>
      <c r="AD7" s="215">
        <v>200430</v>
      </c>
    </row>
    <row r="8" spans="2:30" ht="18.75" customHeight="1" x14ac:dyDescent="0.25">
      <c r="B8" s="13">
        <v>5</v>
      </c>
      <c r="C8" s="354" t="s">
        <v>453</v>
      </c>
      <c r="D8" s="583"/>
      <c r="E8" s="285">
        <v>12</v>
      </c>
      <c r="F8" s="20">
        <f>VLOOKUP(S8,'FS Data'!$A:$B,2,FALSE)</f>
        <v>8200</v>
      </c>
      <c r="G8" s="263">
        <f>VLOOKUP(T8,'FS Data'!$A:$B,2,FALSE)/10</f>
        <v>2.9</v>
      </c>
      <c r="H8" s="117">
        <f>VLOOKUP(U8,'FS Data'!$A:$B,2,FALSE)</f>
        <v>8200</v>
      </c>
      <c r="I8" s="188">
        <f>VLOOKUP(V8,'FS Data'!$A:$B,2,FALSE)/10</f>
        <v>2.9</v>
      </c>
      <c r="J8" s="20">
        <f>VLOOKUP(W8,'FS Data'!$A:$B,2,FALSE)</f>
        <v>8200</v>
      </c>
      <c r="K8" s="263">
        <f>VLOOKUP(X8,'FS Data'!$A:$B,2,FALSE)/10</f>
        <v>2.9</v>
      </c>
      <c r="L8" s="117">
        <f>VLOOKUP(Y8,'FS Data'!$A:$B,2,FALSE)</f>
        <v>8200</v>
      </c>
      <c r="M8" s="188">
        <f>VLOOKUP(Z8,'FS Data'!$A:$B,2,FALSE)/10</f>
        <v>2.9</v>
      </c>
      <c r="N8" s="20">
        <f>VLOOKUP(AA8,'FS Data'!$A:$B,2,FALSE)</f>
        <v>0</v>
      </c>
      <c r="O8" s="263">
        <f>VLOOKUP(AB8,'FS Data'!$A:$B,2,FALSE)/10</f>
        <v>0</v>
      </c>
      <c r="P8" s="117">
        <f>VLOOKUP(AC8,'FS Data'!$A:$B,2,FALSE)</f>
        <v>0</v>
      </c>
      <c r="Q8" s="188">
        <f>VLOOKUP(AD8,'FS Data'!$A:$B,2,FALSE)/10</f>
        <v>0</v>
      </c>
      <c r="R8" s="718"/>
      <c r="S8" s="215">
        <v>200504</v>
      </c>
      <c r="T8" s="215">
        <v>200506</v>
      </c>
      <c r="U8" s="215">
        <v>200508</v>
      </c>
      <c r="V8" s="215">
        <v>200510</v>
      </c>
      <c r="W8" s="215">
        <v>200514</v>
      </c>
      <c r="X8" s="215">
        <v>200516</v>
      </c>
      <c r="Y8" s="215">
        <v>200518</v>
      </c>
      <c r="Z8" s="215">
        <v>200520</v>
      </c>
      <c r="AA8" s="215">
        <v>200524</v>
      </c>
      <c r="AB8" s="215">
        <v>200526</v>
      </c>
      <c r="AC8" s="215">
        <v>200528</v>
      </c>
      <c r="AD8" s="215">
        <v>200530</v>
      </c>
    </row>
    <row r="9" spans="2:30" ht="18.75" customHeight="1" x14ac:dyDescent="0.25">
      <c r="B9" s="13">
        <v>6</v>
      </c>
      <c r="C9" s="354" t="s">
        <v>454</v>
      </c>
      <c r="D9" s="583"/>
      <c r="E9" s="285">
        <v>13</v>
      </c>
      <c r="F9" s="20">
        <f>VLOOKUP(S9,'FS Data'!$A:$B,2,FALSE)</f>
        <v>4406</v>
      </c>
      <c r="G9" s="263">
        <f>VLOOKUP(T9,'FS Data'!$A:$B,2,FALSE)/10</f>
        <v>1.6</v>
      </c>
      <c r="H9" s="117">
        <f>VLOOKUP(U9,'FS Data'!$A:$B,2,FALSE)</f>
        <v>4406</v>
      </c>
      <c r="I9" s="188">
        <f>VLOOKUP(V9,'FS Data'!$A:$B,2,FALSE)/10</f>
        <v>1.6</v>
      </c>
      <c r="J9" s="20">
        <f>VLOOKUP(W9,'FS Data'!$A:$B,2,FALSE)</f>
        <v>4406</v>
      </c>
      <c r="K9" s="263">
        <f>VLOOKUP(X9,'FS Data'!$A:$B,2,FALSE)/10</f>
        <v>1.6</v>
      </c>
      <c r="L9" s="117">
        <f>VLOOKUP(Y9,'FS Data'!$A:$B,2,FALSE)</f>
        <v>4406</v>
      </c>
      <c r="M9" s="188">
        <f>VLOOKUP(Z9,'FS Data'!$A:$B,2,FALSE)/10</f>
        <v>1.6</v>
      </c>
      <c r="N9" s="20">
        <f>VLOOKUP(AA9,'FS Data'!$A:$B,2,FALSE)</f>
        <v>0</v>
      </c>
      <c r="O9" s="263">
        <f>VLOOKUP(AB9,'FS Data'!$A:$B,2,FALSE)/10</f>
        <v>0</v>
      </c>
      <c r="P9" s="117">
        <f>VLOOKUP(AC9,'FS Data'!$A:$B,2,FALSE)</f>
        <v>0</v>
      </c>
      <c r="Q9" s="188">
        <f>VLOOKUP(AD9,'FS Data'!$A:$B,2,FALSE)/10</f>
        <v>0</v>
      </c>
      <c r="R9" s="718"/>
      <c r="S9" s="215">
        <v>200604</v>
      </c>
      <c r="T9" s="215">
        <v>200606</v>
      </c>
      <c r="U9" s="215">
        <v>200608</v>
      </c>
      <c r="V9" s="215">
        <v>200610</v>
      </c>
      <c r="W9" s="215">
        <v>200614</v>
      </c>
      <c r="X9" s="215">
        <v>200616</v>
      </c>
      <c r="Y9" s="215">
        <v>200618</v>
      </c>
      <c r="Z9" s="215">
        <v>200620</v>
      </c>
      <c r="AA9" s="215">
        <v>200624</v>
      </c>
      <c r="AB9" s="215">
        <v>200626</v>
      </c>
      <c r="AC9" s="215">
        <v>200628</v>
      </c>
      <c r="AD9" s="215">
        <v>200630</v>
      </c>
    </row>
    <row r="10" spans="2:30" ht="18.75" customHeight="1" x14ac:dyDescent="0.25">
      <c r="B10" s="13">
        <v>7</v>
      </c>
      <c r="C10" s="354" t="s">
        <v>455</v>
      </c>
      <c r="D10" s="583"/>
      <c r="E10" s="285">
        <v>16</v>
      </c>
      <c r="F10" s="20">
        <f>VLOOKUP(S10,'FS Data'!$A:$B,2,FALSE)</f>
        <v>27482</v>
      </c>
      <c r="G10" s="263">
        <f>VLOOKUP(T10,'FS Data'!$A:$B,2,FALSE)/10</f>
        <v>9.6999999999999993</v>
      </c>
      <c r="H10" s="117">
        <f>VLOOKUP(U10,'FS Data'!$A:$B,2,FALSE)</f>
        <v>27482</v>
      </c>
      <c r="I10" s="188">
        <f>VLOOKUP(V10,'FS Data'!$A:$B,2,FALSE)/10</f>
        <v>9.6999999999999993</v>
      </c>
      <c r="J10" s="20">
        <f>VLOOKUP(W10,'FS Data'!$A:$B,2,FALSE)</f>
        <v>27482</v>
      </c>
      <c r="K10" s="263">
        <f>VLOOKUP(X10,'FS Data'!$A:$B,2,FALSE)/10</f>
        <v>9.6999999999999993</v>
      </c>
      <c r="L10" s="117">
        <f>VLOOKUP(Y10,'FS Data'!$A:$B,2,FALSE)</f>
        <v>27482</v>
      </c>
      <c r="M10" s="188">
        <f>VLOOKUP(Z10,'FS Data'!$A:$B,2,FALSE)/10</f>
        <v>9.6999999999999993</v>
      </c>
      <c r="N10" s="20">
        <f>VLOOKUP(AA10,'FS Data'!$A:$B,2,FALSE)</f>
        <v>0</v>
      </c>
      <c r="O10" s="263">
        <f>VLOOKUP(AB10,'FS Data'!$A:$B,2,FALSE)/10</f>
        <v>0</v>
      </c>
      <c r="P10" s="117">
        <f>VLOOKUP(AC10,'FS Data'!$A:$B,2,FALSE)</f>
        <v>0</v>
      </c>
      <c r="Q10" s="188">
        <f>VLOOKUP(AD10,'FS Data'!$A:$B,2,FALSE)/10</f>
        <v>0</v>
      </c>
      <c r="R10" s="718"/>
      <c r="S10" s="215">
        <v>200704</v>
      </c>
      <c r="T10" s="215">
        <v>200706</v>
      </c>
      <c r="U10" s="215">
        <v>200708</v>
      </c>
      <c r="V10" s="215">
        <v>200710</v>
      </c>
      <c r="W10" s="215">
        <v>200714</v>
      </c>
      <c r="X10" s="215">
        <v>200716</v>
      </c>
      <c r="Y10" s="215">
        <v>200718</v>
      </c>
      <c r="Z10" s="215">
        <v>200720</v>
      </c>
      <c r="AA10" s="215">
        <v>200724</v>
      </c>
      <c r="AB10" s="215">
        <v>200726</v>
      </c>
      <c r="AC10" s="215">
        <v>200728</v>
      </c>
      <c r="AD10" s="215">
        <v>200730</v>
      </c>
    </row>
    <row r="11" spans="2:30" ht="18.75" customHeight="1" x14ac:dyDescent="0.25">
      <c r="B11" s="13">
        <v>8</v>
      </c>
      <c r="C11" s="354" t="s">
        <v>456</v>
      </c>
      <c r="D11" s="583"/>
      <c r="E11" s="285">
        <v>17</v>
      </c>
      <c r="F11" s="20">
        <f>VLOOKUP(S11,'FS Data'!$A:$B,2,FALSE)</f>
        <v>-1845</v>
      </c>
      <c r="G11" s="263">
        <f>VLOOKUP(T11,'FS Data'!$A:$B,2,FALSE)/10</f>
        <v>-0.6</v>
      </c>
      <c r="H11" s="117">
        <f>VLOOKUP(U11,'FS Data'!$A:$B,2,FALSE)</f>
        <v>-1845</v>
      </c>
      <c r="I11" s="188">
        <f>VLOOKUP(V11,'FS Data'!$A:$B,2,FALSE)/10</f>
        <v>-0.6</v>
      </c>
      <c r="J11" s="20">
        <f>VLOOKUP(W11,'FS Data'!$A:$B,2,FALSE)</f>
        <v>-1845</v>
      </c>
      <c r="K11" s="263">
        <f>VLOOKUP(X11,'FS Data'!$A:$B,2,FALSE)/10</f>
        <v>-0.6</v>
      </c>
      <c r="L11" s="117">
        <f>VLOOKUP(Y11,'FS Data'!$A:$B,2,FALSE)</f>
        <v>-1845</v>
      </c>
      <c r="M11" s="188">
        <f>VLOOKUP(Z11,'FS Data'!$A:$B,2,FALSE)/10</f>
        <v>-0.6</v>
      </c>
      <c r="N11" s="20">
        <f>VLOOKUP(AA11,'FS Data'!$A:$B,2,FALSE)</f>
        <v>0</v>
      </c>
      <c r="O11" s="263">
        <f>VLOOKUP(AB11,'FS Data'!$A:$B,2,FALSE)/10</f>
        <v>0</v>
      </c>
      <c r="P11" s="117">
        <f>VLOOKUP(AC11,'FS Data'!$A:$B,2,FALSE)</f>
        <v>0</v>
      </c>
      <c r="Q11" s="188">
        <f>VLOOKUP(AD11,'FS Data'!$A:$B,2,FALSE)/10</f>
        <v>0</v>
      </c>
      <c r="R11" s="718"/>
      <c r="S11" s="215">
        <v>200804</v>
      </c>
      <c r="T11" s="215">
        <v>200806</v>
      </c>
      <c r="U11" s="215">
        <v>200808</v>
      </c>
      <c r="V11" s="215">
        <v>200810</v>
      </c>
      <c r="W11" s="215">
        <v>200814</v>
      </c>
      <c r="X11" s="215">
        <v>200816</v>
      </c>
      <c r="Y11" s="215">
        <v>200818</v>
      </c>
      <c r="Z11" s="215">
        <v>200820</v>
      </c>
      <c r="AA11" s="215">
        <v>200824</v>
      </c>
      <c r="AB11" s="215">
        <v>200826</v>
      </c>
      <c r="AC11" s="215">
        <v>200828</v>
      </c>
      <c r="AD11" s="215">
        <v>200830</v>
      </c>
    </row>
    <row r="12" spans="2:30" ht="18.75" customHeight="1" x14ac:dyDescent="0.25">
      <c r="B12" s="13">
        <v>9</v>
      </c>
      <c r="C12" s="354" t="s">
        <v>457</v>
      </c>
      <c r="D12" s="583"/>
      <c r="E12" s="285">
        <v>19</v>
      </c>
      <c r="F12" s="115">
        <f>VLOOKUP(S12,'FS Data'!$A:$B,2,FALSE)</f>
        <v>2400</v>
      </c>
      <c r="G12" s="263">
        <f>VLOOKUP(T12,'FS Data'!$A:$B,2,FALSE)/10</f>
        <v>0.8</v>
      </c>
      <c r="H12" s="119">
        <f>VLOOKUP(U12,'FS Data'!$A:$B,2,FALSE)</f>
        <v>2400</v>
      </c>
      <c r="I12" s="188">
        <f>VLOOKUP(V12,'FS Data'!$A:$B,2,FALSE)/10</f>
        <v>0.8</v>
      </c>
      <c r="J12" s="115">
        <f>VLOOKUP(W12,'FS Data'!$A:$B,2,FALSE)</f>
        <v>2400</v>
      </c>
      <c r="K12" s="263">
        <f>VLOOKUP(X12,'FS Data'!$A:$B,2,FALSE)/10</f>
        <v>0.8</v>
      </c>
      <c r="L12" s="119">
        <f>VLOOKUP(Y12,'FS Data'!$A:$B,2,FALSE)</f>
        <v>2400</v>
      </c>
      <c r="M12" s="188">
        <f>VLOOKUP(Z12,'FS Data'!$A:$B,2,FALSE)/10</f>
        <v>0.8</v>
      </c>
      <c r="N12" s="115">
        <f>VLOOKUP(AA12,'FS Data'!$A:$B,2,FALSE)</f>
        <v>0</v>
      </c>
      <c r="O12" s="263">
        <f>VLOOKUP(AB12,'FS Data'!$A:$B,2,FALSE)/10</f>
        <v>0</v>
      </c>
      <c r="P12" s="119">
        <f>VLOOKUP(AC12,'FS Data'!$A:$B,2,FALSE)</f>
        <v>0</v>
      </c>
      <c r="Q12" s="188">
        <f>VLOOKUP(AD12,'FS Data'!$A:$B,2,FALSE)/10</f>
        <v>0</v>
      </c>
      <c r="R12" s="720"/>
      <c r="S12" s="215">
        <v>200904</v>
      </c>
      <c r="T12" s="215">
        <v>200906</v>
      </c>
      <c r="U12" s="215">
        <v>200908</v>
      </c>
      <c r="V12" s="215">
        <v>200910</v>
      </c>
      <c r="W12" s="215">
        <v>200914</v>
      </c>
      <c r="X12" s="215">
        <v>200916</v>
      </c>
      <c r="Y12" s="215">
        <v>200918</v>
      </c>
      <c r="Z12" s="215">
        <v>200920</v>
      </c>
      <c r="AA12" s="215">
        <v>200924</v>
      </c>
      <c r="AB12" s="215">
        <v>200926</v>
      </c>
      <c r="AC12" s="215">
        <v>200928</v>
      </c>
      <c r="AD12" s="215">
        <v>200930</v>
      </c>
    </row>
    <row r="13" spans="2:30" ht="18.75" customHeight="1" x14ac:dyDescent="0.25">
      <c r="B13" s="13">
        <v>10</v>
      </c>
      <c r="C13" s="354" t="s">
        <v>458</v>
      </c>
      <c r="D13" s="583"/>
      <c r="E13" s="285">
        <v>18</v>
      </c>
      <c r="F13" s="20">
        <f>VLOOKUP(S13,'FS Data'!$A:$B,2,FALSE)</f>
        <v>25200</v>
      </c>
      <c r="G13" s="263">
        <f>VLOOKUP(T13,'FS Data'!$A:$B,2,FALSE)/10</f>
        <v>8.9</v>
      </c>
      <c r="H13" s="117">
        <f>VLOOKUP(U13,'FS Data'!$A:$B,2,FALSE)</f>
        <v>25200</v>
      </c>
      <c r="I13" s="188">
        <f>VLOOKUP(V13,'FS Data'!$A:$B,2,FALSE)/10</f>
        <v>8.9</v>
      </c>
      <c r="J13" s="20">
        <f>VLOOKUP(W13,'FS Data'!$A:$B,2,FALSE)</f>
        <v>25200</v>
      </c>
      <c r="K13" s="263">
        <f>VLOOKUP(X13,'FS Data'!$A:$B,2,FALSE)/10</f>
        <v>8.9</v>
      </c>
      <c r="L13" s="117">
        <f>VLOOKUP(Y13,'FS Data'!$A:$B,2,FALSE)</f>
        <v>25200</v>
      </c>
      <c r="M13" s="188">
        <f>VLOOKUP(Z13,'FS Data'!$A:$B,2,FALSE)/10</f>
        <v>8.9</v>
      </c>
      <c r="N13" s="20">
        <f>VLOOKUP(AA13,'FS Data'!$A:$B,2,FALSE)</f>
        <v>0</v>
      </c>
      <c r="O13" s="263">
        <f>VLOOKUP(AB13,'FS Data'!$A:$B,2,FALSE)/10</f>
        <v>0</v>
      </c>
      <c r="P13" s="117">
        <f>VLOOKUP(AC13,'FS Data'!$A:$B,2,FALSE)</f>
        <v>0</v>
      </c>
      <c r="Q13" s="188">
        <f>VLOOKUP(AD13,'FS Data'!$A:$B,2,FALSE)/10</f>
        <v>0</v>
      </c>
      <c r="R13" s="718"/>
      <c r="S13" s="215">
        <v>201004</v>
      </c>
      <c r="T13" s="215">
        <v>201006</v>
      </c>
      <c r="U13" s="215">
        <v>201008</v>
      </c>
      <c r="V13" s="215">
        <v>201010</v>
      </c>
      <c r="W13" s="215">
        <v>201014</v>
      </c>
      <c r="X13" s="215">
        <v>201016</v>
      </c>
      <c r="Y13" s="215">
        <v>201018</v>
      </c>
      <c r="Z13" s="215">
        <v>201020</v>
      </c>
      <c r="AA13" s="215">
        <v>201024</v>
      </c>
      <c r="AB13" s="215">
        <v>201026</v>
      </c>
      <c r="AC13" s="215">
        <v>201028</v>
      </c>
      <c r="AD13" s="215">
        <v>201030</v>
      </c>
    </row>
    <row r="14" spans="2:30" ht="18.75" customHeight="1" x14ac:dyDescent="0.25">
      <c r="B14" s="13">
        <v>11</v>
      </c>
      <c r="C14" s="354" t="s">
        <v>459</v>
      </c>
      <c r="D14" s="584"/>
      <c r="E14" s="285">
        <v>15</v>
      </c>
      <c r="F14" s="146">
        <f>VLOOKUP(S14,'FS Data'!$A:$B,2,FALSE)</f>
        <v>0</v>
      </c>
      <c r="G14" s="264">
        <f>VLOOKUP(T14,'FS Data'!$A:$B,2,FALSE)/10</f>
        <v>0</v>
      </c>
      <c r="H14" s="143">
        <f>VLOOKUP(U14,'FS Data'!$A:$B,2,FALSE)</f>
        <v>0</v>
      </c>
      <c r="I14" s="189">
        <f>VLOOKUP(V14,'FS Data'!$A:$B,2,FALSE)/10</f>
        <v>0</v>
      </c>
      <c r="J14" s="146">
        <f>VLOOKUP(W14,'FS Data'!$A:$B,2,FALSE)</f>
        <v>0</v>
      </c>
      <c r="K14" s="264">
        <f>VLOOKUP(X14,'FS Data'!$A:$B,2,FALSE)/10</f>
        <v>0</v>
      </c>
      <c r="L14" s="143">
        <f>VLOOKUP(Y14,'FS Data'!$A:$B,2,FALSE)</f>
        <v>0</v>
      </c>
      <c r="M14" s="189">
        <f>VLOOKUP(Z14,'FS Data'!$A:$B,2,FALSE)/10</f>
        <v>0</v>
      </c>
      <c r="N14" s="146">
        <f>VLOOKUP(AA14,'FS Data'!$A:$B,2,FALSE)</f>
        <v>0</v>
      </c>
      <c r="O14" s="264">
        <f>VLOOKUP(AB14,'FS Data'!$A:$B,2,FALSE)/10</f>
        <v>0</v>
      </c>
      <c r="P14" s="143">
        <f>VLOOKUP(AC14,'FS Data'!$A:$B,2,FALSE)</f>
        <v>0</v>
      </c>
      <c r="Q14" s="189">
        <f>VLOOKUP(AD14,'FS Data'!$A:$B,2,FALSE)/10</f>
        <v>0</v>
      </c>
      <c r="R14" s="718"/>
      <c r="S14" s="215">
        <v>201104</v>
      </c>
      <c r="T14" s="215">
        <v>201106</v>
      </c>
      <c r="U14" s="215">
        <v>201108</v>
      </c>
      <c r="V14" s="215">
        <v>201110</v>
      </c>
      <c r="W14" s="215">
        <v>201114</v>
      </c>
      <c r="X14" s="215">
        <v>201116</v>
      </c>
      <c r="Y14" s="215">
        <v>201118</v>
      </c>
      <c r="Z14" s="215">
        <v>201120</v>
      </c>
      <c r="AA14" s="215">
        <v>201124</v>
      </c>
      <c r="AB14" s="215">
        <v>201126</v>
      </c>
      <c r="AC14" s="215">
        <v>201128</v>
      </c>
      <c r="AD14" s="215">
        <v>201130</v>
      </c>
    </row>
    <row r="15" spans="2:30" ht="21.6" customHeight="1" x14ac:dyDescent="0.25">
      <c r="B15" s="13">
        <v>12</v>
      </c>
      <c r="C15" s="350" t="s">
        <v>460</v>
      </c>
      <c r="D15" s="585"/>
      <c r="E15" s="586"/>
      <c r="F15" s="114">
        <f>VLOOKUP(S15,'FS Data'!$A:$B,2,FALSE)</f>
        <v>80616</v>
      </c>
      <c r="G15" s="263">
        <f>VLOOKUP(T15,'FS Data'!$A:$B,2,FALSE)/10</f>
        <v>28.4</v>
      </c>
      <c r="H15" s="125">
        <f>VLOOKUP(U15,'FS Data'!$A:$B,2,FALSE)</f>
        <v>80616</v>
      </c>
      <c r="I15" s="188">
        <f>VLOOKUP(V15,'FS Data'!$A:$B,2,FALSE)/10</f>
        <v>28.4</v>
      </c>
      <c r="J15" s="114">
        <f>VLOOKUP(W15,'FS Data'!$A:$B,2,FALSE)</f>
        <v>80616</v>
      </c>
      <c r="K15" s="263">
        <f>VLOOKUP(X15,'FS Data'!$A:$B,2,FALSE)/10</f>
        <v>28.4</v>
      </c>
      <c r="L15" s="125">
        <f>VLOOKUP(Y15,'FS Data'!$A:$B,2,FALSE)</f>
        <v>80616</v>
      </c>
      <c r="M15" s="188">
        <f>VLOOKUP(Z15,'FS Data'!$A:$B,2,FALSE)/10</f>
        <v>28.4</v>
      </c>
      <c r="N15" s="114">
        <f>VLOOKUP(AA15,'FS Data'!$A:$B,2,FALSE)</f>
        <v>0</v>
      </c>
      <c r="O15" s="263">
        <f>VLOOKUP(AB15,'FS Data'!$A:$B,2,FALSE)/10</f>
        <v>0</v>
      </c>
      <c r="P15" s="125">
        <f>VLOOKUP(AC15,'FS Data'!$A:$B,2,FALSE)</f>
        <v>0</v>
      </c>
      <c r="Q15" s="188">
        <f>VLOOKUP(AD15,'FS Data'!$A:$B,2,FALSE)/10</f>
        <v>0</v>
      </c>
      <c r="R15" s="718"/>
      <c r="S15" s="215">
        <v>201204</v>
      </c>
      <c r="T15" s="215">
        <v>201206</v>
      </c>
      <c r="U15" s="215">
        <v>201208</v>
      </c>
      <c r="V15" s="215">
        <v>201210</v>
      </c>
      <c r="W15" s="215">
        <v>201214</v>
      </c>
      <c r="X15" s="215">
        <v>201216</v>
      </c>
      <c r="Y15" s="215">
        <v>201218</v>
      </c>
      <c r="Z15" s="215">
        <v>201220</v>
      </c>
      <c r="AA15" s="215">
        <v>201224</v>
      </c>
      <c r="AB15" s="215">
        <v>201226</v>
      </c>
      <c r="AC15" s="215">
        <v>201228</v>
      </c>
      <c r="AD15" s="215">
        <v>201230</v>
      </c>
    </row>
    <row r="16" spans="2:30" ht="18.75" customHeight="1" x14ac:dyDescent="0.25">
      <c r="B16" s="13">
        <v>13</v>
      </c>
      <c r="C16" s="354" t="s">
        <v>461</v>
      </c>
      <c r="D16" s="583"/>
      <c r="E16" s="285">
        <v>20</v>
      </c>
      <c r="F16" s="20">
        <f>VLOOKUP(S16,'FS Data'!$A:$B,2,FALSE)</f>
        <v>14940</v>
      </c>
      <c r="G16" s="265">
        <f>VLOOKUP(T16,'FS Data'!$A:$B,2,FALSE)/10</f>
        <v>5.3</v>
      </c>
      <c r="H16" s="117">
        <f>VLOOKUP(U16,'FS Data'!$A:$B,2,FALSE)</f>
        <v>14940</v>
      </c>
      <c r="I16" s="190">
        <f>VLOOKUP(V16,'FS Data'!$A:$B,2,FALSE)/10</f>
        <v>5.3</v>
      </c>
      <c r="J16" s="20">
        <f>VLOOKUP(W16,'FS Data'!$A:$B,2,FALSE)</f>
        <v>14940</v>
      </c>
      <c r="K16" s="265">
        <f>VLOOKUP(X16,'FS Data'!$A:$B,2,FALSE)/10</f>
        <v>5.3</v>
      </c>
      <c r="L16" s="117">
        <f>VLOOKUP(Y16,'FS Data'!$A:$B,2,FALSE)</f>
        <v>14940</v>
      </c>
      <c r="M16" s="190">
        <f>VLOOKUP(Z16,'FS Data'!$A:$B,2,FALSE)/10</f>
        <v>5.3</v>
      </c>
      <c r="N16" s="20">
        <f>VLOOKUP(AA16,'FS Data'!$A:$B,2,FALSE)</f>
        <v>0</v>
      </c>
      <c r="O16" s="265">
        <f>VLOOKUP(AB16,'FS Data'!$A:$B,2,FALSE)/10</f>
        <v>0</v>
      </c>
      <c r="P16" s="117">
        <f>VLOOKUP(AC16,'FS Data'!$A:$B,2,FALSE)</f>
        <v>0</v>
      </c>
      <c r="Q16" s="190">
        <f>VLOOKUP(AD16,'FS Data'!$A:$B,2,FALSE)/10</f>
        <v>0</v>
      </c>
      <c r="R16" s="718"/>
      <c r="S16" s="215">
        <v>201304</v>
      </c>
      <c r="T16" s="215">
        <v>201306</v>
      </c>
      <c r="U16" s="215">
        <v>201308</v>
      </c>
      <c r="V16" s="215">
        <v>201310</v>
      </c>
      <c r="W16" s="215">
        <v>201314</v>
      </c>
      <c r="X16" s="215">
        <v>201316</v>
      </c>
      <c r="Y16" s="215">
        <v>201318</v>
      </c>
      <c r="Z16" s="215">
        <v>201320</v>
      </c>
      <c r="AA16" s="215">
        <v>201324</v>
      </c>
      <c r="AB16" s="215">
        <v>201326</v>
      </c>
      <c r="AC16" s="215">
        <v>201328</v>
      </c>
      <c r="AD16" s="215">
        <v>201330</v>
      </c>
    </row>
    <row r="17" spans="2:30" ht="18.75" customHeight="1" x14ac:dyDescent="0.25">
      <c r="B17" s="13">
        <v>14</v>
      </c>
      <c r="C17" s="354" t="s">
        <v>75</v>
      </c>
      <c r="D17" s="583"/>
      <c r="E17" s="285">
        <v>21</v>
      </c>
      <c r="F17" s="20">
        <f>VLOOKUP(S17,'FS Data'!$A:$B,2,FALSE)</f>
        <v>33673</v>
      </c>
      <c r="G17" s="263">
        <f>VLOOKUP(T17,'FS Data'!$A:$B,2,FALSE)/10</f>
        <v>11.8</v>
      </c>
      <c r="H17" s="117">
        <f>VLOOKUP(U17,'FS Data'!$A:$B,2,FALSE)</f>
        <v>33673</v>
      </c>
      <c r="I17" s="188">
        <f>VLOOKUP(V17,'FS Data'!$A:$B,2,FALSE)/10</f>
        <v>11.8</v>
      </c>
      <c r="J17" s="20">
        <f>VLOOKUP(W17,'FS Data'!$A:$B,2,FALSE)</f>
        <v>33673</v>
      </c>
      <c r="K17" s="263">
        <f>VLOOKUP(X17,'FS Data'!$A:$B,2,FALSE)/10</f>
        <v>11.8</v>
      </c>
      <c r="L17" s="117">
        <f>VLOOKUP(Y17,'FS Data'!$A:$B,2,FALSE)</f>
        <v>33673</v>
      </c>
      <c r="M17" s="188">
        <f>VLOOKUP(Z17,'FS Data'!$A:$B,2,FALSE)/10</f>
        <v>11.8</v>
      </c>
      <c r="N17" s="20">
        <f>VLOOKUP(AA17,'FS Data'!$A:$B,2,FALSE)</f>
        <v>0</v>
      </c>
      <c r="O17" s="263">
        <f>VLOOKUP(AB17,'FS Data'!$A:$B,2,FALSE)/10</f>
        <v>0</v>
      </c>
      <c r="P17" s="117">
        <f>VLOOKUP(AC17,'FS Data'!$A:$B,2,FALSE)</f>
        <v>0</v>
      </c>
      <c r="Q17" s="188">
        <f>VLOOKUP(AD17,'FS Data'!$A:$B,2,FALSE)/10</f>
        <v>0</v>
      </c>
      <c r="R17" s="718"/>
      <c r="S17" s="215">
        <v>201404</v>
      </c>
      <c r="T17" s="215">
        <v>201406</v>
      </c>
      <c r="U17" s="215">
        <v>201408</v>
      </c>
      <c r="V17" s="215">
        <v>201410</v>
      </c>
      <c r="W17" s="215">
        <v>201414</v>
      </c>
      <c r="X17" s="215">
        <v>201416</v>
      </c>
      <c r="Y17" s="215">
        <v>201418</v>
      </c>
      <c r="Z17" s="215">
        <v>201420</v>
      </c>
      <c r="AA17" s="215">
        <v>201424</v>
      </c>
      <c r="AB17" s="215">
        <v>201426</v>
      </c>
      <c r="AC17" s="215">
        <v>201428</v>
      </c>
      <c r="AD17" s="215">
        <v>201430</v>
      </c>
    </row>
    <row r="18" spans="2:30" ht="18.75" customHeight="1" x14ac:dyDescent="0.25">
      <c r="B18" s="13">
        <v>15</v>
      </c>
      <c r="C18" s="354" t="s">
        <v>462</v>
      </c>
      <c r="D18" s="583"/>
      <c r="E18" s="285">
        <v>22</v>
      </c>
      <c r="F18" s="20">
        <f>VLOOKUP(S18,'FS Data'!$A:$B,2,FALSE)</f>
        <v>23131</v>
      </c>
      <c r="G18" s="263">
        <f>VLOOKUP(T18,'FS Data'!$A:$B,2,FALSE)/10</f>
        <v>8.1</v>
      </c>
      <c r="H18" s="117">
        <f>VLOOKUP(U18,'FS Data'!$A:$B,2,FALSE)</f>
        <v>23131</v>
      </c>
      <c r="I18" s="188">
        <f>VLOOKUP(V18,'FS Data'!$A:$B,2,FALSE)/10</f>
        <v>8.1</v>
      </c>
      <c r="J18" s="20">
        <f>VLOOKUP(W18,'FS Data'!$A:$B,2,FALSE)</f>
        <v>23131</v>
      </c>
      <c r="K18" s="263">
        <f>VLOOKUP(X18,'FS Data'!$A:$B,2,FALSE)/10</f>
        <v>8.1</v>
      </c>
      <c r="L18" s="117">
        <f>VLOOKUP(Y18,'FS Data'!$A:$B,2,FALSE)</f>
        <v>23131</v>
      </c>
      <c r="M18" s="188">
        <f>VLOOKUP(Z18,'FS Data'!$A:$B,2,FALSE)/10</f>
        <v>8.1</v>
      </c>
      <c r="N18" s="20">
        <f>VLOOKUP(AA18,'FS Data'!$A:$B,2,FALSE)</f>
        <v>0</v>
      </c>
      <c r="O18" s="263">
        <f>VLOOKUP(AB18,'FS Data'!$A:$B,2,FALSE)/10</f>
        <v>0</v>
      </c>
      <c r="P18" s="117">
        <f>VLOOKUP(AC18,'FS Data'!$A:$B,2,FALSE)</f>
        <v>0</v>
      </c>
      <c r="Q18" s="188">
        <f>VLOOKUP(AD18,'FS Data'!$A:$B,2,FALSE)/10</f>
        <v>0</v>
      </c>
      <c r="R18" s="718"/>
      <c r="S18" s="215">
        <v>201504</v>
      </c>
      <c r="T18" s="215">
        <v>201506</v>
      </c>
      <c r="U18" s="215">
        <v>201508</v>
      </c>
      <c r="V18" s="215">
        <v>201510</v>
      </c>
      <c r="W18" s="215">
        <v>201514</v>
      </c>
      <c r="X18" s="215">
        <v>201516</v>
      </c>
      <c r="Y18" s="215">
        <v>201518</v>
      </c>
      <c r="Z18" s="215">
        <v>201520</v>
      </c>
      <c r="AA18" s="215">
        <v>201524</v>
      </c>
      <c r="AB18" s="215">
        <v>201526</v>
      </c>
      <c r="AC18" s="215">
        <v>201528</v>
      </c>
      <c r="AD18" s="215">
        <v>201530</v>
      </c>
    </row>
    <row r="19" spans="2:30" ht="18.75" customHeight="1" x14ac:dyDescent="0.25">
      <c r="B19" s="13">
        <v>16</v>
      </c>
      <c r="C19" s="354" t="s">
        <v>463</v>
      </c>
      <c r="D19" s="583"/>
      <c r="E19" s="285">
        <v>26</v>
      </c>
      <c r="F19" s="20">
        <f>VLOOKUP(S19,'FS Data'!$A:$B,2,FALSE)</f>
        <v>10355</v>
      </c>
      <c r="G19" s="263">
        <f>VLOOKUP(T19,'FS Data'!$A:$B,2,FALSE)/10</f>
        <v>3.6</v>
      </c>
      <c r="H19" s="117">
        <f>VLOOKUP(U19,'FS Data'!$A:$B,2,FALSE)</f>
        <v>10355</v>
      </c>
      <c r="I19" s="188">
        <f>VLOOKUP(V19,'FS Data'!$A:$B,2,FALSE)/10</f>
        <v>3.6</v>
      </c>
      <c r="J19" s="20">
        <f>VLOOKUP(W19,'FS Data'!$A:$B,2,FALSE)</f>
        <v>10355</v>
      </c>
      <c r="K19" s="263">
        <f>VLOOKUP(X19,'FS Data'!$A:$B,2,FALSE)/10</f>
        <v>3.6</v>
      </c>
      <c r="L19" s="117">
        <f>VLOOKUP(Y19,'FS Data'!$A:$B,2,FALSE)</f>
        <v>10355</v>
      </c>
      <c r="M19" s="188">
        <f>VLOOKUP(Z19,'FS Data'!$A:$B,2,FALSE)/10</f>
        <v>3.6</v>
      </c>
      <c r="N19" s="20">
        <f>VLOOKUP(AA19,'FS Data'!$A:$B,2,FALSE)</f>
        <v>0</v>
      </c>
      <c r="O19" s="263">
        <f>VLOOKUP(AB19,'FS Data'!$A:$B,2,FALSE)/10</f>
        <v>0</v>
      </c>
      <c r="P19" s="117">
        <f>VLOOKUP(AC19,'FS Data'!$A:$B,2,FALSE)</f>
        <v>0</v>
      </c>
      <c r="Q19" s="188">
        <f>VLOOKUP(AD19,'FS Data'!$A:$B,2,FALSE)/10</f>
        <v>0</v>
      </c>
      <c r="R19" s="718"/>
      <c r="S19" s="215">
        <v>201604</v>
      </c>
      <c r="T19" s="215">
        <v>201606</v>
      </c>
      <c r="U19" s="215">
        <v>201608</v>
      </c>
      <c r="V19" s="215">
        <v>201610</v>
      </c>
      <c r="W19" s="215">
        <v>201614</v>
      </c>
      <c r="X19" s="215">
        <v>201616</v>
      </c>
      <c r="Y19" s="215">
        <v>201618</v>
      </c>
      <c r="Z19" s="215">
        <v>201620</v>
      </c>
      <c r="AA19" s="215">
        <v>201624</v>
      </c>
      <c r="AB19" s="215">
        <v>201626</v>
      </c>
      <c r="AC19" s="215">
        <v>201628</v>
      </c>
      <c r="AD19" s="215">
        <v>201630</v>
      </c>
    </row>
    <row r="20" spans="2:30" ht="18.75" customHeight="1" x14ac:dyDescent="0.25">
      <c r="B20" s="13">
        <v>17</v>
      </c>
      <c r="C20" s="354" t="s">
        <v>464</v>
      </c>
      <c r="D20" s="583"/>
      <c r="E20" s="285">
        <v>23</v>
      </c>
      <c r="F20" s="20">
        <f>VLOOKUP(S20,'FS Data'!$A:$B,2,FALSE)</f>
        <v>20389</v>
      </c>
      <c r="G20" s="263">
        <f>VLOOKUP(T20,'FS Data'!$A:$B,2,FALSE)/10</f>
        <v>7.2</v>
      </c>
      <c r="H20" s="117">
        <f>VLOOKUP(U20,'FS Data'!$A:$B,2,FALSE)</f>
        <v>20389</v>
      </c>
      <c r="I20" s="188">
        <f>VLOOKUP(V20,'FS Data'!$A:$B,2,FALSE)/10</f>
        <v>7.2</v>
      </c>
      <c r="J20" s="20">
        <f>VLOOKUP(W20,'FS Data'!$A:$B,2,FALSE)</f>
        <v>20389</v>
      </c>
      <c r="K20" s="263">
        <f>VLOOKUP(X20,'FS Data'!$A:$B,2,FALSE)/10</f>
        <v>7.2</v>
      </c>
      <c r="L20" s="117">
        <f>VLOOKUP(Y20,'FS Data'!$A:$B,2,FALSE)</f>
        <v>20389</v>
      </c>
      <c r="M20" s="188">
        <f>VLOOKUP(Z20,'FS Data'!$A:$B,2,FALSE)/10</f>
        <v>7.2</v>
      </c>
      <c r="N20" s="20">
        <f>VLOOKUP(AA20,'FS Data'!$A:$B,2,FALSE)</f>
        <v>0</v>
      </c>
      <c r="O20" s="263">
        <f>VLOOKUP(AB20,'FS Data'!$A:$B,2,FALSE)/10</f>
        <v>0</v>
      </c>
      <c r="P20" s="117">
        <f>VLOOKUP(AC20,'FS Data'!$A:$B,2,FALSE)</f>
        <v>0</v>
      </c>
      <c r="Q20" s="188">
        <f>VLOOKUP(AD20,'FS Data'!$A:$B,2,FALSE)/10</f>
        <v>0</v>
      </c>
      <c r="R20" s="718"/>
      <c r="S20" s="215">
        <v>201704</v>
      </c>
      <c r="T20" s="215">
        <v>201706</v>
      </c>
      <c r="U20" s="215">
        <v>201708</v>
      </c>
      <c r="V20" s="215">
        <v>201710</v>
      </c>
      <c r="W20" s="215">
        <v>201714</v>
      </c>
      <c r="X20" s="215">
        <v>201716</v>
      </c>
      <c r="Y20" s="215">
        <v>201718</v>
      </c>
      <c r="Z20" s="215">
        <v>201720</v>
      </c>
      <c r="AA20" s="215">
        <v>201724</v>
      </c>
      <c r="AB20" s="215">
        <v>201726</v>
      </c>
      <c r="AC20" s="215">
        <v>201728</v>
      </c>
      <c r="AD20" s="215">
        <v>201730</v>
      </c>
    </row>
    <row r="21" spans="2:30" ht="18.75" customHeight="1" x14ac:dyDescent="0.25">
      <c r="B21" s="13">
        <v>18</v>
      </c>
      <c r="C21" s="354" t="s">
        <v>465</v>
      </c>
      <c r="D21" s="583"/>
      <c r="E21" s="285">
        <v>24</v>
      </c>
      <c r="F21" s="20">
        <f>VLOOKUP(S21,'FS Data'!$A:$B,2,FALSE)</f>
        <v>32785</v>
      </c>
      <c r="G21" s="263">
        <f>VLOOKUP(T21,'FS Data'!$A:$B,2,FALSE)/10</f>
        <v>11.5</v>
      </c>
      <c r="H21" s="117">
        <f>VLOOKUP(U21,'FS Data'!$A:$B,2,FALSE)</f>
        <v>32785</v>
      </c>
      <c r="I21" s="188">
        <f>VLOOKUP(V21,'FS Data'!$A:$B,2,FALSE)/10</f>
        <v>11.5</v>
      </c>
      <c r="J21" s="20">
        <f>VLOOKUP(W21,'FS Data'!$A:$B,2,FALSE)</f>
        <v>32785</v>
      </c>
      <c r="K21" s="263">
        <f>VLOOKUP(X21,'FS Data'!$A:$B,2,FALSE)/10</f>
        <v>11.5</v>
      </c>
      <c r="L21" s="117">
        <f>VLOOKUP(Y21,'FS Data'!$A:$B,2,FALSE)</f>
        <v>32785</v>
      </c>
      <c r="M21" s="188">
        <f>VLOOKUP(Z21,'FS Data'!$A:$B,2,FALSE)/10</f>
        <v>11.5</v>
      </c>
      <c r="N21" s="20">
        <f>VLOOKUP(AA21,'FS Data'!$A:$B,2,FALSE)</f>
        <v>0</v>
      </c>
      <c r="O21" s="263">
        <f>VLOOKUP(AB21,'FS Data'!$A:$B,2,FALSE)/10</f>
        <v>0</v>
      </c>
      <c r="P21" s="117">
        <f>VLOOKUP(AC21,'FS Data'!$A:$B,2,FALSE)</f>
        <v>0</v>
      </c>
      <c r="Q21" s="188">
        <f>VLOOKUP(AD21,'FS Data'!$A:$B,2,FALSE)/10</f>
        <v>0</v>
      </c>
      <c r="R21" s="718"/>
      <c r="S21" s="215">
        <v>201804</v>
      </c>
      <c r="T21" s="215">
        <v>201806</v>
      </c>
      <c r="U21" s="215">
        <v>201808</v>
      </c>
      <c r="V21" s="215">
        <v>201810</v>
      </c>
      <c r="W21" s="215">
        <v>201814</v>
      </c>
      <c r="X21" s="215">
        <v>201816</v>
      </c>
      <c r="Y21" s="215">
        <v>201818</v>
      </c>
      <c r="Z21" s="215">
        <v>201820</v>
      </c>
      <c r="AA21" s="215">
        <v>201824</v>
      </c>
      <c r="AB21" s="215">
        <v>201826</v>
      </c>
      <c r="AC21" s="215">
        <v>201828</v>
      </c>
      <c r="AD21" s="215">
        <v>201830</v>
      </c>
    </row>
    <row r="22" spans="2:30" ht="18.75" customHeight="1" x14ac:dyDescent="0.25">
      <c r="B22" s="13">
        <v>19</v>
      </c>
      <c r="C22" s="354" t="s">
        <v>466</v>
      </c>
      <c r="D22" s="583"/>
      <c r="E22" s="285">
        <v>25</v>
      </c>
      <c r="F22" s="20">
        <f>VLOOKUP(S22,'FS Data'!$A:$B,2,FALSE)</f>
        <v>35169</v>
      </c>
      <c r="G22" s="263">
        <f>VLOOKUP(T22,'FS Data'!$A:$B,2,FALSE)/10</f>
        <v>12.4</v>
      </c>
      <c r="H22" s="117">
        <f>VLOOKUP(U22,'FS Data'!$A:$B,2,FALSE)</f>
        <v>35169</v>
      </c>
      <c r="I22" s="188">
        <f>VLOOKUP(V22,'FS Data'!$A:$B,2,FALSE)/10</f>
        <v>12.4</v>
      </c>
      <c r="J22" s="20">
        <f>VLOOKUP(W22,'FS Data'!$A:$B,2,FALSE)</f>
        <v>35169</v>
      </c>
      <c r="K22" s="263">
        <f>VLOOKUP(X22,'FS Data'!$A:$B,2,FALSE)/10</f>
        <v>12.4</v>
      </c>
      <c r="L22" s="117">
        <f>VLOOKUP(Y22,'FS Data'!$A:$B,2,FALSE)</f>
        <v>35169</v>
      </c>
      <c r="M22" s="188">
        <f>VLOOKUP(Z22,'FS Data'!$A:$B,2,FALSE)/10</f>
        <v>12.4</v>
      </c>
      <c r="N22" s="20">
        <f>VLOOKUP(AA22,'FS Data'!$A:$B,2,FALSE)</f>
        <v>0</v>
      </c>
      <c r="O22" s="263">
        <f>VLOOKUP(AB22,'FS Data'!$A:$B,2,FALSE)/10</f>
        <v>0</v>
      </c>
      <c r="P22" s="117">
        <f>VLOOKUP(AC22,'FS Data'!$A:$B,2,FALSE)</f>
        <v>0</v>
      </c>
      <c r="Q22" s="188">
        <f>VLOOKUP(AD22,'FS Data'!$A:$B,2,FALSE)/10</f>
        <v>0</v>
      </c>
      <c r="R22" s="718"/>
      <c r="S22" s="215">
        <v>201904</v>
      </c>
      <c r="T22" s="215">
        <v>201906</v>
      </c>
      <c r="U22" s="215">
        <v>201908</v>
      </c>
      <c r="V22" s="215">
        <v>201910</v>
      </c>
      <c r="W22" s="215">
        <v>201914</v>
      </c>
      <c r="X22" s="215">
        <v>201916</v>
      </c>
      <c r="Y22" s="215">
        <v>201918</v>
      </c>
      <c r="Z22" s="215">
        <v>201920</v>
      </c>
      <c r="AA22" s="215">
        <v>201924</v>
      </c>
      <c r="AB22" s="215">
        <v>201926</v>
      </c>
      <c r="AC22" s="215">
        <v>201928</v>
      </c>
      <c r="AD22" s="215">
        <v>201930</v>
      </c>
    </row>
    <row r="23" spans="2:30" ht="18.75" customHeight="1" x14ac:dyDescent="0.25">
      <c r="B23" s="13">
        <v>20</v>
      </c>
      <c r="C23" s="354" t="s">
        <v>467</v>
      </c>
      <c r="D23" s="583"/>
      <c r="E23" s="285">
        <v>27</v>
      </c>
      <c r="F23" s="20">
        <f>VLOOKUP(S23,'FS Data'!$A:$B,2,FALSE)</f>
        <v>15788</v>
      </c>
      <c r="G23" s="263">
        <f>VLOOKUP(T23,'FS Data'!$A:$B,2,FALSE)/10</f>
        <v>5.6</v>
      </c>
      <c r="H23" s="117">
        <f>VLOOKUP(U23,'FS Data'!$A:$B,2,FALSE)</f>
        <v>15788</v>
      </c>
      <c r="I23" s="188">
        <f>VLOOKUP(V23,'FS Data'!$A:$B,2,FALSE)/10</f>
        <v>5.6</v>
      </c>
      <c r="J23" s="20">
        <f>VLOOKUP(W23,'FS Data'!$A:$B,2,FALSE)</f>
        <v>15788</v>
      </c>
      <c r="K23" s="263">
        <f>VLOOKUP(X23,'FS Data'!$A:$B,2,FALSE)/10</f>
        <v>5.6</v>
      </c>
      <c r="L23" s="117">
        <f>VLOOKUP(Y23,'FS Data'!$A:$B,2,FALSE)</f>
        <v>15788</v>
      </c>
      <c r="M23" s="188">
        <f>VLOOKUP(Z23,'FS Data'!$A:$B,2,FALSE)/10</f>
        <v>5.6</v>
      </c>
      <c r="N23" s="20">
        <f>VLOOKUP(AA23,'FS Data'!$A:$B,2,FALSE)</f>
        <v>0</v>
      </c>
      <c r="O23" s="263">
        <f>VLOOKUP(AB23,'FS Data'!$A:$B,2,FALSE)/10</f>
        <v>0</v>
      </c>
      <c r="P23" s="117">
        <f>VLOOKUP(AC23,'FS Data'!$A:$B,2,FALSE)</f>
        <v>0</v>
      </c>
      <c r="Q23" s="188">
        <f>VLOOKUP(AD23,'FS Data'!$A:$B,2,FALSE)/10</f>
        <v>0</v>
      </c>
      <c r="R23" s="718"/>
      <c r="S23" s="215">
        <v>202004</v>
      </c>
      <c r="T23" s="215">
        <v>202006</v>
      </c>
      <c r="U23" s="215">
        <v>202008</v>
      </c>
      <c r="V23" s="215">
        <v>202010</v>
      </c>
      <c r="W23" s="215">
        <v>202014</v>
      </c>
      <c r="X23" s="215">
        <v>202016</v>
      </c>
      <c r="Y23" s="215">
        <v>202018</v>
      </c>
      <c r="Z23" s="215">
        <v>202020</v>
      </c>
      <c r="AA23" s="215">
        <v>202024</v>
      </c>
      <c r="AB23" s="215">
        <v>202026</v>
      </c>
      <c r="AC23" s="215">
        <v>202028</v>
      </c>
      <c r="AD23" s="215">
        <v>202030</v>
      </c>
    </row>
    <row r="24" spans="2:30" ht="18.75" customHeight="1" x14ac:dyDescent="0.25">
      <c r="B24" s="13">
        <v>21</v>
      </c>
      <c r="C24" s="354" t="s">
        <v>415</v>
      </c>
      <c r="D24" s="583"/>
      <c r="E24" s="285">
        <v>29</v>
      </c>
      <c r="F24" s="20">
        <f>VLOOKUP(S24,'FS Data'!$A:$B,2,FALSE)</f>
        <v>5006</v>
      </c>
      <c r="G24" s="263">
        <f>VLOOKUP(T24,'FS Data'!$A:$B,2,FALSE)/10</f>
        <v>1.8</v>
      </c>
      <c r="H24" s="117">
        <f>VLOOKUP(U24,'FS Data'!$A:$B,2,FALSE)</f>
        <v>5006</v>
      </c>
      <c r="I24" s="188">
        <f>VLOOKUP(V24,'FS Data'!$A:$B,2,FALSE)/10</f>
        <v>1.8</v>
      </c>
      <c r="J24" s="20">
        <f>VLOOKUP(W24,'FS Data'!$A:$B,2,FALSE)</f>
        <v>5006</v>
      </c>
      <c r="K24" s="263">
        <f>VLOOKUP(X24,'FS Data'!$A:$B,2,FALSE)/10</f>
        <v>1.8</v>
      </c>
      <c r="L24" s="117">
        <f>VLOOKUP(Y24,'FS Data'!$A:$B,2,FALSE)</f>
        <v>5006</v>
      </c>
      <c r="M24" s="188">
        <f>VLOOKUP(Z24,'FS Data'!$A:$B,2,FALSE)/10</f>
        <v>1.8</v>
      </c>
      <c r="N24" s="20">
        <f>VLOOKUP(AA24,'FS Data'!$A:$B,2,FALSE)</f>
        <v>0</v>
      </c>
      <c r="O24" s="263">
        <f>VLOOKUP(AB24,'FS Data'!$A:$B,2,FALSE)/10</f>
        <v>0</v>
      </c>
      <c r="P24" s="117">
        <f>VLOOKUP(AC24,'FS Data'!$A:$B,2,FALSE)</f>
        <v>0</v>
      </c>
      <c r="Q24" s="188">
        <f>VLOOKUP(AD24,'FS Data'!$A:$B,2,FALSE)/10</f>
        <v>0</v>
      </c>
      <c r="R24" s="718"/>
      <c r="S24" s="215">
        <v>202104</v>
      </c>
      <c r="T24" s="215">
        <v>202106</v>
      </c>
      <c r="U24" s="215">
        <v>202108</v>
      </c>
      <c r="V24" s="215">
        <v>202110</v>
      </c>
      <c r="W24" s="215">
        <v>202114</v>
      </c>
      <c r="X24" s="215">
        <v>202116</v>
      </c>
      <c r="Y24" s="215">
        <v>202118</v>
      </c>
      <c r="Z24" s="215">
        <v>202120</v>
      </c>
      <c r="AA24" s="215">
        <v>202124</v>
      </c>
      <c r="AB24" s="215">
        <v>202126</v>
      </c>
      <c r="AC24" s="215">
        <v>202128</v>
      </c>
      <c r="AD24" s="215">
        <v>202130</v>
      </c>
    </row>
    <row r="25" spans="2:30" ht="18.75" customHeight="1" x14ac:dyDescent="0.25">
      <c r="B25" s="13">
        <v>22</v>
      </c>
      <c r="C25" s="354" t="s">
        <v>468</v>
      </c>
      <c r="D25" s="583"/>
      <c r="E25" s="586">
        <v>30</v>
      </c>
      <c r="F25" s="146">
        <f>VLOOKUP(S25,'FS Data'!$A:$B,2,FALSE)</f>
        <v>0</v>
      </c>
      <c r="G25" s="264">
        <f>VLOOKUP(T25,'FS Data'!$A:$B,2,FALSE)/10</f>
        <v>0</v>
      </c>
      <c r="H25" s="143">
        <f>VLOOKUP(U25,'FS Data'!$A:$B,2,FALSE)</f>
        <v>0</v>
      </c>
      <c r="I25" s="189">
        <f>VLOOKUP(V25,'FS Data'!$A:$B,2,FALSE)/10</f>
        <v>0</v>
      </c>
      <c r="J25" s="146">
        <f>VLOOKUP(W25,'FS Data'!$A:$B,2,FALSE)</f>
        <v>0</v>
      </c>
      <c r="K25" s="264">
        <f>VLOOKUP(X25,'FS Data'!$A:$B,2,FALSE)/10</f>
        <v>0</v>
      </c>
      <c r="L25" s="143">
        <f>VLOOKUP(Y25,'FS Data'!$A:$B,2,FALSE)</f>
        <v>0</v>
      </c>
      <c r="M25" s="189">
        <f>VLOOKUP(Z25,'FS Data'!$A:$B,2,FALSE)/10</f>
        <v>0</v>
      </c>
      <c r="N25" s="146">
        <f>VLOOKUP(AA25,'FS Data'!$A:$B,2,FALSE)</f>
        <v>0</v>
      </c>
      <c r="O25" s="264">
        <f>VLOOKUP(AB25,'FS Data'!$A:$B,2,FALSE)/10</f>
        <v>0</v>
      </c>
      <c r="P25" s="143">
        <f>VLOOKUP(AC25,'FS Data'!$A:$B,2,FALSE)</f>
        <v>0</v>
      </c>
      <c r="Q25" s="189">
        <f>VLOOKUP(AD25,'FS Data'!$A:$B,2,FALSE)/10</f>
        <v>0</v>
      </c>
      <c r="R25" s="718"/>
      <c r="S25" s="215">
        <v>202204</v>
      </c>
      <c r="T25" s="215">
        <v>202206</v>
      </c>
      <c r="U25" s="215">
        <v>202208</v>
      </c>
      <c r="V25" s="215">
        <v>202210</v>
      </c>
      <c r="W25" s="215">
        <v>202214</v>
      </c>
      <c r="X25" s="215">
        <v>202216</v>
      </c>
      <c r="Y25" s="215">
        <v>202218</v>
      </c>
      <c r="Z25" s="215">
        <v>202220</v>
      </c>
      <c r="AA25" s="215">
        <v>202224</v>
      </c>
      <c r="AB25" s="215">
        <v>202226</v>
      </c>
      <c r="AC25" s="215">
        <v>202228</v>
      </c>
      <c r="AD25" s="215">
        <v>202230</v>
      </c>
    </row>
    <row r="26" spans="2:30" ht="21.6" customHeight="1" x14ac:dyDescent="0.25">
      <c r="B26" s="13">
        <v>23</v>
      </c>
      <c r="C26" s="350" t="s">
        <v>469</v>
      </c>
      <c r="D26" s="585"/>
      <c r="E26" s="586"/>
      <c r="F26" s="114">
        <f>VLOOKUP(S26,'FS Data'!$A:$B,2,FALSE)</f>
        <v>191236</v>
      </c>
      <c r="G26" s="263">
        <f>VLOOKUP(T26,'FS Data'!$A:$B,2,FALSE)/10</f>
        <v>67.3</v>
      </c>
      <c r="H26" s="125">
        <f>VLOOKUP(U26,'FS Data'!$A:$B,2,FALSE)</f>
        <v>191236</v>
      </c>
      <c r="I26" s="188">
        <f>VLOOKUP(V26,'FS Data'!$A:$B,2,FALSE)/10</f>
        <v>67.3</v>
      </c>
      <c r="J26" s="114">
        <f>VLOOKUP(W26,'FS Data'!$A:$B,2,FALSE)</f>
        <v>191236</v>
      </c>
      <c r="K26" s="263">
        <f>VLOOKUP(X26,'FS Data'!$A:$B,2,FALSE)/10</f>
        <v>67.3</v>
      </c>
      <c r="L26" s="125">
        <f>VLOOKUP(Y26,'FS Data'!$A:$B,2,FALSE)</f>
        <v>191236</v>
      </c>
      <c r="M26" s="188">
        <f>VLOOKUP(Z26,'FS Data'!$A:$B,2,FALSE)/10</f>
        <v>67.3</v>
      </c>
      <c r="N26" s="114">
        <f>VLOOKUP(AA26,'FS Data'!$A:$B,2,FALSE)</f>
        <v>0</v>
      </c>
      <c r="O26" s="263">
        <f>VLOOKUP(AB26,'FS Data'!$A:$B,2,FALSE)/10</f>
        <v>0</v>
      </c>
      <c r="P26" s="125">
        <f>VLOOKUP(AC26,'FS Data'!$A:$B,2,FALSE)</f>
        <v>0</v>
      </c>
      <c r="Q26" s="188">
        <f>VLOOKUP(AD26,'FS Data'!$A:$B,2,FALSE)/10</f>
        <v>0</v>
      </c>
      <c r="R26" s="718"/>
      <c r="S26" s="215">
        <v>202304</v>
      </c>
      <c r="T26" s="215">
        <v>202306</v>
      </c>
      <c r="U26" s="215">
        <v>202308</v>
      </c>
      <c r="V26" s="215">
        <v>202310</v>
      </c>
      <c r="W26" s="215">
        <v>202314</v>
      </c>
      <c r="X26" s="215">
        <v>202316</v>
      </c>
      <c r="Y26" s="215">
        <v>202318</v>
      </c>
      <c r="Z26" s="215">
        <v>202320</v>
      </c>
      <c r="AA26" s="215">
        <v>202324</v>
      </c>
      <c r="AB26" s="215">
        <v>202326</v>
      </c>
      <c r="AC26" s="215">
        <v>202328</v>
      </c>
      <c r="AD26" s="215">
        <v>202330</v>
      </c>
    </row>
    <row r="27" spans="2:30" ht="18.75" customHeight="1" x14ac:dyDescent="0.25">
      <c r="B27" s="13">
        <v>24</v>
      </c>
      <c r="C27" s="587"/>
      <c r="D27" s="588"/>
      <c r="E27" s="589"/>
      <c r="F27" s="475"/>
      <c r="G27" s="475"/>
      <c r="H27" s="475"/>
      <c r="I27" s="475"/>
      <c r="J27" s="475"/>
      <c r="K27" s="475"/>
      <c r="L27" s="475"/>
      <c r="M27" s="475"/>
      <c r="N27" s="475"/>
      <c r="O27" s="475"/>
      <c r="P27" s="475"/>
      <c r="Q27" s="476"/>
      <c r="R27" s="721"/>
      <c r="S27" s="215">
        <v>202404</v>
      </c>
      <c r="T27" s="215">
        <v>202406</v>
      </c>
      <c r="U27" s="215">
        <v>202408</v>
      </c>
      <c r="V27" s="215">
        <v>202410</v>
      </c>
      <c r="W27" s="215">
        <v>202414</v>
      </c>
      <c r="X27" s="215">
        <v>202416</v>
      </c>
      <c r="Y27" s="215">
        <v>202418</v>
      </c>
      <c r="Z27" s="215">
        <v>202420</v>
      </c>
      <c r="AA27" s="215">
        <v>202424</v>
      </c>
      <c r="AB27" s="215">
        <v>202426</v>
      </c>
      <c r="AC27" s="215">
        <v>202428</v>
      </c>
      <c r="AD27" s="215">
        <v>202430</v>
      </c>
    </row>
    <row r="28" spans="2:30" ht="18.75" customHeight="1" x14ac:dyDescent="0.25">
      <c r="B28" s="13">
        <v>25</v>
      </c>
      <c r="C28" s="354" t="s">
        <v>470</v>
      </c>
      <c r="D28" s="583"/>
      <c r="E28" s="285">
        <v>51</v>
      </c>
      <c r="F28" s="20">
        <f>VLOOKUP(S28,'FS Data'!$A:$B,2,FALSE)</f>
        <v>1898</v>
      </c>
      <c r="G28" s="263">
        <f>VLOOKUP(T28,'FS Data'!$A:$B,2,FALSE)/10</f>
        <v>0.7</v>
      </c>
      <c r="H28" s="117">
        <f>VLOOKUP(U28,'FS Data'!$A:$B,2,FALSE)</f>
        <v>1898</v>
      </c>
      <c r="I28" s="188">
        <f>VLOOKUP(V28,'FS Data'!$A:$B,2,FALSE)/10</f>
        <v>0.7</v>
      </c>
      <c r="J28" s="20">
        <f>VLOOKUP(W28,'FS Data'!$A:$B,2,FALSE)</f>
        <v>1898</v>
      </c>
      <c r="K28" s="263">
        <f>VLOOKUP(X28,'FS Data'!$A:$B,2,FALSE)/10</f>
        <v>0.7</v>
      </c>
      <c r="L28" s="117">
        <f>VLOOKUP(Y28,'FS Data'!$A:$B,2,FALSE)</f>
        <v>1898</v>
      </c>
      <c r="M28" s="188">
        <f>VLOOKUP(Z28,'FS Data'!$A:$B,2,FALSE)/10</f>
        <v>0.7</v>
      </c>
      <c r="N28" s="20">
        <f>VLOOKUP(AA28,'FS Data'!$A:$B,2,FALSE)</f>
        <v>0</v>
      </c>
      <c r="O28" s="263">
        <f>VLOOKUP(AB28,'FS Data'!$A:$B,2,FALSE)/10</f>
        <v>0</v>
      </c>
      <c r="P28" s="117">
        <f>VLOOKUP(AC28,'FS Data'!$A:$B,2,FALSE)</f>
        <v>0</v>
      </c>
      <c r="Q28" s="188">
        <f>VLOOKUP(AD28,'FS Data'!$A:$B,2,FALSE)/10</f>
        <v>0</v>
      </c>
      <c r="R28" s="718"/>
      <c r="S28" s="215">
        <v>202504</v>
      </c>
      <c r="T28" s="215">
        <v>202506</v>
      </c>
      <c r="U28" s="215">
        <v>202508</v>
      </c>
      <c r="V28" s="215">
        <v>202510</v>
      </c>
      <c r="W28" s="215">
        <v>202514</v>
      </c>
      <c r="X28" s="215">
        <v>202516</v>
      </c>
      <c r="Y28" s="215">
        <v>202518</v>
      </c>
      <c r="Z28" s="215">
        <v>202520</v>
      </c>
      <c r="AA28" s="215">
        <v>202524</v>
      </c>
      <c r="AB28" s="215">
        <v>202526</v>
      </c>
      <c r="AC28" s="215">
        <v>202528</v>
      </c>
      <c r="AD28" s="215">
        <v>202530</v>
      </c>
    </row>
    <row r="29" spans="2:30" ht="18.75" customHeight="1" x14ac:dyDescent="0.25">
      <c r="B29" s="13">
        <v>26</v>
      </c>
      <c r="C29" s="354" t="s">
        <v>471</v>
      </c>
      <c r="D29" s="583"/>
      <c r="E29" s="285">
        <v>53</v>
      </c>
      <c r="F29" s="20">
        <f>VLOOKUP(S29,'FS Data'!$A:$B,2,FALSE)</f>
        <v>10344</v>
      </c>
      <c r="G29" s="263">
        <f>VLOOKUP(T29,'FS Data'!$A:$B,2,FALSE)/10</f>
        <v>3.6</v>
      </c>
      <c r="H29" s="117">
        <f>VLOOKUP(U29,'FS Data'!$A:$B,2,FALSE)</f>
        <v>10344</v>
      </c>
      <c r="I29" s="188">
        <f>VLOOKUP(V29,'FS Data'!$A:$B,2,FALSE)/10</f>
        <v>3.6</v>
      </c>
      <c r="J29" s="20">
        <f>VLOOKUP(W29,'FS Data'!$A:$B,2,FALSE)</f>
        <v>10344</v>
      </c>
      <c r="K29" s="263">
        <f>VLOOKUP(X29,'FS Data'!$A:$B,2,FALSE)/10</f>
        <v>3.6</v>
      </c>
      <c r="L29" s="117">
        <f>VLOOKUP(Y29,'FS Data'!$A:$B,2,FALSE)</f>
        <v>10344</v>
      </c>
      <c r="M29" s="188">
        <f>VLOOKUP(Z29,'FS Data'!$A:$B,2,FALSE)/10</f>
        <v>3.6</v>
      </c>
      <c r="N29" s="20">
        <f>VLOOKUP(AA29,'FS Data'!$A:$B,2,FALSE)</f>
        <v>0</v>
      </c>
      <c r="O29" s="263">
        <f>VLOOKUP(AB29,'FS Data'!$A:$B,2,FALSE)/10</f>
        <v>0</v>
      </c>
      <c r="P29" s="117">
        <f>VLOOKUP(AC29,'FS Data'!$A:$B,2,FALSE)</f>
        <v>0</v>
      </c>
      <c r="Q29" s="188">
        <f>VLOOKUP(AD29,'FS Data'!$A:$B,2,FALSE)/10</f>
        <v>0</v>
      </c>
      <c r="R29" s="718"/>
      <c r="S29" s="215">
        <v>202604</v>
      </c>
      <c r="T29" s="215">
        <v>202606</v>
      </c>
      <c r="U29" s="215">
        <v>202608</v>
      </c>
      <c r="V29" s="215">
        <v>202610</v>
      </c>
      <c r="W29" s="215">
        <v>202614</v>
      </c>
      <c r="X29" s="215">
        <v>202616</v>
      </c>
      <c r="Y29" s="215">
        <v>202618</v>
      </c>
      <c r="Z29" s="215">
        <v>202620</v>
      </c>
      <c r="AA29" s="215">
        <v>202624</v>
      </c>
      <c r="AB29" s="215">
        <v>202626</v>
      </c>
      <c r="AC29" s="215">
        <v>202628</v>
      </c>
      <c r="AD29" s="215">
        <v>202630</v>
      </c>
    </row>
    <row r="30" spans="2:30" ht="18.75" customHeight="1" x14ac:dyDescent="0.25">
      <c r="B30" s="13">
        <v>27</v>
      </c>
      <c r="C30" s="354" t="s">
        <v>472</v>
      </c>
      <c r="D30" s="583"/>
      <c r="E30" s="285">
        <v>60</v>
      </c>
      <c r="F30" s="20">
        <f>VLOOKUP(S30,'FS Data'!$A:$B,2,FALSE)</f>
        <v>1196</v>
      </c>
      <c r="G30" s="263">
        <f>VLOOKUP(T30,'FS Data'!$A:$B,2,FALSE)/10</f>
        <v>0.4</v>
      </c>
      <c r="H30" s="117">
        <f>VLOOKUP(U30,'FS Data'!$A:$B,2,FALSE)</f>
        <v>1196</v>
      </c>
      <c r="I30" s="188">
        <f>VLOOKUP(V30,'FS Data'!$A:$B,2,FALSE)/10</f>
        <v>0.4</v>
      </c>
      <c r="J30" s="20">
        <f>VLOOKUP(W30,'FS Data'!$A:$B,2,FALSE)</f>
        <v>1196</v>
      </c>
      <c r="K30" s="263">
        <f>VLOOKUP(X30,'FS Data'!$A:$B,2,FALSE)/10</f>
        <v>0.4</v>
      </c>
      <c r="L30" s="117">
        <f>VLOOKUP(Y30,'FS Data'!$A:$B,2,FALSE)</f>
        <v>1196</v>
      </c>
      <c r="M30" s="188">
        <f>VLOOKUP(Z30,'FS Data'!$A:$B,2,FALSE)/10</f>
        <v>0.4</v>
      </c>
      <c r="N30" s="20">
        <f>VLOOKUP(AA30,'FS Data'!$A:$B,2,FALSE)</f>
        <v>0</v>
      </c>
      <c r="O30" s="263">
        <f>VLOOKUP(AB30,'FS Data'!$A:$B,2,FALSE)/10</f>
        <v>0</v>
      </c>
      <c r="P30" s="117">
        <f>VLOOKUP(AC30,'FS Data'!$A:$B,2,FALSE)</f>
        <v>0</v>
      </c>
      <c r="Q30" s="188">
        <f>VLOOKUP(AD30,'FS Data'!$A:$B,2,FALSE)/10</f>
        <v>0</v>
      </c>
      <c r="R30" s="718"/>
      <c r="S30" s="215">
        <v>202704</v>
      </c>
      <c r="T30" s="215">
        <v>202706</v>
      </c>
      <c r="U30" s="215">
        <v>202708</v>
      </c>
      <c r="V30" s="215">
        <v>202710</v>
      </c>
      <c r="W30" s="215">
        <v>202714</v>
      </c>
      <c r="X30" s="215">
        <v>202716</v>
      </c>
      <c r="Y30" s="215">
        <v>202718</v>
      </c>
      <c r="Z30" s="215">
        <v>202720</v>
      </c>
      <c r="AA30" s="215">
        <v>202724</v>
      </c>
      <c r="AB30" s="215">
        <v>202726</v>
      </c>
      <c r="AC30" s="215">
        <v>202728</v>
      </c>
      <c r="AD30" s="215">
        <v>202730</v>
      </c>
    </row>
    <row r="31" spans="2:30" ht="18.75" customHeight="1" x14ac:dyDescent="0.25">
      <c r="B31" s="13">
        <v>28</v>
      </c>
      <c r="C31" s="354" t="s">
        <v>473</v>
      </c>
      <c r="D31" s="583"/>
      <c r="E31" s="285">
        <v>61</v>
      </c>
      <c r="F31" s="20">
        <f>VLOOKUP(S31,'FS Data'!$A:$B,2,FALSE)</f>
        <v>1035</v>
      </c>
      <c r="G31" s="263">
        <f>VLOOKUP(T31,'FS Data'!$A:$B,2,FALSE)/10</f>
        <v>0.4</v>
      </c>
      <c r="H31" s="117">
        <f>VLOOKUP(U31,'FS Data'!$A:$B,2,FALSE)</f>
        <v>1035</v>
      </c>
      <c r="I31" s="188">
        <f>VLOOKUP(V31,'FS Data'!$A:$B,2,FALSE)/10</f>
        <v>0.4</v>
      </c>
      <c r="J31" s="20">
        <f>VLOOKUP(W31,'FS Data'!$A:$B,2,FALSE)</f>
        <v>1035</v>
      </c>
      <c r="K31" s="263">
        <f>VLOOKUP(X31,'FS Data'!$A:$B,2,FALSE)/10</f>
        <v>0.4</v>
      </c>
      <c r="L31" s="117">
        <f>VLOOKUP(Y31,'FS Data'!$A:$B,2,FALSE)</f>
        <v>1035</v>
      </c>
      <c r="M31" s="188">
        <f>VLOOKUP(Z31,'FS Data'!$A:$B,2,FALSE)/10</f>
        <v>0.4</v>
      </c>
      <c r="N31" s="20">
        <f>VLOOKUP(AA31,'FS Data'!$A:$B,2,FALSE)</f>
        <v>0</v>
      </c>
      <c r="O31" s="263">
        <f>VLOOKUP(AB31,'FS Data'!$A:$B,2,FALSE)/10</f>
        <v>0</v>
      </c>
      <c r="P31" s="117">
        <f>VLOOKUP(AC31,'FS Data'!$A:$B,2,FALSE)</f>
        <v>0</v>
      </c>
      <c r="Q31" s="188">
        <f>VLOOKUP(AD31,'FS Data'!$A:$B,2,FALSE)/10</f>
        <v>0</v>
      </c>
      <c r="R31" s="718"/>
      <c r="S31" s="215">
        <v>202804</v>
      </c>
      <c r="T31" s="215">
        <v>202806</v>
      </c>
      <c r="U31" s="215">
        <v>202808</v>
      </c>
      <c r="V31" s="215">
        <v>202810</v>
      </c>
      <c r="W31" s="215">
        <v>202814</v>
      </c>
      <c r="X31" s="215">
        <v>202816</v>
      </c>
      <c r="Y31" s="215">
        <v>202818</v>
      </c>
      <c r="Z31" s="215">
        <v>202820</v>
      </c>
      <c r="AA31" s="215">
        <v>202824</v>
      </c>
      <c r="AB31" s="215">
        <v>202826</v>
      </c>
      <c r="AC31" s="215">
        <v>202828</v>
      </c>
      <c r="AD31" s="215">
        <v>202830</v>
      </c>
    </row>
    <row r="32" spans="2:30" ht="18.75" customHeight="1" x14ac:dyDescent="0.25">
      <c r="B32" s="13">
        <v>29</v>
      </c>
      <c r="C32" s="354" t="s">
        <v>474</v>
      </c>
      <c r="D32" s="583"/>
      <c r="E32" s="285">
        <v>63</v>
      </c>
      <c r="F32" s="20">
        <f>VLOOKUP(S32,'FS Data'!$A:$B,2,FALSE)</f>
        <v>552</v>
      </c>
      <c r="G32" s="263">
        <f>VLOOKUP(T32,'FS Data'!$A:$B,2,FALSE)/10</f>
        <v>0.2</v>
      </c>
      <c r="H32" s="117">
        <f>VLOOKUP(U32,'FS Data'!$A:$B,2,FALSE)</f>
        <v>552</v>
      </c>
      <c r="I32" s="188">
        <f>VLOOKUP(V32,'FS Data'!$A:$B,2,FALSE)/10</f>
        <v>0.2</v>
      </c>
      <c r="J32" s="20">
        <f>VLOOKUP(W32,'FS Data'!$A:$B,2,FALSE)</f>
        <v>552</v>
      </c>
      <c r="K32" s="263">
        <f>VLOOKUP(X32,'FS Data'!$A:$B,2,FALSE)/10</f>
        <v>0.2</v>
      </c>
      <c r="L32" s="117">
        <f>VLOOKUP(Y32,'FS Data'!$A:$B,2,FALSE)</f>
        <v>552</v>
      </c>
      <c r="M32" s="188">
        <f>VLOOKUP(Z32,'FS Data'!$A:$B,2,FALSE)/10</f>
        <v>0.2</v>
      </c>
      <c r="N32" s="20">
        <f>VLOOKUP(AA32,'FS Data'!$A:$B,2,FALSE)</f>
        <v>0</v>
      </c>
      <c r="O32" s="263">
        <f>VLOOKUP(AB32,'FS Data'!$A:$B,2,FALSE)/10</f>
        <v>0</v>
      </c>
      <c r="P32" s="117">
        <f>VLOOKUP(AC32,'FS Data'!$A:$B,2,FALSE)</f>
        <v>0</v>
      </c>
      <c r="Q32" s="188">
        <f>VLOOKUP(AD32,'FS Data'!$A:$B,2,FALSE)/10</f>
        <v>0</v>
      </c>
      <c r="R32" s="718"/>
      <c r="S32" s="215">
        <v>202904</v>
      </c>
      <c r="T32" s="215">
        <v>202906</v>
      </c>
      <c r="U32" s="215">
        <v>202908</v>
      </c>
      <c r="V32" s="215">
        <v>202910</v>
      </c>
      <c r="W32" s="215">
        <v>202914</v>
      </c>
      <c r="X32" s="215">
        <v>202916</v>
      </c>
      <c r="Y32" s="215">
        <v>202918</v>
      </c>
      <c r="Z32" s="215">
        <v>202920</v>
      </c>
      <c r="AA32" s="215">
        <v>202924</v>
      </c>
      <c r="AB32" s="215">
        <v>202926</v>
      </c>
      <c r="AC32" s="215">
        <v>202928</v>
      </c>
      <c r="AD32" s="215">
        <v>202930</v>
      </c>
    </row>
    <row r="33" spans="2:30" ht="18.75" customHeight="1" x14ac:dyDescent="0.25">
      <c r="B33" s="13">
        <v>30</v>
      </c>
      <c r="C33" s="354" t="s">
        <v>475</v>
      </c>
      <c r="D33" s="583"/>
      <c r="E33" s="285">
        <v>67</v>
      </c>
      <c r="F33" s="20">
        <f>VLOOKUP(S33,'FS Data'!$A:$B,2,FALSE)</f>
        <v>0</v>
      </c>
      <c r="G33" s="263">
        <f>VLOOKUP(T33,'FS Data'!$A:$B,2,FALSE)/10</f>
        <v>0</v>
      </c>
      <c r="H33" s="117">
        <f>VLOOKUP(U33,'FS Data'!$A:$B,2,FALSE)</f>
        <v>0</v>
      </c>
      <c r="I33" s="188">
        <f>VLOOKUP(V33,'FS Data'!$A:$B,2,FALSE)/10</f>
        <v>0</v>
      </c>
      <c r="J33" s="20">
        <f>VLOOKUP(W33,'FS Data'!$A:$B,2,FALSE)</f>
        <v>0</v>
      </c>
      <c r="K33" s="263">
        <f>VLOOKUP(X33,'FS Data'!$A:$B,2,FALSE)/10</f>
        <v>0</v>
      </c>
      <c r="L33" s="117">
        <f>VLOOKUP(Y33,'FS Data'!$A:$B,2,FALSE)</f>
        <v>0</v>
      </c>
      <c r="M33" s="188">
        <f>VLOOKUP(Z33,'FS Data'!$A:$B,2,FALSE)/10</f>
        <v>0</v>
      </c>
      <c r="N33" s="20">
        <f>VLOOKUP(AA33,'FS Data'!$A:$B,2,FALSE)</f>
        <v>0</v>
      </c>
      <c r="O33" s="263">
        <f>VLOOKUP(AB33,'FS Data'!$A:$B,2,FALSE)/10</f>
        <v>0</v>
      </c>
      <c r="P33" s="117">
        <f>VLOOKUP(AC33,'FS Data'!$A:$B,2,FALSE)</f>
        <v>0</v>
      </c>
      <c r="Q33" s="188">
        <f>VLOOKUP(AD33,'FS Data'!$A:$B,2,FALSE)/10</f>
        <v>0</v>
      </c>
      <c r="R33" s="718"/>
      <c r="S33" s="215">
        <v>203004</v>
      </c>
      <c r="T33" s="215">
        <v>203006</v>
      </c>
      <c r="U33" s="215">
        <v>203008</v>
      </c>
      <c r="V33" s="215">
        <v>203010</v>
      </c>
      <c r="W33" s="215">
        <v>203014</v>
      </c>
      <c r="X33" s="215">
        <v>203016</v>
      </c>
      <c r="Y33" s="215">
        <v>203018</v>
      </c>
      <c r="Z33" s="215">
        <v>203020</v>
      </c>
      <c r="AA33" s="215">
        <v>203024</v>
      </c>
      <c r="AB33" s="215">
        <v>203026</v>
      </c>
      <c r="AC33" s="215">
        <v>203028</v>
      </c>
      <c r="AD33" s="215">
        <v>203030</v>
      </c>
    </row>
    <row r="34" spans="2:30" ht="18.75" customHeight="1" x14ac:dyDescent="0.25">
      <c r="B34" s="13">
        <v>31</v>
      </c>
      <c r="C34" s="354" t="s">
        <v>476</v>
      </c>
      <c r="D34" s="583"/>
      <c r="E34" s="285">
        <v>68</v>
      </c>
      <c r="F34" s="20">
        <f>VLOOKUP(S34,'FS Data'!$A:$B,2,FALSE)</f>
        <v>1811</v>
      </c>
      <c r="G34" s="263">
        <f>VLOOKUP(T34,'FS Data'!$A:$B,2,FALSE)/10</f>
        <v>0.6</v>
      </c>
      <c r="H34" s="117">
        <f>VLOOKUP(U34,'FS Data'!$A:$B,2,FALSE)</f>
        <v>1811</v>
      </c>
      <c r="I34" s="188">
        <f>VLOOKUP(V34,'FS Data'!$A:$B,2,FALSE)/10</f>
        <v>0.6</v>
      </c>
      <c r="J34" s="20">
        <f>VLOOKUP(W34,'FS Data'!$A:$B,2,FALSE)</f>
        <v>1811</v>
      </c>
      <c r="K34" s="263">
        <f>VLOOKUP(X34,'FS Data'!$A:$B,2,FALSE)/10</f>
        <v>0.6</v>
      </c>
      <c r="L34" s="117">
        <f>VLOOKUP(Y34,'FS Data'!$A:$B,2,FALSE)</f>
        <v>1811</v>
      </c>
      <c r="M34" s="188">
        <f>VLOOKUP(Z34,'FS Data'!$A:$B,2,FALSE)/10</f>
        <v>0.6</v>
      </c>
      <c r="N34" s="20">
        <f>VLOOKUP(AA34,'FS Data'!$A:$B,2,FALSE)</f>
        <v>0</v>
      </c>
      <c r="O34" s="263">
        <f>VLOOKUP(AB34,'FS Data'!$A:$B,2,FALSE)/10</f>
        <v>0</v>
      </c>
      <c r="P34" s="117">
        <f>VLOOKUP(AC34,'FS Data'!$A:$B,2,FALSE)</f>
        <v>0</v>
      </c>
      <c r="Q34" s="188">
        <f>VLOOKUP(AD34,'FS Data'!$A:$B,2,FALSE)/10</f>
        <v>0</v>
      </c>
      <c r="R34" s="718"/>
      <c r="S34" s="215">
        <v>203104</v>
      </c>
      <c r="T34" s="215">
        <v>203106</v>
      </c>
      <c r="U34" s="215">
        <v>203108</v>
      </c>
      <c r="V34" s="215">
        <v>203110</v>
      </c>
      <c r="W34" s="215">
        <v>203114</v>
      </c>
      <c r="X34" s="215">
        <v>203116</v>
      </c>
      <c r="Y34" s="215">
        <v>203118</v>
      </c>
      <c r="Z34" s="215">
        <v>203120</v>
      </c>
      <c r="AA34" s="215">
        <v>203124</v>
      </c>
      <c r="AB34" s="215">
        <v>203126</v>
      </c>
      <c r="AC34" s="215">
        <v>203128</v>
      </c>
      <c r="AD34" s="215">
        <v>203130</v>
      </c>
    </row>
    <row r="35" spans="2:30" ht="18.75" customHeight="1" x14ac:dyDescent="0.25">
      <c r="B35" s="13">
        <v>32</v>
      </c>
      <c r="C35" s="354" t="s">
        <v>477</v>
      </c>
      <c r="D35" s="583"/>
      <c r="E35" s="285">
        <v>69</v>
      </c>
      <c r="F35" s="20">
        <f>VLOOKUP(S35,'FS Data'!$A:$B,2,FALSE)</f>
        <v>13937</v>
      </c>
      <c r="G35" s="263">
        <f>VLOOKUP(T35,'FS Data'!$A:$B,2,FALSE)/10</f>
        <v>4.9000000000000004</v>
      </c>
      <c r="H35" s="117">
        <f>VLOOKUP(U35,'FS Data'!$A:$B,2,FALSE)</f>
        <v>13937</v>
      </c>
      <c r="I35" s="188">
        <f>VLOOKUP(V35,'FS Data'!$A:$B,2,FALSE)/10</f>
        <v>4.9000000000000004</v>
      </c>
      <c r="J35" s="20">
        <f>VLOOKUP(W35,'FS Data'!$A:$B,2,FALSE)</f>
        <v>13937</v>
      </c>
      <c r="K35" s="263">
        <f>VLOOKUP(X35,'FS Data'!$A:$B,2,FALSE)/10</f>
        <v>4.9000000000000004</v>
      </c>
      <c r="L35" s="117">
        <f>VLOOKUP(Y35,'FS Data'!$A:$B,2,FALSE)</f>
        <v>13937</v>
      </c>
      <c r="M35" s="188">
        <f>VLOOKUP(Z35,'FS Data'!$A:$B,2,FALSE)/10</f>
        <v>4.9000000000000004</v>
      </c>
      <c r="N35" s="20">
        <f>VLOOKUP(AA35,'FS Data'!$A:$B,2,FALSE)</f>
        <v>0</v>
      </c>
      <c r="O35" s="263">
        <f>VLOOKUP(AB35,'FS Data'!$A:$B,2,FALSE)/10</f>
        <v>0</v>
      </c>
      <c r="P35" s="117">
        <f>VLOOKUP(AC35,'FS Data'!$A:$B,2,FALSE)</f>
        <v>0</v>
      </c>
      <c r="Q35" s="188">
        <f>VLOOKUP(AD35,'FS Data'!$A:$B,2,FALSE)/10</f>
        <v>0</v>
      </c>
      <c r="R35" s="718"/>
      <c r="S35" s="215">
        <v>203204</v>
      </c>
      <c r="T35" s="215">
        <v>203206</v>
      </c>
      <c r="U35" s="215">
        <v>203208</v>
      </c>
      <c r="V35" s="215">
        <v>203210</v>
      </c>
      <c r="W35" s="215">
        <v>203214</v>
      </c>
      <c r="X35" s="215">
        <v>203216</v>
      </c>
      <c r="Y35" s="215">
        <v>203218</v>
      </c>
      <c r="Z35" s="215">
        <v>203220</v>
      </c>
      <c r="AA35" s="215">
        <v>203224</v>
      </c>
      <c r="AB35" s="215">
        <v>203226</v>
      </c>
      <c r="AC35" s="215">
        <v>203228</v>
      </c>
      <c r="AD35" s="215">
        <v>203230</v>
      </c>
    </row>
    <row r="36" spans="2:30" ht="18.75" customHeight="1" x14ac:dyDescent="0.25">
      <c r="B36" s="13">
        <v>33</v>
      </c>
      <c r="C36" s="354" t="s">
        <v>478</v>
      </c>
      <c r="D36" s="583"/>
      <c r="E36" s="285">
        <v>70</v>
      </c>
      <c r="F36" s="20">
        <f>VLOOKUP(S36,'FS Data'!$A:$B,2,FALSE)</f>
        <v>10687</v>
      </c>
      <c r="G36" s="263">
        <f>VLOOKUP(T36,'FS Data'!$A:$B,2,FALSE)/10</f>
        <v>3.8</v>
      </c>
      <c r="H36" s="117">
        <f>VLOOKUP(U36,'FS Data'!$A:$B,2,FALSE)</f>
        <v>10687</v>
      </c>
      <c r="I36" s="188">
        <f>VLOOKUP(V36,'FS Data'!$A:$B,2,FALSE)/10</f>
        <v>3.8</v>
      </c>
      <c r="J36" s="20">
        <f>VLOOKUP(W36,'FS Data'!$A:$B,2,FALSE)</f>
        <v>10687</v>
      </c>
      <c r="K36" s="263">
        <f>VLOOKUP(X36,'FS Data'!$A:$B,2,FALSE)/10</f>
        <v>3.8</v>
      </c>
      <c r="L36" s="117">
        <f>VLOOKUP(Y36,'FS Data'!$A:$B,2,FALSE)</f>
        <v>10687</v>
      </c>
      <c r="M36" s="188">
        <f>VLOOKUP(Z36,'FS Data'!$A:$B,2,FALSE)/10</f>
        <v>3.8</v>
      </c>
      <c r="N36" s="20">
        <f>VLOOKUP(AA36,'FS Data'!$A:$B,2,FALSE)</f>
        <v>0</v>
      </c>
      <c r="O36" s="263">
        <f>VLOOKUP(AB36,'FS Data'!$A:$B,2,FALSE)/10</f>
        <v>0</v>
      </c>
      <c r="P36" s="117">
        <f>VLOOKUP(AC36,'FS Data'!$A:$B,2,FALSE)</f>
        <v>0</v>
      </c>
      <c r="Q36" s="188">
        <f>VLOOKUP(AD36,'FS Data'!$A:$B,2,FALSE)/10</f>
        <v>0</v>
      </c>
      <c r="R36" s="718"/>
      <c r="S36" s="215">
        <v>203304</v>
      </c>
      <c r="T36" s="215">
        <v>203306</v>
      </c>
      <c r="U36" s="215">
        <v>203308</v>
      </c>
      <c r="V36" s="215">
        <v>203310</v>
      </c>
      <c r="W36" s="215">
        <v>203314</v>
      </c>
      <c r="X36" s="215">
        <v>203316</v>
      </c>
      <c r="Y36" s="215">
        <v>203318</v>
      </c>
      <c r="Z36" s="215">
        <v>203320</v>
      </c>
      <c r="AA36" s="215">
        <v>203324</v>
      </c>
      <c r="AB36" s="215">
        <v>203326</v>
      </c>
      <c r="AC36" s="215">
        <v>203328</v>
      </c>
      <c r="AD36" s="215">
        <v>203330</v>
      </c>
    </row>
    <row r="37" spans="2:30" ht="18.75" customHeight="1" x14ac:dyDescent="0.25">
      <c r="B37" s="13">
        <v>34</v>
      </c>
      <c r="C37" s="354" t="s">
        <v>479</v>
      </c>
      <c r="D37" s="583"/>
      <c r="E37" s="285">
        <v>71</v>
      </c>
      <c r="F37" s="20">
        <f>VLOOKUP(S37,'FS Data'!$A:$B,2,FALSE)</f>
        <v>1583</v>
      </c>
      <c r="G37" s="263">
        <f>VLOOKUP(T37,'FS Data'!$A:$B,2,FALSE)/10</f>
        <v>0.6</v>
      </c>
      <c r="H37" s="117">
        <f>VLOOKUP(U37,'FS Data'!$A:$B,2,FALSE)</f>
        <v>1583</v>
      </c>
      <c r="I37" s="188">
        <f>VLOOKUP(V37,'FS Data'!$A:$B,2,FALSE)/10</f>
        <v>0.6</v>
      </c>
      <c r="J37" s="20">
        <f>VLOOKUP(W37,'FS Data'!$A:$B,2,FALSE)</f>
        <v>1583</v>
      </c>
      <c r="K37" s="263">
        <f>VLOOKUP(X37,'FS Data'!$A:$B,2,FALSE)/10</f>
        <v>0.6</v>
      </c>
      <c r="L37" s="117">
        <f>VLOOKUP(Y37,'FS Data'!$A:$B,2,FALSE)</f>
        <v>1583</v>
      </c>
      <c r="M37" s="188">
        <f>VLOOKUP(Z37,'FS Data'!$A:$B,2,FALSE)/10</f>
        <v>0.6</v>
      </c>
      <c r="N37" s="20">
        <f>VLOOKUP(AA37,'FS Data'!$A:$B,2,FALSE)</f>
        <v>0</v>
      </c>
      <c r="O37" s="263">
        <f>VLOOKUP(AB37,'FS Data'!$A:$B,2,FALSE)/10</f>
        <v>0</v>
      </c>
      <c r="P37" s="117">
        <f>VLOOKUP(AC37,'FS Data'!$A:$B,2,FALSE)</f>
        <v>0</v>
      </c>
      <c r="Q37" s="188">
        <f>VLOOKUP(AD37,'FS Data'!$A:$B,2,FALSE)/10</f>
        <v>0</v>
      </c>
      <c r="R37" s="718"/>
      <c r="S37" s="215">
        <v>203404</v>
      </c>
      <c r="T37" s="215">
        <v>203406</v>
      </c>
      <c r="U37" s="215">
        <v>203408</v>
      </c>
      <c r="V37" s="215">
        <v>203410</v>
      </c>
      <c r="W37" s="215">
        <v>203414</v>
      </c>
      <c r="X37" s="215">
        <v>203416</v>
      </c>
      <c r="Y37" s="215">
        <v>203418</v>
      </c>
      <c r="Z37" s="215">
        <v>203420</v>
      </c>
      <c r="AA37" s="215">
        <v>203424</v>
      </c>
      <c r="AB37" s="215">
        <v>203426</v>
      </c>
      <c r="AC37" s="215">
        <v>203428</v>
      </c>
      <c r="AD37" s="215">
        <v>203430</v>
      </c>
    </row>
    <row r="38" spans="2:30" ht="18.75" customHeight="1" x14ac:dyDescent="0.25">
      <c r="B38" s="13">
        <v>35</v>
      </c>
      <c r="C38" s="354" t="s">
        <v>480</v>
      </c>
      <c r="D38" s="583"/>
      <c r="E38" s="285">
        <v>72</v>
      </c>
      <c r="F38" s="20">
        <f>VLOOKUP(S38,'FS Data'!$A:$B,2,FALSE)</f>
        <v>353</v>
      </c>
      <c r="G38" s="263">
        <f>VLOOKUP(T38,'FS Data'!$A:$B,2,FALSE)/10</f>
        <v>0.1</v>
      </c>
      <c r="H38" s="117">
        <f>VLOOKUP(U38,'FS Data'!$A:$B,2,FALSE)</f>
        <v>353</v>
      </c>
      <c r="I38" s="188">
        <f>VLOOKUP(V38,'FS Data'!$A:$B,2,FALSE)/10</f>
        <v>0.1</v>
      </c>
      <c r="J38" s="20">
        <f>VLOOKUP(W38,'FS Data'!$A:$B,2,FALSE)</f>
        <v>353</v>
      </c>
      <c r="K38" s="263">
        <f>VLOOKUP(X38,'FS Data'!$A:$B,2,FALSE)/10</f>
        <v>0.1</v>
      </c>
      <c r="L38" s="117">
        <f>VLOOKUP(Y38,'FS Data'!$A:$B,2,FALSE)</f>
        <v>353</v>
      </c>
      <c r="M38" s="188">
        <f>VLOOKUP(Z38,'FS Data'!$A:$B,2,FALSE)/10</f>
        <v>0.1</v>
      </c>
      <c r="N38" s="20">
        <f>VLOOKUP(AA38,'FS Data'!$A:$B,2,FALSE)</f>
        <v>0</v>
      </c>
      <c r="O38" s="263">
        <f>VLOOKUP(AB38,'FS Data'!$A:$B,2,FALSE)/10</f>
        <v>0</v>
      </c>
      <c r="P38" s="117">
        <f>VLOOKUP(AC38,'FS Data'!$A:$B,2,FALSE)</f>
        <v>0</v>
      </c>
      <c r="Q38" s="188">
        <f>VLOOKUP(AD38,'FS Data'!$A:$B,2,FALSE)/10</f>
        <v>0</v>
      </c>
      <c r="R38" s="718"/>
      <c r="S38" s="215">
        <v>203504</v>
      </c>
      <c r="T38" s="215">
        <v>203506</v>
      </c>
      <c r="U38" s="215">
        <v>203508</v>
      </c>
      <c r="V38" s="215">
        <v>203510</v>
      </c>
      <c r="W38" s="215">
        <v>203514</v>
      </c>
      <c r="X38" s="215">
        <v>203516</v>
      </c>
      <c r="Y38" s="215">
        <v>203518</v>
      </c>
      <c r="Z38" s="215">
        <v>203520</v>
      </c>
      <c r="AA38" s="215">
        <v>203524</v>
      </c>
      <c r="AB38" s="215">
        <v>203526</v>
      </c>
      <c r="AC38" s="215">
        <v>203528</v>
      </c>
      <c r="AD38" s="215">
        <v>203530</v>
      </c>
    </row>
    <row r="39" spans="2:30" ht="18.75" customHeight="1" x14ac:dyDescent="0.25">
      <c r="B39" s="13">
        <v>36</v>
      </c>
      <c r="C39" s="354" t="s">
        <v>481</v>
      </c>
      <c r="D39" s="583"/>
      <c r="E39" s="285">
        <v>74</v>
      </c>
      <c r="F39" s="20">
        <f>VLOOKUP(S39,'FS Data'!$A:$B,2,FALSE)</f>
        <v>6307</v>
      </c>
      <c r="G39" s="263">
        <f>VLOOKUP(T39,'FS Data'!$A:$B,2,FALSE)/10</f>
        <v>2.2000000000000002</v>
      </c>
      <c r="H39" s="117">
        <f>VLOOKUP(U39,'FS Data'!$A:$B,2,FALSE)</f>
        <v>6307</v>
      </c>
      <c r="I39" s="188">
        <f>VLOOKUP(V39,'FS Data'!$A:$B,2,FALSE)/10</f>
        <v>2.2000000000000002</v>
      </c>
      <c r="J39" s="20">
        <f>VLOOKUP(W39,'FS Data'!$A:$B,2,FALSE)</f>
        <v>6307</v>
      </c>
      <c r="K39" s="263">
        <f>VLOOKUP(X39,'FS Data'!$A:$B,2,FALSE)/10</f>
        <v>2.2000000000000002</v>
      </c>
      <c r="L39" s="117">
        <f>VLOOKUP(Y39,'FS Data'!$A:$B,2,FALSE)</f>
        <v>6307</v>
      </c>
      <c r="M39" s="188">
        <f>VLOOKUP(Z39,'FS Data'!$A:$B,2,FALSE)/10</f>
        <v>2.2000000000000002</v>
      </c>
      <c r="N39" s="20">
        <f>VLOOKUP(AA39,'FS Data'!$A:$B,2,FALSE)</f>
        <v>0</v>
      </c>
      <c r="O39" s="263">
        <f>VLOOKUP(AB39,'FS Data'!$A:$B,2,FALSE)/10</f>
        <v>0</v>
      </c>
      <c r="P39" s="117">
        <f>VLOOKUP(AC39,'FS Data'!$A:$B,2,FALSE)</f>
        <v>0</v>
      </c>
      <c r="Q39" s="188">
        <f>VLOOKUP(AD39,'FS Data'!$A:$B,2,FALSE)/10</f>
        <v>0</v>
      </c>
      <c r="R39" s="718"/>
      <c r="S39" s="215">
        <v>203604</v>
      </c>
      <c r="T39" s="215">
        <v>203606</v>
      </c>
      <c r="U39" s="215">
        <v>203608</v>
      </c>
      <c r="V39" s="215">
        <v>203610</v>
      </c>
      <c r="W39" s="215">
        <v>203614</v>
      </c>
      <c r="X39" s="215">
        <v>203616</v>
      </c>
      <c r="Y39" s="215">
        <v>203618</v>
      </c>
      <c r="Z39" s="215">
        <v>203620</v>
      </c>
      <c r="AA39" s="215">
        <v>203624</v>
      </c>
      <c r="AB39" s="215">
        <v>203626</v>
      </c>
      <c r="AC39" s="215">
        <v>203628</v>
      </c>
      <c r="AD39" s="215">
        <v>203630</v>
      </c>
    </row>
    <row r="40" spans="2:30" ht="18.75" customHeight="1" x14ac:dyDescent="0.25">
      <c r="B40" s="13">
        <v>37</v>
      </c>
      <c r="C40" s="354" t="s">
        <v>482</v>
      </c>
      <c r="D40" s="583"/>
      <c r="E40" s="285">
        <v>75</v>
      </c>
      <c r="F40" s="20">
        <f>VLOOKUP(S40,'FS Data'!$A:$B,2,FALSE)</f>
        <v>1235</v>
      </c>
      <c r="G40" s="263">
        <f>VLOOKUP(T40,'FS Data'!$A:$B,2,FALSE)/10</f>
        <v>0.4</v>
      </c>
      <c r="H40" s="117">
        <f>VLOOKUP(U40,'FS Data'!$A:$B,2,FALSE)</f>
        <v>1235</v>
      </c>
      <c r="I40" s="188">
        <f>VLOOKUP(V40,'FS Data'!$A:$B,2,FALSE)/10</f>
        <v>0.4</v>
      </c>
      <c r="J40" s="20">
        <f>VLOOKUP(W40,'FS Data'!$A:$B,2,FALSE)</f>
        <v>1235</v>
      </c>
      <c r="K40" s="263">
        <f>VLOOKUP(X40,'FS Data'!$A:$B,2,FALSE)/10</f>
        <v>0.4</v>
      </c>
      <c r="L40" s="117">
        <f>VLOOKUP(Y40,'FS Data'!$A:$B,2,FALSE)</f>
        <v>1235</v>
      </c>
      <c r="M40" s="188">
        <f>VLOOKUP(Z40,'FS Data'!$A:$B,2,FALSE)/10</f>
        <v>0.4</v>
      </c>
      <c r="N40" s="20">
        <f>VLOOKUP(AA40,'FS Data'!$A:$B,2,FALSE)</f>
        <v>0</v>
      </c>
      <c r="O40" s="263">
        <f>VLOOKUP(AB40,'FS Data'!$A:$B,2,FALSE)/10</f>
        <v>0</v>
      </c>
      <c r="P40" s="117">
        <f>VLOOKUP(AC40,'FS Data'!$A:$B,2,FALSE)</f>
        <v>0</v>
      </c>
      <c r="Q40" s="188">
        <f>VLOOKUP(AD40,'FS Data'!$A:$B,2,FALSE)/10</f>
        <v>0</v>
      </c>
      <c r="R40" s="718"/>
      <c r="S40" s="215">
        <v>203704</v>
      </c>
      <c r="T40" s="215">
        <v>203706</v>
      </c>
      <c r="U40" s="215">
        <v>203708</v>
      </c>
      <c r="V40" s="215">
        <v>203710</v>
      </c>
      <c r="W40" s="215">
        <v>203714</v>
      </c>
      <c r="X40" s="215">
        <v>203716</v>
      </c>
      <c r="Y40" s="215">
        <v>203718</v>
      </c>
      <c r="Z40" s="215">
        <v>203720</v>
      </c>
      <c r="AA40" s="215">
        <v>203724</v>
      </c>
      <c r="AB40" s="215">
        <v>203726</v>
      </c>
      <c r="AC40" s="215">
        <v>203728</v>
      </c>
      <c r="AD40" s="215">
        <v>203730</v>
      </c>
    </row>
    <row r="41" spans="2:30" ht="18.75" customHeight="1" x14ac:dyDescent="0.25">
      <c r="B41" s="13">
        <v>38</v>
      </c>
      <c r="C41" s="354" t="s">
        <v>483</v>
      </c>
      <c r="D41" s="583"/>
      <c r="E41" s="285">
        <v>76</v>
      </c>
      <c r="F41" s="20">
        <f>VLOOKUP(S41,'FS Data'!$A:$B,2,FALSE)</f>
        <v>3421</v>
      </c>
      <c r="G41" s="263">
        <f>VLOOKUP(T41,'FS Data'!$A:$B,2,FALSE)/10</f>
        <v>1.2</v>
      </c>
      <c r="H41" s="117">
        <f>VLOOKUP(U41,'FS Data'!$A:$B,2,FALSE)</f>
        <v>3421</v>
      </c>
      <c r="I41" s="188">
        <f>VLOOKUP(V41,'FS Data'!$A:$B,2,FALSE)/10</f>
        <v>1.2</v>
      </c>
      <c r="J41" s="20">
        <f>VLOOKUP(W41,'FS Data'!$A:$B,2,FALSE)</f>
        <v>3421</v>
      </c>
      <c r="K41" s="263">
        <f>VLOOKUP(X41,'FS Data'!$A:$B,2,FALSE)/10</f>
        <v>1.2</v>
      </c>
      <c r="L41" s="117">
        <f>VLOOKUP(Y41,'FS Data'!$A:$B,2,FALSE)</f>
        <v>3421</v>
      </c>
      <c r="M41" s="188">
        <f>VLOOKUP(Z41,'FS Data'!$A:$B,2,FALSE)/10</f>
        <v>1.2</v>
      </c>
      <c r="N41" s="20">
        <f>VLOOKUP(AA41,'FS Data'!$A:$B,2,FALSE)</f>
        <v>0</v>
      </c>
      <c r="O41" s="263">
        <f>VLOOKUP(AB41,'FS Data'!$A:$B,2,FALSE)/10</f>
        <v>0</v>
      </c>
      <c r="P41" s="117">
        <f>VLOOKUP(AC41,'FS Data'!$A:$B,2,FALSE)</f>
        <v>0</v>
      </c>
      <c r="Q41" s="188">
        <f>VLOOKUP(AD41,'FS Data'!$A:$B,2,FALSE)/10</f>
        <v>0</v>
      </c>
      <c r="R41" s="718"/>
      <c r="S41" s="215">
        <v>203804</v>
      </c>
      <c r="T41" s="215">
        <v>203806</v>
      </c>
      <c r="U41" s="215">
        <v>203808</v>
      </c>
      <c r="V41" s="215">
        <v>203810</v>
      </c>
      <c r="W41" s="215">
        <v>203814</v>
      </c>
      <c r="X41" s="215">
        <v>203816</v>
      </c>
      <c r="Y41" s="215">
        <v>203818</v>
      </c>
      <c r="Z41" s="215">
        <v>203820</v>
      </c>
      <c r="AA41" s="215">
        <v>203824</v>
      </c>
      <c r="AB41" s="215">
        <v>203826</v>
      </c>
      <c r="AC41" s="215">
        <v>203828</v>
      </c>
      <c r="AD41" s="215">
        <v>203830</v>
      </c>
    </row>
    <row r="42" spans="2:30" ht="18.75" customHeight="1" x14ac:dyDescent="0.25">
      <c r="B42" s="13">
        <v>39</v>
      </c>
      <c r="C42" s="354" t="s">
        <v>484</v>
      </c>
      <c r="D42" s="583"/>
      <c r="E42" s="285">
        <v>77</v>
      </c>
      <c r="F42" s="20">
        <f>VLOOKUP(S42,'FS Data'!$A:$B,2,FALSE)</f>
        <v>1163</v>
      </c>
      <c r="G42" s="263">
        <f>VLOOKUP(T42,'FS Data'!$A:$B,2,FALSE)/10</f>
        <v>0.4</v>
      </c>
      <c r="H42" s="117">
        <f>VLOOKUP(U42,'FS Data'!$A:$B,2,FALSE)</f>
        <v>1163</v>
      </c>
      <c r="I42" s="188">
        <f>VLOOKUP(V42,'FS Data'!$A:$B,2,FALSE)/10</f>
        <v>0.4</v>
      </c>
      <c r="J42" s="20">
        <f>VLOOKUP(W42,'FS Data'!$A:$B,2,FALSE)</f>
        <v>1163</v>
      </c>
      <c r="K42" s="263">
        <f>VLOOKUP(X42,'FS Data'!$A:$B,2,FALSE)/10</f>
        <v>0.4</v>
      </c>
      <c r="L42" s="117">
        <f>VLOOKUP(Y42,'FS Data'!$A:$B,2,FALSE)</f>
        <v>1163</v>
      </c>
      <c r="M42" s="188">
        <f>VLOOKUP(Z42,'FS Data'!$A:$B,2,FALSE)/10</f>
        <v>0.4</v>
      </c>
      <c r="N42" s="20">
        <f>VLOOKUP(AA42,'FS Data'!$A:$B,2,FALSE)</f>
        <v>0</v>
      </c>
      <c r="O42" s="263">
        <f>VLOOKUP(AB42,'FS Data'!$A:$B,2,FALSE)/10</f>
        <v>0</v>
      </c>
      <c r="P42" s="117">
        <f>VLOOKUP(AC42,'FS Data'!$A:$B,2,FALSE)</f>
        <v>0</v>
      </c>
      <c r="Q42" s="188">
        <f>VLOOKUP(AD42,'FS Data'!$A:$B,2,FALSE)/10</f>
        <v>0</v>
      </c>
      <c r="R42" s="718"/>
      <c r="S42" s="215">
        <v>203904</v>
      </c>
      <c r="T42" s="215">
        <v>203906</v>
      </c>
      <c r="U42" s="215">
        <v>203908</v>
      </c>
      <c r="V42" s="215">
        <v>203910</v>
      </c>
      <c r="W42" s="215">
        <v>203914</v>
      </c>
      <c r="X42" s="215">
        <v>203916</v>
      </c>
      <c r="Y42" s="215">
        <v>203918</v>
      </c>
      <c r="Z42" s="215">
        <v>203920</v>
      </c>
      <c r="AA42" s="215">
        <v>203924</v>
      </c>
      <c r="AB42" s="215">
        <v>203926</v>
      </c>
      <c r="AC42" s="215">
        <v>203928</v>
      </c>
      <c r="AD42" s="215">
        <v>203930</v>
      </c>
    </row>
    <row r="43" spans="2:30" ht="18.75" customHeight="1" x14ac:dyDescent="0.25">
      <c r="B43" s="13">
        <v>40</v>
      </c>
      <c r="C43" s="354" t="s">
        <v>485</v>
      </c>
      <c r="D43" s="583"/>
      <c r="E43" s="285">
        <v>78</v>
      </c>
      <c r="F43" s="20">
        <f>VLOOKUP(S43,'FS Data'!$A:$B,2,FALSE)</f>
        <v>2084</v>
      </c>
      <c r="G43" s="263">
        <f>VLOOKUP(T43,'FS Data'!$A:$B,2,FALSE)/10</f>
        <v>0.7</v>
      </c>
      <c r="H43" s="117">
        <f>VLOOKUP(U43,'FS Data'!$A:$B,2,FALSE)</f>
        <v>2084</v>
      </c>
      <c r="I43" s="188">
        <f>VLOOKUP(V43,'FS Data'!$A:$B,2,FALSE)/10</f>
        <v>0.7</v>
      </c>
      <c r="J43" s="20">
        <f>VLOOKUP(W43,'FS Data'!$A:$B,2,FALSE)</f>
        <v>2084</v>
      </c>
      <c r="K43" s="263">
        <f>VLOOKUP(X43,'FS Data'!$A:$B,2,FALSE)/10</f>
        <v>0.7</v>
      </c>
      <c r="L43" s="117">
        <f>VLOOKUP(Y43,'FS Data'!$A:$B,2,FALSE)</f>
        <v>2084</v>
      </c>
      <c r="M43" s="188">
        <f>VLOOKUP(Z43,'FS Data'!$A:$B,2,FALSE)/10</f>
        <v>0.7</v>
      </c>
      <c r="N43" s="20">
        <f>VLOOKUP(AA43,'FS Data'!$A:$B,2,FALSE)</f>
        <v>0</v>
      </c>
      <c r="O43" s="263">
        <f>VLOOKUP(AB43,'FS Data'!$A:$B,2,FALSE)/10</f>
        <v>0</v>
      </c>
      <c r="P43" s="117">
        <f>VLOOKUP(AC43,'FS Data'!$A:$B,2,FALSE)</f>
        <v>0</v>
      </c>
      <c r="Q43" s="188">
        <f>VLOOKUP(AD43,'FS Data'!$A:$B,2,FALSE)/10</f>
        <v>0</v>
      </c>
      <c r="R43" s="718"/>
      <c r="S43" s="215">
        <v>204004</v>
      </c>
      <c r="T43" s="215">
        <v>204006</v>
      </c>
      <c r="U43" s="215">
        <v>204008</v>
      </c>
      <c r="V43" s="215">
        <v>204010</v>
      </c>
      <c r="W43" s="215">
        <v>204014</v>
      </c>
      <c r="X43" s="215">
        <v>204016</v>
      </c>
      <c r="Y43" s="215">
        <v>204018</v>
      </c>
      <c r="Z43" s="215">
        <v>204020</v>
      </c>
      <c r="AA43" s="215">
        <v>204024</v>
      </c>
      <c r="AB43" s="215">
        <v>204026</v>
      </c>
      <c r="AC43" s="215">
        <v>204028</v>
      </c>
      <c r="AD43" s="215">
        <v>204030</v>
      </c>
    </row>
    <row r="44" spans="2:30" ht="18.75" customHeight="1" x14ac:dyDescent="0.25">
      <c r="B44" s="13">
        <v>41</v>
      </c>
      <c r="C44" s="354" t="s">
        <v>486</v>
      </c>
      <c r="D44" s="583"/>
      <c r="E44" s="285">
        <v>79</v>
      </c>
      <c r="F44" s="20">
        <f>VLOOKUP(S44,'FS Data'!$A:$B,2,FALSE)</f>
        <v>0</v>
      </c>
      <c r="G44" s="263">
        <f>VLOOKUP(T44,'FS Data'!$A:$B,2,FALSE)/10</f>
        <v>0</v>
      </c>
      <c r="H44" s="117">
        <f>VLOOKUP(U44,'FS Data'!$A:$B,2,FALSE)</f>
        <v>0</v>
      </c>
      <c r="I44" s="188">
        <f>VLOOKUP(V44,'FS Data'!$A:$B,2,FALSE)/10</f>
        <v>0</v>
      </c>
      <c r="J44" s="20">
        <f>VLOOKUP(W44,'FS Data'!$A:$B,2,FALSE)</f>
        <v>0</v>
      </c>
      <c r="K44" s="263">
        <f>VLOOKUP(X44,'FS Data'!$A:$B,2,FALSE)/10</f>
        <v>0</v>
      </c>
      <c r="L44" s="117">
        <f>VLOOKUP(Y44,'FS Data'!$A:$B,2,FALSE)</f>
        <v>0</v>
      </c>
      <c r="M44" s="188">
        <f>VLOOKUP(Z44,'FS Data'!$A:$B,2,FALSE)/10</f>
        <v>0</v>
      </c>
      <c r="N44" s="20">
        <f>VLOOKUP(AA44,'FS Data'!$A:$B,2,FALSE)</f>
        <v>0</v>
      </c>
      <c r="O44" s="263">
        <f>VLOOKUP(AB44,'FS Data'!$A:$B,2,FALSE)/10</f>
        <v>0</v>
      </c>
      <c r="P44" s="117">
        <f>VLOOKUP(AC44,'FS Data'!$A:$B,2,FALSE)</f>
        <v>0</v>
      </c>
      <c r="Q44" s="188">
        <f>VLOOKUP(AD44,'FS Data'!$A:$B,2,FALSE)/10</f>
        <v>0</v>
      </c>
      <c r="R44" s="718"/>
      <c r="S44" s="215">
        <v>204104</v>
      </c>
      <c r="T44" s="215">
        <v>204106</v>
      </c>
      <c r="U44" s="215">
        <v>204108</v>
      </c>
      <c r="V44" s="215">
        <v>204110</v>
      </c>
      <c r="W44" s="215">
        <v>204114</v>
      </c>
      <c r="X44" s="215">
        <v>204116</v>
      </c>
      <c r="Y44" s="215">
        <v>204118</v>
      </c>
      <c r="Z44" s="215">
        <v>204120</v>
      </c>
      <c r="AA44" s="215">
        <v>204124</v>
      </c>
      <c r="AB44" s="215">
        <v>204126</v>
      </c>
      <c r="AC44" s="215">
        <v>204128</v>
      </c>
      <c r="AD44" s="215">
        <v>204130</v>
      </c>
    </row>
    <row r="45" spans="2:30" ht="18.75" customHeight="1" x14ac:dyDescent="0.25">
      <c r="B45" s="13">
        <v>42</v>
      </c>
      <c r="C45" s="354" t="s">
        <v>487</v>
      </c>
      <c r="D45" s="583"/>
      <c r="E45" s="285">
        <v>73</v>
      </c>
      <c r="F45" s="20">
        <f>VLOOKUP(S45,'FS Data'!$A:$B,2,FALSE)</f>
        <v>4358</v>
      </c>
      <c r="G45" s="263">
        <f>VLOOKUP(T45,'FS Data'!$A:$B,2,FALSE)/10</f>
        <v>1.5</v>
      </c>
      <c r="H45" s="117">
        <f>VLOOKUP(U45,'FS Data'!$A:$B,2,FALSE)</f>
        <v>4358</v>
      </c>
      <c r="I45" s="188">
        <f>VLOOKUP(V45,'FS Data'!$A:$B,2,FALSE)/10</f>
        <v>1.5</v>
      </c>
      <c r="J45" s="20">
        <f>VLOOKUP(W45,'FS Data'!$A:$B,2,FALSE)</f>
        <v>4358</v>
      </c>
      <c r="K45" s="263">
        <f>VLOOKUP(X45,'FS Data'!$A:$B,2,FALSE)/10</f>
        <v>1.5</v>
      </c>
      <c r="L45" s="117">
        <f>VLOOKUP(Y45,'FS Data'!$A:$B,2,FALSE)</f>
        <v>4358</v>
      </c>
      <c r="M45" s="188">
        <f>VLOOKUP(Z45,'FS Data'!$A:$B,2,FALSE)/10</f>
        <v>1.5</v>
      </c>
      <c r="N45" s="20">
        <f>VLOOKUP(AA45,'FS Data'!$A:$B,2,FALSE)</f>
        <v>0</v>
      </c>
      <c r="O45" s="263">
        <f>VLOOKUP(AB45,'FS Data'!$A:$B,2,FALSE)/10</f>
        <v>0</v>
      </c>
      <c r="P45" s="117">
        <f>VLOOKUP(AC45,'FS Data'!$A:$B,2,FALSE)</f>
        <v>0</v>
      </c>
      <c r="Q45" s="188">
        <f>VLOOKUP(AD45,'FS Data'!$A:$B,2,FALSE)/10</f>
        <v>0</v>
      </c>
      <c r="R45" s="718"/>
      <c r="S45" s="215">
        <v>204204</v>
      </c>
      <c r="T45" s="215">
        <v>204206</v>
      </c>
      <c r="U45" s="215">
        <v>204208</v>
      </c>
      <c r="V45" s="215">
        <v>204210</v>
      </c>
      <c r="W45" s="215">
        <v>204214</v>
      </c>
      <c r="X45" s="215">
        <v>204216</v>
      </c>
      <c r="Y45" s="215">
        <v>204218</v>
      </c>
      <c r="Z45" s="215">
        <v>204220</v>
      </c>
      <c r="AA45" s="215">
        <v>204224</v>
      </c>
      <c r="AB45" s="215">
        <v>204226</v>
      </c>
      <c r="AC45" s="215">
        <v>204228</v>
      </c>
      <c r="AD45" s="215">
        <v>204230</v>
      </c>
    </row>
    <row r="46" spans="2:30" ht="18.75" customHeight="1" x14ac:dyDescent="0.25">
      <c r="B46" s="13">
        <v>43</v>
      </c>
      <c r="C46" s="354" t="s">
        <v>488</v>
      </c>
      <c r="D46" s="583"/>
      <c r="E46" s="586">
        <v>52</v>
      </c>
      <c r="F46" s="146">
        <f>VLOOKUP(S46,'FS Data'!$A:$B,2,FALSE)</f>
        <v>3222</v>
      </c>
      <c r="G46" s="264">
        <f>VLOOKUP(T46,'FS Data'!$A:$B,2,FALSE)/10</f>
        <v>1.1000000000000001</v>
      </c>
      <c r="H46" s="143">
        <f>VLOOKUP(U46,'FS Data'!$A:$B,2,FALSE)</f>
        <v>3222</v>
      </c>
      <c r="I46" s="189">
        <f>VLOOKUP(V46,'FS Data'!$A:$B,2,FALSE)/10</f>
        <v>1.1000000000000001</v>
      </c>
      <c r="J46" s="146">
        <f>VLOOKUP(W46,'FS Data'!$A:$B,2,FALSE)</f>
        <v>3222</v>
      </c>
      <c r="K46" s="264">
        <f>VLOOKUP(X46,'FS Data'!$A:$B,2,FALSE)/10</f>
        <v>1.1000000000000001</v>
      </c>
      <c r="L46" s="143">
        <f>VLOOKUP(Y46,'FS Data'!$A:$B,2,FALSE)</f>
        <v>3222</v>
      </c>
      <c r="M46" s="189">
        <f>VLOOKUP(Z46,'FS Data'!$A:$B,2,FALSE)/10</f>
        <v>1.1000000000000001</v>
      </c>
      <c r="N46" s="146">
        <f>VLOOKUP(AA46,'FS Data'!$A:$B,2,FALSE)</f>
        <v>0</v>
      </c>
      <c r="O46" s="264">
        <f>VLOOKUP(AB46,'FS Data'!$A:$B,2,FALSE)/10</f>
        <v>0</v>
      </c>
      <c r="P46" s="143">
        <f>VLOOKUP(AC46,'FS Data'!$A:$B,2,FALSE)</f>
        <v>0</v>
      </c>
      <c r="Q46" s="189">
        <f>VLOOKUP(AD46,'FS Data'!$A:$B,2,FALSE)/10</f>
        <v>0</v>
      </c>
      <c r="R46" s="718"/>
      <c r="S46" s="215">
        <v>204304</v>
      </c>
      <c r="T46" s="215">
        <v>204306</v>
      </c>
      <c r="U46" s="215">
        <v>204308</v>
      </c>
      <c r="V46" s="215">
        <v>204310</v>
      </c>
      <c r="W46" s="215">
        <v>204314</v>
      </c>
      <c r="X46" s="215">
        <v>204316</v>
      </c>
      <c r="Y46" s="215">
        <v>204318</v>
      </c>
      <c r="Z46" s="215">
        <v>204320</v>
      </c>
      <c r="AA46" s="215">
        <v>204324</v>
      </c>
      <c r="AB46" s="215">
        <v>204326</v>
      </c>
      <c r="AC46" s="215">
        <v>204328</v>
      </c>
      <c r="AD46" s="215">
        <v>204330</v>
      </c>
    </row>
    <row r="47" spans="2:30" ht="21.6" customHeight="1" x14ac:dyDescent="0.25">
      <c r="B47" s="13">
        <v>44</v>
      </c>
      <c r="C47" s="350" t="s">
        <v>489</v>
      </c>
      <c r="D47" s="585"/>
      <c r="E47" s="586"/>
      <c r="F47" s="114">
        <f>VLOOKUP(S47,'FS Data'!$A:$B,2,FALSE)</f>
        <v>65186</v>
      </c>
      <c r="G47" s="263">
        <f>VLOOKUP(T47,'FS Data'!$A:$B,2,FALSE)/10</f>
        <v>22.9</v>
      </c>
      <c r="H47" s="125">
        <f>VLOOKUP(U47,'FS Data'!$A:$B,2,FALSE)</f>
        <v>65186</v>
      </c>
      <c r="I47" s="188">
        <f>VLOOKUP(V47,'FS Data'!$A:$B,2,FALSE)/10</f>
        <v>22.9</v>
      </c>
      <c r="J47" s="114">
        <f>VLOOKUP(W47,'FS Data'!$A:$B,2,FALSE)</f>
        <v>65186</v>
      </c>
      <c r="K47" s="263">
        <f>VLOOKUP(X47,'FS Data'!$A:$B,2,FALSE)/10</f>
        <v>22.9</v>
      </c>
      <c r="L47" s="125">
        <f>VLOOKUP(Y47,'FS Data'!$A:$B,2,FALSE)</f>
        <v>65186</v>
      </c>
      <c r="M47" s="188">
        <f>VLOOKUP(Z47,'FS Data'!$A:$B,2,FALSE)/10</f>
        <v>22.9</v>
      </c>
      <c r="N47" s="114">
        <f>VLOOKUP(AA47,'FS Data'!$A:$B,2,FALSE)</f>
        <v>0</v>
      </c>
      <c r="O47" s="263">
        <f>VLOOKUP(AB47,'FS Data'!$A:$B,2,FALSE)/10</f>
        <v>0</v>
      </c>
      <c r="P47" s="125">
        <f>VLOOKUP(AC47,'FS Data'!$A:$B,2,FALSE)</f>
        <v>0</v>
      </c>
      <c r="Q47" s="188">
        <f>VLOOKUP(AD47,'FS Data'!$A:$B,2,FALSE)/10</f>
        <v>0</v>
      </c>
      <c r="R47" s="718"/>
      <c r="S47" s="215">
        <v>204404</v>
      </c>
      <c r="T47" s="215">
        <v>204406</v>
      </c>
      <c r="U47" s="215">
        <v>204408</v>
      </c>
      <c r="V47" s="215">
        <v>204410</v>
      </c>
      <c r="W47" s="215">
        <v>204414</v>
      </c>
      <c r="X47" s="215">
        <v>204416</v>
      </c>
      <c r="Y47" s="215">
        <v>204418</v>
      </c>
      <c r="Z47" s="215">
        <v>204420</v>
      </c>
      <c r="AA47" s="215">
        <v>204424</v>
      </c>
      <c r="AB47" s="215">
        <v>204426</v>
      </c>
      <c r="AC47" s="215">
        <v>204428</v>
      </c>
      <c r="AD47" s="215">
        <v>204430</v>
      </c>
    </row>
    <row r="48" spans="2:30" ht="18.75" customHeight="1" x14ac:dyDescent="0.25">
      <c r="B48" s="13">
        <v>45</v>
      </c>
      <c r="C48" s="354" t="s">
        <v>490</v>
      </c>
      <c r="D48" s="583"/>
      <c r="E48" s="285">
        <v>80</v>
      </c>
      <c r="F48" s="20">
        <f>VLOOKUP(S48,'FS Data'!$A:$B,2,FALSE)</f>
        <v>50000</v>
      </c>
      <c r="G48" s="265">
        <f>VLOOKUP(T48,'FS Data'!$A:$B,2,FALSE)/10</f>
        <v>17.600000000000001</v>
      </c>
      <c r="H48" s="117">
        <f>VLOOKUP(U48,'FS Data'!$A:$B,2,FALSE)</f>
        <v>50000</v>
      </c>
      <c r="I48" s="190">
        <f>VLOOKUP(V48,'FS Data'!$A:$B,2,FALSE)/10</f>
        <v>17.600000000000001</v>
      </c>
      <c r="J48" s="20">
        <f>VLOOKUP(W48,'FS Data'!$A:$B,2,FALSE)</f>
        <v>50000</v>
      </c>
      <c r="K48" s="265">
        <f>VLOOKUP(X48,'FS Data'!$A:$B,2,FALSE)/10</f>
        <v>17.600000000000001</v>
      </c>
      <c r="L48" s="117">
        <f>VLOOKUP(Y48,'FS Data'!$A:$B,2,FALSE)</f>
        <v>50000</v>
      </c>
      <c r="M48" s="190">
        <f>VLOOKUP(Z48,'FS Data'!$A:$B,2,FALSE)/10</f>
        <v>17.600000000000001</v>
      </c>
      <c r="N48" s="20">
        <f>VLOOKUP(AA48,'FS Data'!$A:$B,2,FALSE)</f>
        <v>0</v>
      </c>
      <c r="O48" s="265">
        <f>VLOOKUP(AB48,'FS Data'!$A:$B,2,FALSE)/10</f>
        <v>0</v>
      </c>
      <c r="P48" s="117">
        <f>VLOOKUP(AC48,'FS Data'!$A:$B,2,FALSE)</f>
        <v>0</v>
      </c>
      <c r="Q48" s="190">
        <f>VLOOKUP(AD48,'FS Data'!$A:$B,2,FALSE)/10</f>
        <v>0</v>
      </c>
      <c r="R48" s="718"/>
      <c r="S48" s="215">
        <v>204504</v>
      </c>
      <c r="T48" s="215">
        <v>204506</v>
      </c>
      <c r="U48" s="215">
        <v>204508</v>
      </c>
      <c r="V48" s="215">
        <v>204510</v>
      </c>
      <c r="W48" s="215">
        <v>204514</v>
      </c>
      <c r="X48" s="215">
        <v>204516</v>
      </c>
      <c r="Y48" s="215">
        <v>204518</v>
      </c>
      <c r="Z48" s="215">
        <v>204520</v>
      </c>
      <c r="AA48" s="215">
        <v>204524</v>
      </c>
      <c r="AB48" s="215">
        <v>204526</v>
      </c>
      <c r="AC48" s="215">
        <v>204528</v>
      </c>
      <c r="AD48" s="215">
        <v>204530</v>
      </c>
    </row>
    <row r="49" spans="2:30" ht="18.75" customHeight="1" x14ac:dyDescent="0.25">
      <c r="B49" s="13">
        <v>46</v>
      </c>
      <c r="C49" s="354" t="s">
        <v>491</v>
      </c>
      <c r="D49" s="583"/>
      <c r="E49" s="285">
        <v>81</v>
      </c>
      <c r="F49" s="20">
        <f>VLOOKUP(S49,'FS Data'!$A:$B,2,FALSE)</f>
        <v>10751</v>
      </c>
      <c r="G49" s="263">
        <f>VLOOKUP(T49,'FS Data'!$A:$B,2,FALSE)/10</f>
        <v>3.8</v>
      </c>
      <c r="H49" s="117">
        <f>VLOOKUP(U49,'FS Data'!$A:$B,2,FALSE)</f>
        <v>10751</v>
      </c>
      <c r="I49" s="188">
        <f>VLOOKUP(V49,'FS Data'!$A:$B,2,FALSE)/10</f>
        <v>3.8</v>
      </c>
      <c r="J49" s="20">
        <f>VLOOKUP(W49,'FS Data'!$A:$B,2,FALSE)</f>
        <v>10751</v>
      </c>
      <c r="K49" s="263">
        <f>VLOOKUP(X49,'FS Data'!$A:$B,2,FALSE)/10</f>
        <v>3.8</v>
      </c>
      <c r="L49" s="117">
        <f>VLOOKUP(Y49,'FS Data'!$A:$B,2,FALSE)</f>
        <v>10751</v>
      </c>
      <c r="M49" s="188">
        <f>VLOOKUP(Z49,'FS Data'!$A:$B,2,FALSE)/10</f>
        <v>3.8</v>
      </c>
      <c r="N49" s="20">
        <f>VLOOKUP(AA49,'FS Data'!$A:$B,2,FALSE)</f>
        <v>0</v>
      </c>
      <c r="O49" s="263">
        <f>VLOOKUP(AB49,'FS Data'!$A:$B,2,FALSE)/10</f>
        <v>0</v>
      </c>
      <c r="P49" s="117">
        <f>VLOOKUP(AC49,'FS Data'!$A:$B,2,FALSE)</f>
        <v>0</v>
      </c>
      <c r="Q49" s="188">
        <f>VLOOKUP(AD49,'FS Data'!$A:$B,2,FALSE)/10</f>
        <v>0</v>
      </c>
      <c r="R49" s="718"/>
      <c r="S49" s="215">
        <v>204604</v>
      </c>
      <c r="T49" s="215">
        <v>204606</v>
      </c>
      <c r="U49" s="215">
        <v>204608</v>
      </c>
      <c r="V49" s="215">
        <v>204610</v>
      </c>
      <c r="W49" s="215">
        <v>204614</v>
      </c>
      <c r="X49" s="215">
        <v>204616</v>
      </c>
      <c r="Y49" s="215">
        <v>204618</v>
      </c>
      <c r="Z49" s="215">
        <v>204620</v>
      </c>
      <c r="AA49" s="215">
        <v>204624</v>
      </c>
      <c r="AB49" s="215">
        <v>204626</v>
      </c>
      <c r="AC49" s="215">
        <v>204628</v>
      </c>
      <c r="AD49" s="215">
        <v>204630</v>
      </c>
    </row>
    <row r="50" spans="2:30" ht="18.75" customHeight="1" x14ac:dyDescent="0.25">
      <c r="B50" s="13">
        <v>47</v>
      </c>
      <c r="C50" s="354" t="s">
        <v>492</v>
      </c>
      <c r="D50" s="583"/>
      <c r="E50" s="285">
        <v>82</v>
      </c>
      <c r="F50" s="20">
        <f>VLOOKUP(S50,'FS Data'!$A:$B,2,FALSE)</f>
        <v>0</v>
      </c>
      <c r="G50" s="263">
        <f>VLOOKUP(T50,'FS Data'!$A:$B,2,FALSE)/10</f>
        <v>0</v>
      </c>
      <c r="H50" s="117">
        <f>VLOOKUP(U50,'FS Data'!$A:$B,2,FALSE)</f>
        <v>0</v>
      </c>
      <c r="I50" s="188">
        <f>VLOOKUP(V50,'FS Data'!$A:$B,2,FALSE)/10</f>
        <v>0</v>
      </c>
      <c r="J50" s="20">
        <f>VLOOKUP(W50,'FS Data'!$A:$B,2,FALSE)</f>
        <v>0</v>
      </c>
      <c r="K50" s="263">
        <f>VLOOKUP(X50,'FS Data'!$A:$B,2,FALSE)/10</f>
        <v>0</v>
      </c>
      <c r="L50" s="117">
        <f>VLOOKUP(Y50,'FS Data'!$A:$B,2,FALSE)</f>
        <v>0</v>
      </c>
      <c r="M50" s="188">
        <f>VLOOKUP(Z50,'FS Data'!$A:$B,2,FALSE)/10</f>
        <v>0</v>
      </c>
      <c r="N50" s="20">
        <f>VLOOKUP(AA50,'FS Data'!$A:$B,2,FALSE)</f>
        <v>0</v>
      </c>
      <c r="O50" s="263">
        <f>VLOOKUP(AB50,'FS Data'!$A:$B,2,FALSE)/10</f>
        <v>0</v>
      </c>
      <c r="P50" s="117">
        <f>VLOOKUP(AC50,'FS Data'!$A:$B,2,FALSE)</f>
        <v>0</v>
      </c>
      <c r="Q50" s="188">
        <f>VLOOKUP(AD50,'FS Data'!$A:$B,2,FALSE)/10</f>
        <v>0</v>
      </c>
      <c r="R50" s="718"/>
      <c r="S50" s="215">
        <v>204704</v>
      </c>
      <c r="T50" s="215">
        <v>204706</v>
      </c>
      <c r="U50" s="215">
        <v>204708</v>
      </c>
      <c r="V50" s="215">
        <v>204710</v>
      </c>
      <c r="W50" s="215">
        <v>204714</v>
      </c>
      <c r="X50" s="215">
        <v>204716</v>
      </c>
      <c r="Y50" s="215">
        <v>204718</v>
      </c>
      <c r="Z50" s="215">
        <v>204720</v>
      </c>
      <c r="AA50" s="215">
        <v>204724</v>
      </c>
      <c r="AB50" s="215">
        <v>204726</v>
      </c>
      <c r="AC50" s="215">
        <v>204728</v>
      </c>
      <c r="AD50" s="215">
        <v>204730</v>
      </c>
    </row>
    <row r="51" spans="2:30" ht="18.75" customHeight="1" x14ac:dyDescent="0.25">
      <c r="B51" s="13">
        <v>48</v>
      </c>
      <c r="C51" s="354" t="s">
        <v>493</v>
      </c>
      <c r="D51" s="583"/>
      <c r="E51" s="285">
        <v>83</v>
      </c>
      <c r="F51" s="20">
        <f>VLOOKUP(S51,'FS Data'!$A:$B,2,FALSE)</f>
        <v>0</v>
      </c>
      <c r="G51" s="263">
        <f>VLOOKUP(T51,'FS Data'!$A:$B,2,FALSE)/10</f>
        <v>0</v>
      </c>
      <c r="H51" s="117">
        <f>VLOOKUP(U51,'FS Data'!$A:$B,2,FALSE)</f>
        <v>0</v>
      </c>
      <c r="I51" s="188">
        <f>VLOOKUP(V51,'FS Data'!$A:$B,2,FALSE)/10</f>
        <v>0</v>
      </c>
      <c r="J51" s="20">
        <f>VLOOKUP(W51,'FS Data'!$A:$B,2,FALSE)</f>
        <v>0</v>
      </c>
      <c r="K51" s="263">
        <f>VLOOKUP(X51,'FS Data'!$A:$B,2,FALSE)/10</f>
        <v>0</v>
      </c>
      <c r="L51" s="119">
        <f>VLOOKUP(Y51,'FS Data'!$A:$B,2,FALSE)</f>
        <v>0</v>
      </c>
      <c r="M51" s="188">
        <f>VLOOKUP(Z51,'FS Data'!$A:$B,2,FALSE)/10</f>
        <v>0</v>
      </c>
      <c r="N51" s="20">
        <f>VLOOKUP(AA51,'FS Data'!$A:$B,2,FALSE)</f>
        <v>0</v>
      </c>
      <c r="O51" s="263">
        <f>VLOOKUP(AB51,'FS Data'!$A:$B,2,FALSE)/10</f>
        <v>0</v>
      </c>
      <c r="P51" s="117">
        <f>VLOOKUP(AC51,'FS Data'!$A:$B,2,FALSE)</f>
        <v>0</v>
      </c>
      <c r="Q51" s="188">
        <f>VLOOKUP(AD51,'FS Data'!$A:$B,2,FALSE)/10</f>
        <v>0</v>
      </c>
      <c r="R51" s="718"/>
      <c r="S51" s="215">
        <v>204804</v>
      </c>
      <c r="T51" s="215">
        <v>204806</v>
      </c>
      <c r="U51" s="215">
        <v>204808</v>
      </c>
      <c r="V51" s="215">
        <v>204810</v>
      </c>
      <c r="W51" s="215">
        <v>204814</v>
      </c>
      <c r="X51" s="215">
        <v>204816</v>
      </c>
      <c r="Y51" s="215">
        <v>204818</v>
      </c>
      <c r="Z51" s="215">
        <v>204820</v>
      </c>
      <c r="AA51" s="215">
        <v>204824</v>
      </c>
      <c r="AB51" s="215">
        <v>204826</v>
      </c>
      <c r="AC51" s="215">
        <v>204828</v>
      </c>
      <c r="AD51" s="215">
        <v>204830</v>
      </c>
    </row>
    <row r="52" spans="2:30" ht="18.75" customHeight="1" x14ac:dyDescent="0.25">
      <c r="B52" s="13">
        <v>49</v>
      </c>
      <c r="C52" s="354" t="s">
        <v>494</v>
      </c>
      <c r="D52" s="583"/>
      <c r="E52" s="285">
        <v>84</v>
      </c>
      <c r="F52" s="20">
        <f>VLOOKUP(S52,'FS Data'!$A:$B,2,FALSE)</f>
        <v>6164</v>
      </c>
      <c r="G52" s="263">
        <f>VLOOKUP(T52,'FS Data'!$A:$B,2,FALSE)/10</f>
        <v>2.2000000000000002</v>
      </c>
      <c r="H52" s="117">
        <f>VLOOKUP(U52,'FS Data'!$A:$B,2,FALSE)</f>
        <v>6164</v>
      </c>
      <c r="I52" s="188">
        <f>VLOOKUP(V52,'FS Data'!$A:$B,2,FALSE)/10</f>
        <v>2.2000000000000002</v>
      </c>
      <c r="J52" s="20">
        <f>VLOOKUP(W52,'FS Data'!$A:$B,2,FALSE)</f>
        <v>6164</v>
      </c>
      <c r="K52" s="263">
        <f>VLOOKUP(X52,'FS Data'!$A:$B,2,FALSE)/10</f>
        <v>2.2000000000000002</v>
      </c>
      <c r="L52" s="117">
        <f>VLOOKUP(Y52,'FS Data'!$A:$B,2,FALSE)</f>
        <v>6164</v>
      </c>
      <c r="M52" s="188">
        <f>VLOOKUP(Z52,'FS Data'!$A:$B,2,FALSE)/10</f>
        <v>2.2000000000000002</v>
      </c>
      <c r="N52" s="20">
        <f>VLOOKUP(AA52,'FS Data'!$A:$B,2,FALSE)</f>
        <v>0</v>
      </c>
      <c r="O52" s="263">
        <f>VLOOKUP(AB52,'FS Data'!$A:$B,2,FALSE)/10</f>
        <v>0</v>
      </c>
      <c r="P52" s="117">
        <f>VLOOKUP(AC52,'FS Data'!$A:$B,2,FALSE)</f>
        <v>0</v>
      </c>
      <c r="Q52" s="188">
        <f>VLOOKUP(AD52,'FS Data'!$A:$B,2,FALSE)/10</f>
        <v>0</v>
      </c>
      <c r="R52" s="718"/>
      <c r="S52" s="215">
        <v>204904</v>
      </c>
      <c r="T52" s="215">
        <v>204906</v>
      </c>
      <c r="U52" s="215">
        <v>204908</v>
      </c>
      <c r="V52" s="215">
        <v>204910</v>
      </c>
      <c r="W52" s="215">
        <v>204914</v>
      </c>
      <c r="X52" s="215">
        <v>204916</v>
      </c>
      <c r="Y52" s="215">
        <v>204918</v>
      </c>
      <c r="Z52" s="215">
        <v>204920</v>
      </c>
      <c r="AA52" s="215">
        <v>204924</v>
      </c>
      <c r="AB52" s="215">
        <v>204926</v>
      </c>
      <c r="AC52" s="215">
        <v>204928</v>
      </c>
      <c r="AD52" s="215">
        <v>204930</v>
      </c>
    </row>
    <row r="53" spans="2:30" ht="18.75" customHeight="1" x14ac:dyDescent="0.25">
      <c r="B53" s="13">
        <v>50</v>
      </c>
      <c r="C53" s="354" t="s">
        <v>495</v>
      </c>
      <c r="D53" s="583"/>
      <c r="E53" s="285">
        <v>85</v>
      </c>
      <c r="F53" s="20">
        <f>VLOOKUP(S53,'FS Data'!$A:$B,2,FALSE)</f>
        <v>4853</v>
      </c>
      <c r="G53" s="263">
        <f>VLOOKUP(T53,'FS Data'!$A:$B,2,FALSE)/10</f>
        <v>1.7</v>
      </c>
      <c r="H53" s="117">
        <f>VLOOKUP(U53,'FS Data'!$A:$B,2,FALSE)</f>
        <v>4853</v>
      </c>
      <c r="I53" s="188">
        <f>VLOOKUP(V53,'FS Data'!$A:$B,2,FALSE)/10</f>
        <v>1.7</v>
      </c>
      <c r="J53" s="20">
        <f>VLOOKUP(W53,'FS Data'!$A:$B,2,FALSE)</f>
        <v>4853</v>
      </c>
      <c r="K53" s="263">
        <f>VLOOKUP(X53,'FS Data'!$A:$B,2,FALSE)/10</f>
        <v>1.7</v>
      </c>
      <c r="L53" s="117">
        <f>VLOOKUP(Y53,'FS Data'!$A:$B,2,FALSE)</f>
        <v>4853</v>
      </c>
      <c r="M53" s="188">
        <f>VLOOKUP(Z53,'FS Data'!$A:$B,2,FALSE)/10</f>
        <v>1.7</v>
      </c>
      <c r="N53" s="20">
        <f>VLOOKUP(AA53,'FS Data'!$A:$B,2,FALSE)</f>
        <v>0</v>
      </c>
      <c r="O53" s="263">
        <f>VLOOKUP(AB53,'FS Data'!$A:$B,2,FALSE)/10</f>
        <v>0</v>
      </c>
      <c r="P53" s="117">
        <f>VLOOKUP(AC53,'FS Data'!$A:$B,2,FALSE)</f>
        <v>0</v>
      </c>
      <c r="Q53" s="188">
        <f>VLOOKUP(AD53,'FS Data'!$A:$B,2,FALSE)/10</f>
        <v>0</v>
      </c>
      <c r="R53" s="718"/>
      <c r="S53" s="215">
        <v>205004</v>
      </c>
      <c r="T53" s="215">
        <v>205006</v>
      </c>
      <c r="U53" s="215">
        <v>205008</v>
      </c>
      <c r="V53" s="215">
        <v>205010</v>
      </c>
      <c r="W53" s="215">
        <v>205014</v>
      </c>
      <c r="X53" s="215">
        <v>205016</v>
      </c>
      <c r="Y53" s="215">
        <v>205018</v>
      </c>
      <c r="Z53" s="215">
        <v>205020</v>
      </c>
      <c r="AA53" s="215">
        <v>205024</v>
      </c>
      <c r="AB53" s="215">
        <v>205026</v>
      </c>
      <c r="AC53" s="215">
        <v>205028</v>
      </c>
      <c r="AD53" s="215">
        <v>205030</v>
      </c>
    </row>
    <row r="54" spans="2:30" ht="18.75" customHeight="1" x14ac:dyDescent="0.25">
      <c r="B54" s="13">
        <v>51</v>
      </c>
      <c r="C54" s="354" t="s">
        <v>496</v>
      </c>
      <c r="D54" s="583"/>
      <c r="E54" s="285">
        <v>87</v>
      </c>
      <c r="F54" s="146">
        <f>VLOOKUP(S54,'FS Data'!$A:$B,2,FALSE)</f>
        <v>5103</v>
      </c>
      <c r="G54" s="264">
        <f>VLOOKUP(T54,'FS Data'!$A:$B,2,FALSE)/10</f>
        <v>1.8</v>
      </c>
      <c r="H54" s="143">
        <f>VLOOKUP(U54,'FS Data'!$A:$B,2,FALSE)</f>
        <v>5103</v>
      </c>
      <c r="I54" s="189">
        <f>VLOOKUP(V54,'FS Data'!$A:$B,2,FALSE)/10</f>
        <v>1.8</v>
      </c>
      <c r="J54" s="146">
        <f>VLOOKUP(W54,'FS Data'!$A:$B,2,FALSE)</f>
        <v>5103</v>
      </c>
      <c r="K54" s="264">
        <f>VLOOKUP(X54,'FS Data'!$A:$B,2,FALSE)/10</f>
        <v>1.8</v>
      </c>
      <c r="L54" s="143">
        <f>VLOOKUP(Y54,'FS Data'!$A:$B,2,FALSE)</f>
        <v>5103</v>
      </c>
      <c r="M54" s="189">
        <f>VLOOKUP(Z54,'FS Data'!$A:$B,2,FALSE)/10</f>
        <v>1.8</v>
      </c>
      <c r="N54" s="146">
        <f>VLOOKUP(AA54,'FS Data'!$A:$B,2,FALSE)</f>
        <v>0</v>
      </c>
      <c r="O54" s="264">
        <f>VLOOKUP(AB54,'FS Data'!$A:$B,2,FALSE)/10</f>
        <v>0</v>
      </c>
      <c r="P54" s="143">
        <f>VLOOKUP(AC54,'FS Data'!$A:$B,2,FALSE)</f>
        <v>0</v>
      </c>
      <c r="Q54" s="189">
        <f>VLOOKUP(AD54,'FS Data'!$A:$B,2,FALSE)/10</f>
        <v>0</v>
      </c>
      <c r="R54" s="718"/>
      <c r="S54" s="215">
        <v>205104</v>
      </c>
      <c r="T54" s="215">
        <v>205106</v>
      </c>
      <c r="U54" s="215">
        <v>205108</v>
      </c>
      <c r="V54" s="215">
        <v>205110</v>
      </c>
      <c r="W54" s="215">
        <v>205114</v>
      </c>
      <c r="X54" s="215">
        <v>205116</v>
      </c>
      <c r="Y54" s="215">
        <v>205118</v>
      </c>
      <c r="Z54" s="215">
        <v>205120</v>
      </c>
      <c r="AA54" s="215">
        <v>205124</v>
      </c>
      <c r="AB54" s="215">
        <v>205126</v>
      </c>
      <c r="AC54" s="215">
        <v>205128</v>
      </c>
      <c r="AD54" s="215">
        <v>205130</v>
      </c>
    </row>
    <row r="55" spans="2:30" ht="21.6" customHeight="1" x14ac:dyDescent="0.25">
      <c r="B55" s="13">
        <v>52</v>
      </c>
      <c r="C55" s="350" t="s">
        <v>497</v>
      </c>
      <c r="D55" s="585"/>
      <c r="E55" s="586"/>
      <c r="F55" s="114">
        <f>VLOOKUP(S55,'FS Data'!$A:$B,2,FALSE)</f>
        <v>76871</v>
      </c>
      <c r="G55" s="263">
        <f>VLOOKUP(T55,'FS Data'!$A:$B,2,FALSE)/10</f>
        <v>27</v>
      </c>
      <c r="H55" s="125">
        <f>VLOOKUP(U55,'FS Data'!$A:$B,2,FALSE)</f>
        <v>76871</v>
      </c>
      <c r="I55" s="188">
        <f>VLOOKUP(V55,'FS Data'!$A:$B,2,FALSE)/10</f>
        <v>27</v>
      </c>
      <c r="J55" s="114">
        <f>VLOOKUP(W55,'FS Data'!$A:$B,2,FALSE)</f>
        <v>76871</v>
      </c>
      <c r="K55" s="263">
        <f>VLOOKUP(X55,'FS Data'!$A:$B,2,FALSE)/10</f>
        <v>27</v>
      </c>
      <c r="L55" s="125">
        <f>VLOOKUP(Y55,'FS Data'!$A:$B,2,FALSE)</f>
        <v>76871</v>
      </c>
      <c r="M55" s="188">
        <f>VLOOKUP(Z55,'FS Data'!$A:$B,2,FALSE)/10</f>
        <v>27</v>
      </c>
      <c r="N55" s="114">
        <f>VLOOKUP(AA55,'FS Data'!$A:$B,2,FALSE)</f>
        <v>0</v>
      </c>
      <c r="O55" s="263">
        <f>VLOOKUP(AB55,'FS Data'!$A:$B,2,FALSE)/10</f>
        <v>0</v>
      </c>
      <c r="P55" s="125">
        <f>VLOOKUP(AC55,'FS Data'!$A:$B,2,FALSE)</f>
        <v>0</v>
      </c>
      <c r="Q55" s="188">
        <f>VLOOKUP(AD55,'FS Data'!$A:$B,2,FALSE)/10</f>
        <v>0</v>
      </c>
      <c r="R55" s="718"/>
      <c r="S55" s="215">
        <v>205204</v>
      </c>
      <c r="T55" s="215">
        <v>205206</v>
      </c>
      <c r="U55" s="215">
        <v>205208</v>
      </c>
      <c r="V55" s="215">
        <v>205210</v>
      </c>
      <c r="W55" s="215">
        <v>205214</v>
      </c>
      <c r="X55" s="215">
        <v>205216</v>
      </c>
      <c r="Y55" s="215">
        <v>205218</v>
      </c>
      <c r="Z55" s="215">
        <v>205220</v>
      </c>
      <c r="AA55" s="215">
        <v>205224</v>
      </c>
      <c r="AB55" s="215">
        <v>205226</v>
      </c>
      <c r="AC55" s="215">
        <v>205228</v>
      </c>
      <c r="AD55" s="215">
        <v>205230</v>
      </c>
    </row>
    <row r="56" spans="2:30" ht="18.75" customHeight="1" x14ac:dyDescent="0.25">
      <c r="B56" s="13">
        <v>53</v>
      </c>
      <c r="C56" s="354" t="s">
        <v>498</v>
      </c>
      <c r="D56" s="583"/>
      <c r="E56" s="285">
        <v>88</v>
      </c>
      <c r="F56" s="20">
        <f>VLOOKUP(S56,'FS Data'!$A:$B,2,FALSE)</f>
        <v>0</v>
      </c>
      <c r="G56" s="265">
        <f>VLOOKUP(T56,'FS Data'!$A:$B,2,FALSE)/10</f>
        <v>0</v>
      </c>
      <c r="H56" s="117">
        <f>VLOOKUP(U56,'FS Data'!$A:$B,2,FALSE)</f>
        <v>0</v>
      </c>
      <c r="I56" s="190">
        <f>VLOOKUP(V56,'FS Data'!$A:$B,2,FALSE)/10</f>
        <v>0</v>
      </c>
      <c r="J56" s="20">
        <f>VLOOKUP(W56,'FS Data'!$A:$B,2,FALSE)</f>
        <v>0</v>
      </c>
      <c r="K56" s="265">
        <f>VLOOKUP(X56,'FS Data'!$A:$B,2,FALSE)/10</f>
        <v>0</v>
      </c>
      <c r="L56" s="117">
        <f>VLOOKUP(Y56,'FS Data'!$A:$B,2,FALSE)</f>
        <v>0</v>
      </c>
      <c r="M56" s="190">
        <f>VLOOKUP(Z56,'FS Data'!$A:$B,2,FALSE)/10</f>
        <v>0</v>
      </c>
      <c r="N56" s="20">
        <f>VLOOKUP(AA56,'FS Data'!$A:$B,2,FALSE)</f>
        <v>0</v>
      </c>
      <c r="O56" s="265">
        <f>VLOOKUP(AB56,'FS Data'!$A:$B,2,FALSE)/10</f>
        <v>0</v>
      </c>
      <c r="P56" s="117">
        <f>VLOOKUP(AC56,'FS Data'!$A:$B,2,FALSE)</f>
        <v>0</v>
      </c>
      <c r="Q56" s="190">
        <f>VLOOKUP(AD56,'FS Data'!$A:$B,2,FALSE)/10</f>
        <v>0</v>
      </c>
      <c r="R56" s="718"/>
      <c r="S56" s="215">
        <v>205304</v>
      </c>
      <c r="T56" s="215">
        <v>205306</v>
      </c>
      <c r="U56" s="215">
        <v>205308</v>
      </c>
      <c r="V56" s="215">
        <v>205310</v>
      </c>
      <c r="W56" s="215">
        <v>205314</v>
      </c>
      <c r="X56" s="215">
        <v>205316</v>
      </c>
      <c r="Y56" s="215">
        <v>205318</v>
      </c>
      <c r="Z56" s="215">
        <v>205320</v>
      </c>
      <c r="AA56" s="215">
        <v>205324</v>
      </c>
      <c r="AB56" s="215">
        <v>205326</v>
      </c>
      <c r="AC56" s="215">
        <v>205328</v>
      </c>
      <c r="AD56" s="215">
        <v>205330</v>
      </c>
    </row>
    <row r="57" spans="2:30" ht="18.75" customHeight="1" x14ac:dyDescent="0.25">
      <c r="B57" s="13">
        <v>54</v>
      </c>
      <c r="C57" s="354" t="s">
        <v>499</v>
      </c>
      <c r="D57" s="583"/>
      <c r="E57" s="285">
        <v>89</v>
      </c>
      <c r="F57" s="20">
        <f>VLOOKUP(S57,'FS Data'!$A:$B,2,FALSE)</f>
        <v>2641</v>
      </c>
      <c r="G57" s="263">
        <f>VLOOKUP(T57,'FS Data'!$A:$B,2,FALSE)/10</f>
        <v>0.9</v>
      </c>
      <c r="H57" s="117">
        <f>VLOOKUP(U57,'FS Data'!$A:$B,2,FALSE)</f>
        <v>2641</v>
      </c>
      <c r="I57" s="188">
        <f>VLOOKUP(V57,'FS Data'!$A:$B,2,FALSE)/10</f>
        <v>0.9</v>
      </c>
      <c r="J57" s="20">
        <f>VLOOKUP(W57,'FS Data'!$A:$B,2,FALSE)</f>
        <v>2641</v>
      </c>
      <c r="K57" s="263">
        <f>VLOOKUP(X57,'FS Data'!$A:$B,2,FALSE)/10</f>
        <v>0.9</v>
      </c>
      <c r="L57" s="117">
        <f>VLOOKUP(Y57,'FS Data'!$A:$B,2,FALSE)</f>
        <v>2641</v>
      </c>
      <c r="M57" s="188">
        <f>VLOOKUP(Z57,'FS Data'!$A:$B,2,FALSE)/10</f>
        <v>0.9</v>
      </c>
      <c r="N57" s="20">
        <f>VLOOKUP(AA57,'FS Data'!$A:$B,2,FALSE)</f>
        <v>0</v>
      </c>
      <c r="O57" s="263">
        <f>VLOOKUP(AB57,'FS Data'!$A:$B,2,FALSE)/10</f>
        <v>0</v>
      </c>
      <c r="P57" s="117">
        <f>VLOOKUP(AC57,'FS Data'!$A:$B,2,FALSE)</f>
        <v>0</v>
      </c>
      <c r="Q57" s="188">
        <f>VLOOKUP(AD57,'FS Data'!$A:$B,2,FALSE)/10</f>
        <v>0</v>
      </c>
      <c r="R57" s="718"/>
      <c r="S57" s="215">
        <v>205404</v>
      </c>
      <c r="T57" s="215">
        <v>205406</v>
      </c>
      <c r="U57" s="215">
        <v>205408</v>
      </c>
      <c r="V57" s="215">
        <v>205410</v>
      </c>
      <c r="W57" s="215">
        <v>205414</v>
      </c>
      <c r="X57" s="215">
        <v>205416</v>
      </c>
      <c r="Y57" s="215">
        <v>205418</v>
      </c>
      <c r="Z57" s="215">
        <v>205420</v>
      </c>
      <c r="AA57" s="215">
        <v>205424</v>
      </c>
      <c r="AB57" s="215">
        <v>205426</v>
      </c>
      <c r="AC57" s="215">
        <v>205428</v>
      </c>
      <c r="AD57" s="215">
        <v>205430</v>
      </c>
    </row>
    <row r="58" spans="2:30" ht="18.75" customHeight="1" x14ac:dyDescent="0.25">
      <c r="B58" s="13">
        <v>55</v>
      </c>
      <c r="C58" s="354" t="s">
        <v>500</v>
      </c>
      <c r="D58" s="583"/>
      <c r="E58" s="285">
        <v>90</v>
      </c>
      <c r="F58" s="20">
        <f>VLOOKUP(S58,'FS Data'!$A:$B,2,FALSE)</f>
        <v>400</v>
      </c>
      <c r="G58" s="263">
        <f>VLOOKUP(T58,'FS Data'!$A:$B,2,FALSE)/10</f>
        <v>0.1</v>
      </c>
      <c r="H58" s="117">
        <f>VLOOKUP(U58,'FS Data'!$A:$B,2,FALSE)</f>
        <v>400</v>
      </c>
      <c r="I58" s="188">
        <f>VLOOKUP(V58,'FS Data'!$A:$B,2,FALSE)/10</f>
        <v>0.1</v>
      </c>
      <c r="J58" s="20">
        <f>VLOOKUP(W58,'FS Data'!$A:$B,2,FALSE)</f>
        <v>400</v>
      </c>
      <c r="K58" s="263">
        <f>VLOOKUP(X58,'FS Data'!$A:$B,2,FALSE)/10</f>
        <v>0.1</v>
      </c>
      <c r="L58" s="117">
        <f>VLOOKUP(Y58,'FS Data'!$A:$B,2,FALSE)</f>
        <v>400</v>
      </c>
      <c r="M58" s="188">
        <f>VLOOKUP(Z58,'FS Data'!$A:$B,2,FALSE)/10</f>
        <v>0.1</v>
      </c>
      <c r="N58" s="20">
        <f>VLOOKUP(AA58,'FS Data'!$A:$B,2,FALSE)</f>
        <v>0</v>
      </c>
      <c r="O58" s="263">
        <f>VLOOKUP(AB58,'FS Data'!$A:$B,2,FALSE)/10</f>
        <v>0</v>
      </c>
      <c r="P58" s="117">
        <f>VLOOKUP(AC58,'FS Data'!$A:$B,2,FALSE)</f>
        <v>0</v>
      </c>
      <c r="Q58" s="188">
        <f>VLOOKUP(AD58,'FS Data'!$A:$B,2,FALSE)/10</f>
        <v>0</v>
      </c>
      <c r="R58" s="718"/>
      <c r="S58" s="215">
        <v>205504</v>
      </c>
      <c r="T58" s="215">
        <v>205506</v>
      </c>
      <c r="U58" s="215">
        <v>205508</v>
      </c>
      <c r="V58" s="215">
        <v>205510</v>
      </c>
      <c r="W58" s="215">
        <v>205514</v>
      </c>
      <c r="X58" s="215">
        <v>205516</v>
      </c>
      <c r="Y58" s="215">
        <v>205518</v>
      </c>
      <c r="Z58" s="215">
        <v>205520</v>
      </c>
      <c r="AA58" s="215">
        <v>205524</v>
      </c>
      <c r="AB58" s="215">
        <v>205526</v>
      </c>
      <c r="AC58" s="215">
        <v>205528</v>
      </c>
      <c r="AD58" s="215">
        <v>205530</v>
      </c>
    </row>
    <row r="59" spans="2:30" ht="18.75" customHeight="1" x14ac:dyDescent="0.25">
      <c r="B59" s="13">
        <v>56</v>
      </c>
      <c r="C59" s="354" t="s">
        <v>501</v>
      </c>
      <c r="D59" s="583"/>
      <c r="E59" s="285">
        <v>91</v>
      </c>
      <c r="F59" s="20">
        <f>VLOOKUP(S59,'FS Data'!$A:$B,2,FALSE)</f>
        <v>8551</v>
      </c>
      <c r="G59" s="263">
        <f>VLOOKUP(T59,'FS Data'!$A:$B,2,FALSE)/10</f>
        <v>3</v>
      </c>
      <c r="H59" s="117">
        <f>VLOOKUP(U59,'FS Data'!$A:$B,2,FALSE)</f>
        <v>8551</v>
      </c>
      <c r="I59" s="188">
        <f>VLOOKUP(V59,'FS Data'!$A:$B,2,FALSE)/10</f>
        <v>3</v>
      </c>
      <c r="J59" s="20">
        <f>VLOOKUP(W59,'FS Data'!$A:$B,2,FALSE)</f>
        <v>8551</v>
      </c>
      <c r="K59" s="263">
        <f>VLOOKUP(X59,'FS Data'!$A:$B,2,FALSE)/10</f>
        <v>3</v>
      </c>
      <c r="L59" s="117">
        <f>VLOOKUP(Y59,'FS Data'!$A:$B,2,FALSE)</f>
        <v>8551</v>
      </c>
      <c r="M59" s="188">
        <f>VLOOKUP(Z59,'FS Data'!$A:$B,2,FALSE)/10</f>
        <v>3</v>
      </c>
      <c r="N59" s="20">
        <f>VLOOKUP(AA59,'FS Data'!$A:$B,2,FALSE)</f>
        <v>0</v>
      </c>
      <c r="O59" s="263">
        <f>VLOOKUP(AB59,'FS Data'!$A:$B,2,FALSE)/10</f>
        <v>0</v>
      </c>
      <c r="P59" s="117">
        <f>VLOOKUP(AC59,'FS Data'!$A:$B,2,FALSE)</f>
        <v>0</v>
      </c>
      <c r="Q59" s="188">
        <f>VLOOKUP(AD59,'FS Data'!$A:$B,2,FALSE)/10</f>
        <v>0</v>
      </c>
      <c r="R59" s="718"/>
      <c r="S59" s="215">
        <v>205604</v>
      </c>
      <c r="T59" s="215">
        <v>205606</v>
      </c>
      <c r="U59" s="215">
        <v>205608</v>
      </c>
      <c r="V59" s="215">
        <v>205610</v>
      </c>
      <c r="W59" s="215">
        <v>205614</v>
      </c>
      <c r="X59" s="215">
        <v>205616</v>
      </c>
      <c r="Y59" s="215">
        <v>205618</v>
      </c>
      <c r="Z59" s="215">
        <v>205620</v>
      </c>
      <c r="AA59" s="215">
        <v>205624</v>
      </c>
      <c r="AB59" s="215">
        <v>205626</v>
      </c>
      <c r="AC59" s="215">
        <v>205628</v>
      </c>
      <c r="AD59" s="215">
        <v>205630</v>
      </c>
    </row>
    <row r="60" spans="2:30" ht="18.75" customHeight="1" x14ac:dyDescent="0.25">
      <c r="B60" s="13">
        <v>57</v>
      </c>
      <c r="C60" s="354" t="s">
        <v>502</v>
      </c>
      <c r="D60" s="583"/>
      <c r="E60" s="285">
        <v>92</v>
      </c>
      <c r="F60" s="146">
        <f>VLOOKUP(S60,'FS Data'!$A:$B,2,FALSE)</f>
        <v>173</v>
      </c>
      <c r="G60" s="264">
        <f>VLOOKUP(T60,'FS Data'!$A:$B,2,FALSE)/10</f>
        <v>0.1</v>
      </c>
      <c r="H60" s="143">
        <f>VLOOKUP(U60,'FS Data'!$A:$B,2,FALSE)</f>
        <v>173</v>
      </c>
      <c r="I60" s="189">
        <f>VLOOKUP(V60,'FS Data'!$A:$B,2,FALSE)/10</f>
        <v>0.1</v>
      </c>
      <c r="J60" s="146">
        <f>VLOOKUP(W60,'FS Data'!$A:$B,2,FALSE)</f>
        <v>173</v>
      </c>
      <c r="K60" s="264">
        <f>VLOOKUP(X60,'FS Data'!$A:$B,2,FALSE)/10</f>
        <v>0.1</v>
      </c>
      <c r="L60" s="143">
        <f>VLOOKUP(Y60,'FS Data'!$A:$B,2,FALSE)</f>
        <v>173</v>
      </c>
      <c r="M60" s="189">
        <f>VLOOKUP(Z60,'FS Data'!$A:$B,2,FALSE)/10</f>
        <v>0.1</v>
      </c>
      <c r="N60" s="146">
        <f>VLOOKUP(AA60,'FS Data'!$A:$B,2,FALSE)</f>
        <v>0</v>
      </c>
      <c r="O60" s="264">
        <f>VLOOKUP(AB60,'FS Data'!$A:$B,2,FALSE)/10</f>
        <v>0</v>
      </c>
      <c r="P60" s="143">
        <f>VLOOKUP(AC60,'FS Data'!$A:$B,2,FALSE)</f>
        <v>0</v>
      </c>
      <c r="Q60" s="189">
        <f>VLOOKUP(AD60,'FS Data'!$A:$B,2,FALSE)/10</f>
        <v>0</v>
      </c>
      <c r="R60" s="718"/>
      <c r="S60" s="215">
        <v>205704</v>
      </c>
      <c r="T60" s="215">
        <v>205706</v>
      </c>
      <c r="U60" s="215">
        <v>205708</v>
      </c>
      <c r="V60" s="215">
        <v>205710</v>
      </c>
      <c r="W60" s="215">
        <v>205714</v>
      </c>
      <c r="X60" s="215">
        <v>205716</v>
      </c>
      <c r="Y60" s="215">
        <v>205718</v>
      </c>
      <c r="Z60" s="215">
        <v>205720</v>
      </c>
      <c r="AA60" s="215">
        <v>205724</v>
      </c>
      <c r="AB60" s="215">
        <v>205726</v>
      </c>
      <c r="AC60" s="215">
        <v>205728</v>
      </c>
      <c r="AD60" s="215">
        <v>205730</v>
      </c>
    </row>
    <row r="61" spans="2:30" ht="21.6" customHeight="1" x14ac:dyDescent="0.25">
      <c r="B61" s="13">
        <v>58</v>
      </c>
      <c r="C61" s="350" t="s">
        <v>503</v>
      </c>
      <c r="D61" s="585"/>
      <c r="E61" s="586"/>
      <c r="F61" s="114">
        <f>VLOOKUP(S61,'FS Data'!$A:$B,2,FALSE)</f>
        <v>88636</v>
      </c>
      <c r="G61" s="263">
        <f>VLOOKUP(T61,'FS Data'!$A:$B,2,FALSE)/10</f>
        <v>31.2</v>
      </c>
      <c r="H61" s="125">
        <f>VLOOKUP(U61,'FS Data'!$A:$B,2,FALSE)</f>
        <v>88636</v>
      </c>
      <c r="I61" s="188">
        <f>VLOOKUP(V61,'FS Data'!$A:$B,2,FALSE)/10</f>
        <v>31.2</v>
      </c>
      <c r="J61" s="114">
        <f>VLOOKUP(W61,'FS Data'!$A:$B,2,FALSE)</f>
        <v>88636</v>
      </c>
      <c r="K61" s="263">
        <f>VLOOKUP(X61,'FS Data'!$A:$B,2,FALSE)/10</f>
        <v>31.2</v>
      </c>
      <c r="L61" s="125">
        <f>VLOOKUP(Y61,'FS Data'!$A:$B,2,FALSE)</f>
        <v>88636</v>
      </c>
      <c r="M61" s="188">
        <f>VLOOKUP(Z61,'FS Data'!$A:$B,2,FALSE)/10</f>
        <v>31.2</v>
      </c>
      <c r="N61" s="114">
        <f>VLOOKUP(AA61,'FS Data'!$A:$B,2,FALSE)</f>
        <v>0</v>
      </c>
      <c r="O61" s="263">
        <f>VLOOKUP(AB61,'FS Data'!$A:$B,2,FALSE)/10</f>
        <v>0</v>
      </c>
      <c r="P61" s="125">
        <f>VLOOKUP(AC61,'FS Data'!$A:$B,2,FALSE)</f>
        <v>0</v>
      </c>
      <c r="Q61" s="188">
        <f>VLOOKUP(AD61,'FS Data'!$A:$B,2,FALSE)/10</f>
        <v>0</v>
      </c>
      <c r="R61" s="718"/>
      <c r="S61" s="215">
        <v>205804</v>
      </c>
      <c r="T61" s="215">
        <v>205806</v>
      </c>
      <c r="U61" s="215">
        <v>205808</v>
      </c>
      <c r="V61" s="215">
        <v>205810</v>
      </c>
      <c r="W61" s="215">
        <v>205814</v>
      </c>
      <c r="X61" s="215">
        <v>205816</v>
      </c>
      <c r="Y61" s="215">
        <v>205818</v>
      </c>
      <c r="Z61" s="215">
        <v>205820</v>
      </c>
      <c r="AA61" s="215">
        <v>205824</v>
      </c>
      <c r="AB61" s="215">
        <v>205826</v>
      </c>
      <c r="AC61" s="215">
        <v>205828</v>
      </c>
      <c r="AD61" s="215">
        <v>205830</v>
      </c>
    </row>
    <row r="62" spans="2:30" ht="21.6" customHeight="1" x14ac:dyDescent="0.25">
      <c r="B62" s="13">
        <v>59</v>
      </c>
      <c r="C62" s="350" t="s">
        <v>504</v>
      </c>
      <c r="D62" s="585"/>
      <c r="E62" s="586"/>
      <c r="F62" s="20">
        <f>VLOOKUP(S62,'FS Data'!$A:$B,2,FALSE)</f>
        <v>345058</v>
      </c>
      <c r="G62" s="265">
        <f>VLOOKUP(T62,'FS Data'!$A:$B,2,FALSE)/10</f>
        <v>121.4</v>
      </c>
      <c r="H62" s="117">
        <f>VLOOKUP(U62,'FS Data'!$A:$B,2,FALSE)</f>
        <v>345058</v>
      </c>
      <c r="I62" s="190">
        <f>VLOOKUP(V62,'FS Data'!$A:$B,2,FALSE)/10</f>
        <v>121.4</v>
      </c>
      <c r="J62" s="20">
        <f>VLOOKUP(W62,'FS Data'!$A:$B,2,FALSE)</f>
        <v>345058</v>
      </c>
      <c r="K62" s="265">
        <f>VLOOKUP(X62,'FS Data'!$A:$B,2,FALSE)/10</f>
        <v>121.4</v>
      </c>
      <c r="L62" s="117">
        <f>VLOOKUP(Y62,'FS Data'!$A:$B,2,FALSE)</f>
        <v>345058</v>
      </c>
      <c r="M62" s="190">
        <f>VLOOKUP(Z62,'FS Data'!$A:$B,2,FALSE)/10</f>
        <v>121.4</v>
      </c>
      <c r="N62" s="20">
        <f>VLOOKUP(AA62,'FS Data'!$A:$B,2,FALSE)</f>
        <v>0</v>
      </c>
      <c r="O62" s="265">
        <f>VLOOKUP(AB62,'FS Data'!$A:$B,2,FALSE)/10</f>
        <v>0</v>
      </c>
      <c r="P62" s="117">
        <f>VLOOKUP(AC62,'FS Data'!$A:$B,2,FALSE)</f>
        <v>0</v>
      </c>
      <c r="Q62" s="190">
        <f>VLOOKUP(AD62,'FS Data'!$A:$B,2,FALSE)/10</f>
        <v>0</v>
      </c>
      <c r="R62" s="718"/>
      <c r="S62" s="215">
        <v>205904</v>
      </c>
      <c r="T62" s="215">
        <v>205906</v>
      </c>
      <c r="U62" s="215">
        <v>205908</v>
      </c>
      <c r="V62" s="215">
        <v>205910</v>
      </c>
      <c r="W62" s="215">
        <v>205914</v>
      </c>
      <c r="X62" s="215">
        <v>205916</v>
      </c>
      <c r="Y62" s="215">
        <v>205918</v>
      </c>
      <c r="Z62" s="215">
        <v>205920</v>
      </c>
      <c r="AA62" s="215">
        <v>205924</v>
      </c>
      <c r="AB62" s="215">
        <v>205926</v>
      </c>
      <c r="AC62" s="215">
        <v>205928</v>
      </c>
      <c r="AD62" s="215">
        <v>205930</v>
      </c>
    </row>
    <row r="63" spans="2:30" ht="21.6" customHeight="1" x14ac:dyDescent="0.25">
      <c r="B63" s="13">
        <v>60</v>
      </c>
      <c r="C63" s="590" t="s">
        <v>505</v>
      </c>
      <c r="D63" s="585"/>
      <c r="E63" s="586"/>
      <c r="F63" s="20">
        <f>VLOOKUP(S63,'FS Data'!$A:$B,2,FALSE)</f>
        <v>425674</v>
      </c>
      <c r="G63" s="265">
        <f>VLOOKUP(T63,'FS Data'!$A:$B,2,FALSE)/10</f>
        <v>149.80000000000001</v>
      </c>
      <c r="H63" s="117">
        <f>VLOOKUP(U63,'FS Data'!$A:$B,2,FALSE)</f>
        <v>425674</v>
      </c>
      <c r="I63" s="190">
        <f>VLOOKUP(V63,'FS Data'!$A:$B,2,FALSE)/10</f>
        <v>149.80000000000001</v>
      </c>
      <c r="J63" s="20">
        <f>VLOOKUP(W63,'FS Data'!$A:$B,2,FALSE)</f>
        <v>425674</v>
      </c>
      <c r="K63" s="265">
        <f>VLOOKUP(X63,'FS Data'!$A:$B,2,FALSE)/10</f>
        <v>149.80000000000001</v>
      </c>
      <c r="L63" s="117">
        <f>VLOOKUP(Y63,'FS Data'!$A:$B,2,FALSE)</f>
        <v>425674</v>
      </c>
      <c r="M63" s="190">
        <f>VLOOKUP(Z63,'FS Data'!$A:$B,2,FALSE)/10</f>
        <v>149.80000000000001</v>
      </c>
      <c r="N63" s="20">
        <f>VLOOKUP(AA63,'FS Data'!$A:$B,2,FALSE)</f>
        <v>0</v>
      </c>
      <c r="O63" s="265">
        <f>VLOOKUP(AB63,'FS Data'!$A:$B,2,FALSE)/10</f>
        <v>0</v>
      </c>
      <c r="P63" s="117">
        <f>VLOOKUP(AC63,'FS Data'!$A:$B,2,FALSE)</f>
        <v>0</v>
      </c>
      <c r="Q63" s="190">
        <f>VLOOKUP(AD63,'FS Data'!$A:$B,2,FALSE)/10</f>
        <v>0</v>
      </c>
      <c r="R63" s="718"/>
      <c r="S63" s="215">
        <v>206004</v>
      </c>
      <c r="T63" s="215">
        <v>206006</v>
      </c>
      <c r="U63" s="215">
        <v>206008</v>
      </c>
      <c r="V63" s="215">
        <v>206010</v>
      </c>
      <c r="W63" s="215">
        <v>206014</v>
      </c>
      <c r="X63" s="215">
        <v>206016</v>
      </c>
      <c r="Y63" s="215">
        <v>206018</v>
      </c>
      <c r="Z63" s="215">
        <v>206020</v>
      </c>
      <c r="AA63" s="215">
        <v>206024</v>
      </c>
      <c r="AB63" s="215">
        <v>206026</v>
      </c>
      <c r="AC63" s="215">
        <v>206028</v>
      </c>
      <c r="AD63" s="215">
        <v>206030</v>
      </c>
    </row>
    <row r="64" spans="2:30" ht="21.6" customHeight="1" x14ac:dyDescent="0.25">
      <c r="B64" s="13">
        <v>61</v>
      </c>
      <c r="C64" s="590" t="s">
        <v>506</v>
      </c>
      <c r="D64" s="585"/>
      <c r="E64" s="586"/>
      <c r="F64" s="114">
        <f>VLOOKUP(S64,'FS Data'!$A:$B,2,FALSE)</f>
        <v>-141477</v>
      </c>
      <c r="G64" s="475"/>
      <c r="H64" s="125">
        <f>VLOOKUP(U64,'FS Data'!$A:$B,2,FALSE)</f>
        <v>-141477</v>
      </c>
      <c r="I64" s="475"/>
      <c r="J64" s="114">
        <f>VLOOKUP(W64,'FS Data'!$A:$B,2,FALSE)</f>
        <v>-141477</v>
      </c>
      <c r="K64" s="475"/>
      <c r="L64" s="125">
        <f>VLOOKUP(Y64,'FS Data'!$A:$B,2,FALSE)</f>
        <v>-141477</v>
      </c>
      <c r="M64" s="475"/>
      <c r="N64" s="114">
        <f>VLOOKUP(AA64,'FS Data'!$A:$B,2,FALSE)</f>
        <v>0</v>
      </c>
      <c r="O64" s="475"/>
      <c r="P64" s="125">
        <f>VLOOKUP(AC64,'FS Data'!$A:$B,2,FALSE)</f>
        <v>0</v>
      </c>
      <c r="Q64" s="475"/>
      <c r="R64" s="718"/>
      <c r="S64" s="215">
        <v>206104</v>
      </c>
      <c r="T64" s="215">
        <v>206106</v>
      </c>
      <c r="U64" s="215">
        <v>206108</v>
      </c>
      <c r="V64" s="215">
        <v>206110</v>
      </c>
      <c r="W64" s="215">
        <v>206114</v>
      </c>
      <c r="X64" s="215">
        <v>206116</v>
      </c>
      <c r="Y64" s="215">
        <v>206118</v>
      </c>
      <c r="Z64" s="215">
        <v>206120</v>
      </c>
      <c r="AA64" s="215">
        <v>206124</v>
      </c>
      <c r="AB64" s="215">
        <v>206126</v>
      </c>
      <c r="AC64" s="215">
        <v>206128</v>
      </c>
      <c r="AD64" s="215">
        <v>206130</v>
      </c>
    </row>
    <row r="65" spans="2:30" ht="21.6" customHeight="1" x14ac:dyDescent="0.25">
      <c r="B65" s="13">
        <v>62</v>
      </c>
      <c r="C65" s="590" t="s">
        <v>507</v>
      </c>
      <c r="D65" s="585"/>
      <c r="E65" s="586"/>
      <c r="F65" s="20">
        <f>VLOOKUP(S65,'FS Data'!$A:$B,2,FALSE)</f>
        <v>54232</v>
      </c>
      <c r="G65" s="475"/>
      <c r="H65" s="117">
        <f>VLOOKUP(U65,'FS Data'!$A:$B,2,FALSE)</f>
        <v>54232</v>
      </c>
      <c r="I65" s="475"/>
      <c r="J65" s="20">
        <f>VLOOKUP(W65,'FS Data'!$A:$B,2,FALSE)</f>
        <v>54232</v>
      </c>
      <c r="K65" s="475"/>
      <c r="L65" s="117">
        <f>VLOOKUP(Y65,'FS Data'!$A:$B,2,FALSE)</f>
        <v>54232</v>
      </c>
      <c r="M65" s="475"/>
      <c r="N65" s="20">
        <f>VLOOKUP(AA65,'FS Data'!$A:$B,2,FALSE)</f>
        <v>0</v>
      </c>
      <c r="O65" s="475"/>
      <c r="P65" s="117">
        <f>VLOOKUP(AC65,'FS Data'!$A:$B,2,FALSE)</f>
        <v>0</v>
      </c>
      <c r="Q65" s="475"/>
      <c r="R65" s="718"/>
      <c r="S65" s="215">
        <v>206204</v>
      </c>
      <c r="T65" s="215">
        <v>206206</v>
      </c>
      <c r="U65" s="215">
        <v>206208</v>
      </c>
      <c r="V65" s="215">
        <v>206210</v>
      </c>
      <c r="W65" s="215">
        <v>206214</v>
      </c>
      <c r="X65" s="215">
        <v>206216</v>
      </c>
      <c r="Y65" s="215">
        <v>206218</v>
      </c>
      <c r="Z65" s="215">
        <v>206220</v>
      </c>
      <c r="AA65" s="215">
        <v>206224</v>
      </c>
      <c r="AB65" s="215">
        <v>206226</v>
      </c>
      <c r="AC65" s="215">
        <v>206228</v>
      </c>
      <c r="AD65" s="215">
        <v>206230</v>
      </c>
    </row>
    <row r="66" spans="2:30" ht="19.5" customHeight="1" x14ac:dyDescent="0.25">
      <c r="B66" s="13">
        <v>63</v>
      </c>
      <c r="C66" s="587"/>
      <c r="D66" s="588"/>
      <c r="E66" s="591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721"/>
      <c r="S66" s="215">
        <v>206304</v>
      </c>
      <c r="T66" s="215">
        <v>206306</v>
      </c>
      <c r="U66" s="215">
        <v>206308</v>
      </c>
      <c r="V66" s="215">
        <v>206310</v>
      </c>
      <c r="W66" s="215">
        <v>206314</v>
      </c>
      <c r="X66" s="215">
        <v>206316</v>
      </c>
      <c r="Y66" s="215">
        <v>206318</v>
      </c>
      <c r="Z66" s="215">
        <v>206320</v>
      </c>
      <c r="AA66" s="215">
        <v>206324</v>
      </c>
      <c r="AB66" s="215">
        <v>206326</v>
      </c>
      <c r="AC66" s="215">
        <v>206328</v>
      </c>
      <c r="AD66" s="215">
        <v>206330</v>
      </c>
    </row>
    <row r="67" spans="2:30" ht="21.6" customHeight="1" x14ac:dyDescent="0.25">
      <c r="B67" s="13">
        <v>64</v>
      </c>
      <c r="C67" s="592" t="s">
        <v>508</v>
      </c>
      <c r="D67" s="585"/>
      <c r="E67" s="586"/>
      <c r="F67" s="114">
        <f>VLOOKUP(S67,'FS Data'!$A:$B,2,FALSE)</f>
        <v>-87245</v>
      </c>
      <c r="G67" s="475"/>
      <c r="H67" s="125">
        <f>VLOOKUP(U67,'FS Data'!$A:$B,2,FALSE)</f>
        <v>-87245</v>
      </c>
      <c r="I67" s="475"/>
      <c r="J67" s="114">
        <f>VLOOKUP(W67,'FS Data'!$A:$B,2,FALSE)</f>
        <v>-87245</v>
      </c>
      <c r="K67" s="475"/>
      <c r="L67" s="125">
        <f>VLOOKUP(Y67,'FS Data'!$A:$B,2,FALSE)</f>
        <v>-87245</v>
      </c>
      <c r="M67" s="475"/>
      <c r="N67" s="114">
        <f>VLOOKUP(AA67,'FS Data'!$A:$B,2,FALSE)</f>
        <v>0</v>
      </c>
      <c r="O67" s="475"/>
      <c r="P67" s="125">
        <f>VLOOKUP(AC67,'FS Data'!$A:$B,2,FALSE)</f>
        <v>0</v>
      </c>
      <c r="Q67" s="475"/>
      <c r="R67" s="718"/>
      <c r="S67" s="215">
        <v>206404</v>
      </c>
      <c r="T67" s="215">
        <v>206406</v>
      </c>
      <c r="U67" s="215">
        <v>206408</v>
      </c>
      <c r="V67" s="215">
        <v>206410</v>
      </c>
      <c r="W67" s="215">
        <v>206414</v>
      </c>
      <c r="X67" s="215">
        <v>206416</v>
      </c>
      <c r="Y67" s="215">
        <v>206418</v>
      </c>
      <c r="Z67" s="215">
        <v>206420</v>
      </c>
      <c r="AA67" s="215">
        <v>206424</v>
      </c>
      <c r="AB67" s="215">
        <v>206426</v>
      </c>
      <c r="AC67" s="215">
        <v>206428</v>
      </c>
      <c r="AD67" s="215">
        <v>206430</v>
      </c>
    </row>
    <row r="68" spans="2:30" ht="19.5" customHeight="1" x14ac:dyDescent="0.25">
      <c r="B68" s="13">
        <v>65</v>
      </c>
      <c r="C68" s="350" t="s">
        <v>509</v>
      </c>
      <c r="D68" s="585"/>
      <c r="E68" s="285">
        <v>97</v>
      </c>
      <c r="F68" s="20">
        <f>VLOOKUP(S68,'FS Data'!$A:$B,2,FALSE)</f>
        <v>0</v>
      </c>
      <c r="G68" s="475"/>
      <c r="H68" s="117">
        <f>VLOOKUP(U68,'FS Data'!$A:$B,2,FALSE)</f>
        <v>0</v>
      </c>
      <c r="I68" s="475"/>
      <c r="J68" s="20">
        <f>VLOOKUP(W68,'FS Data'!$A:$B,2,FALSE)</f>
        <v>0</v>
      </c>
      <c r="K68" s="475"/>
      <c r="L68" s="117">
        <f>VLOOKUP(Y68,'FS Data'!$A:$B,2,FALSE)</f>
        <v>0</v>
      </c>
      <c r="M68" s="475"/>
      <c r="N68" s="20">
        <f>VLOOKUP(AA68,'FS Data'!$A:$B,2,FALSE)</f>
        <v>0</v>
      </c>
      <c r="O68" s="475"/>
      <c r="P68" s="117">
        <f>VLOOKUP(AC68,'FS Data'!$A:$B,2,FALSE)</f>
        <v>0</v>
      </c>
      <c r="Q68" s="475"/>
      <c r="R68" s="718"/>
      <c r="S68" s="215">
        <v>206504</v>
      </c>
      <c r="T68" s="215">
        <v>206506</v>
      </c>
      <c r="U68" s="215">
        <v>206508</v>
      </c>
      <c r="V68" s="215">
        <v>206510</v>
      </c>
      <c r="W68" s="215">
        <v>206514</v>
      </c>
      <c r="X68" s="215">
        <v>206516</v>
      </c>
      <c r="Y68" s="215">
        <v>206518</v>
      </c>
      <c r="Z68" s="215">
        <v>206520</v>
      </c>
      <c r="AA68" s="215">
        <v>206524</v>
      </c>
      <c r="AB68" s="215">
        <v>206526</v>
      </c>
      <c r="AC68" s="215">
        <v>206528</v>
      </c>
      <c r="AD68" s="215">
        <v>206530</v>
      </c>
    </row>
    <row r="69" spans="2:30" ht="19.5" customHeight="1" x14ac:dyDescent="0.25">
      <c r="B69" s="13">
        <v>66</v>
      </c>
      <c r="C69" s="350" t="s">
        <v>510</v>
      </c>
      <c r="D69" s="585"/>
      <c r="E69" s="285">
        <v>98</v>
      </c>
      <c r="F69" s="20">
        <f>VLOOKUP(S69,'FS Data'!$A:$B,2,FALSE)</f>
        <v>0</v>
      </c>
      <c r="G69" s="475"/>
      <c r="H69" s="117">
        <f>VLOOKUP(U69,'FS Data'!$A:$B,2,FALSE)</f>
        <v>0</v>
      </c>
      <c r="I69" s="475"/>
      <c r="J69" s="475"/>
      <c r="K69" s="475"/>
      <c r="L69" s="475"/>
      <c r="M69" s="475"/>
      <c r="N69" s="475"/>
      <c r="O69" s="475"/>
      <c r="P69" s="475"/>
      <c r="Q69" s="475"/>
      <c r="R69" s="721"/>
      <c r="S69" s="215">
        <v>206604</v>
      </c>
      <c r="T69" s="215">
        <v>206606</v>
      </c>
      <c r="U69" s="215">
        <v>206608</v>
      </c>
      <c r="V69" s="215">
        <v>206610</v>
      </c>
      <c r="W69" s="215">
        <v>206614</v>
      </c>
      <c r="X69" s="215">
        <v>206616</v>
      </c>
      <c r="Y69" s="215">
        <v>206618</v>
      </c>
      <c r="Z69" s="215">
        <v>206620</v>
      </c>
      <c r="AA69" s="215">
        <v>206624</v>
      </c>
      <c r="AB69" s="215">
        <v>206626</v>
      </c>
      <c r="AC69" s="215">
        <v>206628</v>
      </c>
      <c r="AD69" s="215">
        <v>206630</v>
      </c>
    </row>
    <row r="70" spans="2:30" ht="19.5" customHeight="1" x14ac:dyDescent="0.25">
      <c r="B70" s="13">
        <v>67</v>
      </c>
      <c r="C70" s="593"/>
      <c r="D70" s="594"/>
      <c r="E70" s="595"/>
      <c r="F70" s="475"/>
      <c r="G70" s="475"/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721"/>
      <c r="S70" s="215">
        <v>206704</v>
      </c>
      <c r="T70" s="215">
        <v>206706</v>
      </c>
      <c r="U70" s="215">
        <v>206708</v>
      </c>
      <c r="V70" s="215">
        <v>206710</v>
      </c>
      <c r="W70" s="215">
        <v>206714</v>
      </c>
      <c r="X70" s="215">
        <v>206716</v>
      </c>
      <c r="Y70" s="215">
        <v>206718</v>
      </c>
      <c r="Z70" s="215">
        <v>206720</v>
      </c>
      <c r="AA70" s="215">
        <v>206724</v>
      </c>
      <c r="AB70" s="215">
        <v>206726</v>
      </c>
      <c r="AC70" s="215">
        <v>206728</v>
      </c>
      <c r="AD70" s="215">
        <v>206730</v>
      </c>
    </row>
    <row r="71" spans="2:30" ht="21.6" customHeight="1" x14ac:dyDescent="0.25">
      <c r="B71" s="13">
        <v>68</v>
      </c>
      <c r="C71" s="350" t="s">
        <v>511</v>
      </c>
      <c r="D71" s="585"/>
      <c r="E71" s="586"/>
      <c r="F71" s="20">
        <f>VLOOKUP(S71,'FS Data'!$A:$B,2,FALSE)</f>
        <v>-87245</v>
      </c>
      <c r="G71" s="475"/>
      <c r="H71" s="117">
        <f>VLOOKUP(U71,'FS Data'!$A:$B,2,FALSE)</f>
        <v>-87245</v>
      </c>
      <c r="I71" s="475"/>
      <c r="J71" s="20">
        <f>VLOOKUP(W71,'FS Data'!$A:$B,2,FALSE)</f>
        <v>-87245</v>
      </c>
      <c r="K71" s="475"/>
      <c r="L71" s="117">
        <f>VLOOKUP(Y71,'FS Data'!$A:$B,2,FALSE)</f>
        <v>-87245</v>
      </c>
      <c r="M71" s="475"/>
      <c r="N71" s="20">
        <f>VLOOKUP(AA71,'FS Data'!$A:$B,2,FALSE)</f>
        <v>0</v>
      </c>
      <c r="O71" s="475"/>
      <c r="P71" s="117">
        <f>VLOOKUP(AC71,'FS Data'!$A:$B,2,FALSE)</f>
        <v>0</v>
      </c>
      <c r="Q71" s="475"/>
      <c r="R71" s="718"/>
      <c r="S71" s="215">
        <v>206804</v>
      </c>
      <c r="T71" s="215">
        <v>206806</v>
      </c>
      <c r="U71" s="215">
        <v>206808</v>
      </c>
      <c r="V71" s="215">
        <v>206810</v>
      </c>
      <c r="W71" s="215">
        <v>206814</v>
      </c>
      <c r="X71" s="215">
        <v>206816</v>
      </c>
      <c r="Y71" s="215">
        <v>206818</v>
      </c>
      <c r="Z71" s="215">
        <v>206820</v>
      </c>
      <c r="AA71" s="215">
        <v>206824</v>
      </c>
      <c r="AB71" s="215">
        <v>206826</v>
      </c>
      <c r="AC71" s="215">
        <v>206828</v>
      </c>
      <c r="AD71" s="215">
        <v>206830</v>
      </c>
    </row>
    <row r="72" spans="2:30" ht="19.5" customHeight="1" x14ac:dyDescent="0.25">
      <c r="B72" s="13">
        <v>69</v>
      </c>
      <c r="C72" s="587"/>
      <c r="D72" s="588"/>
      <c r="E72" s="589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6"/>
      <c r="R72" s="721"/>
      <c r="S72" s="215">
        <v>206904</v>
      </c>
      <c r="T72" s="215">
        <v>206906</v>
      </c>
      <c r="U72" s="215">
        <v>206908</v>
      </c>
      <c r="V72" s="215">
        <v>206910</v>
      </c>
      <c r="W72" s="215">
        <v>206914</v>
      </c>
      <c r="X72" s="215">
        <v>206916</v>
      </c>
      <c r="Y72" s="215">
        <v>206918</v>
      </c>
      <c r="Z72" s="215">
        <v>206920</v>
      </c>
      <c r="AA72" s="215">
        <v>206924</v>
      </c>
      <c r="AB72" s="215">
        <v>206926</v>
      </c>
      <c r="AC72" s="215">
        <v>206928</v>
      </c>
      <c r="AD72" s="215">
        <v>206930</v>
      </c>
    </row>
    <row r="73" spans="2:30" ht="19.5" customHeight="1" x14ac:dyDescent="0.25">
      <c r="B73" s="13">
        <v>70</v>
      </c>
      <c r="C73" s="574" t="s">
        <v>512</v>
      </c>
      <c r="D73" s="596"/>
      <c r="E73" s="279">
        <v>99</v>
      </c>
      <c r="F73" s="20">
        <f>VLOOKUP(S73,'FS Data'!$A:$B,2,FALSE)</f>
        <v>0</v>
      </c>
      <c r="G73" s="475"/>
      <c r="H73" s="117">
        <f>VLOOKUP(U73,'FS Data'!$A:$B,2,FALSE)</f>
        <v>0</v>
      </c>
      <c r="I73" s="475"/>
      <c r="J73" s="475"/>
      <c r="K73" s="475"/>
      <c r="L73" s="475"/>
      <c r="M73" s="475"/>
      <c r="N73" s="475"/>
      <c r="O73" s="475"/>
      <c r="P73" s="475"/>
      <c r="Q73" s="475"/>
      <c r="R73" s="721"/>
      <c r="S73" s="215">
        <v>207004</v>
      </c>
      <c r="T73" s="215">
        <v>207006</v>
      </c>
      <c r="U73" s="215">
        <v>207008</v>
      </c>
      <c r="V73" s="215">
        <v>207010</v>
      </c>
      <c r="W73" s="215">
        <v>207014</v>
      </c>
      <c r="X73" s="215">
        <v>207016</v>
      </c>
      <c r="Y73" s="215">
        <v>207018</v>
      </c>
      <c r="Z73" s="215">
        <v>207020</v>
      </c>
      <c r="AA73" s="215">
        <v>207024</v>
      </c>
      <c r="AB73" s="215">
        <v>207026</v>
      </c>
      <c r="AC73" s="215">
        <v>207028</v>
      </c>
      <c r="AD73" s="215">
        <v>207030</v>
      </c>
    </row>
    <row r="74" spans="2:30" ht="19.5" customHeight="1" x14ac:dyDescent="0.25">
      <c r="B74" s="13">
        <v>71</v>
      </c>
      <c r="C74" s="587"/>
      <c r="D74" s="588"/>
      <c r="E74" s="589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721"/>
      <c r="S74" s="215">
        <v>207104</v>
      </c>
      <c r="T74" s="215">
        <v>207106</v>
      </c>
      <c r="U74" s="215">
        <v>207108</v>
      </c>
      <c r="V74" s="215">
        <v>207110</v>
      </c>
      <c r="W74" s="215">
        <v>207114</v>
      </c>
      <c r="X74" s="215">
        <v>207116</v>
      </c>
      <c r="Y74" s="215">
        <v>207118</v>
      </c>
      <c r="Z74" s="215">
        <v>207120</v>
      </c>
      <c r="AA74" s="215">
        <v>207124</v>
      </c>
      <c r="AB74" s="215">
        <v>207126</v>
      </c>
      <c r="AC74" s="215">
        <v>207128</v>
      </c>
      <c r="AD74" s="215">
        <v>207130</v>
      </c>
    </row>
    <row r="75" spans="2:30" ht="21.6" customHeight="1" x14ac:dyDescent="0.25">
      <c r="B75" s="13">
        <v>72</v>
      </c>
      <c r="C75" s="350" t="s">
        <v>513</v>
      </c>
      <c r="D75" s="585"/>
      <c r="E75" s="586"/>
      <c r="F75" s="114">
        <f>VLOOKUP(S75,'FS Data'!$A:$B,2,FALSE)</f>
        <v>-87245</v>
      </c>
      <c r="G75" s="475"/>
      <c r="H75" s="117">
        <f>VLOOKUP(U75,'FS Data'!$A:$B,2,FALSE)</f>
        <v>-87245</v>
      </c>
      <c r="I75" s="475"/>
      <c r="J75" s="475"/>
      <c r="K75" s="475"/>
      <c r="L75" s="475"/>
      <c r="M75" s="475"/>
      <c r="N75" s="475"/>
      <c r="O75" s="475"/>
      <c r="P75" s="475"/>
      <c r="Q75" s="475"/>
      <c r="R75" s="721"/>
      <c r="S75" s="215">
        <v>207204</v>
      </c>
      <c r="T75" s="215">
        <v>207206</v>
      </c>
      <c r="U75" s="215">
        <v>207208</v>
      </c>
      <c r="V75" s="215">
        <v>207210</v>
      </c>
      <c r="W75" s="215">
        <v>207214</v>
      </c>
      <c r="X75" s="215">
        <v>207216</v>
      </c>
      <c r="Y75" s="215">
        <v>207218</v>
      </c>
      <c r="Z75" s="215">
        <v>207220</v>
      </c>
      <c r="AA75" s="215">
        <v>207224</v>
      </c>
      <c r="AB75" s="215">
        <v>207226</v>
      </c>
      <c r="AC75" s="215">
        <v>207228</v>
      </c>
      <c r="AD75" s="215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zoomScale="115" zoomScaleNormal="115" workbookViewId="0">
      <selection activeCell="B1" sqref="B1:L1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8"/>
    <col min="20" max="20" width="9.7109375" style="138" bestFit="1" customWidth="1"/>
    <col min="21" max="23" width="9.140625" style="138"/>
    <col min="24" max="16384" width="9.140625" style="5"/>
  </cols>
  <sheetData>
    <row r="1" spans="1:23" ht="18.75" customHeight="1" x14ac:dyDescent="0.25">
      <c r="B1" s="814" t="s">
        <v>938</v>
      </c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63" t="s">
        <v>76</v>
      </c>
      <c r="N1" s="45"/>
    </row>
    <row r="2" spans="1:23" ht="18.75" customHeight="1" x14ac:dyDescent="0.25">
      <c r="B2" s="816" t="s">
        <v>386</v>
      </c>
      <c r="C2" s="818" t="s">
        <v>449</v>
      </c>
      <c r="D2" s="819"/>
      <c r="E2" s="821" t="s">
        <v>520</v>
      </c>
      <c r="F2" s="656" t="s">
        <v>939</v>
      </c>
      <c r="G2" s="656" t="s">
        <v>522</v>
      </c>
      <c r="H2" s="818" t="s">
        <v>523</v>
      </c>
      <c r="I2" s="818"/>
      <c r="J2" s="818" t="s">
        <v>524</v>
      </c>
      <c r="K2" s="818"/>
      <c r="L2" s="818" t="s">
        <v>525</v>
      </c>
      <c r="M2" s="823"/>
      <c r="N2" s="66"/>
    </row>
    <row r="3" spans="1:23" s="4" customFormat="1" ht="18.75" customHeight="1" x14ac:dyDescent="0.25">
      <c r="A3" s="5"/>
      <c r="B3" s="817"/>
      <c r="C3" s="820"/>
      <c r="D3" s="820"/>
      <c r="E3" s="822"/>
      <c r="F3" s="653" t="s">
        <v>517</v>
      </c>
      <c r="G3" s="655" t="s">
        <v>519</v>
      </c>
      <c r="H3" s="653" t="s">
        <v>517</v>
      </c>
      <c r="I3" s="653" t="s">
        <v>519</v>
      </c>
      <c r="J3" s="653" t="s">
        <v>517</v>
      </c>
      <c r="K3" s="653" t="s">
        <v>519</v>
      </c>
      <c r="L3" s="653" t="s">
        <v>517</v>
      </c>
      <c r="M3" s="657" t="s">
        <v>519</v>
      </c>
      <c r="N3" s="67" t="s">
        <v>31</v>
      </c>
      <c r="O3" s="68"/>
      <c r="P3" s="138"/>
      <c r="Q3" s="138"/>
      <c r="R3" s="138"/>
      <c r="S3" s="138"/>
      <c r="T3" s="138"/>
      <c r="U3" s="138"/>
      <c r="V3" s="138"/>
      <c r="W3" s="138"/>
    </row>
    <row r="4" spans="1:23" ht="18.75" customHeight="1" x14ac:dyDescent="0.25">
      <c r="B4" s="10">
        <v>1</v>
      </c>
      <c r="C4" s="577" t="s">
        <v>450</v>
      </c>
      <c r="D4" s="597"/>
      <c r="E4" s="598"/>
      <c r="F4" s="116">
        <f>VLOOKUP(P4,'FS Data'!$A:$B,2,FALSE)</f>
        <v>1162473</v>
      </c>
      <c r="G4" s="117">
        <f>VLOOKUP(Q4,'FS Data'!$A:$B,2,FALSE)</f>
        <v>1162473</v>
      </c>
      <c r="H4" s="116">
        <f>VLOOKUP(R4,'FS Data'!$A:$B,2,FALSE)</f>
        <v>877325</v>
      </c>
      <c r="I4" s="117">
        <f>VLOOKUP(S4,'FS Data'!$A:$B,2,FALSE)</f>
        <v>877325</v>
      </c>
      <c r="J4" s="116">
        <f>VLOOKUP(T4,'FS Data'!$A:$B,2,FALSE)</f>
        <v>0</v>
      </c>
      <c r="K4" s="117">
        <f>VLOOKUP(U4,'FS Data'!$A:$B,2,FALSE)</f>
        <v>0</v>
      </c>
      <c r="L4" s="116">
        <f>VLOOKUP(V4,'FS Data'!$A:$B,2,FALSE)</f>
        <v>0</v>
      </c>
      <c r="M4" s="117">
        <f>VLOOKUP(W4,'FS Data'!$A:$B,2,FALSE)</f>
        <v>0</v>
      </c>
      <c r="N4" s="16">
        <v>1</v>
      </c>
      <c r="P4" s="138">
        <v>300104</v>
      </c>
      <c r="Q4" s="138">
        <v>300106</v>
      </c>
      <c r="R4" s="138">
        <v>300108</v>
      </c>
      <c r="S4" s="138">
        <v>300110</v>
      </c>
      <c r="T4" s="138">
        <v>300112</v>
      </c>
      <c r="U4" s="138">
        <v>300114</v>
      </c>
      <c r="V4" s="138">
        <v>300116</v>
      </c>
      <c r="W4" s="138">
        <v>300118</v>
      </c>
    </row>
    <row r="5" spans="1:23" ht="18.75" customHeight="1" x14ac:dyDescent="0.25">
      <c r="B5" s="13">
        <v>2</v>
      </c>
      <c r="C5" s="575" t="s">
        <v>451</v>
      </c>
      <c r="D5" s="599"/>
      <c r="E5" s="598"/>
      <c r="F5" s="116">
        <f>VLOOKUP(P5,'FS Data'!$A:$B,2,FALSE)</f>
        <v>96277</v>
      </c>
      <c r="G5" s="117">
        <f>VLOOKUP(Q5,'FS Data'!$A:$B,2,FALSE)</f>
        <v>96277</v>
      </c>
      <c r="H5" s="116">
        <f>VLOOKUP(R5,'FS Data'!$A:$B,2,FALSE)</f>
        <v>46136</v>
      </c>
      <c r="I5" s="117">
        <f>VLOOKUP(S5,'FS Data'!$A:$B,2,FALSE)</f>
        <v>46136</v>
      </c>
      <c r="J5" s="116">
        <f>VLOOKUP(T5,'FS Data'!$A:$B,2,FALSE)</f>
        <v>0</v>
      </c>
      <c r="K5" s="117">
        <f>VLOOKUP(U5,'FS Data'!$A:$B,2,FALSE)</f>
        <v>0</v>
      </c>
      <c r="L5" s="116">
        <f>VLOOKUP(V5,'FS Data'!$A:$B,2,FALSE)</f>
        <v>0</v>
      </c>
      <c r="M5" s="117">
        <f>VLOOKUP(W5,'FS Data'!$A:$B,2,FALSE)</f>
        <v>0</v>
      </c>
      <c r="N5" s="16">
        <v>2</v>
      </c>
      <c r="P5" s="138">
        <v>300204</v>
      </c>
      <c r="Q5" s="138">
        <v>300206</v>
      </c>
      <c r="R5" s="138">
        <v>300208</v>
      </c>
      <c r="S5" s="138">
        <v>300210</v>
      </c>
      <c r="T5" s="138">
        <v>300212</v>
      </c>
      <c r="U5" s="138">
        <v>300214</v>
      </c>
      <c r="V5" s="138">
        <v>300216</v>
      </c>
      <c r="W5" s="138">
        <v>300218</v>
      </c>
    </row>
    <row r="6" spans="1:23" ht="18.75" customHeight="1" x14ac:dyDescent="0.25">
      <c r="B6" s="13">
        <v>3</v>
      </c>
      <c r="C6" s="648"/>
      <c r="D6" s="649"/>
      <c r="E6" s="581"/>
      <c r="F6" s="763"/>
      <c r="G6" s="763"/>
      <c r="H6" s="763"/>
      <c r="I6" s="763"/>
      <c r="J6" s="764"/>
      <c r="K6" s="764"/>
      <c r="L6" s="764"/>
      <c r="M6" s="765"/>
      <c r="N6" s="16">
        <v>3</v>
      </c>
      <c r="P6" s="138">
        <v>300304</v>
      </c>
      <c r="Q6" s="138">
        <v>300306</v>
      </c>
      <c r="R6" s="138">
        <v>300308</v>
      </c>
      <c r="S6" s="138">
        <v>300310</v>
      </c>
      <c r="T6" s="138">
        <v>300312</v>
      </c>
      <c r="U6" s="138">
        <v>300314</v>
      </c>
      <c r="V6" s="138">
        <v>300316</v>
      </c>
      <c r="W6" s="138">
        <v>300318</v>
      </c>
    </row>
    <row r="7" spans="1:23" ht="18.75" customHeight="1" x14ac:dyDescent="0.25">
      <c r="B7" s="13">
        <v>4</v>
      </c>
      <c r="C7" s="354" t="s">
        <v>452</v>
      </c>
      <c r="D7" s="600"/>
      <c r="E7" s="285">
        <v>11</v>
      </c>
      <c r="F7" s="116">
        <f>VLOOKUP(P7,'FS Data'!$A:$B,2,FALSE)</f>
        <v>11445</v>
      </c>
      <c r="G7" s="117">
        <f>VLOOKUP(Q7,'FS Data'!$A:$B,2,FALSE)</f>
        <v>11445</v>
      </c>
      <c r="H7" s="116">
        <f>VLOOKUP(R7,'FS Data'!$A:$B,2,FALSE)</f>
        <v>8128</v>
      </c>
      <c r="I7" s="117">
        <f>VLOOKUP(S7,'FS Data'!$A:$B,2,FALSE)</f>
        <v>8128</v>
      </c>
      <c r="J7" s="116">
        <f>VLOOKUP(T7,'FS Data'!$A:$B,2,FALSE)</f>
        <v>0</v>
      </c>
      <c r="K7" s="117">
        <f>VLOOKUP(U7,'FS Data'!$A:$B,2,FALSE)</f>
        <v>0</v>
      </c>
      <c r="L7" s="116">
        <f>VLOOKUP(V7,'FS Data'!$A:$B,2,FALSE)</f>
        <v>0</v>
      </c>
      <c r="M7" s="117">
        <f>VLOOKUP(W7,'FS Data'!$A:$B,2,FALSE)</f>
        <v>0</v>
      </c>
      <c r="N7" s="16">
        <v>4</v>
      </c>
      <c r="P7" s="138">
        <v>300404</v>
      </c>
      <c r="Q7" s="138">
        <v>300406</v>
      </c>
      <c r="R7" s="138">
        <v>300408</v>
      </c>
      <c r="S7" s="138">
        <v>300410</v>
      </c>
      <c r="T7" s="138">
        <v>300412</v>
      </c>
      <c r="U7" s="138">
        <v>300414</v>
      </c>
      <c r="V7" s="138">
        <v>300416</v>
      </c>
      <c r="W7" s="138">
        <v>300418</v>
      </c>
    </row>
    <row r="8" spans="1:23" ht="18.75" customHeight="1" x14ac:dyDescent="0.25">
      <c r="B8" s="13">
        <v>5</v>
      </c>
      <c r="C8" s="354" t="s">
        <v>453</v>
      </c>
      <c r="D8" s="584"/>
      <c r="E8" s="285">
        <v>12</v>
      </c>
      <c r="F8" s="116">
        <f>VLOOKUP(P8,'FS Data'!$A:$B,2,FALSE)</f>
        <v>4578</v>
      </c>
      <c r="G8" s="117">
        <f>VLOOKUP(Q8,'FS Data'!$A:$B,2,FALSE)</f>
        <v>4578</v>
      </c>
      <c r="H8" s="116">
        <f>VLOOKUP(R8,'FS Data'!$A:$B,2,FALSE)</f>
        <v>3622</v>
      </c>
      <c r="I8" s="117">
        <f>VLOOKUP(S8,'FS Data'!$A:$B,2,FALSE)</f>
        <v>3622</v>
      </c>
      <c r="J8" s="116">
        <f>VLOOKUP(T8,'FS Data'!$A:$B,2,FALSE)</f>
        <v>0</v>
      </c>
      <c r="K8" s="117">
        <f>VLOOKUP(U8,'FS Data'!$A:$B,2,FALSE)</f>
        <v>0</v>
      </c>
      <c r="L8" s="116">
        <f>VLOOKUP(V8,'FS Data'!$A:$B,2,FALSE)</f>
        <v>0</v>
      </c>
      <c r="M8" s="117">
        <f>VLOOKUP(W8,'FS Data'!$A:$B,2,FALSE)</f>
        <v>0</v>
      </c>
      <c r="N8" s="16">
        <v>5</v>
      </c>
      <c r="P8" s="138">
        <v>300504</v>
      </c>
      <c r="Q8" s="138">
        <v>300506</v>
      </c>
      <c r="R8" s="138">
        <v>300508</v>
      </c>
      <c r="S8" s="138">
        <v>300510</v>
      </c>
      <c r="T8" s="138">
        <v>300512</v>
      </c>
      <c r="U8" s="138">
        <v>300514</v>
      </c>
      <c r="V8" s="138">
        <v>300516</v>
      </c>
      <c r="W8" s="138">
        <v>300518</v>
      </c>
    </row>
    <row r="9" spans="1:23" ht="18.75" customHeight="1" x14ac:dyDescent="0.25">
      <c r="B9" s="13">
        <v>6</v>
      </c>
      <c r="C9" s="354" t="s">
        <v>454</v>
      </c>
      <c r="D9" s="584"/>
      <c r="E9" s="285">
        <v>13</v>
      </c>
      <c r="F9" s="116">
        <f>VLOOKUP(P9,'FS Data'!$A:$B,2,FALSE)</f>
        <v>1626</v>
      </c>
      <c r="G9" s="117">
        <f>VLOOKUP(Q9,'FS Data'!$A:$B,2,FALSE)</f>
        <v>1626</v>
      </c>
      <c r="H9" s="116">
        <f>VLOOKUP(R9,'FS Data'!$A:$B,2,FALSE)</f>
        <v>2780</v>
      </c>
      <c r="I9" s="117">
        <f>VLOOKUP(S9,'FS Data'!$A:$B,2,FALSE)</f>
        <v>2780</v>
      </c>
      <c r="J9" s="116">
        <f>VLOOKUP(T9,'FS Data'!$A:$B,2,FALSE)</f>
        <v>0</v>
      </c>
      <c r="K9" s="117">
        <f>VLOOKUP(U9,'FS Data'!$A:$B,2,FALSE)</f>
        <v>0</v>
      </c>
      <c r="L9" s="116">
        <f>VLOOKUP(V9,'FS Data'!$A:$B,2,FALSE)</f>
        <v>0</v>
      </c>
      <c r="M9" s="117">
        <f>VLOOKUP(W9,'FS Data'!$A:$B,2,FALSE)</f>
        <v>0</v>
      </c>
      <c r="N9" s="16">
        <v>6</v>
      </c>
      <c r="P9" s="138">
        <v>300604</v>
      </c>
      <c r="Q9" s="138">
        <v>300606</v>
      </c>
      <c r="R9" s="138">
        <v>300608</v>
      </c>
      <c r="S9" s="138">
        <v>300610</v>
      </c>
      <c r="T9" s="138">
        <v>300612</v>
      </c>
      <c r="U9" s="138">
        <v>300614</v>
      </c>
      <c r="V9" s="138">
        <v>300616</v>
      </c>
      <c r="W9" s="138">
        <v>300618</v>
      </c>
    </row>
    <row r="10" spans="1:23" ht="18.75" customHeight="1" x14ac:dyDescent="0.25">
      <c r="B10" s="13">
        <v>7</v>
      </c>
      <c r="C10" s="354" t="s">
        <v>455</v>
      </c>
      <c r="D10" s="584"/>
      <c r="E10" s="285">
        <v>16</v>
      </c>
      <c r="F10" s="116">
        <f>VLOOKUP(P10,'FS Data'!$A:$B,2,FALSE)</f>
        <v>12251</v>
      </c>
      <c r="G10" s="117">
        <f>VLOOKUP(Q10,'FS Data'!$A:$B,2,FALSE)</f>
        <v>12251</v>
      </c>
      <c r="H10" s="116">
        <f>VLOOKUP(R10,'FS Data'!$A:$B,2,FALSE)</f>
        <v>7944</v>
      </c>
      <c r="I10" s="117">
        <f>VLOOKUP(S10,'FS Data'!$A:$B,2,FALSE)</f>
        <v>7944</v>
      </c>
      <c r="J10" s="116">
        <f>VLOOKUP(T10,'FS Data'!$A:$B,2,FALSE)</f>
        <v>0</v>
      </c>
      <c r="K10" s="117">
        <f>VLOOKUP(U10,'FS Data'!$A:$B,2,FALSE)</f>
        <v>0</v>
      </c>
      <c r="L10" s="116">
        <f>VLOOKUP(V10,'FS Data'!$A:$B,2,FALSE)</f>
        <v>0</v>
      </c>
      <c r="M10" s="117">
        <f>VLOOKUP(W10,'FS Data'!$A:$B,2,FALSE)</f>
        <v>0</v>
      </c>
      <c r="N10" s="16">
        <v>7</v>
      </c>
      <c r="P10" s="138">
        <v>300704</v>
      </c>
      <c r="Q10" s="138">
        <v>300706</v>
      </c>
      <c r="R10" s="138">
        <v>300708</v>
      </c>
      <c r="S10" s="138">
        <v>300710</v>
      </c>
      <c r="T10" s="138">
        <v>300712</v>
      </c>
      <c r="U10" s="138">
        <v>300714</v>
      </c>
      <c r="V10" s="138">
        <v>300716</v>
      </c>
      <c r="W10" s="138">
        <v>300718</v>
      </c>
    </row>
    <row r="11" spans="1:23" ht="18.75" customHeight="1" x14ac:dyDescent="0.25">
      <c r="B11" s="13">
        <v>8</v>
      </c>
      <c r="C11" s="354" t="s">
        <v>456</v>
      </c>
      <c r="D11" s="584"/>
      <c r="E11" s="285">
        <v>17</v>
      </c>
      <c r="F11" s="116">
        <f>VLOOKUP(P11,'FS Data'!$A:$B,2,FALSE)</f>
        <v>-1845</v>
      </c>
      <c r="G11" s="117">
        <f>VLOOKUP(Q11,'FS Data'!$A:$B,2,FALSE)</f>
        <v>-1845</v>
      </c>
      <c r="H11" s="116">
        <f>VLOOKUP(R11,'FS Data'!$A:$B,2,FALSE)</f>
        <v>0</v>
      </c>
      <c r="I11" s="117">
        <f>VLOOKUP(S11,'FS Data'!$A:$B,2,FALSE)</f>
        <v>0</v>
      </c>
      <c r="J11" s="116">
        <f>VLOOKUP(T11,'FS Data'!$A:$B,2,FALSE)</f>
        <v>0</v>
      </c>
      <c r="K11" s="117">
        <f>VLOOKUP(U11,'FS Data'!$A:$B,2,FALSE)</f>
        <v>0</v>
      </c>
      <c r="L11" s="116">
        <f>VLOOKUP(V11,'FS Data'!$A:$B,2,FALSE)</f>
        <v>0</v>
      </c>
      <c r="M11" s="117">
        <f>VLOOKUP(W11,'FS Data'!$A:$B,2,FALSE)</f>
        <v>0</v>
      </c>
      <c r="N11" s="16">
        <v>8</v>
      </c>
      <c r="P11" s="138">
        <v>300804</v>
      </c>
      <c r="Q11" s="138">
        <v>300806</v>
      </c>
      <c r="R11" s="138">
        <v>300808</v>
      </c>
      <c r="S11" s="138">
        <v>300810</v>
      </c>
      <c r="T11" s="138">
        <v>300812</v>
      </c>
      <c r="U11" s="138">
        <v>300814</v>
      </c>
      <c r="V11" s="138">
        <v>300816</v>
      </c>
      <c r="W11" s="138">
        <v>300818</v>
      </c>
    </row>
    <row r="12" spans="1:23" ht="18.75" customHeight="1" x14ac:dyDescent="0.25">
      <c r="B12" s="13">
        <v>9</v>
      </c>
      <c r="C12" s="354" t="s">
        <v>457</v>
      </c>
      <c r="D12" s="584"/>
      <c r="E12" s="285">
        <v>19</v>
      </c>
      <c r="F12" s="118">
        <f>VLOOKUP(P12,'FS Data'!$A:$B,2,FALSE)</f>
        <v>1400</v>
      </c>
      <c r="G12" s="119">
        <f>VLOOKUP(Q12,'FS Data'!$A:$B,2,FALSE)</f>
        <v>1400</v>
      </c>
      <c r="H12" s="118">
        <f>VLOOKUP(R12,'FS Data'!$A:$B,2,FALSE)</f>
        <v>1000</v>
      </c>
      <c r="I12" s="119">
        <f>VLOOKUP(S12,'FS Data'!$A:$B,2,FALSE)</f>
        <v>1000</v>
      </c>
      <c r="J12" s="118">
        <f>VLOOKUP(T12,'FS Data'!$A:$B,2,FALSE)</f>
        <v>0</v>
      </c>
      <c r="K12" s="119">
        <f>VLOOKUP(U12,'FS Data'!$A:$B,2,FALSE)</f>
        <v>0</v>
      </c>
      <c r="L12" s="118">
        <f>VLOOKUP(V12,'FS Data'!$A:$B,2,FALSE)</f>
        <v>0</v>
      </c>
      <c r="M12" s="119">
        <f>VLOOKUP(W12,'FS Data'!$A:$B,2,FALSE)</f>
        <v>0</v>
      </c>
      <c r="N12" s="16">
        <v>9</v>
      </c>
      <c r="P12" s="138">
        <v>300904</v>
      </c>
      <c r="Q12" s="138">
        <v>300906</v>
      </c>
      <c r="R12" s="138">
        <v>300908</v>
      </c>
      <c r="S12" s="138">
        <v>300910</v>
      </c>
      <c r="T12" s="138">
        <v>300912</v>
      </c>
      <c r="U12" s="138">
        <v>300914</v>
      </c>
      <c r="V12" s="138">
        <v>300916</v>
      </c>
      <c r="W12" s="138">
        <v>300918</v>
      </c>
    </row>
    <row r="13" spans="1:23" ht="18.75" customHeight="1" x14ac:dyDescent="0.25">
      <c r="B13" s="13">
        <v>10</v>
      </c>
      <c r="C13" s="354" t="s">
        <v>458</v>
      </c>
      <c r="D13" s="584"/>
      <c r="E13" s="285">
        <v>18</v>
      </c>
      <c r="F13" s="116">
        <f>VLOOKUP(P13,'FS Data'!$A:$B,2,FALSE)</f>
        <v>21237</v>
      </c>
      <c r="G13" s="117">
        <f>VLOOKUP(Q13,'FS Data'!$A:$B,2,FALSE)</f>
        <v>21237</v>
      </c>
      <c r="H13" s="116">
        <f>VLOOKUP(R13,'FS Data'!$A:$B,2,FALSE)</f>
        <v>3963</v>
      </c>
      <c r="I13" s="117">
        <f>VLOOKUP(S13,'FS Data'!$A:$B,2,FALSE)</f>
        <v>3963</v>
      </c>
      <c r="J13" s="116">
        <f>VLOOKUP(T13,'FS Data'!$A:$B,2,FALSE)</f>
        <v>0</v>
      </c>
      <c r="K13" s="117">
        <f>VLOOKUP(U13,'FS Data'!$A:$B,2,FALSE)</f>
        <v>0</v>
      </c>
      <c r="L13" s="116">
        <f>VLOOKUP(V13,'FS Data'!$A:$B,2,FALSE)</f>
        <v>0</v>
      </c>
      <c r="M13" s="117">
        <f>VLOOKUP(W13,'FS Data'!$A:$B,2,FALSE)</f>
        <v>0</v>
      </c>
      <c r="N13" s="16">
        <v>10</v>
      </c>
      <c r="P13" s="138">
        <v>301004</v>
      </c>
      <c r="Q13" s="138">
        <v>301006</v>
      </c>
      <c r="R13" s="138">
        <v>301008</v>
      </c>
      <c r="S13" s="138">
        <v>301010</v>
      </c>
      <c r="T13" s="138">
        <v>301012</v>
      </c>
      <c r="U13" s="138">
        <v>301014</v>
      </c>
      <c r="V13" s="138">
        <v>301016</v>
      </c>
      <c r="W13" s="138">
        <v>301018</v>
      </c>
    </row>
    <row r="14" spans="1:23" ht="18.75" customHeight="1" thickBot="1" x14ac:dyDescent="0.3">
      <c r="B14" s="13">
        <v>11</v>
      </c>
      <c r="C14" s="354" t="s">
        <v>459</v>
      </c>
      <c r="D14" s="584"/>
      <c r="E14" s="285">
        <v>15</v>
      </c>
      <c r="F14" s="142">
        <f>VLOOKUP(P14,'FS Data'!$A:$B,2,FALSE)</f>
        <v>0</v>
      </c>
      <c r="G14" s="143">
        <f>VLOOKUP(Q14,'FS Data'!$A:$B,2,FALSE)</f>
        <v>0</v>
      </c>
      <c r="H14" s="142">
        <f>VLOOKUP(R14,'FS Data'!$A:$B,2,FALSE)</f>
        <v>0</v>
      </c>
      <c r="I14" s="143">
        <f>VLOOKUP(S14,'FS Data'!$A:$B,2,FALSE)</f>
        <v>0</v>
      </c>
      <c r="J14" s="142">
        <f>VLOOKUP(T14,'FS Data'!$A:$B,2,FALSE)</f>
        <v>0</v>
      </c>
      <c r="K14" s="143">
        <f>VLOOKUP(U14,'FS Data'!$A:$B,2,FALSE)</f>
        <v>0</v>
      </c>
      <c r="L14" s="142">
        <f>VLOOKUP(V14,'FS Data'!$A:$B,2,FALSE)</f>
        <v>0</v>
      </c>
      <c r="M14" s="143">
        <f>VLOOKUP(W14,'FS Data'!$A:$B,2,FALSE)</f>
        <v>0</v>
      </c>
      <c r="N14" s="16">
        <v>11</v>
      </c>
      <c r="P14" s="138">
        <v>301104</v>
      </c>
      <c r="Q14" s="138">
        <v>301106</v>
      </c>
      <c r="R14" s="138">
        <v>301108</v>
      </c>
      <c r="S14" s="138">
        <v>301110</v>
      </c>
      <c r="T14" s="138">
        <v>301112</v>
      </c>
      <c r="U14" s="138">
        <v>301114</v>
      </c>
      <c r="V14" s="138">
        <v>301116</v>
      </c>
      <c r="W14" s="138">
        <v>301118</v>
      </c>
    </row>
    <row r="15" spans="1:23" ht="21.6" customHeight="1" thickBot="1" x14ac:dyDescent="0.3">
      <c r="B15" s="13">
        <v>12</v>
      </c>
      <c r="C15" s="808" t="s">
        <v>526</v>
      </c>
      <c r="D15" s="809"/>
      <c r="E15" s="810"/>
      <c r="F15" s="144">
        <f>VLOOKUP(P15,'FS Data'!$A:$B,2,FALSE)</f>
        <v>47892</v>
      </c>
      <c r="G15" s="145">
        <f>VLOOKUP(Q15,'FS Data'!$A:$B,2,FALSE)</f>
        <v>47892</v>
      </c>
      <c r="H15" s="144">
        <f>VLOOKUP(R15,'FS Data'!$A:$B,2,FALSE)</f>
        <v>25437</v>
      </c>
      <c r="I15" s="145">
        <f>VLOOKUP(S15,'FS Data'!$A:$B,2,FALSE)</f>
        <v>25437</v>
      </c>
      <c r="J15" s="144">
        <f>VLOOKUP(T15,'FS Data'!$A:$B,2,FALSE)</f>
        <v>0</v>
      </c>
      <c r="K15" s="145">
        <f>VLOOKUP(U15,'FS Data'!$A:$B,2,FALSE)</f>
        <v>0</v>
      </c>
      <c r="L15" s="144">
        <f>VLOOKUP(V15,'FS Data'!$A:$B,2,FALSE)</f>
        <v>0</v>
      </c>
      <c r="M15" s="145">
        <f>VLOOKUP(W15,'FS Data'!$A:$B,2,FALSE)</f>
        <v>0</v>
      </c>
      <c r="N15" s="16">
        <v>12</v>
      </c>
      <c r="P15" s="138">
        <v>301204</v>
      </c>
      <c r="Q15" s="138">
        <v>301206</v>
      </c>
      <c r="R15" s="138">
        <v>301208</v>
      </c>
      <c r="S15" s="138">
        <v>301210</v>
      </c>
      <c r="T15" s="138">
        <v>301212</v>
      </c>
      <c r="U15" s="138">
        <v>301214</v>
      </c>
      <c r="V15" s="138">
        <v>301216</v>
      </c>
      <c r="W15" s="138">
        <v>301218</v>
      </c>
    </row>
    <row r="16" spans="1:23" ht="18.75" customHeight="1" x14ac:dyDescent="0.25">
      <c r="B16" s="13">
        <v>13</v>
      </c>
      <c r="C16" s="354" t="s">
        <v>461</v>
      </c>
      <c r="D16" s="584"/>
      <c r="E16" s="285">
        <v>20</v>
      </c>
      <c r="F16" s="116">
        <f>VLOOKUP(P16,'FS Data'!$A:$B,2,FALSE)</f>
        <v>6723</v>
      </c>
      <c r="G16" s="117">
        <f>VLOOKUP(Q16,'FS Data'!$A:$B,2,FALSE)</f>
        <v>6723</v>
      </c>
      <c r="H16" s="116">
        <f>VLOOKUP(R16,'FS Data'!$A:$B,2,FALSE)</f>
        <v>1494</v>
      </c>
      <c r="I16" s="117">
        <f>VLOOKUP(S16,'FS Data'!$A:$B,2,FALSE)</f>
        <v>1494</v>
      </c>
      <c r="J16" s="116">
        <f>VLOOKUP(T16,'FS Data'!$A:$B,2,FALSE)</f>
        <v>0</v>
      </c>
      <c r="K16" s="117">
        <f>VLOOKUP(U16,'FS Data'!$A:$B,2,FALSE)</f>
        <v>0</v>
      </c>
      <c r="L16" s="116">
        <f>VLOOKUP(V16,'FS Data'!$A:$B,2,FALSE)</f>
        <v>0</v>
      </c>
      <c r="M16" s="117">
        <f>VLOOKUP(W16,'FS Data'!$A:$B,2,FALSE)</f>
        <v>0</v>
      </c>
      <c r="N16" s="16">
        <v>13</v>
      </c>
      <c r="P16" s="138">
        <v>301304</v>
      </c>
      <c r="Q16" s="138">
        <v>301306</v>
      </c>
      <c r="R16" s="138">
        <v>301308</v>
      </c>
      <c r="S16" s="138">
        <v>301310</v>
      </c>
      <c r="T16" s="138">
        <v>301312</v>
      </c>
      <c r="U16" s="138">
        <v>301314</v>
      </c>
      <c r="V16" s="138">
        <v>301316</v>
      </c>
      <c r="W16" s="138">
        <v>301318</v>
      </c>
    </row>
    <row r="17" spans="2:23" ht="18.75" customHeight="1" x14ac:dyDescent="0.25">
      <c r="B17" s="13">
        <v>14</v>
      </c>
      <c r="C17" s="354" t="s">
        <v>75</v>
      </c>
      <c r="D17" s="584"/>
      <c r="E17" s="285">
        <v>21</v>
      </c>
      <c r="F17" s="116">
        <f>VLOOKUP(P17,'FS Data'!$A:$B,2,FALSE)</f>
        <v>12894</v>
      </c>
      <c r="G17" s="117">
        <f>VLOOKUP(Q17,'FS Data'!$A:$B,2,FALSE)</f>
        <v>12894</v>
      </c>
      <c r="H17" s="116">
        <f>VLOOKUP(R17,'FS Data'!$A:$B,2,FALSE)</f>
        <v>4942</v>
      </c>
      <c r="I17" s="117">
        <f>VLOOKUP(S17,'FS Data'!$A:$B,2,FALSE)</f>
        <v>4942</v>
      </c>
      <c r="J17" s="116">
        <f>VLOOKUP(T17,'FS Data'!$A:$B,2,FALSE)</f>
        <v>0</v>
      </c>
      <c r="K17" s="117">
        <f>VLOOKUP(U17,'FS Data'!$A:$B,2,FALSE)</f>
        <v>0</v>
      </c>
      <c r="L17" s="116">
        <f>VLOOKUP(V17,'FS Data'!$A:$B,2,FALSE)</f>
        <v>0</v>
      </c>
      <c r="M17" s="117">
        <f>VLOOKUP(W17,'FS Data'!$A:$B,2,FALSE)</f>
        <v>0</v>
      </c>
      <c r="N17" s="16">
        <v>14</v>
      </c>
      <c r="P17" s="138">
        <v>301404</v>
      </c>
      <c r="Q17" s="138">
        <v>301406</v>
      </c>
      <c r="R17" s="138">
        <v>301408</v>
      </c>
      <c r="S17" s="138">
        <v>301410</v>
      </c>
      <c r="T17" s="138">
        <v>301412</v>
      </c>
      <c r="U17" s="138">
        <v>301414</v>
      </c>
      <c r="V17" s="138">
        <v>301416</v>
      </c>
      <c r="W17" s="138">
        <v>301418</v>
      </c>
    </row>
    <row r="18" spans="2:23" ht="18.75" customHeight="1" x14ac:dyDescent="0.25">
      <c r="B18" s="13">
        <v>15</v>
      </c>
      <c r="C18" s="354" t="s">
        <v>462</v>
      </c>
      <c r="D18" s="584"/>
      <c r="E18" s="285">
        <v>22</v>
      </c>
      <c r="F18" s="116">
        <f>VLOOKUP(P18,'FS Data'!$A:$B,2,FALSE)</f>
        <v>10751</v>
      </c>
      <c r="G18" s="117">
        <f>VLOOKUP(Q18,'FS Data'!$A:$B,2,FALSE)</f>
        <v>10751</v>
      </c>
      <c r="H18" s="116">
        <f>VLOOKUP(R18,'FS Data'!$A:$B,2,FALSE)</f>
        <v>3722</v>
      </c>
      <c r="I18" s="117">
        <f>VLOOKUP(S18,'FS Data'!$A:$B,2,FALSE)</f>
        <v>3722</v>
      </c>
      <c r="J18" s="116">
        <f>VLOOKUP(T18,'FS Data'!$A:$B,2,FALSE)</f>
        <v>0</v>
      </c>
      <c r="K18" s="117">
        <f>VLOOKUP(U18,'FS Data'!$A:$B,2,FALSE)</f>
        <v>0</v>
      </c>
      <c r="L18" s="116">
        <f>VLOOKUP(V18,'FS Data'!$A:$B,2,FALSE)</f>
        <v>0</v>
      </c>
      <c r="M18" s="117">
        <f>VLOOKUP(W18,'FS Data'!$A:$B,2,FALSE)</f>
        <v>0</v>
      </c>
      <c r="N18" s="16">
        <v>15</v>
      </c>
      <c r="P18" s="138">
        <v>301504</v>
      </c>
      <c r="Q18" s="138">
        <v>301506</v>
      </c>
      <c r="R18" s="138">
        <v>301508</v>
      </c>
      <c r="S18" s="138">
        <v>301510</v>
      </c>
      <c r="T18" s="138">
        <v>301512</v>
      </c>
      <c r="U18" s="138">
        <v>301514</v>
      </c>
      <c r="V18" s="138">
        <v>301516</v>
      </c>
      <c r="W18" s="138">
        <v>301518</v>
      </c>
    </row>
    <row r="19" spans="2:23" ht="18.75" customHeight="1" x14ac:dyDescent="0.25">
      <c r="B19" s="13">
        <v>16</v>
      </c>
      <c r="C19" s="354" t="s">
        <v>463</v>
      </c>
      <c r="D19" s="584"/>
      <c r="E19" s="285">
        <v>26</v>
      </c>
      <c r="F19" s="116">
        <f>VLOOKUP(P19,'FS Data'!$A:$B,2,FALSE)</f>
        <v>0</v>
      </c>
      <c r="G19" s="117">
        <f>VLOOKUP(Q19,'FS Data'!$A:$B,2,FALSE)</f>
        <v>0</v>
      </c>
      <c r="H19" s="116">
        <f>VLOOKUP(R19,'FS Data'!$A:$B,2,FALSE)</f>
        <v>0</v>
      </c>
      <c r="I19" s="117">
        <f>VLOOKUP(S19,'FS Data'!$A:$B,2,FALSE)</f>
        <v>0</v>
      </c>
      <c r="J19" s="116">
        <f>VLOOKUP(T19,'FS Data'!$A:$B,2,FALSE)</f>
        <v>0</v>
      </c>
      <c r="K19" s="117">
        <f>VLOOKUP(U19,'FS Data'!$A:$B,2,FALSE)</f>
        <v>0</v>
      </c>
      <c r="L19" s="116">
        <f>VLOOKUP(V19,'FS Data'!$A:$B,2,FALSE)</f>
        <v>0</v>
      </c>
      <c r="M19" s="117">
        <f>VLOOKUP(W19,'FS Data'!$A:$B,2,FALSE)</f>
        <v>0</v>
      </c>
      <c r="N19" s="16">
        <v>16</v>
      </c>
      <c r="P19" s="138">
        <v>301604</v>
      </c>
      <c r="Q19" s="138">
        <v>301606</v>
      </c>
      <c r="R19" s="138">
        <v>301608</v>
      </c>
      <c r="S19" s="138">
        <v>301610</v>
      </c>
      <c r="T19" s="138">
        <v>301612</v>
      </c>
      <c r="U19" s="138">
        <v>301614</v>
      </c>
      <c r="V19" s="138">
        <v>301616</v>
      </c>
      <c r="W19" s="138">
        <v>301618</v>
      </c>
    </row>
    <row r="20" spans="2:23" ht="18.75" customHeight="1" x14ac:dyDescent="0.25">
      <c r="B20" s="13">
        <v>17</v>
      </c>
      <c r="C20" s="354" t="s">
        <v>464</v>
      </c>
      <c r="D20" s="584"/>
      <c r="E20" s="285">
        <v>23</v>
      </c>
      <c r="F20" s="116">
        <f>VLOOKUP(P20,'FS Data'!$A:$B,2,FALSE)</f>
        <v>342</v>
      </c>
      <c r="G20" s="117">
        <f>VLOOKUP(Q20,'FS Data'!$A:$B,2,FALSE)</f>
        <v>342</v>
      </c>
      <c r="H20" s="116">
        <f>VLOOKUP(R20,'FS Data'!$A:$B,2,FALSE)</f>
        <v>2809</v>
      </c>
      <c r="I20" s="117">
        <f>VLOOKUP(S20,'FS Data'!$A:$B,2,FALSE)</f>
        <v>2809</v>
      </c>
      <c r="J20" s="116">
        <f>VLOOKUP(T20,'FS Data'!$A:$B,2,FALSE)</f>
        <v>0</v>
      </c>
      <c r="K20" s="117">
        <f>VLOOKUP(U20,'FS Data'!$A:$B,2,FALSE)</f>
        <v>0</v>
      </c>
      <c r="L20" s="116">
        <f>VLOOKUP(V20,'FS Data'!$A:$B,2,FALSE)</f>
        <v>0</v>
      </c>
      <c r="M20" s="117">
        <f>VLOOKUP(W20,'FS Data'!$A:$B,2,FALSE)</f>
        <v>0</v>
      </c>
      <c r="N20" s="16">
        <v>17</v>
      </c>
      <c r="P20" s="138">
        <v>301704</v>
      </c>
      <c r="Q20" s="138">
        <v>301706</v>
      </c>
      <c r="R20" s="138">
        <v>301708</v>
      </c>
      <c r="S20" s="138">
        <v>301710</v>
      </c>
      <c r="T20" s="138">
        <v>301712</v>
      </c>
      <c r="U20" s="138">
        <v>301714</v>
      </c>
      <c r="V20" s="138">
        <v>301716</v>
      </c>
      <c r="W20" s="138">
        <v>301718</v>
      </c>
    </row>
    <row r="21" spans="2:23" ht="18.75" customHeight="1" x14ac:dyDescent="0.25">
      <c r="B21" s="13">
        <v>18</v>
      </c>
      <c r="C21" s="779" t="s">
        <v>465</v>
      </c>
      <c r="D21" s="810"/>
      <c r="E21" s="285">
        <v>24</v>
      </c>
      <c r="F21" s="116">
        <f>VLOOKUP(P21,'FS Data'!$A:$B,2,FALSE)</f>
        <v>12038</v>
      </c>
      <c r="G21" s="117">
        <f>VLOOKUP(Q21,'FS Data'!$A:$B,2,FALSE)</f>
        <v>12038</v>
      </c>
      <c r="H21" s="116">
        <f>VLOOKUP(R21,'FS Data'!$A:$B,2,FALSE)</f>
        <v>6169</v>
      </c>
      <c r="I21" s="117">
        <f>VLOOKUP(S21,'FS Data'!$A:$B,2,FALSE)</f>
        <v>6169</v>
      </c>
      <c r="J21" s="116">
        <f>VLOOKUP(T21,'FS Data'!$A:$B,2,FALSE)</f>
        <v>0</v>
      </c>
      <c r="K21" s="117">
        <f>VLOOKUP(U21,'FS Data'!$A:$B,2,FALSE)</f>
        <v>0</v>
      </c>
      <c r="L21" s="116">
        <f>VLOOKUP(V21,'FS Data'!$A:$B,2,FALSE)</f>
        <v>0</v>
      </c>
      <c r="M21" s="117">
        <f>VLOOKUP(W21,'FS Data'!$A:$B,2,FALSE)</f>
        <v>0</v>
      </c>
      <c r="N21" s="16">
        <v>18</v>
      </c>
      <c r="P21" s="138">
        <v>301804</v>
      </c>
      <c r="Q21" s="138">
        <v>301806</v>
      </c>
      <c r="R21" s="138">
        <v>301808</v>
      </c>
      <c r="S21" s="138">
        <v>301810</v>
      </c>
      <c r="T21" s="138">
        <v>301812</v>
      </c>
      <c r="U21" s="138">
        <v>301814</v>
      </c>
      <c r="V21" s="138">
        <v>301816</v>
      </c>
      <c r="W21" s="138">
        <v>301818</v>
      </c>
    </row>
    <row r="22" spans="2:23" ht="18.75" customHeight="1" x14ac:dyDescent="0.25">
      <c r="B22" s="13">
        <v>19</v>
      </c>
      <c r="C22" s="354" t="s">
        <v>466</v>
      </c>
      <c r="D22" s="584"/>
      <c r="E22" s="285">
        <v>25</v>
      </c>
      <c r="F22" s="116">
        <f>VLOOKUP(P22,'FS Data'!$A:$B,2,FALSE)</f>
        <v>13161</v>
      </c>
      <c r="G22" s="117">
        <f>VLOOKUP(Q22,'FS Data'!$A:$B,2,FALSE)</f>
        <v>13161</v>
      </c>
      <c r="H22" s="116">
        <f>VLOOKUP(R22,'FS Data'!$A:$B,2,FALSE)</f>
        <v>5633</v>
      </c>
      <c r="I22" s="117">
        <f>VLOOKUP(S22,'FS Data'!$A:$B,2,FALSE)</f>
        <v>5633</v>
      </c>
      <c r="J22" s="116">
        <f>VLOOKUP(T22,'FS Data'!$A:$B,2,FALSE)</f>
        <v>0</v>
      </c>
      <c r="K22" s="117">
        <f>VLOOKUP(U22,'FS Data'!$A:$B,2,FALSE)</f>
        <v>0</v>
      </c>
      <c r="L22" s="116">
        <f>VLOOKUP(V22,'FS Data'!$A:$B,2,FALSE)</f>
        <v>0</v>
      </c>
      <c r="M22" s="117">
        <f>VLOOKUP(W22,'FS Data'!$A:$B,2,FALSE)</f>
        <v>0</v>
      </c>
      <c r="N22" s="16">
        <v>19</v>
      </c>
      <c r="P22" s="138">
        <v>301904</v>
      </c>
      <c r="Q22" s="138">
        <v>301906</v>
      </c>
      <c r="R22" s="138">
        <v>301908</v>
      </c>
      <c r="S22" s="138">
        <v>301910</v>
      </c>
      <c r="T22" s="138">
        <v>301912</v>
      </c>
      <c r="U22" s="138">
        <v>301914</v>
      </c>
      <c r="V22" s="138">
        <v>301916</v>
      </c>
      <c r="W22" s="138">
        <v>301918</v>
      </c>
    </row>
    <row r="23" spans="2:23" ht="18.75" customHeight="1" x14ac:dyDescent="0.25">
      <c r="B23" s="13">
        <v>20</v>
      </c>
      <c r="C23" s="354" t="s">
        <v>467</v>
      </c>
      <c r="D23" s="584"/>
      <c r="E23" s="285">
        <v>27</v>
      </c>
      <c r="F23" s="116">
        <f>VLOOKUP(P23,'FS Data'!$A:$B,2,FALSE)</f>
        <v>5729</v>
      </c>
      <c r="G23" s="117">
        <f>VLOOKUP(Q23,'FS Data'!$A:$B,2,FALSE)</f>
        <v>5729</v>
      </c>
      <c r="H23" s="116">
        <f>VLOOKUP(R23,'FS Data'!$A:$B,2,FALSE)</f>
        <v>2784</v>
      </c>
      <c r="I23" s="117">
        <f>VLOOKUP(S23,'FS Data'!$A:$B,2,FALSE)</f>
        <v>2784</v>
      </c>
      <c r="J23" s="116">
        <f>VLOOKUP(T23,'FS Data'!$A:$B,2,FALSE)</f>
        <v>0</v>
      </c>
      <c r="K23" s="117">
        <f>VLOOKUP(U23,'FS Data'!$A:$B,2,FALSE)</f>
        <v>0</v>
      </c>
      <c r="L23" s="116">
        <f>VLOOKUP(V23,'FS Data'!$A:$B,2,FALSE)</f>
        <v>0</v>
      </c>
      <c r="M23" s="117">
        <f>VLOOKUP(W23,'FS Data'!$A:$B,2,FALSE)</f>
        <v>0</v>
      </c>
      <c r="N23" s="16">
        <v>20</v>
      </c>
      <c r="P23" s="138">
        <v>302004</v>
      </c>
      <c r="Q23" s="138">
        <v>302006</v>
      </c>
      <c r="R23" s="138">
        <v>302008</v>
      </c>
      <c r="S23" s="138">
        <v>302010</v>
      </c>
      <c r="T23" s="138">
        <v>302012</v>
      </c>
      <c r="U23" s="138">
        <v>302014</v>
      </c>
      <c r="V23" s="138">
        <v>302016</v>
      </c>
      <c r="W23" s="138">
        <v>302018</v>
      </c>
    </row>
    <row r="24" spans="2:23" ht="18.75" customHeight="1" x14ac:dyDescent="0.25">
      <c r="B24" s="13">
        <v>21</v>
      </c>
      <c r="C24" s="354" t="s">
        <v>415</v>
      </c>
      <c r="D24" s="584"/>
      <c r="E24" s="285">
        <v>29</v>
      </c>
      <c r="F24" s="116">
        <f>VLOOKUP(P24,'FS Data'!$A:$B,2,FALSE)</f>
        <v>1785</v>
      </c>
      <c r="G24" s="117">
        <f>VLOOKUP(Q24,'FS Data'!$A:$B,2,FALSE)</f>
        <v>1785</v>
      </c>
      <c r="H24" s="116">
        <f>VLOOKUP(R24,'FS Data'!$A:$B,2,FALSE)</f>
        <v>874</v>
      </c>
      <c r="I24" s="117">
        <f>VLOOKUP(S24,'FS Data'!$A:$B,2,FALSE)</f>
        <v>874</v>
      </c>
      <c r="J24" s="116">
        <f>VLOOKUP(T24,'FS Data'!$A:$B,2,FALSE)</f>
        <v>0</v>
      </c>
      <c r="K24" s="117">
        <f>VLOOKUP(U24,'FS Data'!$A:$B,2,FALSE)</f>
        <v>0</v>
      </c>
      <c r="L24" s="116">
        <f>VLOOKUP(V24,'FS Data'!$A:$B,2,FALSE)</f>
        <v>0</v>
      </c>
      <c r="M24" s="117">
        <f>VLOOKUP(W24,'FS Data'!$A:$B,2,FALSE)</f>
        <v>0</v>
      </c>
      <c r="N24" s="16">
        <v>21</v>
      </c>
      <c r="P24" s="138">
        <v>302104</v>
      </c>
      <c r="Q24" s="138">
        <v>302106</v>
      </c>
      <c r="R24" s="138">
        <v>302108</v>
      </c>
      <c r="S24" s="138">
        <v>302110</v>
      </c>
      <c r="T24" s="138">
        <v>302112</v>
      </c>
      <c r="U24" s="138">
        <v>302114</v>
      </c>
      <c r="V24" s="138">
        <v>302116</v>
      </c>
      <c r="W24" s="138">
        <v>302118</v>
      </c>
    </row>
    <row r="25" spans="2:23" ht="18.75" customHeight="1" thickBot="1" x14ac:dyDescent="0.3">
      <c r="B25" s="13">
        <v>22</v>
      </c>
      <c r="C25" s="354" t="s">
        <v>468</v>
      </c>
      <c r="D25" s="584"/>
      <c r="E25" s="285">
        <v>30</v>
      </c>
      <c r="F25" s="142">
        <f>VLOOKUP(P25,'FS Data'!$A:$B,2,FALSE)</f>
        <v>0</v>
      </c>
      <c r="G25" s="143">
        <f>VLOOKUP(Q25,'FS Data'!$A:$B,2,FALSE)</f>
        <v>0</v>
      </c>
      <c r="H25" s="142">
        <f>VLOOKUP(R25,'FS Data'!$A:$B,2,FALSE)</f>
        <v>0</v>
      </c>
      <c r="I25" s="143">
        <f>VLOOKUP(S25,'FS Data'!$A:$B,2,FALSE)</f>
        <v>0</v>
      </c>
      <c r="J25" s="142">
        <f>VLOOKUP(T25,'FS Data'!$A:$B,2,FALSE)</f>
        <v>0</v>
      </c>
      <c r="K25" s="143">
        <f>VLOOKUP(U25,'FS Data'!$A:$B,2,FALSE)</f>
        <v>0</v>
      </c>
      <c r="L25" s="142">
        <f>VLOOKUP(V25,'FS Data'!$A:$B,2,FALSE)</f>
        <v>0</v>
      </c>
      <c r="M25" s="143">
        <f>VLOOKUP(W25,'FS Data'!$A:$B,2,FALSE)</f>
        <v>0</v>
      </c>
      <c r="N25" s="16">
        <v>22</v>
      </c>
      <c r="P25" s="138">
        <v>302204</v>
      </c>
      <c r="Q25" s="138">
        <v>302206</v>
      </c>
      <c r="R25" s="138">
        <v>302208</v>
      </c>
      <c r="S25" s="138">
        <v>302210</v>
      </c>
      <c r="T25" s="138">
        <v>302212</v>
      </c>
      <c r="U25" s="138">
        <v>302214</v>
      </c>
      <c r="V25" s="138">
        <v>302216</v>
      </c>
      <c r="W25" s="138">
        <v>302218</v>
      </c>
    </row>
    <row r="26" spans="2:23" ht="21.6" customHeight="1" thickBot="1" x14ac:dyDescent="0.3">
      <c r="B26" s="13">
        <v>23</v>
      </c>
      <c r="C26" s="808" t="s">
        <v>469</v>
      </c>
      <c r="D26" s="809"/>
      <c r="E26" s="810"/>
      <c r="F26" s="144">
        <f>VLOOKUP(P26,'FS Data'!$A:$B,2,FALSE)</f>
        <v>63423</v>
      </c>
      <c r="G26" s="145">
        <f>VLOOKUP(Q26,'FS Data'!$A:$B,2,FALSE)</f>
        <v>63423</v>
      </c>
      <c r="H26" s="144">
        <f>VLOOKUP(R26,'FS Data'!$A:$B,2,FALSE)</f>
        <v>28427</v>
      </c>
      <c r="I26" s="145">
        <f>VLOOKUP(S26,'FS Data'!$A:$B,2,FALSE)</f>
        <v>28427</v>
      </c>
      <c r="J26" s="144">
        <f>VLOOKUP(T26,'FS Data'!$A:$B,2,FALSE)</f>
        <v>0</v>
      </c>
      <c r="K26" s="145">
        <f>VLOOKUP(U26,'FS Data'!$A:$B,2,FALSE)</f>
        <v>0</v>
      </c>
      <c r="L26" s="144">
        <f>VLOOKUP(V26,'FS Data'!$A:$B,2,FALSE)</f>
        <v>0</v>
      </c>
      <c r="M26" s="145">
        <f>VLOOKUP(W26,'FS Data'!$A:$B,2,FALSE)</f>
        <v>0</v>
      </c>
      <c r="N26" s="16">
        <v>23</v>
      </c>
      <c r="P26" s="138">
        <v>302304</v>
      </c>
      <c r="Q26" s="138">
        <v>302306</v>
      </c>
      <c r="R26" s="138">
        <v>302308</v>
      </c>
      <c r="S26" s="138">
        <v>302310</v>
      </c>
      <c r="T26" s="138">
        <v>302312</v>
      </c>
      <c r="U26" s="138">
        <v>302314</v>
      </c>
      <c r="V26" s="138">
        <v>302316</v>
      </c>
      <c r="W26" s="138">
        <v>302318</v>
      </c>
    </row>
    <row r="27" spans="2:23" ht="18.75" customHeight="1" x14ac:dyDescent="0.25">
      <c r="B27" s="13">
        <v>24</v>
      </c>
      <c r="C27" s="354" t="s">
        <v>470</v>
      </c>
      <c r="D27" s="584"/>
      <c r="E27" s="285">
        <v>51</v>
      </c>
      <c r="F27" s="116">
        <f>VLOOKUP(P27,'FS Data'!$A:$B,2,FALSE)</f>
        <v>0</v>
      </c>
      <c r="G27" s="117">
        <f>VLOOKUP(Q27,'FS Data'!$A:$B,2,FALSE)</f>
        <v>0</v>
      </c>
      <c r="H27" s="116">
        <f>VLOOKUP(R27,'FS Data'!$A:$B,2,FALSE)</f>
        <v>0</v>
      </c>
      <c r="I27" s="117">
        <f>VLOOKUP(S27,'FS Data'!$A:$B,2,FALSE)</f>
        <v>0</v>
      </c>
      <c r="J27" s="116">
        <f>VLOOKUP(T27,'FS Data'!$A:$B,2,FALSE)</f>
        <v>0</v>
      </c>
      <c r="K27" s="117">
        <f>VLOOKUP(U27,'FS Data'!$A:$B,2,FALSE)</f>
        <v>0</v>
      </c>
      <c r="L27" s="116">
        <f>VLOOKUP(V27,'FS Data'!$A:$B,2,FALSE)</f>
        <v>0</v>
      </c>
      <c r="M27" s="117">
        <f>VLOOKUP(W27,'FS Data'!$A:$B,2,FALSE)</f>
        <v>0</v>
      </c>
      <c r="N27" s="16">
        <v>24</v>
      </c>
      <c r="P27" s="138">
        <v>302404</v>
      </c>
      <c r="Q27" s="138">
        <v>302406</v>
      </c>
      <c r="R27" s="138">
        <v>302408</v>
      </c>
      <c r="S27" s="138">
        <v>302410</v>
      </c>
      <c r="T27" s="138">
        <v>302412</v>
      </c>
      <c r="U27" s="138">
        <v>302414</v>
      </c>
      <c r="V27" s="138">
        <v>302416</v>
      </c>
      <c r="W27" s="138">
        <v>302418</v>
      </c>
    </row>
    <row r="28" spans="2:23" ht="18.75" customHeight="1" x14ac:dyDescent="0.25">
      <c r="B28" s="13">
        <v>25</v>
      </c>
      <c r="C28" s="354" t="s">
        <v>471</v>
      </c>
      <c r="D28" s="584"/>
      <c r="E28" s="285">
        <v>53</v>
      </c>
      <c r="F28" s="116">
        <f>VLOOKUP(P28,'FS Data'!$A:$B,2,FALSE)</f>
        <v>5500</v>
      </c>
      <c r="G28" s="117">
        <f>VLOOKUP(Q28,'FS Data'!$A:$B,2,FALSE)</f>
        <v>5500</v>
      </c>
      <c r="H28" s="116">
        <f>VLOOKUP(R28,'FS Data'!$A:$B,2,FALSE)</f>
        <v>1218</v>
      </c>
      <c r="I28" s="117">
        <f>VLOOKUP(S28,'FS Data'!$A:$B,2,FALSE)</f>
        <v>1218</v>
      </c>
      <c r="J28" s="116">
        <f>VLOOKUP(T28,'FS Data'!$A:$B,2,FALSE)</f>
        <v>0</v>
      </c>
      <c r="K28" s="117">
        <f>VLOOKUP(U28,'FS Data'!$A:$B,2,FALSE)</f>
        <v>0</v>
      </c>
      <c r="L28" s="116">
        <f>VLOOKUP(V28,'FS Data'!$A:$B,2,FALSE)</f>
        <v>0</v>
      </c>
      <c r="M28" s="117">
        <f>VLOOKUP(W28,'FS Data'!$A:$B,2,FALSE)</f>
        <v>0</v>
      </c>
      <c r="N28" s="16">
        <v>25</v>
      </c>
      <c r="P28" s="138">
        <v>302504</v>
      </c>
      <c r="Q28" s="138">
        <v>302506</v>
      </c>
      <c r="R28" s="138">
        <v>302508</v>
      </c>
      <c r="S28" s="138">
        <v>302510</v>
      </c>
      <c r="T28" s="138">
        <v>302512</v>
      </c>
      <c r="U28" s="138">
        <v>302514</v>
      </c>
      <c r="V28" s="138">
        <v>302516</v>
      </c>
      <c r="W28" s="138">
        <v>302518</v>
      </c>
    </row>
    <row r="29" spans="2:23" ht="18.75" customHeight="1" x14ac:dyDescent="0.25">
      <c r="B29" s="13">
        <v>26</v>
      </c>
      <c r="C29" s="354" t="s">
        <v>472</v>
      </c>
      <c r="D29" s="584"/>
      <c r="E29" s="285">
        <v>60</v>
      </c>
      <c r="F29" s="116">
        <f>VLOOKUP(P29,'FS Data'!$A:$B,2,FALSE)</f>
        <v>628</v>
      </c>
      <c r="G29" s="117">
        <f>VLOOKUP(Q29,'FS Data'!$A:$B,2,FALSE)</f>
        <v>628</v>
      </c>
      <c r="H29" s="116">
        <f>VLOOKUP(R29,'FS Data'!$A:$B,2,FALSE)</f>
        <v>300</v>
      </c>
      <c r="I29" s="117">
        <f>VLOOKUP(S29,'FS Data'!$A:$B,2,FALSE)</f>
        <v>300</v>
      </c>
      <c r="J29" s="116">
        <f>VLOOKUP(T29,'FS Data'!$A:$B,2,FALSE)</f>
        <v>0</v>
      </c>
      <c r="K29" s="117">
        <f>VLOOKUP(U29,'FS Data'!$A:$B,2,FALSE)</f>
        <v>0</v>
      </c>
      <c r="L29" s="116">
        <f>VLOOKUP(V29,'FS Data'!$A:$B,2,FALSE)</f>
        <v>0</v>
      </c>
      <c r="M29" s="117">
        <f>VLOOKUP(W29,'FS Data'!$A:$B,2,FALSE)</f>
        <v>0</v>
      </c>
      <c r="N29" s="16">
        <v>26</v>
      </c>
      <c r="P29" s="138">
        <v>302604</v>
      </c>
      <c r="Q29" s="138">
        <v>302606</v>
      </c>
      <c r="R29" s="138">
        <v>302608</v>
      </c>
      <c r="S29" s="138">
        <v>302610</v>
      </c>
      <c r="T29" s="138">
        <v>302612</v>
      </c>
      <c r="U29" s="138">
        <v>302614</v>
      </c>
      <c r="V29" s="138">
        <v>302616</v>
      </c>
      <c r="W29" s="138">
        <v>302618</v>
      </c>
    </row>
    <row r="30" spans="2:23" ht="18.75" customHeight="1" x14ac:dyDescent="0.25">
      <c r="B30" s="13">
        <v>27</v>
      </c>
      <c r="C30" s="354" t="s">
        <v>473</v>
      </c>
      <c r="D30" s="584"/>
      <c r="E30" s="285">
        <v>61</v>
      </c>
      <c r="F30" s="116">
        <f>VLOOKUP(P30,'FS Data'!$A:$B,2,FALSE)</f>
        <v>120</v>
      </c>
      <c r="G30" s="117">
        <f>VLOOKUP(Q30,'FS Data'!$A:$B,2,FALSE)</f>
        <v>120</v>
      </c>
      <c r="H30" s="116">
        <f>VLOOKUP(R30,'FS Data'!$A:$B,2,FALSE)</f>
        <v>80</v>
      </c>
      <c r="I30" s="117">
        <f>VLOOKUP(S30,'FS Data'!$A:$B,2,FALSE)</f>
        <v>80</v>
      </c>
      <c r="J30" s="116">
        <f>VLOOKUP(T30,'FS Data'!$A:$B,2,FALSE)</f>
        <v>0</v>
      </c>
      <c r="K30" s="117">
        <f>VLOOKUP(U30,'FS Data'!$A:$B,2,FALSE)</f>
        <v>0</v>
      </c>
      <c r="L30" s="116">
        <f>VLOOKUP(V30,'FS Data'!$A:$B,2,FALSE)</f>
        <v>0</v>
      </c>
      <c r="M30" s="117">
        <f>VLOOKUP(W30,'FS Data'!$A:$B,2,FALSE)</f>
        <v>0</v>
      </c>
      <c r="N30" s="16">
        <v>27</v>
      </c>
      <c r="P30" s="138">
        <v>302704</v>
      </c>
      <c r="Q30" s="138">
        <v>302706</v>
      </c>
      <c r="R30" s="138">
        <v>302708</v>
      </c>
      <c r="S30" s="138">
        <v>302710</v>
      </c>
      <c r="T30" s="138">
        <v>302712</v>
      </c>
      <c r="U30" s="138">
        <v>302714</v>
      </c>
      <c r="V30" s="138">
        <v>302716</v>
      </c>
      <c r="W30" s="138">
        <v>302718</v>
      </c>
    </row>
    <row r="31" spans="2:23" ht="18.75" customHeight="1" x14ac:dyDescent="0.25">
      <c r="B31" s="13">
        <v>28</v>
      </c>
      <c r="C31" s="354" t="s">
        <v>474</v>
      </c>
      <c r="D31" s="584"/>
      <c r="E31" s="285">
        <v>63</v>
      </c>
      <c r="F31" s="116">
        <f>VLOOKUP(P31,'FS Data'!$A:$B,2,FALSE)</f>
        <v>0</v>
      </c>
      <c r="G31" s="117">
        <f>VLOOKUP(Q31,'FS Data'!$A:$B,2,FALSE)</f>
        <v>0</v>
      </c>
      <c r="H31" s="116">
        <f>VLOOKUP(R31,'FS Data'!$A:$B,2,FALSE)</f>
        <v>0</v>
      </c>
      <c r="I31" s="117">
        <f>VLOOKUP(S31,'FS Data'!$A:$B,2,FALSE)</f>
        <v>0</v>
      </c>
      <c r="J31" s="116">
        <f>VLOOKUP(T31,'FS Data'!$A:$B,2,FALSE)</f>
        <v>0</v>
      </c>
      <c r="K31" s="117">
        <f>VLOOKUP(U31,'FS Data'!$A:$B,2,FALSE)</f>
        <v>0</v>
      </c>
      <c r="L31" s="116">
        <f>VLOOKUP(V31,'FS Data'!$A:$B,2,FALSE)</f>
        <v>0</v>
      </c>
      <c r="M31" s="117">
        <f>VLOOKUP(W31,'FS Data'!$A:$B,2,FALSE)</f>
        <v>0</v>
      </c>
      <c r="N31" s="16">
        <v>28</v>
      </c>
      <c r="P31" s="138">
        <v>302804</v>
      </c>
      <c r="Q31" s="138">
        <v>302806</v>
      </c>
      <c r="R31" s="138">
        <v>302808</v>
      </c>
      <c r="S31" s="138">
        <v>302810</v>
      </c>
      <c r="T31" s="138">
        <v>302812</v>
      </c>
      <c r="U31" s="138">
        <v>302814</v>
      </c>
      <c r="V31" s="138">
        <v>302816</v>
      </c>
      <c r="W31" s="138">
        <v>302818</v>
      </c>
    </row>
    <row r="32" spans="2:23" ht="18.75" customHeight="1" x14ac:dyDescent="0.25">
      <c r="B32" s="13">
        <v>29</v>
      </c>
      <c r="C32" s="354" t="s">
        <v>475</v>
      </c>
      <c r="D32" s="584"/>
      <c r="E32" s="285">
        <v>67</v>
      </c>
      <c r="F32" s="116">
        <f>VLOOKUP(P32,'FS Data'!$A:$B,2,FALSE)</f>
        <v>0</v>
      </c>
      <c r="G32" s="117">
        <f>VLOOKUP(Q32,'FS Data'!$A:$B,2,FALSE)</f>
        <v>0</v>
      </c>
      <c r="H32" s="116">
        <f>VLOOKUP(R32,'FS Data'!$A:$B,2,FALSE)</f>
        <v>0</v>
      </c>
      <c r="I32" s="117">
        <f>VLOOKUP(S32,'FS Data'!$A:$B,2,FALSE)</f>
        <v>0</v>
      </c>
      <c r="J32" s="116">
        <f>VLOOKUP(T32,'FS Data'!$A:$B,2,FALSE)</f>
        <v>0</v>
      </c>
      <c r="K32" s="117">
        <f>VLOOKUP(U32,'FS Data'!$A:$B,2,FALSE)</f>
        <v>0</v>
      </c>
      <c r="L32" s="116">
        <f>VLOOKUP(V32,'FS Data'!$A:$B,2,FALSE)</f>
        <v>0</v>
      </c>
      <c r="M32" s="117">
        <f>VLOOKUP(W32,'FS Data'!$A:$B,2,FALSE)</f>
        <v>0</v>
      </c>
      <c r="N32" s="16">
        <v>29</v>
      </c>
      <c r="P32" s="138">
        <v>302904</v>
      </c>
      <c r="Q32" s="138">
        <v>302906</v>
      </c>
      <c r="R32" s="138">
        <v>302908</v>
      </c>
      <c r="S32" s="138">
        <v>302910</v>
      </c>
      <c r="T32" s="138">
        <v>302912</v>
      </c>
      <c r="U32" s="138">
        <v>302914</v>
      </c>
      <c r="V32" s="138">
        <v>302916</v>
      </c>
      <c r="W32" s="138">
        <v>302918</v>
      </c>
    </row>
    <row r="33" spans="2:23" ht="18.75" customHeight="1" x14ac:dyDescent="0.25">
      <c r="B33" s="13">
        <v>30</v>
      </c>
      <c r="C33" s="354" t="s">
        <v>476</v>
      </c>
      <c r="D33" s="584"/>
      <c r="E33" s="285">
        <v>68</v>
      </c>
      <c r="F33" s="116">
        <f>VLOOKUP(P33,'FS Data'!$A:$B,2,FALSE)</f>
        <v>96</v>
      </c>
      <c r="G33" s="117">
        <f>VLOOKUP(Q33,'FS Data'!$A:$B,2,FALSE)</f>
        <v>96</v>
      </c>
      <c r="H33" s="116">
        <f>VLOOKUP(R33,'FS Data'!$A:$B,2,FALSE)</f>
        <v>1118</v>
      </c>
      <c r="I33" s="117">
        <f>VLOOKUP(S33,'FS Data'!$A:$B,2,FALSE)</f>
        <v>1118</v>
      </c>
      <c r="J33" s="116">
        <f>VLOOKUP(T33,'FS Data'!$A:$B,2,FALSE)</f>
        <v>0</v>
      </c>
      <c r="K33" s="117">
        <f>VLOOKUP(U33,'FS Data'!$A:$B,2,FALSE)</f>
        <v>0</v>
      </c>
      <c r="L33" s="116">
        <f>VLOOKUP(V33,'FS Data'!$A:$B,2,FALSE)</f>
        <v>0</v>
      </c>
      <c r="M33" s="117">
        <f>VLOOKUP(W33,'FS Data'!$A:$B,2,FALSE)</f>
        <v>0</v>
      </c>
      <c r="N33" s="16">
        <v>30</v>
      </c>
      <c r="P33" s="138">
        <v>303004</v>
      </c>
      <c r="Q33" s="138">
        <v>303006</v>
      </c>
      <c r="R33" s="138">
        <v>303008</v>
      </c>
      <c r="S33" s="138">
        <v>303010</v>
      </c>
      <c r="T33" s="138">
        <v>303012</v>
      </c>
      <c r="U33" s="138">
        <v>303014</v>
      </c>
      <c r="V33" s="138">
        <v>303016</v>
      </c>
      <c r="W33" s="138">
        <v>303018</v>
      </c>
    </row>
    <row r="34" spans="2:23" ht="18.75" customHeight="1" x14ac:dyDescent="0.25">
      <c r="B34" s="13">
        <v>31</v>
      </c>
      <c r="C34" s="354" t="s">
        <v>477</v>
      </c>
      <c r="D34" s="584"/>
      <c r="E34" s="285">
        <v>69</v>
      </c>
      <c r="F34" s="116">
        <f>VLOOKUP(P34,'FS Data'!$A:$B,2,FALSE)</f>
        <v>4596</v>
      </c>
      <c r="G34" s="117">
        <f>VLOOKUP(Q34,'FS Data'!$A:$B,2,FALSE)</f>
        <v>4596</v>
      </c>
      <c r="H34" s="116">
        <f>VLOOKUP(R34,'FS Data'!$A:$B,2,FALSE)</f>
        <v>1550</v>
      </c>
      <c r="I34" s="117">
        <f>VLOOKUP(S34,'FS Data'!$A:$B,2,FALSE)</f>
        <v>1550</v>
      </c>
      <c r="J34" s="116">
        <f>VLOOKUP(T34,'FS Data'!$A:$B,2,FALSE)</f>
        <v>0</v>
      </c>
      <c r="K34" s="117">
        <f>VLOOKUP(U34,'FS Data'!$A:$B,2,FALSE)</f>
        <v>0</v>
      </c>
      <c r="L34" s="116">
        <f>VLOOKUP(V34,'FS Data'!$A:$B,2,FALSE)</f>
        <v>0</v>
      </c>
      <c r="M34" s="117">
        <f>VLOOKUP(W34,'FS Data'!$A:$B,2,FALSE)</f>
        <v>0</v>
      </c>
      <c r="N34" s="16">
        <v>31</v>
      </c>
      <c r="P34" s="138">
        <v>303104</v>
      </c>
      <c r="Q34" s="138">
        <v>303106</v>
      </c>
      <c r="R34" s="138">
        <v>303108</v>
      </c>
      <c r="S34" s="138">
        <v>303110</v>
      </c>
      <c r="T34" s="138">
        <v>303112</v>
      </c>
      <c r="U34" s="138">
        <v>303114</v>
      </c>
      <c r="V34" s="138">
        <v>303116</v>
      </c>
      <c r="W34" s="138">
        <v>303118</v>
      </c>
    </row>
    <row r="35" spans="2:23" ht="18.75" customHeight="1" x14ac:dyDescent="0.25">
      <c r="B35" s="13">
        <v>32</v>
      </c>
      <c r="C35" s="354" t="s">
        <v>478</v>
      </c>
      <c r="D35" s="584"/>
      <c r="E35" s="285">
        <v>70</v>
      </c>
      <c r="F35" s="116">
        <f>VLOOKUP(P35,'FS Data'!$A:$B,2,FALSE)</f>
        <v>3487</v>
      </c>
      <c r="G35" s="117">
        <f>VLOOKUP(Q35,'FS Data'!$A:$B,2,FALSE)</f>
        <v>3487</v>
      </c>
      <c r="H35" s="116">
        <f>VLOOKUP(R35,'FS Data'!$A:$B,2,FALSE)</f>
        <v>775</v>
      </c>
      <c r="I35" s="117">
        <f>VLOOKUP(S35,'FS Data'!$A:$B,2,FALSE)</f>
        <v>775</v>
      </c>
      <c r="J35" s="116">
        <f>VLOOKUP(T35,'FS Data'!$A:$B,2,FALSE)</f>
        <v>0</v>
      </c>
      <c r="K35" s="117">
        <f>VLOOKUP(U35,'FS Data'!$A:$B,2,FALSE)</f>
        <v>0</v>
      </c>
      <c r="L35" s="116">
        <f>VLOOKUP(V35,'FS Data'!$A:$B,2,FALSE)</f>
        <v>0</v>
      </c>
      <c r="M35" s="117">
        <f>VLOOKUP(W35,'FS Data'!$A:$B,2,FALSE)</f>
        <v>0</v>
      </c>
      <c r="N35" s="16">
        <v>32</v>
      </c>
      <c r="P35" s="138">
        <v>303204</v>
      </c>
      <c r="Q35" s="138">
        <v>303206</v>
      </c>
      <c r="R35" s="138">
        <v>303208</v>
      </c>
      <c r="S35" s="138">
        <v>303210</v>
      </c>
      <c r="T35" s="138">
        <v>303212</v>
      </c>
      <c r="U35" s="138">
        <v>303214</v>
      </c>
      <c r="V35" s="138">
        <v>303216</v>
      </c>
      <c r="W35" s="138">
        <v>303218</v>
      </c>
    </row>
    <row r="36" spans="2:23" ht="18.75" customHeight="1" x14ac:dyDescent="0.25">
      <c r="B36" s="13">
        <v>33</v>
      </c>
      <c r="C36" s="354" t="s">
        <v>479</v>
      </c>
      <c r="D36" s="584"/>
      <c r="E36" s="285">
        <v>71</v>
      </c>
      <c r="F36" s="116">
        <f>VLOOKUP(P36,'FS Data'!$A:$B,2,FALSE)</f>
        <v>725</v>
      </c>
      <c r="G36" s="117">
        <f>VLOOKUP(Q36,'FS Data'!$A:$B,2,FALSE)</f>
        <v>725</v>
      </c>
      <c r="H36" s="116">
        <f>VLOOKUP(R36,'FS Data'!$A:$B,2,FALSE)</f>
        <v>163</v>
      </c>
      <c r="I36" s="117">
        <f>VLOOKUP(S36,'FS Data'!$A:$B,2,FALSE)</f>
        <v>163</v>
      </c>
      <c r="J36" s="116">
        <f>VLOOKUP(T36,'FS Data'!$A:$B,2,FALSE)</f>
        <v>0</v>
      </c>
      <c r="K36" s="117">
        <f>VLOOKUP(U36,'FS Data'!$A:$B,2,FALSE)</f>
        <v>0</v>
      </c>
      <c r="L36" s="116">
        <f>VLOOKUP(V36,'FS Data'!$A:$B,2,FALSE)</f>
        <v>0</v>
      </c>
      <c r="M36" s="117">
        <f>VLOOKUP(W36,'FS Data'!$A:$B,2,FALSE)</f>
        <v>0</v>
      </c>
      <c r="N36" s="16">
        <v>33</v>
      </c>
      <c r="P36" s="138">
        <v>303304</v>
      </c>
      <c r="Q36" s="138">
        <v>303306</v>
      </c>
      <c r="R36" s="138">
        <v>303308</v>
      </c>
      <c r="S36" s="138">
        <v>303310</v>
      </c>
      <c r="T36" s="138">
        <v>303312</v>
      </c>
      <c r="U36" s="138">
        <v>303314</v>
      </c>
      <c r="V36" s="138">
        <v>303316</v>
      </c>
      <c r="W36" s="138">
        <v>303318</v>
      </c>
    </row>
    <row r="37" spans="2:23" ht="18.75" customHeight="1" x14ac:dyDescent="0.25">
      <c r="B37" s="13">
        <v>34</v>
      </c>
      <c r="C37" s="779" t="s">
        <v>480</v>
      </c>
      <c r="D37" s="810"/>
      <c r="E37" s="285">
        <v>72</v>
      </c>
      <c r="F37" s="116">
        <f>VLOOKUP(P37,'FS Data'!$A:$B,2,FALSE)</f>
        <v>159</v>
      </c>
      <c r="G37" s="117">
        <f>VLOOKUP(Q37,'FS Data'!$A:$B,2,FALSE)</f>
        <v>159</v>
      </c>
      <c r="H37" s="116">
        <f>VLOOKUP(R37,'FS Data'!$A:$B,2,FALSE)</f>
        <v>35</v>
      </c>
      <c r="I37" s="117">
        <f>VLOOKUP(S37,'FS Data'!$A:$B,2,FALSE)</f>
        <v>35</v>
      </c>
      <c r="J37" s="116">
        <f>VLOOKUP(T37,'FS Data'!$A:$B,2,FALSE)</f>
        <v>0</v>
      </c>
      <c r="K37" s="117">
        <f>VLOOKUP(U37,'FS Data'!$A:$B,2,FALSE)</f>
        <v>0</v>
      </c>
      <c r="L37" s="116">
        <f>VLOOKUP(V37,'FS Data'!$A:$B,2,FALSE)</f>
        <v>0</v>
      </c>
      <c r="M37" s="117">
        <f>VLOOKUP(W37,'FS Data'!$A:$B,2,FALSE)</f>
        <v>0</v>
      </c>
      <c r="N37" s="16">
        <v>34</v>
      </c>
      <c r="P37" s="138">
        <v>303404</v>
      </c>
      <c r="Q37" s="138">
        <v>303406</v>
      </c>
      <c r="R37" s="138">
        <v>303408</v>
      </c>
      <c r="S37" s="138">
        <v>303410</v>
      </c>
      <c r="T37" s="138">
        <v>303412</v>
      </c>
      <c r="U37" s="138">
        <v>303414</v>
      </c>
      <c r="V37" s="138">
        <v>303416</v>
      </c>
      <c r="W37" s="138">
        <v>303418</v>
      </c>
    </row>
    <row r="38" spans="2:23" ht="18.75" customHeight="1" x14ac:dyDescent="0.25">
      <c r="B38" s="13">
        <v>35</v>
      </c>
      <c r="C38" s="354" t="s">
        <v>481</v>
      </c>
      <c r="D38" s="584"/>
      <c r="E38" s="285">
        <v>74</v>
      </c>
      <c r="F38" s="116">
        <f>VLOOKUP(P38,'FS Data'!$A:$B,2,FALSE)</f>
        <v>2838</v>
      </c>
      <c r="G38" s="117">
        <f>VLOOKUP(Q38,'FS Data'!$A:$B,2,FALSE)</f>
        <v>2838</v>
      </c>
      <c r="H38" s="116">
        <f>VLOOKUP(R38,'FS Data'!$A:$B,2,FALSE)</f>
        <v>631</v>
      </c>
      <c r="I38" s="117">
        <f>VLOOKUP(S38,'FS Data'!$A:$B,2,FALSE)</f>
        <v>631</v>
      </c>
      <c r="J38" s="116">
        <f>VLOOKUP(T38,'FS Data'!$A:$B,2,FALSE)</f>
        <v>0</v>
      </c>
      <c r="K38" s="117">
        <f>VLOOKUP(U38,'FS Data'!$A:$B,2,FALSE)</f>
        <v>0</v>
      </c>
      <c r="L38" s="116">
        <f>VLOOKUP(V38,'FS Data'!$A:$B,2,FALSE)</f>
        <v>0</v>
      </c>
      <c r="M38" s="117">
        <f>VLOOKUP(W38,'FS Data'!$A:$B,2,FALSE)</f>
        <v>0</v>
      </c>
      <c r="N38" s="16">
        <v>35</v>
      </c>
      <c r="P38" s="138">
        <v>303504</v>
      </c>
      <c r="Q38" s="138">
        <v>303506</v>
      </c>
      <c r="R38" s="138">
        <v>303508</v>
      </c>
      <c r="S38" s="138">
        <v>303510</v>
      </c>
      <c r="T38" s="138">
        <v>303512</v>
      </c>
      <c r="U38" s="138">
        <v>303514</v>
      </c>
      <c r="V38" s="138">
        <v>303516</v>
      </c>
      <c r="W38" s="138">
        <v>303518</v>
      </c>
    </row>
    <row r="39" spans="2:23" ht="18.75" customHeight="1" x14ac:dyDescent="0.25">
      <c r="B39" s="13">
        <v>36</v>
      </c>
      <c r="C39" s="354" t="s">
        <v>482</v>
      </c>
      <c r="D39" s="584"/>
      <c r="E39" s="285">
        <v>75</v>
      </c>
      <c r="F39" s="116">
        <f>VLOOKUP(P39,'FS Data'!$A:$B,2,FALSE)</f>
        <v>528</v>
      </c>
      <c r="G39" s="117">
        <f>VLOOKUP(Q39,'FS Data'!$A:$B,2,FALSE)</f>
        <v>528</v>
      </c>
      <c r="H39" s="116">
        <f>VLOOKUP(R39,'FS Data'!$A:$B,2,FALSE)</f>
        <v>142</v>
      </c>
      <c r="I39" s="117">
        <f>VLOOKUP(S39,'FS Data'!$A:$B,2,FALSE)</f>
        <v>142</v>
      </c>
      <c r="J39" s="116">
        <f>VLOOKUP(T39,'FS Data'!$A:$B,2,FALSE)</f>
        <v>0</v>
      </c>
      <c r="K39" s="117">
        <f>VLOOKUP(U39,'FS Data'!$A:$B,2,FALSE)</f>
        <v>0</v>
      </c>
      <c r="L39" s="116">
        <f>VLOOKUP(V39,'FS Data'!$A:$B,2,FALSE)</f>
        <v>0</v>
      </c>
      <c r="M39" s="117">
        <f>VLOOKUP(W39,'FS Data'!$A:$B,2,FALSE)</f>
        <v>0</v>
      </c>
      <c r="N39" s="16">
        <v>36</v>
      </c>
      <c r="P39" s="138">
        <v>303604</v>
      </c>
      <c r="Q39" s="138">
        <v>303606</v>
      </c>
      <c r="R39" s="138">
        <v>303608</v>
      </c>
      <c r="S39" s="138">
        <v>303610</v>
      </c>
      <c r="T39" s="138">
        <v>303612</v>
      </c>
      <c r="U39" s="138">
        <v>303614</v>
      </c>
      <c r="V39" s="138">
        <v>303616</v>
      </c>
      <c r="W39" s="138">
        <v>303618</v>
      </c>
    </row>
    <row r="40" spans="2:23" ht="18.75" customHeight="1" x14ac:dyDescent="0.25">
      <c r="B40" s="13">
        <v>37</v>
      </c>
      <c r="C40" s="354" t="s">
        <v>483</v>
      </c>
      <c r="D40" s="584"/>
      <c r="E40" s="285">
        <v>76</v>
      </c>
      <c r="F40" s="116">
        <f>VLOOKUP(P40,'FS Data'!$A:$B,2,FALSE)</f>
        <v>141</v>
      </c>
      <c r="G40" s="117">
        <f>VLOOKUP(Q40,'FS Data'!$A:$B,2,FALSE)</f>
        <v>141</v>
      </c>
      <c r="H40" s="116">
        <f>VLOOKUP(R40,'FS Data'!$A:$B,2,FALSE)</f>
        <v>31</v>
      </c>
      <c r="I40" s="117">
        <f>VLOOKUP(S40,'FS Data'!$A:$B,2,FALSE)</f>
        <v>31</v>
      </c>
      <c r="J40" s="116">
        <f>VLOOKUP(T40,'FS Data'!$A:$B,2,FALSE)</f>
        <v>0</v>
      </c>
      <c r="K40" s="117">
        <f>VLOOKUP(U40,'FS Data'!$A:$B,2,FALSE)</f>
        <v>0</v>
      </c>
      <c r="L40" s="116">
        <f>VLOOKUP(V40,'FS Data'!$A:$B,2,FALSE)</f>
        <v>0</v>
      </c>
      <c r="M40" s="117">
        <f>VLOOKUP(W40,'FS Data'!$A:$B,2,FALSE)</f>
        <v>0</v>
      </c>
      <c r="N40" s="16">
        <v>37</v>
      </c>
      <c r="P40" s="138">
        <v>303704</v>
      </c>
      <c r="Q40" s="138">
        <v>303706</v>
      </c>
      <c r="R40" s="138">
        <v>303708</v>
      </c>
      <c r="S40" s="138">
        <v>303710</v>
      </c>
      <c r="T40" s="138">
        <v>303712</v>
      </c>
      <c r="U40" s="138">
        <v>303714</v>
      </c>
      <c r="V40" s="138">
        <v>303716</v>
      </c>
      <c r="W40" s="138">
        <v>303718</v>
      </c>
    </row>
    <row r="41" spans="2:23" ht="18.75" customHeight="1" x14ac:dyDescent="0.25">
      <c r="B41" s="13">
        <v>38</v>
      </c>
      <c r="C41" s="354" t="s">
        <v>484</v>
      </c>
      <c r="D41" s="584"/>
      <c r="E41" s="285">
        <v>77</v>
      </c>
      <c r="F41" s="116">
        <f>VLOOKUP(P41,'FS Data'!$A:$B,2,FALSE)</f>
        <v>523</v>
      </c>
      <c r="G41" s="117">
        <f>VLOOKUP(Q41,'FS Data'!$A:$B,2,FALSE)</f>
        <v>523</v>
      </c>
      <c r="H41" s="116">
        <f>VLOOKUP(R41,'FS Data'!$A:$B,2,FALSE)</f>
        <v>116</v>
      </c>
      <c r="I41" s="117">
        <f>VLOOKUP(S41,'FS Data'!$A:$B,2,FALSE)</f>
        <v>116</v>
      </c>
      <c r="J41" s="116">
        <f>VLOOKUP(T41,'FS Data'!$A:$B,2,FALSE)</f>
        <v>0</v>
      </c>
      <c r="K41" s="117">
        <f>VLOOKUP(U41,'FS Data'!$A:$B,2,FALSE)</f>
        <v>0</v>
      </c>
      <c r="L41" s="116">
        <f>VLOOKUP(V41,'FS Data'!$A:$B,2,FALSE)</f>
        <v>0</v>
      </c>
      <c r="M41" s="117">
        <f>VLOOKUP(W41,'FS Data'!$A:$B,2,FALSE)</f>
        <v>0</v>
      </c>
      <c r="N41" s="16">
        <v>38</v>
      </c>
      <c r="P41" s="138">
        <v>303804</v>
      </c>
      <c r="Q41" s="138">
        <v>303806</v>
      </c>
      <c r="R41" s="138">
        <v>303808</v>
      </c>
      <c r="S41" s="138">
        <v>303810</v>
      </c>
      <c r="T41" s="138">
        <v>303812</v>
      </c>
      <c r="U41" s="138">
        <v>303814</v>
      </c>
      <c r="V41" s="138">
        <v>303816</v>
      </c>
      <c r="W41" s="138">
        <v>303818</v>
      </c>
    </row>
    <row r="42" spans="2:23" ht="18.75" customHeight="1" x14ac:dyDescent="0.25">
      <c r="B42" s="13">
        <v>39</v>
      </c>
      <c r="C42" s="354" t="s">
        <v>485</v>
      </c>
      <c r="D42" s="584"/>
      <c r="E42" s="285">
        <v>78</v>
      </c>
      <c r="F42" s="116">
        <f>VLOOKUP(P42,'FS Data'!$A:$B,2,FALSE)</f>
        <v>111</v>
      </c>
      <c r="G42" s="117">
        <f>VLOOKUP(Q42,'FS Data'!$A:$B,2,FALSE)</f>
        <v>111</v>
      </c>
      <c r="H42" s="116">
        <f>VLOOKUP(R42,'FS Data'!$A:$B,2,FALSE)</f>
        <v>37</v>
      </c>
      <c r="I42" s="117">
        <f>VLOOKUP(S42,'FS Data'!$A:$B,2,FALSE)</f>
        <v>37</v>
      </c>
      <c r="J42" s="116">
        <f>VLOOKUP(T42,'FS Data'!$A:$B,2,FALSE)</f>
        <v>0</v>
      </c>
      <c r="K42" s="117">
        <f>VLOOKUP(U42,'FS Data'!$A:$B,2,FALSE)</f>
        <v>0</v>
      </c>
      <c r="L42" s="116">
        <f>VLOOKUP(V42,'FS Data'!$A:$B,2,FALSE)</f>
        <v>0</v>
      </c>
      <c r="M42" s="117">
        <f>VLOOKUP(W42,'FS Data'!$A:$B,2,FALSE)</f>
        <v>0</v>
      </c>
      <c r="N42" s="16">
        <v>39</v>
      </c>
      <c r="P42" s="138">
        <v>303904</v>
      </c>
      <c r="Q42" s="138">
        <v>303906</v>
      </c>
      <c r="R42" s="138">
        <v>303908</v>
      </c>
      <c r="S42" s="138">
        <v>303910</v>
      </c>
      <c r="T42" s="138">
        <v>303912</v>
      </c>
      <c r="U42" s="138">
        <v>303914</v>
      </c>
      <c r="V42" s="138">
        <v>303916</v>
      </c>
      <c r="W42" s="138">
        <v>303918</v>
      </c>
    </row>
    <row r="43" spans="2:23" ht="18.75" customHeight="1" x14ac:dyDescent="0.25">
      <c r="B43" s="13">
        <v>40</v>
      </c>
      <c r="C43" s="354" t="s">
        <v>486</v>
      </c>
      <c r="D43" s="584"/>
      <c r="E43" s="285">
        <v>79</v>
      </c>
      <c r="F43" s="116">
        <f>VLOOKUP(P43,'FS Data'!$A:$B,2,FALSE)</f>
        <v>0</v>
      </c>
      <c r="G43" s="117">
        <f>VLOOKUP(Q43,'FS Data'!$A:$B,2,FALSE)</f>
        <v>0</v>
      </c>
      <c r="H43" s="116">
        <f>VLOOKUP(R43,'FS Data'!$A:$B,2,FALSE)</f>
        <v>0</v>
      </c>
      <c r="I43" s="117">
        <f>VLOOKUP(S43,'FS Data'!$A:$B,2,FALSE)</f>
        <v>0</v>
      </c>
      <c r="J43" s="116">
        <f>VLOOKUP(T43,'FS Data'!$A:$B,2,FALSE)</f>
        <v>0</v>
      </c>
      <c r="K43" s="117">
        <f>VLOOKUP(U43,'FS Data'!$A:$B,2,FALSE)</f>
        <v>0</v>
      </c>
      <c r="L43" s="116">
        <f>VLOOKUP(V43,'FS Data'!$A:$B,2,FALSE)</f>
        <v>0</v>
      </c>
      <c r="M43" s="117">
        <f>VLOOKUP(W43,'FS Data'!$A:$B,2,FALSE)</f>
        <v>0</v>
      </c>
      <c r="N43" s="16">
        <v>40</v>
      </c>
      <c r="P43" s="138">
        <v>304004</v>
      </c>
      <c r="Q43" s="138">
        <v>304006</v>
      </c>
      <c r="R43" s="138">
        <v>304008</v>
      </c>
      <c r="S43" s="138">
        <v>304010</v>
      </c>
      <c r="T43" s="138">
        <v>304012</v>
      </c>
      <c r="U43" s="138">
        <v>304014</v>
      </c>
      <c r="V43" s="138">
        <v>304016</v>
      </c>
      <c r="W43" s="138">
        <v>304018</v>
      </c>
    </row>
    <row r="44" spans="2:23" ht="18.75" customHeight="1" x14ac:dyDescent="0.25">
      <c r="B44" s="13">
        <v>41</v>
      </c>
      <c r="C44" s="354" t="s">
        <v>487</v>
      </c>
      <c r="D44" s="584"/>
      <c r="E44" s="285">
        <v>73</v>
      </c>
      <c r="F44" s="116">
        <f>VLOOKUP(P44,'FS Data'!$A:$B,2,FALSE)</f>
        <v>1961</v>
      </c>
      <c r="G44" s="117">
        <f>VLOOKUP(Q44,'FS Data'!$A:$B,2,FALSE)</f>
        <v>1961</v>
      </c>
      <c r="H44" s="116">
        <f>VLOOKUP(R44,'FS Data'!$A:$B,2,FALSE)</f>
        <v>436</v>
      </c>
      <c r="I44" s="117">
        <f>VLOOKUP(S44,'FS Data'!$A:$B,2,FALSE)</f>
        <v>436</v>
      </c>
      <c r="J44" s="116">
        <f>VLOOKUP(T44,'FS Data'!$A:$B,2,FALSE)</f>
        <v>0</v>
      </c>
      <c r="K44" s="117">
        <f>VLOOKUP(U44,'FS Data'!$A:$B,2,FALSE)</f>
        <v>0</v>
      </c>
      <c r="L44" s="116">
        <f>VLOOKUP(V44,'FS Data'!$A:$B,2,FALSE)</f>
        <v>0</v>
      </c>
      <c r="M44" s="117">
        <f>VLOOKUP(W44,'FS Data'!$A:$B,2,FALSE)</f>
        <v>0</v>
      </c>
      <c r="N44" s="16">
        <v>41</v>
      </c>
      <c r="P44" s="138">
        <v>304104</v>
      </c>
      <c r="Q44" s="138">
        <v>304106</v>
      </c>
      <c r="R44" s="138">
        <v>304108</v>
      </c>
      <c r="S44" s="138">
        <v>304110</v>
      </c>
      <c r="T44" s="138">
        <v>304112</v>
      </c>
      <c r="U44" s="138">
        <v>304114</v>
      </c>
      <c r="V44" s="138">
        <v>304116</v>
      </c>
      <c r="W44" s="138">
        <v>304118</v>
      </c>
    </row>
    <row r="45" spans="2:23" ht="18.75" customHeight="1" thickBot="1" x14ac:dyDescent="0.3">
      <c r="B45" s="13">
        <v>42</v>
      </c>
      <c r="C45" s="354" t="s">
        <v>488</v>
      </c>
      <c r="D45" s="584"/>
      <c r="E45" s="285">
        <v>52</v>
      </c>
      <c r="F45" s="142">
        <f>VLOOKUP(P45,'FS Data'!$A:$B,2,FALSE)</f>
        <v>0</v>
      </c>
      <c r="G45" s="143">
        <f>VLOOKUP(Q45,'FS Data'!$A:$B,2,FALSE)</f>
        <v>0</v>
      </c>
      <c r="H45" s="142">
        <f>VLOOKUP(R45,'FS Data'!$A:$B,2,FALSE)</f>
        <v>0</v>
      </c>
      <c r="I45" s="143">
        <f>VLOOKUP(S45,'FS Data'!$A:$B,2,FALSE)</f>
        <v>0</v>
      </c>
      <c r="J45" s="142">
        <f>VLOOKUP(T45,'FS Data'!$A:$B,2,FALSE)</f>
        <v>0</v>
      </c>
      <c r="K45" s="143">
        <f>VLOOKUP(U45,'FS Data'!$A:$B,2,FALSE)</f>
        <v>0</v>
      </c>
      <c r="L45" s="142">
        <f>VLOOKUP(V45,'FS Data'!$A:$B,2,FALSE)</f>
        <v>0</v>
      </c>
      <c r="M45" s="143">
        <f>VLOOKUP(W45,'FS Data'!$A:$B,2,FALSE)</f>
        <v>0</v>
      </c>
      <c r="N45" s="16">
        <v>42</v>
      </c>
      <c r="P45" s="138">
        <v>304204</v>
      </c>
      <c r="Q45" s="138">
        <v>304206</v>
      </c>
      <c r="R45" s="138">
        <v>304208</v>
      </c>
      <c r="S45" s="138">
        <v>304210</v>
      </c>
      <c r="T45" s="138">
        <v>304212</v>
      </c>
      <c r="U45" s="138">
        <v>304214</v>
      </c>
      <c r="V45" s="138">
        <v>304216</v>
      </c>
      <c r="W45" s="138">
        <v>304218</v>
      </c>
    </row>
    <row r="46" spans="2:23" ht="21.6" customHeight="1" thickBot="1" x14ac:dyDescent="0.3">
      <c r="B46" s="13">
        <v>43</v>
      </c>
      <c r="C46" s="808" t="s">
        <v>527</v>
      </c>
      <c r="D46" s="809"/>
      <c r="E46" s="810"/>
      <c r="F46" s="144">
        <f>VLOOKUP(P46,'FS Data'!$A:$B,2,FALSE)</f>
        <v>21413</v>
      </c>
      <c r="G46" s="145">
        <f>VLOOKUP(Q46,'FS Data'!$A:$B,2,FALSE)</f>
        <v>21413</v>
      </c>
      <c r="H46" s="144">
        <f>VLOOKUP(R46,'FS Data'!$A:$B,2,FALSE)</f>
        <v>6632</v>
      </c>
      <c r="I46" s="145">
        <f>VLOOKUP(S46,'FS Data'!$A:$B,2,FALSE)</f>
        <v>6632</v>
      </c>
      <c r="J46" s="144">
        <f>VLOOKUP(T46,'FS Data'!$A:$B,2,FALSE)</f>
        <v>0</v>
      </c>
      <c r="K46" s="145">
        <f>VLOOKUP(U46,'FS Data'!$A:$B,2,FALSE)</f>
        <v>0</v>
      </c>
      <c r="L46" s="144">
        <f>VLOOKUP(V46,'FS Data'!$A:$B,2,FALSE)</f>
        <v>0</v>
      </c>
      <c r="M46" s="145">
        <f>VLOOKUP(W46,'FS Data'!$A:$B,2,FALSE)</f>
        <v>0</v>
      </c>
      <c r="N46" s="16">
        <v>43</v>
      </c>
      <c r="P46" s="138">
        <v>304304</v>
      </c>
      <c r="Q46" s="138">
        <v>304306</v>
      </c>
      <c r="R46" s="138">
        <v>304308</v>
      </c>
      <c r="S46" s="138">
        <v>304310</v>
      </c>
      <c r="T46" s="138">
        <v>304312</v>
      </c>
      <c r="U46" s="138">
        <v>304314</v>
      </c>
      <c r="V46" s="138">
        <v>304316</v>
      </c>
      <c r="W46" s="138">
        <v>304318</v>
      </c>
    </row>
    <row r="47" spans="2:23" ht="18.75" customHeight="1" x14ac:dyDescent="0.25">
      <c r="B47" s="13">
        <v>44</v>
      </c>
      <c r="C47" s="354" t="s">
        <v>490</v>
      </c>
      <c r="D47" s="584"/>
      <c r="E47" s="285">
        <v>80</v>
      </c>
      <c r="F47" s="116">
        <f>VLOOKUP(P47,'FS Data'!$A:$B,2,FALSE)</f>
        <v>22500</v>
      </c>
      <c r="G47" s="117">
        <f>VLOOKUP(Q47,'FS Data'!$A:$B,2,FALSE)</f>
        <v>22500</v>
      </c>
      <c r="H47" s="116">
        <f>VLOOKUP(R47,'FS Data'!$A:$B,2,FALSE)</f>
        <v>5000</v>
      </c>
      <c r="I47" s="117">
        <f>VLOOKUP(S47,'FS Data'!$A:$B,2,FALSE)</f>
        <v>5000</v>
      </c>
      <c r="J47" s="116">
        <f>VLOOKUP(T47,'FS Data'!$A:$B,2,FALSE)</f>
        <v>0</v>
      </c>
      <c r="K47" s="117">
        <f>VLOOKUP(U47,'FS Data'!$A:$B,2,FALSE)</f>
        <v>0</v>
      </c>
      <c r="L47" s="116">
        <f>VLOOKUP(V47,'FS Data'!$A:$B,2,FALSE)</f>
        <v>0</v>
      </c>
      <c r="M47" s="117">
        <f>VLOOKUP(W47,'FS Data'!$A:$B,2,FALSE)</f>
        <v>0</v>
      </c>
      <c r="N47" s="16">
        <v>44</v>
      </c>
      <c r="P47" s="138">
        <v>304404</v>
      </c>
      <c r="Q47" s="138">
        <v>304406</v>
      </c>
      <c r="R47" s="138">
        <v>304408</v>
      </c>
      <c r="S47" s="138">
        <v>304410</v>
      </c>
      <c r="T47" s="138">
        <v>304412</v>
      </c>
      <c r="U47" s="138">
        <v>304414</v>
      </c>
      <c r="V47" s="138">
        <v>304416</v>
      </c>
      <c r="W47" s="138">
        <v>304418</v>
      </c>
    </row>
    <row r="48" spans="2:23" ht="18.75" customHeight="1" x14ac:dyDescent="0.25">
      <c r="B48" s="13">
        <v>45</v>
      </c>
      <c r="C48" s="354" t="s">
        <v>491</v>
      </c>
      <c r="D48" s="584"/>
      <c r="E48" s="285">
        <v>81</v>
      </c>
      <c r="F48" s="116">
        <f>VLOOKUP(P48,'FS Data'!$A:$B,2,FALSE)</f>
        <v>4838</v>
      </c>
      <c r="G48" s="117">
        <f>VLOOKUP(Q48,'FS Data'!$A:$B,2,FALSE)</f>
        <v>4838</v>
      </c>
      <c r="H48" s="116">
        <f>VLOOKUP(R48,'FS Data'!$A:$B,2,FALSE)</f>
        <v>1075</v>
      </c>
      <c r="I48" s="117">
        <f>VLOOKUP(S48,'FS Data'!$A:$B,2,FALSE)</f>
        <v>1075</v>
      </c>
      <c r="J48" s="116">
        <f>VLOOKUP(T48,'FS Data'!$A:$B,2,FALSE)</f>
        <v>0</v>
      </c>
      <c r="K48" s="117">
        <f>VLOOKUP(U48,'FS Data'!$A:$B,2,FALSE)</f>
        <v>0</v>
      </c>
      <c r="L48" s="116">
        <f>VLOOKUP(V48,'FS Data'!$A:$B,2,FALSE)</f>
        <v>0</v>
      </c>
      <c r="M48" s="117">
        <f>VLOOKUP(W48,'FS Data'!$A:$B,2,FALSE)</f>
        <v>0</v>
      </c>
      <c r="N48" s="16">
        <v>45</v>
      </c>
      <c r="P48" s="138">
        <v>304504</v>
      </c>
      <c r="Q48" s="138">
        <v>304506</v>
      </c>
      <c r="R48" s="138">
        <v>304508</v>
      </c>
      <c r="S48" s="138">
        <v>304510</v>
      </c>
      <c r="T48" s="138">
        <v>304512</v>
      </c>
      <c r="U48" s="138">
        <v>304514</v>
      </c>
      <c r="V48" s="138">
        <v>304516</v>
      </c>
      <c r="W48" s="138">
        <v>304518</v>
      </c>
    </row>
    <row r="49" spans="2:23" ht="18.75" customHeight="1" x14ac:dyDescent="0.25">
      <c r="B49" s="13">
        <v>46</v>
      </c>
      <c r="C49" s="779" t="s">
        <v>492</v>
      </c>
      <c r="D49" s="810"/>
      <c r="E49" s="285">
        <v>82</v>
      </c>
      <c r="F49" s="116">
        <f>VLOOKUP(P49,'FS Data'!$A:$B,2,FALSE)</f>
        <v>0</v>
      </c>
      <c r="G49" s="117">
        <f>VLOOKUP(Q49,'FS Data'!$A:$B,2,FALSE)</f>
        <v>0</v>
      </c>
      <c r="H49" s="116">
        <f>VLOOKUP(R49,'FS Data'!$A:$B,2,FALSE)</f>
        <v>0</v>
      </c>
      <c r="I49" s="117">
        <f>VLOOKUP(S49,'FS Data'!$A:$B,2,FALSE)</f>
        <v>0</v>
      </c>
      <c r="J49" s="116">
        <f>VLOOKUP(T49,'FS Data'!$A:$B,2,FALSE)</f>
        <v>0</v>
      </c>
      <c r="K49" s="117">
        <f>VLOOKUP(U49,'FS Data'!$A:$B,2,FALSE)</f>
        <v>0</v>
      </c>
      <c r="L49" s="116">
        <f>VLOOKUP(V49,'FS Data'!$A:$B,2,FALSE)</f>
        <v>0</v>
      </c>
      <c r="M49" s="117">
        <f>VLOOKUP(W49,'FS Data'!$A:$B,2,FALSE)</f>
        <v>0</v>
      </c>
      <c r="N49" s="16">
        <v>46</v>
      </c>
      <c r="P49" s="138">
        <v>304604</v>
      </c>
      <c r="Q49" s="138">
        <v>304606</v>
      </c>
      <c r="R49" s="138">
        <v>304608</v>
      </c>
      <c r="S49" s="138">
        <v>304610</v>
      </c>
      <c r="T49" s="138">
        <v>304612</v>
      </c>
      <c r="U49" s="138">
        <v>304614</v>
      </c>
      <c r="V49" s="138">
        <v>304616</v>
      </c>
      <c r="W49" s="138">
        <v>304618</v>
      </c>
    </row>
    <row r="50" spans="2:23" ht="18.75" customHeight="1" x14ac:dyDescent="0.25">
      <c r="B50" s="13">
        <v>47</v>
      </c>
      <c r="C50" s="779" t="s">
        <v>493</v>
      </c>
      <c r="D50" s="810"/>
      <c r="E50" s="285">
        <v>83</v>
      </c>
      <c r="F50" s="116">
        <f>VLOOKUP(P50,'FS Data'!$A:$B,2,FALSE)</f>
        <v>0</v>
      </c>
      <c r="G50" s="117">
        <f>VLOOKUP(Q50,'FS Data'!$A:$B,2,FALSE)</f>
        <v>0</v>
      </c>
      <c r="H50" s="116">
        <f>VLOOKUP(R50,'FS Data'!$A:$B,2,FALSE)</f>
        <v>0</v>
      </c>
      <c r="I50" s="117">
        <f>VLOOKUP(S50,'FS Data'!$A:$B,2,FALSE)</f>
        <v>0</v>
      </c>
      <c r="J50" s="116">
        <f>VLOOKUP(T50,'FS Data'!$A:$B,2,FALSE)</f>
        <v>0</v>
      </c>
      <c r="K50" s="117">
        <f>VLOOKUP(U50,'FS Data'!$A:$B,2,FALSE)</f>
        <v>0</v>
      </c>
      <c r="L50" s="116">
        <f>VLOOKUP(V50,'FS Data'!$A:$B,2,FALSE)</f>
        <v>0</v>
      </c>
      <c r="M50" s="117">
        <f>VLOOKUP(W50,'FS Data'!$A:$B,2,FALSE)</f>
        <v>0</v>
      </c>
      <c r="N50" s="16">
        <v>47</v>
      </c>
      <c r="P50" s="138">
        <v>304704</v>
      </c>
      <c r="Q50" s="138">
        <v>304706</v>
      </c>
      <c r="R50" s="138">
        <v>304708</v>
      </c>
      <c r="S50" s="138">
        <v>304710</v>
      </c>
      <c r="T50" s="138">
        <v>304712</v>
      </c>
      <c r="U50" s="138">
        <v>304714</v>
      </c>
      <c r="V50" s="138">
        <v>304716</v>
      </c>
      <c r="W50" s="138">
        <v>304718</v>
      </c>
    </row>
    <row r="51" spans="2:23" ht="18.75" customHeight="1" x14ac:dyDescent="0.25">
      <c r="B51" s="13">
        <v>48</v>
      </c>
      <c r="C51" s="354" t="s">
        <v>494</v>
      </c>
      <c r="D51" s="584"/>
      <c r="E51" s="285">
        <v>84</v>
      </c>
      <c r="F51" s="116">
        <f>VLOOKUP(P51,'FS Data'!$A:$B,2,FALSE)</f>
        <v>2774</v>
      </c>
      <c r="G51" s="117">
        <f>VLOOKUP(Q51,'FS Data'!$A:$B,2,FALSE)</f>
        <v>2774</v>
      </c>
      <c r="H51" s="116">
        <f>VLOOKUP(R51,'FS Data'!$A:$B,2,FALSE)</f>
        <v>616</v>
      </c>
      <c r="I51" s="117">
        <f>VLOOKUP(S51,'FS Data'!$A:$B,2,FALSE)</f>
        <v>616</v>
      </c>
      <c r="J51" s="116">
        <f>VLOOKUP(T51,'FS Data'!$A:$B,2,FALSE)</f>
        <v>0</v>
      </c>
      <c r="K51" s="117">
        <f>VLOOKUP(U51,'FS Data'!$A:$B,2,FALSE)</f>
        <v>0</v>
      </c>
      <c r="L51" s="116">
        <f>VLOOKUP(V51,'FS Data'!$A:$B,2,FALSE)</f>
        <v>0</v>
      </c>
      <c r="M51" s="117">
        <f>VLOOKUP(W51,'FS Data'!$A:$B,2,FALSE)</f>
        <v>0</v>
      </c>
      <c r="N51" s="16">
        <v>48</v>
      </c>
      <c r="P51" s="138">
        <v>304804</v>
      </c>
      <c r="Q51" s="138">
        <v>304806</v>
      </c>
      <c r="R51" s="138">
        <v>304808</v>
      </c>
      <c r="S51" s="138">
        <v>304810</v>
      </c>
      <c r="T51" s="138">
        <v>304812</v>
      </c>
      <c r="U51" s="138">
        <v>304814</v>
      </c>
      <c r="V51" s="138">
        <v>304816</v>
      </c>
      <c r="W51" s="138">
        <v>304818</v>
      </c>
    </row>
    <row r="52" spans="2:23" ht="18.75" customHeight="1" x14ac:dyDescent="0.25">
      <c r="B52" s="13">
        <v>49</v>
      </c>
      <c r="C52" s="779" t="s">
        <v>495</v>
      </c>
      <c r="D52" s="810"/>
      <c r="E52" s="285">
        <v>85</v>
      </c>
      <c r="F52" s="116">
        <f>VLOOKUP(P52,'FS Data'!$A:$B,2,FALSE)</f>
        <v>2184</v>
      </c>
      <c r="G52" s="117">
        <f>VLOOKUP(Q52,'FS Data'!$A:$B,2,FALSE)</f>
        <v>2184</v>
      </c>
      <c r="H52" s="116">
        <f>VLOOKUP(R52,'FS Data'!$A:$B,2,FALSE)</f>
        <v>485</v>
      </c>
      <c r="I52" s="117">
        <f>VLOOKUP(S52,'FS Data'!$A:$B,2,FALSE)</f>
        <v>485</v>
      </c>
      <c r="J52" s="116">
        <f>VLOOKUP(T52,'FS Data'!$A:$B,2,FALSE)</f>
        <v>0</v>
      </c>
      <c r="K52" s="117">
        <f>VLOOKUP(U52,'FS Data'!$A:$B,2,FALSE)</f>
        <v>0</v>
      </c>
      <c r="L52" s="116">
        <f>VLOOKUP(V52,'FS Data'!$A:$B,2,FALSE)</f>
        <v>0</v>
      </c>
      <c r="M52" s="117">
        <f>VLOOKUP(W52,'FS Data'!$A:$B,2,FALSE)</f>
        <v>0</v>
      </c>
      <c r="N52" s="16">
        <v>49</v>
      </c>
      <c r="P52" s="138">
        <v>304904</v>
      </c>
      <c r="Q52" s="138">
        <v>304906</v>
      </c>
      <c r="R52" s="138">
        <v>304908</v>
      </c>
      <c r="S52" s="138">
        <v>304910</v>
      </c>
      <c r="T52" s="138">
        <v>304912</v>
      </c>
      <c r="U52" s="138">
        <v>304914</v>
      </c>
      <c r="V52" s="138">
        <v>304916</v>
      </c>
      <c r="W52" s="138">
        <v>304918</v>
      </c>
    </row>
    <row r="53" spans="2:23" ht="18.75" customHeight="1" thickBot="1" x14ac:dyDescent="0.3">
      <c r="B53" s="13">
        <v>50</v>
      </c>
      <c r="C53" s="354" t="s">
        <v>496</v>
      </c>
      <c r="D53" s="584"/>
      <c r="E53" s="285">
        <v>87</v>
      </c>
      <c r="F53" s="142">
        <f>VLOOKUP(P53,'FS Data'!$A:$B,2,FALSE)</f>
        <v>2296</v>
      </c>
      <c r="G53" s="143">
        <f>VLOOKUP(Q53,'FS Data'!$A:$B,2,FALSE)</f>
        <v>2296</v>
      </c>
      <c r="H53" s="142">
        <f>VLOOKUP(R53,'FS Data'!$A:$B,2,FALSE)</f>
        <v>510</v>
      </c>
      <c r="I53" s="143">
        <f>VLOOKUP(S53,'FS Data'!$A:$B,2,FALSE)</f>
        <v>510</v>
      </c>
      <c r="J53" s="142">
        <f>VLOOKUP(T53,'FS Data'!$A:$B,2,FALSE)</f>
        <v>0</v>
      </c>
      <c r="K53" s="143">
        <f>VLOOKUP(U53,'FS Data'!$A:$B,2,FALSE)</f>
        <v>0</v>
      </c>
      <c r="L53" s="142">
        <f>VLOOKUP(V53,'FS Data'!$A:$B,2,FALSE)</f>
        <v>0</v>
      </c>
      <c r="M53" s="143">
        <f>VLOOKUP(W53,'FS Data'!$A:$B,2,FALSE)</f>
        <v>0</v>
      </c>
      <c r="N53" s="16">
        <v>50</v>
      </c>
      <c r="P53" s="138">
        <v>305004</v>
      </c>
      <c r="Q53" s="138">
        <v>305006</v>
      </c>
      <c r="R53" s="138">
        <v>305008</v>
      </c>
      <c r="S53" s="138">
        <v>305010</v>
      </c>
      <c r="T53" s="138">
        <v>305012</v>
      </c>
      <c r="U53" s="138">
        <v>305014</v>
      </c>
      <c r="V53" s="138">
        <v>305016</v>
      </c>
      <c r="W53" s="138">
        <v>305018</v>
      </c>
    </row>
    <row r="54" spans="2:23" ht="21.6" customHeight="1" thickBot="1" x14ac:dyDescent="0.3">
      <c r="B54" s="13">
        <v>51</v>
      </c>
      <c r="C54" s="808" t="s">
        <v>528</v>
      </c>
      <c r="D54" s="809"/>
      <c r="E54" s="810"/>
      <c r="F54" s="144">
        <f>VLOOKUP(P54,'FS Data'!$A:$B,2,FALSE)</f>
        <v>34592</v>
      </c>
      <c r="G54" s="145">
        <f>VLOOKUP(Q54,'FS Data'!$A:$B,2,FALSE)</f>
        <v>34592</v>
      </c>
      <c r="H54" s="144">
        <f>VLOOKUP(R54,'FS Data'!$A:$B,2,FALSE)</f>
        <v>7686</v>
      </c>
      <c r="I54" s="145">
        <f>VLOOKUP(S54,'FS Data'!$A:$B,2,FALSE)</f>
        <v>7686</v>
      </c>
      <c r="J54" s="144">
        <f>VLOOKUP(T54,'FS Data'!$A:$B,2,FALSE)</f>
        <v>0</v>
      </c>
      <c r="K54" s="145">
        <f>VLOOKUP(U54,'FS Data'!$A:$B,2,FALSE)</f>
        <v>0</v>
      </c>
      <c r="L54" s="144">
        <f>VLOOKUP(V54,'FS Data'!$A:$B,2,FALSE)</f>
        <v>0</v>
      </c>
      <c r="M54" s="145">
        <f>VLOOKUP(W54,'FS Data'!$A:$B,2,FALSE)</f>
        <v>0</v>
      </c>
      <c r="N54" s="16">
        <v>51</v>
      </c>
      <c r="P54" s="138">
        <v>305104</v>
      </c>
      <c r="Q54" s="138">
        <v>305106</v>
      </c>
      <c r="R54" s="138">
        <v>305108</v>
      </c>
      <c r="S54" s="138">
        <v>305110</v>
      </c>
      <c r="T54" s="138">
        <v>305112</v>
      </c>
      <c r="U54" s="138">
        <v>305114</v>
      </c>
      <c r="V54" s="138">
        <v>305116</v>
      </c>
      <c r="W54" s="138">
        <v>305118</v>
      </c>
    </row>
    <row r="55" spans="2:23" ht="18.75" customHeight="1" x14ac:dyDescent="0.25">
      <c r="B55" s="13">
        <v>52</v>
      </c>
      <c r="C55" s="354" t="s">
        <v>498</v>
      </c>
      <c r="D55" s="584"/>
      <c r="E55" s="285">
        <v>88</v>
      </c>
      <c r="F55" s="116">
        <f>VLOOKUP(P55,'FS Data'!$A:$B,2,FALSE)</f>
        <v>0</v>
      </c>
      <c r="G55" s="117">
        <f>VLOOKUP(Q55,'FS Data'!$A:$B,2,FALSE)</f>
        <v>0</v>
      </c>
      <c r="H55" s="116">
        <f>VLOOKUP(R55,'FS Data'!$A:$B,2,FALSE)</f>
        <v>0</v>
      </c>
      <c r="I55" s="117">
        <f>VLOOKUP(S55,'FS Data'!$A:$B,2,FALSE)</f>
        <v>0</v>
      </c>
      <c r="J55" s="116">
        <f>VLOOKUP(T55,'FS Data'!$A:$B,2,FALSE)</f>
        <v>0</v>
      </c>
      <c r="K55" s="117">
        <f>VLOOKUP(U55,'FS Data'!$A:$B,2,FALSE)</f>
        <v>0</v>
      </c>
      <c r="L55" s="116">
        <f>VLOOKUP(V55,'FS Data'!$A:$B,2,FALSE)</f>
        <v>0</v>
      </c>
      <c r="M55" s="117">
        <f>VLOOKUP(W55,'FS Data'!$A:$B,2,FALSE)</f>
        <v>0</v>
      </c>
      <c r="N55" s="16">
        <v>52</v>
      </c>
      <c r="P55" s="138">
        <v>305204</v>
      </c>
      <c r="Q55" s="138">
        <v>305206</v>
      </c>
      <c r="R55" s="138">
        <v>305208</v>
      </c>
      <c r="S55" s="138">
        <v>305210</v>
      </c>
      <c r="T55" s="138">
        <v>305212</v>
      </c>
      <c r="U55" s="138">
        <v>305214</v>
      </c>
      <c r="V55" s="138">
        <v>305216</v>
      </c>
      <c r="W55" s="138">
        <v>305218</v>
      </c>
    </row>
    <row r="56" spans="2:23" ht="18.75" customHeight="1" x14ac:dyDescent="0.25">
      <c r="B56" s="13">
        <v>53</v>
      </c>
      <c r="C56" s="354" t="s">
        <v>499</v>
      </c>
      <c r="D56" s="584"/>
      <c r="E56" s="285">
        <v>89</v>
      </c>
      <c r="F56" s="116">
        <f>VLOOKUP(P56,'FS Data'!$A:$B,2,FALSE)</f>
        <v>1189</v>
      </c>
      <c r="G56" s="117">
        <f>VLOOKUP(Q56,'FS Data'!$A:$B,2,FALSE)</f>
        <v>1189</v>
      </c>
      <c r="H56" s="116">
        <f>VLOOKUP(R56,'FS Data'!$A:$B,2,FALSE)</f>
        <v>264</v>
      </c>
      <c r="I56" s="117">
        <f>VLOOKUP(S56,'FS Data'!$A:$B,2,FALSE)</f>
        <v>264</v>
      </c>
      <c r="J56" s="116">
        <f>VLOOKUP(T56,'FS Data'!$A:$B,2,FALSE)</f>
        <v>0</v>
      </c>
      <c r="K56" s="117">
        <f>VLOOKUP(U56,'FS Data'!$A:$B,2,FALSE)</f>
        <v>0</v>
      </c>
      <c r="L56" s="116">
        <f>VLOOKUP(V56,'FS Data'!$A:$B,2,FALSE)</f>
        <v>0</v>
      </c>
      <c r="M56" s="117">
        <f>VLOOKUP(W56,'FS Data'!$A:$B,2,FALSE)</f>
        <v>0</v>
      </c>
      <c r="N56" s="16">
        <v>53</v>
      </c>
      <c r="P56" s="138">
        <v>305304</v>
      </c>
      <c r="Q56" s="138">
        <v>305306</v>
      </c>
      <c r="R56" s="138">
        <v>305308</v>
      </c>
      <c r="S56" s="138">
        <v>305310</v>
      </c>
      <c r="T56" s="138">
        <v>305312</v>
      </c>
      <c r="U56" s="138">
        <v>305314</v>
      </c>
      <c r="V56" s="138">
        <v>305316</v>
      </c>
      <c r="W56" s="138">
        <v>305318</v>
      </c>
    </row>
    <row r="57" spans="2:23" ht="18.75" customHeight="1" x14ac:dyDescent="0.25">
      <c r="B57" s="13">
        <v>54</v>
      </c>
      <c r="C57" s="354" t="s">
        <v>500</v>
      </c>
      <c r="D57" s="584"/>
      <c r="E57" s="285">
        <v>90</v>
      </c>
      <c r="F57" s="116">
        <f>VLOOKUP(P57,'FS Data'!$A:$B,2,FALSE)</f>
        <v>0</v>
      </c>
      <c r="G57" s="117">
        <f>VLOOKUP(Q57,'FS Data'!$A:$B,2,FALSE)</f>
        <v>0</v>
      </c>
      <c r="H57" s="116">
        <f>VLOOKUP(R57,'FS Data'!$A:$B,2,FALSE)</f>
        <v>0</v>
      </c>
      <c r="I57" s="117">
        <f>VLOOKUP(S57,'FS Data'!$A:$B,2,FALSE)</f>
        <v>0</v>
      </c>
      <c r="J57" s="116">
        <f>VLOOKUP(T57,'FS Data'!$A:$B,2,FALSE)</f>
        <v>0</v>
      </c>
      <c r="K57" s="117">
        <f>VLOOKUP(U57,'FS Data'!$A:$B,2,FALSE)</f>
        <v>0</v>
      </c>
      <c r="L57" s="116">
        <f>VLOOKUP(V57,'FS Data'!$A:$B,2,FALSE)</f>
        <v>0</v>
      </c>
      <c r="M57" s="117">
        <f>VLOOKUP(W57,'FS Data'!$A:$B,2,FALSE)</f>
        <v>0</v>
      </c>
      <c r="N57" s="16">
        <v>54</v>
      </c>
      <c r="P57" s="138">
        <v>305404</v>
      </c>
      <c r="Q57" s="138">
        <v>305406</v>
      </c>
      <c r="R57" s="138">
        <v>305408</v>
      </c>
      <c r="S57" s="138">
        <v>305410</v>
      </c>
      <c r="T57" s="138">
        <v>305412</v>
      </c>
      <c r="U57" s="138">
        <v>305414</v>
      </c>
      <c r="V57" s="138">
        <v>305416</v>
      </c>
      <c r="W57" s="138">
        <v>305418</v>
      </c>
    </row>
    <row r="58" spans="2:23" ht="18.75" customHeight="1" x14ac:dyDescent="0.25">
      <c r="B58" s="13">
        <v>55</v>
      </c>
      <c r="C58" s="354" t="s">
        <v>501</v>
      </c>
      <c r="D58" s="584"/>
      <c r="E58" s="285">
        <v>91</v>
      </c>
      <c r="F58" s="116">
        <f>VLOOKUP(P58,'FS Data'!$A:$B,2,FALSE)</f>
        <v>1913</v>
      </c>
      <c r="G58" s="117">
        <f>VLOOKUP(Q58,'FS Data'!$A:$B,2,FALSE)</f>
        <v>1913</v>
      </c>
      <c r="H58" s="116">
        <f>VLOOKUP(R58,'FS Data'!$A:$B,2,FALSE)</f>
        <v>425</v>
      </c>
      <c r="I58" s="117">
        <f>VLOOKUP(S58,'FS Data'!$A:$B,2,FALSE)</f>
        <v>425</v>
      </c>
      <c r="J58" s="116">
        <f>VLOOKUP(T58,'FS Data'!$A:$B,2,FALSE)</f>
        <v>0</v>
      </c>
      <c r="K58" s="117">
        <f>VLOOKUP(U58,'FS Data'!$A:$B,2,FALSE)</f>
        <v>0</v>
      </c>
      <c r="L58" s="116">
        <f>VLOOKUP(V58,'FS Data'!$A:$B,2,FALSE)</f>
        <v>0</v>
      </c>
      <c r="M58" s="117">
        <f>VLOOKUP(W58,'FS Data'!$A:$B,2,FALSE)</f>
        <v>0</v>
      </c>
      <c r="N58" s="16">
        <v>55</v>
      </c>
      <c r="P58" s="138">
        <v>305504</v>
      </c>
      <c r="Q58" s="138">
        <v>305506</v>
      </c>
      <c r="R58" s="138">
        <v>305508</v>
      </c>
      <c r="S58" s="138">
        <v>305510</v>
      </c>
      <c r="T58" s="138">
        <v>305512</v>
      </c>
      <c r="U58" s="138">
        <v>305514</v>
      </c>
      <c r="V58" s="138">
        <v>305516</v>
      </c>
      <c r="W58" s="138">
        <v>305518</v>
      </c>
    </row>
    <row r="59" spans="2:23" ht="18.75" customHeight="1" thickBot="1" x14ac:dyDescent="0.3">
      <c r="B59" s="13">
        <v>56</v>
      </c>
      <c r="C59" s="354" t="s">
        <v>502</v>
      </c>
      <c r="D59" s="584"/>
      <c r="E59" s="285">
        <v>92</v>
      </c>
      <c r="F59" s="142">
        <f>VLOOKUP(P59,'FS Data'!$A:$B,2,FALSE)</f>
        <v>78</v>
      </c>
      <c r="G59" s="143">
        <f>VLOOKUP(Q59,'FS Data'!$A:$B,2,FALSE)</f>
        <v>78</v>
      </c>
      <c r="H59" s="142">
        <f>VLOOKUP(R59,'FS Data'!$A:$B,2,FALSE)</f>
        <v>17</v>
      </c>
      <c r="I59" s="143">
        <f>VLOOKUP(S59,'FS Data'!$A:$B,2,FALSE)</f>
        <v>17</v>
      </c>
      <c r="J59" s="142">
        <f>VLOOKUP(T59,'FS Data'!$A:$B,2,FALSE)</f>
        <v>0</v>
      </c>
      <c r="K59" s="143">
        <f>VLOOKUP(U59,'FS Data'!$A:$B,2,FALSE)</f>
        <v>0</v>
      </c>
      <c r="L59" s="142">
        <f>VLOOKUP(V59,'FS Data'!$A:$B,2,FALSE)</f>
        <v>0</v>
      </c>
      <c r="M59" s="143">
        <f>VLOOKUP(W59,'FS Data'!$A:$B,2,FALSE)</f>
        <v>0</v>
      </c>
      <c r="N59" s="16">
        <v>56</v>
      </c>
      <c r="P59" s="138">
        <v>305604</v>
      </c>
      <c r="Q59" s="138">
        <v>305606</v>
      </c>
      <c r="R59" s="138">
        <v>305608</v>
      </c>
      <c r="S59" s="138">
        <v>305610</v>
      </c>
      <c r="T59" s="138">
        <v>305612</v>
      </c>
      <c r="U59" s="138">
        <v>305614</v>
      </c>
      <c r="V59" s="138">
        <v>305616</v>
      </c>
      <c r="W59" s="138">
        <v>305618</v>
      </c>
    </row>
    <row r="60" spans="2:23" ht="21.6" customHeight="1" thickBot="1" x14ac:dyDescent="0.3">
      <c r="B60" s="13">
        <v>57</v>
      </c>
      <c r="C60" s="808" t="s">
        <v>529</v>
      </c>
      <c r="D60" s="809"/>
      <c r="E60" s="810"/>
      <c r="F60" s="144">
        <f>VLOOKUP(P60,'FS Data'!$A:$B,2,FALSE)</f>
        <v>37772</v>
      </c>
      <c r="G60" s="145">
        <f>VLOOKUP(Q60,'FS Data'!$A:$B,2,FALSE)</f>
        <v>37772</v>
      </c>
      <c r="H60" s="144">
        <f>VLOOKUP(R60,'FS Data'!$A:$B,2,FALSE)</f>
        <v>8392</v>
      </c>
      <c r="I60" s="145">
        <f>VLOOKUP(S60,'FS Data'!$A:$B,2,FALSE)</f>
        <v>8392</v>
      </c>
      <c r="J60" s="144">
        <f>VLOOKUP(T60,'FS Data'!$A:$B,2,FALSE)</f>
        <v>0</v>
      </c>
      <c r="K60" s="145">
        <f>VLOOKUP(U60,'FS Data'!$A:$B,2,FALSE)</f>
        <v>0</v>
      </c>
      <c r="L60" s="144">
        <f>VLOOKUP(V60,'FS Data'!$A:$B,2,FALSE)</f>
        <v>0</v>
      </c>
      <c r="M60" s="145">
        <f>VLOOKUP(W60,'FS Data'!$A:$B,2,FALSE)</f>
        <v>0</v>
      </c>
      <c r="N60" s="16">
        <v>57</v>
      </c>
      <c r="P60" s="138">
        <v>305704</v>
      </c>
      <c r="Q60" s="138">
        <v>305706</v>
      </c>
      <c r="R60" s="138">
        <v>305708</v>
      </c>
      <c r="S60" s="138">
        <v>305710</v>
      </c>
      <c r="T60" s="138">
        <v>305712</v>
      </c>
      <c r="U60" s="138">
        <v>305714</v>
      </c>
      <c r="V60" s="138">
        <v>305716</v>
      </c>
      <c r="W60" s="138">
        <v>305718</v>
      </c>
    </row>
    <row r="61" spans="2:23" s="49" customFormat="1" ht="21.6" customHeight="1" thickBot="1" x14ac:dyDescent="0.3">
      <c r="B61" s="13">
        <v>58</v>
      </c>
      <c r="C61" s="808" t="s">
        <v>530</v>
      </c>
      <c r="D61" s="809"/>
      <c r="E61" s="810"/>
      <c r="F61" s="144">
        <f>VLOOKUP(P61,'FS Data'!$A:$B,2,FALSE)</f>
        <v>122608</v>
      </c>
      <c r="G61" s="145">
        <f>VLOOKUP(Q61,'FS Data'!$A:$B,2,FALSE)</f>
        <v>122608</v>
      </c>
      <c r="H61" s="144">
        <f>VLOOKUP(R61,'FS Data'!$A:$B,2,FALSE)</f>
        <v>43451</v>
      </c>
      <c r="I61" s="145">
        <f>VLOOKUP(S61,'FS Data'!$A:$B,2,FALSE)</f>
        <v>43451</v>
      </c>
      <c r="J61" s="144">
        <f>VLOOKUP(T61,'FS Data'!$A:$B,2,FALSE)</f>
        <v>0</v>
      </c>
      <c r="K61" s="145">
        <f>VLOOKUP(U61,'FS Data'!$A:$B,2,FALSE)</f>
        <v>0</v>
      </c>
      <c r="L61" s="144">
        <f>VLOOKUP(V61,'FS Data'!$A:$B,2,FALSE)</f>
        <v>0</v>
      </c>
      <c r="M61" s="145">
        <f>VLOOKUP(W61,'FS Data'!$A:$B,2,FALSE)</f>
        <v>0</v>
      </c>
      <c r="N61" s="16">
        <v>58</v>
      </c>
      <c r="O61" s="5"/>
      <c r="P61" s="138">
        <v>305804</v>
      </c>
      <c r="Q61" s="138">
        <v>305806</v>
      </c>
      <c r="R61" s="138">
        <v>305808</v>
      </c>
      <c r="S61" s="138">
        <v>305810</v>
      </c>
      <c r="T61" s="138">
        <v>305812</v>
      </c>
      <c r="U61" s="138">
        <v>305814</v>
      </c>
      <c r="V61" s="138">
        <v>305816</v>
      </c>
      <c r="W61" s="138">
        <v>305818</v>
      </c>
    </row>
    <row r="62" spans="2:23" ht="21.6" customHeight="1" thickBot="1" x14ac:dyDescent="0.3">
      <c r="B62" s="13">
        <v>59</v>
      </c>
      <c r="C62" s="811" t="s">
        <v>531</v>
      </c>
      <c r="D62" s="812"/>
      <c r="E62" s="813"/>
      <c r="F62" s="144">
        <f>VLOOKUP(P62,'FS Data'!$A:$B,2,FALSE)</f>
        <v>170500</v>
      </c>
      <c r="G62" s="145">
        <f>VLOOKUP(Q62,'FS Data'!$A:$B,2,FALSE)</f>
        <v>170500</v>
      </c>
      <c r="H62" s="144">
        <f>VLOOKUP(R62,'FS Data'!$A:$B,2,FALSE)</f>
        <v>68888</v>
      </c>
      <c r="I62" s="145">
        <f>VLOOKUP(S62,'FS Data'!$A:$B,2,FALSE)</f>
        <v>68888</v>
      </c>
      <c r="J62" s="144">
        <f>VLOOKUP(T62,'FS Data'!$A:$B,2,FALSE)</f>
        <v>0</v>
      </c>
      <c r="K62" s="145">
        <f>VLOOKUP(U62,'FS Data'!$A:$B,2,FALSE)</f>
        <v>0</v>
      </c>
      <c r="L62" s="144">
        <f>VLOOKUP(V62,'FS Data'!$A:$B,2,FALSE)</f>
        <v>0</v>
      </c>
      <c r="M62" s="145">
        <f>VLOOKUP(W62,'FS Data'!$A:$B,2,FALSE)</f>
        <v>0</v>
      </c>
      <c r="N62" s="11"/>
      <c r="P62" s="138">
        <v>305904</v>
      </c>
      <c r="Q62" s="138">
        <v>305906</v>
      </c>
      <c r="R62" s="138">
        <v>305908</v>
      </c>
      <c r="S62" s="138">
        <v>305910</v>
      </c>
      <c r="T62" s="138">
        <v>305912</v>
      </c>
      <c r="U62" s="138">
        <v>305914</v>
      </c>
      <c r="V62" s="138">
        <v>305916</v>
      </c>
      <c r="W62" s="138">
        <v>305918</v>
      </c>
    </row>
    <row r="63" spans="2:23" ht="21.6" customHeight="1" thickBot="1" x14ac:dyDescent="0.3">
      <c r="B63" s="13">
        <v>60</v>
      </c>
      <c r="C63" s="811" t="s">
        <v>532</v>
      </c>
      <c r="D63" s="812"/>
      <c r="E63" s="813"/>
      <c r="F63" s="144">
        <f>VLOOKUP(P63,'FS Data'!$A:$B,2,FALSE)</f>
        <v>-74223</v>
      </c>
      <c r="G63" s="145">
        <f>VLOOKUP(Q63,'FS Data'!$A:$B,2,FALSE)</f>
        <v>-74223</v>
      </c>
      <c r="H63" s="144">
        <f>VLOOKUP(R63,'FS Data'!$A:$B,2,FALSE)</f>
        <v>-22752</v>
      </c>
      <c r="I63" s="145">
        <f>VLOOKUP(S63,'FS Data'!$A:$B,2,FALSE)</f>
        <v>-22752</v>
      </c>
      <c r="J63" s="144">
        <f>VLOOKUP(T63,'FS Data'!$A:$B,2,FALSE)</f>
        <v>0</v>
      </c>
      <c r="K63" s="145">
        <f>VLOOKUP(U63,'FS Data'!$A:$B,2,FALSE)</f>
        <v>0</v>
      </c>
      <c r="L63" s="144">
        <f>VLOOKUP(V63,'FS Data'!$A:$B,2,FALSE)</f>
        <v>0</v>
      </c>
      <c r="M63" s="145">
        <f>VLOOKUP(W63,'FS Data'!$A:$B,2,FALSE)</f>
        <v>0</v>
      </c>
      <c r="N63" s="49"/>
      <c r="P63" s="138">
        <v>306004</v>
      </c>
      <c r="Q63" s="138">
        <v>306006</v>
      </c>
      <c r="R63" s="138">
        <v>306008</v>
      </c>
      <c r="S63" s="138">
        <v>306010</v>
      </c>
      <c r="T63" s="138">
        <v>306012</v>
      </c>
      <c r="U63" s="138">
        <v>306014</v>
      </c>
      <c r="V63" s="138">
        <v>306016</v>
      </c>
      <c r="W63" s="138">
        <v>306018</v>
      </c>
    </row>
    <row r="64" spans="2:23" ht="18.75" customHeight="1" x14ac:dyDescent="0.25">
      <c r="B64" s="69">
        <v>61</v>
      </c>
      <c r="C64" s="601"/>
      <c r="D64" s="601"/>
      <c r="E64" s="601"/>
      <c r="F64" s="200"/>
      <c r="G64" s="201"/>
      <c r="H64" s="201"/>
      <c r="I64" s="201"/>
      <c r="J64" s="201"/>
      <c r="K64" s="201"/>
      <c r="L64" s="201"/>
      <c r="M64" s="202"/>
      <c r="N64" s="70">
        <v>61</v>
      </c>
      <c r="P64" s="138">
        <v>306104</v>
      </c>
      <c r="Q64" s="138">
        <v>306106</v>
      </c>
      <c r="R64" s="138">
        <v>306108</v>
      </c>
      <c r="S64" s="138">
        <v>306110</v>
      </c>
      <c r="T64" s="138">
        <v>306112</v>
      </c>
      <c r="U64" s="138">
        <v>306114</v>
      </c>
      <c r="V64" s="138">
        <v>306116</v>
      </c>
      <c r="W64" s="138">
        <v>306118</v>
      </c>
    </row>
    <row r="65" spans="2:23" ht="18.75" customHeight="1" x14ac:dyDescent="0.2">
      <c r="B65" s="13">
        <v>62</v>
      </c>
      <c r="C65" s="354" t="s">
        <v>413</v>
      </c>
      <c r="D65" s="584"/>
      <c r="E65" s="285">
        <v>97</v>
      </c>
      <c r="F65" s="116">
        <f>VLOOKUP(P65,'FS Data'!$A:$B,2,FALSE)</f>
        <v>0</v>
      </c>
      <c r="G65" s="117">
        <f>VLOOKUP(Q65,'FS Data'!$A:$B,2,FALSE)</f>
        <v>0</v>
      </c>
      <c r="H65" s="116">
        <f>VLOOKUP(R65,'FS Data'!$A:$B,2,FALSE)</f>
        <v>0</v>
      </c>
      <c r="I65" s="117">
        <f>VLOOKUP(S65,'FS Data'!$A:$B,2,FALSE)</f>
        <v>0</v>
      </c>
      <c r="J65" s="116">
        <f>VLOOKUP(T65,'FS Data'!$A:$B,2,FALSE)</f>
        <v>0</v>
      </c>
      <c r="K65" s="117">
        <f>VLOOKUP(U65,'FS Data'!$A:$B,2,FALSE)</f>
        <v>0</v>
      </c>
      <c r="L65" s="116">
        <f>VLOOKUP(V65,'FS Data'!$A:$B,2,FALSE)</f>
        <v>0</v>
      </c>
      <c r="M65" s="117">
        <f>VLOOKUP(W65,'FS Data'!$A:$B,2,FALSE)</f>
        <v>0</v>
      </c>
      <c r="N65" s="71">
        <v>62</v>
      </c>
      <c r="P65" s="138">
        <v>306204</v>
      </c>
      <c r="Q65" s="138">
        <v>306206</v>
      </c>
      <c r="R65" s="138">
        <v>306208</v>
      </c>
      <c r="S65" s="138">
        <v>306210</v>
      </c>
      <c r="T65" s="138">
        <v>306212</v>
      </c>
      <c r="U65" s="138">
        <v>306214</v>
      </c>
      <c r="V65" s="138">
        <v>306216</v>
      </c>
      <c r="W65" s="138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zoomScaleNormal="100" zoomScaleSheetLayoutView="75" workbookViewId="0">
      <selection activeCell="B1" sqref="B1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8"/>
    <col min="29" max="16384" width="9.140625" style="5"/>
  </cols>
  <sheetData>
    <row r="1" spans="2:28" ht="18.75" customHeight="1" x14ac:dyDescent="0.25">
      <c r="B1" s="240" t="s">
        <v>940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77</v>
      </c>
      <c r="R1" s="68"/>
    </row>
    <row r="2" spans="2:28" ht="27" customHeight="1" x14ac:dyDescent="0.25">
      <c r="B2" s="816" t="s">
        <v>386</v>
      </c>
      <c r="C2" s="818" t="s">
        <v>449</v>
      </c>
      <c r="D2" s="819"/>
      <c r="E2" s="821" t="s">
        <v>520</v>
      </c>
      <c r="F2" s="656" t="s">
        <v>533</v>
      </c>
      <c r="G2" s="656" t="s">
        <v>533</v>
      </c>
      <c r="H2" s="656" t="s">
        <v>534</v>
      </c>
      <c r="I2" s="656" t="s">
        <v>534</v>
      </c>
      <c r="J2" s="656" t="s">
        <v>535</v>
      </c>
      <c r="K2" s="656" t="s">
        <v>535</v>
      </c>
      <c r="L2" s="658"/>
      <c r="M2" s="656" t="s">
        <v>536</v>
      </c>
      <c r="N2" s="656" t="s">
        <v>536</v>
      </c>
      <c r="O2" s="659"/>
      <c r="P2" s="656" t="s">
        <v>537</v>
      </c>
      <c r="Q2" s="656" t="s">
        <v>537</v>
      </c>
    </row>
    <row r="3" spans="2:28" ht="21.75" customHeight="1" x14ac:dyDescent="0.25">
      <c r="B3" s="817"/>
      <c r="C3" s="820"/>
      <c r="D3" s="820"/>
      <c r="E3" s="822"/>
      <c r="F3" s="653" t="s">
        <v>517</v>
      </c>
      <c r="G3" s="655" t="s">
        <v>519</v>
      </c>
      <c r="H3" s="653" t="s">
        <v>517</v>
      </c>
      <c r="I3" s="655" t="s">
        <v>519</v>
      </c>
      <c r="J3" s="653" t="s">
        <v>517</v>
      </c>
      <c r="K3" s="655" t="s">
        <v>519</v>
      </c>
      <c r="L3" s="660"/>
      <c r="M3" s="653" t="s">
        <v>517</v>
      </c>
      <c r="N3" s="655" t="s">
        <v>519</v>
      </c>
      <c r="O3" s="661"/>
      <c r="P3" s="653" t="s">
        <v>517</v>
      </c>
      <c r="Q3" s="662" t="s">
        <v>519</v>
      </c>
    </row>
    <row r="4" spans="2:28" ht="18.75" customHeight="1" x14ac:dyDescent="0.25">
      <c r="B4" s="10">
        <v>1</v>
      </c>
      <c r="C4" s="577" t="s">
        <v>450</v>
      </c>
      <c r="D4" s="597"/>
      <c r="E4" s="602"/>
      <c r="F4" s="116">
        <f>VLOOKUP(S4,'FS Data'!$A:$B,2,FALSE)</f>
        <v>97328</v>
      </c>
      <c r="G4" s="117">
        <f>VLOOKUP(T4,'FS Data'!$A:$B,2,FALSE)</f>
        <v>97328</v>
      </c>
      <c r="H4" s="20">
        <f>VLOOKUP(U4,'FS Data'!$A:$B,2,FALSE)</f>
        <v>196981</v>
      </c>
      <c r="I4" s="117">
        <f>VLOOKUP(V4,'FS Data'!$A:$B,2,FALSE)</f>
        <v>196981</v>
      </c>
      <c r="J4" s="20">
        <f>VLOOKUP(W4,'FS Data'!$A:$B,2,FALSE)</f>
        <v>0</v>
      </c>
      <c r="K4" s="117">
        <f>VLOOKUP(X4,'FS Data'!$A:$B,2,FALSE)</f>
        <v>0</v>
      </c>
      <c r="M4" s="20">
        <f>VLOOKUP(Y4,'FS Data'!$A:$B,2,FALSE)</f>
        <v>0</v>
      </c>
      <c r="N4" s="117">
        <f>VLOOKUP(Z4,'FS Data'!$A:$B,2,FALSE)</f>
        <v>0</v>
      </c>
      <c r="O4" s="75"/>
      <c r="P4" s="20">
        <f>VLOOKUP(AA4,'FS Data'!$A:$B,2,FALSE)</f>
        <v>0</v>
      </c>
      <c r="Q4" s="117">
        <f>VLOOKUP(AB4,'FS Data'!$A:$B,2,FALSE)</f>
        <v>0</v>
      </c>
      <c r="S4" s="138">
        <v>400104</v>
      </c>
      <c r="T4" s="138">
        <v>400106</v>
      </c>
      <c r="U4" s="138">
        <v>400108</v>
      </c>
      <c r="V4" s="138">
        <v>400110</v>
      </c>
      <c r="W4" s="138">
        <v>400112</v>
      </c>
      <c r="X4" s="138">
        <v>400114</v>
      </c>
      <c r="Y4" s="138">
        <v>400116</v>
      </c>
      <c r="Z4" s="138">
        <v>400118</v>
      </c>
      <c r="AA4" s="138">
        <v>400120</v>
      </c>
      <c r="AB4" s="138">
        <v>400122</v>
      </c>
    </row>
    <row r="5" spans="2:28" ht="18.75" customHeight="1" x14ac:dyDescent="0.25">
      <c r="B5" s="13">
        <v>2</v>
      </c>
      <c r="C5" s="575" t="s">
        <v>451</v>
      </c>
      <c r="D5" s="599"/>
      <c r="E5" s="602"/>
      <c r="F5" s="116">
        <f>VLOOKUP(S5,'FS Data'!$A:$B,2,FALSE)</f>
        <v>65770</v>
      </c>
      <c r="G5" s="117">
        <f>VLOOKUP(T5,'FS Data'!$A:$B,2,FALSE)</f>
        <v>65770</v>
      </c>
      <c r="H5" s="20">
        <f>VLOOKUP(U5,'FS Data'!$A:$B,2,FALSE)</f>
        <v>76014</v>
      </c>
      <c r="I5" s="117">
        <f>VLOOKUP(V5,'FS Data'!$A:$B,2,FALSE)</f>
        <v>76014</v>
      </c>
      <c r="J5" s="20">
        <f>VLOOKUP(W5,'FS Data'!$A:$B,2,FALSE)</f>
        <v>0</v>
      </c>
      <c r="K5" s="117">
        <f>VLOOKUP(X5,'FS Data'!$A:$B,2,FALSE)</f>
        <v>0</v>
      </c>
      <c r="M5" s="20">
        <f>VLOOKUP(Y5,'FS Data'!$A:$B,2,FALSE)</f>
        <v>0</v>
      </c>
      <c r="N5" s="117">
        <f>VLOOKUP(Z5,'FS Data'!$A:$B,2,FALSE)</f>
        <v>0</v>
      </c>
      <c r="O5" s="75"/>
      <c r="P5" s="20">
        <f>VLOOKUP(AA5,'FS Data'!$A:$B,2,FALSE)</f>
        <v>0</v>
      </c>
      <c r="Q5" s="117">
        <f>VLOOKUP(AB5,'FS Data'!$A:$B,2,FALSE)</f>
        <v>0</v>
      </c>
      <c r="S5" s="138">
        <v>400204</v>
      </c>
      <c r="T5" s="138">
        <v>400206</v>
      </c>
      <c r="U5" s="138">
        <v>400208</v>
      </c>
      <c r="V5" s="138">
        <v>400210</v>
      </c>
      <c r="W5" s="138">
        <v>400212</v>
      </c>
      <c r="X5" s="138">
        <v>400214</v>
      </c>
      <c r="Y5" s="138">
        <v>400216</v>
      </c>
      <c r="Z5" s="138">
        <v>400218</v>
      </c>
      <c r="AA5" s="138">
        <v>400220</v>
      </c>
      <c r="AB5" s="138">
        <v>400222</v>
      </c>
    </row>
    <row r="6" spans="2:28" ht="18.75" customHeight="1" x14ac:dyDescent="0.25">
      <c r="B6" s="13">
        <v>3</v>
      </c>
      <c r="C6" s="828"/>
      <c r="D6" s="825"/>
      <c r="E6" s="603"/>
      <c r="F6" s="763"/>
      <c r="G6" s="766"/>
      <c r="H6" s="766"/>
      <c r="I6" s="766"/>
      <c r="J6" s="766"/>
      <c r="K6" s="763"/>
      <c r="L6" s="412"/>
      <c r="M6" s="767"/>
      <c r="N6" s="767"/>
      <c r="O6" s="768"/>
      <c r="P6" s="767"/>
      <c r="Q6" s="769"/>
      <c r="S6" s="138">
        <v>400304</v>
      </c>
      <c r="T6" s="138">
        <v>400306</v>
      </c>
      <c r="U6" s="138">
        <v>400308</v>
      </c>
      <c r="V6" s="138">
        <v>400310</v>
      </c>
      <c r="W6" s="138">
        <v>400312</v>
      </c>
      <c r="X6" s="138">
        <v>400314</v>
      </c>
      <c r="Y6" s="138">
        <v>400316</v>
      </c>
      <c r="Z6" s="138">
        <v>400318</v>
      </c>
      <c r="AA6" s="138">
        <v>400320</v>
      </c>
      <c r="AB6" s="138">
        <v>400322</v>
      </c>
    </row>
    <row r="7" spans="2:28" ht="18.75" customHeight="1" x14ac:dyDescent="0.25">
      <c r="B7" s="10">
        <v>4</v>
      </c>
      <c r="C7" s="354" t="s">
        <v>455</v>
      </c>
      <c r="D7" s="584"/>
      <c r="E7" s="285">
        <v>16</v>
      </c>
      <c r="F7" s="116">
        <f>VLOOKUP(S7,'FS Data'!$A:$B,2,FALSE)</f>
        <v>4804</v>
      </c>
      <c r="G7" s="117">
        <f>VLOOKUP(T7,'FS Data'!$A:$B,2,FALSE)</f>
        <v>4804</v>
      </c>
      <c r="H7" s="20">
        <f>VLOOKUP(U7,'FS Data'!$A:$B,2,FALSE)</f>
        <v>2483</v>
      </c>
      <c r="I7" s="117">
        <f>VLOOKUP(V7,'FS Data'!$A:$B,2,FALSE)</f>
        <v>2483</v>
      </c>
      <c r="J7" s="20">
        <f>VLOOKUP(W7,'FS Data'!$A:$B,2,FALSE)</f>
        <v>0</v>
      </c>
      <c r="K7" s="117">
        <f>VLOOKUP(X7,'FS Data'!$A:$B,2,FALSE)</f>
        <v>0</v>
      </c>
      <c r="M7" s="20">
        <f>VLOOKUP(Y7,'FS Data'!$A:$B,2,FALSE)</f>
        <v>0</v>
      </c>
      <c r="N7" s="117">
        <f>VLOOKUP(Z7,'FS Data'!$A:$B,2,FALSE)</f>
        <v>0</v>
      </c>
      <c r="O7" s="75"/>
      <c r="P7" s="20">
        <f>VLOOKUP(AA7,'FS Data'!$A:$B,2,FALSE)</f>
        <v>0</v>
      </c>
      <c r="Q7" s="117">
        <f>VLOOKUP(AB7,'FS Data'!$A:$B,2,FALSE)</f>
        <v>0</v>
      </c>
      <c r="S7" s="138">
        <v>400404</v>
      </c>
      <c r="T7" s="138">
        <v>400406</v>
      </c>
      <c r="U7" s="138">
        <v>400408</v>
      </c>
      <c r="V7" s="138">
        <v>400410</v>
      </c>
      <c r="W7" s="138">
        <v>400412</v>
      </c>
      <c r="X7" s="138">
        <v>400414</v>
      </c>
      <c r="Y7" s="138">
        <v>400416</v>
      </c>
      <c r="Z7" s="138">
        <v>400418</v>
      </c>
      <c r="AA7" s="138">
        <v>400420</v>
      </c>
      <c r="AB7" s="138">
        <v>400422</v>
      </c>
    </row>
    <row r="8" spans="2:28" ht="18.75" customHeight="1" thickBot="1" x14ac:dyDescent="0.3">
      <c r="B8" s="13">
        <v>5</v>
      </c>
      <c r="C8" s="826" t="s">
        <v>457</v>
      </c>
      <c r="D8" s="827"/>
      <c r="E8" s="285">
        <v>19</v>
      </c>
      <c r="F8" s="186">
        <f>VLOOKUP(S8,'FS Data'!$A:$B,2,FALSE)</f>
        <v>0</v>
      </c>
      <c r="G8" s="163">
        <f>VLOOKUP(T8,'FS Data'!$A:$B,2,FALSE)</f>
        <v>0</v>
      </c>
      <c r="H8" s="162">
        <f>VLOOKUP(U8,'FS Data'!$A:$B,2,FALSE)</f>
        <v>0</v>
      </c>
      <c r="I8" s="163">
        <f>VLOOKUP(V8,'FS Data'!$A:$B,2,FALSE)</f>
        <v>0</v>
      </c>
      <c r="J8" s="162">
        <f>VLOOKUP(W8,'FS Data'!$A:$B,2,FALSE)</f>
        <v>0</v>
      </c>
      <c r="K8" s="163">
        <f>VLOOKUP(X8,'FS Data'!$A:$B,2,FALSE)</f>
        <v>0</v>
      </c>
      <c r="L8" s="120"/>
      <c r="M8" s="162">
        <f>VLOOKUP(Y8,'FS Data'!$A:$B,2,FALSE)</f>
        <v>0</v>
      </c>
      <c r="N8" s="163">
        <f>VLOOKUP(Z8,'FS Data'!$A:$B,2,FALSE)</f>
        <v>0</v>
      </c>
      <c r="O8" s="121"/>
      <c r="P8" s="162">
        <f>VLOOKUP(AA8,'FS Data'!$A:$B,2,FALSE)</f>
        <v>0</v>
      </c>
      <c r="Q8" s="163">
        <f>VLOOKUP(AB8,'FS Data'!$A:$B,2,FALSE)</f>
        <v>0</v>
      </c>
      <c r="S8" s="138">
        <v>400504</v>
      </c>
      <c r="T8" s="138">
        <v>400506</v>
      </c>
      <c r="U8" s="138">
        <v>400508</v>
      </c>
      <c r="V8" s="138">
        <v>400510</v>
      </c>
      <c r="W8" s="138">
        <v>400512</v>
      </c>
      <c r="X8" s="138">
        <v>400514</v>
      </c>
      <c r="Y8" s="138">
        <v>400516</v>
      </c>
      <c r="Z8" s="138">
        <v>400518</v>
      </c>
      <c r="AA8" s="138">
        <v>400520</v>
      </c>
      <c r="AB8" s="138">
        <v>400522</v>
      </c>
    </row>
    <row r="9" spans="2:28" ht="21.6" customHeight="1" thickBot="1" x14ac:dyDescent="0.3">
      <c r="B9" s="13">
        <v>6</v>
      </c>
      <c r="C9" s="808" t="s">
        <v>538</v>
      </c>
      <c r="D9" s="809"/>
      <c r="E9" s="810"/>
      <c r="F9" s="144">
        <f>VLOOKUP(S9,'FS Data'!$A:$B,2,FALSE)</f>
        <v>4804</v>
      </c>
      <c r="G9" s="145">
        <f>VLOOKUP(T9,'FS Data'!$A:$B,2,FALSE)</f>
        <v>4804</v>
      </c>
      <c r="H9" s="148">
        <f>VLOOKUP(U9,'FS Data'!$A:$B,2,FALSE)</f>
        <v>2483</v>
      </c>
      <c r="I9" s="145">
        <f>VLOOKUP(V9,'FS Data'!$A:$B,2,FALSE)</f>
        <v>2483</v>
      </c>
      <c r="J9" s="148">
        <f>VLOOKUP(W9,'FS Data'!$A:$B,2,FALSE)</f>
        <v>0</v>
      </c>
      <c r="K9" s="145">
        <f>VLOOKUP(X9,'FS Data'!$A:$B,2,FALSE)</f>
        <v>0</v>
      </c>
      <c r="L9" s="164"/>
      <c r="M9" s="148">
        <f>VLOOKUP(Y9,'FS Data'!$A:$B,2,FALSE)</f>
        <v>0</v>
      </c>
      <c r="N9" s="145">
        <f>VLOOKUP(Z9,'FS Data'!$A:$B,2,FALSE)</f>
        <v>0</v>
      </c>
      <c r="O9" s="165"/>
      <c r="P9" s="148">
        <f>VLOOKUP(AA9,'FS Data'!$A:$B,2,FALSE)</f>
        <v>0</v>
      </c>
      <c r="Q9" s="145">
        <f>VLOOKUP(AB9,'FS Data'!$A:$B,2,FALSE)</f>
        <v>0</v>
      </c>
      <c r="S9" s="138">
        <v>400604</v>
      </c>
      <c r="T9" s="138">
        <v>400606</v>
      </c>
      <c r="U9" s="138">
        <v>400608</v>
      </c>
      <c r="V9" s="138">
        <v>400610</v>
      </c>
      <c r="W9" s="138">
        <v>400612</v>
      </c>
      <c r="X9" s="138">
        <v>400614</v>
      </c>
      <c r="Y9" s="138">
        <v>400616</v>
      </c>
      <c r="Z9" s="138">
        <v>400618</v>
      </c>
      <c r="AA9" s="138">
        <v>400620</v>
      </c>
      <c r="AB9" s="138">
        <v>400622</v>
      </c>
    </row>
    <row r="10" spans="2:28" ht="18.75" customHeight="1" x14ac:dyDescent="0.25">
      <c r="B10" s="10">
        <v>7</v>
      </c>
      <c r="C10" s="354" t="s">
        <v>461</v>
      </c>
      <c r="D10" s="584"/>
      <c r="E10" s="285">
        <v>20</v>
      </c>
      <c r="F10" s="116">
        <f>VLOOKUP(S10,'FS Data'!$A:$B,2,FALSE)</f>
        <v>3735</v>
      </c>
      <c r="G10" s="117">
        <f>VLOOKUP(T10,'FS Data'!$A:$B,2,FALSE)</f>
        <v>3735</v>
      </c>
      <c r="H10" s="20">
        <f>VLOOKUP(U10,'FS Data'!$A:$B,2,FALSE)</f>
        <v>2988</v>
      </c>
      <c r="I10" s="117">
        <f>VLOOKUP(V10,'FS Data'!$A:$B,2,FALSE)</f>
        <v>2988</v>
      </c>
      <c r="J10" s="20">
        <f>VLOOKUP(W10,'FS Data'!$A:$B,2,FALSE)</f>
        <v>0</v>
      </c>
      <c r="K10" s="117">
        <f>VLOOKUP(X10,'FS Data'!$A:$B,2,FALSE)</f>
        <v>0</v>
      </c>
      <c r="M10" s="20">
        <f>VLOOKUP(Y10,'FS Data'!$A:$B,2,FALSE)</f>
        <v>0</v>
      </c>
      <c r="N10" s="117">
        <f>VLOOKUP(Z10,'FS Data'!$A:$B,2,FALSE)</f>
        <v>0</v>
      </c>
      <c r="O10" s="75"/>
      <c r="P10" s="20">
        <f>VLOOKUP(AA10,'FS Data'!$A:$B,2,FALSE)</f>
        <v>0</v>
      </c>
      <c r="Q10" s="117">
        <f>VLOOKUP(AB10,'FS Data'!$A:$B,2,FALSE)</f>
        <v>0</v>
      </c>
      <c r="S10" s="138">
        <v>400704</v>
      </c>
      <c r="T10" s="138">
        <v>400706</v>
      </c>
      <c r="U10" s="138">
        <v>400708</v>
      </c>
      <c r="V10" s="138">
        <v>400710</v>
      </c>
      <c r="W10" s="138">
        <v>400712</v>
      </c>
      <c r="X10" s="138">
        <v>400714</v>
      </c>
      <c r="Y10" s="138">
        <v>400716</v>
      </c>
      <c r="Z10" s="138">
        <v>400718</v>
      </c>
      <c r="AA10" s="138">
        <v>400720</v>
      </c>
      <c r="AB10" s="138">
        <v>400722</v>
      </c>
    </row>
    <row r="11" spans="2:28" ht="18.75" customHeight="1" x14ac:dyDescent="0.25">
      <c r="B11" s="13">
        <v>8</v>
      </c>
      <c r="C11" s="354" t="s">
        <v>75</v>
      </c>
      <c r="D11" s="584"/>
      <c r="E11" s="285">
        <v>21</v>
      </c>
      <c r="F11" s="116">
        <f>VLOOKUP(S11,'FS Data'!$A:$B,2,FALSE)</f>
        <v>12758</v>
      </c>
      <c r="G11" s="117">
        <f>VLOOKUP(T11,'FS Data'!$A:$B,2,FALSE)</f>
        <v>12758</v>
      </c>
      <c r="H11" s="20">
        <f>VLOOKUP(U11,'FS Data'!$A:$B,2,FALSE)</f>
        <v>3079</v>
      </c>
      <c r="I11" s="117">
        <f>VLOOKUP(V11,'FS Data'!$A:$B,2,FALSE)</f>
        <v>3079</v>
      </c>
      <c r="J11" s="20">
        <f>VLOOKUP(W11,'FS Data'!$A:$B,2,FALSE)</f>
        <v>0</v>
      </c>
      <c r="K11" s="117">
        <f>VLOOKUP(X11,'FS Data'!$A:$B,2,FALSE)</f>
        <v>0</v>
      </c>
      <c r="M11" s="20">
        <f>VLOOKUP(Y11,'FS Data'!$A:$B,2,FALSE)</f>
        <v>0</v>
      </c>
      <c r="N11" s="117">
        <f>VLOOKUP(Z11,'FS Data'!$A:$B,2,FALSE)</f>
        <v>0</v>
      </c>
      <c r="O11" s="75"/>
      <c r="P11" s="20">
        <f>VLOOKUP(AA11,'FS Data'!$A:$B,2,FALSE)</f>
        <v>0</v>
      </c>
      <c r="Q11" s="117">
        <f>VLOOKUP(AB11,'FS Data'!$A:$B,2,FALSE)</f>
        <v>0</v>
      </c>
      <c r="S11" s="138">
        <v>400804</v>
      </c>
      <c r="T11" s="138">
        <v>400806</v>
      </c>
      <c r="U11" s="138">
        <v>400808</v>
      </c>
      <c r="V11" s="138">
        <v>400810</v>
      </c>
      <c r="W11" s="138">
        <v>400812</v>
      </c>
      <c r="X11" s="138">
        <v>400814</v>
      </c>
      <c r="Y11" s="138">
        <v>400816</v>
      </c>
      <c r="Z11" s="138">
        <v>400818</v>
      </c>
      <c r="AA11" s="138">
        <v>400820</v>
      </c>
      <c r="AB11" s="138">
        <v>400822</v>
      </c>
    </row>
    <row r="12" spans="2:28" ht="18.75" customHeight="1" x14ac:dyDescent="0.25">
      <c r="B12" s="13">
        <v>9</v>
      </c>
      <c r="C12" s="354" t="s">
        <v>462</v>
      </c>
      <c r="D12" s="584"/>
      <c r="E12" s="285">
        <v>22</v>
      </c>
      <c r="F12" s="116">
        <f>VLOOKUP(S12,'FS Data'!$A:$B,2,FALSE)</f>
        <v>5753</v>
      </c>
      <c r="G12" s="117">
        <f>VLOOKUP(T12,'FS Data'!$A:$B,2,FALSE)</f>
        <v>5753</v>
      </c>
      <c r="H12" s="20">
        <f>VLOOKUP(U12,'FS Data'!$A:$B,2,FALSE)</f>
        <v>2905</v>
      </c>
      <c r="I12" s="117">
        <f>VLOOKUP(V12,'FS Data'!$A:$B,2,FALSE)</f>
        <v>2905</v>
      </c>
      <c r="J12" s="20">
        <f>VLOOKUP(W12,'FS Data'!$A:$B,2,FALSE)</f>
        <v>0</v>
      </c>
      <c r="K12" s="117">
        <f>VLOOKUP(X12,'FS Data'!$A:$B,2,FALSE)</f>
        <v>0</v>
      </c>
      <c r="M12" s="20">
        <f>VLOOKUP(Y12,'FS Data'!$A:$B,2,FALSE)</f>
        <v>0</v>
      </c>
      <c r="N12" s="117">
        <f>VLOOKUP(Z12,'FS Data'!$A:$B,2,FALSE)</f>
        <v>0</v>
      </c>
      <c r="O12" s="75"/>
      <c r="P12" s="20">
        <f>VLOOKUP(AA12,'FS Data'!$A:$B,2,FALSE)</f>
        <v>0</v>
      </c>
      <c r="Q12" s="117">
        <f>VLOOKUP(AB12,'FS Data'!$A:$B,2,FALSE)</f>
        <v>0</v>
      </c>
      <c r="S12" s="138">
        <v>400904</v>
      </c>
      <c r="T12" s="138">
        <v>400906</v>
      </c>
      <c r="U12" s="138">
        <v>400908</v>
      </c>
      <c r="V12" s="138">
        <v>400910</v>
      </c>
      <c r="W12" s="138">
        <v>400912</v>
      </c>
      <c r="X12" s="138">
        <v>400914</v>
      </c>
      <c r="Y12" s="138">
        <v>400916</v>
      </c>
      <c r="Z12" s="138">
        <v>400918</v>
      </c>
      <c r="AA12" s="138">
        <v>400920</v>
      </c>
      <c r="AB12" s="138">
        <v>400922</v>
      </c>
    </row>
    <row r="13" spans="2:28" ht="18.75" customHeight="1" x14ac:dyDescent="0.25">
      <c r="B13" s="10">
        <v>10</v>
      </c>
      <c r="C13" s="354" t="s">
        <v>463</v>
      </c>
      <c r="D13" s="584"/>
      <c r="E13" s="285">
        <v>26</v>
      </c>
      <c r="F13" s="116">
        <f>VLOOKUP(S13,'FS Data'!$A:$B,2,FALSE)</f>
        <v>10355</v>
      </c>
      <c r="G13" s="117">
        <f>VLOOKUP(T13,'FS Data'!$A:$B,2,FALSE)</f>
        <v>10355</v>
      </c>
      <c r="H13" s="20">
        <f>VLOOKUP(U13,'FS Data'!$A:$B,2,FALSE)</f>
        <v>0</v>
      </c>
      <c r="I13" s="117">
        <f>VLOOKUP(V13,'FS Data'!$A:$B,2,FALSE)</f>
        <v>0</v>
      </c>
      <c r="J13" s="20">
        <f>VLOOKUP(W13,'FS Data'!$A:$B,2,FALSE)</f>
        <v>0</v>
      </c>
      <c r="K13" s="117">
        <f>VLOOKUP(X13,'FS Data'!$A:$B,2,FALSE)</f>
        <v>0</v>
      </c>
      <c r="M13" s="20">
        <f>VLOOKUP(Y13,'FS Data'!$A:$B,2,FALSE)</f>
        <v>0</v>
      </c>
      <c r="N13" s="117">
        <f>VLOOKUP(Z13,'FS Data'!$A:$B,2,FALSE)</f>
        <v>0</v>
      </c>
      <c r="O13" s="75"/>
      <c r="P13" s="20">
        <f>VLOOKUP(AA13,'FS Data'!$A:$B,2,FALSE)</f>
        <v>0</v>
      </c>
      <c r="Q13" s="117">
        <f>VLOOKUP(AB13,'FS Data'!$A:$B,2,FALSE)</f>
        <v>0</v>
      </c>
      <c r="S13" s="138">
        <v>401004</v>
      </c>
      <c r="T13" s="138">
        <v>401006</v>
      </c>
      <c r="U13" s="138">
        <v>401008</v>
      </c>
      <c r="V13" s="138">
        <v>401010</v>
      </c>
      <c r="W13" s="138">
        <v>401012</v>
      </c>
      <c r="X13" s="138">
        <v>401014</v>
      </c>
      <c r="Y13" s="138">
        <v>401016</v>
      </c>
      <c r="Z13" s="138">
        <v>401018</v>
      </c>
      <c r="AA13" s="138">
        <v>401020</v>
      </c>
      <c r="AB13" s="138">
        <v>401022</v>
      </c>
    </row>
    <row r="14" spans="2:28" ht="18.75" customHeight="1" x14ac:dyDescent="0.25">
      <c r="B14" s="13">
        <v>11</v>
      </c>
      <c r="C14" s="354" t="s">
        <v>464</v>
      </c>
      <c r="D14" s="584"/>
      <c r="E14" s="285">
        <v>23</v>
      </c>
      <c r="F14" s="116">
        <f>VLOOKUP(S14,'FS Data'!$A:$B,2,FALSE)</f>
        <v>4461</v>
      </c>
      <c r="G14" s="117">
        <f>VLOOKUP(T14,'FS Data'!$A:$B,2,FALSE)</f>
        <v>4461</v>
      </c>
      <c r="H14" s="20">
        <f>VLOOKUP(U14,'FS Data'!$A:$B,2,FALSE)</f>
        <v>12777</v>
      </c>
      <c r="I14" s="117">
        <f>VLOOKUP(V14,'FS Data'!$A:$B,2,FALSE)</f>
        <v>12777</v>
      </c>
      <c r="J14" s="20">
        <f>VLOOKUP(W14,'FS Data'!$A:$B,2,FALSE)</f>
        <v>0</v>
      </c>
      <c r="K14" s="117">
        <f>VLOOKUP(X14,'FS Data'!$A:$B,2,FALSE)</f>
        <v>0</v>
      </c>
      <c r="M14" s="20">
        <f>VLOOKUP(Y14,'FS Data'!$A:$B,2,FALSE)</f>
        <v>0</v>
      </c>
      <c r="N14" s="117">
        <f>VLOOKUP(Z14,'FS Data'!$A:$B,2,FALSE)</f>
        <v>0</v>
      </c>
      <c r="O14" s="75"/>
      <c r="P14" s="20">
        <f>VLOOKUP(AA14,'FS Data'!$A:$B,2,FALSE)</f>
        <v>0</v>
      </c>
      <c r="Q14" s="117">
        <f>VLOOKUP(AB14,'FS Data'!$A:$B,2,FALSE)</f>
        <v>0</v>
      </c>
      <c r="S14" s="138">
        <v>401104</v>
      </c>
      <c r="T14" s="138">
        <v>401106</v>
      </c>
      <c r="U14" s="138">
        <v>401108</v>
      </c>
      <c r="V14" s="138">
        <v>401110</v>
      </c>
      <c r="W14" s="138">
        <v>401112</v>
      </c>
      <c r="X14" s="138">
        <v>401114</v>
      </c>
      <c r="Y14" s="138">
        <v>401116</v>
      </c>
      <c r="Z14" s="138">
        <v>401118</v>
      </c>
      <c r="AA14" s="138">
        <v>401120</v>
      </c>
      <c r="AB14" s="138">
        <v>401122</v>
      </c>
    </row>
    <row r="15" spans="2:28" ht="18.75" customHeight="1" x14ac:dyDescent="0.25">
      <c r="B15" s="13">
        <v>12</v>
      </c>
      <c r="C15" s="779" t="s">
        <v>465</v>
      </c>
      <c r="D15" s="810"/>
      <c r="E15" s="285">
        <v>24</v>
      </c>
      <c r="F15" s="116">
        <f>VLOOKUP(S15,'FS Data'!$A:$B,2,FALSE)</f>
        <v>11500</v>
      </c>
      <c r="G15" s="117">
        <f>VLOOKUP(T15,'FS Data'!$A:$B,2,FALSE)</f>
        <v>11500</v>
      </c>
      <c r="H15" s="20">
        <f>VLOOKUP(U15,'FS Data'!$A:$B,2,FALSE)</f>
        <v>3078</v>
      </c>
      <c r="I15" s="117">
        <f>VLOOKUP(V15,'FS Data'!$A:$B,2,FALSE)</f>
        <v>3078</v>
      </c>
      <c r="J15" s="20">
        <f>VLOOKUP(W15,'FS Data'!$A:$B,2,FALSE)</f>
        <v>0</v>
      </c>
      <c r="K15" s="117">
        <f>VLOOKUP(X15,'FS Data'!$A:$B,2,FALSE)</f>
        <v>0</v>
      </c>
      <c r="M15" s="20">
        <f>VLOOKUP(Y15,'FS Data'!$A:$B,2,FALSE)</f>
        <v>0</v>
      </c>
      <c r="N15" s="117">
        <f>VLOOKUP(Z15,'FS Data'!$A:$B,2,FALSE)</f>
        <v>0</v>
      </c>
      <c r="O15" s="75"/>
      <c r="P15" s="20">
        <f>VLOOKUP(AA15,'FS Data'!$A:$B,2,FALSE)</f>
        <v>0</v>
      </c>
      <c r="Q15" s="117">
        <f>VLOOKUP(AB15,'FS Data'!$A:$B,2,FALSE)</f>
        <v>0</v>
      </c>
      <c r="S15" s="138">
        <v>401204</v>
      </c>
      <c r="T15" s="138">
        <v>401206</v>
      </c>
      <c r="U15" s="138">
        <v>401208</v>
      </c>
      <c r="V15" s="138">
        <v>401210</v>
      </c>
      <c r="W15" s="138">
        <v>401212</v>
      </c>
      <c r="X15" s="138">
        <v>401214</v>
      </c>
      <c r="Y15" s="138">
        <v>401216</v>
      </c>
      <c r="Z15" s="138">
        <v>401218</v>
      </c>
      <c r="AA15" s="138">
        <v>401220</v>
      </c>
      <c r="AB15" s="138">
        <v>401222</v>
      </c>
    </row>
    <row r="16" spans="2:28" ht="18.75" customHeight="1" x14ac:dyDescent="0.25">
      <c r="B16" s="10">
        <v>13</v>
      </c>
      <c r="C16" s="354" t="s">
        <v>466</v>
      </c>
      <c r="D16" s="584"/>
      <c r="E16" s="285">
        <v>25</v>
      </c>
      <c r="F16" s="116">
        <f>VLOOKUP(S16,'FS Data'!$A:$B,2,FALSE)</f>
        <v>12631</v>
      </c>
      <c r="G16" s="117">
        <f>VLOOKUP(T16,'FS Data'!$A:$B,2,FALSE)</f>
        <v>12631</v>
      </c>
      <c r="H16" s="20">
        <f>VLOOKUP(U16,'FS Data'!$A:$B,2,FALSE)</f>
        <v>3744</v>
      </c>
      <c r="I16" s="117">
        <f>VLOOKUP(V16,'FS Data'!$A:$B,2,FALSE)</f>
        <v>3744</v>
      </c>
      <c r="J16" s="20">
        <f>VLOOKUP(W16,'FS Data'!$A:$B,2,FALSE)</f>
        <v>0</v>
      </c>
      <c r="K16" s="117">
        <f>VLOOKUP(X16,'FS Data'!$A:$B,2,FALSE)</f>
        <v>0</v>
      </c>
      <c r="M16" s="20">
        <f>VLOOKUP(Y16,'FS Data'!$A:$B,2,FALSE)</f>
        <v>0</v>
      </c>
      <c r="N16" s="117">
        <f>VLOOKUP(Z16,'FS Data'!$A:$B,2,FALSE)</f>
        <v>0</v>
      </c>
      <c r="O16" s="75"/>
      <c r="P16" s="20">
        <f>VLOOKUP(AA16,'FS Data'!$A:$B,2,FALSE)</f>
        <v>0</v>
      </c>
      <c r="Q16" s="117">
        <f>VLOOKUP(AB16,'FS Data'!$A:$B,2,FALSE)</f>
        <v>0</v>
      </c>
      <c r="S16" s="138">
        <v>401304</v>
      </c>
      <c r="T16" s="138">
        <v>401306</v>
      </c>
      <c r="U16" s="138">
        <v>401308</v>
      </c>
      <c r="V16" s="138">
        <v>401310</v>
      </c>
      <c r="W16" s="138">
        <v>401312</v>
      </c>
      <c r="X16" s="138">
        <v>401314</v>
      </c>
      <c r="Y16" s="138">
        <v>401316</v>
      </c>
      <c r="Z16" s="138">
        <v>401318</v>
      </c>
      <c r="AA16" s="138">
        <v>401320</v>
      </c>
      <c r="AB16" s="138">
        <v>401322</v>
      </c>
    </row>
    <row r="17" spans="2:28" ht="18.75" customHeight="1" x14ac:dyDescent="0.25">
      <c r="B17" s="13">
        <v>14</v>
      </c>
      <c r="C17" s="354" t="s">
        <v>467</v>
      </c>
      <c r="D17" s="584"/>
      <c r="E17" s="285">
        <v>27</v>
      </c>
      <c r="F17" s="116">
        <f>VLOOKUP(S17,'FS Data'!$A:$B,2,FALSE)</f>
        <v>5415</v>
      </c>
      <c r="G17" s="117">
        <f>VLOOKUP(T17,'FS Data'!$A:$B,2,FALSE)</f>
        <v>5415</v>
      </c>
      <c r="H17" s="20">
        <f>VLOOKUP(U17,'FS Data'!$A:$B,2,FALSE)</f>
        <v>1860</v>
      </c>
      <c r="I17" s="117">
        <f>VLOOKUP(V17,'FS Data'!$A:$B,2,FALSE)</f>
        <v>1860</v>
      </c>
      <c r="J17" s="20">
        <f>VLOOKUP(W17,'FS Data'!$A:$B,2,FALSE)</f>
        <v>0</v>
      </c>
      <c r="K17" s="117">
        <f>VLOOKUP(X17,'FS Data'!$A:$B,2,FALSE)</f>
        <v>0</v>
      </c>
      <c r="M17" s="20">
        <f>VLOOKUP(Y17,'FS Data'!$A:$B,2,FALSE)</f>
        <v>0</v>
      </c>
      <c r="N17" s="117">
        <f>VLOOKUP(Z17,'FS Data'!$A:$B,2,FALSE)</f>
        <v>0</v>
      </c>
      <c r="O17" s="75"/>
      <c r="P17" s="20">
        <f>VLOOKUP(AA17,'FS Data'!$A:$B,2,FALSE)</f>
        <v>0</v>
      </c>
      <c r="Q17" s="117">
        <f>VLOOKUP(AB17,'FS Data'!$A:$B,2,FALSE)</f>
        <v>0</v>
      </c>
      <c r="S17" s="138">
        <v>401404</v>
      </c>
      <c r="T17" s="138">
        <v>401406</v>
      </c>
      <c r="U17" s="138">
        <v>401408</v>
      </c>
      <c r="V17" s="138">
        <v>401410</v>
      </c>
      <c r="W17" s="138">
        <v>401412</v>
      </c>
      <c r="X17" s="138">
        <v>401414</v>
      </c>
      <c r="Y17" s="138">
        <v>401416</v>
      </c>
      <c r="Z17" s="138">
        <v>401418</v>
      </c>
      <c r="AA17" s="138">
        <v>401420</v>
      </c>
      <c r="AB17" s="138">
        <v>401422</v>
      </c>
    </row>
    <row r="18" spans="2:28" ht="18.75" customHeight="1" x14ac:dyDescent="0.25">
      <c r="B18" s="13">
        <v>15</v>
      </c>
      <c r="C18" s="354" t="s">
        <v>415</v>
      </c>
      <c r="D18" s="584"/>
      <c r="E18" s="285">
        <v>29</v>
      </c>
      <c r="F18" s="116">
        <f>VLOOKUP(S18,'FS Data'!$A:$B,2,FALSE)</f>
        <v>1923</v>
      </c>
      <c r="G18" s="117">
        <f>VLOOKUP(T18,'FS Data'!$A:$B,2,FALSE)</f>
        <v>1923</v>
      </c>
      <c r="H18" s="20">
        <f>VLOOKUP(U18,'FS Data'!$A:$B,2,FALSE)</f>
        <v>424</v>
      </c>
      <c r="I18" s="117">
        <f>VLOOKUP(V18,'FS Data'!$A:$B,2,FALSE)</f>
        <v>424</v>
      </c>
      <c r="J18" s="20">
        <f>VLOOKUP(W18,'FS Data'!$A:$B,2,FALSE)</f>
        <v>0</v>
      </c>
      <c r="K18" s="117">
        <f>VLOOKUP(X18,'FS Data'!$A:$B,2,FALSE)</f>
        <v>0</v>
      </c>
      <c r="M18" s="20">
        <f>VLOOKUP(Y18,'FS Data'!$A:$B,2,FALSE)</f>
        <v>0</v>
      </c>
      <c r="N18" s="117">
        <f>VLOOKUP(Z18,'FS Data'!$A:$B,2,FALSE)</f>
        <v>0</v>
      </c>
      <c r="O18" s="75"/>
      <c r="P18" s="20">
        <f>VLOOKUP(AA18,'FS Data'!$A:$B,2,FALSE)</f>
        <v>0</v>
      </c>
      <c r="Q18" s="117">
        <f>VLOOKUP(AB18,'FS Data'!$A:$B,2,FALSE)</f>
        <v>0</v>
      </c>
      <c r="S18" s="138">
        <v>401504</v>
      </c>
      <c r="T18" s="138">
        <v>401506</v>
      </c>
      <c r="U18" s="138">
        <v>401508</v>
      </c>
      <c r="V18" s="138">
        <v>401510</v>
      </c>
      <c r="W18" s="138">
        <v>401512</v>
      </c>
      <c r="X18" s="138">
        <v>401514</v>
      </c>
      <c r="Y18" s="138">
        <v>401516</v>
      </c>
      <c r="Z18" s="138">
        <v>401518</v>
      </c>
      <c r="AA18" s="138">
        <v>401520</v>
      </c>
      <c r="AB18" s="138">
        <v>401522</v>
      </c>
    </row>
    <row r="19" spans="2:28" ht="18.75" customHeight="1" thickBot="1" x14ac:dyDescent="0.3">
      <c r="B19" s="10">
        <v>16</v>
      </c>
      <c r="C19" s="354" t="s">
        <v>468</v>
      </c>
      <c r="D19" s="584"/>
      <c r="E19" s="285">
        <v>30</v>
      </c>
      <c r="F19" s="142">
        <f>VLOOKUP(S19,'FS Data'!$A:$B,2,FALSE)</f>
        <v>0</v>
      </c>
      <c r="G19" s="143">
        <f>VLOOKUP(T19,'FS Data'!$A:$B,2,FALSE)</f>
        <v>0</v>
      </c>
      <c r="H19" s="146">
        <f>VLOOKUP(U19,'FS Data'!$A:$B,2,FALSE)</f>
        <v>0</v>
      </c>
      <c r="I19" s="143">
        <f>VLOOKUP(V19,'FS Data'!$A:$B,2,FALSE)</f>
        <v>0</v>
      </c>
      <c r="J19" s="146">
        <f>VLOOKUP(W19,'FS Data'!$A:$B,2,FALSE)</f>
        <v>0</v>
      </c>
      <c r="K19" s="143">
        <f>VLOOKUP(X19,'FS Data'!$A:$B,2,FALSE)</f>
        <v>0</v>
      </c>
      <c r="M19" s="146">
        <f>VLOOKUP(Y19,'FS Data'!$A:$B,2,FALSE)</f>
        <v>0</v>
      </c>
      <c r="N19" s="143">
        <f>VLOOKUP(Z19,'FS Data'!$A:$B,2,FALSE)</f>
        <v>0</v>
      </c>
      <c r="O19" s="75"/>
      <c r="P19" s="146">
        <f>VLOOKUP(AA19,'FS Data'!$A:$B,2,FALSE)</f>
        <v>0</v>
      </c>
      <c r="Q19" s="143">
        <f>VLOOKUP(AB19,'FS Data'!$A:$B,2,FALSE)</f>
        <v>0</v>
      </c>
      <c r="S19" s="138">
        <v>401604</v>
      </c>
      <c r="T19" s="138">
        <v>401606</v>
      </c>
      <c r="U19" s="138">
        <v>401608</v>
      </c>
      <c r="V19" s="138">
        <v>401610</v>
      </c>
      <c r="W19" s="138">
        <v>401612</v>
      </c>
      <c r="X19" s="138">
        <v>401614</v>
      </c>
      <c r="Y19" s="138">
        <v>401616</v>
      </c>
      <c r="Z19" s="138">
        <v>401618</v>
      </c>
      <c r="AA19" s="138">
        <v>401620</v>
      </c>
      <c r="AB19" s="138">
        <v>401622</v>
      </c>
    </row>
    <row r="20" spans="2:28" ht="21.6" customHeight="1" thickBot="1" x14ac:dyDescent="0.3">
      <c r="B20" s="13">
        <v>17</v>
      </c>
      <c r="C20" s="808" t="s">
        <v>539</v>
      </c>
      <c r="D20" s="809"/>
      <c r="E20" s="810"/>
      <c r="F20" s="144">
        <f>VLOOKUP(S20,'FS Data'!$A:$B,2,FALSE)</f>
        <v>68531</v>
      </c>
      <c r="G20" s="145">
        <f>VLOOKUP(T20,'FS Data'!$A:$B,2,FALSE)</f>
        <v>68531</v>
      </c>
      <c r="H20" s="148">
        <f>VLOOKUP(U20,'FS Data'!$A:$B,2,FALSE)</f>
        <v>30855</v>
      </c>
      <c r="I20" s="145">
        <f>VLOOKUP(V20,'FS Data'!$A:$B,2,FALSE)</f>
        <v>30855</v>
      </c>
      <c r="J20" s="148">
        <f>VLOOKUP(W20,'FS Data'!$A:$B,2,FALSE)</f>
        <v>0</v>
      </c>
      <c r="K20" s="145">
        <f>VLOOKUP(X20,'FS Data'!$A:$B,2,FALSE)</f>
        <v>0</v>
      </c>
      <c r="L20" s="164"/>
      <c r="M20" s="148">
        <f>VLOOKUP(Y20,'FS Data'!$A:$B,2,FALSE)</f>
        <v>0</v>
      </c>
      <c r="N20" s="145">
        <f>VLOOKUP(Z20,'FS Data'!$A:$B,2,FALSE)</f>
        <v>0</v>
      </c>
      <c r="O20" s="165"/>
      <c r="P20" s="148">
        <f>VLOOKUP(AA20,'FS Data'!$A:$B,2,FALSE)</f>
        <v>0</v>
      </c>
      <c r="Q20" s="145">
        <f>VLOOKUP(AB20,'FS Data'!$A:$B,2,FALSE)</f>
        <v>0</v>
      </c>
      <c r="S20" s="138">
        <v>401704</v>
      </c>
      <c r="T20" s="138">
        <v>401706</v>
      </c>
      <c r="U20" s="138">
        <v>401708</v>
      </c>
      <c r="V20" s="138">
        <v>401710</v>
      </c>
      <c r="W20" s="138">
        <v>401712</v>
      </c>
      <c r="X20" s="138">
        <v>401714</v>
      </c>
      <c r="Y20" s="138">
        <v>401716</v>
      </c>
      <c r="Z20" s="138">
        <v>401718</v>
      </c>
      <c r="AA20" s="138">
        <v>401720</v>
      </c>
      <c r="AB20" s="138">
        <v>401722</v>
      </c>
    </row>
    <row r="21" spans="2:28" ht="18.75" customHeight="1" x14ac:dyDescent="0.25">
      <c r="B21" s="13">
        <v>18</v>
      </c>
      <c r="C21" s="354" t="s">
        <v>470</v>
      </c>
      <c r="D21" s="584"/>
      <c r="E21" s="285">
        <v>51</v>
      </c>
      <c r="F21" s="116">
        <f>VLOOKUP(S21,'FS Data'!$A:$B,2,FALSE)</f>
        <v>1898</v>
      </c>
      <c r="G21" s="117">
        <f>VLOOKUP(T21,'FS Data'!$A:$B,2,FALSE)</f>
        <v>1898</v>
      </c>
      <c r="H21" s="20">
        <f>VLOOKUP(U21,'FS Data'!$A:$B,2,FALSE)</f>
        <v>0</v>
      </c>
      <c r="I21" s="117">
        <f>VLOOKUP(V21,'FS Data'!$A:$B,2,FALSE)</f>
        <v>0</v>
      </c>
      <c r="J21" s="20">
        <f>VLOOKUP(W21,'FS Data'!$A:$B,2,FALSE)</f>
        <v>0</v>
      </c>
      <c r="K21" s="117">
        <f>VLOOKUP(X21,'FS Data'!$A:$B,2,FALSE)</f>
        <v>0</v>
      </c>
      <c r="M21" s="20">
        <f>VLOOKUP(Y21,'FS Data'!$A:$B,2,FALSE)</f>
        <v>0</v>
      </c>
      <c r="N21" s="117">
        <f>VLOOKUP(Z21,'FS Data'!$A:$B,2,FALSE)</f>
        <v>0</v>
      </c>
      <c r="O21" s="75"/>
      <c r="P21" s="20">
        <f>VLOOKUP(AA21,'FS Data'!$A:$B,2,FALSE)</f>
        <v>0</v>
      </c>
      <c r="Q21" s="117">
        <f>VLOOKUP(AB21,'FS Data'!$A:$B,2,FALSE)</f>
        <v>0</v>
      </c>
      <c r="S21" s="138">
        <v>401804</v>
      </c>
      <c r="T21" s="138">
        <v>401806</v>
      </c>
      <c r="U21" s="138">
        <v>401808</v>
      </c>
      <c r="V21" s="138">
        <v>401810</v>
      </c>
      <c r="W21" s="138">
        <v>401812</v>
      </c>
      <c r="X21" s="138">
        <v>401814</v>
      </c>
      <c r="Y21" s="138">
        <v>401816</v>
      </c>
      <c r="Z21" s="138">
        <v>401818</v>
      </c>
      <c r="AA21" s="138">
        <v>401820</v>
      </c>
      <c r="AB21" s="138">
        <v>401822</v>
      </c>
    </row>
    <row r="22" spans="2:28" ht="18.75" customHeight="1" x14ac:dyDescent="0.25">
      <c r="B22" s="10">
        <v>19</v>
      </c>
      <c r="C22" s="354" t="s">
        <v>471</v>
      </c>
      <c r="D22" s="584"/>
      <c r="E22" s="285">
        <v>53</v>
      </c>
      <c r="F22" s="116">
        <f>VLOOKUP(S22,'FS Data'!$A:$B,2,FALSE)</f>
        <v>2244</v>
      </c>
      <c r="G22" s="117">
        <f>VLOOKUP(T22,'FS Data'!$A:$B,2,FALSE)</f>
        <v>2244</v>
      </c>
      <c r="H22" s="20">
        <f>VLOOKUP(U22,'FS Data'!$A:$B,2,FALSE)</f>
        <v>1382</v>
      </c>
      <c r="I22" s="117">
        <f>VLOOKUP(V22,'FS Data'!$A:$B,2,FALSE)</f>
        <v>1382</v>
      </c>
      <c r="J22" s="20">
        <f>VLOOKUP(W22,'FS Data'!$A:$B,2,FALSE)</f>
        <v>0</v>
      </c>
      <c r="K22" s="117">
        <f>VLOOKUP(X22,'FS Data'!$A:$B,2,FALSE)</f>
        <v>0</v>
      </c>
      <c r="M22" s="20">
        <f>VLOOKUP(Y22,'FS Data'!$A:$B,2,FALSE)</f>
        <v>0</v>
      </c>
      <c r="N22" s="117">
        <f>VLOOKUP(Z22,'FS Data'!$A:$B,2,FALSE)</f>
        <v>0</v>
      </c>
      <c r="O22" s="75"/>
      <c r="P22" s="20">
        <f>VLOOKUP(AA22,'FS Data'!$A:$B,2,FALSE)</f>
        <v>0</v>
      </c>
      <c r="Q22" s="117">
        <f>VLOOKUP(AB22,'FS Data'!$A:$B,2,FALSE)</f>
        <v>0</v>
      </c>
      <c r="S22" s="138">
        <v>401904</v>
      </c>
      <c r="T22" s="138">
        <v>401906</v>
      </c>
      <c r="U22" s="138">
        <v>401908</v>
      </c>
      <c r="V22" s="138">
        <v>401910</v>
      </c>
      <c r="W22" s="138">
        <v>401912</v>
      </c>
      <c r="X22" s="138">
        <v>401914</v>
      </c>
      <c r="Y22" s="138">
        <v>401916</v>
      </c>
      <c r="Z22" s="138">
        <v>401918</v>
      </c>
      <c r="AA22" s="138">
        <v>401920</v>
      </c>
      <c r="AB22" s="138">
        <v>401922</v>
      </c>
    </row>
    <row r="23" spans="2:28" ht="18.75" customHeight="1" x14ac:dyDescent="0.25">
      <c r="B23" s="13">
        <v>20</v>
      </c>
      <c r="C23" s="354" t="s">
        <v>472</v>
      </c>
      <c r="D23" s="584"/>
      <c r="E23" s="285">
        <v>60</v>
      </c>
      <c r="F23" s="116">
        <f>VLOOKUP(S23,'FS Data'!$A:$B,2,FALSE)</f>
        <v>149</v>
      </c>
      <c r="G23" s="117">
        <f>VLOOKUP(T23,'FS Data'!$A:$B,2,FALSE)</f>
        <v>149</v>
      </c>
      <c r="H23" s="20">
        <f>VLOOKUP(U23,'FS Data'!$A:$B,2,FALSE)</f>
        <v>119</v>
      </c>
      <c r="I23" s="117">
        <f>VLOOKUP(V23,'FS Data'!$A:$B,2,FALSE)</f>
        <v>119</v>
      </c>
      <c r="J23" s="20">
        <f>VLOOKUP(W23,'FS Data'!$A:$B,2,FALSE)</f>
        <v>0</v>
      </c>
      <c r="K23" s="117">
        <f>VLOOKUP(X23,'FS Data'!$A:$B,2,FALSE)</f>
        <v>0</v>
      </c>
      <c r="M23" s="20">
        <f>VLOOKUP(Y23,'FS Data'!$A:$B,2,FALSE)</f>
        <v>0</v>
      </c>
      <c r="N23" s="117">
        <f>VLOOKUP(Z23,'FS Data'!$A:$B,2,FALSE)</f>
        <v>0</v>
      </c>
      <c r="O23" s="75"/>
      <c r="P23" s="20">
        <f>VLOOKUP(AA23,'FS Data'!$A:$B,2,FALSE)</f>
        <v>0</v>
      </c>
      <c r="Q23" s="117">
        <f>VLOOKUP(AB23,'FS Data'!$A:$B,2,FALSE)</f>
        <v>0</v>
      </c>
      <c r="S23" s="138">
        <v>402004</v>
      </c>
      <c r="T23" s="138">
        <v>402006</v>
      </c>
      <c r="U23" s="138">
        <v>402008</v>
      </c>
      <c r="V23" s="138">
        <v>402010</v>
      </c>
      <c r="W23" s="138">
        <v>402012</v>
      </c>
      <c r="X23" s="138">
        <v>402014</v>
      </c>
      <c r="Y23" s="138">
        <v>402016</v>
      </c>
      <c r="Z23" s="138">
        <v>402018</v>
      </c>
      <c r="AA23" s="138">
        <v>402020</v>
      </c>
      <c r="AB23" s="138">
        <v>402022</v>
      </c>
    </row>
    <row r="24" spans="2:28" ht="18.75" customHeight="1" x14ac:dyDescent="0.25">
      <c r="B24" s="13">
        <v>21</v>
      </c>
      <c r="C24" s="354" t="s">
        <v>473</v>
      </c>
      <c r="D24" s="584"/>
      <c r="E24" s="285">
        <v>61</v>
      </c>
      <c r="F24" s="116">
        <f>VLOOKUP(S24,'FS Data'!$A:$B,2,FALSE)</f>
        <v>835</v>
      </c>
      <c r="G24" s="117">
        <f>VLOOKUP(T24,'FS Data'!$A:$B,2,FALSE)</f>
        <v>835</v>
      </c>
      <c r="H24" s="20">
        <f>VLOOKUP(U24,'FS Data'!$A:$B,2,FALSE)</f>
        <v>0</v>
      </c>
      <c r="I24" s="117">
        <f>VLOOKUP(V24,'FS Data'!$A:$B,2,FALSE)</f>
        <v>0</v>
      </c>
      <c r="J24" s="20">
        <f>VLOOKUP(W24,'FS Data'!$A:$B,2,FALSE)</f>
        <v>0</v>
      </c>
      <c r="K24" s="117">
        <f>VLOOKUP(X24,'FS Data'!$A:$B,2,FALSE)</f>
        <v>0</v>
      </c>
      <c r="M24" s="20">
        <f>VLOOKUP(Y24,'FS Data'!$A:$B,2,FALSE)</f>
        <v>0</v>
      </c>
      <c r="N24" s="117">
        <f>VLOOKUP(Z24,'FS Data'!$A:$B,2,FALSE)</f>
        <v>0</v>
      </c>
      <c r="O24" s="75"/>
      <c r="P24" s="20">
        <f>VLOOKUP(AA24,'FS Data'!$A:$B,2,FALSE)</f>
        <v>0</v>
      </c>
      <c r="Q24" s="117">
        <f>VLOOKUP(AB24,'FS Data'!$A:$B,2,FALSE)</f>
        <v>0</v>
      </c>
      <c r="S24" s="138">
        <v>402104</v>
      </c>
      <c r="T24" s="138">
        <v>402106</v>
      </c>
      <c r="U24" s="138">
        <v>402108</v>
      </c>
      <c r="V24" s="138">
        <v>402110</v>
      </c>
      <c r="W24" s="138">
        <v>402112</v>
      </c>
      <c r="X24" s="138">
        <v>402114</v>
      </c>
      <c r="Y24" s="138">
        <v>402116</v>
      </c>
      <c r="Z24" s="138">
        <v>402118</v>
      </c>
      <c r="AA24" s="138">
        <v>402120</v>
      </c>
      <c r="AB24" s="138">
        <v>402122</v>
      </c>
    </row>
    <row r="25" spans="2:28" ht="18.75" customHeight="1" x14ac:dyDescent="0.25">
      <c r="B25" s="10">
        <v>22</v>
      </c>
      <c r="C25" s="354" t="s">
        <v>474</v>
      </c>
      <c r="D25" s="584"/>
      <c r="E25" s="285">
        <v>63</v>
      </c>
      <c r="F25" s="116">
        <f>VLOOKUP(S25,'FS Data'!$A:$B,2,FALSE)</f>
        <v>456</v>
      </c>
      <c r="G25" s="117">
        <f>VLOOKUP(T25,'FS Data'!$A:$B,2,FALSE)</f>
        <v>456</v>
      </c>
      <c r="H25" s="20">
        <f>VLOOKUP(U25,'FS Data'!$A:$B,2,FALSE)</f>
        <v>96</v>
      </c>
      <c r="I25" s="117">
        <f>VLOOKUP(V25,'FS Data'!$A:$B,2,FALSE)</f>
        <v>96</v>
      </c>
      <c r="J25" s="20">
        <f>VLOOKUP(W25,'FS Data'!$A:$B,2,FALSE)</f>
        <v>0</v>
      </c>
      <c r="K25" s="117">
        <f>VLOOKUP(X25,'FS Data'!$A:$B,2,FALSE)</f>
        <v>0</v>
      </c>
      <c r="M25" s="20">
        <f>VLOOKUP(Y25,'FS Data'!$A:$B,2,FALSE)</f>
        <v>0</v>
      </c>
      <c r="N25" s="117">
        <f>VLOOKUP(Z25,'FS Data'!$A:$B,2,FALSE)</f>
        <v>0</v>
      </c>
      <c r="O25" s="75"/>
      <c r="P25" s="20">
        <f>VLOOKUP(AA25,'FS Data'!$A:$B,2,FALSE)</f>
        <v>0</v>
      </c>
      <c r="Q25" s="117">
        <f>VLOOKUP(AB25,'FS Data'!$A:$B,2,FALSE)</f>
        <v>0</v>
      </c>
      <c r="S25" s="138">
        <v>402204</v>
      </c>
      <c r="T25" s="138">
        <v>402206</v>
      </c>
      <c r="U25" s="138">
        <v>402208</v>
      </c>
      <c r="V25" s="138">
        <v>402210</v>
      </c>
      <c r="W25" s="138">
        <v>402212</v>
      </c>
      <c r="X25" s="138">
        <v>402214</v>
      </c>
      <c r="Y25" s="138">
        <v>402216</v>
      </c>
      <c r="Z25" s="138">
        <v>402218</v>
      </c>
      <c r="AA25" s="138">
        <v>402220</v>
      </c>
      <c r="AB25" s="138">
        <v>402222</v>
      </c>
    </row>
    <row r="26" spans="2:28" ht="18.75" customHeight="1" x14ac:dyDescent="0.25">
      <c r="B26" s="13">
        <v>23</v>
      </c>
      <c r="C26" s="354" t="s">
        <v>475</v>
      </c>
      <c r="D26" s="584"/>
      <c r="E26" s="285">
        <v>67</v>
      </c>
      <c r="F26" s="116">
        <f>VLOOKUP(S26,'FS Data'!$A:$B,2,FALSE)</f>
        <v>0</v>
      </c>
      <c r="G26" s="117">
        <f>VLOOKUP(T26,'FS Data'!$A:$B,2,FALSE)</f>
        <v>0</v>
      </c>
      <c r="H26" s="20">
        <f>VLOOKUP(U26,'FS Data'!$A:$B,2,FALSE)</f>
        <v>0</v>
      </c>
      <c r="I26" s="117">
        <f>VLOOKUP(V26,'FS Data'!$A:$B,2,FALSE)</f>
        <v>0</v>
      </c>
      <c r="J26" s="20">
        <f>VLOOKUP(W26,'FS Data'!$A:$B,2,FALSE)</f>
        <v>0</v>
      </c>
      <c r="K26" s="117">
        <f>VLOOKUP(X26,'FS Data'!$A:$B,2,FALSE)</f>
        <v>0</v>
      </c>
      <c r="M26" s="20">
        <f>VLOOKUP(Y26,'FS Data'!$A:$B,2,FALSE)</f>
        <v>0</v>
      </c>
      <c r="N26" s="117">
        <f>VLOOKUP(Z26,'FS Data'!$A:$B,2,FALSE)</f>
        <v>0</v>
      </c>
      <c r="O26" s="75"/>
      <c r="P26" s="20">
        <f>VLOOKUP(AA26,'FS Data'!$A:$B,2,FALSE)</f>
        <v>0</v>
      </c>
      <c r="Q26" s="117">
        <f>VLOOKUP(AB26,'FS Data'!$A:$B,2,FALSE)</f>
        <v>0</v>
      </c>
      <c r="S26" s="138">
        <v>402304</v>
      </c>
      <c r="T26" s="138">
        <v>402306</v>
      </c>
      <c r="U26" s="138">
        <v>402308</v>
      </c>
      <c r="V26" s="138">
        <v>402310</v>
      </c>
      <c r="W26" s="138">
        <v>402312</v>
      </c>
      <c r="X26" s="138">
        <v>402314</v>
      </c>
      <c r="Y26" s="138">
        <v>402316</v>
      </c>
      <c r="Z26" s="138">
        <v>402318</v>
      </c>
      <c r="AA26" s="138">
        <v>402320</v>
      </c>
      <c r="AB26" s="138">
        <v>402322</v>
      </c>
    </row>
    <row r="27" spans="2:28" ht="18.75" customHeight="1" x14ac:dyDescent="0.25">
      <c r="B27" s="13">
        <v>24</v>
      </c>
      <c r="C27" s="354" t="s">
        <v>476</v>
      </c>
      <c r="D27" s="584"/>
      <c r="E27" s="285">
        <v>68</v>
      </c>
      <c r="F27" s="116">
        <f>VLOOKUP(S27,'FS Data'!$A:$B,2,FALSE)</f>
        <v>552</v>
      </c>
      <c r="G27" s="117">
        <f>VLOOKUP(T27,'FS Data'!$A:$B,2,FALSE)</f>
        <v>552</v>
      </c>
      <c r="H27" s="20">
        <f>VLOOKUP(U27,'FS Data'!$A:$B,2,FALSE)</f>
        <v>45</v>
      </c>
      <c r="I27" s="117">
        <f>VLOOKUP(V27,'FS Data'!$A:$B,2,FALSE)</f>
        <v>45</v>
      </c>
      <c r="J27" s="20">
        <f>VLOOKUP(W27,'FS Data'!$A:$B,2,FALSE)</f>
        <v>0</v>
      </c>
      <c r="K27" s="117">
        <f>VLOOKUP(X27,'FS Data'!$A:$B,2,FALSE)</f>
        <v>0</v>
      </c>
      <c r="M27" s="20">
        <f>VLOOKUP(Y27,'FS Data'!$A:$B,2,FALSE)</f>
        <v>0</v>
      </c>
      <c r="N27" s="117">
        <f>VLOOKUP(Z27,'FS Data'!$A:$B,2,FALSE)</f>
        <v>0</v>
      </c>
      <c r="O27" s="75"/>
      <c r="P27" s="20">
        <f>VLOOKUP(AA27,'FS Data'!$A:$B,2,FALSE)</f>
        <v>0</v>
      </c>
      <c r="Q27" s="117">
        <f>VLOOKUP(AB27,'FS Data'!$A:$B,2,FALSE)</f>
        <v>0</v>
      </c>
      <c r="S27" s="138">
        <v>402404</v>
      </c>
      <c r="T27" s="138">
        <v>402406</v>
      </c>
      <c r="U27" s="138">
        <v>402408</v>
      </c>
      <c r="V27" s="138">
        <v>402410</v>
      </c>
      <c r="W27" s="138">
        <v>402412</v>
      </c>
      <c r="X27" s="138">
        <v>402414</v>
      </c>
      <c r="Y27" s="138">
        <v>402416</v>
      </c>
      <c r="Z27" s="138">
        <v>402418</v>
      </c>
      <c r="AA27" s="138">
        <v>402420</v>
      </c>
      <c r="AB27" s="138">
        <v>402422</v>
      </c>
    </row>
    <row r="28" spans="2:28" ht="18.75" customHeight="1" x14ac:dyDescent="0.25">
      <c r="B28" s="10">
        <v>25</v>
      </c>
      <c r="C28" s="354" t="s">
        <v>477</v>
      </c>
      <c r="D28" s="584"/>
      <c r="E28" s="285">
        <v>69</v>
      </c>
      <c r="F28" s="116">
        <f>VLOOKUP(S28,'FS Data'!$A:$B,2,FALSE)</f>
        <v>5969</v>
      </c>
      <c r="G28" s="117">
        <f>VLOOKUP(T28,'FS Data'!$A:$B,2,FALSE)</f>
        <v>5969</v>
      </c>
      <c r="H28" s="20">
        <f>VLOOKUP(U28,'FS Data'!$A:$B,2,FALSE)</f>
        <v>1822</v>
      </c>
      <c r="I28" s="117">
        <f>VLOOKUP(V28,'FS Data'!$A:$B,2,FALSE)</f>
        <v>1822</v>
      </c>
      <c r="J28" s="20">
        <f>VLOOKUP(W28,'FS Data'!$A:$B,2,FALSE)</f>
        <v>0</v>
      </c>
      <c r="K28" s="117">
        <f>VLOOKUP(X28,'FS Data'!$A:$B,2,FALSE)</f>
        <v>0</v>
      </c>
      <c r="M28" s="20">
        <f>VLOOKUP(Y28,'FS Data'!$A:$B,2,FALSE)</f>
        <v>0</v>
      </c>
      <c r="N28" s="117">
        <f>VLOOKUP(Z28,'FS Data'!$A:$B,2,FALSE)</f>
        <v>0</v>
      </c>
      <c r="O28" s="75"/>
      <c r="P28" s="20">
        <f>VLOOKUP(AA28,'FS Data'!$A:$B,2,FALSE)</f>
        <v>0</v>
      </c>
      <c r="Q28" s="117">
        <f>VLOOKUP(AB28,'FS Data'!$A:$B,2,FALSE)</f>
        <v>0</v>
      </c>
      <c r="S28" s="138">
        <v>402504</v>
      </c>
      <c r="T28" s="138">
        <v>402506</v>
      </c>
      <c r="U28" s="138">
        <v>402508</v>
      </c>
      <c r="V28" s="138">
        <v>402510</v>
      </c>
      <c r="W28" s="138">
        <v>402512</v>
      </c>
      <c r="X28" s="138">
        <v>402514</v>
      </c>
      <c r="Y28" s="138">
        <v>402516</v>
      </c>
      <c r="Z28" s="138">
        <v>402518</v>
      </c>
      <c r="AA28" s="138">
        <v>402520</v>
      </c>
      <c r="AB28" s="138">
        <v>402522</v>
      </c>
    </row>
    <row r="29" spans="2:28" ht="18.75" customHeight="1" x14ac:dyDescent="0.25">
      <c r="B29" s="13">
        <v>26</v>
      </c>
      <c r="C29" s="354" t="s">
        <v>478</v>
      </c>
      <c r="D29" s="584"/>
      <c r="E29" s="285">
        <v>70</v>
      </c>
      <c r="F29" s="116">
        <f>VLOOKUP(S29,'FS Data'!$A:$B,2,FALSE)</f>
        <v>4545</v>
      </c>
      <c r="G29" s="117">
        <f>VLOOKUP(T29,'FS Data'!$A:$B,2,FALSE)</f>
        <v>4545</v>
      </c>
      <c r="H29" s="20">
        <f>VLOOKUP(U29,'FS Data'!$A:$B,2,FALSE)</f>
        <v>1880</v>
      </c>
      <c r="I29" s="117">
        <f>VLOOKUP(V29,'FS Data'!$A:$B,2,FALSE)</f>
        <v>1880</v>
      </c>
      <c r="J29" s="20">
        <f>VLOOKUP(W29,'FS Data'!$A:$B,2,FALSE)</f>
        <v>0</v>
      </c>
      <c r="K29" s="117">
        <f>VLOOKUP(X29,'FS Data'!$A:$B,2,FALSE)</f>
        <v>0</v>
      </c>
      <c r="M29" s="20">
        <f>VLOOKUP(Y29,'FS Data'!$A:$B,2,FALSE)</f>
        <v>0</v>
      </c>
      <c r="N29" s="117">
        <f>VLOOKUP(Z29,'FS Data'!$A:$B,2,FALSE)</f>
        <v>0</v>
      </c>
      <c r="O29" s="75"/>
      <c r="P29" s="20">
        <f>VLOOKUP(AA29,'FS Data'!$A:$B,2,FALSE)</f>
        <v>0</v>
      </c>
      <c r="Q29" s="117">
        <f>VLOOKUP(AB29,'FS Data'!$A:$B,2,FALSE)</f>
        <v>0</v>
      </c>
      <c r="S29" s="138">
        <v>402604</v>
      </c>
      <c r="T29" s="138">
        <v>402606</v>
      </c>
      <c r="U29" s="138">
        <v>402608</v>
      </c>
      <c r="V29" s="138">
        <v>402610</v>
      </c>
      <c r="W29" s="138">
        <v>402612</v>
      </c>
      <c r="X29" s="138">
        <v>402614</v>
      </c>
      <c r="Y29" s="138">
        <v>402616</v>
      </c>
      <c r="Z29" s="138">
        <v>402618</v>
      </c>
      <c r="AA29" s="138">
        <v>402620</v>
      </c>
      <c r="AB29" s="138">
        <v>402622</v>
      </c>
    </row>
    <row r="30" spans="2:28" ht="18.75" customHeight="1" x14ac:dyDescent="0.25">
      <c r="B30" s="13">
        <v>27</v>
      </c>
      <c r="C30" s="354" t="s">
        <v>479</v>
      </c>
      <c r="D30" s="584"/>
      <c r="E30" s="285">
        <v>71</v>
      </c>
      <c r="F30" s="116">
        <f>VLOOKUP(S30,'FS Data'!$A:$B,2,FALSE)</f>
        <v>386</v>
      </c>
      <c r="G30" s="117">
        <f>VLOOKUP(T30,'FS Data'!$A:$B,2,FALSE)</f>
        <v>386</v>
      </c>
      <c r="H30" s="20">
        <f>VLOOKUP(U30,'FS Data'!$A:$B,2,FALSE)</f>
        <v>309</v>
      </c>
      <c r="I30" s="117">
        <f>VLOOKUP(V30,'FS Data'!$A:$B,2,FALSE)</f>
        <v>309</v>
      </c>
      <c r="J30" s="20">
        <f>VLOOKUP(W30,'FS Data'!$A:$B,2,FALSE)</f>
        <v>0</v>
      </c>
      <c r="K30" s="117">
        <f>VLOOKUP(X30,'FS Data'!$A:$B,2,FALSE)</f>
        <v>0</v>
      </c>
      <c r="M30" s="20">
        <f>VLOOKUP(Y30,'FS Data'!$A:$B,2,FALSE)</f>
        <v>0</v>
      </c>
      <c r="N30" s="117">
        <f>VLOOKUP(Z30,'FS Data'!$A:$B,2,FALSE)</f>
        <v>0</v>
      </c>
      <c r="O30" s="75"/>
      <c r="P30" s="20">
        <f>VLOOKUP(AA30,'FS Data'!$A:$B,2,FALSE)</f>
        <v>0</v>
      </c>
      <c r="Q30" s="117">
        <f>VLOOKUP(AB30,'FS Data'!$A:$B,2,FALSE)</f>
        <v>0</v>
      </c>
      <c r="S30" s="138">
        <v>402704</v>
      </c>
      <c r="T30" s="138">
        <v>402706</v>
      </c>
      <c r="U30" s="138">
        <v>402708</v>
      </c>
      <c r="V30" s="138">
        <v>402710</v>
      </c>
      <c r="W30" s="138">
        <v>402712</v>
      </c>
      <c r="X30" s="138">
        <v>402714</v>
      </c>
      <c r="Y30" s="138">
        <v>402716</v>
      </c>
      <c r="Z30" s="138">
        <v>402718</v>
      </c>
      <c r="AA30" s="138">
        <v>402720</v>
      </c>
      <c r="AB30" s="138">
        <v>402722</v>
      </c>
    </row>
    <row r="31" spans="2:28" ht="18.75" customHeight="1" x14ac:dyDescent="0.25">
      <c r="B31" s="10">
        <v>28</v>
      </c>
      <c r="C31" s="779" t="s">
        <v>480</v>
      </c>
      <c r="D31" s="810"/>
      <c r="E31" s="285">
        <v>72</v>
      </c>
      <c r="F31" s="116">
        <f>VLOOKUP(S31,'FS Data'!$A:$B,2,FALSE)</f>
        <v>88</v>
      </c>
      <c r="G31" s="117">
        <f>VLOOKUP(T31,'FS Data'!$A:$B,2,FALSE)</f>
        <v>88</v>
      </c>
      <c r="H31" s="20">
        <f>VLOOKUP(U31,'FS Data'!$A:$B,2,FALSE)</f>
        <v>71</v>
      </c>
      <c r="I31" s="117">
        <f>VLOOKUP(V31,'FS Data'!$A:$B,2,FALSE)</f>
        <v>71</v>
      </c>
      <c r="J31" s="20">
        <f>VLOOKUP(W31,'FS Data'!$A:$B,2,FALSE)</f>
        <v>0</v>
      </c>
      <c r="K31" s="117">
        <f>VLOOKUP(X31,'FS Data'!$A:$B,2,FALSE)</f>
        <v>0</v>
      </c>
      <c r="M31" s="20">
        <f>VLOOKUP(Y31,'FS Data'!$A:$B,2,FALSE)</f>
        <v>0</v>
      </c>
      <c r="N31" s="117">
        <f>VLOOKUP(Z31,'FS Data'!$A:$B,2,FALSE)</f>
        <v>0</v>
      </c>
      <c r="O31" s="75"/>
      <c r="P31" s="20">
        <f>VLOOKUP(AA31,'FS Data'!$A:$B,2,FALSE)</f>
        <v>0</v>
      </c>
      <c r="Q31" s="117">
        <f>VLOOKUP(AB31,'FS Data'!$A:$B,2,FALSE)</f>
        <v>0</v>
      </c>
      <c r="S31" s="138">
        <v>402804</v>
      </c>
      <c r="T31" s="138">
        <v>402806</v>
      </c>
      <c r="U31" s="138">
        <v>402808</v>
      </c>
      <c r="V31" s="138">
        <v>402810</v>
      </c>
      <c r="W31" s="138">
        <v>402812</v>
      </c>
      <c r="X31" s="138">
        <v>402814</v>
      </c>
      <c r="Y31" s="138">
        <v>402816</v>
      </c>
      <c r="Z31" s="138">
        <v>402818</v>
      </c>
      <c r="AA31" s="138">
        <v>402820</v>
      </c>
      <c r="AB31" s="138">
        <v>402822</v>
      </c>
    </row>
    <row r="32" spans="2:28" ht="18.75" customHeight="1" x14ac:dyDescent="0.25">
      <c r="B32" s="13">
        <v>29</v>
      </c>
      <c r="C32" s="354" t="s">
        <v>481</v>
      </c>
      <c r="D32" s="584"/>
      <c r="E32" s="285">
        <v>74</v>
      </c>
      <c r="F32" s="116">
        <f>VLOOKUP(S32,'FS Data'!$A:$B,2,FALSE)</f>
        <v>1577</v>
      </c>
      <c r="G32" s="117">
        <f>VLOOKUP(T32,'FS Data'!$A:$B,2,FALSE)</f>
        <v>1577</v>
      </c>
      <c r="H32" s="20">
        <f>VLOOKUP(U32,'FS Data'!$A:$B,2,FALSE)</f>
        <v>1261</v>
      </c>
      <c r="I32" s="117">
        <f>VLOOKUP(V32,'FS Data'!$A:$B,2,FALSE)</f>
        <v>1261</v>
      </c>
      <c r="J32" s="20">
        <f>VLOOKUP(W32,'FS Data'!$A:$B,2,FALSE)</f>
        <v>0</v>
      </c>
      <c r="K32" s="117">
        <f>VLOOKUP(X32,'FS Data'!$A:$B,2,FALSE)</f>
        <v>0</v>
      </c>
      <c r="M32" s="20">
        <f>VLOOKUP(Y32,'FS Data'!$A:$B,2,FALSE)</f>
        <v>0</v>
      </c>
      <c r="N32" s="117">
        <f>VLOOKUP(Z32,'FS Data'!$A:$B,2,FALSE)</f>
        <v>0</v>
      </c>
      <c r="O32" s="75"/>
      <c r="P32" s="20">
        <f>VLOOKUP(AA32,'FS Data'!$A:$B,2,FALSE)</f>
        <v>0</v>
      </c>
      <c r="Q32" s="117">
        <f>VLOOKUP(AB32,'FS Data'!$A:$B,2,FALSE)</f>
        <v>0</v>
      </c>
      <c r="S32" s="138">
        <v>402904</v>
      </c>
      <c r="T32" s="138">
        <v>402906</v>
      </c>
      <c r="U32" s="138">
        <v>402908</v>
      </c>
      <c r="V32" s="138">
        <v>402910</v>
      </c>
      <c r="W32" s="138">
        <v>402912</v>
      </c>
      <c r="X32" s="138">
        <v>402914</v>
      </c>
      <c r="Y32" s="138">
        <v>402916</v>
      </c>
      <c r="Z32" s="138">
        <v>402918</v>
      </c>
      <c r="AA32" s="138">
        <v>402920</v>
      </c>
      <c r="AB32" s="138">
        <v>402922</v>
      </c>
    </row>
    <row r="33" spans="2:28" ht="18.75" customHeight="1" x14ac:dyDescent="0.25">
      <c r="B33" s="13">
        <v>30</v>
      </c>
      <c r="C33" s="354" t="s">
        <v>482</v>
      </c>
      <c r="D33" s="584"/>
      <c r="E33" s="285">
        <v>75</v>
      </c>
      <c r="F33" s="116">
        <f>VLOOKUP(S33,'FS Data'!$A:$B,2,FALSE)</f>
        <v>309</v>
      </c>
      <c r="G33" s="117">
        <f>VLOOKUP(T33,'FS Data'!$A:$B,2,FALSE)</f>
        <v>309</v>
      </c>
      <c r="H33" s="20">
        <f>VLOOKUP(U33,'FS Data'!$A:$B,2,FALSE)</f>
        <v>256</v>
      </c>
      <c r="I33" s="117">
        <f>VLOOKUP(V33,'FS Data'!$A:$B,2,FALSE)</f>
        <v>256</v>
      </c>
      <c r="J33" s="20">
        <f>VLOOKUP(W33,'FS Data'!$A:$B,2,FALSE)</f>
        <v>0</v>
      </c>
      <c r="K33" s="117">
        <f>VLOOKUP(X33,'FS Data'!$A:$B,2,FALSE)</f>
        <v>0</v>
      </c>
      <c r="M33" s="20">
        <f>VLOOKUP(Y33,'FS Data'!$A:$B,2,FALSE)</f>
        <v>0</v>
      </c>
      <c r="N33" s="117">
        <f>VLOOKUP(Z33,'FS Data'!$A:$B,2,FALSE)</f>
        <v>0</v>
      </c>
      <c r="O33" s="75"/>
      <c r="P33" s="20">
        <f>VLOOKUP(AA33,'FS Data'!$A:$B,2,FALSE)</f>
        <v>0</v>
      </c>
      <c r="Q33" s="117">
        <f>VLOOKUP(AB33,'FS Data'!$A:$B,2,FALSE)</f>
        <v>0</v>
      </c>
      <c r="S33" s="138">
        <v>403004</v>
      </c>
      <c r="T33" s="138">
        <v>403006</v>
      </c>
      <c r="U33" s="138">
        <v>403008</v>
      </c>
      <c r="V33" s="138">
        <v>403010</v>
      </c>
      <c r="W33" s="138">
        <v>403012</v>
      </c>
      <c r="X33" s="138">
        <v>403014</v>
      </c>
      <c r="Y33" s="138">
        <v>403016</v>
      </c>
      <c r="Z33" s="138">
        <v>403018</v>
      </c>
      <c r="AA33" s="138">
        <v>403020</v>
      </c>
      <c r="AB33" s="138">
        <v>403022</v>
      </c>
    </row>
    <row r="34" spans="2:28" ht="18.75" customHeight="1" x14ac:dyDescent="0.25">
      <c r="B34" s="10">
        <v>31</v>
      </c>
      <c r="C34" s="354" t="s">
        <v>483</v>
      </c>
      <c r="D34" s="584"/>
      <c r="E34" s="285">
        <v>76</v>
      </c>
      <c r="F34" s="116">
        <f>VLOOKUP(S34,'FS Data'!$A:$B,2,FALSE)</f>
        <v>3186</v>
      </c>
      <c r="G34" s="117">
        <f>VLOOKUP(T34,'FS Data'!$A:$B,2,FALSE)</f>
        <v>3186</v>
      </c>
      <c r="H34" s="20">
        <f>VLOOKUP(U34,'FS Data'!$A:$B,2,FALSE)</f>
        <v>63</v>
      </c>
      <c r="I34" s="117">
        <f>VLOOKUP(V34,'FS Data'!$A:$B,2,FALSE)</f>
        <v>63</v>
      </c>
      <c r="J34" s="20">
        <f>VLOOKUP(W34,'FS Data'!$A:$B,2,FALSE)</f>
        <v>0</v>
      </c>
      <c r="K34" s="117">
        <f>VLOOKUP(X34,'FS Data'!$A:$B,2,FALSE)</f>
        <v>0</v>
      </c>
      <c r="M34" s="20">
        <f>VLOOKUP(Y34,'FS Data'!$A:$B,2,FALSE)</f>
        <v>0</v>
      </c>
      <c r="N34" s="117">
        <f>VLOOKUP(Z34,'FS Data'!$A:$B,2,FALSE)</f>
        <v>0</v>
      </c>
      <c r="O34" s="75"/>
      <c r="P34" s="20">
        <f>VLOOKUP(AA34,'FS Data'!$A:$B,2,FALSE)</f>
        <v>0</v>
      </c>
      <c r="Q34" s="117">
        <f>VLOOKUP(AB34,'FS Data'!$A:$B,2,FALSE)</f>
        <v>0</v>
      </c>
      <c r="S34" s="138">
        <v>403104</v>
      </c>
      <c r="T34" s="138">
        <v>403106</v>
      </c>
      <c r="U34" s="138">
        <v>403108</v>
      </c>
      <c r="V34" s="138">
        <v>403110</v>
      </c>
      <c r="W34" s="138">
        <v>403112</v>
      </c>
      <c r="X34" s="138">
        <v>403114</v>
      </c>
      <c r="Y34" s="138">
        <v>403116</v>
      </c>
      <c r="Z34" s="138">
        <v>403118</v>
      </c>
      <c r="AA34" s="138">
        <v>403120</v>
      </c>
      <c r="AB34" s="138">
        <v>403122</v>
      </c>
    </row>
    <row r="35" spans="2:28" ht="18.75" customHeight="1" x14ac:dyDescent="0.25">
      <c r="B35" s="13">
        <v>32</v>
      </c>
      <c r="C35" s="354" t="s">
        <v>484</v>
      </c>
      <c r="D35" s="584"/>
      <c r="E35" s="285">
        <v>77</v>
      </c>
      <c r="F35" s="116">
        <f>VLOOKUP(S35,'FS Data'!$A:$B,2,FALSE)</f>
        <v>291</v>
      </c>
      <c r="G35" s="232">
        <f>VLOOKUP(T35,'FS Data'!$A:$B,2,FALSE)</f>
        <v>291</v>
      </c>
      <c r="H35" s="233">
        <f>VLOOKUP(U35,'FS Data'!$A:$B,2,FALSE)</f>
        <v>233</v>
      </c>
      <c r="I35" s="117">
        <f>VLOOKUP(V35,'FS Data'!$A:$B,2,FALSE)</f>
        <v>233</v>
      </c>
      <c r="J35" s="20">
        <f>VLOOKUP(W35,'FS Data'!$A:$B,2,FALSE)</f>
        <v>0</v>
      </c>
      <c r="K35" s="232">
        <f>VLOOKUP(X35,'FS Data'!$A:$B,2,FALSE)</f>
        <v>0</v>
      </c>
      <c r="M35" s="20">
        <f>VLOOKUP(Y35,'FS Data'!$A:$B,2,FALSE)</f>
        <v>0</v>
      </c>
      <c r="N35" s="117">
        <f>VLOOKUP(Z35,'FS Data'!$A:$B,2,FALSE)</f>
        <v>0</v>
      </c>
      <c r="O35" s="75"/>
      <c r="P35" s="20">
        <f>VLOOKUP(AA35,'FS Data'!$A:$B,2,FALSE)</f>
        <v>0</v>
      </c>
      <c r="Q35" s="117">
        <f>VLOOKUP(AB35,'FS Data'!$A:$B,2,FALSE)</f>
        <v>0</v>
      </c>
      <c r="S35" s="138">
        <v>403204</v>
      </c>
      <c r="T35" s="138">
        <v>403206</v>
      </c>
      <c r="U35" s="138">
        <v>403208</v>
      </c>
      <c r="V35" s="138">
        <v>403210</v>
      </c>
      <c r="W35" s="138">
        <v>403212</v>
      </c>
      <c r="X35" s="138">
        <v>403214</v>
      </c>
      <c r="Y35" s="138">
        <v>403216</v>
      </c>
      <c r="Z35" s="138">
        <v>403218</v>
      </c>
      <c r="AA35" s="138">
        <v>403220</v>
      </c>
      <c r="AB35" s="138">
        <v>403222</v>
      </c>
    </row>
    <row r="36" spans="2:28" ht="18.75" customHeight="1" x14ac:dyDescent="0.25">
      <c r="B36" s="13">
        <v>33</v>
      </c>
      <c r="C36" s="824" t="s">
        <v>485</v>
      </c>
      <c r="D36" s="825"/>
      <c r="E36" s="285">
        <v>78</v>
      </c>
      <c r="F36" s="116">
        <f>VLOOKUP(S36,'FS Data'!$A:$B,2,FALSE)</f>
        <v>457</v>
      </c>
      <c r="G36" s="232">
        <f>VLOOKUP(T36,'FS Data'!$A:$B,2,FALSE)</f>
        <v>457</v>
      </c>
      <c r="H36" s="233">
        <f>VLOOKUP(U36,'FS Data'!$A:$B,2,FALSE)</f>
        <v>1479</v>
      </c>
      <c r="I36" s="117">
        <f>VLOOKUP(V36,'FS Data'!$A:$B,2,FALSE)</f>
        <v>1479</v>
      </c>
      <c r="J36" s="20">
        <f>VLOOKUP(W36,'FS Data'!$A:$B,2,FALSE)</f>
        <v>0</v>
      </c>
      <c r="K36" s="232">
        <f>VLOOKUP(X36,'FS Data'!$A:$B,2,FALSE)</f>
        <v>0</v>
      </c>
      <c r="M36" s="20">
        <f>VLOOKUP(Y36,'FS Data'!$A:$B,2,FALSE)</f>
        <v>0</v>
      </c>
      <c r="N36" s="117">
        <f>VLOOKUP(Z36,'FS Data'!$A:$B,2,FALSE)</f>
        <v>0</v>
      </c>
      <c r="O36" s="75"/>
      <c r="P36" s="20">
        <f>VLOOKUP(AA36,'FS Data'!$A:$B,2,FALSE)</f>
        <v>0</v>
      </c>
      <c r="Q36" s="117">
        <f>VLOOKUP(AB36,'FS Data'!$A:$B,2,FALSE)</f>
        <v>0</v>
      </c>
      <c r="S36" s="138">
        <v>403304</v>
      </c>
      <c r="T36" s="138">
        <v>403306</v>
      </c>
      <c r="U36" s="138">
        <v>403308</v>
      </c>
      <c r="V36" s="138">
        <v>403310</v>
      </c>
      <c r="W36" s="138">
        <v>403312</v>
      </c>
      <c r="X36" s="138">
        <v>403314</v>
      </c>
      <c r="Y36" s="138">
        <v>403316</v>
      </c>
      <c r="Z36" s="138">
        <v>403318</v>
      </c>
      <c r="AA36" s="138">
        <v>403320</v>
      </c>
      <c r="AB36" s="138">
        <v>403322</v>
      </c>
    </row>
    <row r="37" spans="2:28" ht="18.75" customHeight="1" x14ac:dyDescent="0.25">
      <c r="B37" s="10">
        <v>34</v>
      </c>
      <c r="C37" s="354" t="s">
        <v>486</v>
      </c>
      <c r="D37" s="584"/>
      <c r="E37" s="285">
        <v>79</v>
      </c>
      <c r="F37" s="116">
        <f>VLOOKUP(S37,'FS Data'!$A:$B,2,FALSE)</f>
        <v>0</v>
      </c>
      <c r="G37" s="232">
        <f>VLOOKUP(T37,'FS Data'!$A:$B,2,FALSE)</f>
        <v>0</v>
      </c>
      <c r="H37" s="233">
        <f>VLOOKUP(U37,'FS Data'!$A:$B,2,FALSE)</f>
        <v>0</v>
      </c>
      <c r="I37" s="117">
        <f>VLOOKUP(V37,'FS Data'!$A:$B,2,FALSE)</f>
        <v>0</v>
      </c>
      <c r="J37" s="20">
        <f>VLOOKUP(W37,'FS Data'!$A:$B,2,FALSE)</f>
        <v>0</v>
      </c>
      <c r="K37" s="232">
        <f>VLOOKUP(X37,'FS Data'!$A:$B,2,FALSE)</f>
        <v>0</v>
      </c>
      <c r="M37" s="20">
        <f>VLOOKUP(Y37,'FS Data'!$A:$B,2,FALSE)</f>
        <v>0</v>
      </c>
      <c r="N37" s="117">
        <f>VLOOKUP(Z37,'FS Data'!$A:$B,2,FALSE)</f>
        <v>0</v>
      </c>
      <c r="O37" s="75"/>
      <c r="P37" s="20">
        <f>VLOOKUP(AA37,'FS Data'!$A:$B,2,FALSE)</f>
        <v>0</v>
      </c>
      <c r="Q37" s="117">
        <f>VLOOKUP(AB37,'FS Data'!$A:$B,2,FALSE)</f>
        <v>0</v>
      </c>
      <c r="S37" s="138">
        <v>403404</v>
      </c>
      <c r="T37" s="138">
        <v>403406</v>
      </c>
      <c r="U37" s="138">
        <v>403408</v>
      </c>
      <c r="V37" s="138">
        <v>403410</v>
      </c>
      <c r="W37" s="138">
        <v>403412</v>
      </c>
      <c r="X37" s="138">
        <v>403414</v>
      </c>
      <c r="Y37" s="138">
        <v>403416</v>
      </c>
      <c r="Z37" s="138">
        <v>403418</v>
      </c>
      <c r="AA37" s="138">
        <v>403420</v>
      </c>
      <c r="AB37" s="138">
        <v>403422</v>
      </c>
    </row>
    <row r="38" spans="2:28" ht="18.75" customHeight="1" x14ac:dyDescent="0.25">
      <c r="B38" s="13">
        <v>35</v>
      </c>
      <c r="C38" s="354" t="s">
        <v>487</v>
      </c>
      <c r="D38" s="584"/>
      <c r="E38" s="285">
        <v>73</v>
      </c>
      <c r="F38" s="116">
        <f>VLOOKUP(S38,'FS Data'!$A:$B,2,FALSE)</f>
        <v>1089</v>
      </c>
      <c r="G38" s="232">
        <f>VLOOKUP(T38,'FS Data'!$A:$B,2,FALSE)</f>
        <v>1089</v>
      </c>
      <c r="H38" s="233">
        <f>VLOOKUP(U38,'FS Data'!$A:$B,2,FALSE)</f>
        <v>872</v>
      </c>
      <c r="I38" s="117">
        <f>VLOOKUP(V38,'FS Data'!$A:$B,2,FALSE)</f>
        <v>872</v>
      </c>
      <c r="J38" s="20">
        <f>VLOOKUP(W38,'FS Data'!$A:$B,2,FALSE)</f>
        <v>0</v>
      </c>
      <c r="K38" s="232">
        <f>VLOOKUP(X38,'FS Data'!$A:$B,2,FALSE)</f>
        <v>0</v>
      </c>
      <c r="M38" s="20">
        <f>VLOOKUP(Y38,'FS Data'!$A:$B,2,FALSE)</f>
        <v>0</v>
      </c>
      <c r="N38" s="117">
        <f>VLOOKUP(Z38,'FS Data'!$A:$B,2,FALSE)</f>
        <v>0</v>
      </c>
      <c r="O38" s="75"/>
      <c r="P38" s="20">
        <f>VLOOKUP(AA38,'FS Data'!$A:$B,2,FALSE)</f>
        <v>0</v>
      </c>
      <c r="Q38" s="117">
        <f>VLOOKUP(AB38,'FS Data'!$A:$B,2,FALSE)</f>
        <v>0</v>
      </c>
      <c r="S38" s="138">
        <v>403504</v>
      </c>
      <c r="T38" s="138">
        <v>403506</v>
      </c>
      <c r="U38" s="138">
        <v>403508</v>
      </c>
      <c r="V38" s="138">
        <v>403510</v>
      </c>
      <c r="W38" s="138">
        <v>403512</v>
      </c>
      <c r="X38" s="138">
        <v>403514</v>
      </c>
      <c r="Y38" s="138">
        <v>403516</v>
      </c>
      <c r="Z38" s="138">
        <v>403518</v>
      </c>
      <c r="AA38" s="138">
        <v>403520</v>
      </c>
      <c r="AB38" s="138">
        <v>403522</v>
      </c>
    </row>
    <row r="39" spans="2:28" ht="18.75" customHeight="1" thickBot="1" x14ac:dyDescent="0.3">
      <c r="B39" s="13">
        <v>36</v>
      </c>
      <c r="C39" s="354" t="s">
        <v>488</v>
      </c>
      <c r="D39" s="584"/>
      <c r="E39" s="285">
        <v>52</v>
      </c>
      <c r="F39" s="142">
        <f>VLOOKUP(S39,'FS Data'!$A:$B,2,FALSE)</f>
        <v>1611</v>
      </c>
      <c r="G39" s="236">
        <f>VLOOKUP(T39,'FS Data'!$A:$B,2,FALSE)</f>
        <v>1611</v>
      </c>
      <c r="H39" s="237">
        <f>VLOOKUP(U39,'FS Data'!$A:$B,2,FALSE)</f>
        <v>1611</v>
      </c>
      <c r="I39" s="143">
        <f>VLOOKUP(V39,'FS Data'!$A:$B,2,FALSE)</f>
        <v>1611</v>
      </c>
      <c r="J39" s="146">
        <f>VLOOKUP(W39,'FS Data'!$A:$B,2,FALSE)</f>
        <v>0</v>
      </c>
      <c r="K39" s="236">
        <f>VLOOKUP(X39,'FS Data'!$A:$B,2,FALSE)</f>
        <v>0</v>
      </c>
      <c r="M39" s="146">
        <f>VLOOKUP(Y39,'FS Data'!$A:$B,2,FALSE)</f>
        <v>0</v>
      </c>
      <c r="N39" s="143">
        <f>VLOOKUP(Z39,'FS Data'!$A:$B,2,FALSE)</f>
        <v>0</v>
      </c>
      <c r="O39" s="75"/>
      <c r="P39" s="146">
        <f>VLOOKUP(AA39,'FS Data'!$A:$B,2,FALSE)</f>
        <v>0</v>
      </c>
      <c r="Q39" s="143">
        <f>VLOOKUP(AB39,'FS Data'!$A:$B,2,FALSE)</f>
        <v>0</v>
      </c>
      <c r="S39" s="138">
        <v>403604</v>
      </c>
      <c r="T39" s="138">
        <v>403606</v>
      </c>
      <c r="U39" s="138">
        <v>403608</v>
      </c>
      <c r="V39" s="138">
        <v>403610</v>
      </c>
      <c r="W39" s="138">
        <v>403612</v>
      </c>
      <c r="X39" s="138">
        <v>403614</v>
      </c>
      <c r="Y39" s="138">
        <v>403616</v>
      </c>
      <c r="Z39" s="138">
        <v>403618</v>
      </c>
      <c r="AA39" s="138">
        <v>403620</v>
      </c>
      <c r="AB39" s="138">
        <v>403622</v>
      </c>
    </row>
    <row r="40" spans="2:28" ht="21.6" customHeight="1" thickBot="1" x14ac:dyDescent="0.3">
      <c r="B40" s="10">
        <v>37</v>
      </c>
      <c r="C40" s="808" t="s">
        <v>540</v>
      </c>
      <c r="D40" s="809"/>
      <c r="E40" s="810"/>
      <c r="F40" s="144">
        <f>VLOOKUP(S40,'FS Data'!$A:$B,2,FALSE)</f>
        <v>25642</v>
      </c>
      <c r="G40" s="145">
        <f>VLOOKUP(T40,'FS Data'!$A:$B,2,FALSE)</f>
        <v>25642</v>
      </c>
      <c r="H40" s="148">
        <f>VLOOKUP(U40,'FS Data'!$A:$B,2,FALSE)</f>
        <v>11499</v>
      </c>
      <c r="I40" s="145">
        <f>VLOOKUP(V40,'FS Data'!$A:$B,2,FALSE)</f>
        <v>11499</v>
      </c>
      <c r="J40" s="148">
        <f>VLOOKUP(W40,'FS Data'!$A:$B,2,FALSE)</f>
        <v>0</v>
      </c>
      <c r="K40" s="145">
        <f>VLOOKUP(X40,'FS Data'!$A:$B,2,FALSE)</f>
        <v>0</v>
      </c>
      <c r="L40" s="164"/>
      <c r="M40" s="148">
        <f>VLOOKUP(Y40,'FS Data'!$A:$B,2,FALSE)</f>
        <v>0</v>
      </c>
      <c r="N40" s="145">
        <f>VLOOKUP(Z40,'FS Data'!$A:$B,2,FALSE)</f>
        <v>0</v>
      </c>
      <c r="O40" s="165"/>
      <c r="P40" s="148">
        <f>VLOOKUP(AA40,'FS Data'!$A:$B,2,FALSE)</f>
        <v>0</v>
      </c>
      <c r="Q40" s="145">
        <f>VLOOKUP(AB40,'FS Data'!$A:$B,2,FALSE)</f>
        <v>0</v>
      </c>
      <c r="S40" s="138">
        <v>403704</v>
      </c>
      <c r="T40" s="138">
        <v>403706</v>
      </c>
      <c r="U40" s="138">
        <v>403708</v>
      </c>
      <c r="V40" s="138">
        <v>403710</v>
      </c>
      <c r="W40" s="138">
        <v>403712</v>
      </c>
      <c r="X40" s="138">
        <v>403714</v>
      </c>
      <c r="Y40" s="138">
        <v>403716</v>
      </c>
      <c r="Z40" s="138">
        <v>403718</v>
      </c>
      <c r="AA40" s="138">
        <v>403720</v>
      </c>
      <c r="AB40" s="138">
        <v>403722</v>
      </c>
    </row>
    <row r="41" spans="2:28" ht="18.75" customHeight="1" x14ac:dyDescent="0.25">
      <c r="B41" s="13">
        <v>38</v>
      </c>
      <c r="C41" s="354" t="s">
        <v>490</v>
      </c>
      <c r="D41" s="584"/>
      <c r="E41" s="285">
        <v>80</v>
      </c>
      <c r="F41" s="116">
        <f>VLOOKUP(S41,'FS Data'!$A:$B,2,FALSE)</f>
        <v>12500</v>
      </c>
      <c r="G41" s="117">
        <f>VLOOKUP(T41,'FS Data'!$A:$B,2,FALSE)</f>
        <v>12500</v>
      </c>
      <c r="H41" s="20">
        <f>VLOOKUP(U41,'FS Data'!$A:$B,2,FALSE)</f>
        <v>10000</v>
      </c>
      <c r="I41" s="117">
        <f>VLOOKUP(V41,'FS Data'!$A:$B,2,FALSE)</f>
        <v>10000</v>
      </c>
      <c r="J41" s="20">
        <f>VLOOKUP(W41,'FS Data'!$A:$B,2,FALSE)</f>
        <v>0</v>
      </c>
      <c r="K41" s="117">
        <f>VLOOKUP(X41,'FS Data'!$A:$B,2,FALSE)</f>
        <v>0</v>
      </c>
      <c r="M41" s="20">
        <f>VLOOKUP(Y41,'FS Data'!$A:$B,2,FALSE)</f>
        <v>0</v>
      </c>
      <c r="N41" s="117">
        <f>VLOOKUP(Z41,'FS Data'!$A:$B,2,FALSE)</f>
        <v>0</v>
      </c>
      <c r="O41" s="75"/>
      <c r="P41" s="20">
        <f>VLOOKUP(AA41,'FS Data'!$A:$B,2,FALSE)</f>
        <v>0</v>
      </c>
      <c r="Q41" s="117">
        <f>VLOOKUP(AB41,'FS Data'!$A:$B,2,FALSE)</f>
        <v>0</v>
      </c>
      <c r="S41" s="138">
        <v>403804</v>
      </c>
      <c r="T41" s="138">
        <v>403806</v>
      </c>
      <c r="U41" s="138">
        <v>403808</v>
      </c>
      <c r="V41" s="138">
        <v>403810</v>
      </c>
      <c r="W41" s="138">
        <v>403812</v>
      </c>
      <c r="X41" s="138">
        <v>403814</v>
      </c>
      <c r="Y41" s="138">
        <v>403816</v>
      </c>
      <c r="Z41" s="138">
        <v>403818</v>
      </c>
      <c r="AA41" s="138">
        <v>403820</v>
      </c>
      <c r="AB41" s="138">
        <v>403822</v>
      </c>
    </row>
    <row r="42" spans="2:28" ht="18.75" customHeight="1" x14ac:dyDescent="0.25">
      <c r="B42" s="13">
        <v>39</v>
      </c>
      <c r="C42" s="354" t="s">
        <v>491</v>
      </c>
      <c r="D42" s="584"/>
      <c r="E42" s="285">
        <v>81</v>
      </c>
      <c r="F42" s="116">
        <f>VLOOKUP(S42,'FS Data'!$A:$B,2,FALSE)</f>
        <v>2688</v>
      </c>
      <c r="G42" s="117">
        <f>VLOOKUP(T42,'FS Data'!$A:$B,2,FALSE)</f>
        <v>2688</v>
      </c>
      <c r="H42" s="20">
        <f>VLOOKUP(U42,'FS Data'!$A:$B,2,FALSE)</f>
        <v>2150</v>
      </c>
      <c r="I42" s="117">
        <f>VLOOKUP(V42,'FS Data'!$A:$B,2,FALSE)</f>
        <v>2150</v>
      </c>
      <c r="J42" s="20">
        <f>VLOOKUP(W42,'FS Data'!$A:$B,2,FALSE)</f>
        <v>0</v>
      </c>
      <c r="K42" s="117">
        <f>VLOOKUP(X42,'FS Data'!$A:$B,2,FALSE)</f>
        <v>0</v>
      </c>
      <c r="M42" s="20">
        <f>VLOOKUP(Y42,'FS Data'!$A:$B,2,FALSE)</f>
        <v>0</v>
      </c>
      <c r="N42" s="117">
        <f>VLOOKUP(Z42,'FS Data'!$A:$B,2,FALSE)</f>
        <v>0</v>
      </c>
      <c r="O42" s="75"/>
      <c r="P42" s="20">
        <f>VLOOKUP(AA42,'FS Data'!$A:$B,2,FALSE)</f>
        <v>0</v>
      </c>
      <c r="Q42" s="117">
        <f>VLOOKUP(AB42,'FS Data'!$A:$B,2,FALSE)</f>
        <v>0</v>
      </c>
      <c r="S42" s="138">
        <v>403904</v>
      </c>
      <c r="T42" s="138">
        <v>403906</v>
      </c>
      <c r="U42" s="138">
        <v>403908</v>
      </c>
      <c r="V42" s="138">
        <v>403910</v>
      </c>
      <c r="W42" s="138">
        <v>403912</v>
      </c>
      <c r="X42" s="138">
        <v>403914</v>
      </c>
      <c r="Y42" s="138">
        <v>403916</v>
      </c>
      <c r="Z42" s="138">
        <v>403918</v>
      </c>
      <c r="AA42" s="138">
        <v>403920</v>
      </c>
      <c r="AB42" s="138">
        <v>403922</v>
      </c>
    </row>
    <row r="43" spans="2:28" ht="18.75" customHeight="1" x14ac:dyDescent="0.25">
      <c r="B43" s="10">
        <v>40</v>
      </c>
      <c r="C43" s="779" t="s">
        <v>492</v>
      </c>
      <c r="D43" s="810"/>
      <c r="E43" s="285">
        <v>82</v>
      </c>
      <c r="F43" s="116">
        <f>VLOOKUP(S43,'FS Data'!$A:$B,2,FALSE)</f>
        <v>0</v>
      </c>
      <c r="G43" s="117">
        <f>VLOOKUP(T43,'FS Data'!$A:$B,2,FALSE)</f>
        <v>0</v>
      </c>
      <c r="H43" s="20">
        <f>VLOOKUP(U43,'FS Data'!$A:$B,2,FALSE)</f>
        <v>0</v>
      </c>
      <c r="I43" s="117">
        <f>VLOOKUP(V43,'FS Data'!$A:$B,2,FALSE)</f>
        <v>0</v>
      </c>
      <c r="J43" s="20">
        <f>VLOOKUP(W43,'FS Data'!$A:$B,2,FALSE)</f>
        <v>0</v>
      </c>
      <c r="K43" s="117">
        <f>VLOOKUP(X43,'FS Data'!$A:$B,2,FALSE)</f>
        <v>0</v>
      </c>
      <c r="M43" s="20">
        <f>VLOOKUP(Y43,'FS Data'!$A:$B,2,FALSE)</f>
        <v>0</v>
      </c>
      <c r="N43" s="117">
        <f>VLOOKUP(Z43,'FS Data'!$A:$B,2,FALSE)</f>
        <v>0</v>
      </c>
      <c r="O43" s="75"/>
      <c r="P43" s="20">
        <f>VLOOKUP(AA43,'FS Data'!$A:$B,2,FALSE)</f>
        <v>0</v>
      </c>
      <c r="Q43" s="117">
        <f>VLOOKUP(AB43,'FS Data'!$A:$B,2,FALSE)</f>
        <v>0</v>
      </c>
      <c r="S43" s="138">
        <v>404004</v>
      </c>
      <c r="T43" s="138">
        <v>404006</v>
      </c>
      <c r="U43" s="138">
        <v>404008</v>
      </c>
      <c r="V43" s="138">
        <v>404010</v>
      </c>
      <c r="W43" s="138">
        <v>404012</v>
      </c>
      <c r="X43" s="138">
        <v>404014</v>
      </c>
      <c r="Y43" s="138">
        <v>404016</v>
      </c>
      <c r="Z43" s="138">
        <v>404018</v>
      </c>
      <c r="AA43" s="138">
        <v>404020</v>
      </c>
      <c r="AB43" s="138">
        <v>404022</v>
      </c>
    </row>
    <row r="44" spans="2:28" ht="18.75" customHeight="1" x14ac:dyDescent="0.25">
      <c r="B44" s="13">
        <v>41</v>
      </c>
      <c r="C44" s="779" t="s">
        <v>493</v>
      </c>
      <c r="D44" s="810"/>
      <c r="E44" s="285">
        <v>83</v>
      </c>
      <c r="F44" s="116">
        <f>VLOOKUP(S44,'FS Data'!$A:$B,2,FALSE)</f>
        <v>0</v>
      </c>
      <c r="G44" s="117">
        <f>VLOOKUP(T44,'FS Data'!$A:$B,2,FALSE)</f>
        <v>0</v>
      </c>
      <c r="H44" s="20">
        <f>VLOOKUP(U44,'FS Data'!$A:$B,2,FALSE)</f>
        <v>0</v>
      </c>
      <c r="I44" s="117">
        <f>VLOOKUP(V44,'FS Data'!$A:$B,2,FALSE)</f>
        <v>0</v>
      </c>
      <c r="J44" s="20">
        <f>VLOOKUP(W44,'FS Data'!$A:$B,2,FALSE)</f>
        <v>0</v>
      </c>
      <c r="K44" s="117">
        <f>VLOOKUP(X44,'FS Data'!$A:$B,2,FALSE)</f>
        <v>0</v>
      </c>
      <c r="M44" s="20">
        <f>VLOOKUP(Y44,'FS Data'!$A:$B,2,FALSE)</f>
        <v>0</v>
      </c>
      <c r="N44" s="117">
        <f>VLOOKUP(Z44,'FS Data'!$A:$B,2,FALSE)</f>
        <v>0</v>
      </c>
      <c r="O44" s="75"/>
      <c r="P44" s="20">
        <f>VLOOKUP(AA44,'FS Data'!$A:$B,2,FALSE)</f>
        <v>0</v>
      </c>
      <c r="Q44" s="117">
        <f>VLOOKUP(AB44,'FS Data'!$A:$B,2,FALSE)</f>
        <v>0</v>
      </c>
      <c r="S44" s="138">
        <v>404104</v>
      </c>
      <c r="T44" s="138">
        <v>404106</v>
      </c>
      <c r="U44" s="138">
        <v>404108</v>
      </c>
      <c r="V44" s="138">
        <v>404110</v>
      </c>
      <c r="W44" s="138">
        <v>404112</v>
      </c>
      <c r="X44" s="138">
        <v>404114</v>
      </c>
      <c r="Y44" s="138">
        <v>404116</v>
      </c>
      <c r="Z44" s="138">
        <v>404118</v>
      </c>
      <c r="AA44" s="138">
        <v>404120</v>
      </c>
      <c r="AB44" s="138">
        <v>404122</v>
      </c>
    </row>
    <row r="45" spans="2:28" ht="18.75" customHeight="1" x14ac:dyDescent="0.25">
      <c r="B45" s="13">
        <v>42</v>
      </c>
      <c r="C45" s="354" t="s">
        <v>494</v>
      </c>
      <c r="D45" s="584"/>
      <c r="E45" s="285">
        <v>84</v>
      </c>
      <c r="F45" s="116">
        <f>VLOOKUP(S45,'FS Data'!$A:$B,2,FALSE)</f>
        <v>1541</v>
      </c>
      <c r="G45" s="117">
        <f>VLOOKUP(T45,'FS Data'!$A:$B,2,FALSE)</f>
        <v>1541</v>
      </c>
      <c r="H45" s="20">
        <f>VLOOKUP(U45,'FS Data'!$A:$B,2,FALSE)</f>
        <v>1233</v>
      </c>
      <c r="I45" s="117">
        <f>VLOOKUP(V45,'FS Data'!$A:$B,2,FALSE)</f>
        <v>1233</v>
      </c>
      <c r="J45" s="20">
        <f>VLOOKUP(W45,'FS Data'!$A:$B,2,FALSE)</f>
        <v>0</v>
      </c>
      <c r="K45" s="117">
        <f>VLOOKUP(X45,'FS Data'!$A:$B,2,FALSE)</f>
        <v>0</v>
      </c>
      <c r="M45" s="20">
        <f>VLOOKUP(Y45,'FS Data'!$A:$B,2,FALSE)</f>
        <v>0</v>
      </c>
      <c r="N45" s="117">
        <f>VLOOKUP(Z45,'FS Data'!$A:$B,2,FALSE)</f>
        <v>0</v>
      </c>
      <c r="O45" s="75"/>
      <c r="P45" s="20">
        <f>VLOOKUP(AA45,'FS Data'!$A:$B,2,FALSE)</f>
        <v>0</v>
      </c>
      <c r="Q45" s="117">
        <f>VLOOKUP(AB45,'FS Data'!$A:$B,2,FALSE)</f>
        <v>0</v>
      </c>
      <c r="S45" s="138">
        <v>404204</v>
      </c>
      <c r="T45" s="138">
        <v>404206</v>
      </c>
      <c r="U45" s="138">
        <v>404208</v>
      </c>
      <c r="V45" s="138">
        <v>404210</v>
      </c>
      <c r="W45" s="138">
        <v>404212</v>
      </c>
      <c r="X45" s="138">
        <v>404214</v>
      </c>
      <c r="Y45" s="138">
        <v>404216</v>
      </c>
      <c r="Z45" s="138">
        <v>404218</v>
      </c>
      <c r="AA45" s="138">
        <v>404220</v>
      </c>
      <c r="AB45" s="138">
        <v>404222</v>
      </c>
    </row>
    <row r="46" spans="2:28" ht="18.75" customHeight="1" x14ac:dyDescent="0.25">
      <c r="B46" s="10">
        <v>43</v>
      </c>
      <c r="C46" s="779" t="s">
        <v>495</v>
      </c>
      <c r="D46" s="810"/>
      <c r="E46" s="285">
        <v>85</v>
      </c>
      <c r="F46" s="116">
        <f>VLOOKUP(S46,'FS Data'!$A:$B,2,FALSE)</f>
        <v>1213</v>
      </c>
      <c r="G46" s="117">
        <f>VLOOKUP(T46,'FS Data'!$A:$B,2,FALSE)</f>
        <v>1213</v>
      </c>
      <c r="H46" s="20">
        <f>VLOOKUP(U46,'FS Data'!$A:$B,2,FALSE)</f>
        <v>971</v>
      </c>
      <c r="I46" s="117">
        <f>VLOOKUP(V46,'FS Data'!$A:$B,2,FALSE)</f>
        <v>971</v>
      </c>
      <c r="J46" s="20">
        <f>VLOOKUP(W46,'FS Data'!$A:$B,2,FALSE)</f>
        <v>0</v>
      </c>
      <c r="K46" s="117">
        <f>VLOOKUP(X46,'FS Data'!$A:$B,2,FALSE)</f>
        <v>0</v>
      </c>
      <c r="M46" s="20">
        <f>VLOOKUP(Y46,'FS Data'!$A:$B,2,FALSE)</f>
        <v>0</v>
      </c>
      <c r="N46" s="117">
        <f>VLOOKUP(Z46,'FS Data'!$A:$B,2,FALSE)</f>
        <v>0</v>
      </c>
      <c r="O46" s="75"/>
      <c r="P46" s="20">
        <f>VLOOKUP(AA46,'FS Data'!$A:$B,2,FALSE)</f>
        <v>0</v>
      </c>
      <c r="Q46" s="117">
        <f>VLOOKUP(AB46,'FS Data'!$A:$B,2,FALSE)</f>
        <v>0</v>
      </c>
      <c r="S46" s="138">
        <v>404304</v>
      </c>
      <c r="T46" s="138">
        <v>404306</v>
      </c>
      <c r="U46" s="138">
        <v>404308</v>
      </c>
      <c r="V46" s="138">
        <v>404310</v>
      </c>
      <c r="W46" s="138">
        <v>404312</v>
      </c>
      <c r="X46" s="138">
        <v>404314</v>
      </c>
      <c r="Y46" s="138">
        <v>404316</v>
      </c>
      <c r="Z46" s="138">
        <v>404318</v>
      </c>
      <c r="AA46" s="138">
        <v>404320</v>
      </c>
      <c r="AB46" s="138">
        <v>404322</v>
      </c>
    </row>
    <row r="47" spans="2:28" ht="18.75" customHeight="1" thickBot="1" x14ac:dyDescent="0.3">
      <c r="B47" s="13">
        <v>44</v>
      </c>
      <c r="C47" s="354" t="s">
        <v>496</v>
      </c>
      <c r="D47" s="584"/>
      <c r="E47" s="285">
        <v>87</v>
      </c>
      <c r="F47" s="142">
        <f>VLOOKUP(S47,'FS Data'!$A:$B,2,FALSE)</f>
        <v>1276</v>
      </c>
      <c r="G47" s="143">
        <f>VLOOKUP(T47,'FS Data'!$A:$B,2,FALSE)</f>
        <v>1276</v>
      </c>
      <c r="H47" s="146">
        <f>VLOOKUP(U47,'FS Data'!$A:$B,2,FALSE)</f>
        <v>1021</v>
      </c>
      <c r="I47" s="143">
        <f>VLOOKUP(V47,'FS Data'!$A:$B,2,FALSE)</f>
        <v>1021</v>
      </c>
      <c r="J47" s="146">
        <f>VLOOKUP(W47,'FS Data'!$A:$B,2,FALSE)</f>
        <v>0</v>
      </c>
      <c r="K47" s="143">
        <f>VLOOKUP(X47,'FS Data'!$A:$B,2,FALSE)</f>
        <v>0</v>
      </c>
      <c r="L47" s="120"/>
      <c r="M47" s="146">
        <f>VLOOKUP(Y47,'FS Data'!$A:$B,2,FALSE)</f>
        <v>0</v>
      </c>
      <c r="N47" s="143">
        <f>VLOOKUP(Z47,'FS Data'!$A:$B,2,FALSE)</f>
        <v>0</v>
      </c>
      <c r="O47" s="75"/>
      <c r="P47" s="146">
        <f>VLOOKUP(AA47,'FS Data'!$A:$B,2,FALSE)</f>
        <v>0</v>
      </c>
      <c r="Q47" s="143">
        <f>VLOOKUP(AB47,'FS Data'!$A:$B,2,FALSE)</f>
        <v>0</v>
      </c>
      <c r="S47" s="138">
        <v>404404</v>
      </c>
      <c r="T47" s="138">
        <v>404406</v>
      </c>
      <c r="U47" s="138">
        <v>404408</v>
      </c>
      <c r="V47" s="138">
        <v>404410</v>
      </c>
      <c r="W47" s="138">
        <v>404412</v>
      </c>
      <c r="X47" s="138">
        <v>404414</v>
      </c>
      <c r="Y47" s="138">
        <v>404416</v>
      </c>
      <c r="Z47" s="138">
        <v>404418</v>
      </c>
      <c r="AA47" s="138">
        <v>404420</v>
      </c>
      <c r="AB47" s="138">
        <v>404422</v>
      </c>
    </row>
    <row r="48" spans="2:28" ht="21.6" customHeight="1" thickBot="1" x14ac:dyDescent="0.3">
      <c r="B48" s="13">
        <v>45</v>
      </c>
      <c r="C48" s="808" t="s">
        <v>541</v>
      </c>
      <c r="D48" s="809"/>
      <c r="E48" s="810"/>
      <c r="F48" s="144">
        <f>VLOOKUP(S48,'FS Data'!$A:$B,2,FALSE)</f>
        <v>19218</v>
      </c>
      <c r="G48" s="145">
        <f>VLOOKUP(T48,'FS Data'!$A:$B,2,FALSE)</f>
        <v>19218</v>
      </c>
      <c r="H48" s="148">
        <f>VLOOKUP(U48,'FS Data'!$A:$B,2,FALSE)</f>
        <v>15375</v>
      </c>
      <c r="I48" s="145">
        <f>VLOOKUP(V48,'FS Data'!$A:$B,2,FALSE)</f>
        <v>15375</v>
      </c>
      <c r="J48" s="148">
        <f>VLOOKUP(W48,'FS Data'!$A:$B,2,FALSE)</f>
        <v>0</v>
      </c>
      <c r="K48" s="145">
        <f>VLOOKUP(X48,'FS Data'!$A:$B,2,FALSE)</f>
        <v>0</v>
      </c>
      <c r="L48" s="164"/>
      <c r="M48" s="148">
        <f>VLOOKUP(Y48,'FS Data'!$A:$B,2,FALSE)</f>
        <v>0</v>
      </c>
      <c r="N48" s="145">
        <f>VLOOKUP(Z48,'FS Data'!$A:$B,2,FALSE)</f>
        <v>0</v>
      </c>
      <c r="O48" s="165"/>
      <c r="P48" s="148">
        <f>VLOOKUP(AA48,'FS Data'!$A:$B,2,FALSE)</f>
        <v>0</v>
      </c>
      <c r="Q48" s="145">
        <f>VLOOKUP(AB48,'FS Data'!$A:$B,2,FALSE)</f>
        <v>0</v>
      </c>
      <c r="S48" s="138">
        <v>404504</v>
      </c>
      <c r="T48" s="138">
        <v>404506</v>
      </c>
      <c r="U48" s="138">
        <v>404508</v>
      </c>
      <c r="V48" s="138">
        <v>404510</v>
      </c>
      <c r="W48" s="138">
        <v>404512</v>
      </c>
      <c r="X48" s="138">
        <v>404514</v>
      </c>
      <c r="Y48" s="138">
        <v>404516</v>
      </c>
      <c r="Z48" s="138">
        <v>404518</v>
      </c>
      <c r="AA48" s="138">
        <v>404520</v>
      </c>
      <c r="AB48" s="138">
        <v>404522</v>
      </c>
    </row>
    <row r="49" spans="2:28" ht="18.75" customHeight="1" x14ac:dyDescent="0.25">
      <c r="B49" s="10">
        <v>46</v>
      </c>
      <c r="C49" s="354" t="s">
        <v>498</v>
      </c>
      <c r="D49" s="584"/>
      <c r="E49" s="285">
        <v>88</v>
      </c>
      <c r="F49" s="116">
        <f>VLOOKUP(S49,'FS Data'!$A:$B,2,FALSE)</f>
        <v>0</v>
      </c>
      <c r="G49" s="117">
        <f>VLOOKUP(T49,'FS Data'!$A:$B,2,FALSE)</f>
        <v>0</v>
      </c>
      <c r="H49" s="20">
        <f>VLOOKUP(U49,'FS Data'!$A:$B,2,FALSE)</f>
        <v>0</v>
      </c>
      <c r="I49" s="117">
        <f>VLOOKUP(V49,'FS Data'!$A:$B,2,FALSE)</f>
        <v>0</v>
      </c>
      <c r="J49" s="20">
        <f>VLOOKUP(W49,'FS Data'!$A:$B,2,FALSE)</f>
        <v>0</v>
      </c>
      <c r="K49" s="117">
        <f>VLOOKUP(X49,'FS Data'!$A:$B,2,FALSE)</f>
        <v>0</v>
      </c>
      <c r="L49" s="120"/>
      <c r="M49" s="20">
        <f>VLOOKUP(Y49,'FS Data'!$A:$B,2,FALSE)</f>
        <v>0</v>
      </c>
      <c r="N49" s="117">
        <f>VLOOKUP(Z49,'FS Data'!$A:$B,2,FALSE)</f>
        <v>0</v>
      </c>
      <c r="O49" s="75"/>
      <c r="P49" s="20">
        <f>VLOOKUP(AA49,'FS Data'!$A:$B,2,FALSE)</f>
        <v>0</v>
      </c>
      <c r="Q49" s="117">
        <f>VLOOKUP(AB49,'FS Data'!$A:$B,2,FALSE)</f>
        <v>0</v>
      </c>
      <c r="S49" s="138">
        <v>404604</v>
      </c>
      <c r="T49" s="138">
        <v>404606</v>
      </c>
      <c r="U49" s="138">
        <v>404608</v>
      </c>
      <c r="V49" s="138">
        <v>404610</v>
      </c>
      <c r="W49" s="138">
        <v>404612</v>
      </c>
      <c r="X49" s="138">
        <v>404614</v>
      </c>
      <c r="Y49" s="138">
        <v>404616</v>
      </c>
      <c r="Z49" s="138">
        <v>404618</v>
      </c>
      <c r="AA49" s="138">
        <v>404620</v>
      </c>
      <c r="AB49" s="138">
        <v>404622</v>
      </c>
    </row>
    <row r="50" spans="2:28" ht="18.75" customHeight="1" x14ac:dyDescent="0.25">
      <c r="B50" s="13">
        <v>47</v>
      </c>
      <c r="C50" s="354" t="s">
        <v>499</v>
      </c>
      <c r="D50" s="584"/>
      <c r="E50" s="285">
        <v>89</v>
      </c>
      <c r="F50" s="116">
        <f>VLOOKUP(S50,'FS Data'!$A:$B,2,FALSE)</f>
        <v>660</v>
      </c>
      <c r="G50" s="117">
        <f>VLOOKUP(T50,'FS Data'!$A:$B,2,FALSE)</f>
        <v>660</v>
      </c>
      <c r="H50" s="20">
        <f>VLOOKUP(U50,'FS Data'!$A:$B,2,FALSE)</f>
        <v>528</v>
      </c>
      <c r="I50" s="117">
        <f>VLOOKUP(V50,'FS Data'!$A:$B,2,FALSE)</f>
        <v>528</v>
      </c>
      <c r="J50" s="20">
        <f>VLOOKUP(W50,'FS Data'!$A:$B,2,FALSE)</f>
        <v>0</v>
      </c>
      <c r="K50" s="117">
        <f>VLOOKUP(X50,'FS Data'!$A:$B,2,FALSE)</f>
        <v>0</v>
      </c>
      <c r="M50" s="20">
        <f>VLOOKUP(Y50,'FS Data'!$A:$B,2,FALSE)</f>
        <v>0</v>
      </c>
      <c r="N50" s="117">
        <f>VLOOKUP(Z50,'FS Data'!$A:$B,2,FALSE)</f>
        <v>0</v>
      </c>
      <c r="O50" s="75"/>
      <c r="P50" s="20">
        <f>VLOOKUP(AA50,'FS Data'!$A:$B,2,FALSE)</f>
        <v>0</v>
      </c>
      <c r="Q50" s="117">
        <f>VLOOKUP(AB50,'FS Data'!$A:$B,2,FALSE)</f>
        <v>0</v>
      </c>
      <c r="S50" s="138">
        <v>404704</v>
      </c>
      <c r="T50" s="138">
        <v>404706</v>
      </c>
      <c r="U50" s="138">
        <v>404708</v>
      </c>
      <c r="V50" s="138">
        <v>404710</v>
      </c>
      <c r="W50" s="138">
        <v>404712</v>
      </c>
      <c r="X50" s="138">
        <v>404714</v>
      </c>
      <c r="Y50" s="138">
        <v>404716</v>
      </c>
      <c r="Z50" s="138">
        <v>404718</v>
      </c>
      <c r="AA50" s="138">
        <v>404720</v>
      </c>
      <c r="AB50" s="138">
        <v>404722</v>
      </c>
    </row>
    <row r="51" spans="2:28" ht="18.75" customHeight="1" x14ac:dyDescent="0.25">
      <c r="B51" s="13">
        <v>48</v>
      </c>
      <c r="C51" s="354" t="s">
        <v>500</v>
      </c>
      <c r="D51" s="584"/>
      <c r="E51" s="285">
        <v>90</v>
      </c>
      <c r="F51" s="116">
        <f>VLOOKUP(S51,'FS Data'!$A:$B,2,FALSE)</f>
        <v>400</v>
      </c>
      <c r="G51" s="117">
        <f>VLOOKUP(T51,'FS Data'!$A:$B,2,FALSE)</f>
        <v>400</v>
      </c>
      <c r="H51" s="20">
        <f>VLOOKUP(U51,'FS Data'!$A:$B,2,FALSE)</f>
        <v>0</v>
      </c>
      <c r="I51" s="117">
        <f>VLOOKUP(V51,'FS Data'!$A:$B,2,FALSE)</f>
        <v>0</v>
      </c>
      <c r="J51" s="20">
        <f>VLOOKUP(W51,'FS Data'!$A:$B,2,FALSE)</f>
        <v>0</v>
      </c>
      <c r="K51" s="117">
        <f>VLOOKUP(X51,'FS Data'!$A:$B,2,FALSE)</f>
        <v>0</v>
      </c>
      <c r="L51" s="120"/>
      <c r="M51" s="20">
        <f>VLOOKUP(Y51,'FS Data'!$A:$B,2,FALSE)</f>
        <v>0</v>
      </c>
      <c r="N51" s="117">
        <f>VLOOKUP(Z51,'FS Data'!$A:$B,2,FALSE)</f>
        <v>0</v>
      </c>
      <c r="O51" s="75"/>
      <c r="P51" s="20">
        <f>VLOOKUP(AA51,'FS Data'!$A:$B,2,FALSE)</f>
        <v>0</v>
      </c>
      <c r="Q51" s="117">
        <f>VLOOKUP(AB51,'FS Data'!$A:$B,2,FALSE)</f>
        <v>0</v>
      </c>
      <c r="S51" s="138">
        <v>404804</v>
      </c>
      <c r="T51" s="138">
        <v>404806</v>
      </c>
      <c r="U51" s="138">
        <v>404808</v>
      </c>
      <c r="V51" s="138">
        <v>404810</v>
      </c>
      <c r="W51" s="138">
        <v>404812</v>
      </c>
      <c r="X51" s="138">
        <v>404814</v>
      </c>
      <c r="Y51" s="138">
        <v>404816</v>
      </c>
      <c r="Z51" s="138">
        <v>404818</v>
      </c>
      <c r="AA51" s="138">
        <v>404820</v>
      </c>
      <c r="AB51" s="138">
        <v>404822</v>
      </c>
    </row>
    <row r="52" spans="2:28" ht="18.75" customHeight="1" x14ac:dyDescent="0.25">
      <c r="B52" s="10">
        <v>49</v>
      </c>
      <c r="C52" s="354" t="s">
        <v>501</v>
      </c>
      <c r="D52" s="584"/>
      <c r="E52" s="285">
        <v>91</v>
      </c>
      <c r="F52" s="116">
        <f>VLOOKUP(S52,'FS Data'!$A:$B,2,FALSE)</f>
        <v>5313</v>
      </c>
      <c r="G52" s="117">
        <f>VLOOKUP(T52,'FS Data'!$A:$B,2,FALSE)</f>
        <v>5313</v>
      </c>
      <c r="H52" s="20">
        <f>VLOOKUP(U52,'FS Data'!$A:$B,2,FALSE)</f>
        <v>900</v>
      </c>
      <c r="I52" s="117">
        <f>VLOOKUP(V52,'FS Data'!$A:$B,2,FALSE)</f>
        <v>900</v>
      </c>
      <c r="J52" s="20">
        <f>VLOOKUP(W52,'FS Data'!$A:$B,2,FALSE)</f>
        <v>0</v>
      </c>
      <c r="K52" s="117">
        <f>VLOOKUP(X52,'FS Data'!$A:$B,2,FALSE)</f>
        <v>0</v>
      </c>
      <c r="M52" s="20">
        <f>VLOOKUP(Y52,'FS Data'!$A:$B,2,FALSE)</f>
        <v>0</v>
      </c>
      <c r="N52" s="117">
        <f>VLOOKUP(Z52,'FS Data'!$A:$B,2,FALSE)</f>
        <v>0</v>
      </c>
      <c r="O52" s="75"/>
      <c r="P52" s="20">
        <f>VLOOKUP(AA52,'FS Data'!$A:$B,2,FALSE)</f>
        <v>0</v>
      </c>
      <c r="Q52" s="117">
        <f>VLOOKUP(AB52,'FS Data'!$A:$B,2,FALSE)</f>
        <v>0</v>
      </c>
      <c r="S52" s="138">
        <v>404904</v>
      </c>
      <c r="T52" s="138">
        <v>404906</v>
      </c>
      <c r="U52" s="138">
        <v>404908</v>
      </c>
      <c r="V52" s="138">
        <v>404910</v>
      </c>
      <c r="W52" s="138">
        <v>404912</v>
      </c>
      <c r="X52" s="138">
        <v>404914</v>
      </c>
      <c r="Y52" s="138">
        <v>404916</v>
      </c>
      <c r="Z52" s="138">
        <v>404918</v>
      </c>
      <c r="AA52" s="138">
        <v>404920</v>
      </c>
      <c r="AB52" s="138">
        <v>404922</v>
      </c>
    </row>
    <row r="53" spans="2:28" ht="18.75" customHeight="1" thickBot="1" x14ac:dyDescent="0.3">
      <c r="B53" s="13">
        <v>50</v>
      </c>
      <c r="C53" s="354" t="s">
        <v>502</v>
      </c>
      <c r="D53" s="584"/>
      <c r="E53" s="285">
        <v>92</v>
      </c>
      <c r="F53" s="142">
        <f>VLOOKUP(S53,'FS Data'!$A:$B,2,FALSE)</f>
        <v>43</v>
      </c>
      <c r="G53" s="143">
        <f>VLOOKUP(T53,'FS Data'!$A:$B,2,FALSE)</f>
        <v>43</v>
      </c>
      <c r="H53" s="146">
        <f>VLOOKUP(U53,'FS Data'!$A:$B,2,FALSE)</f>
        <v>35</v>
      </c>
      <c r="I53" s="143">
        <f>VLOOKUP(V53,'FS Data'!$A:$B,2,FALSE)</f>
        <v>35</v>
      </c>
      <c r="J53" s="146">
        <f>VLOOKUP(W53,'FS Data'!$A:$B,2,FALSE)</f>
        <v>0</v>
      </c>
      <c r="K53" s="143">
        <f>VLOOKUP(X53,'FS Data'!$A:$B,2,FALSE)</f>
        <v>0</v>
      </c>
      <c r="M53" s="146">
        <f>VLOOKUP(Y53,'FS Data'!$A:$B,2,FALSE)</f>
        <v>0</v>
      </c>
      <c r="N53" s="143">
        <f>VLOOKUP(Z53,'FS Data'!$A:$B,2,FALSE)</f>
        <v>0</v>
      </c>
      <c r="O53" s="75"/>
      <c r="P53" s="146">
        <f>VLOOKUP(AA53,'FS Data'!$A:$B,2,FALSE)</f>
        <v>0</v>
      </c>
      <c r="Q53" s="143">
        <f>VLOOKUP(AB53,'FS Data'!$A:$B,2,FALSE)</f>
        <v>0</v>
      </c>
      <c r="S53" s="138">
        <v>405004</v>
      </c>
      <c r="T53" s="138">
        <v>405006</v>
      </c>
      <c r="U53" s="138">
        <v>405008</v>
      </c>
      <c r="V53" s="138">
        <v>405010</v>
      </c>
      <c r="W53" s="138">
        <v>405012</v>
      </c>
      <c r="X53" s="138">
        <v>405014</v>
      </c>
      <c r="Y53" s="138">
        <v>405016</v>
      </c>
      <c r="Z53" s="138">
        <v>405018</v>
      </c>
      <c r="AA53" s="138">
        <v>405020</v>
      </c>
      <c r="AB53" s="138">
        <v>405022</v>
      </c>
    </row>
    <row r="54" spans="2:28" ht="21.6" customHeight="1" thickBot="1" x14ac:dyDescent="0.25">
      <c r="B54" s="13">
        <v>51</v>
      </c>
      <c r="C54" s="829" t="s">
        <v>542</v>
      </c>
      <c r="D54" s="830"/>
      <c r="E54" s="831"/>
      <c r="F54" s="144">
        <f>VLOOKUP(S54,'FS Data'!$A:$B,2,FALSE)</f>
        <v>25634</v>
      </c>
      <c r="G54" s="145">
        <f>VLOOKUP(T54,'FS Data'!$A:$B,2,FALSE)</f>
        <v>25634</v>
      </c>
      <c r="H54" s="148">
        <f>VLOOKUP(U54,'FS Data'!$A:$B,2,FALSE)</f>
        <v>16838</v>
      </c>
      <c r="I54" s="145">
        <f>VLOOKUP(V54,'FS Data'!$A:$B,2,FALSE)</f>
        <v>16838</v>
      </c>
      <c r="J54" s="148">
        <f>VLOOKUP(W54,'FS Data'!$A:$B,2,FALSE)</f>
        <v>0</v>
      </c>
      <c r="K54" s="145">
        <f>VLOOKUP(X54,'FS Data'!$A:$B,2,FALSE)</f>
        <v>0</v>
      </c>
      <c r="L54" s="164"/>
      <c r="M54" s="148">
        <f>VLOOKUP(Y54,'FS Data'!$A:$B,2,FALSE)</f>
        <v>0</v>
      </c>
      <c r="N54" s="145">
        <f>VLOOKUP(Z54,'FS Data'!$A:$B,2,FALSE)</f>
        <v>0</v>
      </c>
      <c r="O54" s="165"/>
      <c r="P54" s="148">
        <f>VLOOKUP(AA54,'FS Data'!$A:$B,2,FALSE)</f>
        <v>0</v>
      </c>
      <c r="Q54" s="145">
        <f>VLOOKUP(AB54,'FS Data'!$A:$B,2,FALSE)</f>
        <v>0</v>
      </c>
      <c r="S54" s="138">
        <v>405104</v>
      </c>
      <c r="T54" s="138">
        <v>405106</v>
      </c>
      <c r="U54" s="138">
        <v>405108</v>
      </c>
      <c r="V54" s="138">
        <v>405110</v>
      </c>
      <c r="W54" s="138">
        <v>405112</v>
      </c>
      <c r="X54" s="138">
        <v>405114</v>
      </c>
      <c r="Y54" s="138">
        <v>405116</v>
      </c>
      <c r="Z54" s="138">
        <v>405118</v>
      </c>
      <c r="AA54" s="138">
        <v>405120</v>
      </c>
      <c r="AB54" s="138">
        <v>405122</v>
      </c>
    </row>
    <row r="55" spans="2:28" ht="21.6" customHeight="1" thickBot="1" x14ac:dyDescent="0.25">
      <c r="B55" s="10">
        <v>52</v>
      </c>
      <c r="C55" s="829" t="s">
        <v>543</v>
      </c>
      <c r="D55" s="830"/>
      <c r="E55" s="831"/>
      <c r="F55" s="144">
        <f>VLOOKUP(S55,'FS Data'!$A:$B,2,FALSE)</f>
        <v>119807</v>
      </c>
      <c r="G55" s="145">
        <f>VLOOKUP(T55,'FS Data'!$A:$B,2,FALSE)</f>
        <v>119807</v>
      </c>
      <c r="H55" s="148">
        <f>VLOOKUP(U55,'FS Data'!$A:$B,2,FALSE)</f>
        <v>59192</v>
      </c>
      <c r="I55" s="145">
        <f>VLOOKUP(V55,'FS Data'!$A:$B,2,FALSE)</f>
        <v>59192</v>
      </c>
      <c r="J55" s="148">
        <f>VLOOKUP(W55,'FS Data'!$A:$B,2,FALSE)</f>
        <v>0</v>
      </c>
      <c r="K55" s="145">
        <f>VLOOKUP(X55,'FS Data'!$A:$B,2,FALSE)</f>
        <v>0</v>
      </c>
      <c r="L55" s="164"/>
      <c r="M55" s="148">
        <f>VLOOKUP(Y55,'FS Data'!$A:$B,2,FALSE)</f>
        <v>0</v>
      </c>
      <c r="N55" s="145">
        <f>VLOOKUP(Z55,'FS Data'!$A:$B,2,FALSE)</f>
        <v>0</v>
      </c>
      <c r="O55" s="165"/>
      <c r="P55" s="148">
        <f>VLOOKUP(AA55,'FS Data'!$A:$B,2,FALSE)</f>
        <v>0</v>
      </c>
      <c r="Q55" s="145">
        <f>VLOOKUP(AB55,'FS Data'!$A:$B,2,FALSE)</f>
        <v>0</v>
      </c>
      <c r="S55" s="138">
        <v>405204</v>
      </c>
      <c r="T55" s="138">
        <v>405206</v>
      </c>
      <c r="U55" s="138">
        <v>405208</v>
      </c>
      <c r="V55" s="138">
        <v>405210</v>
      </c>
      <c r="W55" s="138">
        <v>405212</v>
      </c>
      <c r="X55" s="138">
        <v>405214</v>
      </c>
      <c r="Y55" s="138">
        <v>405216</v>
      </c>
      <c r="Z55" s="138">
        <v>405218</v>
      </c>
      <c r="AA55" s="138">
        <v>405220</v>
      </c>
      <c r="AB55" s="138">
        <v>405222</v>
      </c>
    </row>
    <row r="56" spans="2:28" ht="21.6" customHeight="1" thickBot="1" x14ac:dyDescent="0.25">
      <c r="B56" s="13">
        <v>53</v>
      </c>
      <c r="C56" s="829" t="s">
        <v>544</v>
      </c>
      <c r="D56" s="830"/>
      <c r="E56" s="831"/>
      <c r="F56" s="144">
        <f>VLOOKUP(S56,'FS Data'!$A:$B,2,FALSE)</f>
        <v>124611</v>
      </c>
      <c r="G56" s="145">
        <f>VLOOKUP(T56,'FS Data'!$A:$B,2,FALSE)</f>
        <v>124611</v>
      </c>
      <c r="H56" s="148">
        <f>VLOOKUP(U56,'FS Data'!$A:$B,2,FALSE)</f>
        <v>61675</v>
      </c>
      <c r="I56" s="145">
        <f>VLOOKUP(V56,'FS Data'!$A:$B,2,FALSE)</f>
        <v>61675</v>
      </c>
      <c r="J56" s="148">
        <f>VLOOKUP(W56,'FS Data'!$A:$B,2,FALSE)</f>
        <v>0</v>
      </c>
      <c r="K56" s="145">
        <f>VLOOKUP(X56,'FS Data'!$A:$B,2,FALSE)</f>
        <v>0</v>
      </c>
      <c r="L56" s="164"/>
      <c r="M56" s="148">
        <f>VLOOKUP(Y56,'FS Data'!$A:$B,2,FALSE)</f>
        <v>0</v>
      </c>
      <c r="N56" s="145">
        <f>VLOOKUP(Z56,'FS Data'!$A:$B,2,FALSE)</f>
        <v>0</v>
      </c>
      <c r="O56" s="165"/>
      <c r="P56" s="148">
        <f>VLOOKUP(AA56,'FS Data'!$A:$B,2,FALSE)</f>
        <v>0</v>
      </c>
      <c r="Q56" s="145">
        <f>VLOOKUP(AB56,'FS Data'!$A:$B,2,FALSE)</f>
        <v>0</v>
      </c>
      <c r="S56" s="138">
        <v>405304</v>
      </c>
      <c r="T56" s="138">
        <v>405306</v>
      </c>
      <c r="U56" s="138">
        <v>405308</v>
      </c>
      <c r="V56" s="138">
        <v>405310</v>
      </c>
      <c r="W56" s="138">
        <v>405312</v>
      </c>
      <c r="X56" s="138">
        <v>405314</v>
      </c>
      <c r="Y56" s="138">
        <v>405316</v>
      </c>
      <c r="Z56" s="138">
        <v>405318</v>
      </c>
      <c r="AA56" s="138">
        <v>405320</v>
      </c>
      <c r="AB56" s="138">
        <v>405322</v>
      </c>
    </row>
    <row r="57" spans="2:28" ht="21.6" customHeight="1" thickBot="1" x14ac:dyDescent="0.25">
      <c r="B57" s="13">
        <v>54</v>
      </c>
      <c r="C57" s="829" t="s">
        <v>545</v>
      </c>
      <c r="D57" s="830"/>
      <c r="E57" s="831"/>
      <c r="F57" s="144">
        <f>VLOOKUP(S57,'FS Data'!$A:$B,2,FALSE)</f>
        <v>-58841</v>
      </c>
      <c r="G57" s="145">
        <f>VLOOKUP(T57,'FS Data'!$A:$B,2,FALSE)</f>
        <v>-58841</v>
      </c>
      <c r="H57" s="148">
        <f>VLOOKUP(U57,'FS Data'!$A:$B,2,FALSE)</f>
        <v>14339</v>
      </c>
      <c r="I57" s="145">
        <f>VLOOKUP(V57,'FS Data'!$A:$B,2,FALSE)</f>
        <v>14339</v>
      </c>
      <c r="J57" s="148">
        <f>VLOOKUP(W57,'FS Data'!$A:$B,2,FALSE)</f>
        <v>0</v>
      </c>
      <c r="K57" s="145">
        <f>VLOOKUP(X57,'FS Data'!$A:$B,2,FALSE)</f>
        <v>0</v>
      </c>
      <c r="L57" s="164"/>
      <c r="M57" s="148">
        <f>VLOOKUP(Y57,'FS Data'!$A:$B,2,FALSE)</f>
        <v>0</v>
      </c>
      <c r="N57" s="145">
        <f>VLOOKUP(Z57,'FS Data'!$A:$B,2,FALSE)</f>
        <v>0</v>
      </c>
      <c r="O57" s="165"/>
      <c r="P57" s="148">
        <f>VLOOKUP(AA57,'FS Data'!$A:$B,2,FALSE)</f>
        <v>0</v>
      </c>
      <c r="Q57" s="145">
        <f>VLOOKUP(AB57,'FS Data'!$A:$B,2,FALSE)</f>
        <v>0</v>
      </c>
      <c r="S57" s="138">
        <v>405404</v>
      </c>
      <c r="T57" s="138">
        <v>405406</v>
      </c>
      <c r="U57" s="138">
        <v>405408</v>
      </c>
      <c r="V57" s="138">
        <v>405410</v>
      </c>
      <c r="W57" s="138">
        <v>405412</v>
      </c>
      <c r="X57" s="138">
        <v>405414</v>
      </c>
      <c r="Y57" s="138">
        <v>405416</v>
      </c>
      <c r="Z57" s="138">
        <v>405418</v>
      </c>
      <c r="AA57" s="138">
        <v>405420</v>
      </c>
      <c r="AB57" s="138">
        <v>405422</v>
      </c>
    </row>
    <row r="58" spans="2:28" ht="18.75" customHeight="1" x14ac:dyDescent="0.25">
      <c r="B58" s="10">
        <v>55</v>
      </c>
      <c r="C58" s="663"/>
      <c r="D58" s="664"/>
      <c r="E58" s="604"/>
      <c r="F58" s="176"/>
      <c r="G58" s="176"/>
      <c r="H58" s="203"/>
      <c r="I58" s="203"/>
      <c r="J58" s="203"/>
      <c r="K58" s="176"/>
      <c r="L58" s="176"/>
      <c r="M58" s="176"/>
      <c r="N58" s="176"/>
      <c r="O58" s="176"/>
      <c r="P58" s="176"/>
      <c r="Q58" s="171"/>
      <c r="S58" s="138">
        <v>405504</v>
      </c>
      <c r="T58" s="138">
        <v>405506</v>
      </c>
      <c r="U58" s="138">
        <v>405508</v>
      </c>
      <c r="V58" s="138">
        <v>405510</v>
      </c>
      <c r="W58" s="138">
        <v>405512</v>
      </c>
      <c r="X58" s="138">
        <v>405514</v>
      </c>
      <c r="Y58" s="138">
        <v>405516</v>
      </c>
      <c r="Z58" s="138">
        <v>405518</v>
      </c>
      <c r="AA58" s="138">
        <v>405520</v>
      </c>
      <c r="AB58" s="138">
        <v>405522</v>
      </c>
    </row>
    <row r="59" spans="2:28" ht="18.75" customHeight="1" x14ac:dyDescent="0.25">
      <c r="B59" s="13">
        <v>56</v>
      </c>
      <c r="C59" s="354" t="s">
        <v>413</v>
      </c>
      <c r="D59" s="584"/>
      <c r="E59" s="285">
        <v>97</v>
      </c>
      <c r="F59" s="116">
        <f>VLOOKUP(S59,'FS Data'!$A:$B,2,FALSE)</f>
        <v>0</v>
      </c>
      <c r="G59" s="117">
        <f>VLOOKUP(T59,'FS Data'!$A:$B,2,FALSE)</f>
        <v>0</v>
      </c>
      <c r="H59" s="20">
        <f>VLOOKUP(U59,'FS Data'!$A:$B,2,FALSE)</f>
        <v>0</v>
      </c>
      <c r="I59" s="117">
        <f>VLOOKUP(V59,'FS Data'!$A:$B,2,FALSE)</f>
        <v>0</v>
      </c>
      <c r="J59" s="20">
        <f>VLOOKUP(W59,'FS Data'!$A:$B,2,FALSE)</f>
        <v>0</v>
      </c>
      <c r="K59" s="117">
        <f>VLOOKUP(X59,'FS Data'!$A:$B,2,FALSE)</f>
        <v>0</v>
      </c>
      <c r="M59" s="20">
        <f>VLOOKUP(Y59,'FS Data'!$A:$B,2,FALSE)</f>
        <v>0</v>
      </c>
      <c r="N59" s="117">
        <f>VLOOKUP(Z59,'FS Data'!$A:$B,2,FALSE)</f>
        <v>0</v>
      </c>
      <c r="O59" s="75"/>
      <c r="P59" s="20">
        <f>VLOOKUP(AA59,'FS Data'!$A:$B,2,FALSE)</f>
        <v>0</v>
      </c>
      <c r="Q59" s="117">
        <f>VLOOKUP(AB59,'FS Data'!$A:$B,2,FALSE)</f>
        <v>0</v>
      </c>
      <c r="S59" s="138">
        <v>405604</v>
      </c>
      <c r="T59" s="138">
        <v>405606</v>
      </c>
      <c r="U59" s="138">
        <v>405608</v>
      </c>
      <c r="V59" s="138">
        <v>405610</v>
      </c>
      <c r="W59" s="138">
        <v>405612</v>
      </c>
      <c r="X59" s="138">
        <v>405614</v>
      </c>
      <c r="Y59" s="138">
        <v>405616</v>
      </c>
      <c r="Z59" s="138">
        <v>405618</v>
      </c>
      <c r="AA59" s="138">
        <v>405620</v>
      </c>
      <c r="AB59" s="138">
        <v>405622</v>
      </c>
    </row>
    <row r="60" spans="2:28" ht="12.75" x14ac:dyDescent="0.25">
      <c r="C60" s="665"/>
      <c r="D60" s="665"/>
      <c r="E60" s="665"/>
    </row>
    <row r="61" spans="2:28" ht="15" x14ac:dyDescent="0.25">
      <c r="C61" s="666"/>
      <c r="D61" s="666"/>
      <c r="E61" s="666"/>
    </row>
    <row r="62" spans="2:28" ht="15" x14ac:dyDescent="0.25">
      <c r="C62" s="666"/>
      <c r="D62" s="666"/>
      <c r="E62" s="666"/>
    </row>
    <row r="63" spans="2:28" ht="15" x14ac:dyDescent="0.25">
      <c r="C63" s="666"/>
      <c r="D63" s="666"/>
      <c r="E63" s="666"/>
    </row>
    <row r="64" spans="2:28" ht="15" x14ac:dyDescent="0.25">
      <c r="C64" s="666"/>
      <c r="D64" s="666"/>
      <c r="E64" s="666"/>
    </row>
    <row r="65" spans="3:5" ht="15" x14ac:dyDescent="0.25">
      <c r="C65" s="666"/>
      <c r="D65" s="666"/>
      <c r="E65" s="666"/>
    </row>
    <row r="66" spans="3:5" ht="15" x14ac:dyDescent="0.25">
      <c r="C66" s="666"/>
      <c r="D66" s="666"/>
      <c r="E66" s="666"/>
    </row>
    <row r="67" spans="3:5" ht="15" x14ac:dyDescent="0.25">
      <c r="C67" s="666"/>
      <c r="D67" s="666"/>
      <c r="E67" s="666"/>
    </row>
    <row r="68" spans="3:5" ht="15" x14ac:dyDescent="0.25">
      <c r="C68" s="666"/>
      <c r="D68" s="666"/>
      <c r="E68" s="666"/>
    </row>
    <row r="69" spans="3:5" ht="15" x14ac:dyDescent="0.25">
      <c r="C69" s="666"/>
      <c r="D69" s="666"/>
      <c r="E69" s="666"/>
    </row>
    <row r="70" spans="3:5" ht="15" x14ac:dyDescent="0.25">
      <c r="C70" s="666"/>
      <c r="D70" s="666"/>
      <c r="E70" s="666"/>
    </row>
    <row r="71" spans="3:5" ht="15" x14ac:dyDescent="0.25">
      <c r="C71" s="666"/>
      <c r="D71" s="666"/>
      <c r="E71" s="666"/>
    </row>
    <row r="72" spans="3:5" ht="15" x14ac:dyDescent="0.25">
      <c r="C72" s="666"/>
      <c r="D72" s="666"/>
      <c r="E72" s="666"/>
    </row>
    <row r="73" spans="3:5" ht="15" x14ac:dyDescent="0.25">
      <c r="C73" s="666"/>
      <c r="D73" s="666"/>
      <c r="E73" s="666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8"/>
  <sheetViews>
    <sheetView showGridLines="0" showRowColHeaders="0" zoomScale="130" zoomScaleNormal="130" zoomScaleSheetLayoutView="100" workbookViewId="0">
      <selection activeCell="C48" sqref="C48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24" width="9.140625" style="219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39" t="s">
        <v>55</v>
      </c>
    </row>
    <row r="2" spans="2:26" ht="12.75" customHeight="1" x14ac:dyDescent="0.25">
      <c r="B2" s="834" t="s">
        <v>386</v>
      </c>
      <c r="C2" s="836" t="s">
        <v>573</v>
      </c>
      <c r="D2" s="837"/>
      <c r="E2" s="838" t="s">
        <v>385</v>
      </c>
      <c r="F2" s="301" t="s">
        <v>517</v>
      </c>
      <c r="G2" s="301"/>
      <c r="H2" s="301"/>
      <c r="I2" s="301"/>
      <c r="J2" s="301" t="s">
        <v>519</v>
      </c>
      <c r="K2" s="302"/>
      <c r="L2" s="303"/>
      <c r="M2" s="304"/>
    </row>
    <row r="3" spans="2:26" ht="12.75" customHeight="1" thickBot="1" x14ac:dyDescent="0.3">
      <c r="B3" s="835"/>
      <c r="C3" s="840" t="s">
        <v>574</v>
      </c>
      <c r="D3" s="841"/>
      <c r="E3" s="839"/>
      <c r="F3" s="305" t="s">
        <v>393</v>
      </c>
      <c r="G3" s="305" t="s">
        <v>450</v>
      </c>
      <c r="H3" s="305" t="s">
        <v>451</v>
      </c>
      <c r="I3" s="306" t="s">
        <v>575</v>
      </c>
      <c r="J3" s="305" t="s">
        <v>393</v>
      </c>
      <c r="K3" s="305" t="s">
        <v>450</v>
      </c>
      <c r="L3" s="305" t="s">
        <v>451</v>
      </c>
      <c r="M3" s="307" t="s">
        <v>575</v>
      </c>
    </row>
    <row r="4" spans="2:26" ht="12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</row>
    <row r="5" spans="2:26" ht="12.75" customHeight="1" x14ac:dyDescent="0.25">
      <c r="B5" s="276">
        <v>1</v>
      </c>
      <c r="C5" s="277" t="s">
        <v>546</v>
      </c>
      <c r="D5" s="278"/>
      <c r="E5" s="279" t="s">
        <v>235</v>
      </c>
      <c r="F5" s="122">
        <f>VLOOKUP(O5,'FS Data'!$A:$B,2,FALSE)</f>
        <v>0</v>
      </c>
      <c r="G5" s="122">
        <f>VLOOKUP(P5,'FS Data'!$A:$B,2,FALSE)</f>
        <v>0</v>
      </c>
      <c r="H5" s="122">
        <f>VLOOKUP(Q5,'FS Data'!$A:$B,2,FALSE)</f>
        <v>0</v>
      </c>
      <c r="I5" s="122">
        <f>VLOOKUP(R5,'FS Data'!$A:$B,2,FALSE)</f>
        <v>0</v>
      </c>
      <c r="J5" s="122">
        <f>VLOOKUP(S5,'FS Data'!$A:$B,2,FALSE)</f>
        <v>0</v>
      </c>
      <c r="K5" s="122">
        <f>VLOOKUP(T5,'FS Data'!$A:$B,2,FALSE)</f>
        <v>0</v>
      </c>
      <c r="L5" s="122">
        <f>VLOOKUP(U5,'FS Data'!$A:$B,2,FALSE)</f>
        <v>0</v>
      </c>
      <c r="M5" s="238">
        <f>VLOOKUP(V5,'FS Data'!$A:$B,2,FALSE)</f>
        <v>0</v>
      </c>
      <c r="O5" s="215">
        <v>500112</v>
      </c>
      <c r="P5" s="215">
        <v>500114</v>
      </c>
      <c r="Q5" s="215">
        <v>500116</v>
      </c>
      <c r="R5" s="215">
        <v>500118</v>
      </c>
      <c r="S5" s="215">
        <v>500122</v>
      </c>
      <c r="T5" s="215">
        <v>500124</v>
      </c>
      <c r="U5" s="215">
        <v>500126</v>
      </c>
      <c r="V5" s="215">
        <v>500128</v>
      </c>
      <c r="Y5" s="219"/>
      <c r="Z5" s="219"/>
    </row>
    <row r="6" spans="2:26" ht="12.75" customHeight="1" x14ac:dyDescent="0.25">
      <c r="B6" s="276">
        <v>2</v>
      </c>
      <c r="C6" s="277" t="s">
        <v>777</v>
      </c>
      <c r="D6" s="737"/>
      <c r="E6" s="279" t="s">
        <v>778</v>
      </c>
      <c r="F6" s="122">
        <f>VLOOKUP(O6,'FS Data'!$A:$B,2,FALSE)</f>
        <v>0</v>
      </c>
      <c r="G6" s="122">
        <f>VLOOKUP(P6,'FS Data'!$A:$B,2,FALSE)</f>
        <v>0</v>
      </c>
      <c r="H6" s="122">
        <f>VLOOKUP(Q6,'FS Data'!$A:$B,2,FALSE)</f>
        <v>0</v>
      </c>
      <c r="I6" s="122">
        <f>VLOOKUP(R6,'FS Data'!$A:$B,2,FALSE)</f>
        <v>0</v>
      </c>
      <c r="J6" s="122">
        <f>VLOOKUP(S6,'FS Data'!$A:$B,2,FALSE)</f>
        <v>0</v>
      </c>
      <c r="K6" s="122">
        <f>VLOOKUP(T6,'FS Data'!$A:$B,2,FALSE)</f>
        <v>0</v>
      </c>
      <c r="L6" s="122">
        <f>VLOOKUP(U6,'FS Data'!$A:$B,2,FALSE)</f>
        <v>0</v>
      </c>
      <c r="M6" s="238">
        <f>VLOOKUP(V6,'FS Data'!$A:$B,2,FALSE)</f>
        <v>0</v>
      </c>
      <c r="O6" s="215">
        <v>500212</v>
      </c>
      <c r="P6" s="215">
        <v>500214</v>
      </c>
      <c r="Q6" s="215">
        <v>500216</v>
      </c>
      <c r="R6" s="215">
        <v>500218</v>
      </c>
      <c r="S6" s="215">
        <v>500222</v>
      </c>
      <c r="T6" s="215">
        <v>500224</v>
      </c>
      <c r="U6" s="215">
        <v>500226</v>
      </c>
      <c r="V6" s="215">
        <v>500228</v>
      </c>
      <c r="Y6" s="219"/>
      <c r="Z6" s="219"/>
    </row>
    <row r="7" spans="2:26" ht="12.75" customHeight="1" x14ac:dyDescent="0.25">
      <c r="B7" s="276">
        <v>3</v>
      </c>
      <c r="C7" s="280" t="s">
        <v>547</v>
      </c>
      <c r="D7" s="281"/>
      <c r="E7" s="282" t="s">
        <v>164</v>
      </c>
      <c r="F7" s="122">
        <f>VLOOKUP(O7,'FS Data'!$A:$B,2,FALSE)</f>
        <v>0</v>
      </c>
      <c r="G7" s="122">
        <f>VLOOKUP(P7,'FS Data'!$A:$B,2,FALSE)</f>
        <v>0</v>
      </c>
      <c r="H7" s="122">
        <f>VLOOKUP(Q7,'FS Data'!$A:$B,2,FALSE)</f>
        <v>0</v>
      </c>
      <c r="I7" s="122">
        <f>VLOOKUP(R7,'FS Data'!$A:$B,2,FALSE)</f>
        <v>0</v>
      </c>
      <c r="J7" s="122">
        <f>VLOOKUP(S7,'FS Data'!$A:$B,2,FALSE)</f>
        <v>0</v>
      </c>
      <c r="K7" s="122">
        <f>VLOOKUP(T7,'FS Data'!$A:$B,2,FALSE)</f>
        <v>0</v>
      </c>
      <c r="L7" s="122">
        <f>VLOOKUP(U7,'FS Data'!$A:$B,2,FALSE)</f>
        <v>0</v>
      </c>
      <c r="M7" s="238">
        <f>VLOOKUP(V7,'FS Data'!$A:$B,2,FALSE)</f>
        <v>0</v>
      </c>
      <c r="O7" s="215">
        <v>500312</v>
      </c>
      <c r="P7" s="215">
        <v>500314</v>
      </c>
      <c r="Q7" s="215">
        <v>500316</v>
      </c>
      <c r="R7" s="215">
        <v>500318</v>
      </c>
      <c r="S7" s="215">
        <v>500322</v>
      </c>
      <c r="T7" s="215">
        <v>500324</v>
      </c>
      <c r="U7" s="215">
        <v>500326</v>
      </c>
      <c r="V7" s="215">
        <v>500328</v>
      </c>
      <c r="Y7" s="219"/>
      <c r="Z7" s="219"/>
    </row>
    <row r="8" spans="2:26" ht="12.75" customHeight="1" x14ac:dyDescent="0.25">
      <c r="B8" s="276">
        <v>4</v>
      </c>
      <c r="C8" s="277" t="s">
        <v>548</v>
      </c>
      <c r="D8" s="281"/>
      <c r="E8" s="282" t="s">
        <v>236</v>
      </c>
      <c r="F8" s="122">
        <f>VLOOKUP(O8,'FS Data'!$A:$B,2,FALSE)</f>
        <v>0</v>
      </c>
      <c r="G8" s="122">
        <f>VLOOKUP(P8,'FS Data'!$A:$B,2,FALSE)</f>
        <v>0</v>
      </c>
      <c r="H8" s="122">
        <f>VLOOKUP(Q8,'FS Data'!$A:$B,2,FALSE)</f>
        <v>0</v>
      </c>
      <c r="I8" s="122">
        <f>VLOOKUP(R8,'FS Data'!$A:$B,2,FALSE)</f>
        <v>0</v>
      </c>
      <c r="J8" s="122">
        <f>VLOOKUP(S8,'FS Data'!$A:$B,2,FALSE)</f>
        <v>0</v>
      </c>
      <c r="K8" s="122">
        <f>VLOOKUP(T8,'FS Data'!$A:$B,2,FALSE)</f>
        <v>0</v>
      </c>
      <c r="L8" s="122">
        <f>VLOOKUP(U8,'FS Data'!$A:$B,2,FALSE)</f>
        <v>0</v>
      </c>
      <c r="M8" s="238">
        <f>VLOOKUP(V8,'FS Data'!$A:$B,2,FALSE)</f>
        <v>0</v>
      </c>
      <c r="O8" s="215">
        <v>500412</v>
      </c>
      <c r="P8" s="215">
        <v>500414</v>
      </c>
      <c r="Q8" s="215">
        <v>500416</v>
      </c>
      <c r="R8" s="215">
        <v>500418</v>
      </c>
      <c r="S8" s="215">
        <v>500422</v>
      </c>
      <c r="T8" s="215">
        <v>500424</v>
      </c>
      <c r="U8" s="215">
        <v>500426</v>
      </c>
      <c r="V8" s="215">
        <v>500428</v>
      </c>
      <c r="Y8" s="219"/>
      <c r="Z8" s="219"/>
    </row>
    <row r="9" spans="2:26" ht="12.75" customHeight="1" x14ac:dyDescent="0.25">
      <c r="B9" s="276">
        <v>5</v>
      </c>
      <c r="C9" s="277" t="s">
        <v>549</v>
      </c>
      <c r="D9" s="278"/>
      <c r="E9" s="279" t="s">
        <v>161</v>
      </c>
      <c r="F9" s="122">
        <f>VLOOKUP(O9,'FS Data'!$A:$B,2,FALSE)</f>
        <v>0</v>
      </c>
      <c r="G9" s="122">
        <f>VLOOKUP(P9,'FS Data'!$A:$B,2,FALSE)</f>
        <v>0</v>
      </c>
      <c r="H9" s="122">
        <f>VLOOKUP(Q9,'FS Data'!$A:$B,2,FALSE)</f>
        <v>0</v>
      </c>
      <c r="I9" s="122">
        <f>VLOOKUP(R9,'FS Data'!$A:$B,2,FALSE)</f>
        <v>0</v>
      </c>
      <c r="J9" s="122">
        <f>VLOOKUP(S9,'FS Data'!$A:$B,2,FALSE)</f>
        <v>0</v>
      </c>
      <c r="K9" s="122">
        <f>VLOOKUP(T9,'FS Data'!$A:$B,2,FALSE)</f>
        <v>0</v>
      </c>
      <c r="L9" s="122">
        <f>VLOOKUP(U9,'FS Data'!$A:$B,2,FALSE)</f>
        <v>0</v>
      </c>
      <c r="M9" s="238">
        <f>VLOOKUP(V9,'FS Data'!$A:$B,2,FALSE)</f>
        <v>0</v>
      </c>
      <c r="O9" s="215">
        <v>500512</v>
      </c>
      <c r="P9" s="215">
        <v>500514</v>
      </c>
      <c r="Q9" s="215">
        <v>500516</v>
      </c>
      <c r="R9" s="215">
        <v>500518</v>
      </c>
      <c r="S9" s="215">
        <v>500522</v>
      </c>
      <c r="T9" s="215">
        <v>500524</v>
      </c>
      <c r="U9" s="215">
        <v>500526</v>
      </c>
      <c r="V9" s="215">
        <v>500528</v>
      </c>
      <c r="Y9" s="219"/>
      <c r="Z9" s="219"/>
    </row>
    <row r="10" spans="2:26" ht="12.75" customHeight="1" x14ac:dyDescent="0.25">
      <c r="B10" s="276">
        <v>6</v>
      </c>
      <c r="C10" s="277" t="s">
        <v>550</v>
      </c>
      <c r="D10" s="278"/>
      <c r="E10" s="279" t="s">
        <v>165</v>
      </c>
      <c r="F10" s="122">
        <f>VLOOKUP(O10,'FS Data'!$A:$B,2,FALSE)</f>
        <v>1</v>
      </c>
      <c r="G10" s="122">
        <f>VLOOKUP(P10,'FS Data'!$A:$B,2,FALSE)</f>
        <v>71131</v>
      </c>
      <c r="H10" s="122">
        <f>VLOOKUP(Q10,'FS Data'!$A:$B,2,FALSE)</f>
        <v>987</v>
      </c>
      <c r="I10" s="122">
        <f>VLOOKUP(R10,'FS Data'!$A:$B,2,FALSE)</f>
        <v>987</v>
      </c>
      <c r="J10" s="122">
        <f>VLOOKUP(S10,'FS Data'!$A:$B,2,FALSE)</f>
        <v>1</v>
      </c>
      <c r="K10" s="122">
        <f>VLOOKUP(T10,'FS Data'!$A:$B,2,FALSE)</f>
        <v>71131</v>
      </c>
      <c r="L10" s="122">
        <f>VLOOKUP(U10,'FS Data'!$A:$B,2,FALSE)</f>
        <v>987</v>
      </c>
      <c r="M10" s="238">
        <f>VLOOKUP(V10,'FS Data'!$A:$B,2,FALSE)</f>
        <v>987</v>
      </c>
      <c r="O10" s="215">
        <v>500612</v>
      </c>
      <c r="P10" s="215">
        <v>500614</v>
      </c>
      <c r="Q10" s="215">
        <v>500616</v>
      </c>
      <c r="R10" s="215">
        <v>500618</v>
      </c>
      <c r="S10" s="215">
        <v>500622</v>
      </c>
      <c r="T10" s="215">
        <v>500624</v>
      </c>
      <c r="U10" s="215">
        <v>500626</v>
      </c>
      <c r="V10" s="215">
        <v>500628</v>
      </c>
      <c r="Y10" s="219"/>
      <c r="Z10" s="219"/>
    </row>
    <row r="11" spans="2:26" ht="12.75" customHeight="1" x14ac:dyDescent="0.25">
      <c r="B11" s="276">
        <v>7</v>
      </c>
      <c r="C11" s="283" t="s">
        <v>551</v>
      </c>
      <c r="D11" s="284"/>
      <c r="E11" s="285" t="s">
        <v>212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238">
        <f>VLOOKUP(V11,'FS Data'!$A:$B,2,FALSE)</f>
        <v>0</v>
      </c>
      <c r="O11" s="215">
        <v>500712</v>
      </c>
      <c r="P11" s="215">
        <v>500714</v>
      </c>
      <c r="Q11" s="215">
        <v>500716</v>
      </c>
      <c r="R11" s="215">
        <v>500718</v>
      </c>
      <c r="S11" s="215">
        <v>500722</v>
      </c>
      <c r="T11" s="215">
        <v>500724</v>
      </c>
      <c r="U11" s="215">
        <v>500726</v>
      </c>
      <c r="V11" s="215">
        <v>500728</v>
      </c>
      <c r="Y11" s="219"/>
      <c r="Z11" s="219"/>
    </row>
    <row r="12" spans="2:26" ht="12.75" customHeight="1" thickBot="1" x14ac:dyDescent="0.3">
      <c r="B12" s="276">
        <v>8</v>
      </c>
      <c r="C12" s="283" t="s">
        <v>278</v>
      </c>
      <c r="D12" s="278"/>
      <c r="E12" s="279" t="s">
        <v>279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238">
        <f>VLOOKUP(V12,'FS Data'!$A:$B,2,FALSE)</f>
        <v>0</v>
      </c>
      <c r="O12" s="215">
        <v>500812</v>
      </c>
      <c r="P12" s="215">
        <v>500814</v>
      </c>
      <c r="Q12" s="215">
        <v>500816</v>
      </c>
      <c r="R12" s="215">
        <v>500818</v>
      </c>
      <c r="S12" s="215">
        <v>500822</v>
      </c>
      <c r="T12" s="215">
        <v>500824</v>
      </c>
      <c r="U12" s="215">
        <v>500826</v>
      </c>
      <c r="V12" s="215">
        <v>500828</v>
      </c>
      <c r="Y12" s="219"/>
      <c r="Z12" s="219"/>
    </row>
    <row r="13" spans="2:26" ht="12.75" customHeight="1" x14ac:dyDescent="0.25">
      <c r="B13" s="276">
        <v>9</v>
      </c>
      <c r="C13" s="286" t="s">
        <v>790</v>
      </c>
      <c r="D13" s="832"/>
      <c r="E13" s="833"/>
      <c r="F13" s="122">
        <f>VLOOKUP(O13,'FS Data'!$A:$B,2,FALSE)</f>
        <v>1</v>
      </c>
      <c r="G13" s="122">
        <f>VLOOKUP(P13,'FS Data'!$A:$B,2,FALSE)</f>
        <v>71131</v>
      </c>
      <c r="H13" s="122">
        <f>VLOOKUP(Q13,'FS Data'!$A:$B,2,FALSE)</f>
        <v>987</v>
      </c>
      <c r="I13" s="122">
        <f>VLOOKUP(R13,'FS Data'!$A:$B,2,FALSE)</f>
        <v>987</v>
      </c>
      <c r="J13" s="122">
        <f>VLOOKUP(S13,'FS Data'!$A:$B,2,FALSE)</f>
        <v>1</v>
      </c>
      <c r="K13" s="122">
        <f>VLOOKUP(T13,'FS Data'!$A:$B,2,FALSE)</f>
        <v>71131</v>
      </c>
      <c r="L13" s="122">
        <f>VLOOKUP(U13,'FS Data'!$A:$B,2,FALSE)</f>
        <v>987</v>
      </c>
      <c r="M13" s="238">
        <f>VLOOKUP(V13,'FS Data'!$A:$B,2,FALSE)</f>
        <v>987</v>
      </c>
      <c r="O13" s="215">
        <v>500912</v>
      </c>
      <c r="P13" s="215">
        <v>500914</v>
      </c>
      <c r="Q13" s="215">
        <v>500916</v>
      </c>
      <c r="R13" s="215">
        <v>500918</v>
      </c>
      <c r="S13" s="215">
        <v>500922</v>
      </c>
      <c r="T13" s="215">
        <v>500924</v>
      </c>
      <c r="U13" s="215">
        <v>500926</v>
      </c>
      <c r="V13" s="215">
        <v>500928</v>
      </c>
      <c r="Y13" s="219"/>
      <c r="Z13" s="219"/>
    </row>
    <row r="14" spans="2:26" ht="12.75" customHeight="1" x14ac:dyDescent="0.25">
      <c r="B14" s="276">
        <v>10</v>
      </c>
      <c r="C14" s="283" t="s">
        <v>552</v>
      </c>
      <c r="D14" s="284"/>
      <c r="E14" s="279" t="s">
        <v>56</v>
      </c>
      <c r="F14" s="122">
        <f>VLOOKUP(O14,'FS Data'!$A:$B,2,FALSE)</f>
        <v>0</v>
      </c>
      <c r="G14" s="122">
        <f>VLOOKUP(P14,'FS Data'!$A:$B,2,FALSE)</f>
        <v>0</v>
      </c>
      <c r="H14" s="122">
        <f>VLOOKUP(Q14,'FS Data'!$A:$B,2,FALSE)</f>
        <v>0</v>
      </c>
      <c r="I14" s="122">
        <f>VLOOKUP(R14,'FS Data'!$A:$B,2,FALSE)</f>
        <v>0</v>
      </c>
      <c r="J14" s="122">
        <f>VLOOKUP(S14,'FS Data'!$A:$B,2,FALSE)</f>
        <v>0</v>
      </c>
      <c r="K14" s="122">
        <f>VLOOKUP(T14,'FS Data'!$A:$B,2,FALSE)</f>
        <v>0</v>
      </c>
      <c r="L14" s="122">
        <f>VLOOKUP(U14,'FS Data'!$A:$B,2,FALSE)</f>
        <v>0</v>
      </c>
      <c r="M14" s="238">
        <f>VLOOKUP(V14,'FS Data'!$A:$B,2,FALSE)</f>
        <v>0</v>
      </c>
      <c r="O14" s="215">
        <v>501012</v>
      </c>
      <c r="P14" s="215">
        <v>501014</v>
      </c>
      <c r="Q14" s="215">
        <v>501016</v>
      </c>
      <c r="R14" s="215">
        <v>501018</v>
      </c>
      <c r="S14" s="215">
        <v>501022</v>
      </c>
      <c r="T14" s="215">
        <v>501024</v>
      </c>
      <c r="U14" s="215">
        <v>501026</v>
      </c>
      <c r="V14" s="215">
        <v>501028</v>
      </c>
      <c r="Y14" s="219"/>
      <c r="Z14" s="219"/>
    </row>
    <row r="15" spans="2:26" ht="12.75" customHeight="1" x14ac:dyDescent="0.25">
      <c r="B15" s="276">
        <v>11</v>
      </c>
      <c r="C15" s="287" t="s">
        <v>553</v>
      </c>
      <c r="D15" s="288"/>
      <c r="E15" s="285" t="s">
        <v>185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238">
        <f>VLOOKUP(V15,'FS Data'!$A:$B,2,FALSE)</f>
        <v>0</v>
      </c>
      <c r="O15" s="215">
        <v>501112</v>
      </c>
      <c r="P15" s="215">
        <v>501114</v>
      </c>
      <c r="Q15" s="215">
        <v>501116</v>
      </c>
      <c r="R15" s="215">
        <v>501118</v>
      </c>
      <c r="S15" s="215">
        <v>501122</v>
      </c>
      <c r="T15" s="215">
        <v>501124</v>
      </c>
      <c r="U15" s="215">
        <v>501126</v>
      </c>
      <c r="V15" s="215">
        <v>501128</v>
      </c>
      <c r="Y15" s="219"/>
      <c r="Z15" s="219"/>
    </row>
    <row r="16" spans="2:26" ht="12.75" customHeight="1" x14ac:dyDescent="0.25">
      <c r="B16" s="276">
        <v>12</v>
      </c>
      <c r="C16" s="287" t="s">
        <v>554</v>
      </c>
      <c r="D16" s="288"/>
      <c r="E16" s="285" t="s">
        <v>258</v>
      </c>
      <c r="F16" s="122">
        <f>VLOOKUP(O16,'FS Data'!$A:$B,2,FALSE)</f>
        <v>0</v>
      </c>
      <c r="G16" s="122">
        <f>VLOOKUP(P16,'FS Data'!$A:$B,2,FALSE)</f>
        <v>0</v>
      </c>
      <c r="H16" s="122">
        <f>VLOOKUP(Q16,'FS Data'!$A:$B,2,FALSE)</f>
        <v>0</v>
      </c>
      <c r="I16" s="122">
        <f>VLOOKUP(R16,'FS Data'!$A:$B,2,FALSE)</f>
        <v>0</v>
      </c>
      <c r="J16" s="122">
        <f>VLOOKUP(S16,'FS Data'!$A:$B,2,FALSE)</f>
        <v>0</v>
      </c>
      <c r="K16" s="122">
        <f>VLOOKUP(T16,'FS Data'!$A:$B,2,FALSE)</f>
        <v>0</v>
      </c>
      <c r="L16" s="122">
        <f>VLOOKUP(U16,'FS Data'!$A:$B,2,FALSE)</f>
        <v>0</v>
      </c>
      <c r="M16" s="238">
        <f>VLOOKUP(V16,'FS Data'!$A:$B,2,FALSE)</f>
        <v>0</v>
      </c>
      <c r="O16" s="215">
        <v>501212</v>
      </c>
      <c r="P16" s="215">
        <v>501214</v>
      </c>
      <c r="Q16" s="215">
        <v>501216</v>
      </c>
      <c r="R16" s="215">
        <v>501218</v>
      </c>
      <c r="S16" s="215">
        <v>501222</v>
      </c>
      <c r="T16" s="215">
        <v>501224</v>
      </c>
      <c r="U16" s="215">
        <v>501226</v>
      </c>
      <c r="V16" s="215">
        <v>501228</v>
      </c>
      <c r="Y16" s="219"/>
      <c r="Z16" s="219"/>
    </row>
    <row r="17" spans="2:26" ht="12.75" customHeight="1" x14ac:dyDescent="0.25">
      <c r="B17" s="276">
        <v>13</v>
      </c>
      <c r="C17" s="290" t="s">
        <v>555</v>
      </c>
      <c r="D17" s="291"/>
      <c r="E17" s="292" t="s">
        <v>57</v>
      </c>
      <c r="F17" s="122">
        <f>VLOOKUP(O17,'FS Data'!$A:$B,2,FALSE)</f>
        <v>1</v>
      </c>
      <c r="G17" s="122">
        <f>VLOOKUP(P17,'FS Data'!$A:$B,2,FALSE)</f>
        <v>86374</v>
      </c>
      <c r="H17" s="122">
        <f>VLOOKUP(Q17,'FS Data'!$A:$B,2,FALSE)</f>
        <v>4038</v>
      </c>
      <c r="I17" s="122">
        <f>VLOOKUP(R17,'FS Data'!$A:$B,2,FALSE)</f>
        <v>4038</v>
      </c>
      <c r="J17" s="122">
        <f>VLOOKUP(S17,'FS Data'!$A:$B,2,FALSE)</f>
        <v>1</v>
      </c>
      <c r="K17" s="122">
        <f>VLOOKUP(T17,'FS Data'!$A:$B,2,FALSE)</f>
        <v>86374</v>
      </c>
      <c r="L17" s="122">
        <f>VLOOKUP(U17,'FS Data'!$A:$B,2,FALSE)</f>
        <v>4038</v>
      </c>
      <c r="M17" s="238">
        <f>VLOOKUP(V17,'FS Data'!$A:$B,2,FALSE)</f>
        <v>4038</v>
      </c>
      <c r="O17" s="215">
        <v>501312</v>
      </c>
      <c r="P17" s="215">
        <v>501314</v>
      </c>
      <c r="Q17" s="215">
        <v>501316</v>
      </c>
      <c r="R17" s="215">
        <v>501318</v>
      </c>
      <c r="S17" s="215">
        <v>501322</v>
      </c>
      <c r="T17" s="215">
        <v>501324</v>
      </c>
      <c r="U17" s="215">
        <v>501326</v>
      </c>
      <c r="V17" s="215">
        <v>501328</v>
      </c>
      <c r="Y17" s="219"/>
      <c r="Z17" s="219"/>
    </row>
    <row r="18" spans="2:26" ht="12.75" customHeight="1" x14ac:dyDescent="0.25">
      <c r="B18" s="276">
        <v>14</v>
      </c>
      <c r="C18" s="277" t="s">
        <v>556</v>
      </c>
      <c r="D18" s="278"/>
      <c r="E18" s="285" t="s">
        <v>166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238">
        <f>VLOOKUP(V18,'FS Data'!$A:$B,2,FALSE)</f>
        <v>0</v>
      </c>
      <c r="O18" s="215">
        <v>501412</v>
      </c>
      <c r="P18" s="215">
        <v>501414</v>
      </c>
      <c r="Q18" s="215">
        <v>501416</v>
      </c>
      <c r="R18" s="215">
        <v>501418</v>
      </c>
      <c r="S18" s="215">
        <v>501422</v>
      </c>
      <c r="T18" s="215">
        <v>501424</v>
      </c>
      <c r="U18" s="215">
        <v>501426</v>
      </c>
      <c r="V18" s="215">
        <v>501428</v>
      </c>
      <c r="Y18" s="219"/>
      <c r="Z18" s="219"/>
    </row>
    <row r="19" spans="2:26" ht="12.75" customHeight="1" x14ac:dyDescent="0.25">
      <c r="B19" s="276">
        <v>15</v>
      </c>
      <c r="C19" s="277" t="s">
        <v>557</v>
      </c>
      <c r="D19" s="278"/>
      <c r="E19" s="279" t="s">
        <v>259</v>
      </c>
      <c r="F19" s="122">
        <f>VLOOKUP(O19,'FS Data'!$A:$B,2,FALSE)</f>
        <v>0</v>
      </c>
      <c r="G19" s="122">
        <f>VLOOKUP(P19,'FS Data'!$A:$B,2,FALSE)</f>
        <v>0</v>
      </c>
      <c r="H19" s="122">
        <f>VLOOKUP(Q19,'FS Data'!$A:$B,2,FALSE)</f>
        <v>0</v>
      </c>
      <c r="I19" s="122">
        <f>VLOOKUP(R19,'FS Data'!$A:$B,2,FALSE)</f>
        <v>0</v>
      </c>
      <c r="J19" s="122">
        <f>VLOOKUP(S19,'FS Data'!$A:$B,2,FALSE)</f>
        <v>0</v>
      </c>
      <c r="K19" s="122">
        <f>VLOOKUP(T19,'FS Data'!$A:$B,2,FALSE)</f>
        <v>0</v>
      </c>
      <c r="L19" s="122">
        <f>VLOOKUP(U19,'FS Data'!$A:$B,2,FALSE)</f>
        <v>0</v>
      </c>
      <c r="M19" s="238">
        <f>VLOOKUP(V19,'FS Data'!$A:$B,2,FALSE)</f>
        <v>0</v>
      </c>
      <c r="O19" s="215">
        <v>501512</v>
      </c>
      <c r="P19" s="215">
        <v>501514</v>
      </c>
      <c r="Q19" s="215">
        <v>501516</v>
      </c>
      <c r="R19" s="215">
        <v>501518</v>
      </c>
      <c r="S19" s="215">
        <v>501522</v>
      </c>
      <c r="T19" s="215">
        <v>501524</v>
      </c>
      <c r="U19" s="215">
        <v>501526</v>
      </c>
      <c r="V19" s="215">
        <v>501528</v>
      </c>
      <c r="Y19" s="219"/>
      <c r="Z19" s="219"/>
    </row>
    <row r="20" spans="2:26" ht="12.75" customHeight="1" x14ac:dyDescent="0.25">
      <c r="B20" s="276">
        <v>16</v>
      </c>
      <c r="C20" s="277" t="s">
        <v>558</v>
      </c>
      <c r="D20" s="278"/>
      <c r="E20" s="279" t="s">
        <v>266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238">
        <f>VLOOKUP(V20,'FS Data'!$A:$B,2,FALSE)</f>
        <v>0</v>
      </c>
      <c r="O20" s="215">
        <v>501612</v>
      </c>
      <c r="P20" s="215">
        <v>501614</v>
      </c>
      <c r="Q20" s="215">
        <v>501616</v>
      </c>
      <c r="R20" s="215">
        <v>501618</v>
      </c>
      <c r="S20" s="215">
        <v>501622</v>
      </c>
      <c r="T20" s="215">
        <v>501624</v>
      </c>
      <c r="U20" s="215">
        <v>501626</v>
      </c>
      <c r="V20" s="215">
        <v>501628</v>
      </c>
      <c r="Y20" s="219"/>
      <c r="Z20" s="219"/>
    </row>
    <row r="21" spans="2:26" ht="12.75" customHeight="1" thickBot="1" x14ac:dyDescent="0.3">
      <c r="B21" s="276">
        <v>17</v>
      </c>
      <c r="C21" s="277" t="s">
        <v>559</v>
      </c>
      <c r="D21" s="278"/>
      <c r="E21" s="279" t="s">
        <v>280</v>
      </c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238">
        <f>VLOOKUP(V21,'FS Data'!$A:$B,2,FALSE)</f>
        <v>0</v>
      </c>
      <c r="O21" s="215">
        <v>501712</v>
      </c>
      <c r="P21" s="215">
        <v>501714</v>
      </c>
      <c r="Q21" s="215">
        <v>501716</v>
      </c>
      <c r="R21" s="215">
        <v>501718</v>
      </c>
      <c r="S21" s="215">
        <v>501722</v>
      </c>
      <c r="T21" s="215">
        <v>501724</v>
      </c>
      <c r="U21" s="215">
        <v>501726</v>
      </c>
      <c r="V21" s="215">
        <v>501728</v>
      </c>
      <c r="Y21" s="219"/>
      <c r="Z21" s="219"/>
    </row>
    <row r="22" spans="2:26" ht="12.75" customHeight="1" x14ac:dyDescent="0.25">
      <c r="B22" s="276">
        <v>18</v>
      </c>
      <c r="C22" s="293" t="s">
        <v>791</v>
      </c>
      <c r="D22" s="832"/>
      <c r="E22" s="833"/>
      <c r="F22" s="122">
        <f>VLOOKUP(O22,'FS Data'!$A:$B,2,FALSE)</f>
        <v>1</v>
      </c>
      <c r="G22" s="122">
        <f>VLOOKUP(P22,'FS Data'!$A:$B,2,FALSE)</f>
        <v>86374</v>
      </c>
      <c r="H22" s="122">
        <f>VLOOKUP(Q22,'FS Data'!$A:$B,2,FALSE)</f>
        <v>4038</v>
      </c>
      <c r="I22" s="122">
        <f>VLOOKUP(R22,'FS Data'!$A:$B,2,FALSE)</f>
        <v>4038</v>
      </c>
      <c r="J22" s="122">
        <f>VLOOKUP(S22,'FS Data'!$A:$B,2,FALSE)</f>
        <v>1</v>
      </c>
      <c r="K22" s="122">
        <f>VLOOKUP(T22,'FS Data'!$A:$B,2,FALSE)</f>
        <v>86374</v>
      </c>
      <c r="L22" s="122">
        <f>VLOOKUP(U22,'FS Data'!$A:$B,2,FALSE)</f>
        <v>4038</v>
      </c>
      <c r="M22" s="238">
        <f>VLOOKUP(V22,'FS Data'!$A:$B,2,FALSE)</f>
        <v>4038</v>
      </c>
      <c r="O22" s="215">
        <v>501812</v>
      </c>
      <c r="P22" s="215">
        <v>501814</v>
      </c>
      <c r="Q22" s="215">
        <v>501816</v>
      </c>
      <c r="R22" s="215">
        <v>501818</v>
      </c>
      <c r="S22" s="215">
        <v>501822</v>
      </c>
      <c r="T22" s="215">
        <v>501824</v>
      </c>
      <c r="U22" s="215">
        <v>501826</v>
      </c>
      <c r="V22" s="215">
        <v>501828</v>
      </c>
      <c r="Y22" s="219"/>
      <c r="Z22" s="219"/>
    </row>
    <row r="23" spans="2:26" ht="12.75" customHeight="1" x14ac:dyDescent="0.25">
      <c r="B23" s="276">
        <v>19</v>
      </c>
      <c r="C23" s="270" t="s">
        <v>560</v>
      </c>
      <c r="D23" s="291"/>
      <c r="E23" s="292" t="s">
        <v>158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0</v>
      </c>
      <c r="K23" s="122">
        <f>VLOOKUP(T23,'FS Data'!$A:$B,2,FALSE)</f>
        <v>0</v>
      </c>
      <c r="L23" s="122">
        <f>VLOOKUP(U23,'FS Data'!$A:$B,2,FALSE)</f>
        <v>0</v>
      </c>
      <c r="M23" s="238">
        <f>VLOOKUP(V23,'FS Data'!$A:$B,2,FALSE)</f>
        <v>0</v>
      </c>
      <c r="O23" s="215">
        <v>501912</v>
      </c>
      <c r="P23" s="215">
        <v>501914</v>
      </c>
      <c r="Q23" s="215">
        <v>501916</v>
      </c>
      <c r="R23" s="215">
        <v>501918</v>
      </c>
      <c r="S23" s="215">
        <v>501922</v>
      </c>
      <c r="T23" s="215">
        <v>501924</v>
      </c>
      <c r="U23" s="215">
        <v>501926</v>
      </c>
      <c r="V23" s="215">
        <v>501928</v>
      </c>
      <c r="Y23" s="219"/>
      <c r="Z23" s="219"/>
    </row>
    <row r="24" spans="2:26" ht="12.75" customHeight="1" x14ac:dyDescent="0.25">
      <c r="B24" s="276">
        <v>20</v>
      </c>
      <c r="C24" s="270" t="s">
        <v>779</v>
      </c>
      <c r="D24" s="291"/>
      <c r="E24" s="292" t="s">
        <v>780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238">
        <f>VLOOKUP(V24,'FS Data'!$A:$B,2,FALSE)</f>
        <v>0</v>
      </c>
      <c r="O24" s="215">
        <v>502012</v>
      </c>
      <c r="P24" s="215">
        <v>502014</v>
      </c>
      <c r="Q24" s="215">
        <v>502016</v>
      </c>
      <c r="R24" s="215">
        <v>502018</v>
      </c>
      <c r="S24" s="215">
        <v>502022</v>
      </c>
      <c r="T24" s="215">
        <v>502024</v>
      </c>
      <c r="U24" s="215">
        <v>502026</v>
      </c>
      <c r="V24" s="215">
        <v>502028</v>
      </c>
      <c r="Y24" s="219"/>
      <c r="Z24" s="219"/>
    </row>
    <row r="25" spans="2:26" ht="12.75" customHeight="1" x14ac:dyDescent="0.25">
      <c r="B25" s="276">
        <v>21</v>
      </c>
      <c r="C25" s="270" t="s">
        <v>204</v>
      </c>
      <c r="D25" s="291"/>
      <c r="E25" s="292" t="s">
        <v>0</v>
      </c>
      <c r="F25" s="122">
        <f>VLOOKUP(O25,'FS Data'!$A:$B,2,FALSE)</f>
        <v>0</v>
      </c>
      <c r="G25" s="122">
        <f>VLOOKUP(P25,'FS Data'!$A:$B,2,FALSE)</f>
        <v>0</v>
      </c>
      <c r="H25" s="122">
        <f>VLOOKUP(Q25,'FS Data'!$A:$B,2,FALSE)</f>
        <v>0</v>
      </c>
      <c r="I25" s="122">
        <f>VLOOKUP(R25,'FS Data'!$A:$B,2,FALSE)</f>
        <v>0</v>
      </c>
      <c r="J25" s="122">
        <f>VLOOKUP(S25,'FS Data'!$A:$B,2,FALSE)</f>
        <v>0</v>
      </c>
      <c r="K25" s="122">
        <f>VLOOKUP(T25,'FS Data'!$A:$B,2,FALSE)</f>
        <v>0</v>
      </c>
      <c r="L25" s="122">
        <f>VLOOKUP(U25,'FS Data'!$A:$B,2,FALSE)</f>
        <v>0</v>
      </c>
      <c r="M25" s="238">
        <f>VLOOKUP(V25,'FS Data'!$A:$B,2,FALSE)</f>
        <v>0</v>
      </c>
      <c r="O25" s="215">
        <v>502112</v>
      </c>
      <c r="P25" s="215">
        <v>502114</v>
      </c>
      <c r="Q25" s="215">
        <v>502116</v>
      </c>
      <c r="R25" s="215">
        <v>502118</v>
      </c>
      <c r="S25" s="215">
        <v>502122</v>
      </c>
      <c r="T25" s="215">
        <v>502124</v>
      </c>
      <c r="U25" s="215">
        <v>502126</v>
      </c>
      <c r="V25" s="215">
        <v>502128</v>
      </c>
      <c r="Y25" s="219"/>
      <c r="Z25" s="219"/>
    </row>
    <row r="26" spans="2:26" ht="12.75" customHeight="1" x14ac:dyDescent="0.25">
      <c r="B26" s="276">
        <v>22</v>
      </c>
      <c r="C26" s="270" t="s">
        <v>281</v>
      </c>
      <c r="D26" s="291"/>
      <c r="E26" s="292" t="s">
        <v>282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238">
        <f>VLOOKUP(V26,'FS Data'!$A:$B,2,FALSE)</f>
        <v>0</v>
      </c>
      <c r="O26" s="215">
        <v>502212</v>
      </c>
      <c r="P26" s="215">
        <v>502214</v>
      </c>
      <c r="Q26" s="215">
        <v>502216</v>
      </c>
      <c r="R26" s="215">
        <v>502218</v>
      </c>
      <c r="S26" s="215">
        <v>502222</v>
      </c>
      <c r="T26" s="215">
        <v>502224</v>
      </c>
      <c r="U26" s="215">
        <v>502226</v>
      </c>
      <c r="V26" s="215">
        <v>502228</v>
      </c>
      <c r="Y26" s="219"/>
      <c r="Z26" s="219"/>
    </row>
    <row r="27" spans="2:26" ht="12.75" customHeight="1" x14ac:dyDescent="0.25">
      <c r="B27" s="276">
        <v>23</v>
      </c>
      <c r="C27" s="270" t="s">
        <v>561</v>
      </c>
      <c r="D27" s="294"/>
      <c r="E27" s="292" t="s">
        <v>267</v>
      </c>
      <c r="F27" s="122">
        <f>VLOOKUP(O27,'FS Data'!$A:$B,2,FALSE)</f>
        <v>1</v>
      </c>
      <c r="G27" s="122">
        <f>VLOOKUP(P27,'FS Data'!$A:$B,2,FALSE)</f>
        <v>63351</v>
      </c>
      <c r="H27" s="122">
        <f>VLOOKUP(Q27,'FS Data'!$A:$B,2,FALSE)</f>
        <v>1250</v>
      </c>
      <c r="I27" s="122">
        <f>VLOOKUP(R27,'FS Data'!$A:$B,2,FALSE)</f>
        <v>1250</v>
      </c>
      <c r="J27" s="122">
        <f>VLOOKUP(S27,'FS Data'!$A:$B,2,FALSE)</f>
        <v>1</v>
      </c>
      <c r="K27" s="122">
        <f>VLOOKUP(T27,'FS Data'!$A:$B,2,FALSE)</f>
        <v>63351</v>
      </c>
      <c r="L27" s="122">
        <f>VLOOKUP(U27,'FS Data'!$A:$B,2,FALSE)</f>
        <v>1250</v>
      </c>
      <c r="M27" s="238">
        <f>VLOOKUP(V27,'FS Data'!$A:$B,2,FALSE)</f>
        <v>1250</v>
      </c>
      <c r="O27" s="215">
        <v>502312</v>
      </c>
      <c r="P27" s="215">
        <v>502314</v>
      </c>
      <c r="Q27" s="215">
        <v>502316</v>
      </c>
      <c r="R27" s="215">
        <v>502318</v>
      </c>
      <c r="S27" s="215">
        <v>502322</v>
      </c>
      <c r="T27" s="215">
        <v>502324</v>
      </c>
      <c r="U27" s="215">
        <v>502326</v>
      </c>
      <c r="V27" s="215">
        <v>502328</v>
      </c>
      <c r="Y27" s="219"/>
      <c r="Z27" s="219"/>
    </row>
    <row r="28" spans="2:26" ht="12.75" customHeight="1" x14ac:dyDescent="0.25">
      <c r="B28" s="276">
        <v>24</v>
      </c>
      <c r="C28" s="270" t="s">
        <v>284</v>
      </c>
      <c r="D28" s="291"/>
      <c r="E28" s="292" t="s">
        <v>283</v>
      </c>
      <c r="F28" s="122">
        <f>VLOOKUP(O28,'FS Data'!$A:$B,2,FALSE)</f>
        <v>1</v>
      </c>
      <c r="G28" s="122">
        <f>VLOOKUP(P28,'FS Data'!$A:$B,2,FALSE)</f>
        <v>73322</v>
      </c>
      <c r="H28" s="122">
        <f>VLOOKUP(Q28,'FS Data'!$A:$B,2,FALSE)</f>
        <v>1909</v>
      </c>
      <c r="I28" s="122">
        <f>VLOOKUP(R28,'FS Data'!$A:$B,2,FALSE)</f>
        <v>1909</v>
      </c>
      <c r="J28" s="122">
        <f>VLOOKUP(S28,'FS Data'!$A:$B,2,FALSE)</f>
        <v>1</v>
      </c>
      <c r="K28" s="122">
        <f>VLOOKUP(T28,'FS Data'!$A:$B,2,FALSE)</f>
        <v>73322</v>
      </c>
      <c r="L28" s="122">
        <f>VLOOKUP(U28,'FS Data'!$A:$B,2,FALSE)</f>
        <v>1909</v>
      </c>
      <c r="M28" s="238">
        <f>VLOOKUP(V28,'FS Data'!$A:$B,2,FALSE)</f>
        <v>1909</v>
      </c>
      <c r="O28" s="215">
        <v>502412</v>
      </c>
      <c r="P28" s="215">
        <v>502414</v>
      </c>
      <c r="Q28" s="215">
        <v>502416</v>
      </c>
      <c r="R28" s="215">
        <v>502418</v>
      </c>
      <c r="S28" s="215">
        <v>502422</v>
      </c>
      <c r="T28" s="215">
        <v>502424</v>
      </c>
      <c r="U28" s="215">
        <v>502426</v>
      </c>
      <c r="V28" s="215">
        <v>502428</v>
      </c>
      <c r="Y28" s="219"/>
      <c r="Z28" s="219"/>
    </row>
    <row r="29" spans="2:26" ht="12.75" customHeight="1" x14ac:dyDescent="0.25">
      <c r="B29" s="276">
        <v>25</v>
      </c>
      <c r="C29" s="270" t="s">
        <v>562</v>
      </c>
      <c r="D29" s="294"/>
      <c r="E29" s="292" t="s">
        <v>268</v>
      </c>
      <c r="F29" s="122">
        <f>VLOOKUP(O29,'FS Data'!$A:$B,2,FALSE)</f>
        <v>1</v>
      </c>
      <c r="G29" s="122">
        <f>VLOOKUP(P29,'FS Data'!$A:$B,2,FALSE)</f>
        <v>84887</v>
      </c>
      <c r="H29" s="122">
        <f>VLOOKUP(Q29,'FS Data'!$A:$B,2,FALSE)</f>
        <v>6615</v>
      </c>
      <c r="I29" s="122">
        <f>VLOOKUP(R29,'FS Data'!$A:$B,2,FALSE)</f>
        <v>6615</v>
      </c>
      <c r="J29" s="122">
        <f>VLOOKUP(S29,'FS Data'!$A:$B,2,FALSE)</f>
        <v>1</v>
      </c>
      <c r="K29" s="122">
        <f>VLOOKUP(T29,'FS Data'!$A:$B,2,FALSE)</f>
        <v>84887</v>
      </c>
      <c r="L29" s="122">
        <f>VLOOKUP(U29,'FS Data'!$A:$B,2,FALSE)</f>
        <v>6615</v>
      </c>
      <c r="M29" s="238">
        <f>VLOOKUP(V29,'FS Data'!$A:$B,2,FALSE)</f>
        <v>6615</v>
      </c>
      <c r="O29" s="215">
        <v>502512</v>
      </c>
      <c r="P29" s="215">
        <v>502514</v>
      </c>
      <c r="Q29" s="215">
        <v>502516</v>
      </c>
      <c r="R29" s="215">
        <v>502518</v>
      </c>
      <c r="S29" s="215">
        <v>502522</v>
      </c>
      <c r="T29" s="215">
        <v>502524</v>
      </c>
      <c r="U29" s="215">
        <v>502526</v>
      </c>
      <c r="V29" s="215">
        <v>502528</v>
      </c>
      <c r="Y29" s="219"/>
      <c r="Z29" s="219"/>
    </row>
    <row r="30" spans="2:26" ht="12.75" customHeight="1" x14ac:dyDescent="0.25">
      <c r="B30" s="276">
        <v>26</v>
      </c>
      <c r="C30" s="270" t="s">
        <v>563</v>
      </c>
      <c r="D30" s="294"/>
      <c r="E30" s="292" t="s">
        <v>260</v>
      </c>
      <c r="F30" s="122">
        <f>VLOOKUP(O30,'FS Data'!$A:$B,2,FALSE)</f>
        <v>0</v>
      </c>
      <c r="G30" s="122">
        <f>VLOOKUP(P30,'FS Data'!$A:$B,2,FALSE)</f>
        <v>0</v>
      </c>
      <c r="H30" s="122">
        <f>VLOOKUP(Q30,'FS Data'!$A:$B,2,FALSE)</f>
        <v>0</v>
      </c>
      <c r="I30" s="122">
        <f>VLOOKUP(R30,'FS Data'!$A:$B,2,FALSE)</f>
        <v>0</v>
      </c>
      <c r="J30" s="122">
        <f>VLOOKUP(S30,'FS Data'!$A:$B,2,FALSE)</f>
        <v>0</v>
      </c>
      <c r="K30" s="122">
        <f>VLOOKUP(T30,'FS Data'!$A:$B,2,FALSE)</f>
        <v>0</v>
      </c>
      <c r="L30" s="122">
        <f>VLOOKUP(U30,'FS Data'!$A:$B,2,FALSE)</f>
        <v>0</v>
      </c>
      <c r="M30" s="238">
        <f>VLOOKUP(V30,'FS Data'!$A:$B,2,FALSE)</f>
        <v>0</v>
      </c>
      <c r="O30" s="215">
        <v>502612</v>
      </c>
      <c r="P30" s="215">
        <v>502614</v>
      </c>
      <c r="Q30" s="215">
        <v>502616</v>
      </c>
      <c r="R30" s="215">
        <v>502618</v>
      </c>
      <c r="S30" s="215">
        <v>502622</v>
      </c>
      <c r="T30" s="215">
        <v>502624</v>
      </c>
      <c r="U30" s="215">
        <v>502626</v>
      </c>
      <c r="V30" s="215">
        <v>502628</v>
      </c>
      <c r="Y30" s="219"/>
      <c r="Z30" s="219"/>
    </row>
    <row r="31" spans="2:26" ht="12.75" customHeight="1" x14ac:dyDescent="0.25">
      <c r="B31" s="276">
        <v>27</v>
      </c>
      <c r="C31" s="270" t="s">
        <v>782</v>
      </c>
      <c r="D31" s="294"/>
      <c r="E31" s="292" t="s">
        <v>781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0</v>
      </c>
      <c r="K31" s="122">
        <f>VLOOKUP(T31,'FS Data'!$A:$B,2,FALSE)</f>
        <v>0</v>
      </c>
      <c r="L31" s="122">
        <f>VLOOKUP(U31,'FS Data'!$A:$B,2,FALSE)</f>
        <v>0</v>
      </c>
      <c r="M31" s="238">
        <f>VLOOKUP(V31,'FS Data'!$A:$B,2,FALSE)</f>
        <v>0</v>
      </c>
      <c r="O31" s="215">
        <v>502712</v>
      </c>
      <c r="P31" s="215">
        <v>502714</v>
      </c>
      <c r="Q31" s="215">
        <v>502716</v>
      </c>
      <c r="R31" s="215">
        <v>502718</v>
      </c>
      <c r="S31" s="215">
        <v>502722</v>
      </c>
      <c r="T31" s="215">
        <v>502724</v>
      </c>
      <c r="U31" s="215">
        <v>502726</v>
      </c>
      <c r="V31" s="215">
        <v>502728</v>
      </c>
      <c r="Y31" s="219"/>
      <c r="Z31" s="219"/>
    </row>
    <row r="32" spans="2:26" ht="12.75" customHeight="1" x14ac:dyDescent="0.25">
      <c r="B32" s="276">
        <v>28</v>
      </c>
      <c r="C32" s="270" t="s">
        <v>306</v>
      </c>
      <c r="D32" s="294"/>
      <c r="E32" s="292" t="s">
        <v>308</v>
      </c>
      <c r="F32" s="122">
        <f>VLOOKUP(O32,'FS Data'!$A:$B,2,FALSE)</f>
        <v>0</v>
      </c>
      <c r="G32" s="122">
        <f>VLOOKUP(P32,'FS Data'!$A:$B,2,FALSE)</f>
        <v>0</v>
      </c>
      <c r="H32" s="122">
        <f>VLOOKUP(Q32,'FS Data'!$A:$B,2,FALSE)</f>
        <v>0</v>
      </c>
      <c r="I32" s="122">
        <f>VLOOKUP(R32,'FS Data'!$A:$B,2,FALSE)</f>
        <v>0</v>
      </c>
      <c r="J32" s="122">
        <f>VLOOKUP(S32,'FS Data'!$A:$B,2,FALSE)</f>
        <v>0</v>
      </c>
      <c r="K32" s="122">
        <f>VLOOKUP(T32,'FS Data'!$A:$B,2,FALSE)</f>
        <v>0</v>
      </c>
      <c r="L32" s="122">
        <f>VLOOKUP(U32,'FS Data'!$A:$B,2,FALSE)</f>
        <v>0</v>
      </c>
      <c r="M32" s="238">
        <f>VLOOKUP(V32,'FS Data'!$A:$B,2,FALSE)</f>
        <v>0</v>
      </c>
      <c r="O32" s="215">
        <v>502812</v>
      </c>
      <c r="P32" s="215">
        <v>502814</v>
      </c>
      <c r="Q32" s="215">
        <v>502816</v>
      </c>
      <c r="R32" s="215">
        <v>502818</v>
      </c>
      <c r="S32" s="215">
        <v>502822</v>
      </c>
      <c r="T32" s="215">
        <v>502824</v>
      </c>
      <c r="U32" s="215">
        <v>502826</v>
      </c>
      <c r="V32" s="215">
        <v>502828</v>
      </c>
      <c r="Y32" s="219"/>
      <c r="Z32" s="219"/>
    </row>
    <row r="33" spans="2:26" ht="12.75" customHeight="1" x14ac:dyDescent="0.25">
      <c r="B33" s="276">
        <v>29</v>
      </c>
      <c r="C33" s="270" t="s">
        <v>783</v>
      </c>
      <c r="D33" s="294"/>
      <c r="E33" s="292" t="s">
        <v>784</v>
      </c>
      <c r="F33" s="122">
        <f>VLOOKUP(O33,'FS Data'!$A:$B,2,FALSE)</f>
        <v>0</v>
      </c>
      <c r="G33" s="122">
        <f>VLOOKUP(P33,'FS Data'!$A:$B,2,FALSE)</f>
        <v>0</v>
      </c>
      <c r="H33" s="122">
        <f>VLOOKUP(Q33,'FS Data'!$A:$B,2,FALSE)</f>
        <v>0</v>
      </c>
      <c r="I33" s="122">
        <f>VLOOKUP(R33,'FS Data'!$A:$B,2,FALSE)</f>
        <v>0</v>
      </c>
      <c r="J33" s="122">
        <f>VLOOKUP(S33,'FS Data'!$A:$B,2,FALSE)</f>
        <v>0</v>
      </c>
      <c r="K33" s="122">
        <f>VLOOKUP(T33,'FS Data'!$A:$B,2,FALSE)</f>
        <v>0</v>
      </c>
      <c r="L33" s="122">
        <f>VLOOKUP(U33,'FS Data'!$A:$B,2,FALSE)</f>
        <v>0</v>
      </c>
      <c r="M33" s="238">
        <f>VLOOKUP(V33,'FS Data'!$A:$B,2,FALSE)</f>
        <v>0</v>
      </c>
      <c r="O33" s="215">
        <v>502912</v>
      </c>
      <c r="P33" s="215">
        <v>502914</v>
      </c>
      <c r="Q33" s="215">
        <v>502916</v>
      </c>
      <c r="R33" s="215">
        <v>502918</v>
      </c>
      <c r="S33" s="215">
        <v>502922</v>
      </c>
      <c r="T33" s="215">
        <v>502924</v>
      </c>
      <c r="U33" s="215">
        <v>502926</v>
      </c>
      <c r="V33" s="215">
        <v>502928</v>
      </c>
      <c r="Y33" s="219"/>
      <c r="Z33" s="219"/>
    </row>
    <row r="34" spans="2:26" ht="12.75" customHeight="1" x14ac:dyDescent="0.25">
      <c r="B34" s="276">
        <v>30</v>
      </c>
      <c r="C34" s="270" t="s">
        <v>564</v>
      </c>
      <c r="D34" s="294"/>
      <c r="E34" s="292" t="s">
        <v>167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0</v>
      </c>
      <c r="K34" s="122">
        <f>VLOOKUP(T34,'FS Data'!$A:$B,2,FALSE)</f>
        <v>0</v>
      </c>
      <c r="L34" s="122">
        <f>VLOOKUP(U34,'FS Data'!$A:$B,2,FALSE)</f>
        <v>0</v>
      </c>
      <c r="M34" s="238">
        <f>VLOOKUP(V34,'FS Data'!$A:$B,2,FALSE)</f>
        <v>0</v>
      </c>
      <c r="O34" s="215">
        <v>503012</v>
      </c>
      <c r="P34" s="215">
        <v>503014</v>
      </c>
      <c r="Q34" s="215">
        <v>503016</v>
      </c>
      <c r="R34" s="215">
        <v>503018</v>
      </c>
      <c r="S34" s="215">
        <v>503022</v>
      </c>
      <c r="T34" s="215">
        <v>503024</v>
      </c>
      <c r="U34" s="215">
        <v>503026</v>
      </c>
      <c r="V34" s="215">
        <v>503028</v>
      </c>
      <c r="Y34" s="219"/>
      <c r="Z34" s="219"/>
    </row>
    <row r="35" spans="2:26" ht="12.75" customHeight="1" x14ac:dyDescent="0.25">
      <c r="B35" s="276">
        <v>31</v>
      </c>
      <c r="C35" s="270" t="s">
        <v>565</v>
      </c>
      <c r="D35" s="294"/>
      <c r="E35" s="282" t="s">
        <v>186</v>
      </c>
      <c r="F35" s="122">
        <f>VLOOKUP(O35,'FS Data'!$A:$B,2,FALSE)</f>
        <v>0</v>
      </c>
      <c r="G35" s="122">
        <f>VLOOKUP(P35,'FS Data'!$A:$B,2,FALSE)</f>
        <v>0</v>
      </c>
      <c r="H35" s="122">
        <f>VLOOKUP(Q35,'FS Data'!$A:$B,2,FALSE)</f>
        <v>0</v>
      </c>
      <c r="I35" s="122">
        <f>VLOOKUP(R35,'FS Data'!$A:$B,2,FALSE)</f>
        <v>0</v>
      </c>
      <c r="J35" s="122">
        <f>VLOOKUP(S35,'FS Data'!$A:$B,2,FALSE)</f>
        <v>0</v>
      </c>
      <c r="K35" s="122">
        <f>VLOOKUP(T35,'FS Data'!$A:$B,2,FALSE)</f>
        <v>0</v>
      </c>
      <c r="L35" s="122">
        <f>VLOOKUP(U35,'FS Data'!$A:$B,2,FALSE)</f>
        <v>0</v>
      </c>
      <c r="M35" s="238">
        <f>VLOOKUP(V35,'FS Data'!$A:$B,2,FALSE)</f>
        <v>0</v>
      </c>
      <c r="O35" s="215">
        <v>503112</v>
      </c>
      <c r="P35" s="215">
        <v>503114</v>
      </c>
      <c r="Q35" s="215">
        <v>503116</v>
      </c>
      <c r="R35" s="215">
        <v>503118</v>
      </c>
      <c r="S35" s="215">
        <v>503122</v>
      </c>
      <c r="T35" s="215">
        <v>503124</v>
      </c>
      <c r="U35" s="215">
        <v>503126</v>
      </c>
      <c r="V35" s="215">
        <v>503128</v>
      </c>
      <c r="Y35" s="219"/>
      <c r="Z35" s="219"/>
    </row>
    <row r="36" spans="2:26" ht="12.75" customHeight="1" x14ac:dyDescent="0.25">
      <c r="B36" s="276">
        <v>32</v>
      </c>
      <c r="C36" s="271" t="s">
        <v>566</v>
      </c>
      <c r="D36" s="295"/>
      <c r="E36" s="292" t="s">
        <v>261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238">
        <f>VLOOKUP(V36,'FS Data'!$A:$B,2,FALSE)</f>
        <v>0</v>
      </c>
      <c r="O36" s="215">
        <v>503212</v>
      </c>
      <c r="P36" s="215">
        <v>503214</v>
      </c>
      <c r="Q36" s="215">
        <v>503216</v>
      </c>
      <c r="R36" s="215">
        <v>503218</v>
      </c>
      <c r="S36" s="215">
        <v>503222</v>
      </c>
      <c r="T36" s="215">
        <v>503224</v>
      </c>
      <c r="U36" s="215">
        <v>503226</v>
      </c>
      <c r="V36" s="215">
        <v>503228</v>
      </c>
      <c r="Y36" s="219"/>
      <c r="Z36" s="219"/>
    </row>
    <row r="37" spans="2:26" ht="12.75" customHeight="1" thickBot="1" x14ac:dyDescent="0.3">
      <c r="B37" s="276">
        <v>33</v>
      </c>
      <c r="C37" s="271" t="s">
        <v>567</v>
      </c>
      <c r="D37" s="295"/>
      <c r="E37" s="292" t="s">
        <v>269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238">
        <f>VLOOKUP(V37,'FS Data'!$A:$B,2,FALSE)</f>
        <v>0</v>
      </c>
      <c r="O37" s="215">
        <v>503312</v>
      </c>
      <c r="P37" s="215">
        <v>503314</v>
      </c>
      <c r="Q37" s="215">
        <v>503316</v>
      </c>
      <c r="R37" s="215">
        <v>503318</v>
      </c>
      <c r="S37" s="215">
        <v>503322</v>
      </c>
      <c r="T37" s="215">
        <v>503324</v>
      </c>
      <c r="U37" s="215">
        <v>503326</v>
      </c>
      <c r="V37" s="215">
        <v>503328</v>
      </c>
      <c r="Y37" s="219"/>
      <c r="Z37" s="219"/>
    </row>
    <row r="38" spans="2:26" ht="12.75" customHeight="1" x14ac:dyDescent="0.25">
      <c r="B38" s="276">
        <v>34</v>
      </c>
      <c r="C38" s="268" t="s">
        <v>792</v>
      </c>
      <c r="D38" s="832"/>
      <c r="E38" s="833"/>
      <c r="F38" s="122">
        <f>VLOOKUP(O38,'FS Data'!$A:$B,2,FALSE)</f>
        <v>3</v>
      </c>
      <c r="G38" s="122">
        <f>VLOOKUP(P38,'FS Data'!$A:$B,2,FALSE)</f>
        <v>221560</v>
      </c>
      <c r="H38" s="122">
        <f>VLOOKUP(Q38,'FS Data'!$A:$B,2,FALSE)</f>
        <v>9774</v>
      </c>
      <c r="I38" s="122">
        <f>VLOOKUP(R38,'FS Data'!$A:$B,2,FALSE)</f>
        <v>3258</v>
      </c>
      <c r="J38" s="122">
        <f>VLOOKUP(S38,'FS Data'!$A:$B,2,FALSE)</f>
        <v>3</v>
      </c>
      <c r="K38" s="122">
        <f>VLOOKUP(T38,'FS Data'!$A:$B,2,FALSE)</f>
        <v>221560</v>
      </c>
      <c r="L38" s="122">
        <f>VLOOKUP(U38,'FS Data'!$A:$B,2,FALSE)</f>
        <v>9774</v>
      </c>
      <c r="M38" s="238">
        <f>VLOOKUP(V38,'FS Data'!$A:$B,2,FALSE)</f>
        <v>3258</v>
      </c>
      <c r="O38" s="215">
        <v>503412</v>
      </c>
      <c r="P38" s="215">
        <v>503414</v>
      </c>
      <c r="Q38" s="215">
        <v>503416</v>
      </c>
      <c r="R38" s="215">
        <v>503418</v>
      </c>
      <c r="S38" s="215">
        <v>503422</v>
      </c>
      <c r="T38" s="215">
        <v>503424</v>
      </c>
      <c r="U38" s="215">
        <v>503426</v>
      </c>
      <c r="V38" s="215">
        <v>503428</v>
      </c>
      <c r="Y38" s="219"/>
      <c r="Z38" s="219"/>
    </row>
    <row r="39" spans="2:26" ht="12.75" customHeight="1" x14ac:dyDescent="0.25">
      <c r="B39" s="276">
        <v>35</v>
      </c>
      <c r="C39" s="271" t="s">
        <v>205</v>
      </c>
      <c r="D39" s="284"/>
      <c r="E39" s="285" t="s">
        <v>58</v>
      </c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0</v>
      </c>
      <c r="K39" s="122">
        <f>VLOOKUP(T39,'FS Data'!$A:$B,2,FALSE)</f>
        <v>0</v>
      </c>
      <c r="L39" s="122">
        <f>VLOOKUP(U39,'FS Data'!$A:$B,2,FALSE)</f>
        <v>0</v>
      </c>
      <c r="M39" s="238">
        <f>VLOOKUP(V39,'FS Data'!$A:$B,2,FALSE)</f>
        <v>0</v>
      </c>
      <c r="O39" s="215">
        <v>503512</v>
      </c>
      <c r="P39" s="215">
        <v>503514</v>
      </c>
      <c r="Q39" s="215">
        <v>503516</v>
      </c>
      <c r="R39" s="215">
        <v>503518</v>
      </c>
      <c r="S39" s="215">
        <v>503522</v>
      </c>
      <c r="T39" s="215">
        <v>503524</v>
      </c>
      <c r="U39" s="215">
        <v>503526</v>
      </c>
      <c r="V39" s="215">
        <v>503528</v>
      </c>
      <c r="Y39" s="219"/>
      <c r="Z39" s="219"/>
    </row>
    <row r="40" spans="2:26" ht="12.75" customHeight="1" x14ac:dyDescent="0.25">
      <c r="B40" s="276">
        <v>36</v>
      </c>
      <c r="C40" s="270" t="s">
        <v>211</v>
      </c>
      <c r="D40" s="284"/>
      <c r="E40" s="285">
        <v>432</v>
      </c>
      <c r="F40" s="122">
        <f>VLOOKUP(O40,'FS Data'!$A:$B,2,FALSE)</f>
        <v>1</v>
      </c>
      <c r="G40" s="122">
        <f>VLOOKUP(P40,'FS Data'!$A:$B,2,FALSE)</f>
        <v>100924</v>
      </c>
      <c r="H40" s="122">
        <f>VLOOKUP(Q40,'FS Data'!$A:$B,2,FALSE)</f>
        <v>4884</v>
      </c>
      <c r="I40" s="122">
        <f>VLOOKUP(R40,'FS Data'!$A:$B,2,FALSE)</f>
        <v>4884</v>
      </c>
      <c r="J40" s="122">
        <f>VLOOKUP(S40,'FS Data'!$A:$B,2,FALSE)</f>
        <v>1</v>
      </c>
      <c r="K40" s="122">
        <f>VLOOKUP(T40,'FS Data'!$A:$B,2,FALSE)</f>
        <v>100924</v>
      </c>
      <c r="L40" s="122">
        <f>VLOOKUP(U40,'FS Data'!$A:$B,2,FALSE)</f>
        <v>4884</v>
      </c>
      <c r="M40" s="238">
        <f>VLOOKUP(V40,'FS Data'!$A:$B,2,FALSE)</f>
        <v>4884</v>
      </c>
      <c r="O40" s="215">
        <v>503612</v>
      </c>
      <c r="P40" s="215">
        <v>503614</v>
      </c>
      <c r="Q40" s="215">
        <v>503616</v>
      </c>
      <c r="R40" s="215">
        <v>503618</v>
      </c>
      <c r="S40" s="215">
        <v>503622</v>
      </c>
      <c r="T40" s="215">
        <v>503624</v>
      </c>
      <c r="U40" s="215">
        <v>503626</v>
      </c>
      <c r="V40" s="215">
        <v>503628</v>
      </c>
      <c r="Y40" s="219"/>
      <c r="Z40" s="219"/>
    </row>
    <row r="41" spans="2:26" ht="12.75" customHeight="1" x14ac:dyDescent="0.25">
      <c r="B41" s="276">
        <v>37</v>
      </c>
      <c r="C41" s="271" t="s">
        <v>206</v>
      </c>
      <c r="D41" s="284"/>
      <c r="E41" s="285" t="s">
        <v>59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238">
        <f>VLOOKUP(V41,'FS Data'!$A:$B,2,FALSE)</f>
        <v>0</v>
      </c>
      <c r="O41" s="215">
        <v>503712</v>
      </c>
      <c r="P41" s="215">
        <v>503714</v>
      </c>
      <c r="Q41" s="215">
        <v>503716</v>
      </c>
      <c r="R41" s="215">
        <v>503718</v>
      </c>
      <c r="S41" s="215">
        <v>503722</v>
      </c>
      <c r="T41" s="215">
        <v>503724</v>
      </c>
      <c r="U41" s="215">
        <v>503726</v>
      </c>
      <c r="V41" s="215">
        <v>503728</v>
      </c>
      <c r="Y41" s="219"/>
      <c r="Z41" s="219"/>
    </row>
    <row r="42" spans="2:26" ht="12.75" customHeight="1" x14ac:dyDescent="0.25">
      <c r="B42" s="276">
        <v>38</v>
      </c>
      <c r="C42" s="272" t="s">
        <v>945</v>
      </c>
      <c r="D42" s="284"/>
      <c r="E42" s="285" t="s">
        <v>785</v>
      </c>
      <c r="F42" s="122">
        <f>VLOOKUP(O42,'FS Data'!$A:$B,2,FALSE)</f>
        <v>0</v>
      </c>
      <c r="G42" s="122">
        <f>VLOOKUP(P42,'FS Data'!$A:$B,2,FALSE)</f>
        <v>0</v>
      </c>
      <c r="H42" s="122">
        <f>VLOOKUP(Q42,'FS Data'!$A:$B,2,FALSE)</f>
        <v>0</v>
      </c>
      <c r="I42" s="122">
        <f>VLOOKUP(R42,'FS Data'!$A:$B,2,FALSE)</f>
        <v>0</v>
      </c>
      <c r="J42" s="122">
        <f>VLOOKUP(S42,'FS Data'!$A:$B,2,FALSE)</f>
        <v>0</v>
      </c>
      <c r="K42" s="122">
        <f>VLOOKUP(T42,'FS Data'!$A:$B,2,FALSE)</f>
        <v>0</v>
      </c>
      <c r="L42" s="122">
        <f>VLOOKUP(U42,'FS Data'!$A:$B,2,FALSE)</f>
        <v>0</v>
      </c>
      <c r="M42" s="238">
        <f>VLOOKUP(V42,'FS Data'!$A:$B,2,FALSE)</f>
        <v>0</v>
      </c>
      <c r="O42" s="215">
        <v>503812</v>
      </c>
      <c r="P42" s="215">
        <v>503814</v>
      </c>
      <c r="Q42" s="215">
        <v>503816</v>
      </c>
      <c r="R42" s="215">
        <v>503818</v>
      </c>
      <c r="S42" s="215">
        <v>503822</v>
      </c>
      <c r="T42" s="215">
        <v>503824</v>
      </c>
      <c r="U42" s="215">
        <v>503826</v>
      </c>
      <c r="V42" s="215">
        <v>503828</v>
      </c>
      <c r="Y42" s="219"/>
      <c r="Z42" s="219"/>
    </row>
    <row r="43" spans="2:26" ht="12.75" customHeight="1" x14ac:dyDescent="0.25">
      <c r="B43" s="276">
        <v>39</v>
      </c>
      <c r="C43" s="272" t="s">
        <v>197</v>
      </c>
      <c r="D43" s="284"/>
      <c r="E43" s="285" t="s">
        <v>198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238">
        <f>VLOOKUP(V43,'FS Data'!$A:$B,2,FALSE)</f>
        <v>0</v>
      </c>
      <c r="O43" s="215">
        <v>503912</v>
      </c>
      <c r="P43" s="215">
        <v>503914</v>
      </c>
      <c r="Q43" s="215">
        <v>503916</v>
      </c>
      <c r="R43" s="215">
        <v>503918</v>
      </c>
      <c r="S43" s="215">
        <v>503922</v>
      </c>
      <c r="T43" s="215">
        <v>503924</v>
      </c>
      <c r="U43" s="215">
        <v>503926</v>
      </c>
      <c r="V43" s="215">
        <v>503928</v>
      </c>
      <c r="Y43" s="219"/>
      <c r="Z43" s="219"/>
    </row>
    <row r="44" spans="2:26" ht="12.75" customHeight="1" x14ac:dyDescent="0.25">
      <c r="B44" s="276">
        <v>40</v>
      </c>
      <c r="C44" s="272" t="s">
        <v>946</v>
      </c>
      <c r="D44" s="284"/>
      <c r="E44" s="285" t="s">
        <v>786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238">
        <f>VLOOKUP(V44,'FS Data'!$A:$B,2,FALSE)</f>
        <v>0</v>
      </c>
      <c r="O44" s="215">
        <v>504012</v>
      </c>
      <c r="P44" s="215">
        <v>504014</v>
      </c>
      <c r="Q44" s="215">
        <v>504016</v>
      </c>
      <c r="R44" s="215">
        <v>504018</v>
      </c>
      <c r="S44" s="215">
        <v>504022</v>
      </c>
      <c r="T44" s="215">
        <v>504024</v>
      </c>
      <c r="U44" s="215">
        <v>504026</v>
      </c>
      <c r="V44" s="215">
        <v>504028</v>
      </c>
      <c r="Y44" s="219"/>
      <c r="Z44" s="219"/>
    </row>
    <row r="45" spans="2:26" ht="12.75" customHeight="1" x14ac:dyDescent="0.25">
      <c r="B45" s="276">
        <v>41</v>
      </c>
      <c r="C45" s="272" t="s">
        <v>286</v>
      </c>
      <c r="D45" s="284"/>
      <c r="E45" s="285" t="s">
        <v>285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238">
        <f>VLOOKUP(V45,'FS Data'!$A:$B,2,FALSE)</f>
        <v>0</v>
      </c>
      <c r="O45" s="215">
        <v>504112</v>
      </c>
      <c r="P45" s="215">
        <v>504114</v>
      </c>
      <c r="Q45" s="215">
        <v>504116</v>
      </c>
      <c r="R45" s="215">
        <v>504118</v>
      </c>
      <c r="S45" s="215">
        <v>504122</v>
      </c>
      <c r="T45" s="215">
        <v>504124</v>
      </c>
      <c r="U45" s="215">
        <v>504126</v>
      </c>
      <c r="V45" s="215">
        <v>504128</v>
      </c>
      <c r="Y45" s="219"/>
      <c r="Z45" s="219"/>
    </row>
    <row r="46" spans="2:26" ht="12.75" customHeight="1" x14ac:dyDescent="0.25">
      <c r="B46" s="276">
        <v>42</v>
      </c>
      <c r="C46" s="272" t="s">
        <v>275</v>
      </c>
      <c r="D46" s="284"/>
      <c r="E46" s="285">
        <v>430</v>
      </c>
      <c r="F46" s="122">
        <f>VLOOKUP(O46,'FS Data'!$A:$B,2,FALSE)</f>
        <v>0</v>
      </c>
      <c r="G46" s="122">
        <f>VLOOKUP(P46,'FS Data'!$A:$B,2,FALSE)</f>
        <v>0</v>
      </c>
      <c r="H46" s="122">
        <f>VLOOKUP(Q46,'FS Data'!$A:$B,2,FALSE)</f>
        <v>0</v>
      </c>
      <c r="I46" s="122">
        <f>VLOOKUP(R46,'FS Data'!$A:$B,2,FALSE)</f>
        <v>0</v>
      </c>
      <c r="J46" s="122">
        <f>VLOOKUP(S46,'FS Data'!$A:$B,2,FALSE)</f>
        <v>0</v>
      </c>
      <c r="K46" s="122">
        <f>VLOOKUP(T46,'FS Data'!$A:$B,2,FALSE)</f>
        <v>0</v>
      </c>
      <c r="L46" s="122">
        <f>VLOOKUP(U46,'FS Data'!$A:$B,2,FALSE)</f>
        <v>0</v>
      </c>
      <c r="M46" s="238">
        <f>VLOOKUP(V46,'FS Data'!$A:$B,2,FALSE)</f>
        <v>0</v>
      </c>
      <c r="O46" s="215">
        <v>504212</v>
      </c>
      <c r="P46" s="215">
        <v>504214</v>
      </c>
      <c r="Q46" s="215">
        <v>504216</v>
      </c>
      <c r="R46" s="215">
        <v>504218</v>
      </c>
      <c r="S46" s="215">
        <v>504222</v>
      </c>
      <c r="T46" s="215">
        <v>504224</v>
      </c>
      <c r="U46" s="215">
        <v>504226</v>
      </c>
      <c r="V46" s="215">
        <v>504228</v>
      </c>
      <c r="Y46" s="219"/>
      <c r="Z46" s="219"/>
    </row>
    <row r="47" spans="2:26" ht="12.75" customHeight="1" x14ac:dyDescent="0.25">
      <c r="B47" s="276">
        <v>43</v>
      </c>
      <c r="C47" s="270" t="s">
        <v>947</v>
      </c>
      <c r="D47" s="738"/>
      <c r="E47" s="285" t="s">
        <v>788</v>
      </c>
      <c r="F47" s="122">
        <f>VLOOKUP(O47,'FS Data'!$A:$B,2,FALSE)</f>
        <v>0</v>
      </c>
      <c r="G47" s="122">
        <f>VLOOKUP(P47,'FS Data'!$A:$B,2,FALSE)</f>
        <v>0</v>
      </c>
      <c r="H47" s="122">
        <f>VLOOKUP(Q47,'FS Data'!$A:$B,2,FALSE)</f>
        <v>0</v>
      </c>
      <c r="I47" s="122">
        <f>VLOOKUP(R47,'FS Data'!$A:$B,2,FALSE)</f>
        <v>0</v>
      </c>
      <c r="J47" s="122">
        <f>VLOOKUP(S47,'FS Data'!$A:$B,2,FALSE)</f>
        <v>0</v>
      </c>
      <c r="K47" s="122">
        <f>VLOOKUP(T47,'FS Data'!$A:$B,2,FALSE)</f>
        <v>0</v>
      </c>
      <c r="L47" s="122">
        <f>VLOOKUP(U47,'FS Data'!$A:$B,2,FALSE)</f>
        <v>0</v>
      </c>
      <c r="M47" s="238">
        <f>VLOOKUP(V47,'FS Data'!$A:$B,2,FALSE)</f>
        <v>0</v>
      </c>
      <c r="O47" s="215">
        <v>504312</v>
      </c>
      <c r="P47" s="215">
        <v>504314</v>
      </c>
      <c r="Q47" s="215">
        <v>504316</v>
      </c>
      <c r="R47" s="215">
        <v>504318</v>
      </c>
      <c r="S47" s="215">
        <v>504322</v>
      </c>
      <c r="T47" s="215">
        <v>504324</v>
      </c>
      <c r="U47" s="215">
        <v>504326</v>
      </c>
      <c r="V47" s="215">
        <v>504328</v>
      </c>
      <c r="Y47" s="219"/>
      <c r="Z47" s="219"/>
    </row>
    <row r="48" spans="2:26" ht="12.75" customHeight="1" thickBot="1" x14ac:dyDescent="0.3">
      <c r="B48" s="276">
        <v>44</v>
      </c>
      <c r="C48" s="270" t="s">
        <v>787</v>
      </c>
      <c r="D48" s="738"/>
      <c r="E48" s="741" t="s">
        <v>789</v>
      </c>
      <c r="F48" s="122">
        <f>VLOOKUP(O48,'FS Data'!$A:$B,2,FALSE)</f>
        <v>0</v>
      </c>
      <c r="G48" s="122">
        <f>VLOOKUP(P48,'FS Data'!$A:$B,2,FALSE)</f>
        <v>0</v>
      </c>
      <c r="H48" s="122">
        <f>VLOOKUP(Q48,'FS Data'!$A:$B,2,FALSE)</f>
        <v>0</v>
      </c>
      <c r="I48" s="122">
        <f>VLOOKUP(R48,'FS Data'!$A:$B,2,FALSE)</f>
        <v>0</v>
      </c>
      <c r="J48" s="122">
        <f>VLOOKUP(S48,'FS Data'!$A:$B,2,FALSE)</f>
        <v>0</v>
      </c>
      <c r="K48" s="122">
        <f>VLOOKUP(T48,'FS Data'!$A:$B,2,FALSE)</f>
        <v>0</v>
      </c>
      <c r="L48" s="122">
        <f>VLOOKUP(U48,'FS Data'!$A:$B,2,FALSE)</f>
        <v>0</v>
      </c>
      <c r="M48" s="238">
        <f>VLOOKUP(V48,'FS Data'!$A:$B,2,FALSE)</f>
        <v>0</v>
      </c>
      <c r="O48" s="215">
        <v>504412</v>
      </c>
      <c r="P48" s="215">
        <v>504414</v>
      </c>
      <c r="Q48" s="215">
        <v>504416</v>
      </c>
      <c r="R48" s="215">
        <v>504418</v>
      </c>
      <c r="S48" s="215">
        <v>504422</v>
      </c>
      <c r="T48" s="215">
        <v>504424</v>
      </c>
      <c r="U48" s="215">
        <v>504426</v>
      </c>
      <c r="V48" s="215">
        <v>504428</v>
      </c>
      <c r="Y48" s="219"/>
      <c r="Z48" s="219"/>
    </row>
    <row r="49" spans="2:26" ht="12.75" customHeight="1" x14ac:dyDescent="0.25">
      <c r="B49" s="276">
        <v>45</v>
      </c>
      <c r="C49" s="269" t="s">
        <v>793</v>
      </c>
      <c r="D49" s="570"/>
      <c r="E49" s="571"/>
      <c r="F49" s="122">
        <f>VLOOKUP(O49,'FS Data'!$A:$B,2,FALSE)</f>
        <v>1</v>
      </c>
      <c r="G49" s="122">
        <f>VLOOKUP(P49,'FS Data'!$A:$B,2,FALSE)</f>
        <v>100924</v>
      </c>
      <c r="H49" s="122">
        <f>VLOOKUP(Q49,'FS Data'!$A:$B,2,FALSE)</f>
        <v>4884</v>
      </c>
      <c r="I49" s="122">
        <f>VLOOKUP(R49,'FS Data'!$A:$B,2,FALSE)</f>
        <v>4884</v>
      </c>
      <c r="J49" s="122">
        <f>VLOOKUP(S49,'FS Data'!$A:$B,2,FALSE)</f>
        <v>1</v>
      </c>
      <c r="K49" s="122">
        <f>VLOOKUP(T49,'FS Data'!$A:$B,2,FALSE)</f>
        <v>100924</v>
      </c>
      <c r="L49" s="122">
        <f>VLOOKUP(U49,'FS Data'!$A:$B,2,FALSE)</f>
        <v>4884</v>
      </c>
      <c r="M49" s="238">
        <f>VLOOKUP(V49,'FS Data'!$A:$B,2,FALSE)</f>
        <v>4884</v>
      </c>
      <c r="O49" s="215">
        <v>504512</v>
      </c>
      <c r="P49" s="215">
        <v>504514</v>
      </c>
      <c r="Q49" s="215">
        <v>504516</v>
      </c>
      <c r="R49" s="215">
        <v>504518</v>
      </c>
      <c r="S49" s="215">
        <v>504522</v>
      </c>
      <c r="T49" s="215">
        <v>504524</v>
      </c>
      <c r="U49" s="215">
        <v>504526</v>
      </c>
      <c r="V49" s="215">
        <v>504528</v>
      </c>
      <c r="Y49" s="219"/>
      <c r="Z49" s="219"/>
    </row>
    <row r="50" spans="2:26" ht="12.75" customHeight="1" x14ac:dyDescent="0.25">
      <c r="B50" s="276">
        <v>46</v>
      </c>
      <c r="C50" s="290" t="s">
        <v>287</v>
      </c>
      <c r="D50" s="284"/>
      <c r="E50" s="285">
        <v>415</v>
      </c>
      <c r="F50" s="122">
        <f>VLOOKUP(O50,'FS Data'!$A:$B,2,FALSE)</f>
        <v>0</v>
      </c>
      <c r="G50" s="122">
        <f>VLOOKUP(P50,'FS Data'!$A:$B,2,FALSE)</f>
        <v>0</v>
      </c>
      <c r="H50" s="122">
        <f>VLOOKUP(Q50,'FS Data'!$A:$B,2,FALSE)</f>
        <v>0</v>
      </c>
      <c r="I50" s="122">
        <f>VLOOKUP(R50,'FS Data'!$A:$B,2,FALSE)</f>
        <v>0</v>
      </c>
      <c r="J50" s="122">
        <f>VLOOKUP(S50,'FS Data'!$A:$B,2,FALSE)</f>
        <v>0</v>
      </c>
      <c r="K50" s="122">
        <f>VLOOKUP(T50,'FS Data'!$A:$B,2,FALSE)</f>
        <v>0</v>
      </c>
      <c r="L50" s="122">
        <f>VLOOKUP(U50,'FS Data'!$A:$B,2,FALSE)</f>
        <v>0</v>
      </c>
      <c r="M50" s="238">
        <f>VLOOKUP(V50,'FS Data'!$A:$B,2,FALSE)</f>
        <v>0</v>
      </c>
      <c r="O50" s="215">
        <v>504612</v>
      </c>
      <c r="P50" s="215">
        <v>504614</v>
      </c>
      <c r="Q50" s="215">
        <v>504616</v>
      </c>
      <c r="R50" s="215">
        <v>504618</v>
      </c>
      <c r="S50" s="215">
        <v>504622</v>
      </c>
      <c r="T50" s="215">
        <v>504624</v>
      </c>
      <c r="U50" s="215">
        <v>504626</v>
      </c>
      <c r="V50" s="215">
        <v>504628</v>
      </c>
      <c r="Y50" s="219"/>
      <c r="Z50" s="219"/>
    </row>
    <row r="51" spans="2:26" ht="12.75" customHeight="1" x14ac:dyDescent="0.25">
      <c r="B51" s="276">
        <v>47</v>
      </c>
      <c r="C51" s="298" t="s">
        <v>568</v>
      </c>
      <c r="D51" s="284"/>
      <c r="E51" s="285" t="s">
        <v>288</v>
      </c>
      <c r="F51" s="122">
        <f>VLOOKUP(O51,'FS Data'!$A:$B,2,FALSE)</f>
        <v>0</v>
      </c>
      <c r="G51" s="122">
        <f>VLOOKUP(P51,'FS Data'!$A:$B,2,FALSE)</f>
        <v>0</v>
      </c>
      <c r="H51" s="122">
        <f>VLOOKUP(Q51,'FS Data'!$A:$B,2,FALSE)</f>
        <v>0</v>
      </c>
      <c r="I51" s="122">
        <f>VLOOKUP(R51,'FS Data'!$A:$B,2,FALSE)</f>
        <v>0</v>
      </c>
      <c r="J51" s="122">
        <f>VLOOKUP(S51,'FS Data'!$A:$B,2,FALSE)</f>
        <v>0</v>
      </c>
      <c r="K51" s="122">
        <f>VLOOKUP(T51,'FS Data'!$A:$B,2,FALSE)</f>
        <v>0</v>
      </c>
      <c r="L51" s="122">
        <f>VLOOKUP(U51,'FS Data'!$A:$B,2,FALSE)</f>
        <v>0</v>
      </c>
      <c r="M51" s="238">
        <f>VLOOKUP(V51,'FS Data'!$A:$B,2,FALSE)</f>
        <v>0</v>
      </c>
      <c r="O51" s="215">
        <v>504712</v>
      </c>
      <c r="P51" s="215">
        <v>504714</v>
      </c>
      <c r="Q51" s="215">
        <v>504716</v>
      </c>
      <c r="R51" s="215">
        <v>504718</v>
      </c>
      <c r="S51" s="215">
        <v>504722</v>
      </c>
      <c r="T51" s="215">
        <v>504724</v>
      </c>
      <c r="U51" s="215">
        <v>504726</v>
      </c>
      <c r="V51" s="215">
        <v>504728</v>
      </c>
      <c r="Y51" s="219"/>
      <c r="Z51" s="219"/>
    </row>
    <row r="52" spans="2:26" ht="12.75" customHeight="1" x14ac:dyDescent="0.25">
      <c r="B52" s="276">
        <v>48</v>
      </c>
      <c r="C52" s="290" t="s">
        <v>289</v>
      </c>
      <c r="D52" s="284"/>
      <c r="E52" s="285" t="s">
        <v>291</v>
      </c>
      <c r="F52" s="122">
        <f>VLOOKUP(O52,'FS Data'!$A:$B,2,FALSE)</f>
        <v>1</v>
      </c>
      <c r="G52" s="122">
        <f>VLOOKUP(P52,'FS Data'!$A:$B,2,FALSE)</f>
        <v>122189</v>
      </c>
      <c r="H52" s="122">
        <f>VLOOKUP(Q52,'FS Data'!$A:$B,2,FALSE)</f>
        <v>1250</v>
      </c>
      <c r="I52" s="122">
        <f>VLOOKUP(R52,'FS Data'!$A:$B,2,FALSE)</f>
        <v>1250</v>
      </c>
      <c r="J52" s="122">
        <f>VLOOKUP(S52,'FS Data'!$A:$B,2,FALSE)</f>
        <v>1</v>
      </c>
      <c r="K52" s="122">
        <f>VLOOKUP(T52,'FS Data'!$A:$B,2,FALSE)</f>
        <v>122189</v>
      </c>
      <c r="L52" s="122">
        <f>VLOOKUP(U52,'FS Data'!$A:$B,2,FALSE)</f>
        <v>1250</v>
      </c>
      <c r="M52" s="238">
        <f>VLOOKUP(V52,'FS Data'!$A:$B,2,FALSE)</f>
        <v>1250</v>
      </c>
      <c r="O52" s="215">
        <v>504812</v>
      </c>
      <c r="P52" s="215">
        <v>504814</v>
      </c>
      <c r="Q52" s="215">
        <v>504816</v>
      </c>
      <c r="R52" s="215">
        <v>504818</v>
      </c>
      <c r="S52" s="215">
        <v>504822</v>
      </c>
      <c r="T52" s="215">
        <v>504824</v>
      </c>
      <c r="U52" s="215">
        <v>504826</v>
      </c>
      <c r="V52" s="215">
        <v>504828</v>
      </c>
      <c r="Y52" s="219"/>
      <c r="Z52" s="219"/>
    </row>
    <row r="53" spans="2:26" ht="12.75" customHeight="1" thickBot="1" x14ac:dyDescent="0.3">
      <c r="B53" s="276">
        <v>49</v>
      </c>
      <c r="C53" s="290" t="s">
        <v>290</v>
      </c>
      <c r="D53" s="296"/>
      <c r="E53" s="279" t="s">
        <v>292</v>
      </c>
      <c r="F53" s="122">
        <f>VLOOKUP(O53,'FS Data'!$A:$B,2,FALSE)</f>
        <v>0</v>
      </c>
      <c r="G53" s="122">
        <f>VLOOKUP(P53,'FS Data'!$A:$B,2,FALSE)</f>
        <v>0</v>
      </c>
      <c r="H53" s="122">
        <f>VLOOKUP(Q53,'FS Data'!$A:$B,2,FALSE)</f>
        <v>0</v>
      </c>
      <c r="I53" s="122">
        <f>VLOOKUP(R53,'FS Data'!$A:$B,2,FALSE)</f>
        <v>0</v>
      </c>
      <c r="J53" s="122">
        <f>VLOOKUP(S53,'FS Data'!$A:$B,2,FALSE)</f>
        <v>0</v>
      </c>
      <c r="K53" s="122">
        <f>VLOOKUP(T53,'FS Data'!$A:$B,2,FALSE)</f>
        <v>0</v>
      </c>
      <c r="L53" s="122">
        <f>VLOOKUP(U53,'FS Data'!$A:$B,2,FALSE)</f>
        <v>0</v>
      </c>
      <c r="M53" s="238">
        <f>VLOOKUP(V53,'FS Data'!$A:$B,2,FALSE)</f>
        <v>0</v>
      </c>
      <c r="O53" s="215">
        <v>504912</v>
      </c>
      <c r="P53" s="215">
        <v>504914</v>
      </c>
      <c r="Q53" s="215">
        <v>504916</v>
      </c>
      <c r="R53" s="215">
        <v>504918</v>
      </c>
      <c r="S53" s="215">
        <v>504922</v>
      </c>
      <c r="T53" s="215">
        <v>504924</v>
      </c>
      <c r="U53" s="215">
        <v>504926</v>
      </c>
      <c r="V53" s="215">
        <v>504928</v>
      </c>
      <c r="Y53" s="219"/>
      <c r="Z53" s="219"/>
    </row>
    <row r="54" spans="2:26" ht="12.75" customHeight="1" x14ac:dyDescent="0.25">
      <c r="B54" s="276">
        <v>50</v>
      </c>
      <c r="C54" s="297" t="s">
        <v>794</v>
      </c>
      <c r="D54" s="832"/>
      <c r="E54" s="833"/>
      <c r="F54" s="122">
        <f>VLOOKUP(O54,'FS Data'!$A:$B,2,FALSE)</f>
        <v>1</v>
      </c>
      <c r="G54" s="122">
        <f>VLOOKUP(P54,'FS Data'!$A:$B,2,FALSE)</f>
        <v>122189</v>
      </c>
      <c r="H54" s="122">
        <f>VLOOKUP(Q54,'FS Data'!$A:$B,2,FALSE)</f>
        <v>1250</v>
      </c>
      <c r="I54" s="122">
        <f>VLOOKUP(R54,'FS Data'!$A:$B,2,FALSE)</f>
        <v>1250</v>
      </c>
      <c r="J54" s="122">
        <f>VLOOKUP(S54,'FS Data'!$A:$B,2,FALSE)</f>
        <v>1</v>
      </c>
      <c r="K54" s="122">
        <f>VLOOKUP(T54,'FS Data'!$A:$B,2,FALSE)</f>
        <v>122189</v>
      </c>
      <c r="L54" s="122">
        <f>VLOOKUP(U54,'FS Data'!$A:$B,2,FALSE)</f>
        <v>1250</v>
      </c>
      <c r="M54" s="238">
        <f>VLOOKUP(V54,'FS Data'!$A:$B,2,FALSE)</f>
        <v>1250</v>
      </c>
      <c r="O54" s="215">
        <v>505012</v>
      </c>
      <c r="P54" s="215">
        <v>505014</v>
      </c>
      <c r="Q54" s="215">
        <v>505016</v>
      </c>
      <c r="R54" s="215">
        <v>505018</v>
      </c>
      <c r="S54" s="215">
        <v>505022</v>
      </c>
      <c r="T54" s="215">
        <v>505024</v>
      </c>
      <c r="U54" s="215">
        <v>505026</v>
      </c>
      <c r="V54" s="215">
        <v>505028</v>
      </c>
      <c r="Y54" s="219"/>
      <c r="Z54" s="219"/>
    </row>
    <row r="55" spans="2:26" ht="12.75" customHeight="1" x14ac:dyDescent="0.25">
      <c r="B55" s="276">
        <v>51</v>
      </c>
      <c r="C55" s="290" t="s">
        <v>569</v>
      </c>
      <c r="D55" s="296"/>
      <c r="E55" s="279" t="s">
        <v>213</v>
      </c>
      <c r="F55" s="122">
        <f>VLOOKUP(O55,'FS Data'!$A:$B,2,FALSE)</f>
        <v>0</v>
      </c>
      <c r="G55" s="122">
        <f>VLOOKUP(P55,'FS Data'!$A:$B,2,FALSE)</f>
        <v>0</v>
      </c>
      <c r="H55" s="122">
        <f>VLOOKUP(Q55,'FS Data'!$A:$B,2,FALSE)</f>
        <v>0</v>
      </c>
      <c r="I55" s="122">
        <f>VLOOKUP(R55,'FS Data'!$A:$B,2,FALSE)</f>
        <v>0</v>
      </c>
      <c r="J55" s="122">
        <f>VLOOKUP(S55,'FS Data'!$A:$B,2,FALSE)</f>
        <v>0</v>
      </c>
      <c r="K55" s="122">
        <f>VLOOKUP(T55,'FS Data'!$A:$B,2,FALSE)</f>
        <v>0</v>
      </c>
      <c r="L55" s="122">
        <f>VLOOKUP(U55,'FS Data'!$A:$B,2,FALSE)</f>
        <v>0</v>
      </c>
      <c r="M55" s="238">
        <f>VLOOKUP(V55,'FS Data'!$A:$B,2,FALSE)</f>
        <v>0</v>
      </c>
      <c r="O55" s="215">
        <v>505112</v>
      </c>
      <c r="P55" s="215">
        <v>505114</v>
      </c>
      <c r="Q55" s="215">
        <v>505116</v>
      </c>
      <c r="R55" s="215">
        <v>505118</v>
      </c>
      <c r="S55" s="215">
        <v>505122</v>
      </c>
      <c r="T55" s="215">
        <v>505124</v>
      </c>
      <c r="U55" s="215">
        <v>505126</v>
      </c>
      <c r="V55" s="215">
        <v>505128</v>
      </c>
      <c r="Y55" s="219"/>
      <c r="Z55" s="219"/>
    </row>
    <row r="56" spans="2:26" ht="12.75" customHeight="1" x14ac:dyDescent="0.25">
      <c r="B56" s="276">
        <v>52</v>
      </c>
      <c r="C56" s="290" t="s">
        <v>214</v>
      </c>
      <c r="D56" s="296"/>
      <c r="E56" s="279" t="s">
        <v>215</v>
      </c>
      <c r="F56" s="122">
        <f>VLOOKUP(O56,'FS Data'!$A:$B,2,FALSE)</f>
        <v>0</v>
      </c>
      <c r="G56" s="122">
        <f>VLOOKUP(P56,'FS Data'!$A:$B,2,FALSE)</f>
        <v>0</v>
      </c>
      <c r="H56" s="122">
        <f>VLOOKUP(Q56,'FS Data'!$A:$B,2,FALSE)</f>
        <v>0</v>
      </c>
      <c r="I56" s="122">
        <f>VLOOKUP(R56,'FS Data'!$A:$B,2,FALSE)</f>
        <v>0</v>
      </c>
      <c r="J56" s="122">
        <f>VLOOKUP(S56,'FS Data'!$A:$B,2,FALSE)</f>
        <v>0</v>
      </c>
      <c r="K56" s="122">
        <f>VLOOKUP(T56,'FS Data'!$A:$B,2,FALSE)</f>
        <v>0</v>
      </c>
      <c r="L56" s="122">
        <f>VLOOKUP(U56,'FS Data'!$A:$B,2,FALSE)</f>
        <v>0</v>
      </c>
      <c r="M56" s="238">
        <f>VLOOKUP(V56,'FS Data'!$A:$B,2,FALSE)</f>
        <v>0</v>
      </c>
      <c r="O56" s="215">
        <v>505212</v>
      </c>
      <c r="P56" s="215">
        <v>505214</v>
      </c>
      <c r="Q56" s="215">
        <v>505216</v>
      </c>
      <c r="R56" s="215">
        <v>505218</v>
      </c>
      <c r="S56" s="215">
        <v>505222</v>
      </c>
      <c r="T56" s="215">
        <v>505224</v>
      </c>
      <c r="U56" s="215">
        <v>505226</v>
      </c>
      <c r="V56" s="215">
        <v>505228</v>
      </c>
      <c r="Y56" s="219"/>
      <c r="Z56" s="219"/>
    </row>
    <row r="57" spans="2:26" ht="12.75" customHeight="1" x14ac:dyDescent="0.25">
      <c r="B57" s="739">
        <v>53</v>
      </c>
      <c r="C57" s="290" t="s">
        <v>570</v>
      </c>
      <c r="D57" s="296"/>
      <c r="E57" s="279" t="s">
        <v>216</v>
      </c>
      <c r="F57" s="122">
        <f>VLOOKUP(O57,'FS Data'!$A:$B,2,FALSE)</f>
        <v>0</v>
      </c>
      <c r="G57" s="122">
        <f>VLOOKUP(P57,'FS Data'!$A:$B,2,FALSE)</f>
        <v>0</v>
      </c>
      <c r="H57" s="122">
        <f>VLOOKUP(Q57,'FS Data'!$A:$B,2,FALSE)</f>
        <v>0</v>
      </c>
      <c r="I57" s="122">
        <f>VLOOKUP(R57,'FS Data'!$A:$B,2,FALSE)</f>
        <v>0</v>
      </c>
      <c r="J57" s="122">
        <f>VLOOKUP(S57,'FS Data'!$A:$B,2,FALSE)</f>
        <v>0</v>
      </c>
      <c r="K57" s="122">
        <f>VLOOKUP(T57,'FS Data'!$A:$B,2,FALSE)</f>
        <v>0</v>
      </c>
      <c r="L57" s="122">
        <f>VLOOKUP(U57,'FS Data'!$A:$B,2,FALSE)</f>
        <v>0</v>
      </c>
      <c r="M57" s="238">
        <f>VLOOKUP(V57,'FS Data'!$A:$B,2,FALSE)</f>
        <v>0</v>
      </c>
      <c r="O57" s="215">
        <v>505312</v>
      </c>
      <c r="P57" s="215">
        <v>505314</v>
      </c>
      <c r="Q57" s="215">
        <v>505316</v>
      </c>
      <c r="R57" s="215">
        <v>505318</v>
      </c>
      <c r="S57" s="215">
        <v>505322</v>
      </c>
      <c r="T57" s="215">
        <v>505324</v>
      </c>
      <c r="U57" s="215">
        <v>505326</v>
      </c>
      <c r="V57" s="215">
        <v>505328</v>
      </c>
      <c r="Y57" s="219"/>
    </row>
    <row r="58" spans="2:26" ht="12.75" customHeight="1" x14ac:dyDescent="0.25">
      <c r="B58" s="276">
        <v>54</v>
      </c>
      <c r="C58" s="290" t="s">
        <v>571</v>
      </c>
      <c r="D58" s="296"/>
      <c r="E58" s="279" t="s">
        <v>217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238">
        <f>VLOOKUP(V58,'FS Data'!$A:$B,2,FALSE)</f>
        <v>0</v>
      </c>
      <c r="O58" s="215">
        <v>505412</v>
      </c>
      <c r="P58" s="215">
        <v>505414</v>
      </c>
      <c r="Q58" s="215">
        <v>505416</v>
      </c>
      <c r="R58" s="215">
        <v>505418</v>
      </c>
      <c r="S58" s="215">
        <v>505422</v>
      </c>
      <c r="T58" s="215">
        <v>505424</v>
      </c>
      <c r="U58" s="215">
        <v>505426</v>
      </c>
      <c r="V58" s="215">
        <v>505428</v>
      </c>
      <c r="Y58" s="219"/>
    </row>
    <row r="59" spans="2:26" ht="12.75" customHeight="1" x14ac:dyDescent="0.25">
      <c r="B59" s="276">
        <v>55</v>
      </c>
      <c r="C59" s="290" t="s">
        <v>218</v>
      </c>
      <c r="D59" s="296"/>
      <c r="E59" s="279" t="s">
        <v>219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238">
        <f>VLOOKUP(V59,'FS Data'!$A:$B,2,FALSE)</f>
        <v>0</v>
      </c>
      <c r="O59" s="215">
        <v>505512</v>
      </c>
      <c r="P59" s="215">
        <v>505514</v>
      </c>
      <c r="Q59" s="215">
        <v>505516</v>
      </c>
      <c r="R59" s="215">
        <v>505518</v>
      </c>
      <c r="S59" s="215">
        <v>505522</v>
      </c>
      <c r="T59" s="215">
        <v>505524</v>
      </c>
      <c r="U59" s="215">
        <v>505526</v>
      </c>
      <c r="V59" s="215">
        <v>505528</v>
      </c>
      <c r="Y59" s="219"/>
    </row>
    <row r="60" spans="2:26" ht="12.75" customHeight="1" x14ac:dyDescent="0.25">
      <c r="B60" s="276">
        <v>56</v>
      </c>
      <c r="C60" s="290" t="s">
        <v>572</v>
      </c>
      <c r="D60" s="296"/>
      <c r="E60" s="279" t="s">
        <v>220</v>
      </c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238">
        <f>VLOOKUP(V60,'FS Data'!$A:$B,2,FALSE)</f>
        <v>0</v>
      </c>
      <c r="O60" s="215">
        <v>505612</v>
      </c>
      <c r="P60" s="215">
        <v>505614</v>
      </c>
      <c r="Q60" s="215">
        <v>505616</v>
      </c>
      <c r="R60" s="215">
        <v>505618</v>
      </c>
      <c r="S60" s="215">
        <v>505622</v>
      </c>
      <c r="T60" s="215">
        <v>505624</v>
      </c>
      <c r="U60" s="215">
        <v>505626</v>
      </c>
      <c r="V60" s="215">
        <v>505628</v>
      </c>
      <c r="Y60" s="219"/>
    </row>
    <row r="61" spans="2:26" ht="12.75" customHeight="1" thickBot="1" x14ac:dyDescent="0.3">
      <c r="B61" s="276">
        <v>57</v>
      </c>
      <c r="C61" s="290" t="s">
        <v>262</v>
      </c>
      <c r="D61" s="296"/>
      <c r="E61" s="279" t="s">
        <v>263</v>
      </c>
      <c r="F61" s="122">
        <f>VLOOKUP(O61,'FS Data'!$A:$B,2,FALSE)</f>
        <v>0</v>
      </c>
      <c r="G61" s="122">
        <f>VLOOKUP(P61,'FS Data'!$A:$B,2,FALSE)</f>
        <v>0</v>
      </c>
      <c r="H61" s="122">
        <f>VLOOKUP(Q61,'FS Data'!$A:$B,2,FALSE)</f>
        <v>0</v>
      </c>
      <c r="I61" s="122">
        <f>VLOOKUP(R61,'FS Data'!$A:$B,2,FALSE)</f>
        <v>0</v>
      </c>
      <c r="J61" s="122">
        <f>VLOOKUP(S61,'FS Data'!$A:$B,2,FALSE)</f>
        <v>0</v>
      </c>
      <c r="K61" s="122">
        <f>VLOOKUP(T61,'FS Data'!$A:$B,2,FALSE)</f>
        <v>0</v>
      </c>
      <c r="L61" s="122">
        <f>VLOOKUP(U61,'FS Data'!$A:$B,2,FALSE)</f>
        <v>0</v>
      </c>
      <c r="M61" s="238">
        <f>VLOOKUP(V61,'FS Data'!$A:$B,2,FALSE)</f>
        <v>0</v>
      </c>
      <c r="O61" s="215">
        <v>505712</v>
      </c>
      <c r="P61" s="215">
        <v>505714</v>
      </c>
      <c r="Q61" s="215">
        <v>505716</v>
      </c>
      <c r="R61" s="215">
        <v>505718</v>
      </c>
      <c r="S61" s="215">
        <v>505722</v>
      </c>
      <c r="T61" s="215">
        <v>505724</v>
      </c>
      <c r="U61" s="215">
        <v>505726</v>
      </c>
      <c r="V61" s="215">
        <v>505728</v>
      </c>
      <c r="Y61" s="219"/>
    </row>
    <row r="62" spans="2:26" ht="12.75" customHeight="1" x14ac:dyDescent="0.25">
      <c r="B62" s="276">
        <v>58</v>
      </c>
      <c r="C62" s="297" t="s">
        <v>795</v>
      </c>
      <c r="D62" s="832"/>
      <c r="E62" s="833"/>
      <c r="F62" s="122">
        <f>VLOOKUP(O62,'FS Data'!$A:$B,2,FALSE)</f>
        <v>0</v>
      </c>
      <c r="G62" s="122">
        <f>VLOOKUP(P62,'FS Data'!$A:$B,2,FALSE)</f>
        <v>0</v>
      </c>
      <c r="H62" s="122">
        <f>VLOOKUP(Q62,'FS Data'!$A:$B,2,FALSE)</f>
        <v>0</v>
      </c>
      <c r="I62" s="122">
        <f>VLOOKUP(R62,'FS Data'!$A:$B,2,FALSE)</f>
        <v>0</v>
      </c>
      <c r="J62" s="122">
        <f>VLOOKUP(S62,'FS Data'!$A:$B,2,FALSE)</f>
        <v>0</v>
      </c>
      <c r="K62" s="122">
        <f>VLOOKUP(T62,'FS Data'!$A:$B,2,FALSE)</f>
        <v>0</v>
      </c>
      <c r="L62" s="122">
        <f>VLOOKUP(U62,'FS Data'!$A:$B,2,FALSE)</f>
        <v>0</v>
      </c>
      <c r="M62" s="238">
        <f>VLOOKUP(V62,'FS Data'!$A:$B,2,FALSE)</f>
        <v>0</v>
      </c>
      <c r="O62" s="215">
        <v>505812</v>
      </c>
      <c r="P62" s="215">
        <v>505814</v>
      </c>
      <c r="Q62" s="215">
        <v>505816</v>
      </c>
      <c r="R62" s="215">
        <v>505818</v>
      </c>
      <c r="S62" s="215">
        <v>505822</v>
      </c>
      <c r="T62" s="215">
        <v>505824</v>
      </c>
      <c r="U62" s="215">
        <v>505826</v>
      </c>
      <c r="V62" s="215">
        <v>505828</v>
      </c>
      <c r="Y62" s="219"/>
    </row>
    <row r="63" spans="2:26" ht="12.75" customHeight="1" x14ac:dyDescent="0.25">
      <c r="B63" s="276">
        <v>59</v>
      </c>
      <c r="C63" s="290" t="s">
        <v>264</v>
      </c>
      <c r="D63" s="296"/>
      <c r="E63" s="279" t="s">
        <v>221</v>
      </c>
      <c r="F63" s="122">
        <f>VLOOKUP(O63,'FS Data'!$A:$B,2,FALSE)</f>
        <v>0</v>
      </c>
      <c r="G63" s="122">
        <f>VLOOKUP(P63,'FS Data'!$A:$B,2,FALSE)</f>
        <v>0</v>
      </c>
      <c r="H63" s="122">
        <f>VLOOKUP(Q63,'FS Data'!$A:$B,2,FALSE)</f>
        <v>0</v>
      </c>
      <c r="I63" s="122">
        <f>VLOOKUP(R63,'FS Data'!$A:$B,2,FALSE)</f>
        <v>0</v>
      </c>
      <c r="J63" s="122">
        <f>VLOOKUP(S63,'FS Data'!$A:$B,2,FALSE)</f>
        <v>0</v>
      </c>
      <c r="K63" s="122">
        <f>VLOOKUP(T63,'FS Data'!$A:$B,2,FALSE)</f>
        <v>0</v>
      </c>
      <c r="L63" s="122">
        <f>VLOOKUP(U63,'FS Data'!$A:$B,2,FALSE)</f>
        <v>0</v>
      </c>
      <c r="M63" s="238">
        <f>VLOOKUP(V63,'FS Data'!$A:$B,2,FALSE)</f>
        <v>0</v>
      </c>
      <c r="O63" s="215">
        <v>505912</v>
      </c>
      <c r="P63" s="215">
        <v>505914</v>
      </c>
      <c r="Q63" s="215">
        <v>505916</v>
      </c>
      <c r="R63" s="215">
        <v>505918</v>
      </c>
      <c r="S63" s="215">
        <v>505922</v>
      </c>
      <c r="T63" s="215">
        <v>505924</v>
      </c>
      <c r="U63" s="215">
        <v>505926</v>
      </c>
      <c r="V63" s="215">
        <v>505928</v>
      </c>
      <c r="Y63" s="219"/>
    </row>
    <row r="64" spans="2:26" ht="12.75" customHeight="1" thickBot="1" x14ac:dyDescent="0.3">
      <c r="B64" s="739">
        <v>60</v>
      </c>
      <c r="C64" s="290" t="s">
        <v>222</v>
      </c>
      <c r="D64" s="296"/>
      <c r="E64" s="279" t="s">
        <v>223</v>
      </c>
      <c r="F64" s="122">
        <f>VLOOKUP(O64,'FS Data'!$A:$B,2,FALSE)</f>
        <v>0</v>
      </c>
      <c r="G64" s="122">
        <f>VLOOKUP(P64,'FS Data'!$A:$B,2,FALSE)</f>
        <v>0</v>
      </c>
      <c r="H64" s="122">
        <f>VLOOKUP(Q64,'FS Data'!$A:$B,2,FALSE)</f>
        <v>0</v>
      </c>
      <c r="I64" s="122">
        <f>VLOOKUP(R64,'FS Data'!$A:$B,2,FALSE)</f>
        <v>0</v>
      </c>
      <c r="J64" s="122">
        <f>VLOOKUP(S64,'FS Data'!$A:$B,2,FALSE)</f>
        <v>0</v>
      </c>
      <c r="K64" s="122">
        <f>VLOOKUP(T64,'FS Data'!$A:$B,2,FALSE)</f>
        <v>0</v>
      </c>
      <c r="L64" s="122">
        <f>VLOOKUP(U64,'FS Data'!$A:$B,2,FALSE)</f>
        <v>0</v>
      </c>
      <c r="M64" s="238">
        <f>VLOOKUP(V64,'FS Data'!$A:$B,2,FALSE)</f>
        <v>0</v>
      </c>
      <c r="O64" s="215">
        <v>506012</v>
      </c>
      <c r="P64" s="215">
        <v>506014</v>
      </c>
      <c r="Q64" s="215">
        <v>506016</v>
      </c>
      <c r="R64" s="215">
        <v>506018</v>
      </c>
      <c r="S64" s="215">
        <v>506022</v>
      </c>
      <c r="T64" s="215">
        <v>506024</v>
      </c>
      <c r="U64" s="215">
        <v>506026</v>
      </c>
      <c r="V64" s="215">
        <v>506028</v>
      </c>
      <c r="Y64" s="219"/>
    </row>
    <row r="65" spans="2:25" ht="12.75" customHeight="1" thickBot="1" x14ac:dyDescent="0.3">
      <c r="B65" s="740">
        <v>61</v>
      </c>
      <c r="C65" s="300" t="s">
        <v>796</v>
      </c>
      <c r="D65" s="832"/>
      <c r="E65" s="833"/>
      <c r="F65" s="267">
        <f>VLOOKUP(O65,'FS Data'!$A:$B,2,FALSE)</f>
        <v>0</v>
      </c>
      <c r="G65" s="267">
        <f>VLOOKUP(P65,'FS Data'!$A:$B,2,FALSE)</f>
        <v>0</v>
      </c>
      <c r="H65" s="267">
        <f>VLOOKUP(Q65,'FS Data'!$A:$B,2,FALSE)</f>
        <v>0</v>
      </c>
      <c r="I65" s="267">
        <f>VLOOKUP(R65,'FS Data'!$A:$B,2,FALSE)</f>
        <v>0</v>
      </c>
      <c r="J65" s="267">
        <f>VLOOKUP(S65,'FS Data'!$A:$B,2,FALSE)</f>
        <v>0</v>
      </c>
      <c r="K65" s="267">
        <f>VLOOKUP(T65,'FS Data'!$A:$B,2,FALSE)</f>
        <v>0</v>
      </c>
      <c r="L65" s="267">
        <f>VLOOKUP(U65,'FS Data'!$A:$B,2,FALSE)</f>
        <v>0</v>
      </c>
      <c r="M65" s="266">
        <f>VLOOKUP(V65,'FS Data'!$A:$B,2,FALSE)</f>
        <v>0</v>
      </c>
      <c r="O65" s="215">
        <v>506112</v>
      </c>
      <c r="P65" s="215">
        <v>506114</v>
      </c>
      <c r="Q65" s="215">
        <v>506116</v>
      </c>
      <c r="R65" s="215">
        <v>506118</v>
      </c>
      <c r="S65" s="215">
        <v>506122</v>
      </c>
      <c r="T65" s="215">
        <v>506124</v>
      </c>
      <c r="U65" s="215">
        <v>506126</v>
      </c>
      <c r="V65" s="215">
        <v>506128</v>
      </c>
      <c r="Y65" s="219"/>
    </row>
    <row r="66" spans="2:25" ht="12.75" customHeight="1" x14ac:dyDescent="0.25">
      <c r="C66" s="623"/>
      <c r="D66" s="215">
        <v>505414</v>
      </c>
      <c r="E66" s="215">
        <v>505416</v>
      </c>
      <c r="F66" s="215">
        <v>505418</v>
      </c>
      <c r="G66" s="215">
        <v>505422</v>
      </c>
      <c r="H66" s="215">
        <v>505424</v>
      </c>
      <c r="I66" s="215">
        <v>505426</v>
      </c>
      <c r="J66" s="215">
        <v>505428</v>
      </c>
      <c r="K66" s="219"/>
      <c r="L66" s="219"/>
      <c r="M66" s="219"/>
      <c r="N66" s="5"/>
      <c r="W66" s="5"/>
      <c r="X66" s="5"/>
    </row>
    <row r="67" spans="2:25" ht="12.75" customHeight="1" x14ac:dyDescent="0.25">
      <c r="C67" s="623"/>
      <c r="D67" s="215">
        <v>505514</v>
      </c>
      <c r="E67" s="215">
        <v>505516</v>
      </c>
      <c r="F67" s="215">
        <v>505518</v>
      </c>
      <c r="G67" s="215">
        <v>505522</v>
      </c>
      <c r="H67" s="215">
        <v>505524</v>
      </c>
      <c r="I67" s="215">
        <v>505526</v>
      </c>
      <c r="J67" s="215">
        <v>505528</v>
      </c>
      <c r="K67" s="219"/>
      <c r="L67" s="219"/>
      <c r="M67" s="21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5" ht="12.75" customHeight="1" x14ac:dyDescent="0.25">
      <c r="C68" s="623"/>
      <c r="D68" s="215">
        <v>505614</v>
      </c>
      <c r="E68" s="215">
        <v>505616</v>
      </c>
      <c r="F68" s="215">
        <v>505618</v>
      </c>
      <c r="G68" s="215">
        <v>505622</v>
      </c>
      <c r="H68" s="215">
        <v>505624</v>
      </c>
      <c r="I68" s="215">
        <v>505626</v>
      </c>
      <c r="J68" s="215">
        <v>505628</v>
      </c>
      <c r="K68" s="219"/>
      <c r="L68" s="21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5" ht="12.75" customHeight="1" x14ac:dyDescent="0.25">
      <c r="C69" s="623"/>
      <c r="D69" s="405"/>
      <c r="E69" s="563"/>
      <c r="F69" s="564"/>
      <c r="G69" s="564"/>
      <c r="H69" s="564"/>
      <c r="I69" s="564"/>
      <c r="J69" s="564"/>
      <c r="K69" s="564"/>
      <c r="L69" s="564"/>
      <c r="M69" s="56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5" ht="12.75" customHeight="1" x14ac:dyDescent="0.25">
      <c r="C70" s="623"/>
      <c r="D70" s="405"/>
      <c r="E70" s="563"/>
      <c r="F70" s="564"/>
      <c r="G70" s="564"/>
      <c r="H70" s="564"/>
      <c r="I70" s="564"/>
      <c r="J70" s="564"/>
      <c r="K70" s="564"/>
      <c r="L70" s="564"/>
      <c r="M70" s="56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5" ht="12.75" customHeight="1" x14ac:dyDescent="0.25">
      <c r="C71" s="623"/>
      <c r="D71" s="405"/>
      <c r="E71" s="563"/>
      <c r="F71" s="564"/>
      <c r="G71" s="564"/>
      <c r="H71" s="564"/>
      <c r="I71" s="564"/>
      <c r="J71" s="564"/>
      <c r="K71" s="564"/>
      <c r="L71" s="564"/>
      <c r="M71" s="56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5" ht="12.75" customHeight="1" x14ac:dyDescent="0.25">
      <c r="C72" s="623"/>
      <c r="D72" s="405"/>
      <c r="E72" s="563"/>
      <c r="F72" s="564"/>
      <c r="G72" s="564"/>
      <c r="H72" s="564"/>
      <c r="I72" s="564"/>
      <c r="J72" s="564"/>
      <c r="K72" s="564"/>
      <c r="L72" s="564"/>
      <c r="M72" s="56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5" ht="12.75" customHeight="1" x14ac:dyDescent="0.25">
      <c r="C73" s="623"/>
      <c r="D73" s="567"/>
      <c r="E73" s="567"/>
      <c r="F73" s="564"/>
      <c r="G73" s="564"/>
      <c r="H73" s="564"/>
      <c r="I73" s="564"/>
      <c r="J73" s="564"/>
      <c r="K73" s="564"/>
      <c r="L73" s="564"/>
      <c r="M73" s="56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5" ht="12.75" customHeight="1" x14ac:dyDescent="0.25">
      <c r="C74" s="623"/>
      <c r="D74" s="405"/>
      <c r="E74" s="563"/>
      <c r="F74" s="564"/>
      <c r="G74" s="564"/>
      <c r="H74" s="564"/>
      <c r="I74" s="564"/>
      <c r="J74" s="564"/>
      <c r="K74" s="564"/>
      <c r="L74" s="564"/>
      <c r="M74" s="56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5" ht="12.75" customHeight="1" x14ac:dyDescent="0.25">
      <c r="C75" s="623"/>
      <c r="D75" s="405"/>
      <c r="E75" s="563"/>
      <c r="F75" s="564"/>
      <c r="G75" s="564"/>
      <c r="H75" s="564"/>
      <c r="I75" s="564"/>
      <c r="J75" s="564"/>
      <c r="K75" s="564"/>
      <c r="L75" s="564"/>
      <c r="M75" s="56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5" ht="12.75" customHeight="1" x14ac:dyDescent="0.25">
      <c r="C76" s="623"/>
      <c r="D76" s="405"/>
      <c r="E76" s="563"/>
      <c r="F76" s="564"/>
      <c r="G76" s="564"/>
      <c r="H76" s="564"/>
      <c r="I76" s="564"/>
      <c r="J76" s="564"/>
      <c r="K76" s="564"/>
      <c r="L76" s="564"/>
      <c r="M76" s="56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5" ht="12.75" customHeight="1" x14ac:dyDescent="0.25">
      <c r="C77" s="623"/>
      <c r="D77" s="405"/>
      <c r="E77" s="563"/>
      <c r="F77" s="564"/>
      <c r="G77" s="564"/>
      <c r="H77" s="564"/>
      <c r="I77" s="564"/>
      <c r="J77" s="564"/>
      <c r="K77" s="564"/>
      <c r="L77" s="564"/>
      <c r="M77" s="56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5" ht="12.75" customHeight="1" x14ac:dyDescent="0.25">
      <c r="C78" s="623"/>
      <c r="D78" s="405"/>
      <c r="E78" s="563"/>
      <c r="F78" s="564"/>
      <c r="G78" s="564"/>
      <c r="H78" s="564"/>
      <c r="I78" s="564"/>
      <c r="J78" s="564"/>
      <c r="K78" s="564"/>
      <c r="L78" s="564"/>
      <c r="M78" s="56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5" ht="12.75" customHeight="1" x14ac:dyDescent="0.25">
      <c r="C79" s="623"/>
      <c r="D79" s="405"/>
      <c r="E79" s="563"/>
      <c r="F79" s="564"/>
      <c r="G79" s="564"/>
      <c r="H79" s="564"/>
      <c r="I79" s="564"/>
      <c r="J79" s="564"/>
      <c r="K79" s="564"/>
      <c r="L79" s="564"/>
      <c r="M79" s="56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5" ht="12.75" customHeight="1" x14ac:dyDescent="0.25">
      <c r="C80" s="623"/>
      <c r="D80" s="567"/>
      <c r="E80" s="567"/>
      <c r="F80" s="564"/>
      <c r="G80" s="564"/>
      <c r="H80" s="564"/>
      <c r="I80" s="564"/>
      <c r="J80" s="564"/>
      <c r="K80" s="564"/>
      <c r="L80" s="564"/>
      <c r="M80" s="56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623"/>
      <c r="D81" s="405"/>
      <c r="E81" s="563"/>
      <c r="F81" s="564"/>
      <c r="G81" s="564"/>
      <c r="H81" s="564"/>
      <c r="I81" s="564"/>
      <c r="J81" s="564"/>
      <c r="K81" s="564"/>
      <c r="L81" s="564"/>
      <c r="M81" s="56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623"/>
      <c r="D82" s="405"/>
      <c r="E82" s="563"/>
      <c r="F82" s="564"/>
      <c r="G82" s="564"/>
      <c r="H82" s="564"/>
      <c r="I82" s="564"/>
      <c r="J82" s="564"/>
      <c r="K82" s="564"/>
      <c r="L82" s="564"/>
      <c r="M82" s="56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623"/>
      <c r="D83" s="405"/>
      <c r="E83" s="563"/>
      <c r="F83" s="564"/>
      <c r="G83" s="564"/>
      <c r="H83" s="564"/>
      <c r="I83" s="564"/>
      <c r="J83" s="564"/>
      <c r="K83" s="564"/>
      <c r="L83" s="564"/>
      <c r="M83" s="56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155"/>
      <c r="D84" s="405"/>
      <c r="E84" s="563"/>
      <c r="F84" s="564"/>
      <c r="G84" s="564"/>
      <c r="H84" s="564"/>
      <c r="I84" s="564"/>
      <c r="J84" s="564"/>
      <c r="K84" s="564"/>
      <c r="L84" s="564"/>
      <c r="M84" s="56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65"/>
      <c r="D85" s="567"/>
      <c r="E85" s="567"/>
      <c r="F85" s="564"/>
      <c r="G85" s="564"/>
      <c r="H85" s="564"/>
      <c r="I85" s="564"/>
      <c r="J85" s="564"/>
      <c r="K85" s="564"/>
      <c r="L85" s="564"/>
      <c r="M85" s="56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66"/>
      <c r="D86" s="405"/>
      <c r="E86" s="563"/>
      <c r="F86" s="564"/>
      <c r="G86" s="564"/>
      <c r="H86" s="564"/>
      <c r="I86" s="564"/>
      <c r="J86" s="564"/>
      <c r="K86" s="564"/>
      <c r="L86" s="564"/>
      <c r="M86" s="56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66"/>
      <c r="D87" s="405"/>
      <c r="E87" s="563"/>
      <c r="F87" s="564"/>
      <c r="G87" s="564"/>
      <c r="H87" s="564"/>
      <c r="I87" s="564"/>
      <c r="J87" s="564"/>
      <c r="K87" s="564"/>
      <c r="L87" s="564"/>
      <c r="M87" s="56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66"/>
      <c r="D88" s="405"/>
      <c r="E88" s="563"/>
      <c r="F88" s="564"/>
      <c r="G88" s="564"/>
      <c r="H88" s="564"/>
      <c r="I88" s="564"/>
      <c r="J88" s="564"/>
      <c r="K88" s="564"/>
      <c r="L88" s="564"/>
      <c r="M88" s="56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C89" s="566"/>
      <c r="D89" s="405"/>
      <c r="E89" s="563"/>
      <c r="F89" s="564"/>
      <c r="G89" s="564"/>
      <c r="H89" s="564"/>
      <c r="I89" s="564"/>
      <c r="J89" s="564"/>
      <c r="K89" s="564"/>
      <c r="L89" s="564"/>
      <c r="M89" s="56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C90" s="566"/>
      <c r="D90" s="405"/>
      <c r="E90" s="563"/>
      <c r="F90" s="564"/>
      <c r="G90" s="564"/>
      <c r="H90" s="564"/>
      <c r="I90" s="564"/>
      <c r="J90" s="564"/>
      <c r="K90" s="564"/>
      <c r="L90" s="564"/>
      <c r="M90" s="56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C91" s="566"/>
      <c r="D91" s="405"/>
      <c r="E91" s="563"/>
      <c r="F91" s="564"/>
      <c r="G91" s="564"/>
      <c r="H91" s="564"/>
      <c r="I91" s="564"/>
      <c r="J91" s="564"/>
      <c r="K91" s="564"/>
      <c r="L91" s="564"/>
      <c r="M91" s="56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C92" s="566"/>
      <c r="D92" s="405"/>
      <c r="E92" s="563"/>
      <c r="F92" s="564"/>
      <c r="G92" s="564"/>
      <c r="H92" s="564"/>
      <c r="I92" s="564"/>
      <c r="J92" s="564"/>
      <c r="K92" s="564"/>
      <c r="L92" s="564"/>
      <c r="M92" s="56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C93" s="565"/>
      <c r="D93" s="567"/>
      <c r="E93" s="567"/>
      <c r="F93" s="564"/>
      <c r="G93" s="564"/>
      <c r="H93" s="564"/>
      <c r="I93" s="564"/>
      <c r="J93" s="564"/>
      <c r="K93" s="564"/>
      <c r="L93" s="564"/>
      <c r="M93" s="56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C94" s="566"/>
      <c r="D94" s="405"/>
      <c r="E94" s="563"/>
      <c r="F94" s="564"/>
      <c r="G94" s="564"/>
      <c r="H94" s="564"/>
      <c r="I94" s="564"/>
      <c r="J94" s="564"/>
      <c r="K94" s="564"/>
      <c r="L94" s="564"/>
      <c r="M94" s="56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C95" s="566"/>
      <c r="D95" s="405"/>
      <c r="E95" s="563"/>
      <c r="F95" s="564"/>
      <c r="G95" s="564"/>
      <c r="H95" s="564"/>
      <c r="I95" s="564"/>
      <c r="J95" s="564"/>
      <c r="K95" s="564"/>
      <c r="L95" s="564"/>
      <c r="M95" s="56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C96" s="565"/>
      <c r="D96" s="567"/>
      <c r="E96" s="567"/>
      <c r="F96" s="564"/>
      <c r="G96" s="564"/>
      <c r="H96" s="564"/>
      <c r="I96" s="564"/>
      <c r="J96" s="564"/>
      <c r="K96" s="564"/>
      <c r="L96" s="564"/>
      <c r="M96" s="56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="5" customFormat="1" ht="12.75" customHeight="1" x14ac:dyDescent="0.25"/>
    <row r="146" s="5" customFormat="1" ht="12.75" customHeight="1" x14ac:dyDescent="0.25"/>
    <row r="147" s="5" customFormat="1" ht="12.75" customHeight="1" x14ac:dyDescent="0.25"/>
    <row r="148" s="5" customFormat="1" ht="12.75" customHeight="1" x14ac:dyDescent="0.25"/>
    <row r="149" s="5" customFormat="1" ht="12.75" customHeight="1" x14ac:dyDescent="0.25"/>
    <row r="150" s="5" customFormat="1" ht="12.75" customHeight="1" x14ac:dyDescent="0.25"/>
    <row r="151" s="5" customFormat="1" ht="12.75" customHeight="1" x14ac:dyDescent="0.25"/>
    <row r="152" s="5" customFormat="1" ht="12.75" customHeight="1" x14ac:dyDescent="0.25"/>
    <row r="153" s="5" customFormat="1" ht="12.75" customHeight="1" x14ac:dyDescent="0.25"/>
    <row r="154" s="5" customFormat="1" ht="12.75" customHeight="1" x14ac:dyDescent="0.25"/>
    <row r="155" s="5" customFormat="1" ht="12.75" customHeight="1" x14ac:dyDescent="0.25"/>
    <row r="156" s="5" customFormat="1" ht="12.75" customHeight="1" x14ac:dyDescent="0.25"/>
    <row r="157" s="5" customFormat="1" ht="12.75" customHeight="1" x14ac:dyDescent="0.25"/>
    <row r="158" s="5" customFormat="1" ht="12.75" customHeight="1" x14ac:dyDescent="0.25"/>
    <row r="159" s="5" customFormat="1" ht="12.75" customHeight="1" x14ac:dyDescent="0.25"/>
    <row r="160" s="5" customFormat="1" ht="12.75" customHeight="1" x14ac:dyDescent="0.25"/>
    <row r="161" spans="3:24" ht="12.75" customHeight="1" x14ac:dyDescent="0.25">
      <c r="E161" s="5"/>
      <c r="I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E162" s="5"/>
      <c r="I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E163" s="5"/>
      <c r="I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19"/>
      <c r="D164" s="215"/>
      <c r="E164" s="215"/>
      <c r="F164" s="215"/>
      <c r="G164" s="215"/>
      <c r="H164" s="215"/>
      <c r="I164" s="215"/>
      <c r="J164" s="215"/>
      <c r="K164" s="215"/>
      <c r="L164" s="219"/>
      <c r="M164" s="21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19"/>
      <c r="D165" s="215"/>
      <c r="E165" s="215"/>
      <c r="F165" s="215"/>
      <c r="G165" s="215"/>
      <c r="H165" s="215"/>
      <c r="I165" s="215"/>
      <c r="J165" s="215"/>
      <c r="K165" s="215"/>
      <c r="L165" s="219"/>
      <c r="M165" s="21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19"/>
      <c r="D166" s="215"/>
      <c r="E166" s="215"/>
      <c r="F166" s="215"/>
      <c r="G166" s="215"/>
      <c r="H166" s="215"/>
      <c r="I166" s="215"/>
      <c r="J166" s="215"/>
      <c r="K166" s="215"/>
      <c r="L166" s="219"/>
      <c r="M166" s="21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19"/>
      <c r="D167" s="215"/>
      <c r="E167" s="215"/>
      <c r="F167" s="215"/>
      <c r="G167" s="215"/>
      <c r="H167" s="215"/>
      <c r="I167" s="215"/>
      <c r="J167" s="215"/>
      <c r="K167" s="215"/>
      <c r="L167" s="219"/>
      <c r="M167" s="21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19"/>
      <c r="D168" s="215"/>
      <c r="E168" s="215"/>
      <c r="F168" s="215"/>
      <c r="G168" s="215"/>
      <c r="H168" s="215"/>
      <c r="I168" s="215"/>
      <c r="J168" s="215"/>
      <c r="K168" s="215"/>
      <c r="L168" s="219"/>
      <c r="M168" s="21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19"/>
      <c r="D169" s="215"/>
      <c r="E169" s="215"/>
      <c r="F169" s="215"/>
      <c r="G169" s="215"/>
      <c r="H169" s="215"/>
      <c r="I169" s="215"/>
      <c r="J169" s="215"/>
      <c r="K169" s="215"/>
      <c r="L169" s="219"/>
      <c r="M169" s="21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19"/>
      <c r="D170" s="215"/>
      <c r="E170" s="215"/>
      <c r="F170" s="215"/>
      <c r="G170" s="215"/>
      <c r="H170" s="215"/>
      <c r="I170" s="215"/>
      <c r="J170" s="215"/>
      <c r="K170" s="215"/>
      <c r="L170" s="219"/>
      <c r="M170" s="21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19"/>
      <c r="D171" s="215"/>
      <c r="E171" s="215"/>
      <c r="F171" s="215"/>
      <c r="G171" s="215"/>
      <c r="H171" s="215"/>
      <c r="I171" s="215"/>
      <c r="J171" s="215"/>
      <c r="K171" s="215"/>
      <c r="L171" s="219"/>
      <c r="M171" s="21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19"/>
      <c r="D172" s="215"/>
      <c r="E172" s="215"/>
      <c r="F172" s="215"/>
      <c r="G172" s="215"/>
      <c r="H172" s="215"/>
      <c r="I172" s="215"/>
      <c r="J172" s="215"/>
      <c r="K172" s="215"/>
      <c r="L172" s="219"/>
      <c r="M172" s="21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19"/>
      <c r="D173" s="215"/>
      <c r="E173" s="215"/>
      <c r="F173" s="215"/>
      <c r="G173" s="215"/>
      <c r="H173" s="215"/>
      <c r="I173" s="215"/>
      <c r="J173" s="215"/>
      <c r="K173" s="215"/>
      <c r="L173" s="219"/>
      <c r="M173" s="21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19"/>
      <c r="D174" s="215"/>
      <c r="E174" s="215"/>
      <c r="F174" s="215"/>
      <c r="G174" s="215"/>
      <c r="H174" s="215"/>
      <c r="I174" s="215"/>
      <c r="J174" s="215"/>
      <c r="K174" s="215"/>
      <c r="L174" s="219"/>
      <c r="M174" s="21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19"/>
      <c r="D175" s="215"/>
      <c r="E175" s="215"/>
      <c r="F175" s="215"/>
      <c r="G175" s="215"/>
      <c r="H175" s="215"/>
      <c r="I175" s="215"/>
      <c r="J175" s="215"/>
      <c r="K175" s="215"/>
      <c r="L175" s="219"/>
      <c r="M175" s="21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19"/>
      <c r="D176" s="215"/>
      <c r="E176" s="215"/>
      <c r="F176" s="215"/>
      <c r="G176" s="215"/>
      <c r="H176" s="215"/>
      <c r="I176" s="215"/>
      <c r="J176" s="215"/>
      <c r="K176" s="215"/>
      <c r="L176" s="219"/>
      <c r="M176" s="21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19"/>
      <c r="D177" s="215"/>
      <c r="E177" s="215"/>
      <c r="F177" s="215"/>
      <c r="G177" s="215"/>
      <c r="H177" s="215"/>
      <c r="I177" s="215"/>
      <c r="J177" s="215"/>
      <c r="K177" s="215"/>
      <c r="L177" s="219"/>
      <c r="M177" s="21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19"/>
      <c r="D178" s="215"/>
      <c r="E178" s="215"/>
      <c r="F178" s="215"/>
      <c r="G178" s="215"/>
      <c r="H178" s="215"/>
      <c r="I178" s="215"/>
      <c r="J178" s="215"/>
      <c r="K178" s="215"/>
      <c r="L178" s="219"/>
      <c r="M178" s="21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19"/>
      <c r="D179" s="215"/>
      <c r="E179" s="215"/>
      <c r="F179" s="215"/>
      <c r="G179" s="215"/>
      <c r="H179" s="215"/>
      <c r="I179" s="215"/>
      <c r="J179" s="215"/>
      <c r="K179" s="215"/>
      <c r="L179" s="219"/>
      <c r="M179" s="21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19"/>
      <c r="D180" s="215"/>
      <c r="E180" s="215"/>
      <c r="F180" s="215"/>
      <c r="G180" s="215"/>
      <c r="H180" s="215"/>
      <c r="I180" s="215"/>
      <c r="J180" s="215"/>
      <c r="K180" s="215"/>
      <c r="L180" s="219"/>
      <c r="M180" s="21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3:24" ht="12.75" customHeight="1" x14ac:dyDescent="0.25">
      <c r="C181" s="219"/>
      <c r="D181" s="215"/>
      <c r="E181" s="215"/>
      <c r="F181" s="215"/>
      <c r="G181" s="215"/>
      <c r="H181" s="215"/>
      <c r="I181" s="215"/>
      <c r="J181" s="215"/>
      <c r="K181" s="215"/>
      <c r="L181" s="219"/>
      <c r="M181" s="219"/>
    </row>
    <row r="182" spans="3:24" ht="12.75" customHeight="1" x14ac:dyDescent="0.25">
      <c r="C182" s="219"/>
      <c r="D182" s="215"/>
      <c r="E182" s="215"/>
      <c r="F182" s="215"/>
      <c r="G182" s="215"/>
      <c r="H182" s="215"/>
      <c r="I182" s="215"/>
      <c r="J182" s="215"/>
      <c r="K182" s="215"/>
      <c r="L182" s="219"/>
      <c r="M182" s="219"/>
    </row>
    <row r="183" spans="3:24" ht="12.75" customHeight="1" x14ac:dyDescent="0.25">
      <c r="C183" s="219"/>
      <c r="D183" s="215"/>
      <c r="E183" s="215"/>
      <c r="F183" s="215"/>
      <c r="G183" s="215"/>
      <c r="H183" s="215"/>
      <c r="I183" s="215"/>
      <c r="J183" s="215"/>
      <c r="K183" s="215"/>
      <c r="L183" s="219"/>
      <c r="M183" s="219"/>
    </row>
    <row r="184" spans="3:24" ht="12.75" customHeight="1" x14ac:dyDescent="0.25">
      <c r="C184" s="219"/>
      <c r="D184" s="215"/>
      <c r="E184" s="215"/>
      <c r="F184" s="215"/>
      <c r="G184" s="215"/>
      <c r="H184" s="215"/>
      <c r="I184" s="215"/>
      <c r="J184" s="215"/>
      <c r="K184" s="215"/>
      <c r="L184" s="219"/>
      <c r="M184" s="219"/>
    </row>
    <row r="185" spans="3:24" ht="12.75" customHeight="1" x14ac:dyDescent="0.25">
      <c r="C185" s="219"/>
      <c r="D185" s="215"/>
      <c r="E185" s="215"/>
      <c r="F185" s="215"/>
      <c r="G185" s="215"/>
      <c r="H185" s="215"/>
      <c r="I185" s="215"/>
      <c r="J185" s="215"/>
      <c r="K185" s="215"/>
      <c r="L185" s="219"/>
      <c r="M185" s="219"/>
    </row>
    <row r="186" spans="3:24" ht="12.75" customHeight="1" x14ac:dyDescent="0.25">
      <c r="C186" s="219"/>
      <c r="D186" s="215"/>
      <c r="E186" s="215"/>
      <c r="F186" s="215"/>
      <c r="G186" s="215"/>
      <c r="H186" s="215"/>
      <c r="I186" s="215"/>
      <c r="J186" s="215"/>
      <c r="K186" s="215"/>
      <c r="L186" s="219"/>
      <c r="M186" s="219"/>
    </row>
    <row r="187" spans="3:24" ht="12.75" customHeight="1" x14ac:dyDescent="0.25">
      <c r="C187" s="219"/>
      <c r="D187" s="215"/>
      <c r="E187" s="215"/>
      <c r="F187" s="215"/>
      <c r="G187" s="215"/>
      <c r="H187" s="215"/>
      <c r="I187" s="215"/>
      <c r="J187" s="215"/>
      <c r="K187" s="215"/>
      <c r="L187" s="219"/>
      <c r="M187" s="219"/>
    </row>
    <row r="188" spans="3:24" ht="12.75" customHeight="1" x14ac:dyDescent="0.25">
      <c r="C188" s="219"/>
      <c r="D188" s="215"/>
      <c r="E188" s="215"/>
      <c r="F188" s="215"/>
      <c r="G188" s="215"/>
      <c r="H188" s="215"/>
      <c r="I188" s="215"/>
      <c r="J188" s="215"/>
      <c r="K188" s="215"/>
      <c r="L188" s="219"/>
      <c r="M188" s="219"/>
    </row>
  </sheetData>
  <mergeCells count="10">
    <mergeCell ref="D65:E65"/>
    <mergeCell ref="B2:B3"/>
    <mergeCell ref="C2:D2"/>
    <mergeCell ref="E2:E3"/>
    <mergeCell ref="C3:D3"/>
    <mergeCell ref="D13:E13"/>
    <mergeCell ref="D22:E22"/>
    <mergeCell ref="D38:E38"/>
    <mergeCell ref="D54:E54"/>
    <mergeCell ref="D62:E62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32"/>
  <sheetViews>
    <sheetView showGridLines="0" showRowColHeaders="0" zoomScale="120" zoomScaleNormal="120" zoomScaleSheetLayoutView="100" workbookViewId="0">
      <selection activeCell="B1" sqref="B1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16384" width="9.140625" style="5"/>
  </cols>
  <sheetData>
    <row r="1" spans="2:26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110</v>
      </c>
      <c r="N1" s="224"/>
    </row>
    <row r="2" spans="2:26" ht="15.75" customHeight="1" x14ac:dyDescent="0.25">
      <c r="B2" s="844" t="s">
        <v>386</v>
      </c>
      <c r="C2" s="846" t="s">
        <v>573</v>
      </c>
      <c r="D2" s="847"/>
      <c r="E2" s="850" t="s">
        <v>385</v>
      </c>
      <c r="F2" s="846" t="s">
        <v>517</v>
      </c>
      <c r="G2" s="848"/>
      <c r="H2" s="848"/>
      <c r="I2" s="847"/>
      <c r="J2" s="846" t="s">
        <v>519</v>
      </c>
      <c r="K2" s="848"/>
      <c r="L2" s="848"/>
      <c r="M2" s="849"/>
    </row>
    <row r="3" spans="2:26" ht="15.75" customHeight="1" x14ac:dyDescent="0.25">
      <c r="B3" s="845"/>
      <c r="C3" s="846" t="s">
        <v>577</v>
      </c>
      <c r="D3" s="847"/>
      <c r="E3" s="851"/>
      <c r="F3" s="621" t="s">
        <v>393</v>
      </c>
      <c r="G3" s="621" t="s">
        <v>450</v>
      </c>
      <c r="H3" s="621" t="s">
        <v>451</v>
      </c>
      <c r="I3" s="621" t="s">
        <v>575</v>
      </c>
      <c r="J3" s="621" t="s">
        <v>393</v>
      </c>
      <c r="K3" s="621" t="s">
        <v>450</v>
      </c>
      <c r="L3" s="621" t="s">
        <v>451</v>
      </c>
      <c r="M3" s="452" t="s">
        <v>575</v>
      </c>
      <c r="O3" s="219"/>
      <c r="P3" s="219"/>
      <c r="Q3" s="219"/>
      <c r="R3" s="219"/>
      <c r="S3" s="219"/>
      <c r="T3" s="219"/>
      <c r="U3" s="219"/>
      <c r="V3" s="219"/>
    </row>
    <row r="4" spans="2:26" ht="15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  <c r="O4" s="219"/>
      <c r="P4" s="219"/>
      <c r="Q4" s="219"/>
      <c r="R4" s="219"/>
      <c r="S4" s="219"/>
      <c r="T4" s="219"/>
      <c r="U4" s="219"/>
      <c r="V4" s="219"/>
    </row>
    <row r="5" spans="2:26" ht="15.75" customHeight="1" x14ac:dyDescent="0.25">
      <c r="B5" s="276">
        <v>1</v>
      </c>
      <c r="C5" s="290" t="s">
        <v>74</v>
      </c>
      <c r="D5" s="284"/>
      <c r="E5" s="285">
        <v>416</v>
      </c>
      <c r="F5" s="122">
        <f>VLOOKUP(O5,'FS Data'!$A:$B,2,FALSE)</f>
        <v>3</v>
      </c>
      <c r="G5" s="122">
        <f>VLOOKUP(P5,'FS Data'!$A:$B,2,FALSE)</f>
        <v>165737</v>
      </c>
      <c r="H5" s="122">
        <f>VLOOKUP(Q5,'FS Data'!$A:$B,2,FALSE)</f>
        <v>7318</v>
      </c>
      <c r="I5" s="122">
        <f>VLOOKUP(R5,'FS Data'!$A:$B,2,FALSE)</f>
        <v>2439</v>
      </c>
      <c r="J5" s="122">
        <f>VLOOKUP(S5,'FS Data'!$A:$B,2,FALSE)</f>
        <v>3</v>
      </c>
      <c r="K5" s="122">
        <f>VLOOKUP(T5,'FS Data'!$A:$B,2,FALSE)</f>
        <v>165737</v>
      </c>
      <c r="L5" s="122">
        <f>VLOOKUP(U5,'FS Data'!$A:$B,2,FALSE)</f>
        <v>7318</v>
      </c>
      <c r="M5" s="122">
        <f>VLOOKUP(V5,'FS Data'!$A:$B,2,FALSE)</f>
        <v>2439</v>
      </c>
      <c r="O5" s="215">
        <v>600112</v>
      </c>
      <c r="P5" s="215">
        <v>600114</v>
      </c>
      <c r="Q5" s="215">
        <v>600116</v>
      </c>
      <c r="R5" s="215">
        <v>600118</v>
      </c>
      <c r="S5" s="215">
        <v>600122</v>
      </c>
      <c r="T5" s="215">
        <v>600124</v>
      </c>
      <c r="U5" s="215">
        <v>600126</v>
      </c>
      <c r="V5" s="215">
        <v>600128</v>
      </c>
      <c r="W5" s="219"/>
      <c r="X5" s="219"/>
      <c r="Y5" s="219"/>
      <c r="Z5" s="219"/>
    </row>
    <row r="6" spans="2:26" ht="15.75" customHeight="1" x14ac:dyDescent="0.25">
      <c r="B6" s="276">
        <v>2</v>
      </c>
      <c r="C6" s="277" t="s">
        <v>293</v>
      </c>
      <c r="D6" s="296"/>
      <c r="E6" s="285" t="s">
        <v>294</v>
      </c>
      <c r="F6" s="122">
        <f>VLOOKUP(O6,'FS Data'!$A:$B,2,FALSE)</f>
        <v>0</v>
      </c>
      <c r="G6" s="122">
        <f>VLOOKUP(P6,'FS Data'!$A:$B,2,FALSE)</f>
        <v>0</v>
      </c>
      <c r="H6" s="122">
        <f>VLOOKUP(Q6,'FS Data'!$A:$B,2,FALSE)</f>
        <v>0</v>
      </c>
      <c r="I6" s="122">
        <f>VLOOKUP(R6,'FS Data'!$A:$B,2,FALSE)</f>
        <v>0</v>
      </c>
      <c r="J6" s="122">
        <f>VLOOKUP(S6,'FS Data'!$A:$B,2,FALSE)</f>
        <v>0</v>
      </c>
      <c r="K6" s="122">
        <f>VLOOKUP(T6,'FS Data'!$A:$B,2,FALSE)</f>
        <v>0</v>
      </c>
      <c r="L6" s="122">
        <f>VLOOKUP(U6,'FS Data'!$A:$B,2,FALSE)</f>
        <v>0</v>
      </c>
      <c r="M6" s="122">
        <f>VLOOKUP(V6,'FS Data'!$A:$B,2,FALSE)</f>
        <v>0</v>
      </c>
      <c r="O6" s="215">
        <v>600212</v>
      </c>
      <c r="P6" s="215">
        <v>600214</v>
      </c>
      <c r="Q6" s="215">
        <v>600216</v>
      </c>
      <c r="R6" s="215">
        <v>600218</v>
      </c>
      <c r="S6" s="215">
        <v>600222</v>
      </c>
      <c r="T6" s="215">
        <v>600224</v>
      </c>
      <c r="U6" s="215">
        <v>600226</v>
      </c>
      <c r="V6" s="215">
        <v>600228</v>
      </c>
      <c r="W6" s="219"/>
      <c r="X6" s="219"/>
      <c r="Y6" s="219"/>
      <c r="Z6" s="219"/>
    </row>
    <row r="7" spans="2:26" ht="15.75" customHeight="1" x14ac:dyDescent="0.25">
      <c r="B7" s="276">
        <v>3</v>
      </c>
      <c r="C7" s="297" t="s">
        <v>578</v>
      </c>
      <c r="D7" s="453"/>
      <c r="E7" s="454"/>
      <c r="F7" s="122">
        <f>VLOOKUP(O7,'FS Data'!$A:$B,2,FALSE)</f>
        <v>3</v>
      </c>
      <c r="G7" s="122">
        <f>VLOOKUP(P7,'FS Data'!$A:$B,2,FALSE)</f>
        <v>165737</v>
      </c>
      <c r="H7" s="122">
        <f>VLOOKUP(Q7,'FS Data'!$A:$B,2,FALSE)</f>
        <v>7318</v>
      </c>
      <c r="I7" s="122">
        <f>VLOOKUP(R7,'FS Data'!$A:$B,2,FALSE)</f>
        <v>2439</v>
      </c>
      <c r="J7" s="122">
        <f>VLOOKUP(S7,'FS Data'!$A:$B,2,FALSE)</f>
        <v>3</v>
      </c>
      <c r="K7" s="122">
        <f>VLOOKUP(T7,'FS Data'!$A:$B,2,FALSE)</f>
        <v>165737</v>
      </c>
      <c r="L7" s="122">
        <f>VLOOKUP(U7,'FS Data'!$A:$B,2,FALSE)</f>
        <v>7318</v>
      </c>
      <c r="M7" s="122">
        <f>VLOOKUP(V7,'FS Data'!$A:$B,2,FALSE)</f>
        <v>2439</v>
      </c>
      <c r="O7" s="215">
        <v>600312</v>
      </c>
      <c r="P7" s="215">
        <v>600314</v>
      </c>
      <c r="Q7" s="215">
        <v>600316</v>
      </c>
      <c r="R7" s="215">
        <v>600318</v>
      </c>
      <c r="S7" s="215">
        <v>600322</v>
      </c>
      <c r="T7" s="215">
        <v>600324</v>
      </c>
      <c r="U7" s="215">
        <v>600326</v>
      </c>
      <c r="V7" s="215">
        <v>600328</v>
      </c>
      <c r="W7" s="219"/>
      <c r="X7" s="219"/>
      <c r="Y7" s="219"/>
      <c r="Z7" s="219"/>
    </row>
    <row r="8" spans="2:26" ht="15.75" customHeight="1" x14ac:dyDescent="0.25">
      <c r="B8" s="276">
        <v>4</v>
      </c>
      <c r="C8" s="600" t="s">
        <v>771</v>
      </c>
      <c r="D8" s="284"/>
      <c r="E8" s="285">
        <v>409</v>
      </c>
      <c r="F8" s="122">
        <f>VLOOKUP(O8,'FS Data'!$A:$B,2,FALSE)</f>
        <v>0</v>
      </c>
      <c r="G8" s="122">
        <f>VLOOKUP(P8,'FS Data'!$A:$B,2,FALSE)</f>
        <v>0</v>
      </c>
      <c r="H8" s="122">
        <f>VLOOKUP(Q8,'FS Data'!$A:$B,2,FALSE)</f>
        <v>0</v>
      </c>
      <c r="I8" s="122">
        <f>VLOOKUP(R8,'FS Data'!$A:$B,2,FALSE)</f>
        <v>0</v>
      </c>
      <c r="J8" s="122">
        <f>VLOOKUP(S8,'FS Data'!$A:$B,2,FALSE)</f>
        <v>0</v>
      </c>
      <c r="K8" s="122">
        <f>VLOOKUP(T8,'FS Data'!$A:$B,2,FALSE)</f>
        <v>0</v>
      </c>
      <c r="L8" s="122">
        <f>VLOOKUP(U8,'FS Data'!$A:$B,2,FALSE)</f>
        <v>0</v>
      </c>
      <c r="M8" s="122">
        <f>VLOOKUP(V8,'FS Data'!$A:$B,2,FALSE)</f>
        <v>0</v>
      </c>
      <c r="O8" s="215">
        <v>600412</v>
      </c>
      <c r="P8" s="215">
        <v>600414</v>
      </c>
      <c r="Q8" s="215">
        <v>600416</v>
      </c>
      <c r="R8" s="215">
        <v>600418</v>
      </c>
      <c r="S8" s="215">
        <v>600422</v>
      </c>
      <c r="T8" s="215">
        <v>600424</v>
      </c>
      <c r="U8" s="215">
        <v>600426</v>
      </c>
      <c r="V8" s="215">
        <v>600428</v>
      </c>
      <c r="W8" s="219"/>
      <c r="X8" s="219"/>
      <c r="Y8" s="219"/>
      <c r="Z8" s="219"/>
    </row>
    <row r="9" spans="2:26" ht="15.75" customHeight="1" x14ac:dyDescent="0.25">
      <c r="B9" s="276">
        <v>5</v>
      </c>
      <c r="C9" s="298" t="s">
        <v>772</v>
      </c>
      <c r="D9" s="284"/>
      <c r="E9" s="285" t="s">
        <v>769</v>
      </c>
      <c r="F9" s="122">
        <f>VLOOKUP(O9,'FS Data'!$A:$B,2,FALSE)</f>
        <v>0</v>
      </c>
      <c r="G9" s="122">
        <f>VLOOKUP(P9,'FS Data'!$A:$B,2,FALSE)</f>
        <v>0</v>
      </c>
      <c r="H9" s="122">
        <f>VLOOKUP(Q9,'FS Data'!$A:$B,2,FALSE)</f>
        <v>0</v>
      </c>
      <c r="I9" s="122">
        <f>VLOOKUP(R9,'FS Data'!$A:$B,2,FALSE)</f>
        <v>0</v>
      </c>
      <c r="J9" s="122">
        <f>VLOOKUP(S9,'FS Data'!$A:$B,2,FALSE)</f>
        <v>0</v>
      </c>
      <c r="K9" s="122">
        <f>VLOOKUP(T9,'FS Data'!$A:$B,2,FALSE)</f>
        <v>0</v>
      </c>
      <c r="L9" s="122">
        <f>VLOOKUP(U9,'FS Data'!$A:$B,2,FALSE)</f>
        <v>0</v>
      </c>
      <c r="M9" s="122">
        <f>VLOOKUP(V9,'FS Data'!$A:$B,2,FALSE)</f>
        <v>0</v>
      </c>
      <c r="O9" s="215">
        <v>600512</v>
      </c>
      <c r="P9" s="215">
        <v>600514</v>
      </c>
      <c r="Q9" s="215">
        <v>600516</v>
      </c>
      <c r="R9" s="215">
        <v>600518</v>
      </c>
      <c r="S9" s="215">
        <v>600522</v>
      </c>
      <c r="T9" s="215">
        <v>600524</v>
      </c>
      <c r="U9" s="215">
        <v>600526</v>
      </c>
      <c r="V9" s="215">
        <v>600528</v>
      </c>
      <c r="W9" s="219"/>
      <c r="X9" s="219"/>
      <c r="Y9" s="219"/>
      <c r="Z9" s="219"/>
    </row>
    <row r="10" spans="2:26" ht="15.75" customHeight="1" x14ac:dyDescent="0.25">
      <c r="B10" s="276">
        <v>6</v>
      </c>
      <c r="C10" s="297" t="s">
        <v>773</v>
      </c>
      <c r="D10" s="453"/>
      <c r="E10" s="454"/>
      <c r="F10" s="122">
        <f>VLOOKUP(O10,'FS Data'!$A:$B,2,FALSE)</f>
        <v>0</v>
      </c>
      <c r="G10" s="122">
        <f>VLOOKUP(P10,'FS Data'!$A:$B,2,FALSE)</f>
        <v>0</v>
      </c>
      <c r="H10" s="122">
        <f>VLOOKUP(Q10,'FS Data'!$A:$B,2,FALSE)</f>
        <v>0</v>
      </c>
      <c r="I10" s="122">
        <f>VLOOKUP(R10,'FS Data'!$A:$B,2,FALSE)</f>
        <v>0</v>
      </c>
      <c r="J10" s="122">
        <f>VLOOKUP(S10,'FS Data'!$A:$B,2,FALSE)</f>
        <v>0</v>
      </c>
      <c r="K10" s="122">
        <f>VLOOKUP(T10,'FS Data'!$A:$B,2,FALSE)</f>
        <v>0</v>
      </c>
      <c r="L10" s="122">
        <f>VLOOKUP(U10,'FS Data'!$A:$B,2,FALSE)</f>
        <v>0</v>
      </c>
      <c r="M10" s="122">
        <f>VLOOKUP(V10,'FS Data'!$A:$B,2,FALSE)</f>
        <v>0</v>
      </c>
      <c r="O10" s="215">
        <v>600612</v>
      </c>
      <c r="P10" s="215">
        <v>600614</v>
      </c>
      <c r="Q10" s="215">
        <v>600616</v>
      </c>
      <c r="R10" s="215">
        <v>600618</v>
      </c>
      <c r="S10" s="215">
        <v>600622</v>
      </c>
      <c r="T10" s="215">
        <v>600624</v>
      </c>
      <c r="U10" s="215">
        <v>600626</v>
      </c>
      <c r="V10" s="215">
        <v>600628</v>
      </c>
      <c r="W10" s="219"/>
      <c r="X10" s="219"/>
      <c r="Y10" s="219"/>
      <c r="Z10" s="219"/>
    </row>
    <row r="11" spans="2:26" ht="15.75" customHeight="1" x14ac:dyDescent="0.25">
      <c r="B11" s="276">
        <v>7</v>
      </c>
      <c r="C11" s="290" t="s">
        <v>224</v>
      </c>
      <c r="D11" s="284"/>
      <c r="E11" s="285" t="s">
        <v>60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122">
        <f>VLOOKUP(V11,'FS Data'!$A:$B,2,FALSE)</f>
        <v>0</v>
      </c>
      <c r="O11" s="215">
        <v>600712</v>
      </c>
      <c r="P11" s="215">
        <v>600714</v>
      </c>
      <c r="Q11" s="215">
        <v>600716</v>
      </c>
      <c r="R11" s="215">
        <v>600718</v>
      </c>
      <c r="S11" s="215">
        <v>600722</v>
      </c>
      <c r="T11" s="215">
        <v>600724</v>
      </c>
      <c r="U11" s="215">
        <v>600726</v>
      </c>
      <c r="V11" s="215">
        <v>600728</v>
      </c>
      <c r="W11" s="219"/>
      <c r="X11" s="219"/>
      <c r="Y11" s="219"/>
      <c r="Z11" s="219"/>
    </row>
    <row r="12" spans="2:26" ht="15.75" customHeight="1" x14ac:dyDescent="0.25">
      <c r="B12" s="276">
        <v>8</v>
      </c>
      <c r="C12" s="277" t="s">
        <v>797</v>
      </c>
      <c r="D12" s="284"/>
      <c r="E12" s="285" t="s">
        <v>798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122">
        <f>VLOOKUP(V12,'FS Data'!$A:$B,2,FALSE)</f>
        <v>0</v>
      </c>
      <c r="O12" s="215">
        <v>600812</v>
      </c>
      <c r="P12" s="215">
        <v>600814</v>
      </c>
      <c r="Q12" s="215">
        <v>600816</v>
      </c>
      <c r="R12" s="215">
        <v>600818</v>
      </c>
      <c r="S12" s="215">
        <v>600822</v>
      </c>
      <c r="T12" s="215">
        <v>600824</v>
      </c>
      <c r="U12" s="215">
        <v>600826</v>
      </c>
      <c r="V12" s="215">
        <v>600828</v>
      </c>
      <c r="W12" s="219"/>
      <c r="X12" s="219"/>
      <c r="Y12" s="219"/>
      <c r="Z12" s="219"/>
    </row>
    <row r="13" spans="2:26" ht="15.75" customHeight="1" x14ac:dyDescent="0.25">
      <c r="B13" s="276">
        <v>9</v>
      </c>
      <c r="C13" s="298" t="s">
        <v>241</v>
      </c>
      <c r="D13" s="284"/>
      <c r="E13" s="285" t="s">
        <v>207</v>
      </c>
      <c r="F13" s="122">
        <f>VLOOKUP(O13,'FS Data'!$A:$B,2,FALSE)</f>
        <v>0</v>
      </c>
      <c r="G13" s="122">
        <f>VLOOKUP(P13,'FS Data'!$A:$B,2,FALSE)</f>
        <v>0</v>
      </c>
      <c r="H13" s="122">
        <f>VLOOKUP(Q13,'FS Data'!$A:$B,2,FALSE)</f>
        <v>0</v>
      </c>
      <c r="I13" s="122">
        <f>VLOOKUP(R13,'FS Data'!$A:$B,2,FALSE)</f>
        <v>0</v>
      </c>
      <c r="J13" s="122">
        <f>VLOOKUP(S13,'FS Data'!$A:$B,2,FALSE)</f>
        <v>0</v>
      </c>
      <c r="K13" s="122">
        <f>VLOOKUP(T13,'FS Data'!$A:$B,2,FALSE)</f>
        <v>0</v>
      </c>
      <c r="L13" s="122">
        <f>VLOOKUP(U13,'FS Data'!$A:$B,2,FALSE)</f>
        <v>0</v>
      </c>
      <c r="M13" s="122">
        <f>VLOOKUP(V13,'FS Data'!$A:$B,2,FALSE)</f>
        <v>0</v>
      </c>
      <c r="O13" s="215">
        <v>600912</v>
      </c>
      <c r="P13" s="215">
        <v>600914</v>
      </c>
      <c r="Q13" s="215">
        <v>600916</v>
      </c>
      <c r="R13" s="215">
        <v>600918</v>
      </c>
      <c r="S13" s="215">
        <v>600922</v>
      </c>
      <c r="T13" s="215">
        <v>600924</v>
      </c>
      <c r="U13" s="215">
        <v>600926</v>
      </c>
      <c r="V13" s="215">
        <v>600928</v>
      </c>
      <c r="W13" s="219"/>
      <c r="X13" s="219"/>
      <c r="Y13" s="219"/>
      <c r="Z13" s="219"/>
    </row>
    <row r="14" spans="2:26" ht="15.75" customHeight="1" x14ac:dyDescent="0.25">
      <c r="B14" s="276">
        <v>10</v>
      </c>
      <c r="C14" s="298" t="s">
        <v>237</v>
      </c>
      <c r="D14" s="284"/>
      <c r="E14" s="285" t="s">
        <v>238</v>
      </c>
      <c r="F14" s="122">
        <f>VLOOKUP(O14,'FS Data'!$A:$B,2,FALSE)</f>
        <v>0</v>
      </c>
      <c r="G14" s="122">
        <f>VLOOKUP(P14,'FS Data'!$A:$B,2,FALSE)</f>
        <v>0</v>
      </c>
      <c r="H14" s="122">
        <f>VLOOKUP(Q14,'FS Data'!$A:$B,2,FALSE)</f>
        <v>0</v>
      </c>
      <c r="I14" s="122">
        <f>VLOOKUP(R14,'FS Data'!$A:$B,2,FALSE)</f>
        <v>0</v>
      </c>
      <c r="J14" s="122">
        <f>VLOOKUP(S14,'FS Data'!$A:$B,2,FALSE)</f>
        <v>0</v>
      </c>
      <c r="K14" s="122">
        <f>VLOOKUP(T14,'FS Data'!$A:$B,2,FALSE)</f>
        <v>0</v>
      </c>
      <c r="L14" s="122">
        <f>VLOOKUP(U14,'FS Data'!$A:$B,2,FALSE)</f>
        <v>0</v>
      </c>
      <c r="M14" s="122">
        <f>VLOOKUP(V14,'FS Data'!$A:$B,2,FALSE)</f>
        <v>0</v>
      </c>
      <c r="O14" s="215">
        <v>601012</v>
      </c>
      <c r="P14" s="215">
        <v>601014</v>
      </c>
      <c r="Q14" s="215">
        <v>601016</v>
      </c>
      <c r="R14" s="215">
        <v>601018</v>
      </c>
      <c r="S14" s="215">
        <v>601022</v>
      </c>
      <c r="T14" s="215">
        <v>601024</v>
      </c>
      <c r="U14" s="215">
        <v>601026</v>
      </c>
      <c r="V14" s="215">
        <v>601028</v>
      </c>
      <c r="W14" s="219"/>
      <c r="X14" s="219"/>
      <c r="Y14" s="219"/>
      <c r="Z14" s="219"/>
    </row>
    <row r="15" spans="2:26" ht="15.75" customHeight="1" x14ac:dyDescent="0.25">
      <c r="B15" s="276">
        <v>11</v>
      </c>
      <c r="C15" s="308" t="s">
        <v>579</v>
      </c>
      <c r="D15" s="284"/>
      <c r="E15" s="285" t="s">
        <v>225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122">
        <f>VLOOKUP(V15,'FS Data'!$A:$B,2,FALSE)</f>
        <v>0</v>
      </c>
      <c r="O15" s="215">
        <v>601112</v>
      </c>
      <c r="P15" s="215">
        <v>601114</v>
      </c>
      <c r="Q15" s="215">
        <v>601116</v>
      </c>
      <c r="R15" s="215">
        <v>601118</v>
      </c>
      <c r="S15" s="215">
        <v>601122</v>
      </c>
      <c r="T15" s="215">
        <v>601124</v>
      </c>
      <c r="U15" s="215">
        <v>601126</v>
      </c>
      <c r="V15" s="215">
        <v>601128</v>
      </c>
      <c r="W15" s="219"/>
      <c r="X15" s="219"/>
      <c r="Y15" s="219"/>
      <c r="Z15" s="219"/>
    </row>
    <row r="16" spans="2:26" ht="15.75" customHeight="1" x14ac:dyDescent="0.25">
      <c r="B16" s="276">
        <v>12</v>
      </c>
      <c r="C16" s="600" t="s">
        <v>799</v>
      </c>
      <c r="D16" s="296"/>
      <c r="E16" s="285" t="s">
        <v>800</v>
      </c>
      <c r="F16" s="122">
        <f>VLOOKUP(O16,'FS Data'!$A:$B,2,FALSE)</f>
        <v>0</v>
      </c>
      <c r="G16" s="122">
        <f>VLOOKUP(P16,'FS Data'!$A:$B,2,FALSE)</f>
        <v>0</v>
      </c>
      <c r="H16" s="122">
        <f>VLOOKUP(Q16,'FS Data'!$A:$B,2,FALSE)</f>
        <v>0</v>
      </c>
      <c r="I16" s="122">
        <f>VLOOKUP(R16,'FS Data'!$A:$B,2,FALSE)</f>
        <v>0</v>
      </c>
      <c r="J16" s="122">
        <f>VLOOKUP(S16,'FS Data'!$A:$B,2,FALSE)</f>
        <v>0</v>
      </c>
      <c r="K16" s="122">
        <f>VLOOKUP(T16,'FS Data'!$A:$B,2,FALSE)</f>
        <v>0</v>
      </c>
      <c r="L16" s="122">
        <f>VLOOKUP(U16,'FS Data'!$A:$B,2,FALSE)</f>
        <v>0</v>
      </c>
      <c r="M16" s="122">
        <f>VLOOKUP(V16,'FS Data'!$A:$B,2,FALSE)</f>
        <v>0</v>
      </c>
      <c r="O16" s="215">
        <v>601212</v>
      </c>
      <c r="P16" s="215">
        <v>601214</v>
      </c>
      <c r="Q16" s="215">
        <v>601216</v>
      </c>
      <c r="R16" s="215">
        <v>601218</v>
      </c>
      <c r="S16" s="215">
        <v>601222</v>
      </c>
      <c r="T16" s="215">
        <v>601224</v>
      </c>
      <c r="U16" s="215">
        <v>601226</v>
      </c>
      <c r="V16" s="215">
        <v>601228</v>
      </c>
      <c r="W16" s="219"/>
      <c r="X16" s="219"/>
      <c r="Y16" s="219"/>
      <c r="Z16" s="219"/>
    </row>
    <row r="17" spans="2:26" ht="15.75" customHeight="1" x14ac:dyDescent="0.25">
      <c r="B17" s="276">
        <v>13</v>
      </c>
      <c r="C17" s="309" t="s">
        <v>807</v>
      </c>
      <c r="D17" s="453"/>
      <c r="E17" s="454"/>
      <c r="F17" s="122">
        <f>VLOOKUP(O17,'FS Data'!$A:$B,2,FALSE)</f>
        <v>0</v>
      </c>
      <c r="G17" s="122">
        <f>VLOOKUP(P17,'FS Data'!$A:$B,2,FALSE)</f>
        <v>0</v>
      </c>
      <c r="H17" s="122">
        <f>VLOOKUP(Q17,'FS Data'!$A:$B,2,FALSE)</f>
        <v>0</v>
      </c>
      <c r="I17" s="122">
        <f>VLOOKUP(R17,'FS Data'!$A:$B,2,FALSE)</f>
        <v>0</v>
      </c>
      <c r="J17" s="122">
        <f>VLOOKUP(S17,'FS Data'!$A:$B,2,FALSE)</f>
        <v>0</v>
      </c>
      <c r="K17" s="122">
        <f>VLOOKUP(T17,'FS Data'!$A:$B,2,FALSE)</f>
        <v>0</v>
      </c>
      <c r="L17" s="122">
        <f>VLOOKUP(U17,'FS Data'!$A:$B,2,FALSE)</f>
        <v>0</v>
      </c>
      <c r="M17" s="122">
        <f>VLOOKUP(V17,'FS Data'!$A:$B,2,FALSE)</f>
        <v>0</v>
      </c>
      <c r="O17" s="215">
        <v>601312</v>
      </c>
      <c r="P17" s="215">
        <v>601314</v>
      </c>
      <c r="Q17" s="215">
        <v>601316</v>
      </c>
      <c r="R17" s="215">
        <v>601318</v>
      </c>
      <c r="S17" s="215">
        <v>601322</v>
      </c>
      <c r="T17" s="215">
        <v>601324</v>
      </c>
      <c r="U17" s="215">
        <v>601326</v>
      </c>
      <c r="V17" s="215">
        <v>601328</v>
      </c>
      <c r="W17" s="219"/>
      <c r="X17" s="219"/>
      <c r="Y17" s="219"/>
      <c r="Z17" s="219"/>
    </row>
    <row r="18" spans="2:26" ht="15.75" customHeight="1" x14ac:dyDescent="0.25">
      <c r="B18" s="276">
        <v>14</v>
      </c>
      <c r="C18" s="310" t="s">
        <v>226</v>
      </c>
      <c r="D18" s="311"/>
      <c r="E18" s="312" t="s">
        <v>168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122">
        <f>VLOOKUP(V18,'FS Data'!$A:$B,2,FALSE)</f>
        <v>0</v>
      </c>
      <c r="O18" s="215">
        <v>601412</v>
      </c>
      <c r="P18" s="215">
        <v>601414</v>
      </c>
      <c r="Q18" s="215">
        <v>601416</v>
      </c>
      <c r="R18" s="215">
        <v>601418</v>
      </c>
      <c r="S18" s="215">
        <v>601422</v>
      </c>
      <c r="T18" s="215">
        <v>601424</v>
      </c>
      <c r="U18" s="215">
        <v>601426</v>
      </c>
      <c r="V18" s="215">
        <v>601428</v>
      </c>
      <c r="W18" s="219"/>
      <c r="X18" s="219"/>
      <c r="Y18" s="219"/>
      <c r="Z18" s="219"/>
    </row>
    <row r="19" spans="2:26" ht="15.75" customHeight="1" x14ac:dyDescent="0.25">
      <c r="B19" s="276">
        <v>15</v>
      </c>
      <c r="C19" s="310" t="s">
        <v>242</v>
      </c>
      <c r="D19" s="311"/>
      <c r="E19" s="312" t="s">
        <v>188</v>
      </c>
      <c r="F19" s="122">
        <f>VLOOKUP(O19,'FS Data'!$A:$B,2,FALSE)</f>
        <v>0</v>
      </c>
      <c r="G19" s="122">
        <f>VLOOKUP(P19,'FS Data'!$A:$B,2,FALSE)</f>
        <v>0</v>
      </c>
      <c r="H19" s="122">
        <f>VLOOKUP(Q19,'FS Data'!$A:$B,2,FALSE)</f>
        <v>0</v>
      </c>
      <c r="I19" s="122">
        <f>VLOOKUP(R19,'FS Data'!$A:$B,2,FALSE)</f>
        <v>0</v>
      </c>
      <c r="J19" s="122">
        <f>VLOOKUP(S19,'FS Data'!$A:$B,2,FALSE)</f>
        <v>0</v>
      </c>
      <c r="K19" s="122">
        <f>VLOOKUP(T19,'FS Data'!$A:$B,2,FALSE)</f>
        <v>0</v>
      </c>
      <c r="L19" s="122">
        <f>VLOOKUP(U19,'FS Data'!$A:$B,2,FALSE)</f>
        <v>0</v>
      </c>
      <c r="M19" s="122">
        <f>VLOOKUP(V19,'FS Data'!$A:$B,2,FALSE)</f>
        <v>0</v>
      </c>
      <c r="O19" s="215">
        <v>601512</v>
      </c>
      <c r="P19" s="215">
        <v>601514</v>
      </c>
      <c r="Q19" s="215">
        <v>601516</v>
      </c>
      <c r="R19" s="215">
        <v>601518</v>
      </c>
      <c r="S19" s="215">
        <v>601522</v>
      </c>
      <c r="T19" s="215">
        <v>601524</v>
      </c>
      <c r="U19" s="215">
        <v>601526</v>
      </c>
      <c r="V19" s="215">
        <v>601528</v>
      </c>
      <c r="W19" s="219"/>
      <c r="X19" s="219"/>
      <c r="Y19" s="219"/>
      <c r="Z19" s="219"/>
    </row>
    <row r="20" spans="2:26" ht="15.75" customHeight="1" x14ac:dyDescent="0.25">
      <c r="B20" s="276">
        <v>16</v>
      </c>
      <c r="C20" s="310" t="s">
        <v>580</v>
      </c>
      <c r="D20" s="311"/>
      <c r="E20" s="312" t="s">
        <v>239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122">
        <f>VLOOKUP(V20,'FS Data'!$A:$B,2,FALSE)</f>
        <v>0</v>
      </c>
      <c r="O20" s="215">
        <v>601612</v>
      </c>
      <c r="P20" s="215">
        <v>601614</v>
      </c>
      <c r="Q20" s="215">
        <v>601616</v>
      </c>
      <c r="R20" s="215">
        <v>601618</v>
      </c>
      <c r="S20" s="215">
        <v>601622</v>
      </c>
      <c r="T20" s="215">
        <v>601624</v>
      </c>
      <c r="U20" s="215">
        <v>601626</v>
      </c>
      <c r="V20" s="215">
        <v>601628</v>
      </c>
      <c r="W20" s="219"/>
      <c r="X20" s="219"/>
      <c r="Y20" s="219"/>
      <c r="Z20" s="219"/>
    </row>
    <row r="21" spans="2:26" ht="15.75" customHeight="1" x14ac:dyDescent="0.25">
      <c r="B21" s="276">
        <v>17</v>
      </c>
      <c r="C21" s="313" t="s">
        <v>808</v>
      </c>
      <c r="D21" s="453"/>
      <c r="E21" s="454"/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122">
        <f>VLOOKUP(V21,'FS Data'!$A:$B,2,FALSE)</f>
        <v>0</v>
      </c>
      <c r="O21" s="215">
        <v>601712</v>
      </c>
      <c r="P21" s="215">
        <v>601714</v>
      </c>
      <c r="Q21" s="215">
        <v>601716</v>
      </c>
      <c r="R21" s="215">
        <v>601718</v>
      </c>
      <c r="S21" s="215">
        <v>601722</v>
      </c>
      <c r="T21" s="215">
        <v>601724</v>
      </c>
      <c r="U21" s="215">
        <v>601726</v>
      </c>
      <c r="V21" s="215">
        <v>601728</v>
      </c>
      <c r="W21" s="219"/>
      <c r="X21" s="219"/>
      <c r="Y21" s="219"/>
      <c r="Z21" s="219"/>
    </row>
    <row r="22" spans="2:26" ht="15.75" customHeight="1" x14ac:dyDescent="0.25">
      <c r="B22" s="276">
        <v>18</v>
      </c>
      <c r="C22" s="287" t="s">
        <v>276</v>
      </c>
      <c r="D22" s="284"/>
      <c r="E22" s="285" t="s">
        <v>61</v>
      </c>
      <c r="F22" s="122">
        <f>VLOOKUP(O22,'FS Data'!$A:$B,2,FALSE)</f>
        <v>2</v>
      </c>
      <c r="G22" s="122">
        <f>VLOOKUP(P22,'FS Data'!$A:$B,2,FALSE)</f>
        <v>215783</v>
      </c>
      <c r="H22" s="122">
        <f>VLOOKUP(Q22,'FS Data'!$A:$B,2,FALSE)</f>
        <v>12107</v>
      </c>
      <c r="I22" s="122">
        <f>VLOOKUP(R22,'FS Data'!$A:$B,2,FALSE)</f>
        <v>6054</v>
      </c>
      <c r="J22" s="122">
        <f>VLOOKUP(S22,'FS Data'!$A:$B,2,FALSE)</f>
        <v>2</v>
      </c>
      <c r="K22" s="122">
        <f>VLOOKUP(T22,'FS Data'!$A:$B,2,FALSE)</f>
        <v>215783</v>
      </c>
      <c r="L22" s="122">
        <f>VLOOKUP(U22,'FS Data'!$A:$B,2,FALSE)</f>
        <v>12107</v>
      </c>
      <c r="M22" s="122">
        <f>VLOOKUP(V22,'FS Data'!$A:$B,2,FALSE)</f>
        <v>6054</v>
      </c>
      <c r="O22" s="215">
        <v>601812</v>
      </c>
      <c r="P22" s="215">
        <v>601814</v>
      </c>
      <c r="Q22" s="215">
        <v>601816</v>
      </c>
      <c r="R22" s="215">
        <v>601818</v>
      </c>
      <c r="S22" s="215">
        <v>601822</v>
      </c>
      <c r="T22" s="215">
        <v>601824</v>
      </c>
      <c r="U22" s="215">
        <v>601826</v>
      </c>
      <c r="V22" s="215">
        <v>601828</v>
      </c>
      <c r="W22" s="219"/>
      <c r="X22" s="219"/>
      <c r="Y22" s="219"/>
      <c r="Z22" s="219"/>
    </row>
    <row r="23" spans="2:26" ht="15.75" customHeight="1" x14ac:dyDescent="0.25">
      <c r="B23" s="276">
        <v>19</v>
      </c>
      <c r="C23" s="287" t="s">
        <v>307</v>
      </c>
      <c r="D23" s="314"/>
      <c r="E23" s="289" t="s">
        <v>187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0</v>
      </c>
      <c r="K23" s="122">
        <f>VLOOKUP(T23,'FS Data'!$A:$B,2,FALSE)</f>
        <v>0</v>
      </c>
      <c r="L23" s="122">
        <f>VLOOKUP(U23,'FS Data'!$A:$B,2,FALSE)</f>
        <v>0</v>
      </c>
      <c r="M23" s="122">
        <f>VLOOKUP(V23,'FS Data'!$A:$B,2,FALSE)</f>
        <v>0</v>
      </c>
      <c r="O23" s="215">
        <v>601912</v>
      </c>
      <c r="P23" s="215">
        <v>601914</v>
      </c>
      <c r="Q23" s="215">
        <v>601916</v>
      </c>
      <c r="R23" s="215">
        <v>601918</v>
      </c>
      <c r="S23" s="215">
        <v>601922</v>
      </c>
      <c r="T23" s="215">
        <v>601924</v>
      </c>
      <c r="U23" s="215">
        <v>601926</v>
      </c>
      <c r="V23" s="215">
        <v>601928</v>
      </c>
      <c r="W23" s="219"/>
      <c r="X23" s="219"/>
      <c r="Y23" s="219"/>
      <c r="Z23" s="219"/>
    </row>
    <row r="24" spans="2:26" ht="15.75" customHeight="1" x14ac:dyDescent="0.25">
      <c r="B24" s="276">
        <v>20</v>
      </c>
      <c r="C24" s="283" t="s">
        <v>277</v>
      </c>
      <c r="D24" s="315"/>
      <c r="E24" s="316" t="s">
        <v>153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122">
        <f>VLOOKUP(V24,'FS Data'!$A:$B,2,FALSE)</f>
        <v>0</v>
      </c>
      <c r="O24" s="215">
        <v>602012</v>
      </c>
      <c r="P24" s="215">
        <v>602014</v>
      </c>
      <c r="Q24" s="215">
        <v>602016</v>
      </c>
      <c r="R24" s="215">
        <v>602018</v>
      </c>
      <c r="S24" s="215">
        <v>602022</v>
      </c>
      <c r="T24" s="215">
        <v>602024</v>
      </c>
      <c r="U24" s="215">
        <v>602026</v>
      </c>
      <c r="V24" s="215">
        <v>602028</v>
      </c>
      <c r="W24" s="219"/>
      <c r="X24" s="219"/>
      <c r="Y24" s="219"/>
      <c r="Z24" s="219"/>
    </row>
    <row r="25" spans="2:26" ht="15.75" customHeight="1" x14ac:dyDescent="0.25">
      <c r="B25" s="276">
        <v>21</v>
      </c>
      <c r="C25" s="283" t="s">
        <v>296</v>
      </c>
      <c r="D25" s="315"/>
      <c r="E25" s="316" t="s">
        <v>295</v>
      </c>
      <c r="F25" s="122">
        <f>VLOOKUP(O25,'FS Data'!$A:$B,2,FALSE)</f>
        <v>0</v>
      </c>
      <c r="G25" s="122">
        <f>VLOOKUP(P25,'FS Data'!$A:$B,2,FALSE)</f>
        <v>0</v>
      </c>
      <c r="H25" s="122">
        <f>VLOOKUP(Q25,'FS Data'!$A:$B,2,FALSE)</f>
        <v>0</v>
      </c>
      <c r="I25" s="122">
        <f>VLOOKUP(R25,'FS Data'!$A:$B,2,FALSE)</f>
        <v>0</v>
      </c>
      <c r="J25" s="122">
        <f>VLOOKUP(S25,'FS Data'!$A:$B,2,FALSE)</f>
        <v>0</v>
      </c>
      <c r="K25" s="122">
        <f>VLOOKUP(T25,'FS Data'!$A:$B,2,FALSE)</f>
        <v>0</v>
      </c>
      <c r="L25" s="122">
        <f>VLOOKUP(U25,'FS Data'!$A:$B,2,FALSE)</f>
        <v>0</v>
      </c>
      <c r="M25" s="122">
        <f>VLOOKUP(V25,'FS Data'!$A:$B,2,FALSE)</f>
        <v>0</v>
      </c>
      <c r="O25" s="215">
        <v>602112</v>
      </c>
      <c r="P25" s="215">
        <v>602114</v>
      </c>
      <c r="Q25" s="215">
        <v>602116</v>
      </c>
      <c r="R25" s="215">
        <v>602118</v>
      </c>
      <c r="S25" s="215">
        <v>602122</v>
      </c>
      <c r="T25" s="215">
        <v>602124</v>
      </c>
      <c r="U25" s="215">
        <v>602126</v>
      </c>
      <c r="V25" s="215">
        <v>602128</v>
      </c>
      <c r="W25" s="219"/>
      <c r="X25" s="219"/>
      <c r="Y25" s="219"/>
      <c r="Z25" s="219"/>
    </row>
    <row r="26" spans="2:26" ht="15.75" customHeight="1" x14ac:dyDescent="0.25">
      <c r="B26" s="276">
        <v>22</v>
      </c>
      <c r="C26" s="283" t="s">
        <v>297</v>
      </c>
      <c r="D26" s="315"/>
      <c r="E26" s="316" t="s">
        <v>305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122">
        <f>VLOOKUP(V26,'FS Data'!$A:$B,2,FALSE)</f>
        <v>0</v>
      </c>
      <c r="O26" s="215">
        <v>602212</v>
      </c>
      <c r="P26" s="215">
        <v>602214</v>
      </c>
      <c r="Q26" s="215">
        <v>602216</v>
      </c>
      <c r="R26" s="215">
        <v>602218</v>
      </c>
      <c r="S26" s="215">
        <v>602222</v>
      </c>
      <c r="T26" s="215">
        <v>602224</v>
      </c>
      <c r="U26" s="215">
        <v>602226</v>
      </c>
      <c r="V26" s="215">
        <v>602228</v>
      </c>
      <c r="W26" s="219"/>
      <c r="X26" s="219"/>
      <c r="Y26" s="219"/>
      <c r="Z26" s="219"/>
    </row>
    <row r="27" spans="2:26" ht="15.75" customHeight="1" x14ac:dyDescent="0.25">
      <c r="B27" s="276">
        <v>23</v>
      </c>
      <c r="C27" s="283" t="s">
        <v>581</v>
      </c>
      <c r="D27" s="315"/>
      <c r="E27" s="316">
        <v>447</v>
      </c>
      <c r="F27" s="122">
        <f>VLOOKUP(O27,'FS Data'!$A:$B,2,FALSE)</f>
        <v>0</v>
      </c>
      <c r="G27" s="122">
        <f>VLOOKUP(P27,'FS Data'!$A:$B,2,FALSE)</f>
        <v>0</v>
      </c>
      <c r="H27" s="122">
        <f>VLOOKUP(Q27,'FS Data'!$A:$B,2,FALSE)</f>
        <v>0</v>
      </c>
      <c r="I27" s="122">
        <f>VLOOKUP(R27,'FS Data'!$A:$B,2,FALSE)</f>
        <v>0</v>
      </c>
      <c r="J27" s="122">
        <f>VLOOKUP(S27,'FS Data'!$A:$B,2,FALSE)</f>
        <v>0</v>
      </c>
      <c r="K27" s="122">
        <f>VLOOKUP(T27,'FS Data'!$A:$B,2,FALSE)</f>
        <v>0</v>
      </c>
      <c r="L27" s="122">
        <f>VLOOKUP(U27,'FS Data'!$A:$B,2,FALSE)</f>
        <v>0</v>
      </c>
      <c r="M27" s="122">
        <f>VLOOKUP(V27,'FS Data'!$A:$B,2,FALSE)</f>
        <v>0</v>
      </c>
      <c r="O27" s="215">
        <v>602312</v>
      </c>
      <c r="P27" s="215">
        <v>602314</v>
      </c>
      <c r="Q27" s="215">
        <v>602316</v>
      </c>
      <c r="R27" s="215">
        <v>602318</v>
      </c>
      <c r="S27" s="215">
        <v>602322</v>
      </c>
      <c r="T27" s="215">
        <v>602324</v>
      </c>
      <c r="U27" s="215">
        <v>602326</v>
      </c>
      <c r="V27" s="215">
        <v>602328</v>
      </c>
      <c r="W27" s="219"/>
      <c r="X27" s="219"/>
      <c r="Y27" s="219"/>
      <c r="Z27" s="219"/>
    </row>
    <row r="28" spans="2:26" ht="15.75" customHeight="1" x14ac:dyDescent="0.25">
      <c r="B28" s="276">
        <v>24</v>
      </c>
      <c r="C28" s="309" t="s">
        <v>809</v>
      </c>
      <c r="D28" s="453"/>
      <c r="E28" s="454"/>
      <c r="F28" s="122">
        <f>VLOOKUP(O28,'FS Data'!$A:$B,2,FALSE)</f>
        <v>2</v>
      </c>
      <c r="G28" s="122">
        <f>VLOOKUP(P28,'FS Data'!$A:$B,2,FALSE)</f>
        <v>215783</v>
      </c>
      <c r="H28" s="122">
        <f>VLOOKUP(Q28,'FS Data'!$A:$B,2,FALSE)</f>
        <v>12107</v>
      </c>
      <c r="I28" s="122">
        <f>VLOOKUP(R28,'FS Data'!$A:$B,2,FALSE)</f>
        <v>6054</v>
      </c>
      <c r="J28" s="122">
        <f>VLOOKUP(S28,'FS Data'!$A:$B,2,FALSE)</f>
        <v>2</v>
      </c>
      <c r="K28" s="122">
        <f>VLOOKUP(T28,'FS Data'!$A:$B,2,FALSE)</f>
        <v>215783</v>
      </c>
      <c r="L28" s="122">
        <f>VLOOKUP(U28,'FS Data'!$A:$B,2,FALSE)</f>
        <v>12107</v>
      </c>
      <c r="M28" s="122">
        <f>VLOOKUP(V28,'FS Data'!$A:$B,2,FALSE)</f>
        <v>6054</v>
      </c>
      <c r="O28" s="215">
        <v>602412</v>
      </c>
      <c r="P28" s="215">
        <v>602414</v>
      </c>
      <c r="Q28" s="215">
        <v>602416</v>
      </c>
      <c r="R28" s="215">
        <v>602418</v>
      </c>
      <c r="S28" s="215">
        <v>602422</v>
      </c>
      <c r="T28" s="215">
        <v>602424</v>
      </c>
      <c r="U28" s="215">
        <v>602426</v>
      </c>
      <c r="V28" s="215">
        <v>602428</v>
      </c>
      <c r="W28" s="219"/>
      <c r="X28" s="219"/>
      <c r="Y28" s="219"/>
      <c r="Z28" s="219"/>
    </row>
    <row r="29" spans="2:26" ht="15.75" customHeight="1" x14ac:dyDescent="0.25">
      <c r="B29" s="276">
        <v>25</v>
      </c>
      <c r="C29" s="277" t="s">
        <v>774</v>
      </c>
      <c r="D29" s="317"/>
      <c r="E29" s="292" t="s">
        <v>62</v>
      </c>
      <c r="F29" s="122">
        <f>VLOOKUP(O29,'FS Data'!$A:$B,2,FALSE)</f>
        <v>0</v>
      </c>
      <c r="G29" s="122">
        <f>VLOOKUP(P29,'FS Data'!$A:$B,2,FALSE)</f>
        <v>0</v>
      </c>
      <c r="H29" s="122">
        <f>VLOOKUP(Q29,'FS Data'!$A:$B,2,FALSE)</f>
        <v>0</v>
      </c>
      <c r="I29" s="122">
        <f>VLOOKUP(R29,'FS Data'!$A:$B,2,FALSE)</f>
        <v>0</v>
      </c>
      <c r="J29" s="122">
        <f>VLOOKUP(S29,'FS Data'!$A:$B,2,FALSE)</f>
        <v>0</v>
      </c>
      <c r="K29" s="122">
        <f>VLOOKUP(T29,'FS Data'!$A:$B,2,FALSE)</f>
        <v>0</v>
      </c>
      <c r="L29" s="122">
        <f>VLOOKUP(U29,'FS Data'!$A:$B,2,FALSE)</f>
        <v>0</v>
      </c>
      <c r="M29" s="122">
        <f>VLOOKUP(V29,'FS Data'!$A:$B,2,FALSE)</f>
        <v>0</v>
      </c>
      <c r="O29" s="215">
        <v>602512</v>
      </c>
      <c r="P29" s="215">
        <v>602514</v>
      </c>
      <c r="Q29" s="215">
        <v>602516</v>
      </c>
      <c r="R29" s="215">
        <v>602518</v>
      </c>
      <c r="S29" s="215">
        <v>602522</v>
      </c>
      <c r="T29" s="215">
        <v>602524</v>
      </c>
      <c r="U29" s="215">
        <v>602526</v>
      </c>
      <c r="V29" s="215">
        <v>602528</v>
      </c>
      <c r="W29" s="219"/>
      <c r="X29" s="219"/>
      <c r="Y29" s="219"/>
      <c r="Z29" s="219"/>
    </row>
    <row r="30" spans="2:26" ht="15.75" customHeight="1" x14ac:dyDescent="0.25">
      <c r="B30" s="276">
        <v>26</v>
      </c>
      <c r="C30" s="277" t="s">
        <v>243</v>
      </c>
      <c r="D30" s="317"/>
      <c r="E30" s="292" t="s">
        <v>63</v>
      </c>
      <c r="F30" s="122">
        <f>VLOOKUP(O30,'FS Data'!$A:$B,2,FALSE)</f>
        <v>0</v>
      </c>
      <c r="G30" s="122">
        <f>VLOOKUP(P30,'FS Data'!$A:$B,2,FALSE)</f>
        <v>0</v>
      </c>
      <c r="H30" s="122">
        <f>VLOOKUP(Q30,'FS Data'!$A:$B,2,FALSE)</f>
        <v>0</v>
      </c>
      <c r="I30" s="122">
        <f>VLOOKUP(R30,'FS Data'!$A:$B,2,FALSE)</f>
        <v>0</v>
      </c>
      <c r="J30" s="122">
        <f>VLOOKUP(S30,'FS Data'!$A:$B,2,FALSE)</f>
        <v>0</v>
      </c>
      <c r="K30" s="122">
        <f>VLOOKUP(T30,'FS Data'!$A:$B,2,FALSE)</f>
        <v>0</v>
      </c>
      <c r="L30" s="122">
        <f>VLOOKUP(U30,'FS Data'!$A:$B,2,FALSE)</f>
        <v>0</v>
      </c>
      <c r="M30" s="122">
        <f>VLOOKUP(V30,'FS Data'!$A:$B,2,FALSE)</f>
        <v>0</v>
      </c>
      <c r="O30" s="215">
        <v>602612</v>
      </c>
      <c r="P30" s="215">
        <v>602614</v>
      </c>
      <c r="Q30" s="215">
        <v>602616</v>
      </c>
      <c r="R30" s="215">
        <v>602618</v>
      </c>
      <c r="S30" s="215">
        <v>602622</v>
      </c>
      <c r="T30" s="215">
        <v>602624</v>
      </c>
      <c r="U30" s="215">
        <v>602626</v>
      </c>
      <c r="V30" s="215">
        <v>602628</v>
      </c>
      <c r="W30" s="219"/>
      <c r="X30" s="219"/>
      <c r="Y30" s="219"/>
      <c r="Z30" s="219"/>
    </row>
    <row r="31" spans="2:26" ht="15.75" customHeight="1" x14ac:dyDescent="0.25">
      <c r="B31" s="276">
        <v>27</v>
      </c>
      <c r="C31" s="277" t="s">
        <v>298</v>
      </c>
      <c r="D31" s="317"/>
      <c r="E31" s="292" t="s">
        <v>299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0</v>
      </c>
      <c r="K31" s="122">
        <f>VLOOKUP(T31,'FS Data'!$A:$B,2,FALSE)</f>
        <v>0</v>
      </c>
      <c r="L31" s="122">
        <f>VLOOKUP(U31,'FS Data'!$A:$B,2,FALSE)</f>
        <v>0</v>
      </c>
      <c r="M31" s="122">
        <f>VLOOKUP(V31,'FS Data'!$A:$B,2,FALSE)</f>
        <v>0</v>
      </c>
      <c r="O31" s="215">
        <v>602712</v>
      </c>
      <c r="P31" s="215">
        <v>602714</v>
      </c>
      <c r="Q31" s="215">
        <v>602716</v>
      </c>
      <c r="R31" s="215">
        <v>602718</v>
      </c>
      <c r="S31" s="215">
        <v>602722</v>
      </c>
      <c r="T31" s="215">
        <v>602724</v>
      </c>
      <c r="U31" s="215">
        <v>602726</v>
      </c>
      <c r="V31" s="215">
        <v>602728</v>
      </c>
      <c r="W31" s="219"/>
      <c r="X31" s="219"/>
      <c r="Y31" s="219"/>
      <c r="Z31" s="219"/>
    </row>
    <row r="32" spans="2:26" ht="15.75" customHeight="1" x14ac:dyDescent="0.25">
      <c r="B32" s="276">
        <v>28</v>
      </c>
      <c r="C32" s="277" t="s">
        <v>582</v>
      </c>
      <c r="D32" s="317"/>
      <c r="E32" s="292">
        <v>428</v>
      </c>
      <c r="F32" s="122">
        <f>VLOOKUP(O32,'FS Data'!$A:$B,2,FALSE)</f>
        <v>0</v>
      </c>
      <c r="G32" s="122">
        <f>VLOOKUP(P32,'FS Data'!$A:$B,2,FALSE)</f>
        <v>0</v>
      </c>
      <c r="H32" s="122">
        <f>VLOOKUP(Q32,'FS Data'!$A:$B,2,FALSE)</f>
        <v>0</v>
      </c>
      <c r="I32" s="122">
        <f>VLOOKUP(R32,'FS Data'!$A:$B,2,FALSE)</f>
        <v>0</v>
      </c>
      <c r="J32" s="122">
        <f>VLOOKUP(S32,'FS Data'!$A:$B,2,FALSE)</f>
        <v>0</v>
      </c>
      <c r="K32" s="122">
        <f>VLOOKUP(T32,'FS Data'!$A:$B,2,FALSE)</f>
        <v>0</v>
      </c>
      <c r="L32" s="122">
        <f>VLOOKUP(U32,'FS Data'!$A:$B,2,FALSE)</f>
        <v>0</v>
      </c>
      <c r="M32" s="122">
        <f>VLOOKUP(V32,'FS Data'!$A:$B,2,FALSE)</f>
        <v>0</v>
      </c>
      <c r="O32" s="215">
        <v>602812</v>
      </c>
      <c r="P32" s="215">
        <v>602814</v>
      </c>
      <c r="Q32" s="215">
        <v>602816</v>
      </c>
      <c r="R32" s="215">
        <v>602818</v>
      </c>
      <c r="S32" s="215">
        <v>602822</v>
      </c>
      <c r="T32" s="215">
        <v>602824</v>
      </c>
      <c r="U32" s="215">
        <v>602826</v>
      </c>
      <c r="V32" s="215">
        <v>602828</v>
      </c>
      <c r="W32" s="219"/>
      <c r="X32" s="219"/>
      <c r="Y32" s="219"/>
      <c r="Z32" s="219"/>
    </row>
    <row r="33" spans="2:28" ht="15.75" customHeight="1" x14ac:dyDescent="0.25">
      <c r="B33" s="276">
        <v>29</v>
      </c>
      <c r="C33" s="297" t="s">
        <v>810</v>
      </c>
      <c r="D33" s="453"/>
      <c r="E33" s="454"/>
      <c r="F33" s="122">
        <f>VLOOKUP(O33,'FS Data'!$A:$B,2,FALSE)</f>
        <v>0</v>
      </c>
      <c r="G33" s="122">
        <f>VLOOKUP(P33,'FS Data'!$A:$B,2,FALSE)</f>
        <v>0</v>
      </c>
      <c r="H33" s="122">
        <f>VLOOKUP(Q33,'FS Data'!$A:$B,2,FALSE)</f>
        <v>0</v>
      </c>
      <c r="I33" s="122">
        <f>VLOOKUP(R33,'FS Data'!$A:$B,2,FALSE)</f>
        <v>0</v>
      </c>
      <c r="J33" s="122">
        <f>VLOOKUP(S33,'FS Data'!$A:$B,2,FALSE)</f>
        <v>0</v>
      </c>
      <c r="K33" s="122">
        <f>VLOOKUP(T33,'FS Data'!$A:$B,2,FALSE)</f>
        <v>0</v>
      </c>
      <c r="L33" s="122">
        <f>VLOOKUP(U33,'FS Data'!$A:$B,2,FALSE)</f>
        <v>0</v>
      </c>
      <c r="M33" s="122">
        <f>VLOOKUP(V33,'FS Data'!$A:$B,2,FALSE)</f>
        <v>0</v>
      </c>
      <c r="O33" s="215">
        <v>602912</v>
      </c>
      <c r="P33" s="215">
        <v>602914</v>
      </c>
      <c r="Q33" s="215">
        <v>602916</v>
      </c>
      <c r="R33" s="215">
        <v>602918</v>
      </c>
      <c r="S33" s="215">
        <v>602922</v>
      </c>
      <c r="T33" s="215">
        <v>602924</v>
      </c>
      <c r="U33" s="215">
        <v>602926</v>
      </c>
      <c r="V33" s="215">
        <v>602928</v>
      </c>
      <c r="W33" s="219"/>
      <c r="X33" s="219"/>
      <c r="Y33" s="219"/>
      <c r="Z33" s="219"/>
    </row>
    <row r="34" spans="2:28" ht="15.75" customHeight="1" x14ac:dyDescent="0.25">
      <c r="B34" s="276">
        <v>30</v>
      </c>
      <c r="C34" s="277" t="s">
        <v>227</v>
      </c>
      <c r="D34" s="317"/>
      <c r="E34" s="292">
        <v>480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0</v>
      </c>
      <c r="K34" s="122">
        <f>VLOOKUP(T34,'FS Data'!$A:$B,2,FALSE)</f>
        <v>0</v>
      </c>
      <c r="L34" s="122">
        <f>VLOOKUP(U34,'FS Data'!$A:$B,2,FALSE)</f>
        <v>0</v>
      </c>
      <c r="M34" s="122">
        <f>VLOOKUP(V34,'FS Data'!$A:$B,2,FALSE)</f>
        <v>0</v>
      </c>
      <c r="O34" s="215">
        <v>603012</v>
      </c>
      <c r="P34" s="215">
        <v>603014</v>
      </c>
      <c r="Q34" s="215">
        <v>603016</v>
      </c>
      <c r="R34" s="215">
        <v>603018</v>
      </c>
      <c r="S34" s="215">
        <v>603022</v>
      </c>
      <c r="T34" s="215">
        <v>603024</v>
      </c>
      <c r="U34" s="215">
        <v>603026</v>
      </c>
      <c r="V34" s="215">
        <v>603028</v>
      </c>
      <c r="W34" s="219"/>
      <c r="X34" s="219"/>
      <c r="Y34" s="219"/>
      <c r="Z34" s="219"/>
    </row>
    <row r="35" spans="2:28" ht="15.75" customHeight="1" x14ac:dyDescent="0.25">
      <c r="B35" s="276">
        <v>31</v>
      </c>
      <c r="C35" s="277" t="s">
        <v>301</v>
      </c>
      <c r="D35" s="317"/>
      <c r="E35" s="292" t="s">
        <v>300</v>
      </c>
      <c r="F35" s="122">
        <f>VLOOKUP(O35,'FS Data'!$A:$B,2,FALSE)</f>
        <v>0</v>
      </c>
      <c r="G35" s="122">
        <f>VLOOKUP(P35,'FS Data'!$A:$B,2,FALSE)</f>
        <v>0</v>
      </c>
      <c r="H35" s="122">
        <f>VLOOKUP(Q35,'FS Data'!$A:$B,2,FALSE)</f>
        <v>0</v>
      </c>
      <c r="I35" s="122">
        <f>VLOOKUP(R35,'FS Data'!$A:$B,2,FALSE)</f>
        <v>0</v>
      </c>
      <c r="J35" s="122">
        <f>VLOOKUP(S35,'FS Data'!$A:$B,2,FALSE)</f>
        <v>0</v>
      </c>
      <c r="K35" s="122">
        <f>VLOOKUP(T35,'FS Data'!$A:$B,2,FALSE)</f>
        <v>0</v>
      </c>
      <c r="L35" s="122">
        <f>VLOOKUP(U35,'FS Data'!$A:$B,2,FALSE)</f>
        <v>0</v>
      </c>
      <c r="M35" s="122">
        <f>VLOOKUP(V35,'FS Data'!$A:$B,2,FALSE)</f>
        <v>0</v>
      </c>
      <c r="O35" s="215">
        <v>603112</v>
      </c>
      <c r="P35" s="215">
        <v>603114</v>
      </c>
      <c r="Q35" s="215">
        <v>603116</v>
      </c>
      <c r="R35" s="215">
        <v>603118</v>
      </c>
      <c r="S35" s="215">
        <v>603122</v>
      </c>
      <c r="T35" s="215">
        <v>603124</v>
      </c>
      <c r="U35" s="215">
        <v>603126</v>
      </c>
      <c r="V35" s="215">
        <v>603128</v>
      </c>
      <c r="W35" s="219"/>
      <c r="X35" s="219"/>
      <c r="Y35" s="219"/>
      <c r="Z35" s="219"/>
    </row>
    <row r="36" spans="2:28" ht="15.75" customHeight="1" x14ac:dyDescent="0.25">
      <c r="B36" s="276">
        <v>32</v>
      </c>
      <c r="C36" s="277" t="s">
        <v>244</v>
      </c>
      <c r="D36" s="317"/>
      <c r="E36" s="292" t="s">
        <v>245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122">
        <f>VLOOKUP(V36,'FS Data'!$A:$B,2,FALSE)</f>
        <v>0</v>
      </c>
      <c r="O36" s="215">
        <v>603212</v>
      </c>
      <c r="P36" s="215">
        <v>603214</v>
      </c>
      <c r="Q36" s="215">
        <v>603216</v>
      </c>
      <c r="R36" s="215">
        <v>603218</v>
      </c>
      <c r="S36" s="215">
        <v>603222</v>
      </c>
      <c r="T36" s="215">
        <v>603224</v>
      </c>
      <c r="U36" s="215">
        <v>603226</v>
      </c>
      <c r="V36" s="215">
        <v>603228</v>
      </c>
      <c r="W36" s="219"/>
      <c r="X36" s="219"/>
      <c r="Y36" s="219"/>
      <c r="Z36" s="219"/>
    </row>
    <row r="37" spans="2:28" ht="15.75" customHeight="1" x14ac:dyDescent="0.25">
      <c r="B37" s="276">
        <v>33</v>
      </c>
      <c r="C37" s="277" t="s">
        <v>302</v>
      </c>
      <c r="D37" s="317"/>
      <c r="E37" s="292">
        <v>481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122">
        <f>VLOOKUP(V37,'FS Data'!$A:$B,2,FALSE)</f>
        <v>0</v>
      </c>
      <c r="O37" s="215">
        <v>603312</v>
      </c>
      <c r="P37" s="215">
        <v>603314</v>
      </c>
      <c r="Q37" s="215">
        <v>603316</v>
      </c>
      <c r="R37" s="215">
        <v>603318</v>
      </c>
      <c r="S37" s="215">
        <v>603322</v>
      </c>
      <c r="T37" s="215">
        <v>603324</v>
      </c>
      <c r="U37" s="215">
        <v>603326</v>
      </c>
      <c r="V37" s="215">
        <v>603328</v>
      </c>
      <c r="W37" s="219"/>
      <c r="X37" s="219"/>
      <c r="Y37" s="219"/>
      <c r="Z37" s="219"/>
    </row>
    <row r="38" spans="2:28" ht="15.75" customHeight="1" x14ac:dyDescent="0.25">
      <c r="B38" s="276">
        <v>34</v>
      </c>
      <c r="C38" s="277" t="s">
        <v>303</v>
      </c>
      <c r="D38" s="317"/>
      <c r="E38" s="292" t="s">
        <v>304</v>
      </c>
      <c r="F38" s="122">
        <f>VLOOKUP(O38,'FS Data'!$A:$B,2,FALSE)</f>
        <v>0</v>
      </c>
      <c r="G38" s="122">
        <f>VLOOKUP(P38,'FS Data'!$A:$B,2,FALSE)</f>
        <v>0</v>
      </c>
      <c r="H38" s="122">
        <f>VLOOKUP(Q38,'FS Data'!$A:$B,2,FALSE)</f>
        <v>0</v>
      </c>
      <c r="I38" s="122">
        <f>VLOOKUP(R38,'FS Data'!$A:$B,2,FALSE)</f>
        <v>0</v>
      </c>
      <c r="J38" s="122">
        <f>VLOOKUP(S38,'FS Data'!$A:$B,2,FALSE)</f>
        <v>0</v>
      </c>
      <c r="K38" s="122">
        <f>VLOOKUP(T38,'FS Data'!$A:$B,2,FALSE)</f>
        <v>0</v>
      </c>
      <c r="L38" s="122">
        <f>VLOOKUP(U38,'FS Data'!$A:$B,2,FALSE)</f>
        <v>0</v>
      </c>
      <c r="M38" s="122">
        <f>VLOOKUP(V38,'FS Data'!$A:$B,2,FALSE)</f>
        <v>0</v>
      </c>
      <c r="O38" s="215">
        <v>603412</v>
      </c>
      <c r="P38" s="215">
        <v>603414</v>
      </c>
      <c r="Q38" s="215">
        <v>603416</v>
      </c>
      <c r="R38" s="215">
        <v>603418</v>
      </c>
      <c r="S38" s="215">
        <v>603422</v>
      </c>
      <c r="T38" s="215">
        <v>603424</v>
      </c>
      <c r="U38" s="215">
        <v>603426</v>
      </c>
      <c r="V38" s="215">
        <v>603428</v>
      </c>
      <c r="W38" s="219"/>
      <c r="X38" s="219"/>
      <c r="Y38" s="219"/>
      <c r="Z38" s="219"/>
      <c r="AA38" s="219"/>
      <c r="AB38" s="219"/>
    </row>
    <row r="39" spans="2:28" ht="15.75" customHeight="1" x14ac:dyDescent="0.25">
      <c r="B39" s="276">
        <v>35</v>
      </c>
      <c r="C39" s="297" t="s">
        <v>811</v>
      </c>
      <c r="D39" s="453"/>
      <c r="E39" s="454"/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0</v>
      </c>
      <c r="K39" s="122">
        <f>VLOOKUP(T39,'FS Data'!$A:$B,2,FALSE)</f>
        <v>0</v>
      </c>
      <c r="L39" s="122">
        <f>VLOOKUP(U39,'FS Data'!$A:$B,2,FALSE)</f>
        <v>0</v>
      </c>
      <c r="M39" s="122">
        <f>VLOOKUP(V39,'FS Data'!$A:$B,2,FALSE)</f>
        <v>0</v>
      </c>
      <c r="O39" s="215">
        <v>603512</v>
      </c>
      <c r="P39" s="215">
        <v>603514</v>
      </c>
      <c r="Q39" s="215">
        <v>603516</v>
      </c>
      <c r="R39" s="215">
        <v>603518</v>
      </c>
      <c r="S39" s="215">
        <v>603522</v>
      </c>
      <c r="T39" s="215">
        <v>603524</v>
      </c>
      <c r="U39" s="215">
        <v>603526</v>
      </c>
      <c r="V39" s="215">
        <v>603528</v>
      </c>
      <c r="W39" s="219"/>
      <c r="X39" s="219"/>
      <c r="Y39" s="219"/>
      <c r="Z39" s="219"/>
      <c r="AA39" s="219"/>
      <c r="AB39" s="219"/>
    </row>
    <row r="40" spans="2:28" ht="15.75" customHeight="1" x14ac:dyDescent="0.25">
      <c r="B40" s="276">
        <v>36</v>
      </c>
      <c r="C40" s="298" t="s">
        <v>270</v>
      </c>
      <c r="D40" s="318"/>
      <c r="E40" s="312" t="s">
        <v>271</v>
      </c>
      <c r="F40" s="122">
        <f>VLOOKUP(O40,'FS Data'!$A:$B,2,FALSE)</f>
        <v>0</v>
      </c>
      <c r="G40" s="122">
        <f>VLOOKUP(P40,'FS Data'!$A:$B,2,FALSE)</f>
        <v>0</v>
      </c>
      <c r="H40" s="122">
        <f>VLOOKUP(Q40,'FS Data'!$A:$B,2,FALSE)</f>
        <v>0</v>
      </c>
      <c r="I40" s="122">
        <f>VLOOKUP(R40,'FS Data'!$A:$B,2,FALSE)</f>
        <v>0</v>
      </c>
      <c r="J40" s="122">
        <f>VLOOKUP(S40,'FS Data'!$A:$B,2,FALSE)</f>
        <v>0</v>
      </c>
      <c r="K40" s="122">
        <f>VLOOKUP(T40,'FS Data'!$A:$B,2,FALSE)</f>
        <v>0</v>
      </c>
      <c r="L40" s="122">
        <f>VLOOKUP(U40,'FS Data'!$A:$B,2,FALSE)</f>
        <v>0</v>
      </c>
      <c r="M40" s="122">
        <f>VLOOKUP(V40,'FS Data'!$A:$B,2,FALSE)</f>
        <v>0</v>
      </c>
      <c r="O40" s="215">
        <v>603612</v>
      </c>
      <c r="P40" s="215">
        <v>603614</v>
      </c>
      <c r="Q40" s="215">
        <v>603616</v>
      </c>
      <c r="R40" s="215">
        <v>603618</v>
      </c>
      <c r="S40" s="215">
        <v>603622</v>
      </c>
      <c r="T40" s="215">
        <v>603624</v>
      </c>
      <c r="U40" s="215">
        <v>603626</v>
      </c>
      <c r="V40" s="215">
        <v>603628</v>
      </c>
      <c r="W40" s="219"/>
      <c r="X40" s="219"/>
      <c r="Y40" s="219"/>
      <c r="Z40" s="219"/>
      <c r="AA40" s="219"/>
      <c r="AB40" s="219"/>
    </row>
    <row r="41" spans="2:28" ht="15.75" customHeight="1" x14ac:dyDescent="0.25">
      <c r="B41" s="276">
        <v>37</v>
      </c>
      <c r="C41" s="298" t="s">
        <v>801</v>
      </c>
      <c r="D41" s="318"/>
      <c r="E41" s="312" t="s">
        <v>802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122">
        <f>VLOOKUP(V41,'FS Data'!$A:$B,2,FALSE)</f>
        <v>0</v>
      </c>
      <c r="O41" s="215">
        <v>603712</v>
      </c>
      <c r="P41" s="215">
        <v>603714</v>
      </c>
      <c r="Q41" s="215">
        <v>603716</v>
      </c>
      <c r="R41" s="215">
        <v>603718</v>
      </c>
      <c r="S41" s="215">
        <v>603722</v>
      </c>
      <c r="T41" s="215">
        <v>603724</v>
      </c>
      <c r="U41" s="215">
        <v>603726</v>
      </c>
      <c r="V41" s="215">
        <v>603728</v>
      </c>
      <c r="W41" s="219"/>
      <c r="X41" s="219"/>
      <c r="Y41" s="219"/>
      <c r="Z41" s="219"/>
      <c r="AA41" s="219"/>
      <c r="AB41" s="219"/>
    </row>
    <row r="42" spans="2:28" ht="21" customHeight="1" x14ac:dyDescent="0.25">
      <c r="B42" s="276">
        <v>38</v>
      </c>
      <c r="C42" s="729" t="s">
        <v>775</v>
      </c>
      <c r="D42" s="730"/>
      <c r="E42" s="312" t="s">
        <v>272</v>
      </c>
      <c r="F42" s="122">
        <f>VLOOKUP(O42,'FS Data'!$A:$B,2,FALSE)</f>
        <v>0</v>
      </c>
      <c r="G42" s="122">
        <f>VLOOKUP(P42,'FS Data'!$A:$B,2,FALSE)</f>
        <v>0</v>
      </c>
      <c r="H42" s="122">
        <f>VLOOKUP(Q42,'FS Data'!$A:$B,2,FALSE)</f>
        <v>0</v>
      </c>
      <c r="I42" s="122">
        <f>VLOOKUP(R42,'FS Data'!$A:$B,2,FALSE)</f>
        <v>0</v>
      </c>
      <c r="J42" s="122">
        <f>VLOOKUP(S42,'FS Data'!$A:$B,2,FALSE)</f>
        <v>0</v>
      </c>
      <c r="K42" s="122">
        <f>VLOOKUP(T42,'FS Data'!$A:$B,2,FALSE)</f>
        <v>0</v>
      </c>
      <c r="L42" s="122">
        <f>VLOOKUP(U42,'FS Data'!$A:$B,2,FALSE)</f>
        <v>0</v>
      </c>
      <c r="M42" s="122">
        <f>VLOOKUP(V42,'FS Data'!$A:$B,2,FALSE)</f>
        <v>0</v>
      </c>
      <c r="O42" s="215">
        <v>603812</v>
      </c>
      <c r="P42" s="215">
        <v>603814</v>
      </c>
      <c r="Q42" s="215">
        <v>603816</v>
      </c>
      <c r="R42" s="215">
        <v>603818</v>
      </c>
      <c r="S42" s="215">
        <v>603822</v>
      </c>
      <c r="T42" s="215">
        <v>603824</v>
      </c>
      <c r="U42" s="215">
        <v>603826</v>
      </c>
      <c r="V42" s="215">
        <v>603828</v>
      </c>
      <c r="W42" s="219"/>
      <c r="X42" s="219"/>
      <c r="Y42" s="219"/>
      <c r="Z42" s="219"/>
      <c r="AA42" s="219"/>
      <c r="AB42" s="219"/>
    </row>
    <row r="43" spans="2:28" ht="15.75" customHeight="1" x14ac:dyDescent="0.25">
      <c r="B43" s="276">
        <v>39</v>
      </c>
      <c r="C43" s="729" t="s">
        <v>803</v>
      </c>
      <c r="D43" s="730"/>
      <c r="E43" s="312" t="s">
        <v>804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122">
        <f>VLOOKUP(V43,'FS Data'!$A:$B,2,FALSE)</f>
        <v>0</v>
      </c>
      <c r="O43" s="215">
        <v>603912</v>
      </c>
      <c r="P43" s="215">
        <v>603914</v>
      </c>
      <c r="Q43" s="215">
        <v>603916</v>
      </c>
      <c r="R43" s="215">
        <v>603918</v>
      </c>
      <c r="S43" s="215">
        <v>603922</v>
      </c>
      <c r="T43" s="215">
        <v>603924</v>
      </c>
      <c r="U43" s="215">
        <v>603926</v>
      </c>
      <c r="V43" s="215">
        <v>603928</v>
      </c>
      <c r="W43" s="219"/>
      <c r="X43" s="219"/>
      <c r="Y43" s="219"/>
      <c r="Z43" s="219"/>
      <c r="AA43" s="219"/>
      <c r="AB43" s="219"/>
    </row>
    <row r="44" spans="2:28" ht="15.75" customHeight="1" x14ac:dyDescent="0.25">
      <c r="B44" s="276">
        <v>40</v>
      </c>
      <c r="C44" s="729" t="s">
        <v>273</v>
      </c>
      <c r="D44" s="730"/>
      <c r="E44" s="312" t="s">
        <v>274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122">
        <f>VLOOKUP(V44,'FS Data'!$A:$B,2,FALSE)</f>
        <v>0</v>
      </c>
      <c r="O44" s="215">
        <v>604012</v>
      </c>
      <c r="P44" s="215">
        <v>604014</v>
      </c>
      <c r="Q44" s="215">
        <v>604016</v>
      </c>
      <c r="R44" s="215">
        <v>604018</v>
      </c>
      <c r="S44" s="215">
        <v>604022</v>
      </c>
      <c r="T44" s="215">
        <v>604024</v>
      </c>
      <c r="U44" s="215">
        <v>604026</v>
      </c>
      <c r="V44" s="215">
        <v>604028</v>
      </c>
      <c r="W44" s="219"/>
      <c r="X44" s="219"/>
      <c r="Y44" s="219"/>
      <c r="Z44" s="219"/>
      <c r="AA44" s="219"/>
      <c r="AB44" s="219"/>
    </row>
    <row r="45" spans="2:28" ht="15.75" customHeight="1" x14ac:dyDescent="0.25">
      <c r="B45" s="276">
        <v>41</v>
      </c>
      <c r="C45" s="729" t="s">
        <v>805</v>
      </c>
      <c r="D45" s="742"/>
      <c r="E45" s="312" t="s">
        <v>806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122">
        <f>VLOOKUP(V45,'FS Data'!$A:$B,2,FALSE)</f>
        <v>0</v>
      </c>
      <c r="O45" s="215">
        <v>604112</v>
      </c>
      <c r="P45" s="215">
        <v>604114</v>
      </c>
      <c r="Q45" s="215">
        <v>604116</v>
      </c>
      <c r="R45" s="215">
        <v>604118</v>
      </c>
      <c r="S45" s="215">
        <v>604122</v>
      </c>
      <c r="T45" s="215">
        <v>604124</v>
      </c>
      <c r="U45" s="215">
        <v>604126</v>
      </c>
      <c r="V45" s="215">
        <v>604128</v>
      </c>
      <c r="W45" s="219"/>
      <c r="X45" s="219"/>
      <c r="Y45" s="219"/>
      <c r="Z45" s="219"/>
      <c r="AA45" s="219"/>
    </row>
    <row r="46" spans="2:28" ht="15.75" customHeight="1" x14ac:dyDescent="0.25">
      <c r="B46" s="276">
        <v>42</v>
      </c>
      <c r="C46" s="731" t="s">
        <v>812</v>
      </c>
      <c r="D46" s="732"/>
      <c r="E46" s="455"/>
      <c r="F46" s="122">
        <f>VLOOKUP(O46,'FS Data'!$A:$B,2,FALSE)</f>
        <v>0</v>
      </c>
      <c r="G46" s="122">
        <f>VLOOKUP(P46,'FS Data'!$A:$B,2,FALSE)</f>
        <v>0</v>
      </c>
      <c r="H46" s="122">
        <f>VLOOKUP(Q46,'FS Data'!$A:$B,2,FALSE)</f>
        <v>0</v>
      </c>
      <c r="I46" s="122">
        <f>VLOOKUP(R46,'FS Data'!$A:$B,2,FALSE)</f>
        <v>0</v>
      </c>
      <c r="J46" s="122">
        <f>VLOOKUP(S46,'FS Data'!$A:$B,2,FALSE)</f>
        <v>0</v>
      </c>
      <c r="K46" s="122">
        <f>VLOOKUP(T46,'FS Data'!$A:$B,2,FALSE)</f>
        <v>0</v>
      </c>
      <c r="L46" s="122">
        <f>VLOOKUP(U46,'FS Data'!$A:$B,2,FALSE)</f>
        <v>0</v>
      </c>
      <c r="M46" s="122">
        <f>VLOOKUP(V46,'FS Data'!$A:$B,2,FALSE)</f>
        <v>0</v>
      </c>
      <c r="O46" s="215">
        <v>604212</v>
      </c>
      <c r="P46" s="215">
        <v>604214</v>
      </c>
      <c r="Q46" s="215">
        <v>604216</v>
      </c>
      <c r="R46" s="215">
        <v>604218</v>
      </c>
      <c r="S46" s="215">
        <v>604222</v>
      </c>
      <c r="T46" s="215">
        <v>604224</v>
      </c>
      <c r="U46" s="215">
        <v>604226</v>
      </c>
      <c r="V46" s="215">
        <v>604228</v>
      </c>
      <c r="W46" s="219"/>
      <c r="X46" s="219"/>
      <c r="Y46" s="219"/>
      <c r="Z46" s="219"/>
      <c r="AA46" s="219"/>
    </row>
    <row r="47" spans="2:28" ht="15.75" customHeight="1" x14ac:dyDescent="0.25">
      <c r="B47" s="276">
        <v>43</v>
      </c>
      <c r="C47" s="728" t="s">
        <v>813</v>
      </c>
      <c r="D47" s="727"/>
      <c r="E47" s="456"/>
      <c r="F47" s="122">
        <f>VLOOKUP(O47,'FS Data'!$A:$B,2,FALSE)</f>
        <v>12</v>
      </c>
      <c r="G47" s="122">
        <f>VLOOKUP(P47,'FS Data'!$A:$B,2,FALSE)</f>
        <v>983698</v>
      </c>
      <c r="H47" s="122">
        <f>VLOOKUP(Q47,'FS Data'!$A:$B,2,FALSE)</f>
        <v>40358</v>
      </c>
      <c r="I47" s="122">
        <f>VLOOKUP(R47,'FS Data'!$A:$B,2,FALSE)</f>
        <v>3363</v>
      </c>
      <c r="J47" s="122">
        <f>VLOOKUP(S47,'FS Data'!$A:$B,2,FALSE)</f>
        <v>12</v>
      </c>
      <c r="K47" s="122">
        <f>VLOOKUP(T47,'FS Data'!$A:$B,2,FALSE)</f>
        <v>983698</v>
      </c>
      <c r="L47" s="122">
        <f>VLOOKUP(U47,'FS Data'!$A:$B,2,FALSE)</f>
        <v>40358</v>
      </c>
      <c r="M47" s="122">
        <f>VLOOKUP(V47,'FS Data'!$A:$B,2,FALSE)</f>
        <v>3363</v>
      </c>
      <c r="O47" s="215">
        <v>604312</v>
      </c>
      <c r="P47" s="215">
        <v>604314</v>
      </c>
      <c r="Q47" s="215">
        <v>604316</v>
      </c>
      <c r="R47" s="215">
        <v>604318</v>
      </c>
      <c r="S47" s="215">
        <v>604322</v>
      </c>
      <c r="T47" s="215">
        <v>604324</v>
      </c>
      <c r="U47" s="215">
        <v>604326</v>
      </c>
      <c r="V47" s="215">
        <v>604328</v>
      </c>
      <c r="W47" s="219"/>
      <c r="X47" s="219"/>
      <c r="Y47" s="219"/>
      <c r="Z47" s="219"/>
      <c r="AA47" s="219"/>
    </row>
    <row r="48" spans="2:28" ht="15.75" customHeight="1" x14ac:dyDescent="0.25">
      <c r="B48" s="276">
        <v>44</v>
      </c>
      <c r="C48" s="733" t="s">
        <v>583</v>
      </c>
      <c r="D48" s="734"/>
      <c r="E48" s="284">
        <v>418</v>
      </c>
      <c r="F48" s="122">
        <f>VLOOKUP(O48,'FS Data'!$A:$B,2,FALSE)</f>
        <v>2</v>
      </c>
      <c r="G48" s="122">
        <f>VLOOKUP(P48,'FS Data'!$A:$B,2,FALSE)</f>
        <v>135962</v>
      </c>
      <c r="H48" s="122">
        <f>VLOOKUP(Q48,'FS Data'!$A:$B,2,FALSE)</f>
        <v>2500</v>
      </c>
      <c r="I48" s="122">
        <f>VLOOKUP(R48,'FS Data'!$A:$B,2,FALSE)</f>
        <v>1250</v>
      </c>
      <c r="J48" s="122">
        <f>VLOOKUP(S48,'FS Data'!$A:$B,2,FALSE)</f>
        <v>2</v>
      </c>
      <c r="K48" s="122">
        <f>VLOOKUP(T48,'FS Data'!$A:$B,2,FALSE)</f>
        <v>135962</v>
      </c>
      <c r="L48" s="122">
        <f>VLOOKUP(U48,'FS Data'!$A:$B,2,FALSE)</f>
        <v>2500</v>
      </c>
      <c r="M48" s="122">
        <f>VLOOKUP(V48,'FS Data'!$A:$B,2,FALSE)</f>
        <v>1250</v>
      </c>
      <c r="O48" s="215">
        <v>604412</v>
      </c>
      <c r="P48" s="215">
        <v>604414</v>
      </c>
      <c r="Q48" s="215">
        <v>604416</v>
      </c>
      <c r="R48" s="215">
        <v>604418</v>
      </c>
      <c r="S48" s="215">
        <v>604422</v>
      </c>
      <c r="T48" s="215">
        <v>604424</v>
      </c>
      <c r="U48" s="215">
        <v>604426</v>
      </c>
      <c r="V48" s="215">
        <v>604428</v>
      </c>
      <c r="W48" s="219"/>
      <c r="X48" s="219"/>
      <c r="Y48" s="219"/>
      <c r="Z48" s="219"/>
    </row>
    <row r="49" spans="2:26" ht="15.75" customHeight="1" x14ac:dyDescent="0.25">
      <c r="B49" s="276">
        <v>45</v>
      </c>
      <c r="C49" s="733" t="s">
        <v>584</v>
      </c>
      <c r="D49" s="320"/>
      <c r="E49" s="321">
        <v>419</v>
      </c>
      <c r="F49" s="122">
        <f>VLOOKUP(O49,'FS Data'!$A:$B,2,FALSE)</f>
        <v>0</v>
      </c>
      <c r="G49" s="122">
        <f>VLOOKUP(P49,'FS Data'!$A:$B,2,FALSE)</f>
        <v>0</v>
      </c>
      <c r="H49" s="122">
        <f>VLOOKUP(Q49,'FS Data'!$A:$B,2,FALSE)</f>
        <v>0</v>
      </c>
      <c r="I49" s="122">
        <f>VLOOKUP(R49,'FS Data'!$A:$B,2,FALSE)</f>
        <v>0</v>
      </c>
      <c r="J49" s="122">
        <f>VLOOKUP(S49,'FS Data'!$A:$B,2,FALSE)</f>
        <v>0</v>
      </c>
      <c r="K49" s="122">
        <f>VLOOKUP(T49,'FS Data'!$A:$B,2,FALSE)</f>
        <v>0</v>
      </c>
      <c r="L49" s="122">
        <f>VLOOKUP(U49,'FS Data'!$A:$B,2,FALSE)</f>
        <v>0</v>
      </c>
      <c r="M49" s="122">
        <f>VLOOKUP(V49,'FS Data'!$A:$B,2,FALSE)</f>
        <v>0</v>
      </c>
      <c r="O49" s="215">
        <v>604512</v>
      </c>
      <c r="P49" s="215">
        <v>604514</v>
      </c>
      <c r="Q49" s="215">
        <v>604516</v>
      </c>
      <c r="R49" s="215">
        <v>604518</v>
      </c>
      <c r="S49" s="215">
        <v>604522</v>
      </c>
      <c r="T49" s="215">
        <v>604524</v>
      </c>
      <c r="U49" s="215">
        <v>604526</v>
      </c>
      <c r="V49" s="215">
        <v>604528</v>
      </c>
      <c r="W49" s="219"/>
      <c r="X49" s="219"/>
      <c r="Y49" s="219"/>
      <c r="Z49" s="219"/>
    </row>
    <row r="50" spans="2:26" ht="15.75" customHeight="1" x14ac:dyDescent="0.25">
      <c r="B50" s="276">
        <v>46</v>
      </c>
      <c r="C50" s="733" t="s">
        <v>585</v>
      </c>
      <c r="D50" s="320"/>
      <c r="E50" s="321">
        <v>617</v>
      </c>
      <c r="F50" s="461"/>
      <c r="G50" s="455"/>
      <c r="H50" s="122">
        <f>VLOOKUP(Q50,'FS Data'!$A:$B,2,FALSE)</f>
        <v>0</v>
      </c>
      <c r="I50" s="461"/>
      <c r="J50" s="463"/>
      <c r="K50" s="455"/>
      <c r="L50" s="122">
        <f>VLOOKUP(U50,'FS Data'!$A:$B,2,FALSE)</f>
        <v>0</v>
      </c>
      <c r="M50" s="455"/>
      <c r="O50" s="215">
        <v>604612</v>
      </c>
      <c r="P50" s="215">
        <v>604614</v>
      </c>
      <c r="Q50" s="215">
        <v>604616</v>
      </c>
      <c r="R50" s="215">
        <v>604618</v>
      </c>
      <c r="S50" s="215">
        <v>604622</v>
      </c>
      <c r="T50" s="215">
        <v>604624</v>
      </c>
      <c r="U50" s="215">
        <v>604626</v>
      </c>
      <c r="V50" s="215">
        <v>604628</v>
      </c>
      <c r="W50" s="219"/>
      <c r="X50" s="219"/>
      <c r="Y50" s="219"/>
      <c r="Z50" s="219"/>
    </row>
    <row r="51" spans="2:26" ht="15.75" customHeight="1" x14ac:dyDescent="0.25">
      <c r="B51" s="276">
        <v>47</v>
      </c>
      <c r="C51" s="733" t="s">
        <v>586</v>
      </c>
      <c r="D51" s="322"/>
      <c r="E51" s="323" t="s">
        <v>157</v>
      </c>
      <c r="F51" s="462"/>
      <c r="G51" s="456"/>
      <c r="H51" s="122">
        <f>VLOOKUP(Q51,'FS Data'!$A:$B,2,FALSE)</f>
        <v>26727</v>
      </c>
      <c r="I51" s="462"/>
      <c r="J51" s="464"/>
      <c r="K51" s="456"/>
      <c r="L51" s="122">
        <f>VLOOKUP(U51,'FS Data'!$A:$B,2,FALSE)</f>
        <v>26727</v>
      </c>
      <c r="M51" s="456"/>
      <c r="O51" s="215">
        <v>604712</v>
      </c>
      <c r="P51" s="215">
        <v>604714</v>
      </c>
      <c r="Q51" s="215">
        <v>604716</v>
      </c>
      <c r="R51" s="215">
        <v>604718</v>
      </c>
      <c r="S51" s="215">
        <v>604722</v>
      </c>
      <c r="T51" s="215">
        <v>604724</v>
      </c>
      <c r="U51" s="215">
        <v>604726</v>
      </c>
      <c r="V51" s="215">
        <v>604728</v>
      </c>
      <c r="W51" s="219"/>
      <c r="X51" s="219"/>
      <c r="Y51" s="219"/>
      <c r="Z51" s="219"/>
    </row>
    <row r="52" spans="2:26" ht="21.75" customHeight="1" x14ac:dyDescent="0.25">
      <c r="B52" s="276">
        <v>48</v>
      </c>
      <c r="C52" s="731" t="s">
        <v>814</v>
      </c>
      <c r="D52" s="324"/>
      <c r="E52" s="457"/>
      <c r="F52" s="122">
        <f>VLOOKUP(O52,'FS Data'!$A:$B,2,FALSE)</f>
        <v>14</v>
      </c>
      <c r="G52" s="122">
        <f>VLOOKUP(P52,'FS Data'!$A:$B,2,FALSE)</f>
        <v>1119660</v>
      </c>
      <c r="H52" s="122">
        <f>VLOOKUP(Q52,'FS Data'!$A:$B,2,FALSE)</f>
        <v>69585</v>
      </c>
      <c r="I52" s="122">
        <f>VLOOKUP(R52,'FS Data'!$A:$B,2,FALSE)</f>
        <v>4970</v>
      </c>
      <c r="J52" s="122">
        <f>VLOOKUP(S52,'FS Data'!$A:$B,2,FALSE)</f>
        <v>14</v>
      </c>
      <c r="K52" s="122">
        <f>VLOOKUP(T52,'FS Data'!$A:$B,2,FALSE)</f>
        <v>1119660</v>
      </c>
      <c r="L52" s="122">
        <f>VLOOKUP(U52,'FS Data'!$A:$B,2,FALSE)</f>
        <v>69585</v>
      </c>
      <c r="M52" s="122">
        <f>VLOOKUP(V52,'FS Data'!$A:$B,2,FALSE)</f>
        <v>4970</v>
      </c>
      <c r="O52" s="215">
        <v>604812</v>
      </c>
      <c r="P52" s="215">
        <v>604814</v>
      </c>
      <c r="Q52" s="215">
        <v>604816</v>
      </c>
      <c r="R52" s="215">
        <v>604818</v>
      </c>
      <c r="S52" s="215">
        <v>604822</v>
      </c>
      <c r="T52" s="215">
        <v>604824</v>
      </c>
      <c r="U52" s="215">
        <v>604826</v>
      </c>
      <c r="V52" s="215">
        <v>604828</v>
      </c>
      <c r="W52" s="219"/>
      <c r="X52" s="219"/>
      <c r="Y52" s="219"/>
      <c r="Z52" s="219"/>
    </row>
    <row r="53" spans="2:26" ht="18" customHeight="1" x14ac:dyDescent="0.25">
      <c r="B53" s="276">
        <v>49</v>
      </c>
      <c r="C53" s="735" t="s">
        <v>588</v>
      </c>
      <c r="D53" s="735"/>
      <c r="E53" s="459"/>
      <c r="F53" s="458"/>
      <c r="G53" s="458"/>
      <c r="H53" s="458"/>
      <c r="I53" s="458"/>
      <c r="J53" s="458"/>
      <c r="K53" s="458"/>
      <c r="L53" s="458"/>
      <c r="M53" s="465"/>
      <c r="O53" s="215">
        <v>604912</v>
      </c>
      <c r="P53" s="215">
        <v>604914</v>
      </c>
      <c r="Q53" s="215">
        <v>604916</v>
      </c>
      <c r="R53" s="215">
        <v>604918</v>
      </c>
      <c r="S53" s="215">
        <v>604922</v>
      </c>
      <c r="T53" s="215">
        <v>604924</v>
      </c>
      <c r="U53" s="215">
        <v>604926</v>
      </c>
      <c r="V53" s="215">
        <v>604928</v>
      </c>
      <c r="W53" s="219"/>
      <c r="X53" s="219"/>
      <c r="Y53" s="219"/>
      <c r="Z53" s="219"/>
    </row>
    <row r="54" spans="2:26" ht="18" customHeight="1" x14ac:dyDescent="0.25">
      <c r="B54" s="276">
        <v>50</v>
      </c>
      <c r="C54" s="733" t="s">
        <v>776</v>
      </c>
      <c r="D54" s="730"/>
      <c r="E54" s="321" t="s">
        <v>246</v>
      </c>
      <c r="F54" s="122">
        <f>VLOOKUP(O54,'FS Data'!$A:$B,2,FALSE)</f>
        <v>34</v>
      </c>
      <c r="G54" s="122">
        <f>VLOOKUP(P54,'FS Data'!$A:$B,2,FALSE)</f>
        <v>41093</v>
      </c>
      <c r="H54" s="122">
        <f>VLOOKUP(Q54,'FS Data'!$A:$B,2,FALSE)</f>
        <v>26085</v>
      </c>
      <c r="I54" s="122">
        <f>VLOOKUP(R54,'FS Data'!$A:$B,2,FALSE)</f>
        <v>767</v>
      </c>
      <c r="J54" s="122">
        <f>VLOOKUP(S54,'FS Data'!$A:$B,2,FALSE)</f>
        <v>34</v>
      </c>
      <c r="K54" s="122">
        <f>VLOOKUP(T54,'FS Data'!$A:$B,2,FALSE)</f>
        <v>41093</v>
      </c>
      <c r="L54" s="122">
        <f>VLOOKUP(U54,'FS Data'!$A:$B,2,FALSE)</f>
        <v>26085</v>
      </c>
      <c r="M54" s="122">
        <f>VLOOKUP(V54,'FS Data'!$A:$B,2,FALSE)</f>
        <v>767</v>
      </c>
      <c r="O54" s="215">
        <v>605012</v>
      </c>
      <c r="P54" s="215">
        <v>605014</v>
      </c>
      <c r="Q54" s="215">
        <v>605016</v>
      </c>
      <c r="R54" s="215">
        <v>605018</v>
      </c>
      <c r="S54" s="215">
        <v>605022</v>
      </c>
      <c r="T54" s="215">
        <v>605024</v>
      </c>
      <c r="U54" s="215">
        <v>605026</v>
      </c>
      <c r="V54" s="215">
        <v>605028</v>
      </c>
      <c r="W54" s="219"/>
      <c r="X54" s="219"/>
      <c r="Y54" s="219"/>
      <c r="Z54" s="219"/>
    </row>
    <row r="55" spans="2:26" ht="18" customHeight="1" x14ac:dyDescent="0.25">
      <c r="B55" s="276">
        <v>51</v>
      </c>
      <c r="C55" s="733" t="s">
        <v>587</v>
      </c>
      <c r="D55" s="730"/>
      <c r="E55" s="321" t="s">
        <v>247</v>
      </c>
      <c r="F55" s="122">
        <f>VLOOKUP(O55,'FS Data'!$A:$B,2,FALSE)</f>
        <v>0</v>
      </c>
      <c r="G55" s="122">
        <f>VLOOKUP(P55,'FS Data'!$A:$B,2,FALSE)</f>
        <v>0</v>
      </c>
      <c r="H55" s="122">
        <f>VLOOKUP(Q55,'FS Data'!$A:$B,2,FALSE)</f>
        <v>0</v>
      </c>
      <c r="I55" s="122">
        <f>VLOOKUP(R55,'FS Data'!$A:$B,2,FALSE)</f>
        <v>0</v>
      </c>
      <c r="J55" s="122">
        <f>VLOOKUP(S55,'FS Data'!$A:$B,2,FALSE)</f>
        <v>0</v>
      </c>
      <c r="K55" s="122">
        <f>VLOOKUP(T55,'FS Data'!$A:$B,2,FALSE)</f>
        <v>0</v>
      </c>
      <c r="L55" s="122">
        <f>VLOOKUP(U55,'FS Data'!$A:$B,2,FALSE)</f>
        <v>0</v>
      </c>
      <c r="M55" s="122">
        <f>VLOOKUP(V55,'FS Data'!$A:$B,2,FALSE)</f>
        <v>0</v>
      </c>
      <c r="O55" s="215">
        <v>605112</v>
      </c>
      <c r="P55" s="215">
        <v>605114</v>
      </c>
      <c r="Q55" s="215">
        <v>605116</v>
      </c>
      <c r="R55" s="215">
        <v>605118</v>
      </c>
      <c r="S55" s="215">
        <v>605122</v>
      </c>
      <c r="T55" s="215">
        <v>605124</v>
      </c>
      <c r="U55" s="215">
        <v>605126</v>
      </c>
      <c r="V55" s="215">
        <v>605128</v>
      </c>
      <c r="W55" s="219"/>
      <c r="X55" s="219"/>
      <c r="Y55" s="219"/>
      <c r="Z55" s="219"/>
    </row>
    <row r="56" spans="2:26" ht="18" customHeight="1" x14ac:dyDescent="0.25">
      <c r="B56" s="276">
        <v>52</v>
      </c>
      <c r="C56" s="733" t="s">
        <v>588</v>
      </c>
      <c r="D56" s="730"/>
      <c r="E56" s="321" t="s">
        <v>248</v>
      </c>
      <c r="F56" s="122">
        <f>VLOOKUP(O56,'FS Data'!$A:$B,2,FALSE)</f>
        <v>3</v>
      </c>
      <c r="G56" s="122">
        <f>VLOOKUP(P56,'FS Data'!$A:$B,2,FALSE)</f>
        <v>1720</v>
      </c>
      <c r="H56" s="122">
        <f>VLOOKUP(Q56,'FS Data'!$A:$B,2,FALSE)</f>
        <v>607</v>
      </c>
      <c r="I56" s="122">
        <f>VLOOKUP(R56,'FS Data'!$A:$B,2,FALSE)</f>
        <v>202</v>
      </c>
      <c r="J56" s="122">
        <f>VLOOKUP(S56,'FS Data'!$A:$B,2,FALSE)</f>
        <v>3</v>
      </c>
      <c r="K56" s="122">
        <f>VLOOKUP(T56,'FS Data'!$A:$B,2,FALSE)</f>
        <v>1720</v>
      </c>
      <c r="L56" s="122">
        <f>VLOOKUP(U56,'FS Data'!$A:$B,2,FALSE)</f>
        <v>607</v>
      </c>
      <c r="M56" s="122">
        <f>VLOOKUP(V56,'FS Data'!$A:$B,2,FALSE)</f>
        <v>202</v>
      </c>
      <c r="O56" s="215">
        <v>605212</v>
      </c>
      <c r="P56" s="215">
        <v>605214</v>
      </c>
      <c r="Q56" s="215">
        <v>605216</v>
      </c>
      <c r="R56" s="215">
        <v>605218</v>
      </c>
      <c r="S56" s="215">
        <v>605222</v>
      </c>
      <c r="T56" s="215">
        <v>605224</v>
      </c>
      <c r="U56" s="215">
        <v>605226</v>
      </c>
      <c r="V56" s="215">
        <v>605228</v>
      </c>
      <c r="W56" s="219"/>
      <c r="X56" s="219"/>
      <c r="Y56" s="219"/>
      <c r="Z56" s="219"/>
    </row>
    <row r="57" spans="2:26" ht="23.25" customHeight="1" x14ac:dyDescent="0.25">
      <c r="B57" s="568">
        <v>53</v>
      </c>
      <c r="C57" s="731" t="s">
        <v>815</v>
      </c>
      <c r="D57" s="730"/>
      <c r="E57" s="455"/>
      <c r="F57" s="122">
        <f>VLOOKUP(O57,'FS Data'!$A:$B,2,FALSE)</f>
        <v>37</v>
      </c>
      <c r="G57" s="122">
        <f>VLOOKUP(P57,'FS Data'!$A:$B,2,FALSE)</f>
        <v>42813</v>
      </c>
      <c r="H57" s="122">
        <f>VLOOKUP(Q57,'FS Data'!$A:$B,2,FALSE)</f>
        <v>26692</v>
      </c>
      <c r="I57" s="122">
        <f>VLOOKUP(R57,'FS Data'!$A:$B,2,FALSE)</f>
        <v>721</v>
      </c>
      <c r="J57" s="122">
        <f>VLOOKUP(S57,'FS Data'!$A:$B,2,FALSE)</f>
        <v>37</v>
      </c>
      <c r="K57" s="122">
        <f>VLOOKUP(T57,'FS Data'!$A:$B,2,FALSE)</f>
        <v>42813</v>
      </c>
      <c r="L57" s="122">
        <f>VLOOKUP(U57,'FS Data'!$A:$B,2,FALSE)</f>
        <v>26692</v>
      </c>
      <c r="M57" s="122">
        <f>VLOOKUP(V57,'FS Data'!$A:$B,2,FALSE)</f>
        <v>721</v>
      </c>
      <c r="O57" s="215">
        <v>605312</v>
      </c>
      <c r="P57" s="215">
        <v>605314</v>
      </c>
      <c r="Q57" s="215">
        <v>605316</v>
      </c>
      <c r="R57" s="215">
        <v>605318</v>
      </c>
      <c r="S57" s="215">
        <v>605322</v>
      </c>
      <c r="T57" s="215">
        <v>605324</v>
      </c>
      <c r="U57" s="215">
        <v>605326</v>
      </c>
      <c r="V57" s="215">
        <v>605328</v>
      </c>
      <c r="W57" s="219"/>
      <c r="X57" s="219"/>
      <c r="Y57" s="219"/>
      <c r="Z57" s="219"/>
    </row>
    <row r="58" spans="2:26" ht="23.25" customHeight="1" x14ac:dyDescent="0.2">
      <c r="B58" s="276">
        <v>54</v>
      </c>
      <c r="C58" s="733" t="s">
        <v>589</v>
      </c>
      <c r="D58" s="730"/>
      <c r="E58" s="358" t="s">
        <v>183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122">
        <f>VLOOKUP(V58,'FS Data'!$A:$B,2,FALSE)</f>
        <v>0</v>
      </c>
      <c r="O58" s="215">
        <v>605412</v>
      </c>
      <c r="P58" s="215">
        <v>605414</v>
      </c>
      <c r="Q58" s="215">
        <v>605416</v>
      </c>
      <c r="R58" s="215">
        <v>605418</v>
      </c>
      <c r="S58" s="215">
        <v>605422</v>
      </c>
      <c r="T58" s="215">
        <v>605424</v>
      </c>
      <c r="U58" s="215">
        <v>605426</v>
      </c>
      <c r="V58" s="215">
        <v>605428</v>
      </c>
      <c r="W58" s="219"/>
      <c r="X58" s="219"/>
      <c r="Y58" s="219"/>
      <c r="Z58" s="219"/>
    </row>
    <row r="59" spans="2:26" ht="23.25" customHeight="1" x14ac:dyDescent="0.2">
      <c r="B59" s="739">
        <v>55</v>
      </c>
      <c r="C59" s="733" t="s">
        <v>590</v>
      </c>
      <c r="D59" s="730"/>
      <c r="E59" s="358" t="s">
        <v>184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122">
        <f>VLOOKUP(V59,'FS Data'!$A:$B,2,FALSE)</f>
        <v>0</v>
      </c>
      <c r="O59" s="215">
        <v>605512</v>
      </c>
      <c r="P59" s="215">
        <v>605514</v>
      </c>
      <c r="Q59" s="215">
        <v>605516</v>
      </c>
      <c r="R59" s="215">
        <v>605518</v>
      </c>
      <c r="S59" s="215">
        <v>605522</v>
      </c>
      <c r="T59" s="215">
        <v>605524</v>
      </c>
      <c r="U59" s="215">
        <v>605526</v>
      </c>
      <c r="V59" s="215">
        <v>605528</v>
      </c>
      <c r="W59" s="219"/>
      <c r="X59" s="219"/>
      <c r="Y59" s="219"/>
      <c r="Z59" s="219"/>
    </row>
    <row r="60" spans="2:26" ht="15.75" customHeight="1" x14ac:dyDescent="0.25">
      <c r="B60" s="276">
        <v>56</v>
      </c>
      <c r="C60" s="731" t="s">
        <v>816</v>
      </c>
      <c r="D60" s="730"/>
      <c r="E60" s="455"/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122">
        <f>VLOOKUP(V60,'FS Data'!$A:$B,2,FALSE)</f>
        <v>0</v>
      </c>
      <c r="O60" s="215">
        <v>605612</v>
      </c>
      <c r="P60" s="215">
        <v>605614</v>
      </c>
      <c r="Q60" s="215">
        <v>605616</v>
      </c>
      <c r="R60" s="215">
        <v>605618</v>
      </c>
      <c r="S60" s="215">
        <v>605622</v>
      </c>
      <c r="T60" s="215">
        <v>605624</v>
      </c>
      <c r="U60" s="215">
        <v>605626</v>
      </c>
      <c r="V60" s="215">
        <v>605628</v>
      </c>
      <c r="W60" s="219"/>
      <c r="X60" s="219"/>
      <c r="Y60" s="219"/>
      <c r="Z60" s="219"/>
    </row>
    <row r="61" spans="2:26" ht="15.75" customHeight="1" x14ac:dyDescent="0.25">
      <c r="B61" s="276">
        <v>57</v>
      </c>
      <c r="C61" s="735" t="s">
        <v>591</v>
      </c>
      <c r="D61" s="735"/>
      <c r="E61" s="459"/>
      <c r="F61" s="458"/>
      <c r="G61" s="458"/>
      <c r="H61" s="458"/>
      <c r="I61" s="458"/>
      <c r="J61" s="458"/>
      <c r="K61" s="458"/>
      <c r="L61" s="458"/>
      <c r="M61" s="465"/>
      <c r="O61" s="215">
        <v>605712</v>
      </c>
      <c r="P61" s="215">
        <v>605714</v>
      </c>
      <c r="Q61" s="215">
        <v>605716</v>
      </c>
      <c r="R61" s="215">
        <v>605718</v>
      </c>
      <c r="S61" s="215">
        <v>605722</v>
      </c>
      <c r="T61" s="215">
        <v>605724</v>
      </c>
      <c r="U61" s="215">
        <v>605726</v>
      </c>
      <c r="V61" s="215">
        <v>605728</v>
      </c>
      <c r="W61" s="219"/>
      <c r="X61" s="219"/>
      <c r="Y61" s="219"/>
      <c r="Z61" s="219"/>
    </row>
    <row r="62" spans="2:26" ht="15.75" customHeight="1" x14ac:dyDescent="0.25">
      <c r="B62" s="276">
        <v>58</v>
      </c>
      <c r="C62" s="852" t="s">
        <v>817</v>
      </c>
      <c r="D62" s="853"/>
      <c r="E62" s="459"/>
      <c r="F62" s="122">
        <f>VLOOKUP(O62,'FS Data'!$A:$B,2,FALSE)</f>
        <v>7</v>
      </c>
      <c r="G62" s="122">
        <f>VLOOKUP(P62,'FS Data'!$A:$B,2,FALSE)</f>
        <v>602178</v>
      </c>
      <c r="H62" s="122">
        <f>VLOOKUP(Q62,'FS Data'!$A:$B,2,FALSE)</f>
        <v>20933</v>
      </c>
      <c r="I62" s="122">
        <f>VLOOKUP(R62,'FS Data'!$A:$B,2,FALSE)</f>
        <v>2990</v>
      </c>
      <c r="J62" s="122">
        <f>VLOOKUP(S62,'FS Data'!$A:$B,2,FALSE)</f>
        <v>7</v>
      </c>
      <c r="K62" s="122">
        <f>VLOOKUP(T62,'FS Data'!$A:$B,2,FALSE)</f>
        <v>602178</v>
      </c>
      <c r="L62" s="122">
        <f>VLOOKUP(U62,'FS Data'!$A:$B,2,FALSE)</f>
        <v>20933</v>
      </c>
      <c r="M62" s="122">
        <f>VLOOKUP(V62,'FS Data'!$A:$B,2,FALSE)</f>
        <v>2990</v>
      </c>
      <c r="O62" s="215">
        <v>605812</v>
      </c>
      <c r="P62" s="215">
        <v>605814</v>
      </c>
      <c r="Q62" s="215">
        <v>605816</v>
      </c>
      <c r="R62" s="215">
        <v>605818</v>
      </c>
      <c r="S62" s="215">
        <v>605822</v>
      </c>
      <c r="T62" s="215">
        <v>605824</v>
      </c>
      <c r="U62" s="215">
        <v>605826</v>
      </c>
      <c r="V62" s="215">
        <v>605828</v>
      </c>
      <c r="W62" s="219"/>
      <c r="X62" s="219"/>
      <c r="Y62" s="219"/>
      <c r="Z62" s="219"/>
    </row>
    <row r="63" spans="2:26" ht="15.75" customHeight="1" x14ac:dyDescent="0.25">
      <c r="B63" s="276">
        <v>59</v>
      </c>
      <c r="C63" s="852" t="s">
        <v>926</v>
      </c>
      <c r="D63" s="853"/>
      <c r="E63" s="459"/>
      <c r="F63" s="122">
        <f>VLOOKUP(O63,'FS Data'!$A:$B,2,FALSE)</f>
        <v>5</v>
      </c>
      <c r="G63" s="122">
        <f>VLOOKUP(P63,'FS Data'!$A:$B,2,FALSE)</f>
        <v>381520</v>
      </c>
      <c r="H63" s="122">
        <f>VLOOKUP(Q63,'FS Data'!$A:$B,2,FALSE)</f>
        <v>19425</v>
      </c>
      <c r="I63" s="122">
        <f>VLOOKUP(R63,'FS Data'!$A:$B,2,FALSE)</f>
        <v>3885</v>
      </c>
      <c r="J63" s="122">
        <f>VLOOKUP(S63,'FS Data'!$A:$B,2,FALSE)</f>
        <v>5</v>
      </c>
      <c r="K63" s="122">
        <f>VLOOKUP(T63,'FS Data'!$A:$B,2,FALSE)</f>
        <v>381520</v>
      </c>
      <c r="L63" s="122">
        <f>VLOOKUP(U63,'FS Data'!$A:$B,2,FALSE)</f>
        <v>19425</v>
      </c>
      <c r="M63" s="122">
        <f>VLOOKUP(V63,'FS Data'!$A:$B,2,FALSE)</f>
        <v>3885</v>
      </c>
      <c r="O63" s="215">
        <v>605912</v>
      </c>
      <c r="P63" s="215">
        <v>605914</v>
      </c>
      <c r="Q63" s="215">
        <v>605916</v>
      </c>
      <c r="R63" s="215">
        <v>605918</v>
      </c>
      <c r="S63" s="215">
        <v>605922</v>
      </c>
      <c r="T63" s="215">
        <v>605924</v>
      </c>
      <c r="U63" s="215">
        <v>605926</v>
      </c>
      <c r="V63" s="215">
        <v>605928</v>
      </c>
      <c r="W63" s="219"/>
      <c r="X63" s="219"/>
      <c r="Y63" s="219"/>
      <c r="Z63" s="219"/>
    </row>
    <row r="64" spans="2:26" ht="15.75" customHeight="1" thickBot="1" x14ac:dyDescent="0.3">
      <c r="B64" s="299">
        <v>60</v>
      </c>
      <c r="C64" s="842" t="s">
        <v>927</v>
      </c>
      <c r="D64" s="843"/>
      <c r="E64" s="460"/>
      <c r="F64" s="267">
        <f>VLOOKUP(O64,'FS Data'!$A:$B,2,FALSE)</f>
        <v>0</v>
      </c>
      <c r="G64" s="267">
        <f>VLOOKUP(P64,'FS Data'!$A:$B,2,FALSE)</f>
        <v>0</v>
      </c>
      <c r="H64" s="267">
        <f>VLOOKUP(Q64,'FS Data'!$A:$B,2,FALSE)</f>
        <v>0</v>
      </c>
      <c r="I64" s="267">
        <f>VLOOKUP(R64,'FS Data'!$A:$B,2,FALSE)</f>
        <v>0</v>
      </c>
      <c r="J64" s="267">
        <f>VLOOKUP(S64,'FS Data'!$A:$B,2,FALSE)</f>
        <v>0</v>
      </c>
      <c r="K64" s="267">
        <f>VLOOKUP(T64,'FS Data'!$A:$B,2,FALSE)</f>
        <v>0</v>
      </c>
      <c r="L64" s="267">
        <f>VLOOKUP(U64,'FS Data'!$A:$B,2,FALSE)</f>
        <v>0</v>
      </c>
      <c r="M64" s="267">
        <f>VLOOKUP(V64,'FS Data'!$A:$B,2,FALSE)</f>
        <v>0</v>
      </c>
      <c r="O64" s="215">
        <v>606012</v>
      </c>
      <c r="P64" s="215">
        <v>606014</v>
      </c>
      <c r="Q64" s="215">
        <v>606016</v>
      </c>
      <c r="R64" s="215">
        <v>606018</v>
      </c>
      <c r="S64" s="215">
        <v>606022</v>
      </c>
      <c r="T64" s="215">
        <v>606024</v>
      </c>
      <c r="U64" s="215">
        <v>606026</v>
      </c>
      <c r="V64" s="215">
        <v>606028</v>
      </c>
      <c r="W64" s="219"/>
      <c r="X64" s="219"/>
      <c r="Y64" s="219"/>
      <c r="Z64" s="219"/>
    </row>
    <row r="65" spans="2:22" ht="15.75" customHeight="1" x14ac:dyDescent="0.25">
      <c r="B65" s="219"/>
      <c r="C65" s="623"/>
      <c r="D65" s="623"/>
      <c r="E65" s="219"/>
      <c r="F65" s="219"/>
      <c r="G65" s="219"/>
      <c r="H65" s="219"/>
      <c r="I65" s="219"/>
      <c r="J65" s="219"/>
      <c r="K65" s="219"/>
      <c r="L65" s="219"/>
      <c r="M65" s="219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19"/>
      <c r="C66" s="623"/>
      <c r="D66" s="623"/>
      <c r="E66" s="219"/>
      <c r="F66" s="219"/>
      <c r="G66" s="219"/>
      <c r="H66" s="219"/>
      <c r="I66" s="219"/>
      <c r="J66" s="219"/>
      <c r="K66" s="219"/>
      <c r="L66" s="219"/>
      <c r="M66" s="219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19"/>
      <c r="C67" s="623"/>
      <c r="D67" s="666"/>
      <c r="E67" s="219"/>
      <c r="F67" s="219"/>
      <c r="G67" s="219"/>
      <c r="H67" s="219"/>
      <c r="I67" s="219"/>
      <c r="J67" s="219"/>
      <c r="K67" s="219"/>
      <c r="L67" s="219"/>
      <c r="M67" s="219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19"/>
      <c r="C68" s="623"/>
      <c r="D68" s="623"/>
      <c r="E68" s="219"/>
      <c r="F68" s="219"/>
      <c r="G68" s="219"/>
      <c r="H68" s="219"/>
      <c r="I68" s="219"/>
      <c r="J68" s="219"/>
      <c r="K68" s="219"/>
      <c r="L68" s="219"/>
      <c r="M68" s="219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19"/>
      <c r="C69" s="623"/>
      <c r="D69" s="623"/>
      <c r="E69" s="219"/>
      <c r="F69" s="219"/>
      <c r="G69" s="219"/>
      <c r="H69" s="219"/>
      <c r="I69" s="219"/>
      <c r="J69" s="219"/>
      <c r="K69" s="219"/>
      <c r="L69" s="219"/>
      <c r="M69" s="219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19"/>
      <c r="C70" s="623"/>
      <c r="D70" s="623"/>
      <c r="E70" s="219"/>
      <c r="F70" s="219"/>
      <c r="G70" s="219"/>
      <c r="H70" s="219"/>
      <c r="I70" s="219"/>
      <c r="J70" s="219"/>
      <c r="K70" s="219"/>
      <c r="L70" s="219"/>
      <c r="M70" s="219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19"/>
      <c r="C71" s="623"/>
      <c r="D71" s="623"/>
      <c r="E71" s="219"/>
      <c r="F71" s="219"/>
      <c r="G71" s="219"/>
      <c r="H71" s="219"/>
      <c r="I71" s="219"/>
      <c r="J71" s="219"/>
      <c r="K71" s="219"/>
      <c r="L71" s="219"/>
      <c r="M71" s="219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19"/>
      <c r="D114" s="215"/>
      <c r="E114" s="215"/>
      <c r="F114" s="215"/>
      <c r="G114" s="215"/>
      <c r="H114" s="215"/>
      <c r="I114" s="215"/>
      <c r="J114" s="215"/>
      <c r="K114" s="21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19"/>
      <c r="D115" s="215"/>
      <c r="E115" s="215"/>
      <c r="F115" s="215"/>
      <c r="G115" s="215"/>
      <c r="H115" s="215"/>
      <c r="I115" s="215"/>
      <c r="J115" s="215"/>
      <c r="K115" s="21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19"/>
      <c r="D116" s="215"/>
      <c r="E116" s="215"/>
      <c r="F116" s="215"/>
      <c r="G116" s="215"/>
      <c r="H116" s="215"/>
      <c r="I116" s="215"/>
      <c r="J116" s="215"/>
      <c r="K116" s="21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19"/>
      <c r="D117" s="215"/>
      <c r="E117" s="215"/>
      <c r="F117" s="215"/>
      <c r="G117" s="215"/>
      <c r="H117" s="215"/>
      <c r="I117" s="215"/>
      <c r="J117" s="215"/>
      <c r="K117" s="21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19"/>
      <c r="D118" s="215"/>
      <c r="E118" s="215"/>
      <c r="F118" s="215"/>
      <c r="G118" s="215"/>
      <c r="H118" s="215"/>
      <c r="I118" s="215"/>
      <c r="J118" s="215"/>
      <c r="K118" s="21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19"/>
      <c r="D119" s="215"/>
      <c r="E119" s="215"/>
      <c r="F119" s="215"/>
      <c r="G119" s="215"/>
      <c r="H119" s="215"/>
      <c r="I119" s="215"/>
      <c r="J119" s="215"/>
      <c r="K119" s="21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19"/>
      <c r="D120" s="215"/>
      <c r="E120" s="215"/>
      <c r="F120" s="215"/>
      <c r="G120" s="215"/>
      <c r="H120" s="215"/>
      <c r="I120" s="215"/>
      <c r="J120" s="215"/>
      <c r="K120" s="21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19"/>
      <c r="D121" s="215"/>
      <c r="E121" s="215"/>
      <c r="F121" s="215"/>
      <c r="G121" s="215"/>
      <c r="H121" s="215"/>
      <c r="I121" s="215"/>
      <c r="J121" s="215"/>
      <c r="K121" s="21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19"/>
      <c r="D122" s="215"/>
      <c r="E122" s="215"/>
      <c r="F122" s="215"/>
      <c r="G122" s="215"/>
      <c r="H122" s="215"/>
      <c r="I122" s="215"/>
      <c r="J122" s="215"/>
      <c r="K122" s="21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19"/>
      <c r="D123" s="215"/>
      <c r="E123" s="215"/>
      <c r="F123" s="215"/>
      <c r="G123" s="215"/>
      <c r="H123" s="215"/>
      <c r="I123" s="215"/>
      <c r="J123" s="215"/>
      <c r="K123" s="21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19"/>
      <c r="D124" s="215"/>
      <c r="E124" s="215"/>
      <c r="F124" s="215"/>
      <c r="G124" s="215"/>
      <c r="H124" s="215"/>
      <c r="I124" s="215"/>
      <c r="J124" s="215"/>
      <c r="K124" s="21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19"/>
      <c r="D125" s="215"/>
      <c r="E125" s="215"/>
      <c r="F125" s="215"/>
      <c r="G125" s="215"/>
      <c r="H125" s="215"/>
      <c r="I125" s="215"/>
      <c r="J125" s="215"/>
      <c r="K125" s="21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19"/>
      <c r="D126" s="215"/>
      <c r="E126" s="215"/>
      <c r="F126" s="215"/>
      <c r="G126" s="215"/>
      <c r="H126" s="215"/>
      <c r="I126" s="215"/>
      <c r="J126" s="215"/>
      <c r="K126" s="21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19"/>
      <c r="D127" s="215"/>
      <c r="E127" s="215"/>
      <c r="F127" s="215"/>
      <c r="G127" s="215"/>
      <c r="H127" s="215"/>
      <c r="I127" s="215"/>
      <c r="J127" s="215"/>
      <c r="K127" s="21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3:22" ht="15.75" customHeight="1" x14ac:dyDescent="0.25">
      <c r="C128" s="219"/>
      <c r="D128" s="215"/>
      <c r="E128" s="215"/>
      <c r="F128" s="215"/>
      <c r="G128" s="215"/>
      <c r="H128" s="215"/>
      <c r="I128" s="215"/>
      <c r="J128" s="215"/>
      <c r="K128" s="215"/>
      <c r="M128" s="5"/>
    </row>
    <row r="129" spans="3:13" ht="15.75" customHeight="1" x14ac:dyDescent="0.25">
      <c r="C129" s="219"/>
      <c r="D129" s="215"/>
      <c r="E129" s="215"/>
      <c r="F129" s="215"/>
      <c r="G129" s="215"/>
      <c r="H129" s="215"/>
      <c r="I129" s="215"/>
      <c r="J129" s="215"/>
      <c r="K129" s="215"/>
      <c r="M129" s="5"/>
    </row>
    <row r="130" spans="3:13" ht="15.75" customHeight="1" x14ac:dyDescent="0.25">
      <c r="C130" s="219"/>
      <c r="D130" s="215"/>
      <c r="E130" s="215"/>
      <c r="F130" s="215"/>
      <c r="G130" s="215"/>
      <c r="H130" s="215"/>
      <c r="I130" s="215"/>
      <c r="J130" s="215"/>
      <c r="K130" s="215"/>
      <c r="M130" s="5"/>
    </row>
    <row r="131" spans="3:13" ht="15.75" customHeight="1" x14ac:dyDescent="0.25">
      <c r="C131" s="219"/>
      <c r="D131" s="215"/>
      <c r="E131" s="215"/>
      <c r="F131" s="215"/>
      <c r="G131" s="215"/>
      <c r="H131" s="215"/>
      <c r="I131" s="215"/>
      <c r="J131" s="215"/>
      <c r="K131" s="215"/>
      <c r="M131" s="5"/>
    </row>
    <row r="132" spans="3:13" ht="15.75" customHeight="1" x14ac:dyDescent="0.25">
      <c r="C132" s="219"/>
      <c r="D132" s="215"/>
      <c r="E132" s="215"/>
      <c r="F132" s="215"/>
      <c r="G132" s="215"/>
      <c r="H132" s="215"/>
      <c r="I132" s="215"/>
      <c r="J132" s="215"/>
      <c r="K132" s="215"/>
      <c r="M132" s="5"/>
    </row>
  </sheetData>
  <mergeCells count="9">
    <mergeCell ref="C64:D64"/>
    <mergeCell ref="B2:B3"/>
    <mergeCell ref="C2:D2"/>
    <mergeCell ref="F2:I2"/>
    <mergeCell ref="J2:M2"/>
    <mergeCell ref="E2:E3"/>
    <mergeCell ref="C3:D3"/>
    <mergeCell ref="C62:D62"/>
    <mergeCell ref="C63:D63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W235"/>
  <sheetViews>
    <sheetView showGridLines="0" showRowColHeaders="0" zoomScale="130" zoomScaleNormal="130" workbookViewId="0">
      <selection activeCell="B1" sqref="B1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13"/>
    <col min="22" max="16384" width="9.140625" style="80"/>
  </cols>
  <sheetData>
    <row r="1" spans="2:23" ht="18.75" customHeight="1" thickBot="1" x14ac:dyDescent="0.25">
      <c r="B1" s="383"/>
      <c r="C1" s="384"/>
      <c r="D1" s="384"/>
      <c r="E1" s="384"/>
      <c r="F1" s="384"/>
      <c r="G1" s="384"/>
      <c r="H1" s="384"/>
      <c r="I1" s="384"/>
      <c r="J1" s="384"/>
      <c r="K1" s="384"/>
      <c r="L1" s="385" t="s">
        <v>112</v>
      </c>
    </row>
    <row r="2" spans="2:23" ht="18.75" customHeight="1" x14ac:dyDescent="0.2">
      <c r="B2" s="854" t="s">
        <v>386</v>
      </c>
      <c r="C2" s="669" t="s">
        <v>573</v>
      </c>
      <c r="D2" s="856" t="s">
        <v>30</v>
      </c>
      <c r="E2" s="301" t="s">
        <v>517</v>
      </c>
      <c r="F2" s="301"/>
      <c r="G2" s="301"/>
      <c r="H2" s="670"/>
      <c r="I2" s="671" t="s">
        <v>519</v>
      </c>
      <c r="J2" s="672"/>
      <c r="K2" s="673"/>
      <c r="L2" s="674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</row>
    <row r="3" spans="2:23" ht="18.75" customHeight="1" thickBot="1" x14ac:dyDescent="0.25">
      <c r="B3" s="855"/>
      <c r="C3" s="675" t="s">
        <v>592</v>
      </c>
      <c r="D3" s="857"/>
      <c r="E3" s="305" t="s">
        <v>393</v>
      </c>
      <c r="F3" s="305" t="s">
        <v>450</v>
      </c>
      <c r="G3" s="305" t="s">
        <v>451</v>
      </c>
      <c r="H3" s="676" t="s">
        <v>575</v>
      </c>
      <c r="I3" s="675" t="s">
        <v>393</v>
      </c>
      <c r="J3" s="675" t="s">
        <v>450</v>
      </c>
      <c r="K3" s="675" t="s">
        <v>451</v>
      </c>
      <c r="L3" s="677" t="s">
        <v>575</v>
      </c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</row>
    <row r="4" spans="2:23" ht="18.75" customHeight="1" x14ac:dyDescent="0.2">
      <c r="B4" s="858" t="s">
        <v>576</v>
      </c>
      <c r="C4" s="859"/>
      <c r="D4" s="859"/>
      <c r="E4" s="859"/>
      <c r="F4" s="859"/>
      <c r="G4" s="859"/>
      <c r="H4" s="859"/>
      <c r="I4" s="678"/>
      <c r="J4" s="678"/>
      <c r="K4" s="679"/>
      <c r="L4" s="680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</row>
    <row r="5" spans="2:23" ht="18.75" customHeight="1" x14ac:dyDescent="0.2">
      <c r="B5" s="325">
        <v>1</v>
      </c>
      <c r="C5" s="681" t="s">
        <v>593</v>
      </c>
      <c r="D5" s="285">
        <v>439</v>
      </c>
      <c r="E5" s="212">
        <f>VLOOKUP(N5,'FS Data'!$A:$B,2,FALSE)</f>
        <v>0</v>
      </c>
      <c r="F5" s="114">
        <f>VLOOKUP(O5,'FS Data'!$A:$B,2,FALSE)</f>
        <v>0</v>
      </c>
      <c r="G5" s="114">
        <f>VLOOKUP(P5,'FS Data'!$A:$B,2,FALSE)</f>
        <v>0</v>
      </c>
      <c r="H5" s="114">
        <f>VLOOKUP(Q5,'FS Data'!$A:$B,2,FALSE)</f>
        <v>0</v>
      </c>
      <c r="I5" s="212">
        <f>VLOOKUP(R5,'FS Data'!$A:$B,2,FALSE)</f>
        <v>0</v>
      </c>
      <c r="J5" s="114">
        <f>VLOOKUP(S5,'FS Data'!$A:$B,2,FALSE)</f>
        <v>0</v>
      </c>
      <c r="K5" s="114">
        <f>VLOOKUP(T5,'FS Data'!$A:$B,2,FALSE)</f>
        <v>0</v>
      </c>
      <c r="L5" s="386">
        <f>VLOOKUP(U5,'FS Data'!$A:$B,2,FALSE)</f>
        <v>0</v>
      </c>
      <c r="M5" s="261"/>
      <c r="N5" s="262">
        <v>700112</v>
      </c>
      <c r="O5" s="262">
        <v>700114</v>
      </c>
      <c r="P5" s="262">
        <v>700116</v>
      </c>
      <c r="Q5" s="262">
        <v>700118</v>
      </c>
      <c r="R5" s="262">
        <v>700122</v>
      </c>
      <c r="S5" s="262">
        <v>700124</v>
      </c>
      <c r="T5" s="262">
        <v>700126</v>
      </c>
      <c r="U5" s="262">
        <v>700128</v>
      </c>
      <c r="V5" s="261"/>
      <c r="W5" s="261"/>
    </row>
    <row r="6" spans="2:23" ht="18.75" customHeight="1" x14ac:dyDescent="0.2">
      <c r="B6" s="325">
        <v>2</v>
      </c>
      <c r="C6" s="681" t="s">
        <v>818</v>
      </c>
      <c r="D6" s="285" t="s">
        <v>819</v>
      </c>
      <c r="E6" s="212">
        <f>VLOOKUP(N6,'FS Data'!$A:$B,2,FALSE)</f>
        <v>0</v>
      </c>
      <c r="F6" s="114">
        <f>VLOOKUP(O6,'FS Data'!$A:$B,2,FALSE)</f>
        <v>0</v>
      </c>
      <c r="G6" s="114">
        <f>VLOOKUP(P6,'FS Data'!$A:$B,2,FALSE)</f>
        <v>0</v>
      </c>
      <c r="H6" s="114">
        <f>VLOOKUP(Q6,'FS Data'!$A:$B,2,FALSE)</f>
        <v>0</v>
      </c>
      <c r="I6" s="212">
        <f>VLOOKUP(R6,'FS Data'!$A:$B,2,FALSE)</f>
        <v>0</v>
      </c>
      <c r="J6" s="114">
        <f>VLOOKUP(S6,'FS Data'!$A:$B,2,FALSE)</f>
        <v>0</v>
      </c>
      <c r="K6" s="114">
        <f>VLOOKUP(T6,'FS Data'!$A:$B,2,FALSE)</f>
        <v>0</v>
      </c>
      <c r="L6" s="386">
        <f>VLOOKUP(U6,'FS Data'!$A:$B,2,FALSE)</f>
        <v>0</v>
      </c>
      <c r="M6" s="261"/>
      <c r="N6" s="262">
        <v>700212</v>
      </c>
      <c r="O6" s="262">
        <v>700214</v>
      </c>
      <c r="P6" s="262">
        <v>700216</v>
      </c>
      <c r="Q6" s="262">
        <v>700218</v>
      </c>
      <c r="R6" s="262">
        <v>700222</v>
      </c>
      <c r="S6" s="262">
        <v>700224</v>
      </c>
      <c r="T6" s="262">
        <v>700226</v>
      </c>
      <c r="U6" s="262">
        <v>700228</v>
      </c>
      <c r="V6" s="261"/>
      <c r="W6" s="261"/>
    </row>
    <row r="7" spans="2:23" ht="18.75" customHeight="1" x14ac:dyDescent="0.2">
      <c r="B7" s="325">
        <v>3</v>
      </c>
      <c r="C7" s="681" t="s">
        <v>594</v>
      </c>
      <c r="D7" s="285">
        <v>440</v>
      </c>
      <c r="E7" s="212">
        <f>VLOOKUP(N7,'FS Data'!$A:$B,2,FALSE)</f>
        <v>0</v>
      </c>
      <c r="F7" s="114">
        <f>VLOOKUP(O7,'FS Data'!$A:$B,2,FALSE)</f>
        <v>0</v>
      </c>
      <c r="G7" s="114">
        <f>VLOOKUP(P7,'FS Data'!$A:$B,2,FALSE)</f>
        <v>0</v>
      </c>
      <c r="H7" s="114">
        <f>VLOOKUP(Q7,'FS Data'!$A:$B,2,FALSE)</f>
        <v>0</v>
      </c>
      <c r="I7" s="212">
        <f>VLOOKUP(R7,'FS Data'!$A:$B,2,FALSE)</f>
        <v>0</v>
      </c>
      <c r="J7" s="114">
        <f>VLOOKUP(S7,'FS Data'!$A:$B,2,FALSE)</f>
        <v>0</v>
      </c>
      <c r="K7" s="114">
        <f>VLOOKUP(T7,'FS Data'!$A:$B,2,FALSE)</f>
        <v>0</v>
      </c>
      <c r="L7" s="386">
        <f>VLOOKUP(U7,'FS Data'!$A:$B,2,FALSE)</f>
        <v>0</v>
      </c>
      <c r="M7" s="261"/>
      <c r="N7" s="262">
        <v>700312</v>
      </c>
      <c r="O7" s="262">
        <v>700314</v>
      </c>
      <c r="P7" s="262">
        <v>700316</v>
      </c>
      <c r="Q7" s="262">
        <v>700318</v>
      </c>
      <c r="R7" s="262">
        <v>700322</v>
      </c>
      <c r="S7" s="262">
        <v>700324</v>
      </c>
      <c r="T7" s="262">
        <v>700326</v>
      </c>
      <c r="U7" s="262">
        <v>700328</v>
      </c>
      <c r="V7" s="261"/>
      <c r="W7" s="261"/>
    </row>
    <row r="8" spans="2:23" ht="18.75" customHeight="1" x14ac:dyDescent="0.2">
      <c r="B8" s="325">
        <v>4</v>
      </c>
      <c r="C8" s="335" t="s">
        <v>595</v>
      </c>
      <c r="D8" s="285" t="s">
        <v>65</v>
      </c>
      <c r="E8" s="212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14">
        <f>VLOOKUP(Q8,'FS Data'!$A:$B,2,FALSE)</f>
        <v>0</v>
      </c>
      <c r="I8" s="212">
        <f>VLOOKUP(R8,'FS Data'!$A:$B,2,FALSE)</f>
        <v>0</v>
      </c>
      <c r="J8" s="114">
        <f>VLOOKUP(S8,'FS Data'!$A:$B,2,FALSE)</f>
        <v>0</v>
      </c>
      <c r="K8" s="114">
        <f>VLOOKUP(T8,'FS Data'!$A:$B,2,FALSE)</f>
        <v>0</v>
      </c>
      <c r="L8" s="386">
        <f>VLOOKUP(U8,'FS Data'!$A:$B,2,FALSE)</f>
        <v>0</v>
      </c>
      <c r="M8" s="261"/>
      <c r="N8" s="262">
        <v>700412</v>
      </c>
      <c r="O8" s="262">
        <v>700414</v>
      </c>
      <c r="P8" s="262">
        <v>700416</v>
      </c>
      <c r="Q8" s="262">
        <v>700418</v>
      </c>
      <c r="R8" s="262">
        <v>700422</v>
      </c>
      <c r="S8" s="262">
        <v>700424</v>
      </c>
      <c r="T8" s="262">
        <v>700426</v>
      </c>
      <c r="U8" s="262">
        <v>700428</v>
      </c>
      <c r="V8" s="261"/>
      <c r="W8" s="261"/>
    </row>
    <row r="9" spans="2:23" ht="18.75" customHeight="1" x14ac:dyDescent="0.2">
      <c r="B9" s="325">
        <v>5</v>
      </c>
      <c r="C9" s="335" t="s">
        <v>596</v>
      </c>
      <c r="D9" s="285" t="s">
        <v>101</v>
      </c>
      <c r="E9" s="212">
        <f>VLOOKUP(N9,'FS Data'!$A:$B,2,FALSE)</f>
        <v>0</v>
      </c>
      <c r="F9" s="114">
        <f>VLOOKUP(O9,'FS Data'!$A:$B,2,FALSE)</f>
        <v>0</v>
      </c>
      <c r="G9" s="114">
        <f>VLOOKUP(P9,'FS Data'!$A:$B,2,FALSE)</f>
        <v>0</v>
      </c>
      <c r="H9" s="114">
        <f>VLOOKUP(Q9,'FS Data'!$A:$B,2,FALSE)</f>
        <v>0</v>
      </c>
      <c r="I9" s="212">
        <f>VLOOKUP(R9,'FS Data'!$A:$B,2,FALSE)</f>
        <v>0</v>
      </c>
      <c r="J9" s="114">
        <f>VLOOKUP(S9,'FS Data'!$A:$B,2,FALSE)</f>
        <v>0</v>
      </c>
      <c r="K9" s="114">
        <f>VLOOKUP(T9,'FS Data'!$A:$B,2,FALSE)</f>
        <v>0</v>
      </c>
      <c r="L9" s="386">
        <f>VLOOKUP(U9,'FS Data'!$A:$B,2,FALSE)</f>
        <v>0</v>
      </c>
      <c r="M9" s="261"/>
      <c r="N9" s="262">
        <v>700512</v>
      </c>
      <c r="O9" s="262">
        <v>700514</v>
      </c>
      <c r="P9" s="262">
        <v>700516</v>
      </c>
      <c r="Q9" s="262">
        <v>700518</v>
      </c>
      <c r="R9" s="262">
        <v>700522</v>
      </c>
      <c r="S9" s="262">
        <v>700524</v>
      </c>
      <c r="T9" s="262">
        <v>700526</v>
      </c>
      <c r="U9" s="262">
        <v>700528</v>
      </c>
      <c r="V9" s="261"/>
      <c r="W9" s="261"/>
    </row>
    <row r="10" spans="2:23" ht="18.75" customHeight="1" x14ac:dyDescent="0.2">
      <c r="B10" s="325">
        <v>6</v>
      </c>
      <c r="C10" s="681" t="s">
        <v>943</v>
      </c>
      <c r="D10" s="285" t="s">
        <v>169</v>
      </c>
      <c r="E10" s="212">
        <f>VLOOKUP(N10,'FS Data'!$A:$B,2,FALSE)</f>
        <v>0</v>
      </c>
      <c r="F10" s="114">
        <f>VLOOKUP(O10,'FS Data'!$A:$B,2,FALSE)</f>
        <v>0</v>
      </c>
      <c r="G10" s="114">
        <f>VLOOKUP(P10,'FS Data'!$A:$B,2,FALSE)</f>
        <v>0</v>
      </c>
      <c r="H10" s="114">
        <f>VLOOKUP(Q10,'FS Data'!$A:$B,2,FALSE)</f>
        <v>0</v>
      </c>
      <c r="I10" s="212">
        <f>VLOOKUP(R10,'FS Data'!$A:$B,2,FALSE)</f>
        <v>0</v>
      </c>
      <c r="J10" s="114">
        <f>VLOOKUP(S10,'FS Data'!$A:$B,2,FALSE)</f>
        <v>0</v>
      </c>
      <c r="K10" s="114">
        <f>VLOOKUP(T10,'FS Data'!$A:$B,2,FALSE)</f>
        <v>0</v>
      </c>
      <c r="L10" s="386">
        <f>VLOOKUP(U10,'FS Data'!$A:$B,2,FALSE)</f>
        <v>0</v>
      </c>
      <c r="M10" s="261"/>
      <c r="N10" s="262">
        <v>700612</v>
      </c>
      <c r="O10" s="262">
        <v>700614</v>
      </c>
      <c r="P10" s="262">
        <v>700616</v>
      </c>
      <c r="Q10" s="262">
        <v>700618</v>
      </c>
      <c r="R10" s="262">
        <v>700622</v>
      </c>
      <c r="S10" s="262">
        <v>700624</v>
      </c>
      <c r="T10" s="262">
        <v>700626</v>
      </c>
      <c r="U10" s="262">
        <v>700628</v>
      </c>
      <c r="V10" s="261"/>
      <c r="W10" s="261"/>
    </row>
    <row r="11" spans="2:23" ht="18.75" customHeight="1" x14ac:dyDescent="0.2">
      <c r="B11" s="325">
        <v>7</v>
      </c>
      <c r="C11" s="681" t="s">
        <v>942</v>
      </c>
      <c r="D11" s="285" t="s">
        <v>820</v>
      </c>
      <c r="E11" s="212">
        <f>VLOOKUP(N11,'FS Data'!$A:$B,2,FALSE)</f>
        <v>0</v>
      </c>
      <c r="F11" s="114">
        <f>VLOOKUP(O11,'FS Data'!$A:$B,2,FALSE)</f>
        <v>0</v>
      </c>
      <c r="G11" s="114">
        <f>VLOOKUP(P11,'FS Data'!$A:$B,2,FALSE)</f>
        <v>0</v>
      </c>
      <c r="H11" s="114">
        <f>VLOOKUP(Q11,'FS Data'!$A:$B,2,FALSE)</f>
        <v>0</v>
      </c>
      <c r="I11" s="212">
        <f>VLOOKUP(R11,'FS Data'!$A:$B,2,FALSE)</f>
        <v>0</v>
      </c>
      <c r="J11" s="114">
        <f>VLOOKUP(S11,'FS Data'!$A:$B,2,FALSE)</f>
        <v>0</v>
      </c>
      <c r="K11" s="114">
        <f>VLOOKUP(T11,'FS Data'!$A:$B,2,FALSE)</f>
        <v>0</v>
      </c>
      <c r="L11" s="386">
        <f>VLOOKUP(U11,'FS Data'!$A:$B,2,FALSE)</f>
        <v>0</v>
      </c>
      <c r="M11" s="261"/>
      <c r="N11" s="262">
        <v>700712</v>
      </c>
      <c r="O11" s="262">
        <v>700714</v>
      </c>
      <c r="P11" s="262">
        <v>700716</v>
      </c>
      <c r="Q11" s="262">
        <v>700718</v>
      </c>
      <c r="R11" s="262">
        <v>700722</v>
      </c>
      <c r="S11" s="262">
        <v>700724</v>
      </c>
      <c r="T11" s="262">
        <v>700726</v>
      </c>
      <c r="U11" s="262">
        <v>700728</v>
      </c>
      <c r="V11" s="261"/>
      <c r="W11" s="261"/>
    </row>
    <row r="12" spans="2:23" ht="18.75" customHeight="1" x14ac:dyDescent="0.2">
      <c r="B12" s="325">
        <v>8</v>
      </c>
      <c r="C12" s="681" t="s">
        <v>597</v>
      </c>
      <c r="D12" s="285" t="s">
        <v>170</v>
      </c>
      <c r="E12" s="212">
        <f>VLOOKUP(N12,'FS Data'!$A:$B,2,FALSE)</f>
        <v>0</v>
      </c>
      <c r="F12" s="114">
        <f>VLOOKUP(O12,'FS Data'!$A:$B,2,FALSE)</f>
        <v>0</v>
      </c>
      <c r="G12" s="114">
        <f>VLOOKUP(P12,'FS Data'!$A:$B,2,FALSE)</f>
        <v>0</v>
      </c>
      <c r="H12" s="114">
        <f>VLOOKUP(Q12,'FS Data'!$A:$B,2,FALSE)</f>
        <v>0</v>
      </c>
      <c r="I12" s="212">
        <f>VLOOKUP(R12,'FS Data'!$A:$B,2,FALSE)</f>
        <v>0</v>
      </c>
      <c r="J12" s="114">
        <f>VLOOKUP(S12,'FS Data'!$A:$B,2,FALSE)</f>
        <v>0</v>
      </c>
      <c r="K12" s="114">
        <f>VLOOKUP(T12,'FS Data'!$A:$B,2,FALSE)</f>
        <v>0</v>
      </c>
      <c r="L12" s="386">
        <f>VLOOKUP(U12,'FS Data'!$A:$B,2,FALSE)</f>
        <v>0</v>
      </c>
      <c r="M12" s="261"/>
      <c r="N12" s="262">
        <v>700812</v>
      </c>
      <c r="O12" s="262">
        <v>700814</v>
      </c>
      <c r="P12" s="262">
        <v>700816</v>
      </c>
      <c r="Q12" s="262">
        <v>700818</v>
      </c>
      <c r="R12" s="262">
        <v>700822</v>
      </c>
      <c r="S12" s="262">
        <v>700824</v>
      </c>
      <c r="T12" s="262">
        <v>700826</v>
      </c>
      <c r="U12" s="262">
        <v>700828</v>
      </c>
      <c r="V12" s="261"/>
      <c r="W12" s="261"/>
    </row>
    <row r="13" spans="2:23" ht="18.75" customHeight="1" x14ac:dyDescent="0.2">
      <c r="B13" s="325">
        <v>9</v>
      </c>
      <c r="C13" s="681" t="s">
        <v>598</v>
      </c>
      <c r="D13" s="285" t="s">
        <v>64</v>
      </c>
      <c r="E13" s="212">
        <f>VLOOKUP(N13,'FS Data'!$A:$B,2,FALSE)</f>
        <v>0</v>
      </c>
      <c r="F13" s="114">
        <f>VLOOKUP(O13,'FS Data'!$A:$B,2,FALSE)</f>
        <v>0</v>
      </c>
      <c r="G13" s="114">
        <f>VLOOKUP(P13,'FS Data'!$A:$B,2,FALSE)</f>
        <v>0</v>
      </c>
      <c r="H13" s="114">
        <f>VLOOKUP(Q13,'FS Data'!$A:$B,2,FALSE)</f>
        <v>0</v>
      </c>
      <c r="I13" s="212">
        <f>VLOOKUP(R13,'FS Data'!$A:$B,2,FALSE)</f>
        <v>0</v>
      </c>
      <c r="J13" s="114">
        <f>VLOOKUP(S13,'FS Data'!$A:$B,2,FALSE)</f>
        <v>0</v>
      </c>
      <c r="K13" s="114">
        <f>VLOOKUP(T13,'FS Data'!$A:$B,2,FALSE)</f>
        <v>0</v>
      </c>
      <c r="L13" s="386">
        <f>VLOOKUP(U13,'FS Data'!$A:$B,2,FALSE)</f>
        <v>0</v>
      </c>
      <c r="M13" s="261"/>
      <c r="N13" s="262">
        <v>700912</v>
      </c>
      <c r="O13" s="262">
        <v>700914</v>
      </c>
      <c r="P13" s="262">
        <v>700916</v>
      </c>
      <c r="Q13" s="262">
        <v>700918</v>
      </c>
      <c r="R13" s="262">
        <v>700922</v>
      </c>
      <c r="S13" s="262">
        <v>700924</v>
      </c>
      <c r="T13" s="262">
        <v>700926</v>
      </c>
      <c r="U13" s="262">
        <v>700928</v>
      </c>
      <c r="V13" s="261"/>
      <c r="W13" s="261"/>
    </row>
    <row r="14" spans="2:23" ht="18.75" customHeight="1" x14ac:dyDescent="0.2">
      <c r="B14" s="325">
        <v>10</v>
      </c>
      <c r="C14" s="681" t="s">
        <v>821</v>
      </c>
      <c r="D14" s="285" t="s">
        <v>822</v>
      </c>
      <c r="E14" s="212">
        <f>VLOOKUP(N14,'FS Data'!$A:$B,2,FALSE)</f>
        <v>0</v>
      </c>
      <c r="F14" s="114">
        <f>VLOOKUP(O14,'FS Data'!$A:$B,2,FALSE)</f>
        <v>0</v>
      </c>
      <c r="G14" s="114">
        <f>VLOOKUP(P14,'FS Data'!$A:$B,2,FALSE)</f>
        <v>0</v>
      </c>
      <c r="H14" s="114">
        <f>VLOOKUP(Q14,'FS Data'!$A:$B,2,FALSE)</f>
        <v>0</v>
      </c>
      <c r="I14" s="212">
        <f>VLOOKUP(R14,'FS Data'!$A:$B,2,FALSE)</f>
        <v>0</v>
      </c>
      <c r="J14" s="114">
        <f>VLOOKUP(S14,'FS Data'!$A:$B,2,FALSE)</f>
        <v>0</v>
      </c>
      <c r="K14" s="114">
        <f>VLOOKUP(T14,'FS Data'!$A:$B,2,FALSE)</f>
        <v>0</v>
      </c>
      <c r="L14" s="386">
        <f>VLOOKUP(U14,'FS Data'!$A:$B,2,FALSE)</f>
        <v>0</v>
      </c>
      <c r="M14" s="261"/>
      <c r="N14" s="262">
        <v>701012</v>
      </c>
      <c r="O14" s="262">
        <v>701014</v>
      </c>
      <c r="P14" s="262">
        <v>701016</v>
      </c>
      <c r="Q14" s="262">
        <v>701018</v>
      </c>
      <c r="R14" s="262">
        <v>701022</v>
      </c>
      <c r="S14" s="262">
        <v>701024</v>
      </c>
      <c r="T14" s="262">
        <v>701026</v>
      </c>
      <c r="U14" s="262">
        <v>701028</v>
      </c>
      <c r="V14" s="261"/>
      <c r="W14" s="261"/>
    </row>
    <row r="15" spans="2:23" ht="18.75" customHeight="1" x14ac:dyDescent="0.2">
      <c r="B15" s="325">
        <v>11</v>
      </c>
      <c r="C15" s="681" t="s">
        <v>599</v>
      </c>
      <c r="D15" s="285" t="s">
        <v>66</v>
      </c>
      <c r="E15" s="212">
        <f>VLOOKUP(N15,'FS Data'!$A:$B,2,FALSE)</f>
        <v>0</v>
      </c>
      <c r="F15" s="114">
        <f>VLOOKUP(O15,'FS Data'!$A:$B,2,FALSE)</f>
        <v>0</v>
      </c>
      <c r="G15" s="114">
        <f>VLOOKUP(P15,'FS Data'!$A:$B,2,FALSE)</f>
        <v>0</v>
      </c>
      <c r="H15" s="114">
        <f>VLOOKUP(Q15,'FS Data'!$A:$B,2,FALSE)</f>
        <v>0</v>
      </c>
      <c r="I15" s="212">
        <f>VLOOKUP(R15,'FS Data'!$A:$B,2,FALSE)</f>
        <v>0</v>
      </c>
      <c r="J15" s="114">
        <f>VLOOKUP(S15,'FS Data'!$A:$B,2,FALSE)</f>
        <v>0</v>
      </c>
      <c r="K15" s="114">
        <f>VLOOKUP(T15,'FS Data'!$A:$B,2,FALSE)</f>
        <v>0</v>
      </c>
      <c r="L15" s="386">
        <f>VLOOKUP(U15,'FS Data'!$A:$B,2,FALSE)</f>
        <v>0</v>
      </c>
      <c r="M15" s="261"/>
      <c r="N15" s="262">
        <v>701112</v>
      </c>
      <c r="O15" s="262">
        <v>701114</v>
      </c>
      <c r="P15" s="262">
        <v>701116</v>
      </c>
      <c r="Q15" s="262">
        <v>701118</v>
      </c>
      <c r="R15" s="262">
        <v>701122</v>
      </c>
      <c r="S15" s="262">
        <v>701124</v>
      </c>
      <c r="T15" s="262">
        <v>701126</v>
      </c>
      <c r="U15" s="262">
        <v>701128</v>
      </c>
      <c r="V15" s="261"/>
      <c r="W15" s="261"/>
    </row>
    <row r="16" spans="2:23" ht="18.75" customHeight="1" x14ac:dyDescent="0.2">
      <c r="B16" s="325">
        <v>12</v>
      </c>
      <c r="C16" s="681" t="s">
        <v>600</v>
      </c>
      <c r="D16" s="285" t="s">
        <v>81</v>
      </c>
      <c r="E16" s="212">
        <f>VLOOKUP(N16,'FS Data'!$A:$B,2,FALSE)</f>
        <v>0</v>
      </c>
      <c r="F16" s="114">
        <f>VLOOKUP(O16,'FS Data'!$A:$B,2,FALSE)</f>
        <v>0</v>
      </c>
      <c r="G16" s="114">
        <f>VLOOKUP(P16,'FS Data'!$A:$B,2,FALSE)</f>
        <v>0</v>
      </c>
      <c r="H16" s="114">
        <f>VLOOKUP(Q16,'FS Data'!$A:$B,2,FALSE)</f>
        <v>0</v>
      </c>
      <c r="I16" s="212">
        <f>VLOOKUP(R16,'FS Data'!$A:$B,2,FALSE)</f>
        <v>0</v>
      </c>
      <c r="J16" s="114">
        <f>VLOOKUP(S16,'FS Data'!$A:$B,2,FALSE)</f>
        <v>0</v>
      </c>
      <c r="K16" s="114">
        <f>VLOOKUP(T16,'FS Data'!$A:$B,2,FALSE)</f>
        <v>0</v>
      </c>
      <c r="L16" s="386">
        <f>VLOOKUP(U16,'FS Data'!$A:$B,2,FALSE)</f>
        <v>0</v>
      </c>
      <c r="M16" s="261"/>
      <c r="N16" s="262">
        <v>701212</v>
      </c>
      <c r="O16" s="262">
        <v>701214</v>
      </c>
      <c r="P16" s="262">
        <v>701216</v>
      </c>
      <c r="Q16" s="262">
        <v>701218</v>
      </c>
      <c r="R16" s="262">
        <v>701222</v>
      </c>
      <c r="S16" s="262">
        <v>701224</v>
      </c>
      <c r="T16" s="262">
        <v>701226</v>
      </c>
      <c r="U16" s="262">
        <v>701228</v>
      </c>
      <c r="V16" s="261"/>
      <c r="W16" s="261"/>
    </row>
    <row r="17" spans="2:23" ht="18.75" customHeight="1" x14ac:dyDescent="0.2">
      <c r="B17" s="325">
        <v>13</v>
      </c>
      <c r="C17" s="682" t="s">
        <v>601</v>
      </c>
      <c r="D17" s="285" t="s">
        <v>199</v>
      </c>
      <c r="E17" s="212">
        <f>VLOOKUP(N17,'FS Data'!$A:$B,2,FALSE)</f>
        <v>0</v>
      </c>
      <c r="F17" s="114">
        <f>VLOOKUP(O17,'FS Data'!$A:$B,2,FALSE)</f>
        <v>0</v>
      </c>
      <c r="G17" s="114">
        <f>VLOOKUP(P17,'FS Data'!$A:$B,2,FALSE)</f>
        <v>0</v>
      </c>
      <c r="H17" s="114">
        <f>VLOOKUP(Q17,'FS Data'!$A:$B,2,FALSE)</f>
        <v>0</v>
      </c>
      <c r="I17" s="212">
        <f>VLOOKUP(R17,'FS Data'!$A:$B,2,FALSE)</f>
        <v>0</v>
      </c>
      <c r="J17" s="114">
        <f>VLOOKUP(S17,'FS Data'!$A:$B,2,FALSE)</f>
        <v>0</v>
      </c>
      <c r="K17" s="114">
        <f>VLOOKUP(T17,'FS Data'!$A:$B,2,FALSE)</f>
        <v>0</v>
      </c>
      <c r="L17" s="386">
        <f>VLOOKUP(U17,'FS Data'!$A:$B,2,FALSE)</f>
        <v>0</v>
      </c>
      <c r="M17" s="261"/>
      <c r="N17" s="262">
        <v>701312</v>
      </c>
      <c r="O17" s="262">
        <v>701314</v>
      </c>
      <c r="P17" s="262">
        <v>701316</v>
      </c>
      <c r="Q17" s="262">
        <v>701318</v>
      </c>
      <c r="R17" s="262">
        <v>701322</v>
      </c>
      <c r="S17" s="262">
        <v>701324</v>
      </c>
      <c r="T17" s="262">
        <v>701326</v>
      </c>
      <c r="U17" s="262">
        <v>701328</v>
      </c>
      <c r="V17" s="261"/>
      <c r="W17" s="261"/>
    </row>
    <row r="18" spans="2:23" ht="18.75" customHeight="1" x14ac:dyDescent="0.2">
      <c r="B18" s="325">
        <v>14</v>
      </c>
      <c r="C18" s="683" t="s">
        <v>602</v>
      </c>
      <c r="D18" s="285" t="s">
        <v>22</v>
      </c>
      <c r="E18" s="212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14">
        <f>VLOOKUP(Q18,'FS Data'!$A:$B,2,FALSE)</f>
        <v>0</v>
      </c>
      <c r="I18" s="212">
        <f>VLOOKUP(R18,'FS Data'!$A:$B,2,FALSE)</f>
        <v>0</v>
      </c>
      <c r="J18" s="114">
        <f>VLOOKUP(S18,'FS Data'!$A:$B,2,FALSE)</f>
        <v>0</v>
      </c>
      <c r="K18" s="114">
        <f>VLOOKUP(T18,'FS Data'!$A:$B,2,FALSE)</f>
        <v>0</v>
      </c>
      <c r="L18" s="386">
        <f>VLOOKUP(U18,'FS Data'!$A:$B,2,FALSE)</f>
        <v>0</v>
      </c>
      <c r="M18" s="261"/>
      <c r="N18" s="262">
        <v>701412</v>
      </c>
      <c r="O18" s="262">
        <v>701414</v>
      </c>
      <c r="P18" s="262">
        <v>701416</v>
      </c>
      <c r="Q18" s="262">
        <v>701418</v>
      </c>
      <c r="R18" s="262">
        <v>701422</v>
      </c>
      <c r="S18" s="262">
        <v>701424</v>
      </c>
      <c r="T18" s="262">
        <v>701426</v>
      </c>
      <c r="U18" s="262">
        <v>701428</v>
      </c>
      <c r="V18" s="261"/>
      <c r="W18" s="261"/>
    </row>
    <row r="19" spans="2:23" ht="18.75" customHeight="1" x14ac:dyDescent="0.2">
      <c r="B19" s="325">
        <v>15</v>
      </c>
      <c r="C19" s="683" t="s">
        <v>603</v>
      </c>
      <c r="D19" s="285" t="s">
        <v>200</v>
      </c>
      <c r="E19" s="212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14">
        <f>VLOOKUP(Q19,'FS Data'!$A:$B,2,FALSE)</f>
        <v>0</v>
      </c>
      <c r="I19" s="212">
        <f>VLOOKUP(R19,'FS Data'!$A:$B,2,FALSE)</f>
        <v>0</v>
      </c>
      <c r="J19" s="114">
        <f>VLOOKUP(S19,'FS Data'!$A:$B,2,FALSE)</f>
        <v>0</v>
      </c>
      <c r="K19" s="114">
        <f>VLOOKUP(T19,'FS Data'!$A:$B,2,FALSE)</f>
        <v>0</v>
      </c>
      <c r="L19" s="386">
        <f>VLOOKUP(U19,'FS Data'!$A:$B,2,FALSE)</f>
        <v>0</v>
      </c>
      <c r="M19" s="261"/>
      <c r="N19" s="262">
        <v>701512</v>
      </c>
      <c r="O19" s="262">
        <v>701514</v>
      </c>
      <c r="P19" s="262">
        <v>701516</v>
      </c>
      <c r="Q19" s="262">
        <v>701518</v>
      </c>
      <c r="R19" s="262">
        <v>701522</v>
      </c>
      <c r="S19" s="262">
        <v>701524</v>
      </c>
      <c r="T19" s="262">
        <v>701526</v>
      </c>
      <c r="U19" s="262">
        <v>701528</v>
      </c>
      <c r="V19" s="261"/>
      <c r="W19" s="261"/>
    </row>
    <row r="20" spans="2:23" ht="18.75" customHeight="1" x14ac:dyDescent="0.2">
      <c r="B20" s="325">
        <v>16</v>
      </c>
      <c r="C20" s="683" t="s">
        <v>604</v>
      </c>
      <c r="D20" s="285" t="s">
        <v>159</v>
      </c>
      <c r="E20" s="212">
        <f>VLOOKUP(N20,'FS Data'!$A:$B,2,FALSE)</f>
        <v>0</v>
      </c>
      <c r="F20" s="114">
        <f>VLOOKUP(O20,'FS Data'!$A:$B,2,FALSE)</f>
        <v>0</v>
      </c>
      <c r="G20" s="114">
        <f>VLOOKUP(P20,'FS Data'!$A:$B,2,FALSE)</f>
        <v>0</v>
      </c>
      <c r="H20" s="114">
        <f>VLOOKUP(Q20,'FS Data'!$A:$B,2,FALSE)</f>
        <v>0</v>
      </c>
      <c r="I20" s="212">
        <f>VLOOKUP(R20,'FS Data'!$A:$B,2,FALSE)</f>
        <v>0</v>
      </c>
      <c r="J20" s="114">
        <f>VLOOKUP(S20,'FS Data'!$A:$B,2,FALSE)</f>
        <v>0</v>
      </c>
      <c r="K20" s="114">
        <f>VLOOKUP(T20,'FS Data'!$A:$B,2,FALSE)</f>
        <v>0</v>
      </c>
      <c r="L20" s="386">
        <f>VLOOKUP(U20,'FS Data'!$A:$B,2,FALSE)</f>
        <v>0</v>
      </c>
      <c r="M20" s="261"/>
      <c r="N20" s="262">
        <v>701612</v>
      </c>
      <c r="O20" s="262">
        <v>701614</v>
      </c>
      <c r="P20" s="262">
        <v>701616</v>
      </c>
      <c r="Q20" s="262">
        <v>701618</v>
      </c>
      <c r="R20" s="262">
        <v>701622</v>
      </c>
      <c r="S20" s="262">
        <v>701624</v>
      </c>
      <c r="T20" s="262">
        <v>701626</v>
      </c>
      <c r="U20" s="262">
        <v>701628</v>
      </c>
      <c r="V20" s="261"/>
      <c r="W20" s="261"/>
    </row>
    <row r="21" spans="2:23" ht="18.75" customHeight="1" x14ac:dyDescent="0.2">
      <c r="B21" s="325">
        <v>17</v>
      </c>
      <c r="C21" s="684" t="s">
        <v>823</v>
      </c>
      <c r="D21" s="326"/>
      <c r="E21" s="212">
        <f>VLOOKUP(N21,'FS Data'!$A:$B,2,FALSE)</f>
        <v>0</v>
      </c>
      <c r="F21" s="114">
        <f>VLOOKUP(O21,'FS Data'!$A:$B,2,FALSE)</f>
        <v>0</v>
      </c>
      <c r="G21" s="114">
        <f>VLOOKUP(P21,'FS Data'!$A:$B,2,FALSE)</f>
        <v>0</v>
      </c>
      <c r="H21" s="114">
        <f>VLOOKUP(Q21,'FS Data'!$A:$B,2,FALSE)</f>
        <v>0</v>
      </c>
      <c r="I21" s="212">
        <f>VLOOKUP(R21,'FS Data'!$A:$B,2,FALSE)</f>
        <v>0</v>
      </c>
      <c r="J21" s="114">
        <f>VLOOKUP(S21,'FS Data'!$A:$B,2,FALSE)</f>
        <v>0</v>
      </c>
      <c r="K21" s="114">
        <f>VLOOKUP(T21,'FS Data'!$A:$B,2,FALSE)</f>
        <v>0</v>
      </c>
      <c r="L21" s="386">
        <f>VLOOKUP(U21,'FS Data'!$A:$B,2,FALSE)</f>
        <v>0</v>
      </c>
      <c r="M21" s="261"/>
      <c r="N21" s="262">
        <v>701712</v>
      </c>
      <c r="O21" s="262">
        <v>701714</v>
      </c>
      <c r="P21" s="262">
        <v>701716</v>
      </c>
      <c r="Q21" s="262">
        <v>701718</v>
      </c>
      <c r="R21" s="262">
        <v>701722</v>
      </c>
      <c r="S21" s="262">
        <v>701724</v>
      </c>
      <c r="T21" s="262">
        <v>701726</v>
      </c>
      <c r="U21" s="262">
        <v>701728</v>
      </c>
      <c r="V21" s="261"/>
      <c r="W21" s="261"/>
    </row>
    <row r="22" spans="2:23" ht="18.75" customHeight="1" x14ac:dyDescent="0.2">
      <c r="B22" s="325">
        <v>18</v>
      </c>
      <c r="C22" s="335" t="s">
        <v>605</v>
      </c>
      <c r="D22" s="285" t="s">
        <v>73</v>
      </c>
      <c r="E22" s="212">
        <f>VLOOKUP(N22,'FS Data'!$A:$B,2,FALSE)</f>
        <v>0</v>
      </c>
      <c r="F22" s="114">
        <f>VLOOKUP(O22,'FS Data'!$A:$B,2,FALSE)</f>
        <v>0</v>
      </c>
      <c r="G22" s="114">
        <f>VLOOKUP(P22,'FS Data'!$A:$B,2,FALSE)</f>
        <v>0</v>
      </c>
      <c r="H22" s="114">
        <f>VLOOKUP(Q22,'FS Data'!$A:$B,2,FALSE)</f>
        <v>0</v>
      </c>
      <c r="I22" s="212">
        <f>VLOOKUP(R22,'FS Data'!$A:$B,2,FALSE)</f>
        <v>0</v>
      </c>
      <c r="J22" s="114">
        <f>VLOOKUP(S22,'FS Data'!$A:$B,2,FALSE)</f>
        <v>0</v>
      </c>
      <c r="K22" s="114">
        <f>VLOOKUP(T22,'FS Data'!$A:$B,2,FALSE)</f>
        <v>0</v>
      </c>
      <c r="L22" s="386">
        <f>VLOOKUP(U22,'FS Data'!$A:$B,2,FALSE)</f>
        <v>0</v>
      </c>
      <c r="M22" s="261"/>
      <c r="N22" s="262">
        <v>701812</v>
      </c>
      <c r="O22" s="262">
        <v>701814</v>
      </c>
      <c r="P22" s="262">
        <v>701816</v>
      </c>
      <c r="Q22" s="262">
        <v>701818</v>
      </c>
      <c r="R22" s="262">
        <v>701822</v>
      </c>
      <c r="S22" s="262">
        <v>701824</v>
      </c>
      <c r="T22" s="262">
        <v>701826</v>
      </c>
      <c r="U22" s="262">
        <v>701828</v>
      </c>
      <c r="V22" s="261"/>
      <c r="W22" s="261"/>
    </row>
    <row r="23" spans="2:23" ht="18.75" customHeight="1" x14ac:dyDescent="0.2">
      <c r="B23" s="325">
        <v>19</v>
      </c>
      <c r="C23" s="335" t="s">
        <v>606</v>
      </c>
      <c r="D23" s="285" t="s">
        <v>82</v>
      </c>
      <c r="E23" s="212">
        <f>VLOOKUP(N23,'FS Data'!$A:$B,2,FALSE)</f>
        <v>0</v>
      </c>
      <c r="F23" s="114">
        <f>VLOOKUP(O23,'FS Data'!$A:$B,2,FALSE)</f>
        <v>0</v>
      </c>
      <c r="G23" s="114">
        <f>VLOOKUP(P23,'FS Data'!$A:$B,2,FALSE)</f>
        <v>0</v>
      </c>
      <c r="H23" s="114">
        <f>VLOOKUP(Q23,'FS Data'!$A:$B,2,FALSE)</f>
        <v>0</v>
      </c>
      <c r="I23" s="212">
        <f>VLOOKUP(R23,'FS Data'!$A:$B,2,FALSE)</f>
        <v>0</v>
      </c>
      <c r="J23" s="114">
        <f>VLOOKUP(S23,'FS Data'!$A:$B,2,FALSE)</f>
        <v>0</v>
      </c>
      <c r="K23" s="114">
        <f>VLOOKUP(T23,'FS Data'!$A:$B,2,FALSE)</f>
        <v>0</v>
      </c>
      <c r="L23" s="386">
        <f>VLOOKUP(U23,'FS Data'!$A:$B,2,FALSE)</f>
        <v>0</v>
      </c>
      <c r="M23" s="261"/>
      <c r="N23" s="262">
        <v>701912</v>
      </c>
      <c r="O23" s="262">
        <v>701914</v>
      </c>
      <c r="P23" s="262">
        <v>701916</v>
      </c>
      <c r="Q23" s="262">
        <v>701918</v>
      </c>
      <c r="R23" s="262">
        <v>701922</v>
      </c>
      <c r="S23" s="262">
        <v>701924</v>
      </c>
      <c r="T23" s="262">
        <v>701926</v>
      </c>
      <c r="U23" s="262">
        <v>701928</v>
      </c>
      <c r="V23" s="261"/>
      <c r="W23" s="261"/>
    </row>
    <row r="24" spans="2:23" ht="18.75" customHeight="1" x14ac:dyDescent="0.2">
      <c r="B24" s="325">
        <v>20</v>
      </c>
      <c r="C24" s="335" t="s">
        <v>607</v>
      </c>
      <c r="D24" s="333" t="s">
        <v>265</v>
      </c>
      <c r="E24" s="245"/>
      <c r="F24" s="246"/>
      <c r="G24" s="114">
        <f>VLOOKUP(P24,'FS Data'!$A:$B,2,FALSE)</f>
        <v>0</v>
      </c>
      <c r="H24" s="114">
        <f>VLOOKUP(Q24,'FS Data'!$A:$B,2,FALSE)</f>
        <v>0</v>
      </c>
      <c r="I24" s="245"/>
      <c r="J24" s="246"/>
      <c r="K24" s="114">
        <f>VLOOKUP(T24,'FS Data'!$A:$B,2,FALSE)</f>
        <v>0</v>
      </c>
      <c r="L24" s="386">
        <f>VLOOKUP(U24,'FS Data'!$A:$B,2,FALSE)</f>
        <v>0</v>
      </c>
      <c r="M24" s="261"/>
      <c r="N24" s="262">
        <v>702012</v>
      </c>
      <c r="O24" s="262">
        <v>702014</v>
      </c>
      <c r="P24" s="262">
        <v>702016</v>
      </c>
      <c r="Q24" s="262">
        <v>702018</v>
      </c>
      <c r="R24" s="262">
        <v>702022</v>
      </c>
      <c r="S24" s="262">
        <v>702024</v>
      </c>
      <c r="T24" s="262">
        <v>702026</v>
      </c>
      <c r="U24" s="262">
        <v>702028</v>
      </c>
      <c r="V24" s="261"/>
      <c r="W24" s="261"/>
    </row>
    <row r="25" spans="2:23" ht="18.75" customHeight="1" x14ac:dyDescent="0.2">
      <c r="B25" s="325">
        <v>21</v>
      </c>
      <c r="C25" s="685" t="s">
        <v>824</v>
      </c>
      <c r="D25" s="327"/>
      <c r="E25" s="212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14">
        <f>VLOOKUP(Q25,'FS Data'!$A:$B,2,FALSE)</f>
        <v>0</v>
      </c>
      <c r="I25" s="212">
        <f>VLOOKUP(R25,'FS Data'!$A:$B,2,FALSE)</f>
        <v>0</v>
      </c>
      <c r="J25" s="114">
        <f>VLOOKUP(S25,'FS Data'!$A:$B,2,FALSE)</f>
        <v>0</v>
      </c>
      <c r="K25" s="114">
        <f>VLOOKUP(T25,'FS Data'!$A:$B,2,FALSE)</f>
        <v>0</v>
      </c>
      <c r="L25" s="386">
        <f>VLOOKUP(U25,'FS Data'!$A:$B,2,FALSE)</f>
        <v>0</v>
      </c>
      <c r="M25" s="261"/>
      <c r="N25" s="262">
        <v>702112</v>
      </c>
      <c r="O25" s="262">
        <v>702114</v>
      </c>
      <c r="P25" s="262">
        <v>702116</v>
      </c>
      <c r="Q25" s="262">
        <v>702118</v>
      </c>
      <c r="R25" s="262">
        <v>702122</v>
      </c>
      <c r="S25" s="262">
        <v>702124</v>
      </c>
      <c r="T25" s="262">
        <v>702126</v>
      </c>
      <c r="U25" s="262">
        <v>702128</v>
      </c>
      <c r="V25" s="261"/>
      <c r="W25" s="261"/>
    </row>
    <row r="26" spans="2:23" ht="23.25" customHeight="1" x14ac:dyDescent="0.2">
      <c r="B26" s="325">
        <v>22</v>
      </c>
      <c r="C26" s="686" t="s">
        <v>825</v>
      </c>
      <c r="D26" s="359"/>
      <c r="E26" s="212">
        <f>VLOOKUP(N26,'FS Data'!$A:$B,2,FALSE)</f>
        <v>12</v>
      </c>
      <c r="F26" s="114">
        <f>VLOOKUP(O26,'FS Data'!$A:$B,2,FALSE)</f>
        <v>983698</v>
      </c>
      <c r="G26" s="114">
        <f>VLOOKUP(P26,'FS Data'!$A:$B,2,FALSE)</f>
        <v>40358</v>
      </c>
      <c r="H26" s="114">
        <f>VLOOKUP(Q26,'FS Data'!$A:$B,2,FALSE)</f>
        <v>3363</v>
      </c>
      <c r="I26" s="212">
        <f>VLOOKUP(R26,'FS Data'!$A:$B,2,FALSE)</f>
        <v>12</v>
      </c>
      <c r="J26" s="114">
        <f>VLOOKUP(S26,'FS Data'!$A:$B,2,FALSE)</f>
        <v>983698</v>
      </c>
      <c r="K26" s="114">
        <f>VLOOKUP(T26,'FS Data'!$A:$B,2,FALSE)</f>
        <v>40358</v>
      </c>
      <c r="L26" s="386">
        <f>VLOOKUP(U26,'FS Data'!$A:$B,2,FALSE)</f>
        <v>3363</v>
      </c>
      <c r="M26" s="261"/>
      <c r="N26" s="262">
        <v>702212</v>
      </c>
      <c r="O26" s="262">
        <v>702214</v>
      </c>
      <c r="P26" s="262">
        <v>702216</v>
      </c>
      <c r="Q26" s="262">
        <v>702218</v>
      </c>
      <c r="R26" s="262">
        <v>702222</v>
      </c>
      <c r="S26" s="262">
        <v>702224</v>
      </c>
      <c r="T26" s="262">
        <v>702226</v>
      </c>
      <c r="U26" s="262">
        <v>702228</v>
      </c>
      <c r="V26" s="261"/>
      <c r="W26" s="261"/>
    </row>
    <row r="27" spans="2:23" ht="18.75" customHeight="1" x14ac:dyDescent="0.25">
      <c r="B27" s="325">
        <v>23</v>
      </c>
      <c r="C27" s="360"/>
      <c r="D27" s="361"/>
      <c r="E27" s="369"/>
      <c r="F27" s="370"/>
      <c r="G27" s="370"/>
      <c r="H27" s="371"/>
      <c r="I27" s="371"/>
      <c r="J27" s="371"/>
      <c r="K27" s="371"/>
      <c r="L27" s="372"/>
      <c r="M27" s="261"/>
      <c r="N27" s="262">
        <v>702312</v>
      </c>
      <c r="O27" s="262">
        <v>702314</v>
      </c>
      <c r="P27" s="262">
        <v>702316</v>
      </c>
      <c r="Q27" s="262">
        <v>702318</v>
      </c>
      <c r="R27" s="262">
        <v>702322</v>
      </c>
      <c r="S27" s="262">
        <v>702324</v>
      </c>
      <c r="T27" s="262">
        <v>702326</v>
      </c>
      <c r="U27" s="262">
        <v>702328</v>
      </c>
      <c r="V27" s="261"/>
      <c r="W27" s="261"/>
    </row>
    <row r="28" spans="2:23" ht="18.75" customHeight="1" x14ac:dyDescent="0.2">
      <c r="B28" s="325">
        <v>24</v>
      </c>
      <c r="C28" s="335" t="s">
        <v>608</v>
      </c>
      <c r="D28" s="362" t="s">
        <v>78</v>
      </c>
      <c r="E28" s="212">
        <f>VLOOKUP(N28,'FS Data'!$A:$B,2,FALSE)</f>
        <v>0</v>
      </c>
      <c r="F28" s="114">
        <f>VLOOKUP(O28,'FS Data'!$A:$B,2,FALSE)</f>
        <v>0</v>
      </c>
      <c r="G28" s="114">
        <f>VLOOKUP(P28,'FS Data'!$A:$B,2,FALSE)</f>
        <v>0</v>
      </c>
      <c r="H28" s="114">
        <f>VLOOKUP(Q28,'FS Data'!$A:$B,2,FALSE)</f>
        <v>0</v>
      </c>
      <c r="I28" s="212">
        <f>VLOOKUP(R28,'FS Data'!$A:$B,2,FALSE)</f>
        <v>0</v>
      </c>
      <c r="J28" s="114">
        <f>VLOOKUP(S28,'FS Data'!$A:$B,2,FALSE)</f>
        <v>0</v>
      </c>
      <c r="K28" s="114">
        <f>VLOOKUP(T28,'FS Data'!$A:$B,2,FALSE)</f>
        <v>0</v>
      </c>
      <c r="L28" s="386">
        <f>VLOOKUP(U28,'FS Data'!$A:$B,2,FALSE)</f>
        <v>0</v>
      </c>
      <c r="M28" s="261"/>
      <c r="N28" s="262">
        <v>702412</v>
      </c>
      <c r="O28" s="262">
        <v>702414</v>
      </c>
      <c r="P28" s="262">
        <v>702416</v>
      </c>
      <c r="Q28" s="262">
        <v>702418</v>
      </c>
      <c r="R28" s="262">
        <v>702422</v>
      </c>
      <c r="S28" s="262">
        <v>702424</v>
      </c>
      <c r="T28" s="262">
        <v>702426</v>
      </c>
      <c r="U28" s="262">
        <v>702428</v>
      </c>
      <c r="V28" s="261"/>
      <c r="W28" s="261"/>
    </row>
    <row r="29" spans="2:23" ht="24" customHeight="1" x14ac:dyDescent="0.2">
      <c r="B29" s="325">
        <v>25</v>
      </c>
      <c r="C29" s="335" t="s">
        <v>609</v>
      </c>
      <c r="D29" s="362" t="s">
        <v>79</v>
      </c>
      <c r="E29" s="212">
        <f>VLOOKUP(N29,'FS Data'!$A:$B,2,FALSE)</f>
        <v>0</v>
      </c>
      <c r="F29" s="114">
        <f>VLOOKUP(O29,'FS Data'!$A:$B,2,FALSE)</f>
        <v>0</v>
      </c>
      <c r="G29" s="114">
        <f>VLOOKUP(P29,'FS Data'!$A:$B,2,FALSE)</f>
        <v>0</v>
      </c>
      <c r="H29" s="114">
        <f>VLOOKUP(Q29,'FS Data'!$A:$B,2,FALSE)</f>
        <v>0</v>
      </c>
      <c r="I29" s="212">
        <f>VLOOKUP(R29,'FS Data'!$A:$B,2,FALSE)</f>
        <v>0</v>
      </c>
      <c r="J29" s="114">
        <f>VLOOKUP(S29,'FS Data'!$A:$B,2,FALSE)</f>
        <v>0</v>
      </c>
      <c r="K29" s="114">
        <f>VLOOKUP(T29,'FS Data'!$A:$B,2,FALSE)</f>
        <v>0</v>
      </c>
      <c r="L29" s="386">
        <f>VLOOKUP(U29,'FS Data'!$A:$B,2,FALSE)</f>
        <v>0</v>
      </c>
      <c r="M29" s="261"/>
      <c r="N29" s="262">
        <v>702512</v>
      </c>
      <c r="O29" s="262">
        <v>702514</v>
      </c>
      <c r="P29" s="262">
        <v>702516</v>
      </c>
      <c r="Q29" s="262">
        <v>702518</v>
      </c>
      <c r="R29" s="262">
        <v>702522</v>
      </c>
      <c r="S29" s="262">
        <v>702524</v>
      </c>
      <c r="T29" s="262">
        <v>702526</v>
      </c>
      <c r="U29" s="262">
        <v>702528</v>
      </c>
      <c r="V29" s="261"/>
      <c r="W29" s="261"/>
    </row>
    <row r="30" spans="2:23" ht="18.75" customHeight="1" x14ac:dyDescent="0.2">
      <c r="B30" s="325">
        <v>26</v>
      </c>
      <c r="C30" s="335" t="s">
        <v>610</v>
      </c>
      <c r="D30" s="362" t="s">
        <v>80</v>
      </c>
      <c r="E30" s="212">
        <f>VLOOKUP(N30,'FS Data'!$A:$B,2,FALSE)</f>
        <v>0</v>
      </c>
      <c r="F30" s="114">
        <f>VLOOKUP(O30,'FS Data'!$A:$B,2,FALSE)</f>
        <v>0</v>
      </c>
      <c r="G30" s="114">
        <f>VLOOKUP(P30,'FS Data'!$A:$B,2,FALSE)</f>
        <v>0</v>
      </c>
      <c r="H30" s="114">
        <f>VLOOKUP(Q30,'FS Data'!$A:$B,2,FALSE)</f>
        <v>0</v>
      </c>
      <c r="I30" s="212">
        <f>VLOOKUP(R30,'FS Data'!$A:$B,2,FALSE)</f>
        <v>0</v>
      </c>
      <c r="J30" s="114">
        <f>VLOOKUP(S30,'FS Data'!$A:$B,2,FALSE)</f>
        <v>0</v>
      </c>
      <c r="K30" s="114">
        <f>VLOOKUP(T30,'FS Data'!$A:$B,2,FALSE)</f>
        <v>0</v>
      </c>
      <c r="L30" s="386">
        <f>VLOOKUP(U30,'FS Data'!$A:$B,2,FALSE)</f>
        <v>0</v>
      </c>
      <c r="M30" s="261"/>
      <c r="N30" s="262">
        <v>702612</v>
      </c>
      <c r="O30" s="262">
        <v>702614</v>
      </c>
      <c r="P30" s="262">
        <v>702616</v>
      </c>
      <c r="Q30" s="262">
        <v>702618</v>
      </c>
      <c r="R30" s="262">
        <v>702622</v>
      </c>
      <c r="S30" s="262">
        <v>702624</v>
      </c>
      <c r="T30" s="262">
        <v>702626</v>
      </c>
      <c r="U30" s="262">
        <v>702628</v>
      </c>
      <c r="V30" s="261"/>
      <c r="W30" s="261"/>
    </row>
    <row r="31" spans="2:23" ht="18.75" customHeight="1" x14ac:dyDescent="0.2">
      <c r="B31" s="325">
        <v>27</v>
      </c>
      <c r="C31" s="685" t="s">
        <v>826</v>
      </c>
      <c r="D31" s="363" t="s">
        <v>32</v>
      </c>
      <c r="E31" s="212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14">
        <f>VLOOKUP(Q31,'FS Data'!$A:$B,2,FALSE)</f>
        <v>0</v>
      </c>
      <c r="I31" s="212">
        <f>VLOOKUP(R31,'FS Data'!$A:$B,2,FALSE)</f>
        <v>0</v>
      </c>
      <c r="J31" s="114">
        <f>VLOOKUP(S31,'FS Data'!$A:$B,2,FALSE)</f>
        <v>0</v>
      </c>
      <c r="K31" s="114">
        <f>VLOOKUP(T31,'FS Data'!$A:$B,2,FALSE)</f>
        <v>0</v>
      </c>
      <c r="L31" s="386">
        <f>VLOOKUP(U31,'FS Data'!$A:$B,2,FALSE)</f>
        <v>0</v>
      </c>
      <c r="M31" s="261"/>
      <c r="N31" s="262">
        <v>702712</v>
      </c>
      <c r="O31" s="262">
        <v>702714</v>
      </c>
      <c r="P31" s="262">
        <v>702716</v>
      </c>
      <c r="Q31" s="262">
        <v>702718</v>
      </c>
      <c r="R31" s="262">
        <v>702722</v>
      </c>
      <c r="S31" s="262">
        <v>702724</v>
      </c>
      <c r="T31" s="262">
        <v>702726</v>
      </c>
      <c r="U31" s="262">
        <v>702728</v>
      </c>
      <c r="V31" s="261"/>
      <c r="W31" s="261"/>
    </row>
    <row r="32" spans="2:23" ht="18.75" customHeight="1" x14ac:dyDescent="0.25">
      <c r="B32" s="325">
        <v>28</v>
      </c>
      <c r="C32" s="360"/>
      <c r="D32" s="361"/>
      <c r="E32" s="369"/>
      <c r="F32" s="370"/>
      <c r="G32" s="370"/>
      <c r="H32" s="371"/>
      <c r="I32" s="371"/>
      <c r="J32" s="371"/>
      <c r="K32" s="371"/>
      <c r="L32" s="372"/>
      <c r="M32" s="261"/>
      <c r="N32" s="262">
        <v>702812</v>
      </c>
      <c r="O32" s="262">
        <v>702814</v>
      </c>
      <c r="P32" s="262">
        <v>702816</v>
      </c>
      <c r="Q32" s="262">
        <v>702818</v>
      </c>
      <c r="R32" s="262">
        <v>702822</v>
      </c>
      <c r="S32" s="262">
        <v>702824</v>
      </c>
      <c r="T32" s="262">
        <v>702826</v>
      </c>
      <c r="U32" s="262">
        <v>702828</v>
      </c>
      <c r="V32" s="261"/>
      <c r="W32" s="261"/>
    </row>
    <row r="33" spans="2:23" ht="18.75" customHeight="1" x14ac:dyDescent="0.2">
      <c r="B33" s="325">
        <v>29</v>
      </c>
      <c r="C33" s="335" t="s">
        <v>611</v>
      </c>
      <c r="D33" s="285" t="s">
        <v>201</v>
      </c>
      <c r="E33" s="212">
        <f>VLOOKUP(N33,'FS Data'!$A:$B,2,FALSE)</f>
        <v>0</v>
      </c>
      <c r="F33" s="114">
        <f>VLOOKUP(O33,'FS Data'!$A:$B,2,FALSE)</f>
        <v>0</v>
      </c>
      <c r="G33" s="114">
        <f>VLOOKUP(P33,'FS Data'!$A:$B,2,FALSE)</f>
        <v>0</v>
      </c>
      <c r="H33" s="114">
        <f>VLOOKUP(Q33,'FS Data'!$A:$B,2,FALSE)</f>
        <v>0</v>
      </c>
      <c r="I33" s="212">
        <f>VLOOKUP(R33,'FS Data'!$A:$B,2,FALSE)</f>
        <v>0</v>
      </c>
      <c r="J33" s="114">
        <f>VLOOKUP(S33,'FS Data'!$A:$B,2,FALSE)</f>
        <v>0</v>
      </c>
      <c r="K33" s="114">
        <f>VLOOKUP(T33,'FS Data'!$A:$B,2,FALSE)</f>
        <v>0</v>
      </c>
      <c r="L33" s="386">
        <f>VLOOKUP(U33,'FS Data'!$A:$B,2,FALSE)</f>
        <v>0</v>
      </c>
      <c r="M33" s="261"/>
      <c r="N33" s="262">
        <v>702912</v>
      </c>
      <c r="O33" s="262">
        <v>702914</v>
      </c>
      <c r="P33" s="262">
        <v>702916</v>
      </c>
      <c r="Q33" s="262">
        <v>702918</v>
      </c>
      <c r="R33" s="262">
        <v>702922</v>
      </c>
      <c r="S33" s="262">
        <v>702924</v>
      </c>
      <c r="T33" s="262">
        <v>702926</v>
      </c>
      <c r="U33" s="262">
        <v>702928</v>
      </c>
      <c r="V33" s="261"/>
      <c r="W33" s="261"/>
    </row>
    <row r="34" spans="2:23" ht="18.75" customHeight="1" x14ac:dyDescent="0.2">
      <c r="B34" s="325">
        <v>30</v>
      </c>
      <c r="C34" s="335" t="s">
        <v>612</v>
      </c>
      <c r="D34" s="285" t="s">
        <v>102</v>
      </c>
      <c r="E34" s="212">
        <f>VLOOKUP(N34,'FS Data'!$A:$B,2,FALSE)</f>
        <v>0</v>
      </c>
      <c r="F34" s="114">
        <f>VLOOKUP(O34,'FS Data'!$A:$B,2,FALSE)</f>
        <v>0</v>
      </c>
      <c r="G34" s="114">
        <f>VLOOKUP(P34,'FS Data'!$A:$B,2,FALSE)</f>
        <v>0</v>
      </c>
      <c r="H34" s="114">
        <f>VLOOKUP(Q34,'FS Data'!$A:$B,2,FALSE)</f>
        <v>0</v>
      </c>
      <c r="I34" s="212">
        <f>VLOOKUP(R34,'FS Data'!$A:$B,2,FALSE)</f>
        <v>0</v>
      </c>
      <c r="J34" s="114">
        <f>VLOOKUP(S34,'FS Data'!$A:$B,2,FALSE)</f>
        <v>0</v>
      </c>
      <c r="K34" s="114">
        <f>VLOOKUP(T34,'FS Data'!$A:$B,2,FALSE)</f>
        <v>0</v>
      </c>
      <c r="L34" s="386">
        <f>VLOOKUP(U34,'FS Data'!$A:$B,2,FALSE)</f>
        <v>0</v>
      </c>
      <c r="M34" s="261"/>
      <c r="N34" s="262">
        <v>703012</v>
      </c>
      <c r="O34" s="262">
        <v>703014</v>
      </c>
      <c r="P34" s="262">
        <v>703016</v>
      </c>
      <c r="Q34" s="262">
        <v>703018</v>
      </c>
      <c r="R34" s="262">
        <v>703022</v>
      </c>
      <c r="S34" s="262">
        <v>703024</v>
      </c>
      <c r="T34" s="262">
        <v>703026</v>
      </c>
      <c r="U34" s="262">
        <v>703028</v>
      </c>
      <c r="V34" s="261"/>
      <c r="W34" s="261"/>
    </row>
    <row r="35" spans="2:23" ht="18.75" customHeight="1" x14ac:dyDescent="0.2">
      <c r="B35" s="325">
        <v>31</v>
      </c>
      <c r="C35" s="687" t="s">
        <v>613</v>
      </c>
      <c r="D35" s="328"/>
      <c r="E35" s="212">
        <f>VLOOKUP(N35,'FS Data'!$A:$B,2,FALSE)</f>
        <v>37</v>
      </c>
      <c r="F35" s="114">
        <f>VLOOKUP(O35,'FS Data'!$A:$B,2,FALSE)</f>
        <v>42813</v>
      </c>
      <c r="G35" s="114">
        <f>VLOOKUP(P35,'FS Data'!$A:$B,2,FALSE)</f>
        <v>26692</v>
      </c>
      <c r="H35" s="114">
        <f>VLOOKUP(Q35,'FS Data'!$A:$B,2,FALSE)</f>
        <v>2224</v>
      </c>
      <c r="I35" s="212">
        <f>VLOOKUP(R35,'FS Data'!$A:$B,2,FALSE)</f>
        <v>37</v>
      </c>
      <c r="J35" s="114">
        <f>VLOOKUP(S35,'FS Data'!$A:$B,2,FALSE)</f>
        <v>42813</v>
      </c>
      <c r="K35" s="114">
        <f>VLOOKUP(T35,'FS Data'!$A:$B,2,FALSE)</f>
        <v>26692</v>
      </c>
      <c r="L35" s="386">
        <f>VLOOKUP(U35,'FS Data'!$A:$B,2,FALSE)</f>
        <v>2224</v>
      </c>
      <c r="M35" s="261"/>
      <c r="N35" s="262">
        <v>703112</v>
      </c>
      <c r="O35" s="262">
        <v>703114</v>
      </c>
      <c r="P35" s="262">
        <v>703116</v>
      </c>
      <c r="Q35" s="262">
        <v>703118</v>
      </c>
      <c r="R35" s="262">
        <v>703122</v>
      </c>
      <c r="S35" s="262">
        <v>703124</v>
      </c>
      <c r="T35" s="262">
        <v>703126</v>
      </c>
      <c r="U35" s="262">
        <v>703128</v>
      </c>
      <c r="V35" s="261"/>
      <c r="W35" s="261"/>
    </row>
    <row r="36" spans="2:23" ht="18.75" customHeight="1" x14ac:dyDescent="0.2">
      <c r="B36" s="325">
        <v>32</v>
      </c>
      <c r="C36" s="688" t="s">
        <v>944</v>
      </c>
      <c r="D36" s="329"/>
      <c r="E36" s="212">
        <f>VLOOKUP(N36,'FS Data'!$A:$B,2,FALSE)</f>
        <v>14</v>
      </c>
      <c r="F36" s="114">
        <f>VLOOKUP(O36,'FS Data'!$A:$B,2,FALSE)</f>
        <v>1162473</v>
      </c>
      <c r="G36" s="114">
        <f>VLOOKUP(P36,'FS Data'!$A:$B,2,FALSE)</f>
        <v>96277</v>
      </c>
      <c r="H36" s="114">
        <f>VLOOKUP(Q36,'FS Data'!$A:$B,2,FALSE)</f>
        <v>6877</v>
      </c>
      <c r="I36" s="212">
        <f>VLOOKUP(R36,'FS Data'!$A:$B,2,FALSE)</f>
        <v>14</v>
      </c>
      <c r="J36" s="114">
        <f>VLOOKUP(S36,'FS Data'!$A:$B,2,FALSE)</f>
        <v>1162473</v>
      </c>
      <c r="K36" s="114">
        <f>VLOOKUP(T36,'FS Data'!$A:$B,2,FALSE)</f>
        <v>96277</v>
      </c>
      <c r="L36" s="386">
        <f>VLOOKUP(U36,'FS Data'!$A:$B,2,FALSE)</f>
        <v>6877</v>
      </c>
      <c r="M36" s="261"/>
      <c r="N36" s="262">
        <v>703212</v>
      </c>
      <c r="O36" s="262">
        <v>703214</v>
      </c>
      <c r="P36" s="262">
        <v>703216</v>
      </c>
      <c r="Q36" s="262">
        <v>703218</v>
      </c>
      <c r="R36" s="262">
        <v>703222</v>
      </c>
      <c r="S36" s="262">
        <v>703224</v>
      </c>
      <c r="T36" s="262">
        <v>703226</v>
      </c>
      <c r="U36" s="262">
        <v>703228</v>
      </c>
      <c r="V36" s="261"/>
      <c r="W36" s="261"/>
    </row>
    <row r="37" spans="2:23" ht="18.75" customHeight="1" x14ac:dyDescent="0.2">
      <c r="B37" s="325">
        <v>33</v>
      </c>
      <c r="C37" s="335" t="s">
        <v>614</v>
      </c>
      <c r="D37" s="285">
        <v>421</v>
      </c>
      <c r="E37" s="212">
        <f>VLOOKUP(N37,'FS Data'!$A:$B,2,FALSE)</f>
        <v>0</v>
      </c>
      <c r="F37" s="114">
        <f>VLOOKUP(O37,'FS Data'!$A:$B,2,FALSE)</f>
        <v>0</v>
      </c>
      <c r="G37" s="114">
        <f>VLOOKUP(P37,'FS Data'!$A:$B,2,FALSE)</f>
        <v>0</v>
      </c>
      <c r="H37" s="114">
        <f>VLOOKUP(Q37,'FS Data'!$A:$B,2,FALSE)</f>
        <v>0</v>
      </c>
      <c r="I37" s="212">
        <f>VLOOKUP(R37,'FS Data'!$A:$B,2,FALSE)</f>
        <v>0</v>
      </c>
      <c r="J37" s="114">
        <f>VLOOKUP(S37,'FS Data'!$A:$B,2,FALSE)</f>
        <v>0</v>
      </c>
      <c r="K37" s="114">
        <f>VLOOKUP(T37,'FS Data'!$A:$B,2,FALSE)</f>
        <v>0</v>
      </c>
      <c r="L37" s="386">
        <f>VLOOKUP(U37,'FS Data'!$A:$B,2,FALSE)</f>
        <v>0</v>
      </c>
      <c r="M37" s="261"/>
      <c r="N37" s="262">
        <v>703312</v>
      </c>
      <c r="O37" s="262">
        <v>703314</v>
      </c>
      <c r="P37" s="262">
        <v>703316</v>
      </c>
      <c r="Q37" s="262">
        <v>703318</v>
      </c>
      <c r="R37" s="262">
        <v>703322</v>
      </c>
      <c r="S37" s="262">
        <v>703324</v>
      </c>
      <c r="T37" s="262">
        <v>703326</v>
      </c>
      <c r="U37" s="262">
        <v>703328</v>
      </c>
      <c r="V37" s="261"/>
      <c r="W37" s="261"/>
    </row>
    <row r="38" spans="2:23" ht="18.75" customHeight="1" x14ac:dyDescent="0.2">
      <c r="B38" s="325">
        <v>34</v>
      </c>
      <c r="C38" s="335" t="s">
        <v>615</v>
      </c>
      <c r="D38" s="285" t="s">
        <v>202</v>
      </c>
      <c r="E38" s="212">
        <f>VLOOKUP(N38,'FS Data'!$A:$B,2,FALSE)</f>
        <v>0</v>
      </c>
      <c r="F38" s="114">
        <f>VLOOKUP(O38,'FS Data'!$A:$B,2,FALSE)</f>
        <v>0</v>
      </c>
      <c r="G38" s="114">
        <f>VLOOKUP(P38,'FS Data'!$A:$B,2,FALSE)</f>
        <v>0</v>
      </c>
      <c r="H38" s="114">
        <f>VLOOKUP(Q38,'FS Data'!$A:$B,2,FALSE)</f>
        <v>0</v>
      </c>
      <c r="I38" s="212">
        <f>VLOOKUP(R38,'FS Data'!$A:$B,2,FALSE)</f>
        <v>0</v>
      </c>
      <c r="J38" s="114">
        <f>VLOOKUP(S38,'FS Data'!$A:$B,2,FALSE)</f>
        <v>0</v>
      </c>
      <c r="K38" s="114">
        <f>VLOOKUP(T38,'FS Data'!$A:$B,2,FALSE)</f>
        <v>0</v>
      </c>
      <c r="L38" s="386">
        <f>VLOOKUP(U38,'FS Data'!$A:$B,2,FALSE)</f>
        <v>0</v>
      </c>
      <c r="M38" s="261"/>
      <c r="N38" s="262">
        <v>703412</v>
      </c>
      <c r="O38" s="262">
        <v>703414</v>
      </c>
      <c r="P38" s="262">
        <v>703416</v>
      </c>
      <c r="Q38" s="262">
        <v>703418</v>
      </c>
      <c r="R38" s="262">
        <v>703422</v>
      </c>
      <c r="S38" s="262">
        <v>703424</v>
      </c>
      <c r="T38" s="262">
        <v>703426</v>
      </c>
      <c r="U38" s="262">
        <v>703428</v>
      </c>
      <c r="V38" s="261"/>
      <c r="W38" s="261"/>
    </row>
    <row r="39" spans="2:23" ht="18.75" customHeight="1" x14ac:dyDescent="0.2">
      <c r="B39" s="325">
        <v>35</v>
      </c>
      <c r="C39" s="689" t="s">
        <v>827</v>
      </c>
      <c r="D39" s="330"/>
      <c r="E39" s="212">
        <f>VLOOKUP(N39,'FS Data'!$A:$B,2,FALSE)</f>
        <v>0</v>
      </c>
      <c r="F39" s="114">
        <f>VLOOKUP(O39,'FS Data'!$A:$B,2,FALSE)</f>
        <v>0</v>
      </c>
      <c r="G39" s="114">
        <f>VLOOKUP(P39,'FS Data'!$A:$B,2,FALSE)</f>
        <v>0</v>
      </c>
      <c r="H39" s="114">
        <f>VLOOKUP(Q39,'FS Data'!$A:$B,2,FALSE)</f>
        <v>0</v>
      </c>
      <c r="I39" s="212">
        <f>VLOOKUP(R39,'FS Data'!$A:$B,2,FALSE)</f>
        <v>0</v>
      </c>
      <c r="J39" s="114">
        <f>VLOOKUP(S39,'FS Data'!$A:$B,2,FALSE)</f>
        <v>0</v>
      </c>
      <c r="K39" s="114">
        <f>VLOOKUP(T39,'FS Data'!$A:$B,2,FALSE)</f>
        <v>0</v>
      </c>
      <c r="L39" s="386">
        <f>VLOOKUP(U39,'FS Data'!$A:$B,2,FALSE)</f>
        <v>0</v>
      </c>
      <c r="M39" s="261"/>
      <c r="N39" s="262">
        <v>703512</v>
      </c>
      <c r="O39" s="262">
        <v>703514</v>
      </c>
      <c r="P39" s="262">
        <v>703516</v>
      </c>
      <c r="Q39" s="262">
        <v>703518</v>
      </c>
      <c r="R39" s="262">
        <v>703522</v>
      </c>
      <c r="S39" s="262">
        <v>703524</v>
      </c>
      <c r="T39" s="262">
        <v>703526</v>
      </c>
      <c r="U39" s="262">
        <v>703528</v>
      </c>
      <c r="V39" s="261"/>
      <c r="W39" s="261"/>
    </row>
    <row r="40" spans="2:23" ht="18.75" customHeight="1" thickBot="1" x14ac:dyDescent="0.25">
      <c r="B40" s="325">
        <v>36</v>
      </c>
      <c r="C40" s="690" t="s">
        <v>828</v>
      </c>
      <c r="D40" s="331"/>
      <c r="E40" s="212">
        <f>VLOOKUP(N40,'FS Data'!$A:$B,2,FALSE)</f>
        <v>14</v>
      </c>
      <c r="F40" s="114">
        <f>VLOOKUP(O40,'FS Data'!$A:$B,2,FALSE)</f>
        <v>1162473</v>
      </c>
      <c r="G40" s="114">
        <f>VLOOKUP(P40,'FS Data'!$A:$B,2,FALSE)</f>
        <v>96277</v>
      </c>
      <c r="H40" s="114">
        <f>VLOOKUP(Q40,'FS Data'!$A:$B,2,FALSE)</f>
        <v>6877</v>
      </c>
      <c r="I40" s="212">
        <f>VLOOKUP(R40,'FS Data'!$A:$B,2,FALSE)</f>
        <v>14</v>
      </c>
      <c r="J40" s="114">
        <f>VLOOKUP(S40,'FS Data'!$A:$B,2,FALSE)</f>
        <v>1162473</v>
      </c>
      <c r="K40" s="114">
        <f>VLOOKUP(T40,'FS Data'!$A:$B,2,FALSE)</f>
        <v>96277</v>
      </c>
      <c r="L40" s="386">
        <f>VLOOKUP(U40,'FS Data'!$A:$B,2,FALSE)</f>
        <v>6877</v>
      </c>
      <c r="M40" s="261"/>
      <c r="N40" s="262">
        <v>703612</v>
      </c>
      <c r="O40" s="262">
        <v>703614</v>
      </c>
      <c r="P40" s="262">
        <v>703616</v>
      </c>
      <c r="Q40" s="262">
        <v>703618</v>
      </c>
      <c r="R40" s="262">
        <v>703622</v>
      </c>
      <c r="S40" s="262">
        <v>703624</v>
      </c>
      <c r="T40" s="262">
        <v>703626</v>
      </c>
      <c r="U40" s="262">
        <v>703628</v>
      </c>
      <c r="V40" s="261"/>
      <c r="W40" s="261"/>
    </row>
    <row r="41" spans="2:23" ht="18.75" customHeight="1" x14ac:dyDescent="0.25">
      <c r="B41" s="325">
        <v>37</v>
      </c>
      <c r="C41" s="360"/>
      <c r="D41" s="364"/>
      <c r="E41" s="369"/>
      <c r="F41" s="370"/>
      <c r="G41" s="370"/>
      <c r="H41" s="371"/>
      <c r="I41" s="371"/>
      <c r="J41" s="371"/>
      <c r="K41" s="371"/>
      <c r="L41" s="372"/>
      <c r="M41" s="261"/>
      <c r="N41" s="262">
        <v>703712</v>
      </c>
      <c r="O41" s="262">
        <v>703714</v>
      </c>
      <c r="P41" s="262">
        <v>703716</v>
      </c>
      <c r="Q41" s="262">
        <v>703718</v>
      </c>
      <c r="R41" s="262">
        <v>703722</v>
      </c>
      <c r="S41" s="262">
        <v>703724</v>
      </c>
      <c r="T41" s="262">
        <v>703726</v>
      </c>
      <c r="U41" s="262">
        <v>703728</v>
      </c>
      <c r="V41" s="261"/>
      <c r="W41" s="261"/>
    </row>
    <row r="42" spans="2:23" ht="18.75" customHeight="1" x14ac:dyDescent="0.2">
      <c r="B42" s="325">
        <v>38</v>
      </c>
      <c r="C42" s="691" t="s">
        <v>616</v>
      </c>
      <c r="D42" s="332" t="s">
        <v>196</v>
      </c>
      <c r="E42" s="212">
        <f>VLOOKUP(N42,'FS Data'!$A:$B,2,FALSE)</f>
        <v>6</v>
      </c>
      <c r="F42" s="114">
        <f>VLOOKUP(O42,'FS Data'!$A:$B,2,FALSE)</f>
        <v>281133</v>
      </c>
      <c r="G42" s="114">
        <f>VLOOKUP(P42,'FS Data'!$A:$B,2,FALSE)</f>
        <v>23255</v>
      </c>
      <c r="H42" s="114">
        <f>VLOOKUP(Q42,'FS Data'!$A:$B,2,FALSE)</f>
        <v>3876</v>
      </c>
      <c r="I42" s="212">
        <f>VLOOKUP(R42,'FS Data'!$A:$B,2,FALSE)</f>
        <v>6</v>
      </c>
      <c r="J42" s="114">
        <f>VLOOKUP(S42,'FS Data'!$A:$B,2,FALSE)</f>
        <v>281133</v>
      </c>
      <c r="K42" s="114">
        <f>VLOOKUP(T42,'FS Data'!$A:$B,2,FALSE)</f>
        <v>23255</v>
      </c>
      <c r="L42" s="386">
        <f>VLOOKUP(U42,'FS Data'!$A:$B,2,FALSE)</f>
        <v>3876</v>
      </c>
      <c r="M42" s="261"/>
      <c r="N42" s="262">
        <v>703812</v>
      </c>
      <c r="O42" s="262">
        <v>703814</v>
      </c>
      <c r="P42" s="262">
        <v>703816</v>
      </c>
      <c r="Q42" s="262">
        <v>703818</v>
      </c>
      <c r="R42" s="262">
        <v>703822</v>
      </c>
      <c r="S42" s="262">
        <v>703824</v>
      </c>
      <c r="T42" s="262">
        <v>703826</v>
      </c>
      <c r="U42" s="262">
        <v>703828</v>
      </c>
      <c r="V42" s="261"/>
      <c r="W42" s="261"/>
    </row>
    <row r="43" spans="2:23" ht="18.75" customHeight="1" x14ac:dyDescent="0.2">
      <c r="B43" s="325">
        <v>39</v>
      </c>
      <c r="C43" s="335" t="s">
        <v>617</v>
      </c>
      <c r="D43" s="333" t="s">
        <v>195</v>
      </c>
      <c r="E43" s="245"/>
      <c r="F43" s="246"/>
      <c r="G43" s="114">
        <f>VLOOKUP(P43,'FS Data'!$A:$B,2,FALSE)</f>
        <v>8156</v>
      </c>
      <c r="H43" s="114">
        <f>VLOOKUP(Q43,'FS Data'!$A:$B,2,FALSE)</f>
        <v>1359</v>
      </c>
      <c r="I43" s="245"/>
      <c r="J43" s="246"/>
      <c r="K43" s="114">
        <f>VLOOKUP(T43,'FS Data'!$A:$B,2,FALSE)</f>
        <v>8156</v>
      </c>
      <c r="L43" s="386">
        <f>VLOOKUP(U43,'FS Data'!$A:$B,2,FALSE)</f>
        <v>1359</v>
      </c>
      <c r="M43" s="261"/>
      <c r="N43" s="262">
        <v>703912</v>
      </c>
      <c r="O43" s="262">
        <v>703914</v>
      </c>
      <c r="P43" s="262">
        <v>703916</v>
      </c>
      <c r="Q43" s="262">
        <v>703918</v>
      </c>
      <c r="R43" s="262">
        <v>703922</v>
      </c>
      <c r="S43" s="262">
        <v>703924</v>
      </c>
      <c r="T43" s="262">
        <v>703926</v>
      </c>
      <c r="U43" s="262">
        <v>703928</v>
      </c>
      <c r="V43" s="261"/>
      <c r="W43" s="261"/>
    </row>
    <row r="44" spans="2:23" ht="18.75" customHeight="1" x14ac:dyDescent="0.2">
      <c r="B44" s="325">
        <v>40</v>
      </c>
      <c r="C44" s="335" t="s">
        <v>618</v>
      </c>
      <c r="D44" s="333" t="s">
        <v>240</v>
      </c>
      <c r="E44" s="212">
        <f>VLOOKUP(N44,'FS Data'!$A:$B,2,FALSE)</f>
        <v>3</v>
      </c>
      <c r="F44" s="114">
        <f>VLOOKUP(O44,'FS Data'!$A:$B,2,FALSE)</f>
        <v>66184</v>
      </c>
      <c r="G44" s="114">
        <f>VLOOKUP(P44,'FS Data'!$A:$B,2,FALSE)</f>
        <v>7901</v>
      </c>
      <c r="H44" s="114">
        <f>VLOOKUP(Q44,'FS Data'!$A:$B,2,FALSE)</f>
        <v>2634</v>
      </c>
      <c r="I44" s="212">
        <f>VLOOKUP(R44,'FS Data'!$A:$B,2,FALSE)</f>
        <v>3</v>
      </c>
      <c r="J44" s="114">
        <f>VLOOKUP(S44,'FS Data'!$A:$B,2,FALSE)</f>
        <v>66184</v>
      </c>
      <c r="K44" s="114">
        <f>VLOOKUP(T44,'FS Data'!$A:$B,2,FALSE)</f>
        <v>7901</v>
      </c>
      <c r="L44" s="386">
        <f>VLOOKUP(U44,'FS Data'!$A:$B,2,FALSE)</f>
        <v>2634</v>
      </c>
      <c r="M44" s="261"/>
      <c r="N44" s="262">
        <v>704012</v>
      </c>
      <c r="O44" s="262">
        <v>704014</v>
      </c>
      <c r="P44" s="262">
        <v>704016</v>
      </c>
      <c r="Q44" s="262">
        <v>704018</v>
      </c>
      <c r="R44" s="262">
        <v>704022</v>
      </c>
      <c r="S44" s="262">
        <v>704024</v>
      </c>
      <c r="T44" s="262">
        <v>704026</v>
      </c>
      <c r="U44" s="262">
        <v>704028</v>
      </c>
      <c r="V44" s="261"/>
      <c r="W44" s="261"/>
    </row>
    <row r="45" spans="2:23" ht="18.75" customHeight="1" x14ac:dyDescent="0.2">
      <c r="B45" s="325">
        <v>41</v>
      </c>
      <c r="C45" s="335" t="s">
        <v>619</v>
      </c>
      <c r="D45" s="333" t="s">
        <v>194</v>
      </c>
      <c r="E45" s="245"/>
      <c r="F45" s="246"/>
      <c r="G45" s="114">
        <f>VLOOKUP(P45,'FS Data'!$A:$B,2,FALSE)</f>
        <v>6506</v>
      </c>
      <c r="H45" s="114">
        <f>VLOOKUP(Q45,'FS Data'!$A:$B,2,FALSE)</f>
        <v>2169</v>
      </c>
      <c r="I45" s="245"/>
      <c r="J45" s="246"/>
      <c r="K45" s="114">
        <f>VLOOKUP(T45,'FS Data'!$A:$B,2,FALSE)</f>
        <v>6506</v>
      </c>
      <c r="L45" s="386">
        <f>VLOOKUP(U45,'FS Data'!$A:$B,2,FALSE)</f>
        <v>2169</v>
      </c>
      <c r="M45" s="261"/>
      <c r="N45" s="262">
        <v>704112</v>
      </c>
      <c r="O45" s="262">
        <v>704114</v>
      </c>
      <c r="P45" s="262">
        <v>704116</v>
      </c>
      <c r="Q45" s="262">
        <v>704118</v>
      </c>
      <c r="R45" s="262">
        <v>704122</v>
      </c>
      <c r="S45" s="262">
        <v>704124</v>
      </c>
      <c r="T45" s="262">
        <v>704126</v>
      </c>
      <c r="U45" s="262">
        <v>704128</v>
      </c>
      <c r="V45" s="261"/>
      <c r="W45" s="261"/>
    </row>
    <row r="46" spans="2:23" ht="18.75" customHeight="1" x14ac:dyDescent="0.2">
      <c r="B46" s="325">
        <v>42</v>
      </c>
      <c r="C46" s="335" t="s">
        <v>620</v>
      </c>
      <c r="D46" s="333" t="s">
        <v>193</v>
      </c>
      <c r="E46" s="212">
        <f>VLOOKUP(N46,'FS Data'!$A:$B,2,FALSE)</f>
        <v>3</v>
      </c>
      <c r="F46" s="114">
        <f>VLOOKUP(O46,'FS Data'!$A:$B,2,FALSE)</f>
        <v>123000</v>
      </c>
      <c r="G46" s="114">
        <f>VLOOKUP(P46,'FS Data'!$A:$B,2,FALSE)</f>
        <v>947</v>
      </c>
      <c r="H46" s="114">
        <f>VLOOKUP(Q46,'FS Data'!$A:$B,2,FALSE)</f>
        <v>316</v>
      </c>
      <c r="I46" s="212">
        <f>VLOOKUP(R46,'FS Data'!$A:$B,2,FALSE)</f>
        <v>3</v>
      </c>
      <c r="J46" s="114">
        <f>VLOOKUP(S46,'FS Data'!$A:$B,2,FALSE)</f>
        <v>123000</v>
      </c>
      <c r="K46" s="114">
        <f>VLOOKUP(T46,'FS Data'!$A:$B,2,FALSE)</f>
        <v>947</v>
      </c>
      <c r="L46" s="386">
        <f>VLOOKUP(U46,'FS Data'!$A:$B,2,FALSE)</f>
        <v>316</v>
      </c>
      <c r="M46" s="261"/>
      <c r="N46" s="262">
        <v>704212</v>
      </c>
      <c r="O46" s="262">
        <v>704214</v>
      </c>
      <c r="P46" s="262">
        <v>704216</v>
      </c>
      <c r="Q46" s="262">
        <v>704218</v>
      </c>
      <c r="R46" s="262">
        <v>704222</v>
      </c>
      <c r="S46" s="262">
        <v>704224</v>
      </c>
      <c r="T46" s="262">
        <v>704226</v>
      </c>
      <c r="U46" s="262">
        <v>704228</v>
      </c>
      <c r="V46" s="261"/>
      <c r="W46" s="261"/>
    </row>
    <row r="47" spans="2:23" ht="18.75" customHeight="1" x14ac:dyDescent="0.2">
      <c r="B47" s="325">
        <v>43</v>
      </c>
      <c r="C47" s="692" t="s">
        <v>621</v>
      </c>
      <c r="D47" s="285">
        <v>448</v>
      </c>
      <c r="E47" s="212">
        <f>VLOOKUP(N47,'FS Data'!$A:$B,2,FALSE)</f>
        <v>0</v>
      </c>
      <c r="F47" s="114">
        <f>VLOOKUP(O47,'FS Data'!$A:$B,2,FALSE)</f>
        <v>0</v>
      </c>
      <c r="G47" s="114">
        <f>VLOOKUP(P47,'FS Data'!$A:$B,2,FALSE)</f>
        <v>0</v>
      </c>
      <c r="H47" s="114">
        <f>VLOOKUP(Q47,'FS Data'!$A:$B,2,FALSE)</f>
        <v>0</v>
      </c>
      <c r="I47" s="212">
        <f>VLOOKUP(R47,'FS Data'!$A:$B,2,FALSE)</f>
        <v>0</v>
      </c>
      <c r="J47" s="114">
        <f>VLOOKUP(S47,'FS Data'!$A:$B,2,FALSE)</f>
        <v>0</v>
      </c>
      <c r="K47" s="114">
        <f>VLOOKUP(T47,'FS Data'!$A:$B,2,FALSE)</f>
        <v>0</v>
      </c>
      <c r="L47" s="386">
        <f>VLOOKUP(U47,'FS Data'!$A:$B,2,FALSE)</f>
        <v>0</v>
      </c>
      <c r="M47" s="261"/>
      <c r="N47" s="262">
        <v>704312</v>
      </c>
      <c r="O47" s="262">
        <v>704314</v>
      </c>
      <c r="P47" s="262">
        <v>704316</v>
      </c>
      <c r="Q47" s="262">
        <v>704318</v>
      </c>
      <c r="R47" s="262">
        <v>704322</v>
      </c>
      <c r="S47" s="262">
        <v>704324</v>
      </c>
      <c r="T47" s="262">
        <v>704326</v>
      </c>
      <c r="U47" s="262">
        <v>704328</v>
      </c>
      <c r="V47" s="261"/>
      <c r="W47" s="261"/>
    </row>
    <row r="48" spans="2:23" ht="18.75" customHeight="1" x14ac:dyDescent="0.25">
      <c r="B48" s="325">
        <v>44</v>
      </c>
      <c r="C48" s="335" t="s">
        <v>622</v>
      </c>
      <c r="D48" s="333" t="s">
        <v>192</v>
      </c>
      <c r="E48" s="381"/>
      <c r="F48" s="381"/>
      <c r="G48" s="114">
        <f>VLOOKUP(P48,'FS Data'!$A:$B,2,FALSE)</f>
        <v>0</v>
      </c>
      <c r="H48" s="469"/>
      <c r="I48" s="469"/>
      <c r="J48" s="469"/>
      <c r="K48" s="114">
        <f>VLOOKUP(T48,'FS Data'!$A:$B,2,FALSE)</f>
        <v>0</v>
      </c>
      <c r="L48" s="468"/>
      <c r="M48" s="261"/>
      <c r="N48" s="262">
        <v>704412</v>
      </c>
      <c r="O48" s="262">
        <v>704414</v>
      </c>
      <c r="P48" s="262">
        <v>704416</v>
      </c>
      <c r="Q48" s="262">
        <v>704418</v>
      </c>
      <c r="R48" s="262">
        <v>704422</v>
      </c>
      <c r="S48" s="262">
        <v>704424</v>
      </c>
      <c r="T48" s="262">
        <v>704426</v>
      </c>
      <c r="U48" s="262">
        <v>704428</v>
      </c>
      <c r="V48" s="261"/>
      <c r="W48" s="261"/>
    </row>
    <row r="49" spans="2:23" ht="18.75" customHeight="1" x14ac:dyDescent="0.25">
      <c r="B49" s="325">
        <v>45</v>
      </c>
      <c r="C49" s="365"/>
      <c r="D49" s="366"/>
      <c r="E49" s="382"/>
      <c r="F49" s="382"/>
      <c r="G49" s="366"/>
      <c r="H49" s="472"/>
      <c r="I49" s="472"/>
      <c r="J49" s="472"/>
      <c r="K49" s="366"/>
      <c r="L49" s="373"/>
      <c r="M49" s="261"/>
      <c r="N49" s="262">
        <v>704512</v>
      </c>
      <c r="O49" s="262">
        <v>704514</v>
      </c>
      <c r="P49" s="262">
        <v>704516</v>
      </c>
      <c r="Q49" s="262">
        <v>704518</v>
      </c>
      <c r="R49" s="262">
        <v>704522</v>
      </c>
      <c r="S49" s="262">
        <v>704524</v>
      </c>
      <c r="T49" s="262">
        <v>704526</v>
      </c>
      <c r="U49" s="262">
        <v>704528</v>
      </c>
      <c r="V49" s="261"/>
      <c r="W49" s="261"/>
    </row>
    <row r="50" spans="2:23" ht="21.6" customHeight="1" x14ac:dyDescent="0.2">
      <c r="B50" s="325">
        <v>46</v>
      </c>
      <c r="C50" s="691" t="s">
        <v>623</v>
      </c>
      <c r="D50" s="332" t="s">
        <v>249</v>
      </c>
      <c r="E50" s="212">
        <f>VLOOKUP(N50,'FS Data'!$A:$B,2,FALSE)</f>
        <v>10</v>
      </c>
      <c r="F50" s="114">
        <f>VLOOKUP(O50,'FS Data'!$A:$B,2,FALSE)</f>
        <v>11613</v>
      </c>
      <c r="G50" s="114">
        <f>VLOOKUP(P50,'FS Data'!$A:$B,2,FALSE)</f>
        <v>11613</v>
      </c>
      <c r="H50" s="114">
        <f>VLOOKUP(Q50,'FS Data'!$A:$B,2,FALSE)</f>
        <v>1161</v>
      </c>
      <c r="I50" s="212">
        <f>VLOOKUP(R50,'FS Data'!$A:$B,2,FALSE)</f>
        <v>10</v>
      </c>
      <c r="J50" s="114">
        <f>VLOOKUP(S50,'FS Data'!$A:$B,2,FALSE)</f>
        <v>11613</v>
      </c>
      <c r="K50" s="114">
        <f>VLOOKUP(T50,'FS Data'!$A:$B,2,FALSE)</f>
        <v>11613</v>
      </c>
      <c r="L50" s="386">
        <f>VLOOKUP(U50,'FS Data'!$A:$B,2,FALSE)</f>
        <v>1161</v>
      </c>
      <c r="M50" s="261"/>
      <c r="N50" s="262">
        <v>704612</v>
      </c>
      <c r="O50" s="262">
        <v>704614</v>
      </c>
      <c r="P50" s="262">
        <v>704616</v>
      </c>
      <c r="Q50" s="262">
        <v>704618</v>
      </c>
      <c r="R50" s="262">
        <v>704622</v>
      </c>
      <c r="S50" s="262">
        <v>704624</v>
      </c>
      <c r="T50" s="262">
        <v>704626</v>
      </c>
      <c r="U50" s="262">
        <v>704628</v>
      </c>
      <c r="V50" s="261"/>
      <c r="W50" s="261"/>
    </row>
    <row r="51" spans="2:23" ht="18.75" customHeight="1" x14ac:dyDescent="0.2">
      <c r="B51" s="325">
        <v>47</v>
      </c>
      <c r="C51" s="691" t="s">
        <v>624</v>
      </c>
      <c r="D51" s="332" t="s">
        <v>250</v>
      </c>
      <c r="E51" s="212">
        <f>VLOOKUP(N51,'FS Data'!$A:$B,2,FALSE)</f>
        <v>4</v>
      </c>
      <c r="F51" s="114">
        <f>VLOOKUP(O51,'FS Data'!$A:$B,2,FALSE)</f>
        <v>2885</v>
      </c>
      <c r="G51" s="114">
        <f>VLOOKUP(P51,'FS Data'!$A:$B,2,FALSE)</f>
        <v>2885</v>
      </c>
      <c r="H51" s="114">
        <f>VLOOKUP(Q51,'FS Data'!$A:$B,2,FALSE)</f>
        <v>721</v>
      </c>
      <c r="I51" s="212">
        <f>VLOOKUP(R51,'FS Data'!$A:$B,2,FALSE)</f>
        <v>4</v>
      </c>
      <c r="J51" s="114">
        <f>VLOOKUP(S51,'FS Data'!$A:$B,2,FALSE)</f>
        <v>2885</v>
      </c>
      <c r="K51" s="114">
        <f>VLOOKUP(T51,'FS Data'!$A:$B,2,FALSE)</f>
        <v>2885</v>
      </c>
      <c r="L51" s="386">
        <f>VLOOKUP(U51,'FS Data'!$A:$B,2,FALSE)</f>
        <v>721</v>
      </c>
      <c r="M51" s="261"/>
      <c r="N51" s="262">
        <v>704712</v>
      </c>
      <c r="O51" s="262">
        <v>704714</v>
      </c>
      <c r="P51" s="262">
        <v>704716</v>
      </c>
      <c r="Q51" s="262">
        <v>704718</v>
      </c>
      <c r="R51" s="262">
        <v>704722</v>
      </c>
      <c r="S51" s="262">
        <v>704724</v>
      </c>
      <c r="T51" s="262">
        <v>704726</v>
      </c>
      <c r="U51" s="262">
        <v>704728</v>
      </c>
      <c r="V51" s="261"/>
      <c r="W51" s="261"/>
    </row>
    <row r="52" spans="2:23" ht="18.75" customHeight="1" x14ac:dyDescent="0.2">
      <c r="B52" s="325">
        <v>48</v>
      </c>
      <c r="C52" s="691" t="s">
        <v>625</v>
      </c>
      <c r="D52" s="332" t="s">
        <v>251</v>
      </c>
      <c r="E52" s="212">
        <f>VLOOKUP(N52,'FS Data'!$A:$B,2,FALSE)</f>
        <v>1</v>
      </c>
      <c r="F52" s="114">
        <f>VLOOKUP(O52,'FS Data'!$A:$B,2,FALSE)</f>
        <v>6829</v>
      </c>
      <c r="G52" s="114">
        <f>VLOOKUP(P52,'FS Data'!$A:$B,2,FALSE)</f>
        <v>2500</v>
      </c>
      <c r="H52" s="114">
        <f>VLOOKUP(Q52,'FS Data'!$A:$B,2,FALSE)</f>
        <v>2500</v>
      </c>
      <c r="I52" s="212">
        <f>VLOOKUP(R52,'FS Data'!$A:$B,2,FALSE)</f>
        <v>1</v>
      </c>
      <c r="J52" s="114">
        <f>VLOOKUP(S52,'FS Data'!$A:$B,2,FALSE)</f>
        <v>6829</v>
      </c>
      <c r="K52" s="114">
        <f>VLOOKUP(T52,'FS Data'!$A:$B,2,FALSE)</f>
        <v>2500</v>
      </c>
      <c r="L52" s="386">
        <f>VLOOKUP(U52,'FS Data'!$A:$B,2,FALSE)</f>
        <v>2500</v>
      </c>
      <c r="M52" s="261"/>
      <c r="N52" s="262">
        <v>704812</v>
      </c>
      <c r="O52" s="262">
        <v>704814</v>
      </c>
      <c r="P52" s="262">
        <v>704816</v>
      </c>
      <c r="Q52" s="262">
        <v>704818</v>
      </c>
      <c r="R52" s="262">
        <v>704822</v>
      </c>
      <c r="S52" s="262">
        <v>704824</v>
      </c>
      <c r="T52" s="262">
        <v>704826</v>
      </c>
      <c r="U52" s="262">
        <v>704828</v>
      </c>
      <c r="V52" s="261"/>
      <c r="W52" s="261"/>
    </row>
    <row r="53" spans="2:23" ht="18.75" customHeight="1" x14ac:dyDescent="0.2">
      <c r="B53" s="325">
        <v>49</v>
      </c>
      <c r="C53" s="691" t="s">
        <v>626</v>
      </c>
      <c r="D53" s="332" t="s">
        <v>252</v>
      </c>
      <c r="E53" s="212">
        <f>VLOOKUP(N53,'FS Data'!$A:$B,2,FALSE)</f>
        <v>0</v>
      </c>
      <c r="F53" s="114">
        <f>VLOOKUP(O53,'FS Data'!$A:$B,2,FALSE)</f>
        <v>0</v>
      </c>
      <c r="G53" s="114">
        <f>VLOOKUP(P53,'FS Data'!$A:$B,2,FALSE)</f>
        <v>0</v>
      </c>
      <c r="H53" s="114">
        <f>VLOOKUP(Q53,'FS Data'!$A:$B,2,FALSE)</f>
        <v>0</v>
      </c>
      <c r="I53" s="212">
        <f>VLOOKUP(R53,'FS Data'!$A:$B,2,FALSE)</f>
        <v>0</v>
      </c>
      <c r="J53" s="114">
        <f>VLOOKUP(S53,'FS Data'!$A:$B,2,FALSE)</f>
        <v>0</v>
      </c>
      <c r="K53" s="114">
        <f>VLOOKUP(T53,'FS Data'!$A:$B,2,FALSE)</f>
        <v>0</v>
      </c>
      <c r="L53" s="386">
        <f>VLOOKUP(U53,'FS Data'!$A:$B,2,FALSE)</f>
        <v>0</v>
      </c>
      <c r="M53" s="261"/>
      <c r="N53" s="262">
        <v>704912</v>
      </c>
      <c r="O53" s="262">
        <v>704914</v>
      </c>
      <c r="P53" s="262">
        <v>704916</v>
      </c>
      <c r="Q53" s="262">
        <v>704918</v>
      </c>
      <c r="R53" s="262">
        <v>704922</v>
      </c>
      <c r="S53" s="262">
        <v>704924</v>
      </c>
      <c r="T53" s="262">
        <v>704926</v>
      </c>
      <c r="U53" s="262">
        <v>704928</v>
      </c>
      <c r="V53" s="261"/>
      <c r="W53" s="261"/>
    </row>
    <row r="54" spans="2:23" ht="24.75" customHeight="1" x14ac:dyDescent="0.2">
      <c r="B54" s="325">
        <v>50</v>
      </c>
      <c r="C54" s="691" t="s">
        <v>627</v>
      </c>
      <c r="D54" s="332" t="s">
        <v>253</v>
      </c>
      <c r="E54" s="212">
        <f>VLOOKUP(N54,'FS Data'!$A:$B,2,FALSE)</f>
        <v>0</v>
      </c>
      <c r="F54" s="114">
        <f>VLOOKUP(O54,'FS Data'!$A:$B,2,FALSE)</f>
        <v>0</v>
      </c>
      <c r="G54" s="114">
        <f>VLOOKUP(P54,'FS Data'!$A:$B,2,FALSE)</f>
        <v>0</v>
      </c>
      <c r="H54" s="114">
        <f>VLOOKUP(Q54,'FS Data'!$A:$B,2,FALSE)</f>
        <v>0</v>
      </c>
      <c r="I54" s="212">
        <f>VLOOKUP(R54,'FS Data'!$A:$B,2,FALSE)</f>
        <v>0</v>
      </c>
      <c r="J54" s="114">
        <f>VLOOKUP(S54,'FS Data'!$A:$B,2,FALSE)</f>
        <v>0</v>
      </c>
      <c r="K54" s="114">
        <f>VLOOKUP(T54,'FS Data'!$A:$B,2,FALSE)</f>
        <v>0</v>
      </c>
      <c r="L54" s="386">
        <f>VLOOKUP(U54,'FS Data'!$A:$B,2,FALSE)</f>
        <v>0</v>
      </c>
      <c r="M54" s="261"/>
      <c r="N54" s="262">
        <v>705012</v>
      </c>
      <c r="O54" s="262">
        <v>705014</v>
      </c>
      <c r="P54" s="262">
        <v>705016</v>
      </c>
      <c r="Q54" s="262">
        <v>705018</v>
      </c>
      <c r="R54" s="262">
        <v>705022</v>
      </c>
      <c r="S54" s="262">
        <v>705024</v>
      </c>
      <c r="T54" s="262">
        <v>705026</v>
      </c>
      <c r="U54" s="262">
        <v>705028</v>
      </c>
      <c r="V54" s="261"/>
      <c r="W54" s="261"/>
    </row>
    <row r="55" spans="2:23" ht="18.75" customHeight="1" x14ac:dyDescent="0.2">
      <c r="B55" s="325">
        <v>51</v>
      </c>
      <c r="C55" s="691" t="s">
        <v>628</v>
      </c>
      <c r="D55" s="332" t="s">
        <v>254</v>
      </c>
      <c r="E55" s="212">
        <f>VLOOKUP(N55,'FS Data'!$A:$B,2,FALSE)</f>
        <v>6</v>
      </c>
      <c r="F55" s="114">
        <f>VLOOKUP(O55,'FS Data'!$A:$B,2,FALSE)</f>
        <v>7417</v>
      </c>
      <c r="G55" s="114">
        <f>VLOOKUP(P55,'FS Data'!$A:$B,2,FALSE)</f>
        <v>1314</v>
      </c>
      <c r="H55" s="114">
        <f>VLOOKUP(Q55,'FS Data'!$A:$B,2,FALSE)</f>
        <v>219</v>
      </c>
      <c r="I55" s="212">
        <f>VLOOKUP(R55,'FS Data'!$A:$B,2,FALSE)</f>
        <v>6</v>
      </c>
      <c r="J55" s="114">
        <f>VLOOKUP(S55,'FS Data'!$A:$B,2,FALSE)</f>
        <v>7417</v>
      </c>
      <c r="K55" s="114">
        <f>VLOOKUP(T55,'FS Data'!$A:$B,2,FALSE)</f>
        <v>1314</v>
      </c>
      <c r="L55" s="386">
        <f>VLOOKUP(U55,'FS Data'!$A:$B,2,FALSE)</f>
        <v>219</v>
      </c>
      <c r="M55" s="261"/>
      <c r="N55" s="262">
        <v>705112</v>
      </c>
      <c r="O55" s="262">
        <v>705114</v>
      </c>
      <c r="P55" s="262">
        <v>705116</v>
      </c>
      <c r="Q55" s="262">
        <v>705118</v>
      </c>
      <c r="R55" s="262">
        <v>705122</v>
      </c>
      <c r="S55" s="262">
        <v>705124</v>
      </c>
      <c r="T55" s="262">
        <v>705126</v>
      </c>
      <c r="U55" s="262">
        <v>705128</v>
      </c>
      <c r="V55" s="261"/>
      <c r="W55" s="261"/>
    </row>
    <row r="56" spans="2:23" ht="18.75" customHeight="1" x14ac:dyDescent="0.2">
      <c r="B56" s="325">
        <v>52</v>
      </c>
      <c r="C56" s="689" t="s">
        <v>829</v>
      </c>
      <c r="D56" s="331"/>
      <c r="E56" s="212">
        <f>VLOOKUP(N56,'FS Data'!$A:$B,2,FALSE)</f>
        <v>21</v>
      </c>
      <c r="F56" s="114">
        <f>VLOOKUP(O56,'FS Data'!$A:$B,2,FALSE)</f>
        <v>28744</v>
      </c>
      <c r="G56" s="114">
        <f>VLOOKUP(P56,'FS Data'!$A:$B,2,FALSE)</f>
        <v>18312</v>
      </c>
      <c r="H56" s="114">
        <f>VLOOKUP(Q56,'FS Data'!$A:$B,2,FALSE)</f>
        <v>872</v>
      </c>
      <c r="I56" s="212">
        <f>VLOOKUP(R56,'FS Data'!$A:$B,2,FALSE)</f>
        <v>21</v>
      </c>
      <c r="J56" s="114">
        <f>VLOOKUP(S56,'FS Data'!$A:$B,2,FALSE)</f>
        <v>28744</v>
      </c>
      <c r="K56" s="114">
        <f>VLOOKUP(T56,'FS Data'!$A:$B,2,FALSE)</f>
        <v>18312</v>
      </c>
      <c r="L56" s="386">
        <f>VLOOKUP(U56,'FS Data'!$A:$B,2,FALSE)</f>
        <v>872</v>
      </c>
      <c r="M56" s="261"/>
      <c r="N56" s="262">
        <v>705212</v>
      </c>
      <c r="O56" s="262">
        <v>705214</v>
      </c>
      <c r="P56" s="262">
        <v>705216</v>
      </c>
      <c r="Q56" s="262">
        <v>705218</v>
      </c>
      <c r="R56" s="262">
        <v>705222</v>
      </c>
      <c r="S56" s="262">
        <v>705224</v>
      </c>
      <c r="T56" s="262">
        <v>705226</v>
      </c>
      <c r="U56" s="262">
        <v>705228</v>
      </c>
      <c r="V56" s="261"/>
      <c r="W56" s="261"/>
    </row>
    <row r="57" spans="2:23" ht="21.6" customHeight="1" x14ac:dyDescent="0.2">
      <c r="B57" s="325">
        <v>53</v>
      </c>
      <c r="C57" s="365"/>
      <c r="D57" s="364"/>
      <c r="E57" s="366"/>
      <c r="F57" s="366"/>
      <c r="G57" s="366"/>
      <c r="H57" s="366"/>
      <c r="I57" s="366"/>
      <c r="J57" s="366"/>
      <c r="K57" s="366"/>
      <c r="L57" s="373"/>
      <c r="M57" s="261"/>
      <c r="N57" s="262">
        <v>705312</v>
      </c>
      <c r="O57" s="262">
        <v>705314</v>
      </c>
      <c r="P57" s="262">
        <v>705316</v>
      </c>
      <c r="Q57" s="262">
        <v>705318</v>
      </c>
      <c r="R57" s="262">
        <v>705322</v>
      </c>
      <c r="S57" s="262">
        <v>705324</v>
      </c>
      <c r="T57" s="262">
        <v>705326</v>
      </c>
      <c r="U57" s="262">
        <v>705328</v>
      </c>
      <c r="V57" s="261"/>
      <c r="W57" s="261"/>
    </row>
    <row r="58" spans="2:23" ht="21.6" customHeight="1" x14ac:dyDescent="0.2">
      <c r="B58" s="325">
        <v>54</v>
      </c>
      <c r="C58" s="334" t="s">
        <v>629</v>
      </c>
      <c r="D58" s="292" t="s">
        <v>108</v>
      </c>
      <c r="E58" s="212">
        <f>VLOOKUP(N58,'FS Data'!$A:$B,2,FALSE)</f>
        <v>0</v>
      </c>
      <c r="F58" s="114">
        <f>VLOOKUP(O58,'FS Data'!$A:$B,2,FALSE)</f>
        <v>0</v>
      </c>
      <c r="G58" s="114">
        <f>VLOOKUP(P58,'FS Data'!$A:$B,2,FALSE)</f>
        <v>0</v>
      </c>
      <c r="H58" s="114">
        <f>VLOOKUP(Q58,'FS Data'!$A:$B,2,FALSE)</f>
        <v>0</v>
      </c>
      <c r="I58" s="212">
        <f>VLOOKUP(R58,'FS Data'!$A:$B,2,FALSE)</f>
        <v>0</v>
      </c>
      <c r="J58" s="114">
        <f>VLOOKUP(S58,'FS Data'!$A:$B,2,FALSE)</f>
        <v>0</v>
      </c>
      <c r="K58" s="114">
        <f>VLOOKUP(T58,'FS Data'!$A:$B,2,FALSE)</f>
        <v>0</v>
      </c>
      <c r="L58" s="386">
        <f>VLOOKUP(U58,'FS Data'!$A:$B,2,FALSE)</f>
        <v>0</v>
      </c>
      <c r="M58" s="261"/>
      <c r="N58" s="262">
        <v>705412</v>
      </c>
      <c r="O58" s="262">
        <v>705414</v>
      </c>
      <c r="P58" s="262">
        <v>705416</v>
      </c>
      <c r="Q58" s="262">
        <v>705418</v>
      </c>
      <c r="R58" s="262">
        <v>705422</v>
      </c>
      <c r="S58" s="262">
        <v>705424</v>
      </c>
      <c r="T58" s="262">
        <v>705426</v>
      </c>
      <c r="U58" s="262">
        <v>705428</v>
      </c>
      <c r="V58" s="261"/>
      <c r="W58" s="261"/>
    </row>
    <row r="59" spans="2:23" ht="21.6" customHeight="1" x14ac:dyDescent="0.2">
      <c r="B59" s="325">
        <v>55</v>
      </c>
      <c r="C59" s="334" t="s">
        <v>630</v>
      </c>
      <c r="D59" s="292" t="s">
        <v>107</v>
      </c>
      <c r="E59" s="245"/>
      <c r="F59" s="246"/>
      <c r="G59" s="114">
        <f>VLOOKUP(P59,'FS Data'!$A:$B,2,FALSE)</f>
        <v>0</v>
      </c>
      <c r="H59" s="114">
        <f>VLOOKUP(Q59,'FS Data'!$A:$B,2,FALSE)</f>
        <v>0</v>
      </c>
      <c r="I59" s="245"/>
      <c r="J59" s="246"/>
      <c r="K59" s="114">
        <f>VLOOKUP(T59,'FS Data'!$A:$B,2,FALSE)</f>
        <v>0</v>
      </c>
      <c r="L59" s="386">
        <f>VLOOKUP(U59,'FS Data'!$A:$B,2,FALSE)</f>
        <v>0</v>
      </c>
      <c r="M59" s="261"/>
      <c r="N59" s="262">
        <v>705512</v>
      </c>
      <c r="O59" s="262">
        <v>705514</v>
      </c>
      <c r="P59" s="262">
        <v>705516</v>
      </c>
      <c r="Q59" s="262">
        <v>705518</v>
      </c>
      <c r="R59" s="262">
        <v>705522</v>
      </c>
      <c r="S59" s="262">
        <v>705524</v>
      </c>
      <c r="T59" s="262">
        <v>705526</v>
      </c>
      <c r="U59" s="262">
        <v>705528</v>
      </c>
      <c r="V59" s="261"/>
      <c r="W59" s="261"/>
    </row>
    <row r="60" spans="2:23" x14ac:dyDescent="0.2">
      <c r="B60" s="325">
        <v>56</v>
      </c>
      <c r="C60" s="335" t="s">
        <v>631</v>
      </c>
      <c r="D60" s="285">
        <v>449</v>
      </c>
      <c r="E60" s="212">
        <f>VLOOKUP(N60,'FS Data'!$A:$B,2,FALSE)</f>
        <v>0</v>
      </c>
      <c r="F60" s="114">
        <f>VLOOKUP(O60,'FS Data'!$A:$B,2,FALSE)</f>
        <v>0</v>
      </c>
      <c r="G60" s="114">
        <f>VLOOKUP(P60,'FS Data'!$A:$B,2,FALSE)</f>
        <v>0</v>
      </c>
      <c r="H60" s="114">
        <f>VLOOKUP(Q60,'FS Data'!$A:$B,2,FALSE)</f>
        <v>0</v>
      </c>
      <c r="I60" s="212">
        <f>VLOOKUP(R60,'FS Data'!$A:$B,2,FALSE)</f>
        <v>0</v>
      </c>
      <c r="J60" s="114">
        <f>VLOOKUP(S60,'FS Data'!$A:$B,2,FALSE)</f>
        <v>0</v>
      </c>
      <c r="K60" s="114">
        <f>VLOOKUP(T60,'FS Data'!$A:$B,2,FALSE)</f>
        <v>0</v>
      </c>
      <c r="L60" s="386">
        <f>VLOOKUP(U60,'FS Data'!$A:$B,2,FALSE)</f>
        <v>0</v>
      </c>
      <c r="M60" s="261"/>
      <c r="N60" s="262">
        <v>705612</v>
      </c>
      <c r="O60" s="262">
        <v>705614</v>
      </c>
      <c r="P60" s="262">
        <v>705616</v>
      </c>
      <c r="Q60" s="262">
        <v>705618</v>
      </c>
      <c r="R60" s="262">
        <v>705622</v>
      </c>
      <c r="S60" s="262">
        <v>705624</v>
      </c>
      <c r="T60" s="262">
        <v>705626</v>
      </c>
      <c r="U60" s="262">
        <v>705628</v>
      </c>
      <c r="V60" s="261"/>
      <c r="W60" s="261"/>
    </row>
    <row r="61" spans="2:23" x14ac:dyDescent="0.2">
      <c r="B61" s="325">
        <v>57</v>
      </c>
      <c r="C61" s="335" t="s">
        <v>632</v>
      </c>
      <c r="D61" s="285" t="s">
        <v>109</v>
      </c>
      <c r="E61" s="245"/>
      <c r="F61" s="246"/>
      <c r="G61" s="114">
        <f>VLOOKUP(P61,'FS Data'!$A:$B,2,FALSE)</f>
        <v>0</v>
      </c>
      <c r="H61" s="114">
        <f>VLOOKUP(Q61,'FS Data'!$A:$B,2,FALSE)</f>
        <v>0</v>
      </c>
      <c r="I61" s="245"/>
      <c r="J61" s="246"/>
      <c r="K61" s="114">
        <f>VLOOKUP(T61,'FS Data'!$A:$B,2,FALSE)</f>
        <v>0</v>
      </c>
      <c r="L61" s="386">
        <f>VLOOKUP(U61,'FS Data'!$A:$B,2,FALSE)</f>
        <v>0</v>
      </c>
      <c r="M61" s="261"/>
      <c r="N61" s="262">
        <v>705712</v>
      </c>
      <c r="O61" s="262">
        <v>705714</v>
      </c>
      <c r="P61" s="262">
        <v>705716</v>
      </c>
      <c r="Q61" s="262">
        <v>705718</v>
      </c>
      <c r="R61" s="262">
        <v>705722</v>
      </c>
      <c r="S61" s="262">
        <v>705724</v>
      </c>
      <c r="T61" s="262">
        <v>705726</v>
      </c>
      <c r="U61" s="262">
        <v>705728</v>
      </c>
      <c r="V61" s="261"/>
      <c r="W61" s="261"/>
    </row>
    <row r="62" spans="2:23" x14ac:dyDescent="0.2">
      <c r="B62" s="325">
        <v>58</v>
      </c>
      <c r="C62" s="335" t="s">
        <v>633</v>
      </c>
      <c r="D62" s="285" t="s">
        <v>106</v>
      </c>
      <c r="E62" s="212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14">
        <f>VLOOKUP(Q62,'FS Data'!$A:$B,2,FALSE)</f>
        <v>0</v>
      </c>
      <c r="I62" s="212">
        <f>VLOOKUP(R62,'FS Data'!$A:$B,2,FALSE)</f>
        <v>0</v>
      </c>
      <c r="J62" s="114">
        <f>VLOOKUP(S62,'FS Data'!$A:$B,2,FALSE)</f>
        <v>0</v>
      </c>
      <c r="K62" s="114">
        <f>VLOOKUP(T62,'FS Data'!$A:$B,2,FALSE)</f>
        <v>0</v>
      </c>
      <c r="L62" s="386">
        <f>VLOOKUP(U62,'FS Data'!$A:$B,2,FALSE)</f>
        <v>0</v>
      </c>
      <c r="M62" s="261"/>
      <c r="N62" s="262">
        <v>705812</v>
      </c>
      <c r="O62" s="262">
        <v>705814</v>
      </c>
      <c r="P62" s="262">
        <v>705816</v>
      </c>
      <c r="Q62" s="262">
        <v>705818</v>
      </c>
      <c r="R62" s="262">
        <v>705822</v>
      </c>
      <c r="S62" s="262">
        <v>705824</v>
      </c>
      <c r="T62" s="262">
        <v>705826</v>
      </c>
      <c r="U62" s="262">
        <v>705828</v>
      </c>
      <c r="V62" s="261"/>
      <c r="W62" s="261"/>
    </row>
    <row r="63" spans="2:23" x14ac:dyDescent="0.2">
      <c r="B63" s="325">
        <v>59</v>
      </c>
      <c r="C63" s="692" t="s">
        <v>634</v>
      </c>
      <c r="D63" s="285" t="s">
        <v>105</v>
      </c>
      <c r="E63" s="212">
        <f>VLOOKUP(N63,'FS Data'!$A:$B,2,FALSE)</f>
        <v>0</v>
      </c>
      <c r="F63" s="114">
        <f>VLOOKUP(O63,'FS Data'!$A:$B,2,FALSE)</f>
        <v>0</v>
      </c>
      <c r="G63" s="114">
        <f>VLOOKUP(P63,'FS Data'!$A:$B,2,FALSE)</f>
        <v>0</v>
      </c>
      <c r="H63" s="114">
        <f>VLOOKUP(Q63,'FS Data'!$A:$B,2,FALSE)</f>
        <v>0</v>
      </c>
      <c r="I63" s="212">
        <f>VLOOKUP(R63,'FS Data'!$A:$B,2,FALSE)</f>
        <v>0</v>
      </c>
      <c r="J63" s="114">
        <f>VLOOKUP(S63,'FS Data'!$A:$B,2,FALSE)</f>
        <v>0</v>
      </c>
      <c r="K63" s="114">
        <f>VLOOKUP(T63,'FS Data'!$A:$B,2,FALSE)</f>
        <v>0</v>
      </c>
      <c r="L63" s="386">
        <f>VLOOKUP(U63,'FS Data'!$A:$B,2,FALSE)</f>
        <v>0</v>
      </c>
      <c r="M63" s="261"/>
      <c r="N63" s="262">
        <v>705912</v>
      </c>
      <c r="O63" s="262">
        <v>705914</v>
      </c>
      <c r="P63" s="262">
        <v>705916</v>
      </c>
      <c r="Q63" s="262">
        <v>705918</v>
      </c>
      <c r="R63" s="262">
        <v>705922</v>
      </c>
      <c r="S63" s="262">
        <v>705924</v>
      </c>
      <c r="T63" s="262">
        <v>705926</v>
      </c>
      <c r="U63" s="262">
        <v>705928</v>
      </c>
      <c r="V63" s="261"/>
      <c r="W63" s="261"/>
    </row>
    <row r="64" spans="2:23" ht="15" x14ac:dyDescent="0.25">
      <c r="B64" s="325">
        <v>60</v>
      </c>
      <c r="C64" s="693" t="s">
        <v>635</v>
      </c>
      <c r="D64" s="336" t="s">
        <v>208</v>
      </c>
      <c r="E64" s="381"/>
      <c r="F64" s="381"/>
      <c r="G64" s="114">
        <f>VLOOKUP(P64,'FS Data'!$A:$B,2,FALSE)</f>
        <v>0</v>
      </c>
      <c r="H64" s="468"/>
      <c r="I64" s="381"/>
      <c r="J64" s="381"/>
      <c r="K64" s="114">
        <f>VLOOKUP(T64,'FS Data'!$A:$B,2,FALSE)</f>
        <v>0</v>
      </c>
      <c r="L64" s="468"/>
      <c r="M64" s="261"/>
      <c r="N64" s="262">
        <v>706012</v>
      </c>
      <c r="O64" s="262">
        <v>706014</v>
      </c>
      <c r="P64" s="262">
        <v>706016</v>
      </c>
      <c r="Q64" s="262">
        <v>706018</v>
      </c>
      <c r="R64" s="262">
        <v>706022</v>
      </c>
      <c r="S64" s="262">
        <v>706024</v>
      </c>
      <c r="T64" s="262">
        <v>706026</v>
      </c>
      <c r="U64" s="262">
        <v>706028</v>
      </c>
      <c r="V64" s="261"/>
      <c r="W64" s="261"/>
    </row>
    <row r="65" spans="2:23" x14ac:dyDescent="0.2">
      <c r="B65" s="325">
        <v>61</v>
      </c>
      <c r="C65" s="365"/>
      <c r="D65" s="364"/>
      <c r="E65" s="382"/>
      <c r="F65" s="382"/>
      <c r="G65" s="366"/>
      <c r="H65" s="366"/>
      <c r="I65" s="382"/>
      <c r="J65" s="382"/>
      <c r="K65" s="366"/>
      <c r="L65" s="373"/>
      <c r="M65" s="261"/>
      <c r="N65" s="262">
        <v>706112</v>
      </c>
      <c r="O65" s="262">
        <v>706114</v>
      </c>
      <c r="P65" s="262">
        <v>706116</v>
      </c>
      <c r="Q65" s="262">
        <v>706118</v>
      </c>
      <c r="R65" s="262">
        <v>706122</v>
      </c>
      <c r="S65" s="262">
        <v>706124</v>
      </c>
      <c r="T65" s="262">
        <v>706126</v>
      </c>
      <c r="U65" s="262">
        <v>706128</v>
      </c>
      <c r="V65" s="261"/>
      <c r="W65" s="261"/>
    </row>
    <row r="66" spans="2:23" x14ac:dyDescent="0.2">
      <c r="B66" s="325">
        <v>62</v>
      </c>
      <c r="C66" s="334" t="s">
        <v>636</v>
      </c>
      <c r="D66" s="292">
        <v>461</v>
      </c>
      <c r="E66" s="212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14">
        <f>VLOOKUP(Q66,'FS Data'!$A:$B,2,FALSE)</f>
        <v>0</v>
      </c>
      <c r="I66" s="212">
        <f>VLOOKUP(R66,'FS Data'!$A:$B,2,FALSE)</f>
        <v>0</v>
      </c>
      <c r="J66" s="114">
        <f>VLOOKUP(S66,'FS Data'!$A:$B,2,FALSE)</f>
        <v>0</v>
      </c>
      <c r="K66" s="114">
        <f>VLOOKUP(T66,'FS Data'!$A:$B,2,FALSE)</f>
        <v>0</v>
      </c>
      <c r="L66" s="386">
        <f>VLOOKUP(U66,'FS Data'!$A:$B,2,FALSE)</f>
        <v>0</v>
      </c>
      <c r="M66" s="261"/>
      <c r="N66" s="262">
        <v>706212</v>
      </c>
      <c r="O66" s="262">
        <v>706214</v>
      </c>
      <c r="P66" s="262">
        <v>706216</v>
      </c>
      <c r="Q66" s="262">
        <v>706218</v>
      </c>
      <c r="R66" s="262">
        <v>706222</v>
      </c>
      <c r="S66" s="262">
        <v>706224</v>
      </c>
      <c r="T66" s="262">
        <v>706226</v>
      </c>
      <c r="U66" s="262">
        <v>706228</v>
      </c>
      <c r="V66" s="261"/>
      <c r="W66" s="261"/>
    </row>
    <row r="67" spans="2:23" x14ac:dyDescent="0.2">
      <c r="B67" s="325">
        <v>63</v>
      </c>
      <c r="C67" s="334" t="s">
        <v>637</v>
      </c>
      <c r="D67" s="292" t="s">
        <v>255</v>
      </c>
      <c r="E67" s="212">
        <f>VLOOKUP(N67,'FS Data'!$A:$B,2,FALSE)</f>
        <v>0</v>
      </c>
      <c r="F67" s="114">
        <f>VLOOKUP(O67,'FS Data'!$A:$B,2,FALSE)</f>
        <v>0</v>
      </c>
      <c r="G67" s="114">
        <f>VLOOKUP(P67,'FS Data'!$A:$B,2,FALSE)</f>
        <v>0</v>
      </c>
      <c r="H67" s="114">
        <f>VLOOKUP(Q67,'FS Data'!$A:$B,2,FALSE)</f>
        <v>0</v>
      </c>
      <c r="I67" s="212">
        <f>VLOOKUP(R67,'FS Data'!$A:$B,2,FALSE)</f>
        <v>0</v>
      </c>
      <c r="J67" s="114">
        <f>VLOOKUP(S67,'FS Data'!$A:$B,2,FALSE)</f>
        <v>0</v>
      </c>
      <c r="K67" s="114">
        <f>VLOOKUP(T67,'FS Data'!$A:$B,2,FALSE)</f>
        <v>0</v>
      </c>
      <c r="L67" s="386">
        <f>VLOOKUP(U67,'FS Data'!$A:$B,2,FALSE)</f>
        <v>0</v>
      </c>
      <c r="M67" s="261"/>
      <c r="N67" s="262">
        <v>706312</v>
      </c>
      <c r="O67" s="262">
        <v>706314</v>
      </c>
      <c r="P67" s="262">
        <v>706316</v>
      </c>
      <c r="Q67" s="262">
        <v>706318</v>
      </c>
      <c r="R67" s="262">
        <v>706322</v>
      </c>
      <c r="S67" s="262">
        <v>706324</v>
      </c>
      <c r="T67" s="262">
        <v>706326</v>
      </c>
      <c r="U67" s="262">
        <v>706328</v>
      </c>
      <c r="V67" s="261"/>
      <c r="W67" s="261"/>
    </row>
    <row r="68" spans="2:23" x14ac:dyDescent="0.2">
      <c r="B68" s="325">
        <v>64</v>
      </c>
      <c r="C68" s="334" t="s">
        <v>638</v>
      </c>
      <c r="D68" s="292">
        <v>462</v>
      </c>
      <c r="E68" s="212">
        <f>VLOOKUP(N68,'FS Data'!$A:$B,2,FALSE)</f>
        <v>0</v>
      </c>
      <c r="F68" s="114">
        <f>VLOOKUP(O68,'FS Data'!$A:$B,2,FALSE)</f>
        <v>0</v>
      </c>
      <c r="G68" s="114">
        <f>VLOOKUP(P68,'FS Data'!$A:$B,2,FALSE)</f>
        <v>0</v>
      </c>
      <c r="H68" s="114">
        <f>VLOOKUP(Q68,'FS Data'!$A:$B,2,FALSE)</f>
        <v>0</v>
      </c>
      <c r="I68" s="212">
        <f>VLOOKUP(R68,'FS Data'!$A:$B,2,FALSE)</f>
        <v>0</v>
      </c>
      <c r="J68" s="114">
        <f>VLOOKUP(S68,'FS Data'!$A:$B,2,FALSE)</f>
        <v>0</v>
      </c>
      <c r="K68" s="114">
        <f>VLOOKUP(T68,'FS Data'!$A:$B,2,FALSE)</f>
        <v>0</v>
      </c>
      <c r="L68" s="386">
        <f>VLOOKUP(U68,'FS Data'!$A:$B,2,FALSE)</f>
        <v>0</v>
      </c>
      <c r="M68" s="261"/>
      <c r="N68" s="262">
        <v>706412</v>
      </c>
      <c r="O68" s="262">
        <v>706414</v>
      </c>
      <c r="P68" s="262">
        <v>706416</v>
      </c>
      <c r="Q68" s="262">
        <v>706418</v>
      </c>
      <c r="R68" s="262">
        <v>706422</v>
      </c>
      <c r="S68" s="262">
        <v>706424</v>
      </c>
      <c r="T68" s="262">
        <v>706426</v>
      </c>
      <c r="U68" s="262">
        <v>706428</v>
      </c>
      <c r="V68" s="261"/>
      <c r="W68" s="261"/>
    </row>
    <row r="69" spans="2:23" x14ac:dyDescent="0.2">
      <c r="B69" s="325">
        <v>65</v>
      </c>
      <c r="C69" s="334" t="s">
        <v>639</v>
      </c>
      <c r="D69" s="292" t="s">
        <v>256</v>
      </c>
      <c r="E69" s="212">
        <f>VLOOKUP(N69,'FS Data'!$A:$B,2,FALSE)</f>
        <v>0</v>
      </c>
      <c r="F69" s="114">
        <f>VLOOKUP(O69,'FS Data'!$A:$B,2,FALSE)</f>
        <v>0</v>
      </c>
      <c r="G69" s="114">
        <f>VLOOKUP(P69,'FS Data'!$A:$B,2,FALSE)</f>
        <v>0</v>
      </c>
      <c r="H69" s="114">
        <f>VLOOKUP(Q69,'FS Data'!$A:$B,2,FALSE)</f>
        <v>0</v>
      </c>
      <c r="I69" s="212">
        <f>VLOOKUP(R69,'FS Data'!$A:$B,2,FALSE)</f>
        <v>0</v>
      </c>
      <c r="J69" s="114">
        <f>VLOOKUP(S69,'FS Data'!$A:$B,2,FALSE)</f>
        <v>0</v>
      </c>
      <c r="K69" s="114">
        <f>VLOOKUP(T69,'FS Data'!$A:$B,2,FALSE)</f>
        <v>0</v>
      </c>
      <c r="L69" s="386">
        <f>VLOOKUP(U69,'FS Data'!$A:$B,2,FALSE)</f>
        <v>0</v>
      </c>
      <c r="M69" s="261"/>
      <c r="N69" s="262">
        <v>706512</v>
      </c>
      <c r="O69" s="262">
        <v>706514</v>
      </c>
      <c r="P69" s="262">
        <v>706516</v>
      </c>
      <c r="Q69" s="262">
        <v>706518</v>
      </c>
      <c r="R69" s="262">
        <v>706522</v>
      </c>
      <c r="S69" s="262">
        <v>706524</v>
      </c>
      <c r="T69" s="262">
        <v>706526</v>
      </c>
      <c r="U69" s="262">
        <v>706528</v>
      </c>
      <c r="V69" s="261"/>
      <c r="W69" s="261"/>
    </row>
    <row r="70" spans="2:23" x14ac:dyDescent="0.2">
      <c r="B70" s="325">
        <v>66</v>
      </c>
      <c r="C70" s="334" t="s">
        <v>640</v>
      </c>
      <c r="D70" s="292">
        <v>463</v>
      </c>
      <c r="E70" s="212">
        <f>VLOOKUP(N70,'FS Data'!$A:$B,2,FALSE)</f>
        <v>0</v>
      </c>
      <c r="F70" s="114">
        <f>VLOOKUP(O70,'FS Data'!$A:$B,2,FALSE)</f>
        <v>0</v>
      </c>
      <c r="G70" s="114">
        <f>VLOOKUP(P70,'FS Data'!$A:$B,2,FALSE)</f>
        <v>0</v>
      </c>
      <c r="H70" s="114">
        <f>VLOOKUP(Q70,'FS Data'!$A:$B,2,FALSE)</f>
        <v>0</v>
      </c>
      <c r="I70" s="212">
        <f>VLOOKUP(R70,'FS Data'!$A:$B,2,FALSE)</f>
        <v>0</v>
      </c>
      <c r="J70" s="114">
        <f>VLOOKUP(S70,'FS Data'!$A:$B,2,FALSE)</f>
        <v>0</v>
      </c>
      <c r="K70" s="114">
        <f>VLOOKUP(T70,'FS Data'!$A:$B,2,FALSE)</f>
        <v>0</v>
      </c>
      <c r="L70" s="386">
        <f>VLOOKUP(U70,'FS Data'!$A:$B,2,FALSE)</f>
        <v>0</v>
      </c>
      <c r="M70" s="261"/>
      <c r="N70" s="262">
        <v>706612</v>
      </c>
      <c r="O70" s="262">
        <v>706614</v>
      </c>
      <c r="P70" s="262">
        <v>706616</v>
      </c>
      <c r="Q70" s="262">
        <v>706618</v>
      </c>
      <c r="R70" s="262">
        <v>706622</v>
      </c>
      <c r="S70" s="262">
        <v>706624</v>
      </c>
      <c r="T70" s="262">
        <v>706626</v>
      </c>
      <c r="U70" s="262">
        <v>706628</v>
      </c>
      <c r="V70" s="261"/>
      <c r="W70" s="261"/>
    </row>
    <row r="71" spans="2:23" x14ac:dyDescent="0.2">
      <c r="B71" s="325">
        <v>67</v>
      </c>
      <c r="C71" s="334" t="s">
        <v>641</v>
      </c>
      <c r="D71" s="292" t="s">
        <v>257</v>
      </c>
      <c r="E71" s="212">
        <f>VLOOKUP(N71,'FS Data'!$A:$B,2,FALSE)</f>
        <v>0</v>
      </c>
      <c r="F71" s="114">
        <f>VLOOKUP(O71,'FS Data'!$A:$B,2,FALSE)</f>
        <v>0</v>
      </c>
      <c r="G71" s="114">
        <f>VLOOKUP(P71,'FS Data'!$A:$B,2,FALSE)</f>
        <v>0</v>
      </c>
      <c r="H71" s="114">
        <f>VLOOKUP(Q71,'FS Data'!$A:$B,2,FALSE)</f>
        <v>0</v>
      </c>
      <c r="I71" s="212">
        <f>VLOOKUP(R71,'FS Data'!$A:$B,2,FALSE)</f>
        <v>0</v>
      </c>
      <c r="J71" s="114">
        <f>VLOOKUP(S71,'FS Data'!$A:$B,2,FALSE)</f>
        <v>0</v>
      </c>
      <c r="K71" s="114">
        <f>VLOOKUP(T71,'FS Data'!$A:$B,2,FALSE)</f>
        <v>0</v>
      </c>
      <c r="L71" s="386">
        <f>VLOOKUP(U71,'FS Data'!$A:$B,2,FALSE)</f>
        <v>0</v>
      </c>
      <c r="M71" s="261"/>
      <c r="N71" s="262">
        <v>706712</v>
      </c>
      <c r="O71" s="262">
        <v>706714</v>
      </c>
      <c r="P71" s="262">
        <v>706716</v>
      </c>
      <c r="Q71" s="262">
        <v>706718</v>
      </c>
      <c r="R71" s="262">
        <v>706722</v>
      </c>
      <c r="S71" s="262">
        <v>706724</v>
      </c>
      <c r="T71" s="262">
        <v>706726</v>
      </c>
      <c r="U71" s="262">
        <v>706728</v>
      </c>
      <c r="V71" s="261"/>
      <c r="W71" s="261"/>
    </row>
    <row r="72" spans="2:23" ht="22.5" x14ac:dyDescent="0.2">
      <c r="B72" s="325">
        <v>68</v>
      </c>
      <c r="C72" s="689" t="s">
        <v>830</v>
      </c>
      <c r="D72" s="367"/>
      <c r="E72" s="212">
        <f>VLOOKUP(N72,'FS Data'!$A:$B,2,FALSE)</f>
        <v>0</v>
      </c>
      <c r="F72" s="114">
        <f>VLOOKUP(O72,'FS Data'!$A:$B,2,FALSE)</f>
        <v>0</v>
      </c>
      <c r="G72" s="114">
        <f>VLOOKUP(P72,'FS Data'!$A:$B,2,FALSE)</f>
        <v>0</v>
      </c>
      <c r="H72" s="114">
        <f>VLOOKUP(Q72,'FS Data'!$A:$B,2,FALSE)</f>
        <v>0</v>
      </c>
      <c r="I72" s="212">
        <f>VLOOKUP(R72,'FS Data'!$A:$B,2,FALSE)</f>
        <v>0</v>
      </c>
      <c r="J72" s="114">
        <f>VLOOKUP(S72,'FS Data'!$A:$B,2,FALSE)</f>
        <v>0</v>
      </c>
      <c r="K72" s="114">
        <f>VLOOKUP(T72,'FS Data'!$A:$B,2,FALSE)</f>
        <v>0</v>
      </c>
      <c r="L72" s="386">
        <f>VLOOKUP(U72,'FS Data'!$A:$B,2,FALSE)</f>
        <v>0</v>
      </c>
      <c r="M72" s="261"/>
      <c r="N72" s="262">
        <v>706812</v>
      </c>
      <c r="O72" s="262">
        <v>706814</v>
      </c>
      <c r="P72" s="262">
        <v>706816</v>
      </c>
      <c r="Q72" s="262">
        <v>706818</v>
      </c>
      <c r="R72" s="262">
        <v>706822</v>
      </c>
      <c r="S72" s="262">
        <v>706824</v>
      </c>
      <c r="T72" s="262">
        <v>706826</v>
      </c>
      <c r="U72" s="262">
        <v>706828</v>
      </c>
      <c r="V72" s="261"/>
      <c r="W72" s="261"/>
    </row>
    <row r="73" spans="2:23" x14ac:dyDescent="0.2">
      <c r="B73" s="325">
        <v>69</v>
      </c>
      <c r="C73" s="365"/>
      <c r="D73" s="368"/>
      <c r="E73" s="366"/>
      <c r="F73" s="366"/>
      <c r="G73" s="366"/>
      <c r="H73" s="366"/>
      <c r="I73" s="366"/>
      <c r="J73" s="366"/>
      <c r="K73" s="366"/>
      <c r="L73" s="373"/>
      <c r="M73" s="261"/>
      <c r="N73" s="262">
        <v>706912</v>
      </c>
      <c r="O73" s="262">
        <v>706914</v>
      </c>
      <c r="P73" s="262">
        <v>706916</v>
      </c>
      <c r="Q73" s="262">
        <v>706918</v>
      </c>
      <c r="R73" s="262">
        <v>706922</v>
      </c>
      <c r="S73" s="262">
        <v>706924</v>
      </c>
      <c r="T73" s="262">
        <v>706926</v>
      </c>
      <c r="U73" s="262">
        <v>706928</v>
      </c>
      <c r="V73" s="261"/>
      <c r="W73" s="261"/>
    </row>
    <row r="74" spans="2:23" ht="33.75" x14ac:dyDescent="0.2">
      <c r="B74" s="325">
        <v>70</v>
      </c>
      <c r="C74" s="689" t="s">
        <v>831</v>
      </c>
      <c r="D74" s="331"/>
      <c r="E74" s="212">
        <f>VLOOKUP(N74,'FS Data'!$A:$B,2,FALSE)</f>
        <v>9</v>
      </c>
      <c r="F74" s="114">
        <f>VLOOKUP(O74,'FS Data'!$A:$B,2,FALSE)</f>
        <v>499061</v>
      </c>
      <c r="G74" s="114">
        <f>VLOOKUP(P74,'FS Data'!$A:$B,2,FALSE)</f>
        <v>35753</v>
      </c>
      <c r="H74" s="114">
        <f>VLOOKUP(Q74,'FS Data'!$A:$B,2,FALSE)</f>
        <v>3973</v>
      </c>
      <c r="I74" s="212">
        <f>VLOOKUP(R74,'FS Data'!$A:$B,2,FALSE)</f>
        <v>9</v>
      </c>
      <c r="J74" s="114">
        <f>VLOOKUP(S74,'FS Data'!$A:$B,2,FALSE)</f>
        <v>499061</v>
      </c>
      <c r="K74" s="114">
        <f>VLOOKUP(T74,'FS Data'!$A:$B,2,FALSE)</f>
        <v>35753</v>
      </c>
      <c r="L74" s="386">
        <f>VLOOKUP(U74,'FS Data'!$A:$B,2,FALSE)</f>
        <v>3973</v>
      </c>
      <c r="M74" s="261"/>
      <c r="N74" s="262">
        <v>707012</v>
      </c>
      <c r="O74" s="262">
        <v>707014</v>
      </c>
      <c r="P74" s="262">
        <v>707016</v>
      </c>
      <c r="Q74" s="262">
        <v>707018</v>
      </c>
      <c r="R74" s="262">
        <v>707022</v>
      </c>
      <c r="S74" s="262">
        <v>707024</v>
      </c>
      <c r="T74" s="262">
        <v>707026</v>
      </c>
      <c r="U74" s="262">
        <v>707028</v>
      </c>
      <c r="V74" s="261"/>
      <c r="W74" s="261"/>
    </row>
    <row r="75" spans="2:23" x14ac:dyDescent="0.2">
      <c r="B75" s="325">
        <v>71</v>
      </c>
      <c r="C75" s="335" t="s">
        <v>642</v>
      </c>
      <c r="D75" s="333" t="s">
        <v>189</v>
      </c>
      <c r="E75" s="212">
        <f>VLOOKUP(N75,'FS Data'!$A:$B,2,FALSE)</f>
        <v>4</v>
      </c>
      <c r="F75" s="114">
        <f>VLOOKUP(O75,'FS Data'!$A:$B,2,FALSE)</f>
        <v>108991</v>
      </c>
      <c r="G75" s="114">
        <f>VLOOKUP(P75,'FS Data'!$A:$B,2,FALSE)</f>
        <v>10100</v>
      </c>
      <c r="H75" s="114">
        <f>VLOOKUP(Q75,'FS Data'!$A:$B,2,FALSE)</f>
        <v>2525</v>
      </c>
      <c r="I75" s="212">
        <f>VLOOKUP(R75,'FS Data'!$A:$B,2,FALSE)</f>
        <v>4</v>
      </c>
      <c r="J75" s="114">
        <f>VLOOKUP(S75,'FS Data'!$A:$B,2,FALSE)</f>
        <v>108991</v>
      </c>
      <c r="K75" s="114">
        <f>VLOOKUP(T75,'FS Data'!$A:$B,2,FALSE)</f>
        <v>10100</v>
      </c>
      <c r="L75" s="386">
        <f>VLOOKUP(U75,'FS Data'!$A:$B,2,FALSE)</f>
        <v>2525</v>
      </c>
      <c r="M75" s="261"/>
      <c r="N75" s="262">
        <v>707112</v>
      </c>
      <c r="O75" s="262">
        <v>707114</v>
      </c>
      <c r="P75" s="262">
        <v>707116</v>
      </c>
      <c r="Q75" s="262">
        <v>707118</v>
      </c>
      <c r="R75" s="262">
        <v>707122</v>
      </c>
      <c r="S75" s="262">
        <v>707124</v>
      </c>
      <c r="T75" s="262">
        <v>707126</v>
      </c>
      <c r="U75" s="262">
        <v>707128</v>
      </c>
      <c r="V75" s="261"/>
      <c r="W75" s="261"/>
    </row>
    <row r="76" spans="2:23" x14ac:dyDescent="0.2">
      <c r="B76" s="325">
        <v>72</v>
      </c>
      <c r="C76" s="335" t="s">
        <v>643</v>
      </c>
      <c r="D76" s="333" t="s">
        <v>190</v>
      </c>
      <c r="E76" s="245"/>
      <c r="F76" s="246"/>
      <c r="G76" s="114">
        <f>VLOOKUP(P76,'FS Data'!$A:$B,2,FALSE)</f>
        <v>4886</v>
      </c>
      <c r="H76" s="114">
        <f>VLOOKUP(Q76,'FS Data'!$A:$B,2,FALSE)</f>
        <v>1222</v>
      </c>
      <c r="I76" s="245"/>
      <c r="J76" s="246"/>
      <c r="K76" s="114">
        <f>VLOOKUP(T76,'FS Data'!$A:$B,2,FALSE)</f>
        <v>4886</v>
      </c>
      <c r="L76" s="386">
        <f>VLOOKUP(U76,'FS Data'!$A:$B,2,FALSE)</f>
        <v>1222</v>
      </c>
      <c r="M76" s="261"/>
      <c r="N76" s="262">
        <v>707212</v>
      </c>
      <c r="O76" s="262">
        <v>707214</v>
      </c>
      <c r="P76" s="262">
        <v>707216</v>
      </c>
      <c r="Q76" s="262">
        <v>707218</v>
      </c>
      <c r="R76" s="262">
        <v>707222</v>
      </c>
      <c r="S76" s="262">
        <v>707224</v>
      </c>
      <c r="T76" s="262">
        <v>707226</v>
      </c>
      <c r="U76" s="262">
        <v>707228</v>
      </c>
      <c r="V76" s="261"/>
      <c r="W76" s="261"/>
    </row>
    <row r="77" spans="2:23" x14ac:dyDescent="0.2">
      <c r="B77" s="325">
        <v>73</v>
      </c>
      <c r="C77" s="335" t="s">
        <v>644</v>
      </c>
      <c r="D77" s="333" t="s">
        <v>104</v>
      </c>
      <c r="E77" s="212">
        <f>VLOOKUP(N77,'FS Data'!$A:$B,2,FALSE)</f>
        <v>10</v>
      </c>
      <c r="F77" s="114">
        <f>VLOOKUP(O77,'FS Data'!$A:$B,2,FALSE)</f>
        <v>267800</v>
      </c>
      <c r="G77" s="114">
        <f>VLOOKUP(P77,'FS Data'!$A:$B,2,FALSE)</f>
        <v>3836</v>
      </c>
      <c r="H77" s="114">
        <f>VLOOKUP(Q77,'FS Data'!$A:$B,2,FALSE)</f>
        <v>384</v>
      </c>
      <c r="I77" s="212">
        <f>VLOOKUP(R77,'FS Data'!$A:$B,2,FALSE)</f>
        <v>10</v>
      </c>
      <c r="J77" s="114">
        <f>VLOOKUP(S77,'FS Data'!$A:$B,2,FALSE)</f>
        <v>267800</v>
      </c>
      <c r="K77" s="114">
        <f>VLOOKUP(T77,'FS Data'!$A:$B,2,FALSE)</f>
        <v>3836</v>
      </c>
      <c r="L77" s="386">
        <f>VLOOKUP(U77,'FS Data'!$A:$B,2,FALSE)</f>
        <v>384</v>
      </c>
      <c r="M77" s="261"/>
      <c r="N77" s="262">
        <v>707312</v>
      </c>
      <c r="O77" s="262">
        <v>707314</v>
      </c>
      <c r="P77" s="262">
        <v>707316</v>
      </c>
      <c r="Q77" s="262">
        <v>707318</v>
      </c>
      <c r="R77" s="262">
        <v>707322</v>
      </c>
      <c r="S77" s="262">
        <v>707324</v>
      </c>
      <c r="T77" s="262">
        <v>707326</v>
      </c>
      <c r="U77" s="262">
        <v>707328</v>
      </c>
      <c r="V77" s="261"/>
      <c r="W77" s="261"/>
    </row>
    <row r="78" spans="2:23" ht="27" x14ac:dyDescent="0.2">
      <c r="B78" s="325">
        <v>74</v>
      </c>
      <c r="C78" s="335" t="s">
        <v>645</v>
      </c>
      <c r="D78" s="337" t="s">
        <v>191</v>
      </c>
      <c r="E78" s="212">
        <f>VLOOKUP(N78,'FS Data'!$A:$B,2,FALSE)</f>
        <v>3</v>
      </c>
      <c r="F78" s="114">
        <f>VLOOKUP(O78,'FS Data'!$A:$B,2,FALSE)</f>
        <v>1473</v>
      </c>
      <c r="G78" s="114">
        <f>VLOOKUP(P78,'FS Data'!$A:$B,2,FALSE)</f>
        <v>1333</v>
      </c>
      <c r="H78" s="114">
        <f>VLOOKUP(Q78,'FS Data'!$A:$B,2,FALSE)</f>
        <v>444</v>
      </c>
      <c r="I78" s="212">
        <f>VLOOKUP(R78,'FS Data'!$A:$B,2,FALSE)</f>
        <v>3</v>
      </c>
      <c r="J78" s="114">
        <f>VLOOKUP(S78,'FS Data'!$A:$B,2,FALSE)</f>
        <v>1473</v>
      </c>
      <c r="K78" s="114">
        <f>VLOOKUP(T78,'FS Data'!$A:$B,2,FALSE)</f>
        <v>1333</v>
      </c>
      <c r="L78" s="386">
        <f>VLOOKUP(U78,'FS Data'!$A:$B,2,FALSE)</f>
        <v>444</v>
      </c>
      <c r="M78" s="261"/>
      <c r="N78" s="262">
        <v>707412</v>
      </c>
      <c r="O78" s="262">
        <v>707414</v>
      </c>
      <c r="P78" s="262">
        <v>707416</v>
      </c>
      <c r="Q78" s="262">
        <v>707418</v>
      </c>
      <c r="R78" s="262">
        <v>707422</v>
      </c>
      <c r="S78" s="262">
        <v>707424</v>
      </c>
      <c r="T78" s="262">
        <v>707426</v>
      </c>
      <c r="U78" s="262">
        <v>707428</v>
      </c>
      <c r="V78" s="261"/>
      <c r="W78" s="261"/>
    </row>
    <row r="79" spans="2:23" x14ac:dyDescent="0.2">
      <c r="B79" s="325">
        <v>75</v>
      </c>
      <c r="C79" s="335" t="s">
        <v>646</v>
      </c>
      <c r="D79" s="338" t="s">
        <v>103</v>
      </c>
      <c r="E79" s="212">
        <f>VLOOKUP(N79,'FS Data'!$A:$B,2,FALSE)</f>
        <v>0</v>
      </c>
      <c r="F79" s="114">
        <f>VLOOKUP(O79,'FS Data'!$A:$B,2,FALSE)</f>
        <v>0</v>
      </c>
      <c r="G79" s="114">
        <f>VLOOKUP(P79,'FS Data'!$A:$B,2,FALSE)</f>
        <v>0</v>
      </c>
      <c r="H79" s="114">
        <f>VLOOKUP(Q79,'FS Data'!$A:$B,2,FALSE)</f>
        <v>0</v>
      </c>
      <c r="I79" s="212">
        <f>VLOOKUP(R79,'FS Data'!$A:$B,2,FALSE)</f>
        <v>0</v>
      </c>
      <c r="J79" s="114">
        <f>VLOOKUP(S79,'FS Data'!$A:$B,2,FALSE)</f>
        <v>0</v>
      </c>
      <c r="K79" s="114">
        <f>VLOOKUP(T79,'FS Data'!$A:$B,2,FALSE)</f>
        <v>0</v>
      </c>
      <c r="L79" s="386">
        <f>VLOOKUP(U79,'FS Data'!$A:$B,2,FALSE)</f>
        <v>0</v>
      </c>
      <c r="M79" s="261"/>
      <c r="N79" s="262">
        <v>707512</v>
      </c>
      <c r="O79" s="262">
        <v>707514</v>
      </c>
      <c r="P79" s="262">
        <v>707516</v>
      </c>
      <c r="Q79" s="262">
        <v>707518</v>
      </c>
      <c r="R79" s="262">
        <v>707522</v>
      </c>
      <c r="S79" s="262">
        <v>707524</v>
      </c>
      <c r="T79" s="262">
        <v>707526</v>
      </c>
      <c r="U79" s="262">
        <v>707528</v>
      </c>
      <c r="V79" s="261"/>
      <c r="W79" s="261"/>
    </row>
    <row r="80" spans="2:23" ht="15" x14ac:dyDescent="0.25">
      <c r="B80" s="325">
        <v>76</v>
      </c>
      <c r="C80" s="335" t="s">
        <v>647</v>
      </c>
      <c r="D80" s="339">
        <v>817</v>
      </c>
      <c r="E80" s="374"/>
      <c r="F80" s="375"/>
      <c r="G80" s="114">
        <f>VLOOKUP(P80,'FS Data'!$A:$B,2,FALSE)</f>
        <v>0</v>
      </c>
      <c r="H80" s="468"/>
      <c r="I80" s="469"/>
      <c r="J80" s="375"/>
      <c r="K80" s="114">
        <f>VLOOKUP(T80,'FS Data'!$A:$B,2,FALSE)</f>
        <v>0</v>
      </c>
      <c r="L80" s="466"/>
      <c r="M80" s="261"/>
      <c r="N80" s="262">
        <v>707612</v>
      </c>
      <c r="O80" s="262">
        <v>707614</v>
      </c>
      <c r="P80" s="262">
        <v>707616</v>
      </c>
      <c r="Q80" s="262">
        <v>707618</v>
      </c>
      <c r="R80" s="262">
        <v>707622</v>
      </c>
      <c r="S80" s="262">
        <v>707624</v>
      </c>
      <c r="T80" s="262">
        <v>707626</v>
      </c>
      <c r="U80" s="262">
        <v>707628</v>
      </c>
      <c r="V80" s="261"/>
      <c r="W80" s="261"/>
    </row>
    <row r="81" spans="2:23" ht="15.75" thickBot="1" x14ac:dyDescent="0.3">
      <c r="B81" s="743">
        <v>77</v>
      </c>
      <c r="C81" s="335" t="s">
        <v>648</v>
      </c>
      <c r="D81" s="339">
        <v>818</v>
      </c>
      <c r="E81" s="376"/>
      <c r="F81" s="375"/>
      <c r="G81" s="114">
        <f>VLOOKUP(P81,'FS Data'!$A:$B,2,FALSE)</f>
        <v>0</v>
      </c>
      <c r="H81" s="470"/>
      <c r="I81" s="471"/>
      <c r="J81" s="375"/>
      <c r="K81" s="114">
        <f>VLOOKUP(T81,'FS Data'!$A:$B,2,FALSE)</f>
        <v>0</v>
      </c>
      <c r="L81" s="467"/>
      <c r="M81" s="261"/>
      <c r="N81" s="262">
        <v>707712</v>
      </c>
      <c r="O81" s="262">
        <v>707714</v>
      </c>
      <c r="P81" s="262">
        <v>707716</v>
      </c>
      <c r="Q81" s="262">
        <v>707718</v>
      </c>
      <c r="R81" s="262">
        <v>707722</v>
      </c>
      <c r="S81" s="262">
        <v>707724</v>
      </c>
      <c r="T81" s="262">
        <v>707726</v>
      </c>
      <c r="U81" s="262">
        <v>707728</v>
      </c>
      <c r="V81" s="261"/>
      <c r="W81" s="261"/>
    </row>
    <row r="82" spans="2:23" ht="22.5" x14ac:dyDescent="0.2">
      <c r="B82" s="325">
        <v>78</v>
      </c>
      <c r="C82" s="689" t="s">
        <v>832</v>
      </c>
      <c r="D82" s="340"/>
      <c r="E82" s="212">
        <f>VLOOKUP(N82,'FS Data'!$A:$B,2,FALSE)</f>
        <v>4</v>
      </c>
      <c r="F82" s="114">
        <f>VLOOKUP(O82,'FS Data'!$A:$B,2,FALSE)</f>
        <v>378264</v>
      </c>
      <c r="G82" s="114">
        <f>VLOOKUP(P82,'FS Data'!$A:$B,2,FALSE)</f>
        <v>10383</v>
      </c>
      <c r="H82" s="114">
        <f>VLOOKUP(Q82,'FS Data'!$A:$B,2,FALSE)</f>
        <v>2596</v>
      </c>
      <c r="I82" s="212">
        <f>VLOOKUP(R82,'FS Data'!$A:$B,2,FALSE)</f>
        <v>4</v>
      </c>
      <c r="J82" s="114">
        <f>VLOOKUP(S82,'FS Data'!$A:$B,2,FALSE)</f>
        <v>378264</v>
      </c>
      <c r="K82" s="114">
        <f>VLOOKUP(T82,'FS Data'!$A:$B,2,FALSE)</f>
        <v>10383</v>
      </c>
      <c r="L82" s="386">
        <f>VLOOKUP(U82,'FS Data'!$A:$B,2,FALSE)</f>
        <v>2596</v>
      </c>
      <c r="M82" s="261"/>
      <c r="N82" s="262">
        <v>707812</v>
      </c>
      <c r="O82" s="262">
        <v>707814</v>
      </c>
      <c r="P82" s="262">
        <v>707816</v>
      </c>
      <c r="Q82" s="262">
        <v>707818</v>
      </c>
      <c r="R82" s="262">
        <v>707822</v>
      </c>
      <c r="S82" s="262">
        <v>707824</v>
      </c>
      <c r="T82" s="262">
        <v>707826</v>
      </c>
      <c r="U82" s="262">
        <v>707828</v>
      </c>
      <c r="V82" s="261"/>
      <c r="W82" s="261"/>
    </row>
    <row r="83" spans="2:23" ht="22.5" x14ac:dyDescent="0.2">
      <c r="B83" s="325">
        <v>79</v>
      </c>
      <c r="C83" s="689" t="s">
        <v>833</v>
      </c>
      <c r="D83" s="341"/>
      <c r="E83" s="212">
        <f>VLOOKUP(N83,'FS Data'!$A:$B,2,FALSE)</f>
        <v>13</v>
      </c>
      <c r="F83" s="114">
        <f>VLOOKUP(O83,'FS Data'!$A:$B,2,FALSE)</f>
        <v>877325</v>
      </c>
      <c r="G83" s="114">
        <f>VLOOKUP(P83,'FS Data'!$A:$B,2,FALSE)</f>
        <v>46136</v>
      </c>
      <c r="H83" s="114">
        <f>VLOOKUP(Q83,'FS Data'!$A:$B,2,FALSE)</f>
        <v>3549</v>
      </c>
      <c r="I83" s="212">
        <f>VLOOKUP(R83,'FS Data'!$A:$B,2,FALSE)</f>
        <v>13</v>
      </c>
      <c r="J83" s="114">
        <f>VLOOKUP(S83,'FS Data'!$A:$B,2,FALSE)</f>
        <v>877325</v>
      </c>
      <c r="K83" s="114">
        <f>VLOOKUP(T83,'FS Data'!$A:$B,2,FALSE)</f>
        <v>46136</v>
      </c>
      <c r="L83" s="386">
        <f>VLOOKUP(U83,'FS Data'!$A:$B,2,FALSE)</f>
        <v>3549</v>
      </c>
      <c r="M83" s="261"/>
      <c r="N83" s="262">
        <v>707912</v>
      </c>
      <c r="O83" s="262">
        <v>707914</v>
      </c>
      <c r="P83" s="262">
        <v>707916</v>
      </c>
      <c r="Q83" s="262">
        <v>707918</v>
      </c>
      <c r="R83" s="262">
        <v>707922</v>
      </c>
      <c r="S83" s="262">
        <v>707924</v>
      </c>
      <c r="T83" s="262">
        <v>707926</v>
      </c>
      <c r="U83" s="262">
        <v>707928</v>
      </c>
      <c r="V83" s="261"/>
      <c r="W83" s="261"/>
    </row>
    <row r="84" spans="2:23" ht="15.75" thickBot="1" x14ac:dyDescent="0.3">
      <c r="B84" s="342">
        <v>80</v>
      </c>
      <c r="C84" s="694" t="s">
        <v>834</v>
      </c>
      <c r="D84" s="343"/>
      <c r="E84" s="377"/>
      <c r="F84" s="174">
        <f>VLOOKUP(O84,'FS Data'!$A:$B,2,FALSE)</f>
        <v>2039798</v>
      </c>
      <c r="G84" s="174">
        <f>VLOOKUP(P84,'FS Data'!$A:$B,2,FALSE)</f>
        <v>142413</v>
      </c>
      <c r="H84" s="379"/>
      <c r="I84" s="380"/>
      <c r="J84" s="174">
        <f>VLOOKUP(S84,'FS Data'!$A:$B,2,FALSE)</f>
        <v>2039798</v>
      </c>
      <c r="K84" s="174">
        <f>VLOOKUP(T84,'FS Data'!$A:$B,2,FALSE)</f>
        <v>142413</v>
      </c>
      <c r="L84" s="378"/>
      <c r="M84" s="261"/>
      <c r="N84" s="262">
        <v>708012</v>
      </c>
      <c r="O84" s="262">
        <v>708014</v>
      </c>
      <c r="P84" s="262">
        <v>708016</v>
      </c>
      <c r="Q84" s="262">
        <v>708018</v>
      </c>
      <c r="R84" s="262">
        <v>708022</v>
      </c>
      <c r="S84" s="262">
        <v>708024</v>
      </c>
      <c r="T84" s="262">
        <v>708026</v>
      </c>
      <c r="U84" s="262">
        <v>708028</v>
      </c>
      <c r="V84" s="261"/>
      <c r="W84" s="261"/>
    </row>
    <row r="85" spans="2:23" x14ac:dyDescent="0.2">
      <c r="B85" s="213"/>
      <c r="C85" s="213"/>
      <c r="D85" s="213">
        <v>707914</v>
      </c>
      <c r="E85" s="213">
        <v>707916</v>
      </c>
      <c r="F85" s="213">
        <v>707918</v>
      </c>
      <c r="G85" s="213">
        <v>707922</v>
      </c>
      <c r="H85" s="213">
        <v>707924</v>
      </c>
      <c r="I85" s="213">
        <v>707926</v>
      </c>
      <c r="J85" s="213">
        <v>707928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3" x14ac:dyDescent="0.2">
      <c r="B86" s="213"/>
      <c r="C86" s="213"/>
      <c r="D86" s="213">
        <v>708014</v>
      </c>
      <c r="E86" s="213">
        <v>708016</v>
      </c>
      <c r="F86" s="213">
        <v>708018</v>
      </c>
      <c r="G86" s="213">
        <v>708022</v>
      </c>
      <c r="H86" s="213">
        <v>708024</v>
      </c>
      <c r="I86" s="213">
        <v>708026</v>
      </c>
      <c r="J86" s="213">
        <v>708028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3" x14ac:dyDescent="0.2">
      <c r="B87" s="213"/>
      <c r="C87" s="213"/>
      <c r="D87" s="213">
        <v>708114</v>
      </c>
      <c r="E87" s="213">
        <v>708116</v>
      </c>
      <c r="F87" s="213">
        <v>708118</v>
      </c>
      <c r="G87" s="213">
        <v>708122</v>
      </c>
      <c r="H87" s="213">
        <v>708124</v>
      </c>
      <c r="I87" s="213">
        <v>708126</v>
      </c>
      <c r="J87" s="213">
        <v>708128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3" x14ac:dyDescent="0.2">
      <c r="B88" s="213"/>
      <c r="C88" s="213"/>
      <c r="D88" s="213">
        <v>708214</v>
      </c>
      <c r="E88" s="213">
        <v>708216</v>
      </c>
      <c r="F88" s="213">
        <v>708218</v>
      </c>
      <c r="G88" s="213">
        <v>708222</v>
      </c>
      <c r="H88" s="213">
        <v>708224</v>
      </c>
      <c r="I88" s="213">
        <v>708226</v>
      </c>
      <c r="J88" s="213">
        <v>708228</v>
      </c>
      <c r="M88" s="80"/>
      <c r="N88" s="80"/>
      <c r="O88" s="80"/>
      <c r="P88" s="80"/>
      <c r="Q88" s="80"/>
      <c r="R88" s="80"/>
      <c r="S88" s="80"/>
      <c r="T88" s="80"/>
      <c r="U88" s="80"/>
    </row>
    <row r="89" spans="2:23" x14ac:dyDescent="0.2">
      <c r="B89" s="213"/>
      <c r="C89" s="213"/>
      <c r="D89" s="213">
        <v>708314</v>
      </c>
      <c r="E89" s="213">
        <v>708316</v>
      </c>
      <c r="F89" s="213">
        <v>708318</v>
      </c>
      <c r="G89" s="213">
        <v>708322</v>
      </c>
      <c r="H89" s="213">
        <v>708324</v>
      </c>
      <c r="I89" s="213">
        <v>708326</v>
      </c>
      <c r="J89" s="213">
        <v>708328</v>
      </c>
      <c r="M89" s="80"/>
      <c r="N89" s="80"/>
      <c r="O89" s="80"/>
      <c r="P89" s="80"/>
      <c r="Q89" s="80"/>
      <c r="R89" s="80"/>
      <c r="S89" s="80"/>
      <c r="T89" s="80"/>
      <c r="U89" s="80"/>
    </row>
    <row r="90" spans="2:23" x14ac:dyDescent="0.2">
      <c r="B90" s="213"/>
      <c r="C90" s="213"/>
      <c r="D90" s="213">
        <v>708414</v>
      </c>
      <c r="E90" s="213">
        <v>708416</v>
      </c>
      <c r="F90" s="213">
        <v>708418</v>
      </c>
      <c r="G90" s="213">
        <v>708422</v>
      </c>
      <c r="H90" s="213">
        <v>708424</v>
      </c>
      <c r="I90" s="213">
        <v>708426</v>
      </c>
      <c r="J90" s="213">
        <v>708428</v>
      </c>
      <c r="M90" s="80"/>
      <c r="N90" s="80"/>
      <c r="O90" s="80"/>
      <c r="P90" s="80"/>
      <c r="Q90" s="80"/>
      <c r="R90" s="80"/>
      <c r="S90" s="80"/>
      <c r="T90" s="80"/>
      <c r="U90" s="80"/>
    </row>
    <row r="91" spans="2:23" x14ac:dyDescent="0.2">
      <c r="B91" s="213"/>
      <c r="C91" s="213"/>
      <c r="D91" s="213"/>
      <c r="E91" s="213"/>
      <c r="F91" s="213"/>
      <c r="G91" s="213"/>
      <c r="H91" s="213"/>
      <c r="I91" s="213"/>
      <c r="J91" s="213"/>
      <c r="M91" s="80"/>
      <c r="N91" s="80"/>
      <c r="O91" s="80"/>
      <c r="P91" s="80"/>
      <c r="Q91" s="80"/>
      <c r="R91" s="80"/>
      <c r="S91" s="80"/>
      <c r="T91" s="80"/>
      <c r="U91" s="80"/>
    </row>
    <row r="92" spans="2:23" x14ac:dyDescent="0.2">
      <c r="B92" s="213"/>
      <c r="C92" s="213"/>
      <c r="D92" s="213"/>
      <c r="E92" s="213"/>
      <c r="F92" s="213"/>
      <c r="G92" s="213"/>
      <c r="H92" s="213"/>
      <c r="I92" s="213"/>
      <c r="J92" s="213"/>
      <c r="M92" s="80"/>
      <c r="N92" s="80"/>
      <c r="O92" s="80"/>
      <c r="P92" s="80"/>
      <c r="Q92" s="80"/>
      <c r="R92" s="80"/>
      <c r="S92" s="80"/>
      <c r="T92" s="80"/>
      <c r="U92" s="80"/>
    </row>
    <row r="93" spans="2:23" x14ac:dyDescent="0.2">
      <c r="B93" s="213"/>
      <c r="C93" s="213"/>
      <c r="D93" s="213"/>
      <c r="E93" s="213"/>
      <c r="F93" s="213"/>
      <c r="G93" s="213"/>
      <c r="H93" s="213"/>
      <c r="I93" s="213"/>
      <c r="J93" s="213"/>
      <c r="M93" s="80"/>
      <c r="N93" s="80"/>
      <c r="O93" s="80"/>
      <c r="P93" s="80"/>
      <c r="Q93" s="80"/>
      <c r="R93" s="80"/>
      <c r="S93" s="80"/>
      <c r="T93" s="80"/>
      <c r="U93" s="80"/>
    </row>
    <row r="94" spans="2:23" x14ac:dyDescent="0.2">
      <c r="B94" s="213"/>
      <c r="C94" s="213"/>
      <c r="D94" s="213"/>
      <c r="E94" s="213"/>
      <c r="F94" s="213"/>
      <c r="G94" s="213"/>
      <c r="H94" s="213"/>
      <c r="I94" s="213"/>
      <c r="J94" s="213"/>
      <c r="M94" s="80"/>
      <c r="N94" s="80"/>
      <c r="O94" s="80"/>
      <c r="P94" s="80"/>
      <c r="Q94" s="80"/>
      <c r="R94" s="80"/>
      <c r="S94" s="80"/>
      <c r="T94" s="80"/>
      <c r="U94" s="80"/>
    </row>
    <row r="95" spans="2:23" x14ac:dyDescent="0.2">
      <c r="B95" s="213"/>
      <c r="C95" s="213"/>
      <c r="D95" s="213"/>
      <c r="E95" s="213"/>
      <c r="F95" s="213"/>
      <c r="G95" s="213"/>
      <c r="H95" s="213"/>
      <c r="I95" s="213"/>
      <c r="J95" s="213"/>
      <c r="M95" s="80"/>
      <c r="N95" s="80"/>
      <c r="O95" s="80"/>
      <c r="P95" s="80"/>
      <c r="Q95" s="80"/>
      <c r="R95" s="80"/>
      <c r="S95" s="80"/>
      <c r="T95" s="80"/>
      <c r="U95" s="80"/>
    </row>
    <row r="96" spans="2:23" x14ac:dyDescent="0.2">
      <c r="B96" s="213"/>
      <c r="C96" s="213"/>
      <c r="D96" s="213"/>
      <c r="E96" s="213"/>
      <c r="F96" s="213"/>
      <c r="G96" s="213"/>
      <c r="H96" s="213"/>
      <c r="I96" s="213"/>
      <c r="J96" s="213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13"/>
      <c r="C97" s="213"/>
      <c r="D97" s="213"/>
      <c r="E97" s="213"/>
      <c r="F97" s="213"/>
      <c r="G97" s="213"/>
      <c r="H97" s="213"/>
      <c r="I97" s="213"/>
      <c r="J97" s="213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13"/>
      <c r="C98" s="213"/>
      <c r="D98" s="213"/>
      <c r="E98" s="213"/>
      <c r="F98" s="213"/>
      <c r="G98" s="213"/>
      <c r="H98" s="213"/>
      <c r="I98" s="213"/>
      <c r="J98" s="213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13"/>
      <c r="C99" s="213"/>
      <c r="D99" s="213"/>
      <c r="E99" s="213"/>
      <c r="F99" s="213"/>
      <c r="G99" s="213"/>
      <c r="H99" s="213"/>
      <c r="I99" s="213"/>
      <c r="J99" s="213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13"/>
      <c r="C100" s="213"/>
      <c r="D100" s="213"/>
      <c r="E100" s="213"/>
      <c r="F100" s="213"/>
      <c r="G100" s="213"/>
      <c r="H100" s="213"/>
      <c r="I100" s="213"/>
      <c r="J100" s="213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13"/>
      <c r="C101" s="213"/>
      <c r="D101" s="213"/>
      <c r="E101" s="213"/>
      <c r="F101" s="213"/>
      <c r="G101" s="213"/>
      <c r="H101" s="213"/>
      <c r="I101" s="213"/>
      <c r="J101" s="213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13"/>
      <c r="C102" s="213"/>
      <c r="D102" s="213"/>
      <c r="E102" s="213"/>
      <c r="F102" s="213"/>
      <c r="G102" s="213"/>
      <c r="H102" s="213"/>
      <c r="I102" s="213"/>
      <c r="J102" s="213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13"/>
      <c r="C103" s="213"/>
      <c r="D103" s="213"/>
      <c r="E103" s="213"/>
      <c r="F103" s="213"/>
      <c r="G103" s="213"/>
      <c r="H103" s="213"/>
      <c r="I103" s="213"/>
      <c r="J103" s="213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13"/>
      <c r="C104" s="213"/>
      <c r="D104" s="213"/>
      <c r="E104" s="213"/>
      <c r="F104" s="213"/>
      <c r="G104" s="213"/>
      <c r="H104" s="213"/>
      <c r="I104" s="213"/>
      <c r="J104" s="213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13"/>
      <c r="C105" s="213"/>
      <c r="D105" s="213"/>
      <c r="E105" s="213"/>
      <c r="F105" s="213"/>
      <c r="G105" s="213"/>
      <c r="H105" s="213"/>
      <c r="I105" s="213"/>
      <c r="J105" s="213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13"/>
      <c r="C106" s="213"/>
      <c r="D106" s="213"/>
      <c r="E106" s="213"/>
      <c r="F106" s="213"/>
      <c r="G106" s="213"/>
      <c r="H106" s="213"/>
      <c r="I106" s="213"/>
      <c r="J106" s="213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13"/>
      <c r="C107" s="213"/>
      <c r="D107" s="213"/>
      <c r="E107" s="213"/>
      <c r="F107" s="213"/>
      <c r="G107" s="213"/>
      <c r="H107" s="213"/>
      <c r="I107" s="213"/>
      <c r="J107" s="213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13"/>
      <c r="C108" s="213"/>
      <c r="D108" s="213"/>
      <c r="E108" s="213"/>
      <c r="F108" s="213"/>
      <c r="G108" s="213"/>
      <c r="H108" s="213"/>
      <c r="I108" s="213"/>
      <c r="J108" s="213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13"/>
      <c r="C109" s="213"/>
      <c r="D109" s="213"/>
      <c r="E109" s="213"/>
      <c r="F109" s="213"/>
      <c r="G109" s="213"/>
      <c r="H109" s="213"/>
      <c r="I109" s="213"/>
      <c r="J109" s="213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13"/>
      <c r="C110" s="213"/>
      <c r="D110" s="213"/>
      <c r="E110" s="213"/>
      <c r="F110" s="213"/>
      <c r="G110" s="213"/>
      <c r="H110" s="213"/>
      <c r="I110" s="213"/>
      <c r="J110" s="213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13"/>
      <c r="C111" s="213"/>
      <c r="D111" s="213"/>
      <c r="E111" s="213"/>
      <c r="F111" s="213"/>
      <c r="G111" s="213"/>
      <c r="H111" s="213"/>
      <c r="I111" s="213"/>
      <c r="J111" s="213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13"/>
      <c r="C112" s="213"/>
      <c r="D112" s="213"/>
      <c r="E112" s="213"/>
      <c r="F112" s="213"/>
      <c r="G112" s="213"/>
      <c r="H112" s="213"/>
      <c r="I112" s="213"/>
      <c r="J112" s="213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13"/>
      <c r="C113" s="213"/>
      <c r="D113" s="213"/>
      <c r="E113" s="213"/>
      <c r="F113" s="213"/>
      <c r="G113" s="213"/>
      <c r="H113" s="213"/>
      <c r="I113" s="213"/>
      <c r="J113" s="213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13"/>
      <c r="C114" s="213"/>
      <c r="D114" s="213"/>
      <c r="E114" s="213"/>
      <c r="F114" s="213"/>
      <c r="G114" s="213"/>
      <c r="H114" s="213"/>
      <c r="I114" s="213"/>
      <c r="J114" s="213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13"/>
      <c r="C115" s="213"/>
      <c r="D115" s="213"/>
      <c r="E115" s="213"/>
      <c r="F115" s="213"/>
      <c r="G115" s="213"/>
      <c r="H115" s="213"/>
      <c r="I115" s="213"/>
      <c r="J115" s="213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13"/>
      <c r="C116" s="213"/>
      <c r="D116" s="213"/>
      <c r="E116" s="213"/>
      <c r="F116" s="213"/>
      <c r="G116" s="213"/>
      <c r="H116" s="213"/>
      <c r="I116" s="213"/>
      <c r="J116" s="213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13"/>
      <c r="C117" s="213"/>
      <c r="D117" s="213"/>
      <c r="E117" s="213"/>
      <c r="F117" s="213"/>
      <c r="G117" s="213"/>
      <c r="H117" s="213"/>
      <c r="I117" s="213"/>
      <c r="J117" s="213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13"/>
      <c r="C118" s="213"/>
      <c r="D118" s="213"/>
      <c r="E118" s="213"/>
      <c r="F118" s="213"/>
      <c r="G118" s="213"/>
      <c r="H118" s="213"/>
      <c r="I118" s="213"/>
      <c r="J118" s="213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13"/>
      <c r="C119" s="213"/>
      <c r="D119" s="213"/>
      <c r="E119" s="213"/>
      <c r="F119" s="213"/>
      <c r="G119" s="213"/>
      <c r="H119" s="213"/>
      <c r="I119" s="213"/>
      <c r="J119" s="213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13"/>
      <c r="C120" s="213"/>
      <c r="D120" s="213"/>
      <c r="E120" s="213"/>
      <c r="F120" s="213"/>
      <c r="G120" s="213"/>
      <c r="H120" s="213"/>
      <c r="I120" s="213"/>
      <c r="J120" s="213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13"/>
      <c r="C121" s="213"/>
      <c r="D121" s="213"/>
      <c r="E121" s="213"/>
      <c r="F121" s="213"/>
      <c r="G121" s="213"/>
      <c r="H121" s="213"/>
      <c r="I121" s="213"/>
      <c r="J121" s="213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13"/>
      <c r="C122" s="213"/>
      <c r="D122" s="213"/>
      <c r="E122" s="213"/>
      <c r="F122" s="213"/>
      <c r="G122" s="213"/>
      <c r="H122" s="213"/>
      <c r="I122" s="213"/>
      <c r="J122" s="213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13"/>
      <c r="C123" s="213"/>
      <c r="D123" s="213"/>
      <c r="E123" s="213"/>
      <c r="F123" s="213"/>
      <c r="G123" s="213"/>
      <c r="H123" s="213"/>
      <c r="I123" s="213"/>
      <c r="J123" s="213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13"/>
      <c r="C124" s="213"/>
      <c r="D124" s="213"/>
      <c r="E124" s="213"/>
      <c r="F124" s="213"/>
      <c r="G124" s="213"/>
      <c r="H124" s="213"/>
      <c r="I124" s="213"/>
      <c r="J124" s="213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13"/>
      <c r="C125" s="213"/>
      <c r="D125" s="213"/>
      <c r="E125" s="213"/>
      <c r="F125" s="213"/>
      <c r="G125" s="213"/>
      <c r="H125" s="213"/>
      <c r="I125" s="213"/>
      <c r="J125" s="213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13"/>
      <c r="C126" s="213"/>
      <c r="D126" s="213"/>
      <c r="E126" s="213"/>
      <c r="F126" s="213"/>
      <c r="G126" s="213"/>
      <c r="H126" s="213"/>
      <c r="I126" s="213"/>
      <c r="J126" s="213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13"/>
      <c r="C127" s="213"/>
      <c r="D127" s="213"/>
      <c r="E127" s="213"/>
      <c r="F127" s="213"/>
      <c r="G127" s="213"/>
      <c r="H127" s="213"/>
      <c r="I127" s="213"/>
      <c r="J127" s="213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13"/>
      <c r="C128" s="213"/>
      <c r="D128" s="213"/>
      <c r="E128" s="213"/>
      <c r="F128" s="213"/>
      <c r="G128" s="213"/>
      <c r="H128" s="213"/>
      <c r="I128" s="213"/>
      <c r="J128" s="213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13"/>
      <c r="C129" s="213"/>
      <c r="D129" s="213"/>
      <c r="E129" s="213"/>
      <c r="F129" s="213"/>
      <c r="G129" s="213"/>
      <c r="H129" s="213"/>
      <c r="I129" s="213"/>
      <c r="J129" s="213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13"/>
      <c r="C130" s="213"/>
      <c r="D130" s="213"/>
      <c r="E130" s="213"/>
      <c r="F130" s="213"/>
      <c r="G130" s="213"/>
      <c r="H130" s="213"/>
      <c r="I130" s="213"/>
      <c r="J130" s="213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13"/>
      <c r="C131" s="213"/>
      <c r="D131" s="213"/>
      <c r="E131" s="213"/>
      <c r="F131" s="213"/>
      <c r="G131" s="213"/>
      <c r="H131" s="213"/>
      <c r="I131" s="213"/>
      <c r="J131" s="213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13"/>
      <c r="C132" s="213"/>
      <c r="D132" s="213"/>
      <c r="E132" s="213"/>
      <c r="F132" s="213"/>
      <c r="G132" s="213"/>
      <c r="H132" s="213"/>
      <c r="I132" s="213"/>
      <c r="J132" s="213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13"/>
      <c r="C133" s="213"/>
      <c r="D133" s="213"/>
      <c r="E133" s="213"/>
      <c r="F133" s="213"/>
      <c r="G133" s="213"/>
      <c r="H133" s="213"/>
      <c r="I133" s="213"/>
      <c r="J133" s="213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13"/>
      <c r="C134" s="213"/>
      <c r="D134" s="213"/>
      <c r="E134" s="213"/>
      <c r="F134" s="213"/>
      <c r="G134" s="213"/>
      <c r="H134" s="213"/>
      <c r="I134" s="213"/>
      <c r="J134" s="213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13"/>
      <c r="C135" s="213"/>
      <c r="D135" s="213"/>
      <c r="E135" s="213"/>
      <c r="F135" s="213"/>
      <c r="G135" s="213"/>
      <c r="H135" s="213"/>
      <c r="I135" s="213"/>
      <c r="J135" s="213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13"/>
      <c r="C136" s="213"/>
      <c r="D136" s="213"/>
      <c r="E136" s="213"/>
      <c r="F136" s="213"/>
      <c r="G136" s="213"/>
      <c r="H136" s="213"/>
      <c r="I136" s="213"/>
      <c r="J136" s="213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13"/>
      <c r="C137" s="213"/>
      <c r="D137" s="213"/>
      <c r="E137" s="213"/>
      <c r="F137" s="213"/>
      <c r="G137" s="213"/>
      <c r="H137" s="213"/>
      <c r="I137" s="213"/>
      <c r="J137" s="213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13"/>
      <c r="C138" s="213"/>
      <c r="D138" s="213"/>
      <c r="E138" s="213"/>
      <c r="F138" s="213"/>
      <c r="G138" s="213"/>
      <c r="H138" s="213"/>
      <c r="I138" s="213"/>
      <c r="J138" s="213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13"/>
      <c r="C139" s="213"/>
      <c r="D139" s="213"/>
      <c r="E139" s="213"/>
      <c r="F139" s="213"/>
      <c r="G139" s="213"/>
      <c r="H139" s="213"/>
      <c r="I139" s="213"/>
      <c r="J139" s="213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13"/>
      <c r="C140" s="213"/>
      <c r="D140" s="213"/>
      <c r="E140" s="213"/>
      <c r="F140" s="213"/>
      <c r="G140" s="213"/>
      <c r="H140" s="213"/>
      <c r="I140" s="213"/>
      <c r="J140" s="213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13"/>
      <c r="C141" s="213"/>
      <c r="D141" s="213"/>
      <c r="E141" s="213"/>
      <c r="F141" s="213"/>
      <c r="G141" s="213"/>
      <c r="H141" s="213"/>
      <c r="I141" s="213"/>
      <c r="J141" s="213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13"/>
      <c r="C142" s="213"/>
      <c r="D142" s="213"/>
      <c r="E142" s="213"/>
      <c r="F142" s="213"/>
      <c r="G142" s="213"/>
      <c r="H142" s="213"/>
      <c r="I142" s="213"/>
      <c r="J142" s="213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13"/>
      <c r="C143" s="213"/>
      <c r="D143" s="213"/>
      <c r="E143" s="213"/>
      <c r="F143" s="213"/>
      <c r="G143" s="213"/>
      <c r="H143" s="213"/>
      <c r="I143" s="213"/>
      <c r="J143" s="213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13"/>
      <c r="C144" s="213"/>
      <c r="D144" s="213"/>
      <c r="E144" s="213"/>
      <c r="F144" s="213"/>
      <c r="G144" s="213"/>
      <c r="H144" s="213"/>
      <c r="I144" s="213"/>
      <c r="J144" s="213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13"/>
      <c r="C145" s="213"/>
      <c r="D145" s="213"/>
      <c r="E145" s="213"/>
      <c r="F145" s="213"/>
      <c r="G145" s="213"/>
      <c r="H145" s="213"/>
      <c r="I145" s="213"/>
      <c r="J145" s="213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13"/>
      <c r="C146" s="213"/>
      <c r="D146" s="213"/>
      <c r="E146" s="213"/>
      <c r="F146" s="213"/>
      <c r="G146" s="213"/>
      <c r="H146" s="213"/>
      <c r="I146" s="213"/>
      <c r="J146" s="213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13"/>
      <c r="C147" s="213"/>
      <c r="D147" s="213"/>
      <c r="E147" s="213"/>
      <c r="F147" s="213"/>
      <c r="G147" s="213"/>
      <c r="H147" s="213"/>
      <c r="I147" s="213"/>
      <c r="J147" s="213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13"/>
      <c r="C148" s="213"/>
      <c r="D148" s="213"/>
      <c r="E148" s="213"/>
      <c r="F148" s="213"/>
      <c r="G148" s="213"/>
      <c r="H148" s="213"/>
      <c r="I148" s="213"/>
      <c r="J148" s="213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13"/>
      <c r="C149" s="213"/>
      <c r="D149" s="213"/>
      <c r="E149" s="213"/>
      <c r="F149" s="213"/>
      <c r="G149" s="213"/>
      <c r="H149" s="213"/>
      <c r="I149" s="213"/>
      <c r="J149" s="213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13"/>
      <c r="C150" s="213"/>
      <c r="D150" s="213"/>
      <c r="E150" s="213"/>
      <c r="F150" s="213"/>
      <c r="G150" s="213"/>
      <c r="H150" s="213"/>
      <c r="I150" s="213"/>
      <c r="J150" s="213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13"/>
      <c r="C151" s="213"/>
      <c r="D151" s="213"/>
      <c r="E151" s="213"/>
      <c r="F151" s="213"/>
      <c r="G151" s="213"/>
      <c r="H151" s="213"/>
      <c r="I151" s="213"/>
      <c r="J151" s="213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13"/>
      <c r="C152" s="213"/>
      <c r="D152" s="213"/>
      <c r="E152" s="213"/>
      <c r="F152" s="213"/>
      <c r="G152" s="213"/>
      <c r="H152" s="213"/>
      <c r="I152" s="213"/>
      <c r="J152" s="213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13"/>
      <c r="C153" s="213"/>
      <c r="D153" s="213"/>
      <c r="E153" s="213"/>
      <c r="F153" s="213"/>
      <c r="G153" s="213"/>
      <c r="H153" s="213"/>
      <c r="I153" s="213"/>
      <c r="J153" s="213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13"/>
      <c r="C154" s="213"/>
      <c r="D154" s="213"/>
      <c r="E154" s="213"/>
      <c r="F154" s="213"/>
      <c r="G154" s="213"/>
      <c r="H154" s="213"/>
      <c r="I154" s="213"/>
      <c r="J154" s="213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13"/>
      <c r="C155" s="213"/>
      <c r="D155" s="213"/>
      <c r="E155" s="213"/>
      <c r="F155" s="213"/>
      <c r="G155" s="213"/>
      <c r="H155" s="213"/>
      <c r="I155" s="213"/>
      <c r="J155" s="213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13"/>
      <c r="C156" s="213"/>
      <c r="D156" s="213"/>
      <c r="E156" s="213"/>
      <c r="F156" s="213"/>
      <c r="G156" s="213"/>
      <c r="H156" s="213"/>
      <c r="I156" s="213"/>
      <c r="J156" s="213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13"/>
      <c r="C157" s="213"/>
      <c r="D157" s="213"/>
      <c r="E157" s="213"/>
      <c r="F157" s="213"/>
      <c r="G157" s="213"/>
      <c r="H157" s="213"/>
      <c r="I157" s="213"/>
      <c r="J157" s="213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13"/>
      <c r="C158" s="213"/>
      <c r="D158" s="213"/>
      <c r="E158" s="213"/>
      <c r="F158" s="213"/>
      <c r="G158" s="213"/>
      <c r="H158" s="213"/>
      <c r="I158" s="213"/>
      <c r="J158" s="213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13"/>
      <c r="C159" s="213"/>
      <c r="D159" s="213"/>
      <c r="E159" s="213"/>
      <c r="F159" s="213"/>
      <c r="G159" s="213"/>
      <c r="H159" s="213"/>
      <c r="I159" s="213"/>
      <c r="J159" s="213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13"/>
      <c r="C160" s="213"/>
      <c r="D160" s="213"/>
      <c r="E160" s="213"/>
      <c r="F160" s="213"/>
      <c r="G160" s="213"/>
      <c r="H160" s="213"/>
      <c r="I160" s="213"/>
      <c r="J160" s="213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13"/>
      <c r="C161" s="213"/>
      <c r="D161" s="213"/>
      <c r="E161" s="213"/>
      <c r="F161" s="213"/>
      <c r="G161" s="213"/>
      <c r="H161" s="213"/>
      <c r="I161" s="213"/>
      <c r="J161" s="213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13"/>
      <c r="C162" s="213"/>
      <c r="D162" s="213"/>
      <c r="E162" s="213"/>
      <c r="F162" s="213"/>
      <c r="G162" s="213"/>
      <c r="H162" s="213"/>
      <c r="I162" s="213"/>
      <c r="J162" s="213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13"/>
      <c r="C163" s="213"/>
      <c r="D163" s="213"/>
      <c r="E163" s="213"/>
      <c r="F163" s="213"/>
      <c r="G163" s="213"/>
      <c r="H163" s="213"/>
      <c r="I163" s="213"/>
      <c r="J163" s="213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13"/>
      <c r="C164" s="213"/>
      <c r="D164" s="213"/>
      <c r="E164" s="213"/>
      <c r="F164" s="213"/>
      <c r="G164" s="213"/>
      <c r="H164" s="213"/>
      <c r="I164" s="213"/>
      <c r="J164" s="213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13"/>
      <c r="C165" s="213"/>
      <c r="D165" s="213"/>
      <c r="E165" s="213"/>
      <c r="F165" s="213"/>
      <c r="G165" s="213"/>
      <c r="H165" s="213"/>
      <c r="I165" s="213"/>
      <c r="J165" s="213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13"/>
      <c r="C166" s="213"/>
      <c r="D166" s="213"/>
      <c r="E166" s="213"/>
      <c r="F166" s="213"/>
      <c r="G166" s="213"/>
      <c r="H166" s="213"/>
      <c r="I166" s="213"/>
      <c r="J166" s="213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13"/>
      <c r="C167" s="213"/>
      <c r="D167" s="213"/>
      <c r="E167" s="213"/>
      <c r="F167" s="213"/>
      <c r="G167" s="213"/>
      <c r="H167" s="213"/>
      <c r="I167" s="213"/>
      <c r="J167" s="213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13"/>
      <c r="C168" s="213"/>
      <c r="D168" s="213"/>
      <c r="E168" s="213"/>
      <c r="F168" s="213"/>
      <c r="G168" s="213"/>
      <c r="H168" s="213"/>
      <c r="I168" s="213"/>
      <c r="J168" s="213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13"/>
      <c r="C169" s="213"/>
      <c r="D169" s="213"/>
      <c r="E169" s="213"/>
      <c r="F169" s="213"/>
      <c r="G169" s="213"/>
      <c r="H169" s="213"/>
      <c r="I169" s="213"/>
      <c r="J169" s="213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13"/>
      <c r="C170" s="213"/>
      <c r="D170" s="213"/>
      <c r="E170" s="213"/>
      <c r="F170" s="213"/>
      <c r="G170" s="213"/>
      <c r="H170" s="213"/>
      <c r="I170" s="213"/>
      <c r="J170" s="213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13"/>
      <c r="C171" s="213"/>
      <c r="D171" s="213"/>
      <c r="E171" s="213"/>
      <c r="F171" s="213"/>
      <c r="G171" s="213"/>
      <c r="H171" s="213"/>
      <c r="I171" s="213"/>
      <c r="J171" s="213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13"/>
      <c r="C172" s="213"/>
      <c r="D172" s="213"/>
      <c r="E172" s="213"/>
      <c r="F172" s="213"/>
      <c r="G172" s="213"/>
      <c r="H172" s="213"/>
      <c r="I172" s="213"/>
      <c r="J172" s="213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13"/>
      <c r="C173" s="213"/>
      <c r="D173" s="213"/>
      <c r="E173" s="213"/>
      <c r="F173" s="213"/>
      <c r="G173" s="213"/>
      <c r="H173" s="213"/>
      <c r="I173" s="213"/>
      <c r="J173" s="213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13"/>
      <c r="C174" s="213"/>
      <c r="D174" s="213"/>
      <c r="E174" s="213"/>
      <c r="F174" s="213"/>
      <c r="G174" s="213"/>
      <c r="H174" s="213"/>
      <c r="I174" s="213"/>
      <c r="J174" s="213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13"/>
      <c r="C175" s="213"/>
      <c r="D175" s="213"/>
      <c r="E175" s="213"/>
      <c r="F175" s="213"/>
      <c r="G175" s="213"/>
      <c r="H175" s="213"/>
      <c r="I175" s="213"/>
      <c r="J175" s="213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13"/>
      <c r="C176" s="213"/>
      <c r="D176" s="213"/>
      <c r="E176" s="213"/>
      <c r="F176" s="213"/>
      <c r="G176" s="213"/>
      <c r="H176" s="213"/>
      <c r="I176" s="213"/>
      <c r="J176" s="213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13"/>
      <c r="C177" s="213"/>
      <c r="D177" s="213"/>
      <c r="E177" s="213"/>
      <c r="F177" s="213"/>
      <c r="G177" s="213"/>
      <c r="H177" s="213"/>
      <c r="I177" s="213"/>
      <c r="J177" s="213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13"/>
      <c r="C178" s="213"/>
      <c r="D178" s="213"/>
      <c r="E178" s="213"/>
      <c r="F178" s="213"/>
      <c r="G178" s="213"/>
      <c r="H178" s="213"/>
      <c r="I178" s="213"/>
      <c r="J178" s="213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13"/>
      <c r="C179" s="213"/>
      <c r="D179" s="213"/>
      <c r="E179" s="213"/>
      <c r="F179" s="213"/>
      <c r="G179" s="213"/>
      <c r="H179" s="213"/>
      <c r="I179" s="213"/>
      <c r="J179" s="213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13"/>
      <c r="C180" s="213"/>
      <c r="D180" s="213"/>
      <c r="E180" s="213"/>
      <c r="F180" s="213"/>
      <c r="G180" s="213"/>
      <c r="H180" s="213"/>
      <c r="I180" s="213"/>
      <c r="J180" s="213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13"/>
      <c r="C181" s="213"/>
      <c r="D181" s="213"/>
      <c r="E181" s="213"/>
      <c r="F181" s="213"/>
      <c r="G181" s="213"/>
      <c r="H181" s="213"/>
      <c r="I181" s="213"/>
      <c r="J181" s="213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13"/>
      <c r="C182" s="213"/>
      <c r="D182" s="213"/>
      <c r="E182" s="213"/>
      <c r="F182" s="213"/>
      <c r="G182" s="213"/>
      <c r="H182" s="213"/>
      <c r="I182" s="213"/>
      <c r="J182" s="213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13"/>
      <c r="C183" s="213"/>
      <c r="D183" s="213"/>
      <c r="E183" s="213"/>
      <c r="F183" s="213"/>
      <c r="G183" s="213"/>
      <c r="H183" s="213"/>
      <c r="I183" s="213"/>
      <c r="J183" s="213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13"/>
      <c r="C184" s="213"/>
      <c r="D184" s="213"/>
      <c r="E184" s="213"/>
      <c r="F184" s="213"/>
      <c r="G184" s="213"/>
      <c r="H184" s="213"/>
      <c r="I184" s="213"/>
      <c r="J184" s="213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13"/>
      <c r="C185" s="213"/>
      <c r="D185" s="213"/>
      <c r="E185" s="213"/>
      <c r="F185" s="213"/>
      <c r="G185" s="213"/>
      <c r="H185" s="213"/>
      <c r="I185" s="213"/>
      <c r="J185" s="213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13"/>
      <c r="C186" s="213"/>
      <c r="D186" s="213"/>
      <c r="E186" s="213"/>
      <c r="F186" s="213"/>
      <c r="G186" s="213"/>
      <c r="H186" s="213"/>
      <c r="I186" s="213"/>
      <c r="J186" s="213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13"/>
      <c r="C187" s="213"/>
      <c r="D187" s="213"/>
      <c r="E187" s="213"/>
      <c r="F187" s="213"/>
      <c r="G187" s="213"/>
      <c r="H187" s="213"/>
      <c r="I187" s="213"/>
      <c r="J187" s="213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13"/>
      <c r="C188" s="213"/>
      <c r="D188" s="213"/>
      <c r="E188" s="213"/>
      <c r="F188" s="213"/>
      <c r="G188" s="213"/>
      <c r="H188" s="213"/>
      <c r="I188" s="213"/>
      <c r="J188" s="213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13"/>
      <c r="C189" s="213"/>
      <c r="D189" s="213"/>
      <c r="E189" s="213"/>
      <c r="F189" s="213"/>
      <c r="G189" s="213"/>
      <c r="H189" s="213"/>
      <c r="I189" s="213"/>
      <c r="J189" s="213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13"/>
      <c r="C190" s="213"/>
      <c r="D190" s="213"/>
      <c r="E190" s="213"/>
      <c r="F190" s="213"/>
      <c r="G190" s="213"/>
      <c r="H190" s="213"/>
      <c r="I190" s="213"/>
      <c r="J190" s="213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13"/>
      <c r="C191" s="213"/>
      <c r="D191" s="213"/>
      <c r="E191" s="213"/>
      <c r="F191" s="213"/>
      <c r="G191" s="213"/>
      <c r="H191" s="213"/>
      <c r="I191" s="213"/>
      <c r="J191" s="213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13"/>
      <c r="C192" s="213"/>
      <c r="D192" s="213"/>
      <c r="E192" s="213"/>
      <c r="F192" s="213"/>
      <c r="G192" s="213"/>
      <c r="H192" s="213"/>
      <c r="I192" s="213"/>
      <c r="J192" s="213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13"/>
      <c r="C193" s="213"/>
      <c r="D193" s="213"/>
      <c r="E193" s="213"/>
      <c r="F193" s="213"/>
      <c r="G193" s="213"/>
      <c r="H193" s="213"/>
      <c r="I193" s="213"/>
      <c r="J193" s="213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13"/>
      <c r="C194" s="213"/>
      <c r="D194" s="213"/>
      <c r="E194" s="213"/>
      <c r="F194" s="213"/>
      <c r="G194" s="213"/>
      <c r="H194" s="213"/>
      <c r="I194" s="213"/>
      <c r="J194" s="213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13"/>
      <c r="C195" s="213"/>
      <c r="D195" s="213"/>
      <c r="E195" s="213"/>
      <c r="F195" s="213"/>
      <c r="G195" s="213"/>
      <c r="H195" s="213"/>
      <c r="I195" s="213"/>
      <c r="J195" s="213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13"/>
      <c r="C196" s="213"/>
      <c r="D196" s="213"/>
      <c r="E196" s="213"/>
      <c r="F196" s="213"/>
      <c r="G196" s="213"/>
      <c r="H196" s="213"/>
      <c r="I196" s="213"/>
      <c r="J196" s="213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13"/>
      <c r="C197" s="213"/>
      <c r="D197" s="213"/>
      <c r="E197" s="213"/>
      <c r="F197" s="213"/>
      <c r="G197" s="213"/>
      <c r="H197" s="213"/>
      <c r="I197" s="213"/>
      <c r="J197" s="213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13"/>
      <c r="C198" s="213"/>
      <c r="D198" s="213"/>
      <c r="E198" s="213"/>
      <c r="F198" s="213"/>
      <c r="G198" s="213"/>
      <c r="H198" s="213"/>
      <c r="I198" s="213"/>
      <c r="J198" s="213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13"/>
      <c r="C199" s="213"/>
      <c r="D199" s="213"/>
      <c r="E199" s="213"/>
      <c r="F199" s="213"/>
      <c r="G199" s="213"/>
      <c r="H199" s="213"/>
      <c r="I199" s="213"/>
      <c r="J199" s="213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13"/>
      <c r="C200" s="213"/>
      <c r="D200" s="213"/>
      <c r="E200" s="213"/>
      <c r="F200" s="213"/>
      <c r="G200" s="213"/>
      <c r="H200" s="213"/>
      <c r="I200" s="213"/>
      <c r="J200" s="213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13"/>
      <c r="C201" s="213"/>
      <c r="D201" s="213"/>
      <c r="E201" s="213"/>
      <c r="F201" s="213"/>
      <c r="G201" s="213"/>
      <c r="H201" s="213"/>
      <c r="I201" s="213"/>
      <c r="J201" s="213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13"/>
      <c r="C202" s="213"/>
      <c r="D202" s="213"/>
      <c r="E202" s="213"/>
      <c r="F202" s="213"/>
      <c r="G202" s="213"/>
      <c r="H202" s="213"/>
      <c r="I202" s="213"/>
      <c r="J202" s="213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13"/>
      <c r="C203" s="213"/>
      <c r="D203" s="213"/>
      <c r="E203" s="213"/>
      <c r="F203" s="213"/>
      <c r="G203" s="213"/>
      <c r="H203" s="213"/>
      <c r="I203" s="213"/>
      <c r="J203" s="213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13"/>
      <c r="C204" s="213"/>
      <c r="D204" s="213"/>
      <c r="E204" s="213"/>
      <c r="F204" s="213"/>
      <c r="G204" s="213"/>
      <c r="H204" s="213"/>
      <c r="I204" s="213"/>
      <c r="J204" s="213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13"/>
      <c r="C205" s="213"/>
      <c r="D205" s="213"/>
      <c r="E205" s="213"/>
      <c r="F205" s="213"/>
      <c r="G205" s="213"/>
      <c r="H205" s="213"/>
      <c r="I205" s="213"/>
      <c r="J205" s="213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13"/>
      <c r="C206" s="213"/>
      <c r="D206" s="213"/>
      <c r="E206" s="213"/>
      <c r="F206" s="213"/>
      <c r="G206" s="213"/>
      <c r="H206" s="213"/>
      <c r="I206" s="213"/>
      <c r="J206" s="213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13"/>
      <c r="C207" s="213"/>
      <c r="D207" s="213"/>
      <c r="E207" s="213"/>
      <c r="F207" s="213"/>
      <c r="G207" s="213"/>
      <c r="H207" s="213"/>
      <c r="I207" s="213"/>
      <c r="J207" s="213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13"/>
      <c r="C208" s="213"/>
      <c r="D208" s="213"/>
      <c r="E208" s="213"/>
      <c r="F208" s="213"/>
      <c r="G208" s="213"/>
      <c r="H208" s="213"/>
      <c r="I208" s="213"/>
      <c r="J208" s="213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13"/>
      <c r="C209" s="213"/>
      <c r="D209" s="213"/>
      <c r="E209" s="213"/>
      <c r="F209" s="213"/>
      <c r="G209" s="213"/>
      <c r="H209" s="213"/>
      <c r="I209" s="213"/>
      <c r="J209" s="213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13"/>
      <c r="C210" s="213"/>
      <c r="D210" s="213"/>
      <c r="E210" s="213"/>
      <c r="F210" s="213"/>
      <c r="G210" s="213"/>
      <c r="H210" s="213"/>
      <c r="I210" s="213"/>
      <c r="J210" s="213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13"/>
      <c r="C211" s="213"/>
      <c r="D211" s="213"/>
      <c r="E211" s="213"/>
      <c r="F211" s="213"/>
      <c r="G211" s="213"/>
      <c r="H211" s="213"/>
      <c r="I211" s="213"/>
      <c r="J211" s="213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13"/>
      <c r="C212" s="213"/>
      <c r="D212" s="213"/>
      <c r="E212" s="213"/>
      <c r="F212" s="213"/>
      <c r="G212" s="213"/>
      <c r="H212" s="213"/>
      <c r="I212" s="213"/>
      <c r="J212" s="213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13"/>
      <c r="C213" s="213"/>
      <c r="D213" s="213"/>
      <c r="E213" s="213"/>
      <c r="F213" s="213"/>
      <c r="G213" s="213"/>
      <c r="H213" s="213"/>
      <c r="I213" s="213"/>
      <c r="J213" s="213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13"/>
      <c r="C214" s="213"/>
      <c r="D214" s="213"/>
      <c r="E214" s="213"/>
      <c r="F214" s="213"/>
      <c r="G214" s="213"/>
      <c r="H214" s="213"/>
      <c r="I214" s="213"/>
      <c r="J214" s="213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13"/>
      <c r="C215" s="213"/>
      <c r="D215" s="213"/>
      <c r="E215" s="213"/>
      <c r="F215" s="213"/>
      <c r="G215" s="213"/>
      <c r="H215" s="213"/>
      <c r="I215" s="213"/>
      <c r="J215" s="213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13"/>
      <c r="C216" s="213"/>
      <c r="D216" s="213"/>
      <c r="E216" s="213"/>
      <c r="F216" s="213"/>
      <c r="G216" s="213"/>
      <c r="H216" s="213"/>
      <c r="I216" s="213"/>
      <c r="J216" s="213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13"/>
      <c r="C217" s="213"/>
      <c r="D217" s="213"/>
      <c r="E217" s="213"/>
      <c r="F217" s="213"/>
      <c r="G217" s="213"/>
      <c r="H217" s="213"/>
      <c r="I217" s="213"/>
      <c r="J217" s="213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13"/>
      <c r="C218" s="213"/>
      <c r="D218" s="213"/>
      <c r="E218" s="213"/>
      <c r="F218" s="213"/>
      <c r="G218" s="213"/>
      <c r="H218" s="213"/>
      <c r="I218" s="213"/>
      <c r="J218" s="213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13"/>
      <c r="C219" s="213"/>
      <c r="D219" s="213"/>
      <c r="E219" s="213"/>
      <c r="F219" s="213"/>
      <c r="G219" s="213"/>
      <c r="H219" s="213"/>
      <c r="I219" s="213"/>
      <c r="J219" s="213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13"/>
      <c r="C220" s="213"/>
      <c r="D220" s="213"/>
      <c r="E220" s="213"/>
      <c r="F220" s="213"/>
      <c r="G220" s="213"/>
      <c r="H220" s="213"/>
      <c r="I220" s="213"/>
      <c r="J220" s="213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13"/>
      <c r="C221" s="213"/>
      <c r="D221" s="213"/>
      <c r="E221" s="213"/>
      <c r="F221" s="213"/>
      <c r="G221" s="213"/>
      <c r="H221" s="213"/>
      <c r="I221" s="213"/>
      <c r="J221" s="213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13"/>
      <c r="C222" s="213"/>
      <c r="D222" s="213"/>
      <c r="E222" s="213"/>
      <c r="F222" s="213"/>
      <c r="G222" s="213"/>
      <c r="H222" s="213"/>
      <c r="I222" s="213"/>
      <c r="J222" s="213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13"/>
      <c r="C223" s="213"/>
      <c r="D223" s="213"/>
      <c r="E223" s="213"/>
      <c r="F223" s="213"/>
      <c r="G223" s="213"/>
      <c r="H223" s="213"/>
      <c r="I223" s="213"/>
      <c r="J223" s="213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13"/>
      <c r="C224" s="213"/>
      <c r="D224" s="213"/>
      <c r="E224" s="213"/>
      <c r="F224" s="213"/>
      <c r="G224" s="213"/>
      <c r="H224" s="213"/>
      <c r="I224" s="213"/>
      <c r="J224" s="213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13"/>
      <c r="C225" s="213"/>
      <c r="D225" s="213"/>
      <c r="E225" s="213"/>
      <c r="F225" s="213"/>
      <c r="G225" s="213"/>
      <c r="H225" s="213"/>
      <c r="I225" s="213"/>
      <c r="J225" s="213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13"/>
      <c r="C226" s="213"/>
      <c r="D226" s="213"/>
      <c r="E226" s="213"/>
      <c r="F226" s="213"/>
      <c r="G226" s="213"/>
      <c r="H226" s="213"/>
      <c r="I226" s="213"/>
      <c r="J226" s="213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13"/>
      <c r="C227" s="213"/>
      <c r="D227" s="213"/>
      <c r="E227" s="213"/>
      <c r="F227" s="213"/>
      <c r="G227" s="213"/>
      <c r="H227" s="213"/>
      <c r="I227" s="213"/>
      <c r="J227" s="213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13"/>
      <c r="C228" s="213"/>
      <c r="D228" s="213"/>
      <c r="E228" s="213"/>
      <c r="F228" s="213"/>
      <c r="G228" s="213"/>
      <c r="H228" s="213"/>
      <c r="I228" s="213"/>
      <c r="J228" s="213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13"/>
      <c r="C229" s="213"/>
      <c r="D229" s="213"/>
      <c r="E229" s="213"/>
      <c r="F229" s="213"/>
      <c r="G229" s="213"/>
      <c r="H229" s="213"/>
      <c r="I229" s="213"/>
      <c r="J229" s="213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13"/>
      <c r="C230" s="213"/>
      <c r="D230" s="213"/>
      <c r="E230" s="213"/>
      <c r="F230" s="213"/>
      <c r="G230" s="213"/>
      <c r="H230" s="213"/>
      <c r="I230" s="213"/>
      <c r="J230" s="213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13"/>
      <c r="C231" s="213"/>
      <c r="D231" s="213"/>
      <c r="E231" s="213"/>
      <c r="F231" s="213"/>
      <c r="G231" s="213"/>
      <c r="H231" s="213"/>
      <c r="I231" s="213"/>
      <c r="J231" s="213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13"/>
      <c r="C232" s="213"/>
      <c r="D232" s="213"/>
      <c r="E232" s="213"/>
      <c r="F232" s="213"/>
      <c r="G232" s="213"/>
      <c r="H232" s="213"/>
      <c r="I232" s="213"/>
      <c r="J232" s="213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C233" s="213"/>
      <c r="D233" s="213"/>
      <c r="E233" s="213"/>
      <c r="F233" s="213"/>
      <c r="G233" s="213"/>
      <c r="H233" s="213"/>
      <c r="I233" s="213"/>
      <c r="J233" s="213"/>
      <c r="M233" s="80"/>
      <c r="N233" s="80"/>
      <c r="O233" s="80"/>
      <c r="P233" s="80"/>
      <c r="Q233" s="80"/>
      <c r="R233" s="80"/>
      <c r="S233" s="80"/>
      <c r="T233" s="80"/>
      <c r="U233" s="80"/>
    </row>
    <row r="234" spans="2:21" x14ac:dyDescent="0.2">
      <c r="C234" s="213"/>
      <c r="D234" s="213"/>
      <c r="E234" s="213"/>
      <c r="F234" s="213"/>
      <c r="G234" s="213"/>
      <c r="H234" s="213"/>
      <c r="I234" s="213"/>
      <c r="J234" s="213"/>
    </row>
    <row r="235" spans="2:21" x14ac:dyDescent="0.2">
      <c r="C235" s="213"/>
      <c r="D235" s="213"/>
      <c r="E235" s="213"/>
      <c r="F235" s="213"/>
      <c r="G235" s="213"/>
      <c r="H235" s="213"/>
      <c r="I235" s="213"/>
      <c r="J235" s="213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zoomScale="112" zoomScaleNormal="112" workbookViewId="0">
      <selection activeCell="D5" sqref="D5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699" bestFit="1" customWidth="1"/>
    <col min="4" max="4" width="7.42578125" style="93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4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5" customWidth="1"/>
    <col min="13" max="13" width="9.140625" style="218"/>
    <col min="14" max="21" width="9.140625" style="220"/>
    <col min="22" max="16384" width="9.140625" style="5"/>
  </cols>
  <sheetData>
    <row r="1" spans="2:21" ht="18.75" customHeight="1" x14ac:dyDescent="0.25">
      <c r="B1" s="83" t="s">
        <v>111</v>
      </c>
      <c r="C1" s="695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60" t="s">
        <v>386</v>
      </c>
      <c r="C2" s="862" t="s">
        <v>573</v>
      </c>
      <c r="D2" s="864" t="s">
        <v>30</v>
      </c>
      <c r="E2" s="700" t="s">
        <v>517</v>
      </c>
      <c r="F2" s="700"/>
      <c r="G2" s="700"/>
      <c r="H2" s="447"/>
      <c r="I2" s="700" t="s">
        <v>519</v>
      </c>
      <c r="J2" s="701"/>
      <c r="K2" s="702"/>
      <c r="L2" s="448"/>
    </row>
    <row r="3" spans="2:21" ht="18.75" customHeight="1" x14ac:dyDescent="0.25">
      <c r="B3" s="861"/>
      <c r="C3" s="863"/>
      <c r="D3" s="857"/>
      <c r="E3" s="708" t="s">
        <v>941</v>
      </c>
      <c r="F3" s="675" t="s">
        <v>450</v>
      </c>
      <c r="G3" s="675" t="s">
        <v>451</v>
      </c>
      <c r="H3" s="450" t="s">
        <v>518</v>
      </c>
      <c r="I3" s="708" t="s">
        <v>941</v>
      </c>
      <c r="J3" s="675" t="s">
        <v>450</v>
      </c>
      <c r="K3" s="675" t="s">
        <v>451</v>
      </c>
      <c r="L3" s="451" t="s">
        <v>518</v>
      </c>
    </row>
    <row r="4" spans="2:21" ht="18.75" customHeight="1" x14ac:dyDescent="0.25">
      <c r="B4" s="88"/>
      <c r="C4" s="696" t="s">
        <v>28</v>
      </c>
      <c r="D4" s="865" t="s">
        <v>694</v>
      </c>
      <c r="E4" s="865"/>
      <c r="F4" s="865"/>
      <c r="G4" s="865"/>
      <c r="H4" s="865"/>
      <c r="I4" s="865"/>
      <c r="J4" s="865"/>
      <c r="K4" s="865"/>
      <c r="L4" s="866"/>
    </row>
    <row r="5" spans="2:21" ht="18.75" customHeight="1" x14ac:dyDescent="0.25">
      <c r="B5" s="285">
        <v>1</v>
      </c>
      <c r="C5" s="387" t="s">
        <v>649</v>
      </c>
      <c r="D5" s="321" t="s">
        <v>113</v>
      </c>
      <c r="E5" s="114">
        <f>VLOOKUP(N5,'FS Data'!$A:$B,2,FALSE)</f>
        <v>47</v>
      </c>
      <c r="F5" s="114">
        <f>VLOOKUP(O5,'FS Data'!$A:$B,2,FALSE)</f>
        <v>19603</v>
      </c>
      <c r="G5" s="114">
        <f>VLOOKUP(P5,'FS Data'!$A:$B,2,FALSE)</f>
        <v>15712</v>
      </c>
      <c r="H5" s="191">
        <f>VLOOKUP(Q5,'FS Data'!$A:$B,2,FALSE)/10</f>
        <v>80.2</v>
      </c>
      <c r="I5" s="124">
        <f>VLOOKUP(R5,'FS Data'!$A:$B,2,FALSE)</f>
        <v>47</v>
      </c>
      <c r="J5" s="124">
        <f>VLOOKUP(S5,'FS Data'!$A:$B,2,FALSE)</f>
        <v>19603</v>
      </c>
      <c r="K5" s="124">
        <f>VLOOKUP(T5,'FS Data'!$A:$B,2,FALSE)</f>
        <v>15712</v>
      </c>
      <c r="L5" s="192">
        <f>VLOOKUP(U5,'FS Data'!$A:$B,2,FALSE)/10</f>
        <v>80.2</v>
      </c>
      <c r="N5" s="220">
        <v>800112</v>
      </c>
      <c r="O5" s="220">
        <v>800114</v>
      </c>
      <c r="P5" s="220">
        <v>800116</v>
      </c>
      <c r="Q5" s="220">
        <v>800118</v>
      </c>
      <c r="R5" s="220">
        <v>800122</v>
      </c>
      <c r="S5" s="220">
        <v>800124</v>
      </c>
      <c r="T5" s="220">
        <v>800126</v>
      </c>
      <c r="U5" s="220">
        <v>800128</v>
      </c>
    </row>
    <row r="6" spans="2:21" ht="18.75" customHeight="1" x14ac:dyDescent="0.25">
      <c r="B6" s="285">
        <v>2</v>
      </c>
      <c r="C6" s="388" t="s">
        <v>650</v>
      </c>
      <c r="D6" s="321" t="s">
        <v>114</v>
      </c>
      <c r="E6" s="114">
        <f>VLOOKUP(N6,'FS Data'!$A:$B,2,FALSE)</f>
        <v>54</v>
      </c>
      <c r="F6" s="114">
        <f>VLOOKUP(O6,'FS Data'!$A:$B,2,FALSE)</f>
        <v>20518</v>
      </c>
      <c r="G6" s="114">
        <f>VLOOKUP(P6,'FS Data'!$A:$B,2,FALSE)</f>
        <v>16474</v>
      </c>
      <c r="H6" s="191">
        <f>VLOOKUP(Q6,'FS Data'!$A:$B,2,FALSE)/10</f>
        <v>80.3</v>
      </c>
      <c r="I6" s="124">
        <f>VLOOKUP(R6,'FS Data'!$A:$B,2,FALSE)</f>
        <v>54</v>
      </c>
      <c r="J6" s="124">
        <f>VLOOKUP(S6,'FS Data'!$A:$B,2,FALSE)</f>
        <v>20518</v>
      </c>
      <c r="K6" s="124">
        <f>VLOOKUP(T6,'FS Data'!$A:$B,2,FALSE)</f>
        <v>16474</v>
      </c>
      <c r="L6" s="192">
        <f>VLOOKUP(U6,'FS Data'!$A:$B,2,FALSE)/10</f>
        <v>80.3</v>
      </c>
      <c r="N6" s="220">
        <v>800212</v>
      </c>
      <c r="O6" s="220">
        <v>800214</v>
      </c>
      <c r="P6" s="220">
        <v>800216</v>
      </c>
      <c r="Q6" s="220">
        <v>800218</v>
      </c>
      <c r="R6" s="220">
        <v>800222</v>
      </c>
      <c r="S6" s="220">
        <v>800224</v>
      </c>
      <c r="T6" s="220">
        <v>800226</v>
      </c>
      <c r="U6" s="220">
        <v>800228</v>
      </c>
    </row>
    <row r="7" spans="2:21" ht="18.75" customHeight="1" x14ac:dyDescent="0.25">
      <c r="B7" s="285">
        <v>3</v>
      </c>
      <c r="C7" s="388" t="s">
        <v>651</v>
      </c>
      <c r="D7" s="321" t="s">
        <v>171</v>
      </c>
      <c r="E7" s="114">
        <f>VLOOKUP(N7,'FS Data'!$A:$B,2,FALSE)</f>
        <v>6</v>
      </c>
      <c r="F7" s="114">
        <f>VLOOKUP(O7,'FS Data'!$A:$B,2,FALSE)</f>
        <v>1784</v>
      </c>
      <c r="G7" s="114">
        <f>VLOOKUP(P7,'FS Data'!$A:$B,2,FALSE)</f>
        <v>1514</v>
      </c>
      <c r="H7" s="191">
        <f>VLOOKUP(Q7,'FS Data'!$A:$B,2,FALSE)/10</f>
        <v>84.9</v>
      </c>
      <c r="I7" s="124">
        <f>VLOOKUP(R7,'FS Data'!$A:$B,2,FALSE)</f>
        <v>6</v>
      </c>
      <c r="J7" s="124">
        <f>VLOOKUP(S7,'FS Data'!$A:$B,2,FALSE)</f>
        <v>1784</v>
      </c>
      <c r="K7" s="124">
        <f>VLOOKUP(T7,'FS Data'!$A:$B,2,FALSE)</f>
        <v>1514</v>
      </c>
      <c r="L7" s="192">
        <f>VLOOKUP(U7,'FS Data'!$A:$B,2,FALSE)/10</f>
        <v>84.9</v>
      </c>
      <c r="N7" s="220">
        <v>800312</v>
      </c>
      <c r="O7" s="220">
        <v>800314</v>
      </c>
      <c r="P7" s="220">
        <v>800316</v>
      </c>
      <c r="Q7" s="220">
        <v>800318</v>
      </c>
      <c r="R7" s="220">
        <v>800322</v>
      </c>
      <c r="S7" s="220">
        <v>800324</v>
      </c>
      <c r="T7" s="220">
        <v>800326</v>
      </c>
      <c r="U7" s="220">
        <v>800328</v>
      </c>
    </row>
    <row r="8" spans="2:21" ht="18.75" customHeight="1" x14ac:dyDescent="0.25">
      <c r="B8" s="285">
        <v>4</v>
      </c>
      <c r="C8" s="388" t="s">
        <v>652</v>
      </c>
      <c r="D8" s="321" t="s">
        <v>115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4">
        <f>VLOOKUP(R8,'FS Data'!$A:$B,2,FALSE)</f>
        <v>0</v>
      </c>
      <c r="J8" s="124">
        <f>VLOOKUP(S8,'FS Data'!$A:$B,2,FALSE)</f>
        <v>0</v>
      </c>
      <c r="K8" s="124">
        <f>VLOOKUP(T8,'FS Data'!$A:$B,2,FALSE)</f>
        <v>0</v>
      </c>
      <c r="L8" s="192">
        <f>VLOOKUP(U8,'FS Data'!$A:$B,2,FALSE)/10</f>
        <v>0</v>
      </c>
      <c r="N8" s="220">
        <v>800412</v>
      </c>
      <c r="O8" s="220">
        <v>800414</v>
      </c>
      <c r="P8" s="220">
        <v>800416</v>
      </c>
      <c r="Q8" s="220">
        <v>800418</v>
      </c>
      <c r="R8" s="220">
        <v>800422</v>
      </c>
      <c r="S8" s="220">
        <v>800424</v>
      </c>
      <c r="T8" s="220">
        <v>800426</v>
      </c>
      <c r="U8" s="220">
        <v>800428</v>
      </c>
    </row>
    <row r="9" spans="2:21" ht="21.6" customHeight="1" thickBot="1" x14ac:dyDescent="0.3">
      <c r="B9" s="285">
        <v>5</v>
      </c>
      <c r="C9" s="388" t="s">
        <v>653</v>
      </c>
      <c r="D9" s="284" t="s">
        <v>116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66">
        <f>VLOOKUP(R9,'FS Data'!$A:$B,2,FALSE)</f>
        <v>0</v>
      </c>
      <c r="J9" s="166">
        <f>VLOOKUP(S9,'FS Data'!$A:$B,2,FALSE)</f>
        <v>0</v>
      </c>
      <c r="K9" s="166">
        <f>VLOOKUP(T9,'FS Data'!$A:$B,2,FALSE)</f>
        <v>0</v>
      </c>
      <c r="L9" s="194">
        <f>VLOOKUP(U9,'FS Data'!$A:$B,2,FALSE)/10</f>
        <v>0</v>
      </c>
      <c r="N9" s="220">
        <v>800512</v>
      </c>
      <c r="O9" s="220">
        <v>800514</v>
      </c>
      <c r="P9" s="220">
        <v>800516</v>
      </c>
      <c r="Q9" s="220">
        <v>800518</v>
      </c>
      <c r="R9" s="220">
        <v>800522</v>
      </c>
      <c r="S9" s="220">
        <v>800524</v>
      </c>
      <c r="T9" s="220">
        <v>800526</v>
      </c>
      <c r="U9" s="220">
        <v>800528</v>
      </c>
    </row>
    <row r="10" spans="2:21" ht="18.75" customHeight="1" thickBot="1" x14ac:dyDescent="0.3">
      <c r="B10" s="285">
        <v>6</v>
      </c>
      <c r="C10" s="619" t="s">
        <v>654</v>
      </c>
      <c r="D10" s="572"/>
      <c r="E10" s="148">
        <f>VLOOKUP(N10,'FS Data'!$A:$B,2,FALSE)</f>
        <v>107</v>
      </c>
      <c r="F10" s="148">
        <f>VLOOKUP(O10,'FS Data'!$A:$B,2,FALSE)</f>
        <v>41905</v>
      </c>
      <c r="G10" s="148">
        <f>VLOOKUP(P10,'FS Data'!$A:$B,2,FALSE)</f>
        <v>33700</v>
      </c>
      <c r="H10" s="196">
        <f>VLOOKUP(Q10,'FS Data'!$A:$B,2,FALSE)/10</f>
        <v>80.400000000000006</v>
      </c>
      <c r="I10" s="168">
        <f>VLOOKUP(R10,'FS Data'!$A:$B,2,FALSE)</f>
        <v>107</v>
      </c>
      <c r="J10" s="168">
        <f>VLOOKUP(S10,'FS Data'!$A:$B,2,FALSE)</f>
        <v>41905</v>
      </c>
      <c r="K10" s="168">
        <f>VLOOKUP(T10,'FS Data'!$A:$B,2,FALSE)</f>
        <v>33700</v>
      </c>
      <c r="L10" s="197">
        <f>VLOOKUP(U10,'FS Data'!$A:$B,2,FALSE)/10</f>
        <v>80.400000000000006</v>
      </c>
      <c r="N10" s="220">
        <v>800612</v>
      </c>
      <c r="O10" s="220">
        <v>800614</v>
      </c>
      <c r="P10" s="220">
        <v>800616</v>
      </c>
      <c r="Q10" s="220">
        <v>800618</v>
      </c>
      <c r="R10" s="220">
        <v>800622</v>
      </c>
      <c r="S10" s="220">
        <v>800624</v>
      </c>
      <c r="T10" s="220">
        <v>800626</v>
      </c>
      <c r="U10" s="220">
        <v>800628</v>
      </c>
    </row>
    <row r="11" spans="2:21" ht="18.75" customHeight="1" x14ac:dyDescent="0.25">
      <c r="B11" s="285">
        <v>7</v>
      </c>
      <c r="C11" s="697" t="s">
        <v>655</v>
      </c>
      <c r="D11" s="321" t="s">
        <v>117</v>
      </c>
      <c r="E11" s="20">
        <f>VLOOKUP(N11,'FS Data'!$A:$B,2,FALSE)</f>
        <v>12</v>
      </c>
      <c r="F11" s="20">
        <f>VLOOKUP(O11,'FS Data'!$A:$B,2,FALSE)</f>
        <v>1763</v>
      </c>
      <c r="G11" s="20">
        <f>VLOOKUP(P11,'FS Data'!$A:$B,2,FALSE)</f>
        <v>1265</v>
      </c>
      <c r="H11" s="177">
        <f>VLOOKUP(Q11,'FS Data'!$A:$B,2,FALSE)/10</f>
        <v>71.8</v>
      </c>
      <c r="I11" s="167">
        <f>VLOOKUP(R11,'FS Data'!$A:$B,2,FALSE)</f>
        <v>12</v>
      </c>
      <c r="J11" s="167">
        <f>VLOOKUP(S11,'FS Data'!$A:$B,2,FALSE)</f>
        <v>1763</v>
      </c>
      <c r="K11" s="167">
        <f>VLOOKUP(T11,'FS Data'!$A:$B,2,FALSE)</f>
        <v>1265</v>
      </c>
      <c r="L11" s="195">
        <f>VLOOKUP(U11,'FS Data'!$A:$B,2,FALSE)/10</f>
        <v>71.8</v>
      </c>
      <c r="N11" s="220">
        <v>800712</v>
      </c>
      <c r="O11" s="220">
        <v>800714</v>
      </c>
      <c r="P11" s="220">
        <v>800716</v>
      </c>
      <c r="Q11" s="220">
        <v>800718</v>
      </c>
      <c r="R11" s="220">
        <v>800722</v>
      </c>
      <c r="S11" s="220">
        <v>800724</v>
      </c>
      <c r="T11" s="220">
        <v>800726</v>
      </c>
      <c r="U11" s="220">
        <v>800728</v>
      </c>
    </row>
    <row r="12" spans="2:21" ht="18.75" customHeight="1" x14ac:dyDescent="0.25">
      <c r="B12" s="285">
        <v>8</v>
      </c>
      <c r="C12" s="697" t="s">
        <v>656</v>
      </c>
      <c r="D12" s="321" t="s">
        <v>118</v>
      </c>
      <c r="E12" s="114">
        <f>VLOOKUP(N12,'FS Data'!$A:$B,2,FALSE)</f>
        <v>32</v>
      </c>
      <c r="F12" s="114">
        <f>VLOOKUP(O12,'FS Data'!$A:$B,2,FALSE)</f>
        <v>3828</v>
      </c>
      <c r="G12" s="114">
        <f>VLOOKUP(P12,'FS Data'!$A:$B,2,FALSE)</f>
        <v>2606</v>
      </c>
      <c r="H12" s="191">
        <f>VLOOKUP(Q12,'FS Data'!$A:$B,2,FALSE)/10</f>
        <v>68.099999999999994</v>
      </c>
      <c r="I12" s="124">
        <f>VLOOKUP(R12,'FS Data'!$A:$B,2,FALSE)</f>
        <v>32</v>
      </c>
      <c r="J12" s="124">
        <f>VLOOKUP(S12,'FS Data'!$A:$B,2,FALSE)</f>
        <v>3828</v>
      </c>
      <c r="K12" s="124">
        <f>VLOOKUP(T12,'FS Data'!$A:$B,2,FALSE)</f>
        <v>2606</v>
      </c>
      <c r="L12" s="192">
        <f>VLOOKUP(U12,'FS Data'!$A:$B,2,FALSE)/10</f>
        <v>68.099999999999994</v>
      </c>
      <c r="N12" s="220">
        <v>800812</v>
      </c>
      <c r="O12" s="220">
        <v>800814</v>
      </c>
      <c r="P12" s="220">
        <v>800816</v>
      </c>
      <c r="Q12" s="220">
        <v>800818</v>
      </c>
      <c r="R12" s="220">
        <v>800822</v>
      </c>
      <c r="S12" s="220">
        <v>800824</v>
      </c>
      <c r="T12" s="220">
        <v>800826</v>
      </c>
      <c r="U12" s="220">
        <v>800828</v>
      </c>
    </row>
    <row r="13" spans="2:21" ht="21.6" customHeight="1" x14ac:dyDescent="0.25">
      <c r="B13" s="285">
        <v>9</v>
      </c>
      <c r="C13" s="697" t="s">
        <v>657</v>
      </c>
      <c r="D13" s="321" t="s">
        <v>172</v>
      </c>
      <c r="E13" s="128">
        <f>VLOOKUP(N13,'FS Data'!$A:$B,2,FALSE)</f>
        <v>0</v>
      </c>
      <c r="F13" s="128">
        <f>VLOOKUP(O13,'FS Data'!$A:$B,2,FALSE)</f>
        <v>0</v>
      </c>
      <c r="G13" s="128">
        <f>VLOOKUP(P13,'FS Data'!$A:$B,2,FALSE)</f>
        <v>0</v>
      </c>
      <c r="H13" s="193">
        <f>VLOOKUP(Q13,'FS Data'!$A:$B,2,FALSE)/10</f>
        <v>0</v>
      </c>
      <c r="I13" s="166">
        <f>VLOOKUP(R13,'FS Data'!$A:$B,2,FALSE)</f>
        <v>0</v>
      </c>
      <c r="J13" s="166">
        <f>VLOOKUP(S13,'FS Data'!$A:$B,2,FALSE)</f>
        <v>0</v>
      </c>
      <c r="K13" s="166">
        <f>VLOOKUP(T13,'FS Data'!$A:$B,2,FALSE)</f>
        <v>0</v>
      </c>
      <c r="L13" s="194">
        <f>VLOOKUP(U13,'FS Data'!$A:$B,2,FALSE)/10</f>
        <v>0</v>
      </c>
      <c r="N13" s="220">
        <v>800912</v>
      </c>
      <c r="O13" s="220">
        <v>800914</v>
      </c>
      <c r="P13" s="220">
        <v>800916</v>
      </c>
      <c r="Q13" s="220">
        <v>800918</v>
      </c>
      <c r="R13" s="220">
        <v>800922</v>
      </c>
      <c r="S13" s="220">
        <v>800924</v>
      </c>
      <c r="T13" s="220">
        <v>800926</v>
      </c>
      <c r="U13" s="220">
        <v>800928</v>
      </c>
    </row>
    <row r="14" spans="2:21" ht="18.75" customHeight="1" thickBot="1" x14ac:dyDescent="0.3">
      <c r="B14" s="285">
        <v>10</v>
      </c>
      <c r="C14" s="697" t="s">
        <v>658</v>
      </c>
      <c r="D14" s="321" t="s">
        <v>119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66">
        <f>VLOOKUP(R14,'FS Data'!$A:$B,2,FALSE)</f>
        <v>0</v>
      </c>
      <c r="J14" s="166">
        <f>VLOOKUP(S14,'FS Data'!$A:$B,2,FALSE)</f>
        <v>0</v>
      </c>
      <c r="K14" s="166">
        <f>VLOOKUP(T14,'FS Data'!$A:$B,2,FALSE)</f>
        <v>0</v>
      </c>
      <c r="L14" s="194">
        <f>VLOOKUP(U14,'FS Data'!$A:$B,2,FALSE)/10</f>
        <v>0</v>
      </c>
      <c r="N14" s="220">
        <v>801012</v>
      </c>
      <c r="O14" s="220">
        <v>801014</v>
      </c>
      <c r="P14" s="220">
        <v>801016</v>
      </c>
      <c r="Q14" s="220">
        <v>801018</v>
      </c>
      <c r="R14" s="220">
        <v>801022</v>
      </c>
      <c r="S14" s="220">
        <v>801024</v>
      </c>
      <c r="T14" s="220">
        <v>801026</v>
      </c>
      <c r="U14" s="220">
        <v>801028</v>
      </c>
    </row>
    <row r="15" spans="2:21" ht="18.75" customHeight="1" thickBot="1" x14ac:dyDescent="0.3">
      <c r="B15" s="285">
        <v>11</v>
      </c>
      <c r="C15" s="350" t="s">
        <v>659</v>
      </c>
      <c r="D15" s="572"/>
      <c r="E15" s="148">
        <f>VLOOKUP(N15,'FS Data'!$A:$B,2,FALSE)</f>
        <v>44</v>
      </c>
      <c r="F15" s="148">
        <f>VLOOKUP(O15,'FS Data'!$A:$B,2,FALSE)</f>
        <v>5591</v>
      </c>
      <c r="G15" s="148">
        <f>VLOOKUP(P15,'FS Data'!$A:$B,2,FALSE)</f>
        <v>3871</v>
      </c>
      <c r="H15" s="196">
        <f>VLOOKUP(Q15,'FS Data'!$A:$B,2,FALSE)/10</f>
        <v>69.2</v>
      </c>
      <c r="I15" s="168">
        <f>VLOOKUP(R15,'FS Data'!$A:$B,2,FALSE)</f>
        <v>44</v>
      </c>
      <c r="J15" s="168">
        <f>VLOOKUP(S15,'FS Data'!$A:$B,2,FALSE)</f>
        <v>5591</v>
      </c>
      <c r="K15" s="168">
        <f>VLOOKUP(T15,'FS Data'!$A:$B,2,FALSE)</f>
        <v>3871</v>
      </c>
      <c r="L15" s="197">
        <f>VLOOKUP(U15,'FS Data'!$A:$B,2,FALSE)/10</f>
        <v>69.2</v>
      </c>
      <c r="N15" s="220">
        <v>801112</v>
      </c>
      <c r="O15" s="220">
        <v>801114</v>
      </c>
      <c r="P15" s="220">
        <v>801116</v>
      </c>
      <c r="Q15" s="220">
        <v>801118</v>
      </c>
      <c r="R15" s="220">
        <v>801122</v>
      </c>
      <c r="S15" s="220">
        <v>801124</v>
      </c>
      <c r="T15" s="220">
        <v>801126</v>
      </c>
      <c r="U15" s="220">
        <v>801128</v>
      </c>
    </row>
    <row r="16" spans="2:21" ht="18.75" customHeight="1" x14ac:dyDescent="0.25">
      <c r="B16" s="285">
        <v>12</v>
      </c>
      <c r="C16" s="388" t="s">
        <v>660</v>
      </c>
      <c r="D16" s="321" t="s">
        <v>120</v>
      </c>
      <c r="E16" s="20">
        <f>VLOOKUP(N16,'FS Data'!$A:$B,2,FALSE)</f>
        <v>5</v>
      </c>
      <c r="F16" s="20">
        <f>VLOOKUP(O16,'FS Data'!$A:$B,2,FALSE)</f>
        <v>1632</v>
      </c>
      <c r="G16" s="20">
        <f>VLOOKUP(P16,'FS Data'!$A:$B,2,FALSE)</f>
        <v>738</v>
      </c>
      <c r="H16" s="177">
        <f>VLOOKUP(Q16,'FS Data'!$A:$B,2,FALSE)/10</f>
        <v>45.2</v>
      </c>
      <c r="I16" s="167">
        <f>VLOOKUP(R16,'FS Data'!$A:$B,2,FALSE)</f>
        <v>5</v>
      </c>
      <c r="J16" s="167">
        <f>VLOOKUP(S16,'FS Data'!$A:$B,2,FALSE)</f>
        <v>1632</v>
      </c>
      <c r="K16" s="167">
        <f>VLOOKUP(T16,'FS Data'!$A:$B,2,FALSE)</f>
        <v>738</v>
      </c>
      <c r="L16" s="195">
        <f>VLOOKUP(U16,'FS Data'!$A:$B,2,FALSE)/10</f>
        <v>45.2</v>
      </c>
      <c r="N16" s="220">
        <v>801212</v>
      </c>
      <c r="O16" s="220">
        <v>801214</v>
      </c>
      <c r="P16" s="220">
        <v>801216</v>
      </c>
      <c r="Q16" s="220">
        <v>801218</v>
      </c>
      <c r="R16" s="220">
        <v>801222</v>
      </c>
      <c r="S16" s="220">
        <v>801224</v>
      </c>
      <c r="T16" s="220">
        <v>801226</v>
      </c>
      <c r="U16" s="220">
        <v>801228</v>
      </c>
    </row>
    <row r="17" spans="2:21" ht="18.75" customHeight="1" x14ac:dyDescent="0.25">
      <c r="B17" s="285">
        <v>13</v>
      </c>
      <c r="C17" s="388" t="s">
        <v>661</v>
      </c>
      <c r="D17" s="321" t="s">
        <v>121</v>
      </c>
      <c r="E17" s="114">
        <f>VLOOKUP(N17,'FS Data'!$A:$B,2,FALSE)</f>
        <v>4</v>
      </c>
      <c r="F17" s="114">
        <f>VLOOKUP(O17,'FS Data'!$A:$B,2,FALSE)</f>
        <v>1241</v>
      </c>
      <c r="G17" s="114">
        <f>VLOOKUP(P17,'FS Data'!$A:$B,2,FALSE)</f>
        <v>374</v>
      </c>
      <c r="H17" s="191">
        <f>VLOOKUP(Q17,'FS Data'!$A:$B,2,FALSE)/10</f>
        <v>30.1</v>
      </c>
      <c r="I17" s="124">
        <f>VLOOKUP(R17,'FS Data'!$A:$B,2,FALSE)</f>
        <v>4</v>
      </c>
      <c r="J17" s="124">
        <f>VLOOKUP(S17,'FS Data'!$A:$B,2,FALSE)</f>
        <v>1241</v>
      </c>
      <c r="K17" s="124">
        <f>VLOOKUP(T17,'FS Data'!$A:$B,2,FALSE)</f>
        <v>374</v>
      </c>
      <c r="L17" s="192">
        <f>VLOOKUP(U17,'FS Data'!$A:$B,2,FALSE)/10</f>
        <v>30.1</v>
      </c>
      <c r="N17" s="220">
        <v>801312</v>
      </c>
      <c r="O17" s="220">
        <v>801314</v>
      </c>
      <c r="P17" s="220">
        <v>801316</v>
      </c>
      <c r="Q17" s="220">
        <v>801318</v>
      </c>
      <c r="R17" s="220">
        <v>801322</v>
      </c>
      <c r="S17" s="220">
        <v>801324</v>
      </c>
      <c r="T17" s="220">
        <v>801326</v>
      </c>
      <c r="U17" s="220">
        <v>801328</v>
      </c>
    </row>
    <row r="18" spans="2:21" ht="21.6" customHeight="1" x14ac:dyDescent="0.25">
      <c r="B18" s="285">
        <v>14</v>
      </c>
      <c r="C18" s="388" t="s">
        <v>662</v>
      </c>
      <c r="D18" s="321" t="s">
        <v>173</v>
      </c>
      <c r="E18" s="114">
        <f>VLOOKUP(N18,'FS Data'!$A:$B,2,FALSE)</f>
        <v>1</v>
      </c>
      <c r="F18" s="114">
        <f>VLOOKUP(O18,'FS Data'!$A:$B,2,FALSE)</f>
        <v>237</v>
      </c>
      <c r="G18" s="114">
        <f>VLOOKUP(P18,'FS Data'!$A:$B,2,FALSE)</f>
        <v>111</v>
      </c>
      <c r="H18" s="191">
        <f>VLOOKUP(Q18,'FS Data'!$A:$B,2,FALSE)/10</f>
        <v>46.8</v>
      </c>
      <c r="I18" s="124">
        <f>VLOOKUP(R18,'FS Data'!$A:$B,2,FALSE)</f>
        <v>1</v>
      </c>
      <c r="J18" s="124">
        <f>VLOOKUP(S18,'FS Data'!$A:$B,2,FALSE)</f>
        <v>237</v>
      </c>
      <c r="K18" s="124">
        <f>VLOOKUP(T18,'FS Data'!$A:$B,2,FALSE)</f>
        <v>111</v>
      </c>
      <c r="L18" s="192">
        <f>VLOOKUP(U18,'FS Data'!$A:$B,2,FALSE)/10</f>
        <v>46.8</v>
      </c>
      <c r="N18" s="220">
        <v>801412</v>
      </c>
      <c r="O18" s="220">
        <v>801414</v>
      </c>
      <c r="P18" s="220">
        <v>801416</v>
      </c>
      <c r="Q18" s="220">
        <v>801418</v>
      </c>
      <c r="R18" s="220">
        <v>801422</v>
      </c>
      <c r="S18" s="220">
        <v>801424</v>
      </c>
      <c r="T18" s="220">
        <v>801426</v>
      </c>
      <c r="U18" s="220">
        <v>801428</v>
      </c>
    </row>
    <row r="19" spans="2:21" ht="18.75" customHeight="1" x14ac:dyDescent="0.25">
      <c r="B19" s="285">
        <v>15</v>
      </c>
      <c r="C19" s="388" t="s">
        <v>663</v>
      </c>
      <c r="D19" s="321" t="s">
        <v>122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4">
        <f>VLOOKUP(R19,'FS Data'!$A:$B,2,FALSE)</f>
        <v>0</v>
      </c>
      <c r="J19" s="124">
        <f>VLOOKUP(S19,'FS Data'!$A:$B,2,FALSE)</f>
        <v>0</v>
      </c>
      <c r="K19" s="124">
        <f>VLOOKUP(T19,'FS Data'!$A:$B,2,FALSE)</f>
        <v>0</v>
      </c>
      <c r="L19" s="192">
        <f>VLOOKUP(U19,'FS Data'!$A:$B,2,FALSE)/10</f>
        <v>0</v>
      </c>
      <c r="N19" s="220">
        <v>801512</v>
      </c>
      <c r="O19" s="220">
        <v>801514</v>
      </c>
      <c r="P19" s="220">
        <v>801516</v>
      </c>
      <c r="Q19" s="220">
        <v>801518</v>
      </c>
      <c r="R19" s="220">
        <v>801522</v>
      </c>
      <c r="S19" s="220">
        <v>801524</v>
      </c>
      <c r="T19" s="220">
        <v>801526</v>
      </c>
      <c r="U19" s="220">
        <v>801528</v>
      </c>
    </row>
    <row r="20" spans="2:21" ht="18.75" customHeight="1" thickBot="1" x14ac:dyDescent="0.3">
      <c r="B20" s="285">
        <v>16</v>
      </c>
      <c r="C20" s="388" t="s">
        <v>664</v>
      </c>
      <c r="D20" s="284" t="s">
        <v>123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66">
        <f>VLOOKUP(R20,'FS Data'!$A:$B,2,FALSE)</f>
        <v>0</v>
      </c>
      <c r="J20" s="166">
        <f>VLOOKUP(S20,'FS Data'!$A:$B,2,FALSE)</f>
        <v>0</v>
      </c>
      <c r="K20" s="166">
        <f>VLOOKUP(T20,'FS Data'!$A:$B,2,FALSE)</f>
        <v>0</v>
      </c>
      <c r="L20" s="194">
        <f>VLOOKUP(U20,'FS Data'!$A:$B,2,FALSE)/10</f>
        <v>0</v>
      </c>
      <c r="N20" s="220">
        <v>801612</v>
      </c>
      <c r="O20" s="220">
        <v>801614</v>
      </c>
      <c r="P20" s="220">
        <v>801616</v>
      </c>
      <c r="Q20" s="220">
        <v>801618</v>
      </c>
      <c r="R20" s="220">
        <v>801622</v>
      </c>
      <c r="S20" s="220">
        <v>801624</v>
      </c>
      <c r="T20" s="220">
        <v>801626</v>
      </c>
      <c r="U20" s="220">
        <v>801628</v>
      </c>
    </row>
    <row r="21" spans="2:21" ht="18.75" customHeight="1" thickBot="1" x14ac:dyDescent="0.3">
      <c r="B21" s="285">
        <v>17</v>
      </c>
      <c r="C21" s="619" t="s">
        <v>665</v>
      </c>
      <c r="D21" s="572"/>
      <c r="E21" s="148">
        <f>VLOOKUP(N21,'FS Data'!$A:$B,2,FALSE)</f>
        <v>10</v>
      </c>
      <c r="F21" s="148">
        <f>VLOOKUP(O21,'FS Data'!$A:$B,2,FALSE)</f>
        <v>3110</v>
      </c>
      <c r="G21" s="148">
        <f>VLOOKUP(P21,'FS Data'!$A:$B,2,FALSE)</f>
        <v>1223</v>
      </c>
      <c r="H21" s="196">
        <f>VLOOKUP(Q21,'FS Data'!$A:$B,2,FALSE)/10</f>
        <v>39.299999999999997</v>
      </c>
      <c r="I21" s="168">
        <f>VLOOKUP(R21,'FS Data'!$A:$B,2,FALSE)</f>
        <v>10</v>
      </c>
      <c r="J21" s="168">
        <f>VLOOKUP(S21,'FS Data'!$A:$B,2,FALSE)</f>
        <v>3110</v>
      </c>
      <c r="K21" s="168">
        <f>VLOOKUP(T21,'FS Data'!$A:$B,2,FALSE)</f>
        <v>1223</v>
      </c>
      <c r="L21" s="197">
        <f>VLOOKUP(U21,'FS Data'!$A:$B,2,FALSE)/10</f>
        <v>39.299999999999997</v>
      </c>
      <c r="N21" s="220">
        <v>801712</v>
      </c>
      <c r="O21" s="220">
        <v>801714</v>
      </c>
      <c r="P21" s="220">
        <v>801716</v>
      </c>
      <c r="Q21" s="220">
        <v>801718</v>
      </c>
      <c r="R21" s="220">
        <v>801722</v>
      </c>
      <c r="S21" s="220">
        <v>801724</v>
      </c>
      <c r="T21" s="220">
        <v>801726</v>
      </c>
      <c r="U21" s="220">
        <v>801728</v>
      </c>
    </row>
    <row r="22" spans="2:21" ht="18.75" customHeight="1" x14ac:dyDescent="0.25">
      <c r="B22" s="285">
        <v>18</v>
      </c>
      <c r="C22" s="388" t="s">
        <v>666</v>
      </c>
      <c r="D22" s="321" t="s">
        <v>124</v>
      </c>
      <c r="E22" s="20">
        <f>VLOOKUP(N22,'FS Data'!$A:$B,2,FALSE)</f>
        <v>21</v>
      </c>
      <c r="F22" s="20">
        <f>VLOOKUP(O22,'FS Data'!$A:$B,2,FALSE)</f>
        <v>12238</v>
      </c>
      <c r="G22" s="20">
        <f>VLOOKUP(P22,'FS Data'!$A:$B,2,FALSE)</f>
        <v>6968</v>
      </c>
      <c r="H22" s="177">
        <f>VLOOKUP(Q22,'FS Data'!$A:$B,2,FALSE)/10</f>
        <v>56.9</v>
      </c>
      <c r="I22" s="167">
        <f>VLOOKUP(R22,'FS Data'!$A:$B,2,FALSE)</f>
        <v>21</v>
      </c>
      <c r="J22" s="167">
        <f>VLOOKUP(S22,'FS Data'!$A:$B,2,FALSE)</f>
        <v>12238</v>
      </c>
      <c r="K22" s="167">
        <f>VLOOKUP(T22,'FS Data'!$A:$B,2,FALSE)</f>
        <v>6968</v>
      </c>
      <c r="L22" s="195">
        <f>VLOOKUP(U22,'FS Data'!$A:$B,2,FALSE)/10</f>
        <v>56.9</v>
      </c>
      <c r="N22" s="220">
        <v>801812</v>
      </c>
      <c r="O22" s="220">
        <v>801814</v>
      </c>
      <c r="P22" s="220">
        <v>801816</v>
      </c>
      <c r="Q22" s="220">
        <v>801818</v>
      </c>
      <c r="R22" s="220">
        <v>801822</v>
      </c>
      <c r="S22" s="220">
        <v>801824</v>
      </c>
      <c r="T22" s="220">
        <v>801826</v>
      </c>
      <c r="U22" s="220">
        <v>801828</v>
      </c>
    </row>
    <row r="23" spans="2:21" ht="21.6" customHeight="1" x14ac:dyDescent="0.25">
      <c r="B23" s="285">
        <v>19</v>
      </c>
      <c r="C23" s="388" t="s">
        <v>667</v>
      </c>
      <c r="D23" s="321" t="s">
        <v>125</v>
      </c>
      <c r="E23" s="114">
        <f>VLOOKUP(N23,'FS Data'!$A:$B,2,FALSE)</f>
        <v>21</v>
      </c>
      <c r="F23" s="114">
        <f>VLOOKUP(O23,'FS Data'!$A:$B,2,FALSE)</f>
        <v>6178</v>
      </c>
      <c r="G23" s="114">
        <f>VLOOKUP(P23,'FS Data'!$A:$B,2,FALSE)</f>
        <v>3691</v>
      </c>
      <c r="H23" s="191">
        <f>VLOOKUP(Q23,'FS Data'!$A:$B,2,FALSE)/10</f>
        <v>59.7</v>
      </c>
      <c r="I23" s="124">
        <f>VLOOKUP(R23,'FS Data'!$A:$B,2,FALSE)</f>
        <v>21</v>
      </c>
      <c r="J23" s="124">
        <f>VLOOKUP(S23,'FS Data'!$A:$B,2,FALSE)</f>
        <v>6178</v>
      </c>
      <c r="K23" s="124">
        <f>VLOOKUP(T23,'FS Data'!$A:$B,2,FALSE)</f>
        <v>3691</v>
      </c>
      <c r="L23" s="192">
        <f>VLOOKUP(U23,'FS Data'!$A:$B,2,FALSE)/10</f>
        <v>59.7</v>
      </c>
      <c r="N23" s="220">
        <v>801912</v>
      </c>
      <c r="O23" s="220">
        <v>801914</v>
      </c>
      <c r="P23" s="220">
        <v>801916</v>
      </c>
      <c r="Q23" s="220">
        <v>801918</v>
      </c>
      <c r="R23" s="220">
        <v>801922</v>
      </c>
      <c r="S23" s="220">
        <v>801924</v>
      </c>
      <c r="T23" s="220">
        <v>801926</v>
      </c>
      <c r="U23" s="220">
        <v>801928</v>
      </c>
    </row>
    <row r="24" spans="2:21" ht="18.75" customHeight="1" x14ac:dyDescent="0.25">
      <c r="B24" s="285">
        <v>20</v>
      </c>
      <c r="C24" s="388" t="s">
        <v>668</v>
      </c>
      <c r="D24" s="321" t="s">
        <v>174</v>
      </c>
      <c r="E24" s="114">
        <f>VLOOKUP(N24,'FS Data'!$A:$B,2,FALSE)</f>
        <v>3</v>
      </c>
      <c r="F24" s="114">
        <f>VLOOKUP(O24,'FS Data'!$A:$B,2,FALSE)</f>
        <v>1041</v>
      </c>
      <c r="G24" s="114">
        <f>VLOOKUP(P24,'FS Data'!$A:$B,2,FALSE)</f>
        <v>838</v>
      </c>
      <c r="H24" s="191">
        <f>VLOOKUP(Q24,'FS Data'!$A:$B,2,FALSE)/10</f>
        <v>80.5</v>
      </c>
      <c r="I24" s="124">
        <f>VLOOKUP(R24,'FS Data'!$A:$B,2,FALSE)</f>
        <v>3</v>
      </c>
      <c r="J24" s="124">
        <f>VLOOKUP(S24,'FS Data'!$A:$B,2,FALSE)</f>
        <v>1041</v>
      </c>
      <c r="K24" s="124">
        <f>VLOOKUP(T24,'FS Data'!$A:$B,2,FALSE)</f>
        <v>838</v>
      </c>
      <c r="L24" s="192">
        <f>VLOOKUP(U24,'FS Data'!$A:$B,2,FALSE)/10</f>
        <v>80.5</v>
      </c>
      <c r="N24" s="220">
        <v>802012</v>
      </c>
      <c r="O24" s="220">
        <v>802014</v>
      </c>
      <c r="P24" s="220">
        <v>802016</v>
      </c>
      <c r="Q24" s="220">
        <v>802018</v>
      </c>
      <c r="R24" s="220">
        <v>802022</v>
      </c>
      <c r="S24" s="220">
        <v>802024</v>
      </c>
      <c r="T24" s="220">
        <v>802026</v>
      </c>
      <c r="U24" s="220">
        <v>802028</v>
      </c>
    </row>
    <row r="25" spans="2:21" ht="18.75" customHeight="1" x14ac:dyDescent="0.25">
      <c r="B25" s="285">
        <v>21</v>
      </c>
      <c r="C25" s="388" t="s">
        <v>669</v>
      </c>
      <c r="D25" s="321" t="s">
        <v>126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4">
        <f>VLOOKUP(R25,'FS Data'!$A:$B,2,FALSE)</f>
        <v>0</v>
      </c>
      <c r="J25" s="124">
        <f>VLOOKUP(S25,'FS Data'!$A:$B,2,FALSE)</f>
        <v>0</v>
      </c>
      <c r="K25" s="124">
        <f>VLOOKUP(T25,'FS Data'!$A:$B,2,FALSE)</f>
        <v>0</v>
      </c>
      <c r="L25" s="192">
        <f>VLOOKUP(U25,'FS Data'!$A:$B,2,FALSE)/10</f>
        <v>0</v>
      </c>
      <c r="N25" s="220">
        <v>802112</v>
      </c>
      <c r="O25" s="220">
        <v>802114</v>
      </c>
      <c r="P25" s="220">
        <v>802116</v>
      </c>
      <c r="Q25" s="220">
        <v>802118</v>
      </c>
      <c r="R25" s="220">
        <v>802122</v>
      </c>
      <c r="S25" s="220">
        <v>802124</v>
      </c>
      <c r="T25" s="220">
        <v>802126</v>
      </c>
      <c r="U25" s="220">
        <v>802128</v>
      </c>
    </row>
    <row r="26" spans="2:21" ht="18.75" customHeight="1" thickBot="1" x14ac:dyDescent="0.3">
      <c r="B26" s="285">
        <v>22</v>
      </c>
      <c r="C26" s="388" t="s">
        <v>670</v>
      </c>
      <c r="D26" s="284" t="s">
        <v>127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66">
        <f>VLOOKUP(R26,'FS Data'!$A:$B,2,FALSE)</f>
        <v>0</v>
      </c>
      <c r="J26" s="166">
        <f>VLOOKUP(S26,'FS Data'!$A:$B,2,FALSE)</f>
        <v>0</v>
      </c>
      <c r="K26" s="166">
        <f>VLOOKUP(T26,'FS Data'!$A:$B,2,FALSE)</f>
        <v>0</v>
      </c>
      <c r="L26" s="194">
        <f>VLOOKUP(U26,'FS Data'!$A:$B,2,FALSE)/10</f>
        <v>0</v>
      </c>
      <c r="N26" s="220">
        <v>802212</v>
      </c>
      <c r="O26" s="220">
        <v>802214</v>
      </c>
      <c r="P26" s="220">
        <v>802216</v>
      </c>
      <c r="Q26" s="220">
        <v>802218</v>
      </c>
      <c r="R26" s="220">
        <v>802222</v>
      </c>
      <c r="S26" s="220">
        <v>802224</v>
      </c>
      <c r="T26" s="220">
        <v>802226</v>
      </c>
      <c r="U26" s="220">
        <v>802228</v>
      </c>
    </row>
    <row r="27" spans="2:21" ht="18.75" customHeight="1" thickBot="1" x14ac:dyDescent="0.3">
      <c r="B27" s="285">
        <v>23</v>
      </c>
      <c r="C27" s="350" t="s">
        <v>671</v>
      </c>
      <c r="D27" s="388"/>
      <c r="E27" s="148">
        <f>VLOOKUP(N27,'FS Data'!$A:$B,2,FALSE)</f>
        <v>45</v>
      </c>
      <c r="F27" s="148">
        <f>VLOOKUP(O27,'FS Data'!$A:$B,2,FALSE)</f>
        <v>19457</v>
      </c>
      <c r="G27" s="148">
        <f>VLOOKUP(P27,'FS Data'!$A:$B,2,FALSE)</f>
        <v>11497</v>
      </c>
      <c r="H27" s="196">
        <f>VLOOKUP(Q27,'FS Data'!$A:$B,2,FALSE)/10</f>
        <v>59.1</v>
      </c>
      <c r="I27" s="168">
        <f>VLOOKUP(R27,'FS Data'!$A:$B,2,FALSE)</f>
        <v>45</v>
      </c>
      <c r="J27" s="168">
        <f>VLOOKUP(S27,'FS Data'!$A:$B,2,FALSE)</f>
        <v>19457</v>
      </c>
      <c r="K27" s="168">
        <f>VLOOKUP(T27,'FS Data'!$A:$B,2,FALSE)</f>
        <v>11497</v>
      </c>
      <c r="L27" s="197">
        <f>VLOOKUP(U27,'FS Data'!$A:$B,2,FALSE)/10</f>
        <v>59.1</v>
      </c>
      <c r="N27" s="220">
        <v>802312</v>
      </c>
      <c r="O27" s="220">
        <v>802314</v>
      </c>
      <c r="P27" s="220">
        <v>802316</v>
      </c>
      <c r="Q27" s="220">
        <v>802318</v>
      </c>
      <c r="R27" s="220">
        <v>802322</v>
      </c>
      <c r="S27" s="220">
        <v>802324</v>
      </c>
      <c r="T27" s="220">
        <v>802326</v>
      </c>
      <c r="U27" s="220">
        <v>802328</v>
      </c>
    </row>
    <row r="28" spans="2:21" ht="21.6" customHeight="1" x14ac:dyDescent="0.25">
      <c r="B28" s="285">
        <v>24</v>
      </c>
      <c r="C28" s="388" t="s">
        <v>672</v>
      </c>
      <c r="D28" s="321" t="s">
        <v>128</v>
      </c>
      <c r="E28" s="20">
        <f>VLOOKUP(N28,'FS Data'!$A:$B,2,FALSE)</f>
        <v>33</v>
      </c>
      <c r="F28" s="20">
        <f>VLOOKUP(O28,'FS Data'!$A:$B,2,FALSE)</f>
        <v>9614</v>
      </c>
      <c r="G28" s="20">
        <f>VLOOKUP(P28,'FS Data'!$A:$B,2,FALSE)</f>
        <v>6390</v>
      </c>
      <c r="H28" s="177">
        <f>VLOOKUP(Q28,'FS Data'!$A:$B,2,FALSE)/10</f>
        <v>66.5</v>
      </c>
      <c r="I28" s="167">
        <f>VLOOKUP(R28,'FS Data'!$A:$B,2,FALSE)</f>
        <v>33</v>
      </c>
      <c r="J28" s="167">
        <f>VLOOKUP(S28,'FS Data'!$A:$B,2,FALSE)</f>
        <v>9614</v>
      </c>
      <c r="K28" s="167">
        <f>VLOOKUP(T28,'FS Data'!$A:$B,2,FALSE)</f>
        <v>6390</v>
      </c>
      <c r="L28" s="195">
        <f>VLOOKUP(U28,'FS Data'!$A:$B,2,FALSE)/10</f>
        <v>66.5</v>
      </c>
      <c r="N28" s="220">
        <v>802412</v>
      </c>
      <c r="O28" s="220">
        <v>802414</v>
      </c>
      <c r="P28" s="220">
        <v>802416</v>
      </c>
      <c r="Q28" s="220">
        <v>802418</v>
      </c>
      <c r="R28" s="220">
        <v>802422</v>
      </c>
      <c r="S28" s="220">
        <v>802424</v>
      </c>
      <c r="T28" s="220">
        <v>802426</v>
      </c>
      <c r="U28" s="220">
        <v>802428</v>
      </c>
    </row>
    <row r="29" spans="2:21" ht="18.75" customHeight="1" x14ac:dyDescent="0.25">
      <c r="B29" s="285">
        <v>25</v>
      </c>
      <c r="C29" s="388" t="s">
        <v>673</v>
      </c>
      <c r="D29" s="321" t="s">
        <v>155</v>
      </c>
      <c r="E29" s="114">
        <f>VLOOKUP(N29,'FS Data'!$A:$B,2,FALSE)</f>
        <v>35</v>
      </c>
      <c r="F29" s="114">
        <f>VLOOKUP(O29,'FS Data'!$A:$B,2,FALSE)</f>
        <v>12377</v>
      </c>
      <c r="G29" s="114">
        <f>VLOOKUP(P29,'FS Data'!$A:$B,2,FALSE)</f>
        <v>7140</v>
      </c>
      <c r="H29" s="191">
        <f>VLOOKUP(Q29,'FS Data'!$A:$B,2,FALSE)/10</f>
        <v>57.7</v>
      </c>
      <c r="I29" s="124">
        <f>VLOOKUP(R29,'FS Data'!$A:$B,2,FALSE)</f>
        <v>35</v>
      </c>
      <c r="J29" s="124">
        <f>VLOOKUP(S29,'FS Data'!$A:$B,2,FALSE)</f>
        <v>12377</v>
      </c>
      <c r="K29" s="124">
        <f>VLOOKUP(T29,'FS Data'!$A:$B,2,FALSE)</f>
        <v>7140</v>
      </c>
      <c r="L29" s="192">
        <f>VLOOKUP(U29,'FS Data'!$A:$B,2,FALSE)/10</f>
        <v>57.7</v>
      </c>
      <c r="N29" s="220">
        <v>802512</v>
      </c>
      <c r="O29" s="220">
        <v>802514</v>
      </c>
      <c r="P29" s="220">
        <v>802516</v>
      </c>
      <c r="Q29" s="220">
        <v>802518</v>
      </c>
      <c r="R29" s="220">
        <v>802522</v>
      </c>
      <c r="S29" s="220">
        <v>802524</v>
      </c>
      <c r="T29" s="220">
        <v>802526</v>
      </c>
      <c r="U29" s="220">
        <v>802528</v>
      </c>
    </row>
    <row r="30" spans="2:21" ht="18.75" customHeight="1" x14ac:dyDescent="0.25">
      <c r="B30" s="285">
        <v>26</v>
      </c>
      <c r="C30" s="388" t="s">
        <v>674</v>
      </c>
      <c r="D30" s="321" t="s">
        <v>175</v>
      </c>
      <c r="E30" s="114">
        <f>VLOOKUP(N30,'FS Data'!$A:$B,2,FALSE)</f>
        <v>11</v>
      </c>
      <c r="F30" s="114">
        <f>VLOOKUP(O30,'FS Data'!$A:$B,2,FALSE)</f>
        <v>2875</v>
      </c>
      <c r="G30" s="114">
        <f>VLOOKUP(P30,'FS Data'!$A:$B,2,FALSE)</f>
        <v>1938</v>
      </c>
      <c r="H30" s="191">
        <f>VLOOKUP(Q30,'FS Data'!$A:$B,2,FALSE)/10</f>
        <v>67.400000000000006</v>
      </c>
      <c r="I30" s="124">
        <f>VLOOKUP(R30,'FS Data'!$A:$B,2,FALSE)</f>
        <v>11</v>
      </c>
      <c r="J30" s="124">
        <f>VLOOKUP(S30,'FS Data'!$A:$B,2,FALSE)</f>
        <v>2875</v>
      </c>
      <c r="K30" s="124">
        <f>VLOOKUP(T30,'FS Data'!$A:$B,2,FALSE)</f>
        <v>1938</v>
      </c>
      <c r="L30" s="192">
        <f>VLOOKUP(U30,'FS Data'!$A:$B,2,FALSE)/10</f>
        <v>67.400000000000006</v>
      </c>
      <c r="N30" s="220">
        <v>802612</v>
      </c>
      <c r="O30" s="220">
        <v>802614</v>
      </c>
      <c r="P30" s="220">
        <v>802616</v>
      </c>
      <c r="Q30" s="220">
        <v>802618</v>
      </c>
      <c r="R30" s="220">
        <v>802622</v>
      </c>
      <c r="S30" s="220">
        <v>802624</v>
      </c>
      <c r="T30" s="220">
        <v>802626</v>
      </c>
      <c r="U30" s="220">
        <v>802628</v>
      </c>
    </row>
    <row r="31" spans="2:21" ht="18.75" customHeight="1" x14ac:dyDescent="0.25">
      <c r="B31" s="285">
        <v>27</v>
      </c>
      <c r="C31" s="388" t="s">
        <v>675</v>
      </c>
      <c r="D31" s="321" t="s">
        <v>156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4">
        <f>VLOOKUP(R31,'FS Data'!$A:$B,2,FALSE)</f>
        <v>0</v>
      </c>
      <c r="J31" s="124">
        <f>VLOOKUP(S31,'FS Data'!$A:$B,2,FALSE)</f>
        <v>0</v>
      </c>
      <c r="K31" s="124">
        <f>VLOOKUP(T31,'FS Data'!$A:$B,2,FALSE)</f>
        <v>0</v>
      </c>
      <c r="L31" s="192">
        <f>VLOOKUP(U31,'FS Data'!$A:$B,2,FALSE)/10</f>
        <v>0</v>
      </c>
      <c r="N31" s="220">
        <v>802712</v>
      </c>
      <c r="O31" s="220">
        <v>802714</v>
      </c>
      <c r="P31" s="220">
        <v>802716</v>
      </c>
      <c r="Q31" s="220">
        <v>802718</v>
      </c>
      <c r="R31" s="220">
        <v>802722</v>
      </c>
      <c r="S31" s="220">
        <v>802724</v>
      </c>
      <c r="T31" s="220">
        <v>802726</v>
      </c>
      <c r="U31" s="220">
        <v>802728</v>
      </c>
    </row>
    <row r="32" spans="2:21" ht="18.75" customHeight="1" thickBot="1" x14ac:dyDescent="0.3">
      <c r="B32" s="285">
        <v>28</v>
      </c>
      <c r="C32" s="388" t="s">
        <v>676</v>
      </c>
      <c r="D32" s="284" t="s">
        <v>2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66">
        <f>VLOOKUP(R32,'FS Data'!$A:$B,2,FALSE)</f>
        <v>0</v>
      </c>
      <c r="J32" s="166">
        <f>VLOOKUP(S32,'FS Data'!$A:$B,2,FALSE)</f>
        <v>0</v>
      </c>
      <c r="K32" s="166">
        <f>VLOOKUP(T32,'FS Data'!$A:$B,2,FALSE)</f>
        <v>0</v>
      </c>
      <c r="L32" s="194">
        <f>VLOOKUP(U32,'FS Data'!$A:$B,2,FALSE)/10</f>
        <v>0</v>
      </c>
      <c r="N32" s="220">
        <v>802812</v>
      </c>
      <c r="O32" s="220">
        <v>802814</v>
      </c>
      <c r="P32" s="220">
        <v>802816</v>
      </c>
      <c r="Q32" s="220">
        <v>802818</v>
      </c>
      <c r="R32" s="220">
        <v>802822</v>
      </c>
      <c r="S32" s="220">
        <v>802824</v>
      </c>
      <c r="T32" s="220">
        <v>802826</v>
      </c>
      <c r="U32" s="220">
        <v>802828</v>
      </c>
    </row>
    <row r="33" spans="2:21" ht="18.75" customHeight="1" thickBot="1" x14ac:dyDescent="0.3">
      <c r="B33" s="285">
        <v>29</v>
      </c>
      <c r="C33" s="619" t="s">
        <v>677</v>
      </c>
      <c r="D33" s="572"/>
      <c r="E33" s="148">
        <f>VLOOKUP(N33,'FS Data'!$A:$B,2,FALSE)</f>
        <v>79</v>
      </c>
      <c r="F33" s="148">
        <f>VLOOKUP(O33,'FS Data'!$A:$B,2,FALSE)</f>
        <v>24866</v>
      </c>
      <c r="G33" s="148">
        <f>VLOOKUP(P33,'FS Data'!$A:$B,2,FALSE)</f>
        <v>15468</v>
      </c>
      <c r="H33" s="196">
        <f>VLOOKUP(Q33,'FS Data'!$A:$B,2,FALSE)/10</f>
        <v>62.2</v>
      </c>
      <c r="I33" s="168">
        <f>VLOOKUP(R33,'FS Data'!$A:$B,2,FALSE)</f>
        <v>79</v>
      </c>
      <c r="J33" s="168">
        <f>VLOOKUP(S33,'FS Data'!$A:$B,2,FALSE)</f>
        <v>24866</v>
      </c>
      <c r="K33" s="168">
        <f>VLOOKUP(T33,'FS Data'!$A:$B,2,FALSE)</f>
        <v>15468</v>
      </c>
      <c r="L33" s="197">
        <f>VLOOKUP(U33,'FS Data'!$A:$B,2,FALSE)/10</f>
        <v>62.2</v>
      </c>
      <c r="N33" s="220">
        <v>802912</v>
      </c>
      <c r="O33" s="220">
        <v>802914</v>
      </c>
      <c r="P33" s="220">
        <v>802916</v>
      </c>
      <c r="Q33" s="220">
        <v>802918</v>
      </c>
      <c r="R33" s="220">
        <v>802922</v>
      </c>
      <c r="S33" s="220">
        <v>802924</v>
      </c>
      <c r="T33" s="220">
        <v>802926</v>
      </c>
      <c r="U33" s="220">
        <v>802928</v>
      </c>
    </row>
    <row r="34" spans="2:21" ht="21.6" customHeight="1" x14ac:dyDescent="0.25">
      <c r="B34" s="285">
        <v>30</v>
      </c>
      <c r="C34" s="409" t="s">
        <v>678</v>
      </c>
      <c r="D34" s="32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67">
        <f>VLOOKUP(R34,'FS Data'!$A:$B,2,FALSE)</f>
        <v>0</v>
      </c>
      <c r="J34" s="167">
        <f>VLOOKUP(S34,'FS Data'!$A:$B,2,FALSE)</f>
        <v>0</v>
      </c>
      <c r="K34" s="167">
        <f>VLOOKUP(T34,'FS Data'!$A:$B,2,FALSE)</f>
        <v>0</v>
      </c>
      <c r="L34" s="195">
        <f>VLOOKUP(U34,'FS Data'!$A:$B,2,FALSE)/10</f>
        <v>0</v>
      </c>
      <c r="N34" s="220">
        <v>803012</v>
      </c>
      <c r="O34" s="220">
        <v>803014</v>
      </c>
      <c r="P34" s="220">
        <v>803016</v>
      </c>
      <c r="Q34" s="220">
        <v>803018</v>
      </c>
      <c r="R34" s="220">
        <v>803022</v>
      </c>
      <c r="S34" s="220">
        <v>803024</v>
      </c>
      <c r="T34" s="220">
        <v>803026</v>
      </c>
      <c r="U34" s="220">
        <v>803028</v>
      </c>
    </row>
    <row r="35" spans="2:21" ht="18.75" customHeight="1" x14ac:dyDescent="0.25">
      <c r="B35" s="285">
        <v>31</v>
      </c>
      <c r="C35" s="388" t="s">
        <v>679</v>
      </c>
      <c r="D35" s="321" t="s">
        <v>8</v>
      </c>
      <c r="E35" s="20">
        <f>VLOOKUP(N35,'FS Data'!$A:$B,2,FALSE)</f>
        <v>13</v>
      </c>
      <c r="F35" s="20">
        <f>VLOOKUP(O35,'FS Data'!$A:$B,2,FALSE)</f>
        <v>2399</v>
      </c>
      <c r="G35" s="115">
        <f>VLOOKUP(P35,'FS Data'!$A:$B,2,FALSE)</f>
        <v>956</v>
      </c>
      <c r="H35" s="177">
        <f>VLOOKUP(Q35,'FS Data'!$A:$B,2,FALSE)/10</f>
        <v>39.799999999999997</v>
      </c>
      <c r="I35" s="167">
        <f>VLOOKUP(R35,'FS Data'!$A:$B,2,FALSE)</f>
        <v>13</v>
      </c>
      <c r="J35" s="167">
        <f>VLOOKUP(S35,'FS Data'!$A:$B,2,FALSE)</f>
        <v>2399</v>
      </c>
      <c r="K35" s="230">
        <f>VLOOKUP(T35,'FS Data'!$A:$B,2,FALSE)</f>
        <v>956</v>
      </c>
      <c r="L35" s="195">
        <f>VLOOKUP(U35,'FS Data'!$A:$B,2,FALSE)/10</f>
        <v>39.799999999999997</v>
      </c>
      <c r="N35" s="220">
        <v>803112</v>
      </c>
      <c r="O35" s="220">
        <v>803114</v>
      </c>
      <c r="P35" s="220">
        <v>803116</v>
      </c>
      <c r="Q35" s="220">
        <v>803118</v>
      </c>
      <c r="R35" s="220">
        <v>803122</v>
      </c>
      <c r="S35" s="220">
        <v>803124</v>
      </c>
      <c r="T35" s="220">
        <v>803126</v>
      </c>
      <c r="U35" s="220">
        <v>803128</v>
      </c>
    </row>
    <row r="36" spans="2:21" ht="27.75" customHeight="1" x14ac:dyDescent="0.25">
      <c r="B36" s="285">
        <v>32</v>
      </c>
      <c r="C36" s="388" t="s">
        <v>680</v>
      </c>
      <c r="D36" s="321" t="s">
        <v>4</v>
      </c>
      <c r="E36" s="58"/>
      <c r="F36" s="90"/>
      <c r="G36" s="115">
        <f>VLOOKUP(P36,'FS Data'!$A:$B,2,FALSE)</f>
        <v>567</v>
      </c>
      <c r="H36" s="58"/>
      <c r="I36" s="82"/>
      <c r="J36" s="91"/>
      <c r="K36" s="230">
        <f>VLOOKUP(T36,'FS Data'!$A:$B,2,FALSE)</f>
        <v>567</v>
      </c>
      <c r="L36" s="107"/>
      <c r="N36" s="220">
        <v>803212</v>
      </c>
      <c r="O36" s="220">
        <v>803214</v>
      </c>
      <c r="P36" s="220">
        <v>803216</v>
      </c>
      <c r="Q36" s="220">
        <v>803218</v>
      </c>
      <c r="R36" s="220">
        <v>803222</v>
      </c>
      <c r="S36" s="220">
        <v>803224</v>
      </c>
      <c r="T36" s="220">
        <v>803226</v>
      </c>
      <c r="U36" s="220">
        <v>803228</v>
      </c>
    </row>
    <row r="37" spans="2:21" ht="21.6" customHeight="1" x14ac:dyDescent="0.25">
      <c r="B37" s="285">
        <v>33</v>
      </c>
      <c r="C37" s="388" t="s">
        <v>681</v>
      </c>
      <c r="D37" s="321" t="s">
        <v>5</v>
      </c>
      <c r="E37" s="58"/>
      <c r="F37" s="90"/>
      <c r="G37" s="115">
        <f>VLOOKUP(P37,'FS Data'!$A:$B,2,FALSE)</f>
        <v>378</v>
      </c>
      <c r="H37" s="58"/>
      <c r="I37" s="82"/>
      <c r="J37" s="91"/>
      <c r="K37" s="230">
        <f>VLOOKUP(T37,'FS Data'!$A:$B,2,FALSE)</f>
        <v>378</v>
      </c>
      <c r="L37" s="107"/>
      <c r="N37" s="220">
        <v>803312</v>
      </c>
      <c r="O37" s="220">
        <v>803314</v>
      </c>
      <c r="P37" s="220">
        <v>803316</v>
      </c>
      <c r="Q37" s="220">
        <v>803318</v>
      </c>
      <c r="R37" s="220">
        <v>803322</v>
      </c>
      <c r="S37" s="220">
        <v>803324</v>
      </c>
      <c r="T37" s="220">
        <v>803326</v>
      </c>
      <c r="U37" s="220">
        <v>803328</v>
      </c>
    </row>
    <row r="38" spans="2:21" ht="21.6" customHeight="1" x14ac:dyDescent="0.25">
      <c r="B38" s="285">
        <v>34</v>
      </c>
      <c r="C38" s="388" t="s">
        <v>682</v>
      </c>
      <c r="D38" s="321" t="s">
        <v>176</v>
      </c>
      <c r="E38" s="58"/>
      <c r="F38" s="90"/>
      <c r="G38" s="115">
        <f>VLOOKUP(P38,'FS Data'!$A:$B,2,FALSE)</f>
        <v>0</v>
      </c>
      <c r="H38" s="58"/>
      <c r="I38" s="82"/>
      <c r="J38" s="91"/>
      <c r="K38" s="230">
        <f>VLOOKUP(T38,'FS Data'!$A:$B,2,FALSE)</f>
        <v>0</v>
      </c>
      <c r="L38" s="107"/>
      <c r="N38" s="220">
        <v>803412</v>
      </c>
      <c r="O38" s="220">
        <v>803414</v>
      </c>
      <c r="P38" s="220">
        <v>803416</v>
      </c>
      <c r="Q38" s="220">
        <v>803418</v>
      </c>
      <c r="R38" s="220">
        <v>803422</v>
      </c>
      <c r="S38" s="220">
        <v>803424</v>
      </c>
      <c r="T38" s="220">
        <v>803426</v>
      </c>
      <c r="U38" s="220">
        <v>803428</v>
      </c>
    </row>
    <row r="39" spans="2:21" ht="21.6" customHeight="1" x14ac:dyDescent="0.25">
      <c r="B39" s="285">
        <v>35</v>
      </c>
      <c r="C39" s="388" t="s">
        <v>683</v>
      </c>
      <c r="D39" s="321" t="s">
        <v>6</v>
      </c>
      <c r="E39" s="58"/>
      <c r="F39" s="90"/>
      <c r="G39" s="115">
        <f>VLOOKUP(P39,'FS Data'!$A:$B,2,FALSE)</f>
        <v>0</v>
      </c>
      <c r="H39" s="58"/>
      <c r="I39" s="82"/>
      <c r="J39" s="82"/>
      <c r="K39" s="230">
        <f>VLOOKUP(T39,'FS Data'!$A:$B,2,FALSE)</f>
        <v>0</v>
      </c>
      <c r="L39" s="107"/>
      <c r="N39" s="220">
        <v>803512</v>
      </c>
      <c r="O39" s="220">
        <v>803514</v>
      </c>
      <c r="P39" s="220">
        <v>803516</v>
      </c>
      <c r="Q39" s="220">
        <v>803518</v>
      </c>
      <c r="R39" s="220">
        <v>803522</v>
      </c>
      <c r="S39" s="220">
        <v>803524</v>
      </c>
      <c r="T39" s="220">
        <v>803526</v>
      </c>
      <c r="U39" s="220">
        <v>803528</v>
      </c>
    </row>
    <row r="40" spans="2:21" ht="21.6" customHeight="1" thickBot="1" x14ac:dyDescent="0.3">
      <c r="B40" s="285">
        <v>36</v>
      </c>
      <c r="C40" s="388" t="s">
        <v>684</v>
      </c>
      <c r="D40" s="284" t="s">
        <v>7</v>
      </c>
      <c r="E40" s="58"/>
      <c r="F40" s="90"/>
      <c r="G40" s="115">
        <f>VLOOKUP(P40,'FS Data'!$A:$B,2,FALSE)</f>
        <v>0</v>
      </c>
      <c r="H40" s="58"/>
      <c r="I40" s="90"/>
      <c r="J40" s="90"/>
      <c r="K40" s="230">
        <f>VLOOKUP(T40,'FS Data'!$A:$B,2,FALSE)</f>
        <v>0</v>
      </c>
      <c r="L40" s="92"/>
      <c r="N40" s="220">
        <v>803612</v>
      </c>
      <c r="O40" s="220">
        <v>803614</v>
      </c>
      <c r="P40" s="220">
        <v>803616</v>
      </c>
      <c r="Q40" s="220">
        <v>803618</v>
      </c>
      <c r="R40" s="220">
        <v>803622</v>
      </c>
      <c r="S40" s="220">
        <v>803624</v>
      </c>
      <c r="T40" s="220">
        <v>803626</v>
      </c>
      <c r="U40" s="220">
        <v>803628</v>
      </c>
    </row>
    <row r="41" spans="2:21" ht="12.75" thickBot="1" x14ac:dyDescent="0.3">
      <c r="B41" s="285">
        <v>37</v>
      </c>
      <c r="C41" s="350" t="s">
        <v>685</v>
      </c>
      <c r="D41" s="319"/>
      <c r="E41" s="58"/>
      <c r="F41" s="90"/>
      <c r="G41" s="225">
        <f>VLOOKUP(P41,'FS Data'!$A:$B,2,FALSE)</f>
        <v>945</v>
      </c>
      <c r="H41" s="58"/>
      <c r="I41" s="90"/>
      <c r="J41" s="90"/>
      <c r="K41" s="168">
        <f>VLOOKUP(T41,'FS Data'!$A:$B,2,FALSE)</f>
        <v>945</v>
      </c>
      <c r="L41" s="92"/>
      <c r="N41" s="220">
        <v>803712</v>
      </c>
      <c r="O41" s="220">
        <v>803714</v>
      </c>
      <c r="P41" s="220">
        <v>803716</v>
      </c>
      <c r="Q41" s="220">
        <v>803718</v>
      </c>
      <c r="R41" s="220">
        <v>803722</v>
      </c>
      <c r="S41" s="220">
        <v>803724</v>
      </c>
      <c r="T41" s="220">
        <v>803726</v>
      </c>
      <c r="U41" s="220">
        <v>803728</v>
      </c>
    </row>
    <row r="42" spans="2:21" ht="23.25" customHeight="1" thickBot="1" x14ac:dyDescent="0.3">
      <c r="B42" s="285">
        <v>38</v>
      </c>
      <c r="C42" s="619" t="s">
        <v>686</v>
      </c>
      <c r="D42" s="321" t="s">
        <v>209</v>
      </c>
      <c r="E42" s="58"/>
      <c r="F42" s="90"/>
      <c r="G42" s="148">
        <f>VLOOKUP(P42,'FS Data'!$A:$B,2,FALSE)</f>
        <v>0</v>
      </c>
      <c r="H42" s="58"/>
      <c r="I42" s="90"/>
      <c r="J42" s="90"/>
      <c r="K42" s="168">
        <f>VLOOKUP(T42,'FS Data'!$A:$B,2,FALSE)</f>
        <v>0</v>
      </c>
      <c r="L42" s="92"/>
      <c r="N42" s="220">
        <v>803812</v>
      </c>
      <c r="O42" s="220">
        <v>803814</v>
      </c>
      <c r="P42" s="220">
        <v>803816</v>
      </c>
      <c r="Q42" s="220">
        <v>803818</v>
      </c>
      <c r="R42" s="220">
        <v>803822</v>
      </c>
      <c r="S42" s="220">
        <v>803824</v>
      </c>
      <c r="T42" s="220">
        <v>803826</v>
      </c>
      <c r="U42" s="220">
        <v>803828</v>
      </c>
    </row>
    <row r="43" spans="2:21" ht="12.75" thickBot="1" x14ac:dyDescent="0.3">
      <c r="B43" s="285">
        <v>39</v>
      </c>
      <c r="C43" s="619" t="s">
        <v>687</v>
      </c>
      <c r="D43" s="321" t="s">
        <v>210</v>
      </c>
      <c r="E43" s="169"/>
      <c r="F43" s="90"/>
      <c r="G43" s="148">
        <f>VLOOKUP(P43,'FS Data'!$A:$B,2,FALSE)</f>
        <v>0</v>
      </c>
      <c r="H43" s="58"/>
      <c r="I43" s="90"/>
      <c r="J43" s="90"/>
      <c r="K43" s="168">
        <f>VLOOKUP(T43,'FS Data'!$A:$B,2,FALSE)</f>
        <v>0</v>
      </c>
      <c r="L43" s="92"/>
      <c r="M43" s="257"/>
      <c r="N43" s="220">
        <v>803912</v>
      </c>
      <c r="O43" s="220">
        <v>803914</v>
      </c>
      <c r="P43" s="220">
        <v>803916</v>
      </c>
      <c r="Q43" s="220">
        <v>803918</v>
      </c>
      <c r="R43" s="220">
        <v>803922</v>
      </c>
      <c r="S43" s="220">
        <v>803924</v>
      </c>
      <c r="T43" s="220">
        <v>803926</v>
      </c>
      <c r="U43" s="220">
        <v>803928</v>
      </c>
    </row>
    <row r="44" spans="2:21" ht="27.75" customHeight="1" thickBot="1" x14ac:dyDescent="0.3">
      <c r="B44" s="285">
        <v>40</v>
      </c>
      <c r="C44" s="808" t="s">
        <v>228</v>
      </c>
      <c r="D44" s="777"/>
      <c r="E44" s="148">
        <f>VLOOKUP(N44,'FS Data'!$A:$B,2,FALSE)</f>
        <v>298</v>
      </c>
      <c r="F44" s="148">
        <f>VLOOKUP(O44,'FS Data'!$A:$B,2,FALSE)</f>
        <v>97328</v>
      </c>
      <c r="G44" s="148">
        <f>VLOOKUP(P44,'FS Data'!$A:$B,2,FALSE)</f>
        <v>65770</v>
      </c>
      <c r="H44" s="196">
        <f>VLOOKUP(Q44,'FS Data'!$A:$B,2,FALSE)/10</f>
        <v>67.599999999999994</v>
      </c>
      <c r="I44" s="168">
        <f>VLOOKUP(R44,'FS Data'!$A:$B,2,FALSE)</f>
        <v>298</v>
      </c>
      <c r="J44" s="168">
        <f>VLOOKUP(S44,'FS Data'!$A:$B,2,FALSE)</f>
        <v>97328</v>
      </c>
      <c r="K44" s="168">
        <f>VLOOKUP(T44,'FS Data'!$A:$B,2,FALSE)</f>
        <v>65770</v>
      </c>
      <c r="L44" s="197">
        <f>VLOOKUP(U44,'FS Data'!$A:$B,2,FALSE)/10</f>
        <v>67.599999999999994</v>
      </c>
      <c r="M44" s="257"/>
      <c r="N44" s="220">
        <v>804012</v>
      </c>
      <c r="O44" s="220">
        <v>804014</v>
      </c>
      <c r="P44" s="220">
        <v>804016</v>
      </c>
      <c r="Q44" s="220">
        <v>804018</v>
      </c>
      <c r="R44" s="220">
        <v>804022</v>
      </c>
      <c r="S44" s="220">
        <v>804024</v>
      </c>
      <c r="T44" s="220">
        <v>804026</v>
      </c>
      <c r="U44" s="220">
        <v>804028</v>
      </c>
    </row>
    <row r="45" spans="2:21" ht="12.75" thickBot="1" x14ac:dyDescent="0.3">
      <c r="B45" s="285">
        <v>41</v>
      </c>
      <c r="C45" s="389"/>
      <c r="D45" s="390"/>
      <c r="E45" s="256"/>
      <c r="F45" s="255"/>
      <c r="G45" s="256"/>
      <c r="H45" s="255"/>
      <c r="I45" s="256"/>
      <c r="J45" s="255"/>
      <c r="K45" s="256"/>
      <c r="L45" s="255"/>
      <c r="M45" s="257"/>
      <c r="N45" s="220">
        <v>804112</v>
      </c>
      <c r="O45" s="220">
        <v>804114</v>
      </c>
      <c r="P45" s="220">
        <v>804116</v>
      </c>
      <c r="Q45" s="220">
        <v>804118</v>
      </c>
      <c r="R45" s="220">
        <v>804122</v>
      </c>
      <c r="S45" s="220">
        <v>804124</v>
      </c>
      <c r="T45" s="220">
        <v>804126</v>
      </c>
      <c r="U45" s="220">
        <v>804128</v>
      </c>
    </row>
    <row r="46" spans="2:21" ht="12.75" thickBot="1" x14ac:dyDescent="0.3">
      <c r="B46" s="285">
        <v>42</v>
      </c>
      <c r="C46" s="391" t="s">
        <v>688</v>
      </c>
      <c r="D46" s="392"/>
      <c r="E46" s="148">
        <f>VLOOKUP(N46,'FS Data'!$A:$B,2,FALSE)</f>
        <v>131</v>
      </c>
      <c r="F46" s="148">
        <f>VLOOKUP(O46,'FS Data'!$A:$B,2,FALSE)</f>
        <v>47249</v>
      </c>
      <c r="G46" s="148">
        <f>VLOOKUP(P46,'FS Data'!$A:$B,2,FALSE)</f>
        <v>31462</v>
      </c>
      <c r="H46" s="196">
        <f>VLOOKUP(Q46,'FS Data'!$A:$B,2,FALSE)/10</f>
        <v>66.599999999999994</v>
      </c>
      <c r="I46" s="168">
        <f>VLOOKUP(R46,'FS Data'!$A:$B,2,FALSE)</f>
        <v>131</v>
      </c>
      <c r="J46" s="168">
        <f>VLOOKUP(S46,'FS Data'!$A:$B,2,FALSE)</f>
        <v>47249</v>
      </c>
      <c r="K46" s="168">
        <f>VLOOKUP(T46,'FS Data'!$A:$B,2,FALSE)</f>
        <v>31462</v>
      </c>
      <c r="L46" s="197">
        <f>VLOOKUP(U46,'FS Data'!$A:$B,2,FALSE)/10</f>
        <v>66.599999999999994</v>
      </c>
      <c r="M46" s="257"/>
      <c r="N46" s="220">
        <v>804212</v>
      </c>
      <c r="O46" s="220">
        <v>804214</v>
      </c>
      <c r="P46" s="220">
        <v>804216</v>
      </c>
      <c r="Q46" s="220">
        <v>804218</v>
      </c>
      <c r="R46" s="220">
        <v>804222</v>
      </c>
      <c r="S46" s="220">
        <v>804224</v>
      </c>
      <c r="T46" s="220">
        <v>804226</v>
      </c>
      <c r="U46" s="220">
        <v>804228</v>
      </c>
    </row>
    <row r="47" spans="2:21" ht="15.75" thickBot="1" x14ac:dyDescent="0.3">
      <c r="B47" s="285">
        <v>43</v>
      </c>
      <c r="C47" s="698" t="s">
        <v>689</v>
      </c>
      <c r="D47" s="393"/>
      <c r="E47" s="148">
        <f>VLOOKUP(N47,'FS Data'!$A:$B,2,FALSE)</f>
        <v>146</v>
      </c>
      <c r="F47" s="148">
        <f>VLOOKUP(O47,'FS Data'!$A:$B,2,FALSE)</f>
        <v>44142</v>
      </c>
      <c r="G47" s="148">
        <f>VLOOKUP(P47,'FS Data'!$A:$B,2,FALSE)</f>
        <v>29907</v>
      </c>
      <c r="H47" s="196">
        <f>VLOOKUP(Q47,'FS Data'!$A:$B,2,FALSE)/10</f>
        <v>67.8</v>
      </c>
      <c r="I47" s="168">
        <f>VLOOKUP(R47,'FS Data'!$A:$B,2,FALSE)</f>
        <v>146</v>
      </c>
      <c r="J47" s="168">
        <f>VLOOKUP(S47,'FS Data'!$A:$B,2,FALSE)</f>
        <v>44142</v>
      </c>
      <c r="K47" s="168">
        <f>VLOOKUP(T47,'FS Data'!$A:$B,2,FALSE)</f>
        <v>29907</v>
      </c>
      <c r="L47" s="197">
        <f>VLOOKUP(U47,'FS Data'!$A:$B,2,FALSE)/10</f>
        <v>67.8</v>
      </c>
      <c r="M47" s="257"/>
      <c r="N47" s="220">
        <v>804312</v>
      </c>
      <c r="O47" s="220">
        <v>804314</v>
      </c>
      <c r="P47" s="220">
        <v>804316</v>
      </c>
      <c r="Q47" s="220">
        <v>804318</v>
      </c>
      <c r="R47" s="220">
        <v>804322</v>
      </c>
      <c r="S47" s="220">
        <v>804324</v>
      </c>
      <c r="T47" s="220">
        <v>804326</v>
      </c>
      <c r="U47" s="220">
        <v>804328</v>
      </c>
    </row>
    <row r="48" spans="2:21" ht="15.75" thickBot="1" x14ac:dyDescent="0.3">
      <c r="B48" s="285">
        <v>44</v>
      </c>
      <c r="C48" s="394" t="s">
        <v>690</v>
      </c>
      <c r="D48" s="393"/>
      <c r="E48" s="148">
        <f>VLOOKUP(N48,'FS Data'!$A:$B,2,FALSE)</f>
        <v>21</v>
      </c>
      <c r="F48" s="148">
        <f>VLOOKUP(O48,'FS Data'!$A:$B,2,FALSE)</f>
        <v>5937</v>
      </c>
      <c r="G48" s="148">
        <f>VLOOKUP(P48,'FS Data'!$A:$B,2,FALSE)</f>
        <v>4401</v>
      </c>
      <c r="H48" s="225">
        <f>VLOOKUP(Q48,'FS Data'!$A:$B,2,FALSE)/10</f>
        <v>74.099999999999994</v>
      </c>
      <c r="I48" s="168">
        <f>VLOOKUP(R48,'FS Data'!$A:$B,2,FALSE)</f>
        <v>21</v>
      </c>
      <c r="J48" s="168">
        <f>VLOOKUP(S48,'FS Data'!$A:$B,2,FALSE)</f>
        <v>5937</v>
      </c>
      <c r="K48" s="168">
        <f>VLOOKUP(T48,'FS Data'!$A:$B,2,FALSE)</f>
        <v>4401</v>
      </c>
      <c r="L48" s="226">
        <f>VLOOKUP(U48,'FS Data'!$A:$B,2,FALSE)/10</f>
        <v>74.099999999999994</v>
      </c>
      <c r="M48" s="257"/>
      <c r="N48" s="220">
        <v>804412</v>
      </c>
      <c r="O48" s="220">
        <v>804414</v>
      </c>
      <c r="P48" s="220">
        <v>804416</v>
      </c>
      <c r="Q48" s="220">
        <v>804418</v>
      </c>
      <c r="R48" s="220">
        <v>804422</v>
      </c>
      <c r="S48" s="220">
        <v>804424</v>
      </c>
      <c r="T48" s="220">
        <v>804426</v>
      </c>
      <c r="U48" s="220">
        <v>804428</v>
      </c>
    </row>
    <row r="49" spans="2:21" ht="12.75" thickBot="1" x14ac:dyDescent="0.3">
      <c r="B49" s="285">
        <v>45</v>
      </c>
      <c r="C49" s="391" t="s">
        <v>691</v>
      </c>
      <c r="D49" s="392"/>
      <c r="E49" s="148">
        <f>VLOOKUP(N49,'FS Data'!$A:$B,2,FALSE)</f>
        <v>0</v>
      </c>
      <c r="F49" s="148">
        <f>VLOOKUP(O49,'FS Data'!$A:$B,2,FALSE)</f>
        <v>0</v>
      </c>
      <c r="G49" s="148">
        <f>VLOOKUP(P49,'FS Data'!$A:$B,2,FALSE)</f>
        <v>0</v>
      </c>
      <c r="H49" s="225">
        <f>VLOOKUP(Q49,'FS Data'!$A:$B,2,FALSE)/10</f>
        <v>0</v>
      </c>
      <c r="I49" s="168">
        <f>VLOOKUP(R49,'FS Data'!$A:$B,2,FALSE)</f>
        <v>0</v>
      </c>
      <c r="J49" s="168">
        <f>VLOOKUP(S49,'FS Data'!$A:$B,2,FALSE)</f>
        <v>0</v>
      </c>
      <c r="K49" s="168">
        <f>VLOOKUP(T49,'FS Data'!$A:$B,2,FALSE)</f>
        <v>0</v>
      </c>
      <c r="L49" s="226">
        <f>VLOOKUP(U49,'FS Data'!$A:$B,2,FALSE)/10</f>
        <v>0</v>
      </c>
      <c r="M49" s="257"/>
      <c r="N49" s="220">
        <v>804512</v>
      </c>
      <c r="O49" s="220">
        <v>804514</v>
      </c>
      <c r="P49" s="220">
        <v>804516</v>
      </c>
      <c r="Q49" s="220">
        <v>804518</v>
      </c>
      <c r="R49" s="220">
        <v>804522</v>
      </c>
      <c r="S49" s="220">
        <v>804524</v>
      </c>
      <c r="T49" s="220">
        <v>804526</v>
      </c>
      <c r="U49" s="220">
        <v>804528</v>
      </c>
    </row>
    <row r="50" spans="2:21" ht="12.75" thickBot="1" x14ac:dyDescent="0.3">
      <c r="B50" s="285">
        <v>46</v>
      </c>
      <c r="C50" s="391" t="s">
        <v>692</v>
      </c>
      <c r="D50" s="395"/>
      <c r="E50" s="148">
        <f>VLOOKUP(N50,'FS Data'!$A:$B,2,FALSE)</f>
        <v>0</v>
      </c>
      <c r="F50" s="148">
        <f>VLOOKUP(O50,'FS Data'!$A:$B,2,FALSE)</f>
        <v>0</v>
      </c>
      <c r="G50" s="148">
        <f>VLOOKUP(P50,'FS Data'!$A:$B,2,FALSE)</f>
        <v>0</v>
      </c>
      <c r="H50" s="225">
        <f>VLOOKUP(Q50,'FS Data'!$A:$B,2,FALSE)/10</f>
        <v>0</v>
      </c>
      <c r="I50" s="168">
        <f>VLOOKUP(R50,'FS Data'!$A:$B,2,FALSE)</f>
        <v>0</v>
      </c>
      <c r="J50" s="168">
        <f>VLOOKUP(S50,'FS Data'!$A:$B,2,FALSE)</f>
        <v>0</v>
      </c>
      <c r="K50" s="168">
        <f>VLOOKUP(T50,'FS Data'!$A:$B,2,FALSE)</f>
        <v>0</v>
      </c>
      <c r="L50" s="226">
        <f>VLOOKUP(U50,'FS Data'!$A:$B,2,FALSE)/10</f>
        <v>0</v>
      </c>
      <c r="M50" s="257"/>
      <c r="N50" s="220">
        <v>804612</v>
      </c>
      <c r="O50" s="220">
        <v>804614</v>
      </c>
      <c r="P50" s="220">
        <v>804616</v>
      </c>
      <c r="Q50" s="220">
        <v>804618</v>
      </c>
      <c r="R50" s="220">
        <v>804622</v>
      </c>
      <c r="S50" s="220">
        <v>804624</v>
      </c>
      <c r="T50" s="220">
        <v>804626</v>
      </c>
      <c r="U50" s="220">
        <v>804628</v>
      </c>
    </row>
    <row r="51" spans="2:21" x14ac:dyDescent="0.25">
      <c r="M51" s="257"/>
      <c r="N51" s="257"/>
      <c r="O51" s="257"/>
      <c r="P51" s="257"/>
      <c r="Q51" s="257"/>
      <c r="R51" s="257"/>
      <c r="S51" s="257"/>
      <c r="T51" s="257"/>
      <c r="U51" s="257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zoomScaleNormal="100" workbookViewId="0">
      <selection activeCell="D4" sqref="D4:L4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0" bestFit="1" customWidth="1"/>
    <col min="14" max="17" width="9.28515625" style="221" bestFit="1" customWidth="1"/>
    <col min="18" max="21" width="9.140625" style="221"/>
    <col min="22" max="22" width="9.140625" style="262"/>
    <col min="23" max="23" width="9.140625" style="261"/>
    <col min="24" max="16384" width="9.140625" style="80"/>
  </cols>
  <sheetData>
    <row r="1" spans="2:23" s="5" customFormat="1" ht="16.5" customHeight="1" x14ac:dyDescent="0.2">
      <c r="B1" s="96"/>
      <c r="C1" s="97"/>
      <c r="D1" s="97"/>
      <c r="E1" s="97"/>
      <c r="F1" s="97"/>
      <c r="G1" s="97"/>
      <c r="H1" s="97"/>
      <c r="I1" s="97"/>
      <c r="J1" s="97"/>
      <c r="K1" s="97"/>
      <c r="L1" s="98" t="s">
        <v>160</v>
      </c>
      <c r="M1" s="218"/>
      <c r="N1" s="220"/>
      <c r="O1" s="220"/>
      <c r="P1" s="220"/>
      <c r="Q1" s="220"/>
      <c r="R1" s="220"/>
      <c r="S1" s="220"/>
      <c r="T1" s="220"/>
      <c r="U1" s="220"/>
      <c r="V1" s="215"/>
      <c r="W1" s="219"/>
    </row>
    <row r="2" spans="2:23" s="5" customFormat="1" ht="16.5" customHeight="1" x14ac:dyDescent="0.25">
      <c r="B2" s="867" t="s">
        <v>386</v>
      </c>
      <c r="C2" s="869" t="s">
        <v>573</v>
      </c>
      <c r="D2" s="871" t="s">
        <v>30</v>
      </c>
      <c r="E2" s="703" t="s">
        <v>517</v>
      </c>
      <c r="F2" s="703"/>
      <c r="G2" s="703"/>
      <c r="H2" s="704"/>
      <c r="I2" s="703" t="s">
        <v>519</v>
      </c>
      <c r="J2" s="705"/>
      <c r="K2" s="706"/>
      <c r="L2" s="707"/>
      <c r="M2" s="218"/>
      <c r="N2" s="220"/>
      <c r="O2" s="220"/>
      <c r="P2" s="220"/>
      <c r="Q2" s="220"/>
      <c r="R2" s="220"/>
      <c r="S2" s="220"/>
      <c r="T2" s="220"/>
      <c r="U2" s="220"/>
      <c r="V2" s="215"/>
      <c r="W2" s="219"/>
    </row>
    <row r="3" spans="2:23" s="5" customFormat="1" ht="16.5" customHeight="1" x14ac:dyDescent="0.25">
      <c r="B3" s="868"/>
      <c r="C3" s="870"/>
      <c r="D3" s="870"/>
      <c r="E3" s="708" t="s">
        <v>693</v>
      </c>
      <c r="F3" s="709" t="s">
        <v>450</v>
      </c>
      <c r="G3" s="709" t="s">
        <v>451</v>
      </c>
      <c r="H3" s="710" t="s">
        <v>518</v>
      </c>
      <c r="I3" s="708" t="s">
        <v>693</v>
      </c>
      <c r="J3" s="709" t="s">
        <v>450</v>
      </c>
      <c r="K3" s="709" t="s">
        <v>451</v>
      </c>
      <c r="L3" s="711" t="s">
        <v>518</v>
      </c>
      <c r="M3" s="218"/>
      <c r="N3" s="220"/>
      <c r="O3" s="220"/>
      <c r="P3" s="220"/>
      <c r="Q3" s="220"/>
      <c r="R3" s="220"/>
      <c r="S3" s="220"/>
      <c r="T3" s="220"/>
      <c r="U3" s="220"/>
      <c r="V3" s="215"/>
      <c r="W3" s="219"/>
    </row>
    <row r="4" spans="2:23" s="5" customFormat="1" ht="16.5" customHeight="1" x14ac:dyDescent="0.25">
      <c r="B4" s="99" t="s">
        <v>32</v>
      </c>
      <c r="C4" s="713" t="s">
        <v>761</v>
      </c>
      <c r="D4" s="865" t="s">
        <v>694</v>
      </c>
      <c r="E4" s="865"/>
      <c r="F4" s="865"/>
      <c r="G4" s="865"/>
      <c r="H4" s="865"/>
      <c r="I4" s="865"/>
      <c r="J4" s="865"/>
      <c r="K4" s="865"/>
      <c r="L4" s="866"/>
      <c r="M4" s="218"/>
      <c r="N4" s="220"/>
      <c r="O4" s="220"/>
      <c r="P4" s="220"/>
      <c r="Q4" s="220"/>
      <c r="R4" s="220"/>
      <c r="S4" s="220"/>
      <c r="T4" s="220"/>
      <c r="U4" s="220"/>
      <c r="V4" s="215"/>
      <c r="W4" s="219"/>
    </row>
    <row r="5" spans="2:23" s="5" customFormat="1" ht="16.5" customHeight="1" x14ac:dyDescent="0.25">
      <c r="B5" s="285">
        <v>1</v>
      </c>
      <c r="C5" s="388" t="s">
        <v>697</v>
      </c>
      <c r="D5" s="321" t="s">
        <v>10</v>
      </c>
      <c r="E5" s="114">
        <f>VLOOKUP(N5,'FS Data'!$A:$B,2,FALSE)</f>
        <v>37</v>
      </c>
      <c r="F5" s="114">
        <f>VLOOKUP(O5,'FS Data'!$A:$B,2,FALSE)</f>
        <v>19086</v>
      </c>
      <c r="G5" s="114">
        <f>VLOOKUP(P5,'FS Data'!$A:$B,2,FALSE)</f>
        <v>7552</v>
      </c>
      <c r="H5" s="191">
        <f>VLOOKUP(Q5,'FS Data'!$A:$B,2,FALSE)/10</f>
        <v>39.6</v>
      </c>
      <c r="I5" s="125">
        <f>VLOOKUP(R5,'FS Data'!$A:$B,2,FALSE)</f>
        <v>37</v>
      </c>
      <c r="J5" s="125">
        <f>VLOOKUP(S5,'FS Data'!$A:$B,2,FALSE)</f>
        <v>19086</v>
      </c>
      <c r="K5" s="125">
        <f>VLOOKUP(T5,'FS Data'!$A:$B,2,FALSE)</f>
        <v>7552</v>
      </c>
      <c r="L5" s="192">
        <f>VLOOKUP(U5,'FS Data'!$A:$B,2,FALSE)/10</f>
        <v>39.6</v>
      </c>
      <c r="M5" s="218"/>
      <c r="N5" s="220">
        <v>900112</v>
      </c>
      <c r="O5" s="220">
        <v>900114</v>
      </c>
      <c r="P5" s="220">
        <v>900116</v>
      </c>
      <c r="Q5" s="220">
        <v>900118</v>
      </c>
      <c r="R5" s="220">
        <v>900122</v>
      </c>
      <c r="S5" s="220">
        <v>900124</v>
      </c>
      <c r="T5" s="220">
        <v>900126</v>
      </c>
      <c r="U5" s="220">
        <v>900128</v>
      </c>
      <c r="V5" s="215"/>
      <c r="W5" s="219"/>
    </row>
    <row r="6" spans="2:23" s="5" customFormat="1" ht="16.5" customHeight="1" x14ac:dyDescent="0.25">
      <c r="B6" s="285">
        <v>2</v>
      </c>
      <c r="C6" s="388" t="s">
        <v>698</v>
      </c>
      <c r="D6" s="321" t="s">
        <v>11</v>
      </c>
      <c r="E6" s="114">
        <f>VLOOKUP(N6,'FS Data'!$A:$B,2,FALSE)</f>
        <v>41</v>
      </c>
      <c r="F6" s="114">
        <f>VLOOKUP(O6,'FS Data'!$A:$B,2,FALSE)</f>
        <v>21533</v>
      </c>
      <c r="G6" s="114">
        <f>VLOOKUP(P6,'FS Data'!$A:$B,2,FALSE)</f>
        <v>9811</v>
      </c>
      <c r="H6" s="191">
        <f>VLOOKUP(Q6,'FS Data'!$A:$B,2,FALSE)/10</f>
        <v>45.6</v>
      </c>
      <c r="I6" s="125">
        <f>VLOOKUP(R6,'FS Data'!$A:$B,2,FALSE)</f>
        <v>41</v>
      </c>
      <c r="J6" s="125">
        <f>VLOOKUP(S6,'FS Data'!$A:$B,2,FALSE)</f>
        <v>21533</v>
      </c>
      <c r="K6" s="125">
        <f>VLOOKUP(T6,'FS Data'!$A:$B,2,FALSE)</f>
        <v>9811</v>
      </c>
      <c r="L6" s="192">
        <f>VLOOKUP(U6,'FS Data'!$A:$B,2,FALSE)/10</f>
        <v>45.6</v>
      </c>
      <c r="M6" s="218"/>
      <c r="N6" s="220">
        <v>900212</v>
      </c>
      <c r="O6" s="220">
        <v>900214</v>
      </c>
      <c r="P6" s="220">
        <v>900216</v>
      </c>
      <c r="Q6" s="220">
        <v>900218</v>
      </c>
      <c r="R6" s="220">
        <v>900222</v>
      </c>
      <c r="S6" s="220">
        <v>900224</v>
      </c>
      <c r="T6" s="220">
        <v>900226</v>
      </c>
      <c r="U6" s="220">
        <v>900228</v>
      </c>
      <c r="V6" s="215"/>
      <c r="W6" s="219"/>
    </row>
    <row r="7" spans="2:23" s="5" customFormat="1" ht="16.5" customHeight="1" x14ac:dyDescent="0.25">
      <c r="B7" s="285">
        <v>3</v>
      </c>
      <c r="C7" s="388" t="s">
        <v>699</v>
      </c>
      <c r="D7" s="321" t="s">
        <v>177</v>
      </c>
      <c r="E7" s="114">
        <f>VLOOKUP(N7,'FS Data'!$A:$B,2,FALSE)</f>
        <v>4</v>
      </c>
      <c r="F7" s="114">
        <f>VLOOKUP(O7,'FS Data'!$A:$B,2,FALSE)</f>
        <v>1747</v>
      </c>
      <c r="G7" s="114">
        <f>VLOOKUP(P7,'FS Data'!$A:$B,2,FALSE)</f>
        <v>685</v>
      </c>
      <c r="H7" s="191">
        <f>VLOOKUP(Q7,'FS Data'!$A:$B,2,FALSE)/10</f>
        <v>39.200000000000003</v>
      </c>
      <c r="I7" s="125">
        <f>VLOOKUP(R7,'FS Data'!$A:$B,2,FALSE)</f>
        <v>4</v>
      </c>
      <c r="J7" s="125">
        <f>VLOOKUP(S7,'FS Data'!$A:$B,2,FALSE)</f>
        <v>1747</v>
      </c>
      <c r="K7" s="125">
        <f>VLOOKUP(T7,'FS Data'!$A:$B,2,FALSE)</f>
        <v>685</v>
      </c>
      <c r="L7" s="192">
        <f>VLOOKUP(U7,'FS Data'!$A:$B,2,FALSE)/10</f>
        <v>39.200000000000003</v>
      </c>
      <c r="M7" s="218"/>
      <c r="N7" s="220">
        <v>900312</v>
      </c>
      <c r="O7" s="220">
        <v>900314</v>
      </c>
      <c r="P7" s="220">
        <v>900316</v>
      </c>
      <c r="Q7" s="220">
        <v>900318</v>
      </c>
      <c r="R7" s="220">
        <v>900322</v>
      </c>
      <c r="S7" s="220">
        <v>900324</v>
      </c>
      <c r="T7" s="220">
        <v>900326</v>
      </c>
      <c r="U7" s="220">
        <v>900328</v>
      </c>
      <c r="V7" s="215"/>
      <c r="W7" s="219"/>
    </row>
    <row r="8" spans="2:23" s="5" customFormat="1" ht="16.5" customHeight="1" x14ac:dyDescent="0.25">
      <c r="B8" s="285">
        <v>4</v>
      </c>
      <c r="C8" s="388" t="s">
        <v>700</v>
      </c>
      <c r="D8" s="321" t="s">
        <v>12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2">
        <f>VLOOKUP(U8,'FS Data'!$A:$B,2,FALSE)/10</f>
        <v>0</v>
      </c>
      <c r="M8" s="218"/>
      <c r="N8" s="220">
        <v>900412</v>
      </c>
      <c r="O8" s="220">
        <v>900414</v>
      </c>
      <c r="P8" s="220">
        <v>900416</v>
      </c>
      <c r="Q8" s="220">
        <v>900418</v>
      </c>
      <c r="R8" s="220">
        <v>900422</v>
      </c>
      <c r="S8" s="220">
        <v>900424</v>
      </c>
      <c r="T8" s="220">
        <v>900426</v>
      </c>
      <c r="U8" s="220">
        <v>900428</v>
      </c>
      <c r="V8" s="215"/>
      <c r="W8" s="219"/>
    </row>
    <row r="9" spans="2:23" s="5" customFormat="1" ht="16.5" customHeight="1" thickBot="1" x14ac:dyDescent="0.3">
      <c r="B9" s="285">
        <v>5</v>
      </c>
      <c r="C9" s="388" t="s">
        <v>701</v>
      </c>
      <c r="D9" s="284" t="s">
        <v>13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70">
        <f>VLOOKUP(R9,'FS Data'!$A:$B,2,FALSE)</f>
        <v>0</v>
      </c>
      <c r="J9" s="170">
        <f>VLOOKUP(S9,'FS Data'!$A:$B,2,FALSE)</f>
        <v>0</v>
      </c>
      <c r="K9" s="170">
        <f>VLOOKUP(T9,'FS Data'!$A:$B,2,FALSE)</f>
        <v>0</v>
      </c>
      <c r="L9" s="194">
        <f>VLOOKUP(U9,'FS Data'!$A:$B,2,FALSE)/10</f>
        <v>0</v>
      </c>
      <c r="M9" s="218"/>
      <c r="N9" s="220">
        <v>900512</v>
      </c>
      <c r="O9" s="220">
        <v>900514</v>
      </c>
      <c r="P9" s="220">
        <v>900516</v>
      </c>
      <c r="Q9" s="220">
        <v>900518</v>
      </c>
      <c r="R9" s="220">
        <v>900522</v>
      </c>
      <c r="S9" s="220">
        <v>900524</v>
      </c>
      <c r="T9" s="220">
        <v>900526</v>
      </c>
      <c r="U9" s="220">
        <v>900528</v>
      </c>
      <c r="V9" s="215"/>
      <c r="W9" s="219"/>
    </row>
    <row r="10" spans="2:23" s="5" customFormat="1" ht="16.5" customHeight="1" thickBot="1" x14ac:dyDescent="0.3">
      <c r="B10" s="285">
        <v>6</v>
      </c>
      <c r="C10" s="350" t="s">
        <v>702</v>
      </c>
      <c r="D10" s="572"/>
      <c r="E10" s="148">
        <f>VLOOKUP(N10,'FS Data'!$A:$B,2,FALSE)</f>
        <v>82</v>
      </c>
      <c r="F10" s="148">
        <f>VLOOKUP(O10,'FS Data'!$A:$B,2,FALSE)</f>
        <v>42366</v>
      </c>
      <c r="G10" s="148">
        <f>VLOOKUP(P10,'FS Data'!$A:$B,2,FALSE)</f>
        <v>18048</v>
      </c>
      <c r="H10" s="196">
        <f>VLOOKUP(Q10,'FS Data'!$A:$B,2,FALSE)/10</f>
        <v>42.6</v>
      </c>
      <c r="I10" s="145">
        <f>VLOOKUP(R10,'FS Data'!$A:$B,2,FALSE)</f>
        <v>82</v>
      </c>
      <c r="J10" s="145">
        <f>VLOOKUP(S10,'FS Data'!$A:$B,2,FALSE)</f>
        <v>42366</v>
      </c>
      <c r="K10" s="145">
        <f>VLOOKUP(T10,'FS Data'!$A:$B,2,FALSE)</f>
        <v>18048</v>
      </c>
      <c r="L10" s="197">
        <f>VLOOKUP(U10,'FS Data'!$A:$B,2,FALSE)/10</f>
        <v>42.6</v>
      </c>
      <c r="M10" s="218"/>
      <c r="N10" s="220">
        <v>900612</v>
      </c>
      <c r="O10" s="220">
        <v>900614</v>
      </c>
      <c r="P10" s="220">
        <v>900616</v>
      </c>
      <c r="Q10" s="220">
        <v>900618</v>
      </c>
      <c r="R10" s="220">
        <v>900622</v>
      </c>
      <c r="S10" s="220">
        <v>900624</v>
      </c>
      <c r="T10" s="220">
        <v>900626</v>
      </c>
      <c r="U10" s="220">
        <v>900628</v>
      </c>
      <c r="V10" s="215"/>
      <c r="W10" s="219"/>
    </row>
    <row r="11" spans="2:23" s="5" customFormat="1" ht="16.5" customHeight="1" x14ac:dyDescent="0.25">
      <c r="B11" s="285">
        <v>7</v>
      </c>
      <c r="C11" s="697" t="s">
        <v>703</v>
      </c>
      <c r="D11" s="321" t="s">
        <v>14</v>
      </c>
      <c r="E11" s="20">
        <f>VLOOKUP(N11,'FS Data'!$A:$B,2,FALSE)</f>
        <v>12</v>
      </c>
      <c r="F11" s="20">
        <f>VLOOKUP(O11,'FS Data'!$A:$B,2,FALSE)</f>
        <v>1731</v>
      </c>
      <c r="G11" s="20">
        <f>VLOOKUP(P11,'FS Data'!$A:$B,2,FALSE)</f>
        <v>495</v>
      </c>
      <c r="H11" s="177">
        <f>VLOOKUP(Q11,'FS Data'!$A:$B,2,FALSE)/10</f>
        <v>28.6</v>
      </c>
      <c r="I11" s="117">
        <f>VLOOKUP(R11,'FS Data'!$A:$B,2,FALSE)</f>
        <v>12</v>
      </c>
      <c r="J11" s="117">
        <f>VLOOKUP(S11,'FS Data'!$A:$B,2,FALSE)</f>
        <v>1731</v>
      </c>
      <c r="K11" s="117">
        <f>VLOOKUP(T11,'FS Data'!$A:$B,2,FALSE)</f>
        <v>495</v>
      </c>
      <c r="L11" s="195">
        <f>VLOOKUP(U11,'FS Data'!$A:$B,2,FALSE)/10</f>
        <v>28.6</v>
      </c>
      <c r="M11" s="218"/>
      <c r="N11" s="220">
        <v>900712</v>
      </c>
      <c r="O11" s="220">
        <v>900714</v>
      </c>
      <c r="P11" s="220">
        <v>900716</v>
      </c>
      <c r="Q11" s="220">
        <v>900718</v>
      </c>
      <c r="R11" s="220">
        <v>900722</v>
      </c>
      <c r="S11" s="220">
        <v>900724</v>
      </c>
      <c r="T11" s="220">
        <v>900726</v>
      </c>
      <c r="U11" s="220">
        <v>900728</v>
      </c>
      <c r="V11" s="215"/>
      <c r="W11" s="219"/>
    </row>
    <row r="12" spans="2:23" s="5" customFormat="1" ht="16.5" customHeight="1" x14ac:dyDescent="0.25">
      <c r="B12" s="285">
        <v>8</v>
      </c>
      <c r="C12" s="697" t="s">
        <v>704</v>
      </c>
      <c r="D12" s="321" t="s">
        <v>17</v>
      </c>
      <c r="E12" s="114">
        <f>VLOOKUP(N12,'FS Data'!$A:$B,2,FALSE)</f>
        <v>29</v>
      </c>
      <c r="F12" s="114">
        <f>VLOOKUP(O12,'FS Data'!$A:$B,2,FALSE)</f>
        <v>3507</v>
      </c>
      <c r="G12" s="114">
        <f>VLOOKUP(P12,'FS Data'!$A:$B,2,FALSE)</f>
        <v>1002</v>
      </c>
      <c r="H12" s="191">
        <f>VLOOKUP(Q12,'FS Data'!$A:$B,2,FALSE)/10</f>
        <v>28.6</v>
      </c>
      <c r="I12" s="125">
        <f>VLOOKUP(R12,'FS Data'!$A:$B,2,FALSE)</f>
        <v>29</v>
      </c>
      <c r="J12" s="125">
        <f>VLOOKUP(S12,'FS Data'!$A:$B,2,FALSE)</f>
        <v>3507</v>
      </c>
      <c r="K12" s="125">
        <f>VLOOKUP(T12,'FS Data'!$A:$B,2,FALSE)</f>
        <v>1002</v>
      </c>
      <c r="L12" s="192">
        <f>VLOOKUP(U12,'FS Data'!$A:$B,2,FALSE)/10</f>
        <v>28.6</v>
      </c>
      <c r="M12" s="218"/>
      <c r="N12" s="220">
        <v>900812</v>
      </c>
      <c r="O12" s="220">
        <v>900814</v>
      </c>
      <c r="P12" s="220">
        <v>900816</v>
      </c>
      <c r="Q12" s="220">
        <v>900818</v>
      </c>
      <c r="R12" s="220">
        <v>900822</v>
      </c>
      <c r="S12" s="220">
        <v>900824</v>
      </c>
      <c r="T12" s="220">
        <v>900826</v>
      </c>
      <c r="U12" s="220">
        <v>900828</v>
      </c>
      <c r="V12" s="215"/>
      <c r="W12" s="219"/>
    </row>
    <row r="13" spans="2:23" s="5" customFormat="1" ht="16.5" customHeight="1" x14ac:dyDescent="0.25">
      <c r="B13" s="285">
        <v>9</v>
      </c>
      <c r="C13" s="697" t="s">
        <v>705</v>
      </c>
      <c r="D13" s="321" t="s">
        <v>178</v>
      </c>
      <c r="E13" s="128">
        <f>VLOOKUP(N13,'FS Data'!$A:$B,2,FALSE)</f>
        <v>0</v>
      </c>
      <c r="F13" s="128">
        <f>VLOOKUP(O13,'FS Data'!$A:$B,2,FALSE)</f>
        <v>0</v>
      </c>
      <c r="G13" s="128">
        <f>VLOOKUP(P13,'FS Data'!$A:$B,2,FALSE)</f>
        <v>0</v>
      </c>
      <c r="H13" s="193">
        <f>VLOOKUP(Q13,'FS Data'!$A:$B,2,FALSE)/10</f>
        <v>0</v>
      </c>
      <c r="I13" s="170">
        <f>VLOOKUP(R13,'FS Data'!$A:$B,2,FALSE)</f>
        <v>0</v>
      </c>
      <c r="J13" s="170">
        <f>VLOOKUP(S13,'FS Data'!$A:$B,2,FALSE)</f>
        <v>0</v>
      </c>
      <c r="K13" s="170">
        <f>VLOOKUP(T13,'FS Data'!$A:$B,2,FALSE)</f>
        <v>0</v>
      </c>
      <c r="L13" s="194">
        <f>VLOOKUP(U13,'FS Data'!$A:$B,2,FALSE)/10</f>
        <v>0</v>
      </c>
      <c r="M13" s="218"/>
      <c r="N13" s="220">
        <v>900912</v>
      </c>
      <c r="O13" s="220">
        <v>900914</v>
      </c>
      <c r="P13" s="220">
        <v>900916</v>
      </c>
      <c r="Q13" s="220">
        <v>900918</v>
      </c>
      <c r="R13" s="220">
        <v>900922</v>
      </c>
      <c r="S13" s="220">
        <v>900924</v>
      </c>
      <c r="T13" s="220">
        <v>900926</v>
      </c>
      <c r="U13" s="220">
        <v>900928</v>
      </c>
      <c r="V13" s="215"/>
      <c r="W13" s="219"/>
    </row>
    <row r="14" spans="2:23" s="5" customFormat="1" ht="16.5" customHeight="1" thickBot="1" x14ac:dyDescent="0.3">
      <c r="B14" s="285">
        <v>10</v>
      </c>
      <c r="C14" s="697" t="s">
        <v>706</v>
      </c>
      <c r="D14" s="321" t="s">
        <v>18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70">
        <f>VLOOKUP(R14,'FS Data'!$A:$B,2,FALSE)</f>
        <v>0</v>
      </c>
      <c r="J14" s="170">
        <f>VLOOKUP(S14,'FS Data'!$A:$B,2,FALSE)</f>
        <v>0</v>
      </c>
      <c r="K14" s="170">
        <f>VLOOKUP(T14,'FS Data'!$A:$B,2,FALSE)</f>
        <v>0</v>
      </c>
      <c r="L14" s="194">
        <f>VLOOKUP(U14,'FS Data'!$A:$B,2,FALSE)/10</f>
        <v>0</v>
      </c>
      <c r="M14" s="218"/>
      <c r="N14" s="220">
        <v>901012</v>
      </c>
      <c r="O14" s="220">
        <v>901014</v>
      </c>
      <c r="P14" s="220">
        <v>901016</v>
      </c>
      <c r="Q14" s="220">
        <v>901018</v>
      </c>
      <c r="R14" s="220">
        <v>901022</v>
      </c>
      <c r="S14" s="220">
        <v>901024</v>
      </c>
      <c r="T14" s="220">
        <v>901026</v>
      </c>
      <c r="U14" s="220">
        <v>901028</v>
      </c>
      <c r="V14" s="215"/>
      <c r="W14" s="219"/>
    </row>
    <row r="15" spans="2:23" s="5" customFormat="1" ht="16.5" customHeight="1" thickBot="1" x14ac:dyDescent="0.3">
      <c r="B15" s="285">
        <v>11</v>
      </c>
      <c r="C15" s="619" t="s">
        <v>707</v>
      </c>
      <c r="D15" s="572"/>
      <c r="E15" s="148">
        <f>VLOOKUP(N15,'FS Data'!$A:$B,2,FALSE)</f>
        <v>41</v>
      </c>
      <c r="F15" s="148">
        <f>VLOOKUP(O15,'FS Data'!$A:$B,2,FALSE)</f>
        <v>5238</v>
      </c>
      <c r="G15" s="148">
        <f>VLOOKUP(P15,'FS Data'!$A:$B,2,FALSE)</f>
        <v>1497</v>
      </c>
      <c r="H15" s="196">
        <f>VLOOKUP(Q15,'FS Data'!$A:$B,2,FALSE)/10</f>
        <v>28.6</v>
      </c>
      <c r="I15" s="145">
        <f>VLOOKUP(R15,'FS Data'!$A:$B,2,FALSE)</f>
        <v>41</v>
      </c>
      <c r="J15" s="145">
        <f>VLOOKUP(S15,'FS Data'!$A:$B,2,FALSE)</f>
        <v>5238</v>
      </c>
      <c r="K15" s="145">
        <f>VLOOKUP(T15,'FS Data'!$A:$B,2,FALSE)</f>
        <v>1497</v>
      </c>
      <c r="L15" s="197">
        <f>VLOOKUP(U15,'FS Data'!$A:$B,2,FALSE)/10</f>
        <v>28.6</v>
      </c>
      <c r="M15" s="218"/>
      <c r="N15" s="220">
        <v>901112</v>
      </c>
      <c r="O15" s="220">
        <v>901114</v>
      </c>
      <c r="P15" s="220">
        <v>901116</v>
      </c>
      <c r="Q15" s="220">
        <v>901118</v>
      </c>
      <c r="R15" s="220">
        <v>901122</v>
      </c>
      <c r="S15" s="220">
        <v>901124</v>
      </c>
      <c r="T15" s="220">
        <v>901126</v>
      </c>
      <c r="U15" s="220">
        <v>901128</v>
      </c>
      <c r="V15" s="215"/>
      <c r="W15" s="219"/>
    </row>
    <row r="16" spans="2:23" s="5" customFormat="1" ht="16.5" customHeight="1" x14ac:dyDescent="0.25">
      <c r="B16" s="285">
        <v>12</v>
      </c>
      <c r="C16" s="388" t="s">
        <v>708</v>
      </c>
      <c r="D16" s="32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77">
        <f>VLOOKUP(Q16,'FS Data'!$A:$B,2,FALSE)/10</f>
        <v>0</v>
      </c>
      <c r="I16" s="117">
        <f>VLOOKUP(R16,'FS Data'!$A:$B,2,FALSE)</f>
        <v>0</v>
      </c>
      <c r="J16" s="117">
        <f>VLOOKUP(S16,'FS Data'!$A:$B,2,FALSE)</f>
        <v>0</v>
      </c>
      <c r="K16" s="117">
        <f>VLOOKUP(T16,'FS Data'!$A:$B,2,FALSE)</f>
        <v>0</v>
      </c>
      <c r="L16" s="195">
        <f>VLOOKUP(U16,'FS Data'!$A:$B,2,FALSE)/10</f>
        <v>0</v>
      </c>
      <c r="M16" s="218"/>
      <c r="N16" s="220">
        <v>901212</v>
      </c>
      <c r="O16" s="220">
        <v>901214</v>
      </c>
      <c r="P16" s="220">
        <v>901216</v>
      </c>
      <c r="Q16" s="220">
        <v>901218</v>
      </c>
      <c r="R16" s="220">
        <v>901222</v>
      </c>
      <c r="S16" s="220">
        <v>901224</v>
      </c>
      <c r="T16" s="220">
        <v>901226</v>
      </c>
      <c r="U16" s="220">
        <v>901228</v>
      </c>
      <c r="V16" s="215"/>
      <c r="W16" s="219"/>
    </row>
    <row r="17" spans="2:23" s="5" customFormat="1" ht="16.5" customHeight="1" x14ac:dyDescent="0.25">
      <c r="B17" s="285">
        <v>13</v>
      </c>
      <c r="C17" s="388" t="s">
        <v>709</v>
      </c>
      <c r="D17" s="321" t="s">
        <v>20</v>
      </c>
      <c r="E17" s="114">
        <f>VLOOKUP(N17,'FS Data'!$A:$B,2,FALSE)</f>
        <v>1</v>
      </c>
      <c r="F17" s="114">
        <f>VLOOKUP(O17,'FS Data'!$A:$B,2,FALSE)</f>
        <v>0</v>
      </c>
      <c r="G17" s="114">
        <f>VLOOKUP(P17,'FS Data'!$A:$B,2,FALSE)</f>
        <v>0</v>
      </c>
      <c r="H17" s="191">
        <f>VLOOKUP(Q17,'FS Data'!$A:$B,2,FALSE)/10</f>
        <v>0</v>
      </c>
      <c r="I17" s="125">
        <f>VLOOKUP(R17,'FS Data'!$A:$B,2,FALSE)</f>
        <v>1</v>
      </c>
      <c r="J17" s="125">
        <f>VLOOKUP(S17,'FS Data'!$A:$B,2,FALSE)</f>
        <v>0</v>
      </c>
      <c r="K17" s="125">
        <f>VLOOKUP(T17,'FS Data'!$A:$B,2,FALSE)</f>
        <v>0</v>
      </c>
      <c r="L17" s="192">
        <f>VLOOKUP(U17,'FS Data'!$A:$B,2,FALSE)/10</f>
        <v>0</v>
      </c>
      <c r="M17" s="218"/>
      <c r="N17" s="220">
        <v>901312</v>
      </c>
      <c r="O17" s="220">
        <v>901314</v>
      </c>
      <c r="P17" s="220">
        <v>901316</v>
      </c>
      <c r="Q17" s="220">
        <v>901318</v>
      </c>
      <c r="R17" s="220">
        <v>901322</v>
      </c>
      <c r="S17" s="220">
        <v>901324</v>
      </c>
      <c r="T17" s="220">
        <v>901326</v>
      </c>
      <c r="U17" s="220">
        <v>901328</v>
      </c>
      <c r="V17" s="215"/>
      <c r="W17" s="219"/>
    </row>
    <row r="18" spans="2:23" s="5" customFormat="1" ht="16.5" customHeight="1" x14ac:dyDescent="0.25">
      <c r="B18" s="285">
        <v>14</v>
      </c>
      <c r="C18" s="388" t="s">
        <v>710</v>
      </c>
      <c r="D18" s="321" t="s">
        <v>179</v>
      </c>
      <c r="E18" s="114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91">
        <f>VLOOKUP(Q18,'FS Data'!$A:$B,2,FALSE)/10</f>
        <v>0</v>
      </c>
      <c r="I18" s="125">
        <f>VLOOKUP(R18,'FS Data'!$A:$B,2,FALSE)</f>
        <v>0</v>
      </c>
      <c r="J18" s="125">
        <f>VLOOKUP(S18,'FS Data'!$A:$B,2,FALSE)</f>
        <v>0</v>
      </c>
      <c r="K18" s="125">
        <f>VLOOKUP(T18,'FS Data'!$A:$B,2,FALSE)</f>
        <v>0</v>
      </c>
      <c r="L18" s="192">
        <f>VLOOKUP(U18,'FS Data'!$A:$B,2,FALSE)/10</f>
        <v>0</v>
      </c>
      <c r="M18" s="218"/>
      <c r="N18" s="220">
        <v>901412</v>
      </c>
      <c r="O18" s="220">
        <v>901414</v>
      </c>
      <c r="P18" s="220">
        <v>901416</v>
      </c>
      <c r="Q18" s="220">
        <v>901418</v>
      </c>
      <c r="R18" s="220">
        <v>901422</v>
      </c>
      <c r="S18" s="220">
        <v>901424</v>
      </c>
      <c r="T18" s="220">
        <v>901426</v>
      </c>
      <c r="U18" s="220">
        <v>901428</v>
      </c>
      <c r="V18" s="215"/>
      <c r="W18" s="219"/>
    </row>
    <row r="19" spans="2:23" s="5" customFormat="1" ht="16.5" customHeight="1" x14ac:dyDescent="0.25">
      <c r="B19" s="285">
        <v>15</v>
      </c>
      <c r="C19" s="388" t="s">
        <v>711</v>
      </c>
      <c r="D19" s="321" t="s">
        <v>21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2">
        <f>VLOOKUP(U19,'FS Data'!$A:$B,2,FALSE)/10</f>
        <v>0</v>
      </c>
      <c r="M19" s="218"/>
      <c r="N19" s="220">
        <v>901512</v>
      </c>
      <c r="O19" s="220">
        <v>901514</v>
      </c>
      <c r="P19" s="220">
        <v>901516</v>
      </c>
      <c r="Q19" s="220">
        <v>901518</v>
      </c>
      <c r="R19" s="220">
        <v>901522</v>
      </c>
      <c r="S19" s="220">
        <v>901524</v>
      </c>
      <c r="T19" s="220">
        <v>901526</v>
      </c>
      <c r="U19" s="220">
        <v>901528</v>
      </c>
      <c r="V19" s="215"/>
      <c r="W19" s="219"/>
    </row>
    <row r="20" spans="2:23" s="5" customFormat="1" ht="16.5" customHeight="1" thickBot="1" x14ac:dyDescent="0.3">
      <c r="B20" s="285">
        <v>16</v>
      </c>
      <c r="C20" s="388" t="s">
        <v>712</v>
      </c>
      <c r="D20" s="284" t="s">
        <v>40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70">
        <f>VLOOKUP(R20,'FS Data'!$A:$B,2,FALSE)</f>
        <v>0</v>
      </c>
      <c r="J20" s="170">
        <f>VLOOKUP(S20,'FS Data'!$A:$B,2,FALSE)</f>
        <v>0</v>
      </c>
      <c r="K20" s="170">
        <f>VLOOKUP(T20,'FS Data'!$A:$B,2,FALSE)</f>
        <v>0</v>
      </c>
      <c r="L20" s="194">
        <f>VLOOKUP(U20,'FS Data'!$A:$B,2,FALSE)/10</f>
        <v>0</v>
      </c>
      <c r="M20" s="218"/>
      <c r="N20" s="220">
        <v>901612</v>
      </c>
      <c r="O20" s="220">
        <v>901614</v>
      </c>
      <c r="P20" s="220">
        <v>901616</v>
      </c>
      <c r="Q20" s="220">
        <v>901618</v>
      </c>
      <c r="R20" s="220">
        <v>901622</v>
      </c>
      <c r="S20" s="220">
        <v>901624</v>
      </c>
      <c r="T20" s="220">
        <v>901626</v>
      </c>
      <c r="U20" s="220">
        <v>901628</v>
      </c>
      <c r="V20" s="215"/>
      <c r="W20" s="219"/>
    </row>
    <row r="21" spans="2:23" s="5" customFormat="1" ht="16.5" customHeight="1" thickBot="1" x14ac:dyDescent="0.3">
      <c r="B21" s="285">
        <v>17</v>
      </c>
      <c r="C21" s="619" t="s">
        <v>713</v>
      </c>
      <c r="D21" s="572"/>
      <c r="E21" s="148">
        <f>VLOOKUP(N21,'FS Data'!$A:$B,2,FALSE)</f>
        <v>1</v>
      </c>
      <c r="F21" s="148">
        <f>VLOOKUP(O21,'FS Data'!$A:$B,2,FALSE)</f>
        <v>0</v>
      </c>
      <c r="G21" s="148">
        <f>VLOOKUP(P21,'FS Data'!$A:$B,2,FALSE)</f>
        <v>0</v>
      </c>
      <c r="H21" s="196">
        <f>VLOOKUP(Q21,'FS Data'!$A:$B,2,FALSE)/10</f>
        <v>0</v>
      </c>
      <c r="I21" s="145">
        <f>VLOOKUP(R21,'FS Data'!$A:$B,2,FALSE)</f>
        <v>1</v>
      </c>
      <c r="J21" s="145">
        <f>VLOOKUP(S21,'FS Data'!$A:$B,2,FALSE)</f>
        <v>0</v>
      </c>
      <c r="K21" s="145">
        <f>VLOOKUP(T21,'FS Data'!$A:$B,2,FALSE)</f>
        <v>0</v>
      </c>
      <c r="L21" s="197">
        <f>VLOOKUP(U21,'FS Data'!$A:$B,2,FALSE)/10</f>
        <v>0</v>
      </c>
      <c r="M21" s="218"/>
      <c r="N21" s="220">
        <v>901712</v>
      </c>
      <c r="O21" s="220">
        <v>901714</v>
      </c>
      <c r="P21" s="220">
        <v>901716</v>
      </c>
      <c r="Q21" s="220">
        <v>901718</v>
      </c>
      <c r="R21" s="220">
        <v>901722</v>
      </c>
      <c r="S21" s="220">
        <v>901724</v>
      </c>
      <c r="T21" s="220">
        <v>901726</v>
      </c>
      <c r="U21" s="220">
        <v>901728</v>
      </c>
      <c r="V21" s="215"/>
      <c r="W21" s="219"/>
    </row>
    <row r="22" spans="2:23" s="5" customFormat="1" ht="16.5" customHeight="1" x14ac:dyDescent="0.25">
      <c r="B22" s="285">
        <v>18</v>
      </c>
      <c r="C22" s="388" t="s">
        <v>714</v>
      </c>
      <c r="D22" s="321" t="s">
        <v>41</v>
      </c>
      <c r="E22" s="20">
        <f>VLOOKUP(N22,'FS Data'!$A:$B,2,FALSE)</f>
        <v>21</v>
      </c>
      <c r="F22" s="20">
        <f>VLOOKUP(O22,'FS Data'!$A:$B,2,FALSE)</f>
        <v>33249</v>
      </c>
      <c r="G22" s="20">
        <f>VLOOKUP(P22,'FS Data'!$A:$B,2,FALSE)</f>
        <v>9169</v>
      </c>
      <c r="H22" s="177">
        <f>VLOOKUP(Q22,'FS Data'!$A:$B,2,FALSE)/10</f>
        <v>27.6</v>
      </c>
      <c r="I22" s="117">
        <f>VLOOKUP(R22,'FS Data'!$A:$B,2,FALSE)</f>
        <v>21</v>
      </c>
      <c r="J22" s="117">
        <f>VLOOKUP(S22,'FS Data'!$A:$B,2,FALSE)</f>
        <v>33249</v>
      </c>
      <c r="K22" s="117">
        <f>VLOOKUP(T22,'FS Data'!$A:$B,2,FALSE)</f>
        <v>9169</v>
      </c>
      <c r="L22" s="195">
        <f>VLOOKUP(U22,'FS Data'!$A:$B,2,FALSE)/10</f>
        <v>27.6</v>
      </c>
      <c r="M22" s="218"/>
      <c r="N22" s="220">
        <v>901812</v>
      </c>
      <c r="O22" s="220">
        <v>901814</v>
      </c>
      <c r="P22" s="220">
        <v>901816</v>
      </c>
      <c r="Q22" s="220">
        <v>901818</v>
      </c>
      <c r="R22" s="220">
        <v>901822</v>
      </c>
      <c r="S22" s="220">
        <v>901824</v>
      </c>
      <c r="T22" s="220">
        <v>901826</v>
      </c>
      <c r="U22" s="220">
        <v>901828</v>
      </c>
      <c r="V22" s="215"/>
      <c r="W22" s="219"/>
    </row>
    <row r="23" spans="2:23" s="5" customFormat="1" ht="16.5" customHeight="1" x14ac:dyDescent="0.25">
      <c r="B23" s="285">
        <v>19</v>
      </c>
      <c r="C23" s="388" t="s">
        <v>715</v>
      </c>
      <c r="D23" s="321" t="s">
        <v>42</v>
      </c>
      <c r="E23" s="114">
        <f>VLOOKUP(N23,'FS Data'!$A:$B,2,FALSE)</f>
        <v>20</v>
      </c>
      <c r="F23" s="114">
        <f>VLOOKUP(O23,'FS Data'!$A:$B,2,FALSE)</f>
        <v>12554</v>
      </c>
      <c r="G23" s="114">
        <f>VLOOKUP(P23,'FS Data'!$A:$B,2,FALSE)</f>
        <v>3590</v>
      </c>
      <c r="H23" s="191">
        <f>VLOOKUP(Q23,'FS Data'!$A:$B,2,FALSE)/10</f>
        <v>28.6</v>
      </c>
      <c r="I23" s="125">
        <f>VLOOKUP(R23,'FS Data'!$A:$B,2,FALSE)</f>
        <v>20</v>
      </c>
      <c r="J23" s="125">
        <f>VLOOKUP(S23,'FS Data'!$A:$B,2,FALSE)</f>
        <v>12554</v>
      </c>
      <c r="K23" s="125">
        <f>VLOOKUP(T23,'FS Data'!$A:$B,2,FALSE)</f>
        <v>3590</v>
      </c>
      <c r="L23" s="192">
        <f>VLOOKUP(U23,'FS Data'!$A:$B,2,FALSE)/10</f>
        <v>28.6</v>
      </c>
      <c r="M23" s="218"/>
      <c r="N23" s="220">
        <v>901912</v>
      </c>
      <c r="O23" s="220">
        <v>901914</v>
      </c>
      <c r="P23" s="220">
        <v>901916</v>
      </c>
      <c r="Q23" s="220">
        <v>901918</v>
      </c>
      <c r="R23" s="220">
        <v>901922</v>
      </c>
      <c r="S23" s="220">
        <v>901924</v>
      </c>
      <c r="T23" s="220">
        <v>901926</v>
      </c>
      <c r="U23" s="220">
        <v>901928</v>
      </c>
      <c r="V23" s="215"/>
      <c r="W23" s="219"/>
    </row>
    <row r="24" spans="2:23" s="5" customFormat="1" ht="16.5" customHeight="1" x14ac:dyDescent="0.25">
      <c r="B24" s="285">
        <v>20</v>
      </c>
      <c r="C24" s="388" t="s">
        <v>716</v>
      </c>
      <c r="D24" s="321" t="s">
        <v>180</v>
      </c>
      <c r="E24" s="114">
        <f>VLOOKUP(N24,'FS Data'!$A:$B,2,FALSE)</f>
        <v>0</v>
      </c>
      <c r="F24" s="114">
        <f>VLOOKUP(O24,'FS Data'!$A:$B,2,FALSE)</f>
        <v>8580</v>
      </c>
      <c r="G24" s="114">
        <f>VLOOKUP(P24,'FS Data'!$A:$B,2,FALSE)</f>
        <v>2451</v>
      </c>
      <c r="H24" s="191">
        <f>VLOOKUP(Q24,'FS Data'!$A:$B,2,FALSE)/10</f>
        <v>28.6</v>
      </c>
      <c r="I24" s="125">
        <f>VLOOKUP(R24,'FS Data'!$A:$B,2,FALSE)</f>
        <v>0</v>
      </c>
      <c r="J24" s="125">
        <f>VLOOKUP(S24,'FS Data'!$A:$B,2,FALSE)</f>
        <v>8580</v>
      </c>
      <c r="K24" s="125">
        <f>VLOOKUP(T24,'FS Data'!$A:$B,2,FALSE)</f>
        <v>2451</v>
      </c>
      <c r="L24" s="192">
        <f>VLOOKUP(U24,'FS Data'!$A:$B,2,FALSE)/10</f>
        <v>28.6</v>
      </c>
      <c r="M24" s="218"/>
      <c r="N24" s="220">
        <v>902012</v>
      </c>
      <c r="O24" s="220">
        <v>902014</v>
      </c>
      <c r="P24" s="220">
        <v>902016</v>
      </c>
      <c r="Q24" s="220">
        <v>902018</v>
      </c>
      <c r="R24" s="220">
        <v>902022</v>
      </c>
      <c r="S24" s="220">
        <v>902024</v>
      </c>
      <c r="T24" s="220">
        <v>902026</v>
      </c>
      <c r="U24" s="220">
        <v>902028</v>
      </c>
      <c r="V24" s="215"/>
      <c r="W24" s="219"/>
    </row>
    <row r="25" spans="2:23" s="5" customFormat="1" ht="16.5" customHeight="1" x14ac:dyDescent="0.25">
      <c r="B25" s="285">
        <v>21</v>
      </c>
      <c r="C25" s="388" t="s">
        <v>717</v>
      </c>
      <c r="D25" s="321" t="s">
        <v>43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2">
        <f>VLOOKUP(U25,'FS Data'!$A:$B,2,FALSE)/10</f>
        <v>0</v>
      </c>
      <c r="M25" s="218"/>
      <c r="N25" s="220">
        <v>902112</v>
      </c>
      <c r="O25" s="220">
        <v>902114</v>
      </c>
      <c r="P25" s="220">
        <v>902116</v>
      </c>
      <c r="Q25" s="220">
        <v>902118</v>
      </c>
      <c r="R25" s="220">
        <v>902122</v>
      </c>
      <c r="S25" s="220">
        <v>902124</v>
      </c>
      <c r="T25" s="220">
        <v>902126</v>
      </c>
      <c r="U25" s="220">
        <v>902128</v>
      </c>
      <c r="V25" s="215"/>
      <c r="W25" s="219"/>
    </row>
    <row r="26" spans="2:23" s="5" customFormat="1" ht="16.5" customHeight="1" thickBot="1" x14ac:dyDescent="0.3">
      <c r="B26" s="285">
        <v>22</v>
      </c>
      <c r="C26" s="388" t="s">
        <v>718</v>
      </c>
      <c r="D26" s="284" t="s">
        <v>44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70">
        <f>VLOOKUP(R26,'FS Data'!$A:$B,2,FALSE)</f>
        <v>0</v>
      </c>
      <c r="J26" s="170">
        <f>VLOOKUP(S26,'FS Data'!$A:$B,2,FALSE)</f>
        <v>0</v>
      </c>
      <c r="K26" s="170">
        <f>VLOOKUP(T26,'FS Data'!$A:$B,2,FALSE)</f>
        <v>0</v>
      </c>
      <c r="L26" s="194">
        <f>VLOOKUP(U26,'FS Data'!$A:$B,2,FALSE)/10</f>
        <v>0</v>
      </c>
      <c r="M26" s="218"/>
      <c r="N26" s="220">
        <v>902212</v>
      </c>
      <c r="O26" s="220">
        <v>902214</v>
      </c>
      <c r="P26" s="220">
        <v>902216</v>
      </c>
      <c r="Q26" s="220">
        <v>902218</v>
      </c>
      <c r="R26" s="220">
        <v>902222</v>
      </c>
      <c r="S26" s="220">
        <v>902224</v>
      </c>
      <c r="T26" s="220">
        <v>902226</v>
      </c>
      <c r="U26" s="220">
        <v>902228</v>
      </c>
      <c r="V26" s="215"/>
      <c r="W26" s="219"/>
    </row>
    <row r="27" spans="2:23" s="5" customFormat="1" ht="16.5" customHeight="1" thickBot="1" x14ac:dyDescent="0.3">
      <c r="B27" s="285">
        <v>23</v>
      </c>
      <c r="C27" s="712" t="s">
        <v>719</v>
      </c>
      <c r="D27" s="396"/>
      <c r="E27" s="148">
        <f>VLOOKUP(N27,'FS Data'!$A:$B,2,FALSE)</f>
        <v>41</v>
      </c>
      <c r="F27" s="148">
        <f>VLOOKUP(O27,'FS Data'!$A:$B,2,FALSE)</f>
        <v>54383</v>
      </c>
      <c r="G27" s="148">
        <f>VLOOKUP(P27,'FS Data'!$A:$B,2,FALSE)</f>
        <v>15210</v>
      </c>
      <c r="H27" s="196">
        <f>VLOOKUP(Q27,'FS Data'!$A:$B,2,FALSE)/10</f>
        <v>28</v>
      </c>
      <c r="I27" s="145">
        <f>VLOOKUP(R27,'FS Data'!$A:$B,2,FALSE)</f>
        <v>41</v>
      </c>
      <c r="J27" s="145">
        <f>VLOOKUP(S27,'FS Data'!$A:$B,2,FALSE)</f>
        <v>54383</v>
      </c>
      <c r="K27" s="145">
        <f>VLOOKUP(T27,'FS Data'!$A:$B,2,FALSE)</f>
        <v>15210</v>
      </c>
      <c r="L27" s="197">
        <f>VLOOKUP(U27,'FS Data'!$A:$B,2,FALSE)/10</f>
        <v>28</v>
      </c>
      <c r="M27" s="218"/>
      <c r="N27" s="220">
        <v>902312</v>
      </c>
      <c r="O27" s="220">
        <v>902314</v>
      </c>
      <c r="P27" s="220">
        <v>902316</v>
      </c>
      <c r="Q27" s="220">
        <v>902318</v>
      </c>
      <c r="R27" s="220">
        <v>902322</v>
      </c>
      <c r="S27" s="220">
        <v>902324</v>
      </c>
      <c r="T27" s="220">
        <v>902326</v>
      </c>
      <c r="U27" s="220">
        <v>902328</v>
      </c>
      <c r="V27" s="215"/>
      <c r="W27" s="219"/>
    </row>
    <row r="28" spans="2:23" s="5" customFormat="1" ht="16.5" customHeight="1" x14ac:dyDescent="0.25">
      <c r="B28" s="285">
        <v>24</v>
      </c>
      <c r="C28" s="388" t="s">
        <v>720</v>
      </c>
      <c r="D28" s="321" t="s">
        <v>45</v>
      </c>
      <c r="E28" s="20">
        <f>VLOOKUP(N28,'FS Data'!$A:$B,2,FALSE)</f>
        <v>21</v>
      </c>
      <c r="F28" s="20">
        <f>VLOOKUP(O28,'FS Data'!$A:$B,2,FALSE)</f>
        <v>5152</v>
      </c>
      <c r="G28" s="20">
        <f>VLOOKUP(P28,'FS Data'!$A:$B,2,FALSE)</f>
        <v>2073</v>
      </c>
      <c r="H28" s="177">
        <f>VLOOKUP(Q28,'FS Data'!$A:$B,2,FALSE)/10</f>
        <v>40.200000000000003</v>
      </c>
      <c r="I28" s="117">
        <f>VLOOKUP(R28,'FS Data'!$A:$B,2,FALSE)</f>
        <v>21</v>
      </c>
      <c r="J28" s="117">
        <f>VLOOKUP(S28,'FS Data'!$A:$B,2,FALSE)</f>
        <v>5152</v>
      </c>
      <c r="K28" s="117">
        <f>VLOOKUP(T28,'FS Data'!$A:$B,2,FALSE)</f>
        <v>2073</v>
      </c>
      <c r="L28" s="195">
        <f>VLOOKUP(U28,'FS Data'!$A:$B,2,FALSE)/10</f>
        <v>40.200000000000003</v>
      </c>
      <c r="M28" s="218"/>
      <c r="N28" s="220">
        <v>902412</v>
      </c>
      <c r="O28" s="220">
        <v>902414</v>
      </c>
      <c r="P28" s="220">
        <v>902416</v>
      </c>
      <c r="Q28" s="220">
        <v>902418</v>
      </c>
      <c r="R28" s="220">
        <v>902422</v>
      </c>
      <c r="S28" s="220">
        <v>902424</v>
      </c>
      <c r="T28" s="220">
        <v>902426</v>
      </c>
      <c r="U28" s="220">
        <v>902428</v>
      </c>
      <c r="V28" s="215"/>
      <c r="W28" s="219"/>
    </row>
    <row r="29" spans="2:23" s="5" customFormat="1" ht="16.5" customHeight="1" x14ac:dyDescent="0.25">
      <c r="B29" s="285">
        <v>25</v>
      </c>
      <c r="C29" s="388" t="s">
        <v>721</v>
      </c>
      <c r="D29" s="321" t="s">
        <v>46</v>
      </c>
      <c r="E29" s="114">
        <f>VLOOKUP(N29,'FS Data'!$A:$B,2,FALSE)</f>
        <v>15</v>
      </c>
      <c r="F29" s="114">
        <f>VLOOKUP(O29,'FS Data'!$A:$B,2,FALSE)</f>
        <v>5701</v>
      </c>
      <c r="G29" s="114">
        <f>VLOOKUP(P29,'FS Data'!$A:$B,2,FALSE)</f>
        <v>2664</v>
      </c>
      <c r="H29" s="191">
        <f>VLOOKUP(Q29,'FS Data'!$A:$B,2,FALSE)/10</f>
        <v>46.7</v>
      </c>
      <c r="I29" s="125">
        <f>VLOOKUP(R29,'FS Data'!$A:$B,2,FALSE)</f>
        <v>15</v>
      </c>
      <c r="J29" s="125">
        <f>VLOOKUP(S29,'FS Data'!$A:$B,2,FALSE)</f>
        <v>5701</v>
      </c>
      <c r="K29" s="125">
        <f>VLOOKUP(T29,'FS Data'!$A:$B,2,FALSE)</f>
        <v>2664</v>
      </c>
      <c r="L29" s="192">
        <f>VLOOKUP(U29,'FS Data'!$A:$B,2,FALSE)/10</f>
        <v>46.7</v>
      </c>
      <c r="M29" s="218"/>
      <c r="N29" s="220">
        <v>902512</v>
      </c>
      <c r="O29" s="220">
        <v>902514</v>
      </c>
      <c r="P29" s="220">
        <v>902516</v>
      </c>
      <c r="Q29" s="220">
        <v>902518</v>
      </c>
      <c r="R29" s="220">
        <v>902522</v>
      </c>
      <c r="S29" s="220">
        <v>902524</v>
      </c>
      <c r="T29" s="220">
        <v>902526</v>
      </c>
      <c r="U29" s="220">
        <v>902528</v>
      </c>
      <c r="V29" s="215"/>
      <c r="W29" s="219"/>
    </row>
    <row r="30" spans="2:23" s="75" customFormat="1" ht="16.5" customHeight="1" x14ac:dyDescent="0.25">
      <c r="B30" s="285">
        <v>26</v>
      </c>
      <c r="C30" s="388" t="s">
        <v>722</v>
      </c>
      <c r="D30" s="321" t="s">
        <v>181</v>
      </c>
      <c r="E30" s="114">
        <f>VLOOKUP(N30,'FS Data'!$A:$B,2,FALSE)</f>
        <v>1</v>
      </c>
      <c r="F30" s="114">
        <f>VLOOKUP(O30,'FS Data'!$A:$B,2,FALSE)</f>
        <v>44</v>
      </c>
      <c r="G30" s="114">
        <f>VLOOKUP(P30,'FS Data'!$A:$B,2,FALSE)</f>
        <v>17</v>
      </c>
      <c r="H30" s="191">
        <f>VLOOKUP(Q30,'FS Data'!$A:$B,2,FALSE)/10</f>
        <v>38.6</v>
      </c>
      <c r="I30" s="125">
        <f>VLOOKUP(R30,'FS Data'!$A:$B,2,FALSE)</f>
        <v>1</v>
      </c>
      <c r="J30" s="125">
        <f>VLOOKUP(S30,'FS Data'!$A:$B,2,FALSE)</f>
        <v>44</v>
      </c>
      <c r="K30" s="125">
        <f>VLOOKUP(T30,'FS Data'!$A:$B,2,FALSE)</f>
        <v>17</v>
      </c>
      <c r="L30" s="192">
        <f>VLOOKUP(U30,'FS Data'!$A:$B,2,FALSE)/10</f>
        <v>38.6</v>
      </c>
      <c r="M30" s="218"/>
      <c r="N30" s="220">
        <v>902612</v>
      </c>
      <c r="O30" s="220">
        <v>902614</v>
      </c>
      <c r="P30" s="220">
        <v>902616</v>
      </c>
      <c r="Q30" s="220">
        <v>902618</v>
      </c>
      <c r="R30" s="220">
        <v>902622</v>
      </c>
      <c r="S30" s="220">
        <v>902624</v>
      </c>
      <c r="T30" s="220">
        <v>902626</v>
      </c>
      <c r="U30" s="220">
        <v>902628</v>
      </c>
      <c r="V30" s="215"/>
      <c r="W30" s="219"/>
    </row>
    <row r="31" spans="2:23" s="75" customFormat="1" ht="16.5" customHeight="1" x14ac:dyDescent="0.25">
      <c r="B31" s="285">
        <v>27</v>
      </c>
      <c r="C31" s="388" t="s">
        <v>723</v>
      </c>
      <c r="D31" s="321" t="s">
        <v>47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2">
        <f>VLOOKUP(U31,'FS Data'!$A:$B,2,FALSE)/10</f>
        <v>0</v>
      </c>
      <c r="M31" s="218"/>
      <c r="N31" s="220">
        <v>902712</v>
      </c>
      <c r="O31" s="220">
        <v>902714</v>
      </c>
      <c r="P31" s="220">
        <v>902716</v>
      </c>
      <c r="Q31" s="220">
        <v>902718</v>
      </c>
      <c r="R31" s="220">
        <v>902722</v>
      </c>
      <c r="S31" s="220">
        <v>902724</v>
      </c>
      <c r="T31" s="220">
        <v>902726</v>
      </c>
      <c r="U31" s="220">
        <v>902728</v>
      </c>
      <c r="V31" s="215"/>
      <c r="W31" s="219"/>
    </row>
    <row r="32" spans="2:23" s="75" customFormat="1" ht="16.5" customHeight="1" thickBot="1" x14ac:dyDescent="0.3">
      <c r="B32" s="285">
        <v>28</v>
      </c>
      <c r="C32" s="388" t="s">
        <v>724</v>
      </c>
      <c r="D32" s="284" t="s">
        <v>48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70">
        <f>VLOOKUP(R32,'FS Data'!$A:$B,2,FALSE)</f>
        <v>0</v>
      </c>
      <c r="J32" s="170">
        <f>VLOOKUP(S32,'FS Data'!$A:$B,2,FALSE)</f>
        <v>0</v>
      </c>
      <c r="K32" s="170">
        <f>VLOOKUP(T32,'FS Data'!$A:$B,2,FALSE)</f>
        <v>0</v>
      </c>
      <c r="L32" s="194">
        <f>VLOOKUP(U32,'FS Data'!$A:$B,2,FALSE)/10</f>
        <v>0</v>
      </c>
      <c r="M32" s="218"/>
      <c r="N32" s="220">
        <v>902812</v>
      </c>
      <c r="O32" s="220">
        <v>902814</v>
      </c>
      <c r="P32" s="220">
        <v>902816</v>
      </c>
      <c r="Q32" s="220">
        <v>902818</v>
      </c>
      <c r="R32" s="220">
        <v>902822</v>
      </c>
      <c r="S32" s="220">
        <v>902824</v>
      </c>
      <c r="T32" s="220">
        <v>902826</v>
      </c>
      <c r="U32" s="220">
        <v>902828</v>
      </c>
      <c r="V32" s="215"/>
      <c r="W32" s="219"/>
    </row>
    <row r="33" spans="2:23" s="75" customFormat="1" ht="16.5" customHeight="1" thickBot="1" x14ac:dyDescent="0.3">
      <c r="B33" s="285">
        <v>29</v>
      </c>
      <c r="C33" s="619" t="s">
        <v>725</v>
      </c>
      <c r="D33" s="572"/>
      <c r="E33" s="148">
        <f>VLOOKUP(N33,'FS Data'!$A:$B,2,FALSE)</f>
        <v>37</v>
      </c>
      <c r="F33" s="148">
        <f>VLOOKUP(O33,'FS Data'!$A:$B,2,FALSE)</f>
        <v>10897</v>
      </c>
      <c r="G33" s="148">
        <f>VLOOKUP(P33,'FS Data'!$A:$B,2,FALSE)</f>
        <v>4754</v>
      </c>
      <c r="H33" s="196">
        <f>VLOOKUP(Q33,'FS Data'!$A:$B,2,FALSE)/10</f>
        <v>43.6</v>
      </c>
      <c r="I33" s="145">
        <f>VLOOKUP(R33,'FS Data'!$A:$B,2,FALSE)</f>
        <v>37</v>
      </c>
      <c r="J33" s="145">
        <f>VLOOKUP(S33,'FS Data'!$A:$B,2,FALSE)</f>
        <v>10897</v>
      </c>
      <c r="K33" s="145">
        <f>VLOOKUP(T33,'FS Data'!$A:$B,2,FALSE)</f>
        <v>4754</v>
      </c>
      <c r="L33" s="197">
        <f>VLOOKUP(U33,'FS Data'!$A:$B,2,FALSE)/10</f>
        <v>43.6</v>
      </c>
      <c r="M33" s="218"/>
      <c r="N33" s="220">
        <v>902912</v>
      </c>
      <c r="O33" s="220">
        <v>902914</v>
      </c>
      <c r="P33" s="220">
        <v>902916</v>
      </c>
      <c r="Q33" s="220">
        <v>902918</v>
      </c>
      <c r="R33" s="220">
        <v>902922</v>
      </c>
      <c r="S33" s="220">
        <v>902924</v>
      </c>
      <c r="T33" s="220">
        <v>902926</v>
      </c>
      <c r="U33" s="220">
        <v>902928</v>
      </c>
      <c r="V33" s="215"/>
      <c r="W33" s="219"/>
    </row>
    <row r="34" spans="2:23" s="5" customFormat="1" ht="16.5" customHeight="1" x14ac:dyDescent="0.25">
      <c r="B34" s="285">
        <v>30</v>
      </c>
      <c r="C34" s="388" t="s">
        <v>726</v>
      </c>
      <c r="D34" s="32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17">
        <f>VLOOKUP(R34,'FS Data'!$A:$B,2,FALSE)</f>
        <v>0</v>
      </c>
      <c r="J34" s="117">
        <f>VLOOKUP(S34,'FS Data'!$A:$B,2,FALSE)</f>
        <v>0</v>
      </c>
      <c r="K34" s="117">
        <f>VLOOKUP(T34,'FS Data'!$A:$B,2,FALSE)</f>
        <v>0</v>
      </c>
      <c r="L34" s="195">
        <f>VLOOKUP(U34,'FS Data'!$A:$B,2,FALSE)/10</f>
        <v>0</v>
      </c>
      <c r="M34" s="218"/>
      <c r="N34" s="220">
        <v>903012</v>
      </c>
      <c r="O34" s="220">
        <v>903014</v>
      </c>
      <c r="P34" s="220">
        <v>903016</v>
      </c>
      <c r="Q34" s="220">
        <v>903018</v>
      </c>
      <c r="R34" s="220">
        <v>903022</v>
      </c>
      <c r="S34" s="220">
        <v>903024</v>
      </c>
      <c r="T34" s="220">
        <v>903026</v>
      </c>
      <c r="U34" s="220">
        <v>903028</v>
      </c>
      <c r="V34" s="215"/>
      <c r="W34" s="219"/>
    </row>
    <row r="35" spans="2:23" s="5" customFormat="1" ht="16.5" customHeight="1" x14ac:dyDescent="0.25">
      <c r="B35" s="285">
        <v>31</v>
      </c>
      <c r="C35" s="388" t="s">
        <v>727</v>
      </c>
      <c r="D35" s="321" t="s">
        <v>49</v>
      </c>
      <c r="E35" s="114">
        <f>VLOOKUP(N35,'FS Data'!$A:$B,2,FALSE)</f>
        <v>69</v>
      </c>
      <c r="F35" s="114">
        <f>VLOOKUP(O35,'FS Data'!$A:$B,2,FALSE)</f>
        <v>10061</v>
      </c>
      <c r="G35" s="231">
        <f>VLOOKUP(P35,'FS Data'!$A:$B,2,FALSE)</f>
        <v>3063</v>
      </c>
      <c r="H35" s="191">
        <f>VLOOKUP(Q35,'FS Data'!$A:$B,2,FALSE)/10</f>
        <v>30.4</v>
      </c>
      <c r="I35" s="125">
        <f>VLOOKUP(R35,'FS Data'!$A:$B,2,FALSE)</f>
        <v>69</v>
      </c>
      <c r="J35" s="125">
        <f>VLOOKUP(S35,'FS Data'!$A:$B,2,FALSE)</f>
        <v>10061</v>
      </c>
      <c r="K35" s="234">
        <f>VLOOKUP(T35,'FS Data'!$A:$B,2,FALSE)</f>
        <v>3063</v>
      </c>
      <c r="L35" s="235">
        <f>VLOOKUP(U35,'FS Data'!$A:$B,2,FALSE)/10</f>
        <v>30.4</v>
      </c>
      <c r="M35" s="218"/>
      <c r="N35" s="220">
        <v>903112</v>
      </c>
      <c r="O35" s="220">
        <v>903114</v>
      </c>
      <c r="P35" s="220">
        <v>903116</v>
      </c>
      <c r="Q35" s="220">
        <v>903118</v>
      </c>
      <c r="R35" s="220">
        <v>903122</v>
      </c>
      <c r="S35" s="220">
        <v>903124</v>
      </c>
      <c r="T35" s="220">
        <v>903126</v>
      </c>
      <c r="U35" s="220">
        <v>903128</v>
      </c>
      <c r="V35" s="215"/>
      <c r="W35" s="219"/>
    </row>
    <row r="36" spans="2:23" s="5" customFormat="1" ht="16.5" customHeight="1" x14ac:dyDescent="0.25">
      <c r="B36" s="285">
        <v>32</v>
      </c>
      <c r="C36" s="388" t="s">
        <v>728</v>
      </c>
      <c r="D36" s="321" t="s">
        <v>50</v>
      </c>
      <c r="E36" s="114">
        <f>VLOOKUP(N36,'FS Data'!$A:$B,2,FALSE)</f>
        <v>0</v>
      </c>
      <c r="F36" s="114">
        <f>VLOOKUP(O36,'FS Data'!$A:$B,2,FALSE)</f>
        <v>0</v>
      </c>
      <c r="G36" s="231">
        <f>VLOOKUP(P36,'FS Data'!$A:$B,2,FALSE)</f>
        <v>0</v>
      </c>
      <c r="H36" s="191">
        <f>VLOOKUP(Q36,'FS Data'!$A:$B,2,FALSE)/10</f>
        <v>0</v>
      </c>
      <c r="I36" s="125">
        <f>VLOOKUP(R36,'FS Data'!$A:$B,2,FALSE)</f>
        <v>0</v>
      </c>
      <c r="J36" s="125">
        <f>VLOOKUP(S36,'FS Data'!$A:$B,2,FALSE)</f>
        <v>0</v>
      </c>
      <c r="K36" s="234">
        <f>VLOOKUP(T36,'FS Data'!$A:$B,2,FALSE)</f>
        <v>0</v>
      </c>
      <c r="L36" s="235">
        <f>VLOOKUP(U36,'FS Data'!$A:$B,2,FALSE)/10</f>
        <v>0</v>
      </c>
      <c r="M36" s="218"/>
      <c r="N36" s="220">
        <v>903212</v>
      </c>
      <c r="O36" s="220">
        <v>903214</v>
      </c>
      <c r="P36" s="220">
        <v>903216</v>
      </c>
      <c r="Q36" s="220">
        <v>903218</v>
      </c>
      <c r="R36" s="220">
        <v>903222</v>
      </c>
      <c r="S36" s="220">
        <v>903224</v>
      </c>
      <c r="T36" s="220">
        <v>903226</v>
      </c>
      <c r="U36" s="220">
        <v>903228</v>
      </c>
      <c r="V36" s="215"/>
      <c r="W36" s="219"/>
    </row>
    <row r="37" spans="2:23" s="5" customFormat="1" ht="16.5" customHeight="1" x14ac:dyDescent="0.25">
      <c r="B37" s="285">
        <v>33</v>
      </c>
      <c r="C37" s="388" t="s">
        <v>729</v>
      </c>
      <c r="D37" s="321" t="s">
        <v>182</v>
      </c>
      <c r="E37" s="114">
        <f>VLOOKUP(N37,'FS Data'!$A:$B,2,FALSE)</f>
        <v>0</v>
      </c>
      <c r="F37" s="114">
        <f>VLOOKUP(O37,'FS Data'!$A:$B,2,FALSE)</f>
        <v>0</v>
      </c>
      <c r="G37" s="231">
        <f>VLOOKUP(P37,'FS Data'!$A:$B,2,FALSE)</f>
        <v>0</v>
      </c>
      <c r="H37" s="191">
        <f>VLOOKUP(Q37,'FS Data'!$A:$B,2,FALSE)/10</f>
        <v>0</v>
      </c>
      <c r="I37" s="125">
        <f>VLOOKUP(R37,'FS Data'!$A:$B,2,FALSE)</f>
        <v>0</v>
      </c>
      <c r="J37" s="125">
        <f>VLOOKUP(S37,'FS Data'!$A:$B,2,FALSE)</f>
        <v>0</v>
      </c>
      <c r="K37" s="234">
        <f>VLOOKUP(T37,'FS Data'!$A:$B,2,FALSE)</f>
        <v>0</v>
      </c>
      <c r="L37" s="235">
        <f>VLOOKUP(U37,'FS Data'!$A:$B,2,FALSE)/10</f>
        <v>0</v>
      </c>
      <c r="M37" s="218"/>
      <c r="N37" s="220">
        <v>903312</v>
      </c>
      <c r="O37" s="220">
        <v>903314</v>
      </c>
      <c r="P37" s="220">
        <v>903316</v>
      </c>
      <c r="Q37" s="220">
        <v>903318</v>
      </c>
      <c r="R37" s="220">
        <v>903322</v>
      </c>
      <c r="S37" s="220">
        <v>903324</v>
      </c>
      <c r="T37" s="220">
        <v>903326</v>
      </c>
      <c r="U37" s="220">
        <v>903328</v>
      </c>
      <c r="V37" s="215"/>
      <c r="W37" s="219"/>
    </row>
    <row r="38" spans="2:23" s="5" customFormat="1" ht="16.5" customHeight="1" x14ac:dyDescent="0.25">
      <c r="B38" s="285">
        <v>34</v>
      </c>
      <c r="C38" s="388" t="s">
        <v>730</v>
      </c>
      <c r="D38" s="321" t="s">
        <v>51</v>
      </c>
      <c r="E38" s="114">
        <f>VLOOKUP(N38,'FS Data'!$A:$B,2,FALSE)</f>
        <v>0</v>
      </c>
      <c r="F38" s="114">
        <f>VLOOKUP(O38,'FS Data'!$A:$B,2,FALSE)</f>
        <v>0</v>
      </c>
      <c r="G38" s="231">
        <f>VLOOKUP(P38,'FS Data'!$A:$B,2,FALSE)</f>
        <v>0</v>
      </c>
      <c r="H38" s="191">
        <f>VLOOKUP(Q38,'FS Data'!$A:$B,2,FALSE)/10</f>
        <v>0</v>
      </c>
      <c r="I38" s="125">
        <f>VLOOKUP(R38,'FS Data'!$A:$B,2,FALSE)</f>
        <v>0</v>
      </c>
      <c r="J38" s="125">
        <f>VLOOKUP(S38,'FS Data'!$A:$B,2,FALSE)</f>
        <v>0</v>
      </c>
      <c r="K38" s="234">
        <f>VLOOKUP(T38,'FS Data'!$A:$B,2,FALSE)</f>
        <v>0</v>
      </c>
      <c r="L38" s="235">
        <f>VLOOKUP(U38,'FS Data'!$A:$B,2,FALSE)/10</f>
        <v>0</v>
      </c>
      <c r="M38" s="218"/>
      <c r="N38" s="220">
        <v>903412</v>
      </c>
      <c r="O38" s="220">
        <v>903414</v>
      </c>
      <c r="P38" s="220">
        <v>903416</v>
      </c>
      <c r="Q38" s="220">
        <v>903418</v>
      </c>
      <c r="R38" s="220">
        <v>903422</v>
      </c>
      <c r="S38" s="220">
        <v>903424</v>
      </c>
      <c r="T38" s="220">
        <v>903426</v>
      </c>
      <c r="U38" s="220">
        <v>903428</v>
      </c>
      <c r="V38" s="215"/>
      <c r="W38" s="219"/>
    </row>
    <row r="39" spans="2:23" s="5" customFormat="1" ht="16.5" customHeight="1" x14ac:dyDescent="0.25">
      <c r="B39" s="285">
        <v>35</v>
      </c>
      <c r="C39" s="388" t="s">
        <v>731</v>
      </c>
      <c r="D39" s="284" t="s">
        <v>91</v>
      </c>
      <c r="E39" s="114">
        <f>VLOOKUP(N39,'FS Data'!$A:$B,2,FALSE)</f>
        <v>3</v>
      </c>
      <c r="F39" s="114">
        <f>VLOOKUP(O39,'FS Data'!$A:$B,2,FALSE)</f>
        <v>-15</v>
      </c>
      <c r="G39" s="231">
        <f>VLOOKUP(P39,'FS Data'!$A:$B,2,FALSE)</f>
        <v>11</v>
      </c>
      <c r="H39" s="191">
        <f>VLOOKUP(Q39,'FS Data'!$A:$B,2,FALSE)/10</f>
        <v>-73.3</v>
      </c>
      <c r="I39" s="125">
        <f>VLOOKUP(R39,'FS Data'!$A:$B,2,FALSE)</f>
        <v>3</v>
      </c>
      <c r="J39" s="125">
        <f>VLOOKUP(S39,'FS Data'!$A:$B,2,FALSE)</f>
        <v>-15</v>
      </c>
      <c r="K39" s="234">
        <f>VLOOKUP(T39,'FS Data'!$A:$B,2,FALSE)</f>
        <v>11</v>
      </c>
      <c r="L39" s="235">
        <f>VLOOKUP(U39,'FS Data'!$A:$B,2,FALSE)/10</f>
        <v>-73.3</v>
      </c>
      <c r="M39" s="218"/>
      <c r="N39" s="220">
        <v>903512</v>
      </c>
      <c r="O39" s="220">
        <v>903514</v>
      </c>
      <c r="P39" s="220">
        <v>903516</v>
      </c>
      <c r="Q39" s="220">
        <v>903518</v>
      </c>
      <c r="R39" s="220">
        <v>903522</v>
      </c>
      <c r="S39" s="220">
        <v>903524</v>
      </c>
      <c r="T39" s="220">
        <v>903526</v>
      </c>
      <c r="U39" s="220">
        <v>903528</v>
      </c>
      <c r="V39" s="215"/>
      <c r="W39" s="219"/>
    </row>
    <row r="40" spans="2:23" s="5" customFormat="1" ht="16.5" customHeight="1" x14ac:dyDescent="0.25">
      <c r="B40" s="285">
        <v>36</v>
      </c>
      <c r="C40" s="388" t="s">
        <v>732</v>
      </c>
      <c r="D40" s="284" t="s">
        <v>92</v>
      </c>
      <c r="E40" s="114">
        <f>VLOOKUP(N40,'FS Data'!$A:$B,2,FALSE)</f>
        <v>10</v>
      </c>
      <c r="F40" s="114">
        <f>VLOOKUP(O40,'FS Data'!$A:$B,2,FALSE)</f>
        <v>1953</v>
      </c>
      <c r="G40" s="114">
        <f>VLOOKUP(P40,'FS Data'!$A:$B,2,FALSE)</f>
        <v>606</v>
      </c>
      <c r="H40" s="191">
        <f>VLOOKUP(Q40,'FS Data'!$A:$B,2,FALSE)/10</f>
        <v>31</v>
      </c>
      <c r="I40" s="125">
        <f>VLOOKUP(R40,'FS Data'!$A:$B,2,FALSE)</f>
        <v>10</v>
      </c>
      <c r="J40" s="125">
        <f>VLOOKUP(S40,'FS Data'!$A:$B,2,FALSE)</f>
        <v>1953</v>
      </c>
      <c r="K40" s="234">
        <f>VLOOKUP(T40,'FS Data'!$A:$B,2,FALSE)</f>
        <v>606</v>
      </c>
      <c r="L40" s="192">
        <f>VLOOKUP(U40,'FS Data'!$A:$B,2,FALSE)/10</f>
        <v>31</v>
      </c>
      <c r="M40" s="218"/>
      <c r="N40" s="220">
        <v>903612</v>
      </c>
      <c r="O40" s="220">
        <v>903614</v>
      </c>
      <c r="P40" s="220">
        <v>903616</v>
      </c>
      <c r="Q40" s="220">
        <v>903618</v>
      </c>
      <c r="R40" s="220">
        <v>903622</v>
      </c>
      <c r="S40" s="220">
        <v>903624</v>
      </c>
      <c r="T40" s="220">
        <v>903626</v>
      </c>
      <c r="U40" s="220">
        <v>903628</v>
      </c>
      <c r="V40" s="215"/>
      <c r="W40" s="219"/>
    </row>
    <row r="41" spans="2:23" s="5" customFormat="1" ht="16.5" customHeight="1" x14ac:dyDescent="0.25">
      <c r="B41" s="285">
        <v>37</v>
      </c>
      <c r="C41" s="388" t="s">
        <v>733</v>
      </c>
      <c r="D41" s="284" t="s">
        <v>93</v>
      </c>
      <c r="E41" s="114">
        <f>VLOOKUP(N41,'FS Data'!$A:$B,2,FALSE)</f>
        <v>0</v>
      </c>
      <c r="F41" s="114">
        <f>VLOOKUP(O41,'FS Data'!$A:$B,2,FALSE)</f>
        <v>0</v>
      </c>
      <c r="G41" s="114">
        <f>VLOOKUP(P41,'FS Data'!$A:$B,2,FALSE)</f>
        <v>0</v>
      </c>
      <c r="H41" s="191">
        <f>VLOOKUP(Q41,'FS Data'!$A:$B,2,FALSE)/10</f>
        <v>0</v>
      </c>
      <c r="I41" s="125">
        <f>VLOOKUP(R41,'FS Data'!$A:$B,2,FALSE)</f>
        <v>0</v>
      </c>
      <c r="J41" s="125">
        <f>VLOOKUP(S41,'FS Data'!$A:$B,2,FALSE)</f>
        <v>0</v>
      </c>
      <c r="K41" s="125">
        <f>VLOOKUP(T41,'FS Data'!$A:$B,2,FALSE)</f>
        <v>0</v>
      </c>
      <c r="L41" s="192">
        <f>VLOOKUP(U41,'FS Data'!$A:$B,2,FALSE)/10</f>
        <v>0</v>
      </c>
      <c r="M41" s="218"/>
      <c r="N41" s="220">
        <v>903712</v>
      </c>
      <c r="O41" s="220">
        <v>903714</v>
      </c>
      <c r="P41" s="220">
        <v>903716</v>
      </c>
      <c r="Q41" s="220">
        <v>903718</v>
      </c>
      <c r="R41" s="220">
        <v>903722</v>
      </c>
      <c r="S41" s="220">
        <v>903724</v>
      </c>
      <c r="T41" s="220">
        <v>903726</v>
      </c>
      <c r="U41" s="220">
        <v>903728</v>
      </c>
      <c r="V41" s="215"/>
      <c r="W41" s="219"/>
    </row>
    <row r="42" spans="2:23" s="5" customFormat="1" ht="16.5" customHeight="1" x14ac:dyDescent="0.25">
      <c r="B42" s="285">
        <v>38</v>
      </c>
      <c r="C42" s="388" t="s">
        <v>734</v>
      </c>
      <c r="D42" s="284" t="s">
        <v>94</v>
      </c>
      <c r="E42" s="114">
        <f>VLOOKUP(N42,'FS Data'!$A:$B,2,FALSE)</f>
        <v>0</v>
      </c>
      <c r="F42" s="114">
        <f>VLOOKUP(O42,'FS Data'!$A:$B,2,FALSE)</f>
        <v>0</v>
      </c>
      <c r="G42" s="114">
        <f>VLOOKUP(P42,'FS Data'!$A:$B,2,FALSE)</f>
        <v>0</v>
      </c>
      <c r="H42" s="191">
        <f>VLOOKUP(Q42,'FS Data'!$A:$B,2,FALSE)/10</f>
        <v>0</v>
      </c>
      <c r="I42" s="125">
        <f>VLOOKUP(R42,'FS Data'!$A:$B,2,FALSE)</f>
        <v>0</v>
      </c>
      <c r="J42" s="125">
        <f>VLOOKUP(S42,'FS Data'!$A:$B,2,FALSE)</f>
        <v>0</v>
      </c>
      <c r="K42" s="125">
        <f>VLOOKUP(T42,'FS Data'!$A:$B,2,FALSE)</f>
        <v>0</v>
      </c>
      <c r="L42" s="192">
        <f>VLOOKUP(U42,'FS Data'!$A:$B,2,FALSE)/10</f>
        <v>0</v>
      </c>
      <c r="M42" s="218"/>
      <c r="N42" s="220">
        <v>903812</v>
      </c>
      <c r="O42" s="220">
        <v>903814</v>
      </c>
      <c r="P42" s="220">
        <v>903816</v>
      </c>
      <c r="Q42" s="220">
        <v>903818</v>
      </c>
      <c r="R42" s="220">
        <v>903822</v>
      </c>
      <c r="S42" s="220">
        <v>903824</v>
      </c>
      <c r="T42" s="220">
        <v>903826</v>
      </c>
      <c r="U42" s="220">
        <v>903828</v>
      </c>
      <c r="V42" s="215"/>
      <c r="W42" s="219"/>
    </row>
    <row r="43" spans="2:23" s="5" customFormat="1" ht="16.5" customHeight="1" x14ac:dyDescent="0.25">
      <c r="B43" s="285">
        <v>39</v>
      </c>
      <c r="C43" s="388" t="s">
        <v>735</v>
      </c>
      <c r="D43" s="284" t="s">
        <v>95</v>
      </c>
      <c r="E43" s="114">
        <f>VLOOKUP(N43,'FS Data'!$A:$B,2,FALSE)</f>
        <v>0</v>
      </c>
      <c r="F43" s="114">
        <f>VLOOKUP(O43,'FS Data'!$A:$B,2,FALSE)</f>
        <v>0</v>
      </c>
      <c r="G43" s="114">
        <f>VLOOKUP(P43,'FS Data'!$A:$B,2,FALSE)</f>
        <v>0</v>
      </c>
      <c r="H43" s="191">
        <f>VLOOKUP(Q43,'FS Data'!$A:$B,2,FALSE)/10</f>
        <v>0</v>
      </c>
      <c r="I43" s="125">
        <f>VLOOKUP(R43,'FS Data'!$A:$B,2,FALSE)</f>
        <v>0</v>
      </c>
      <c r="J43" s="125">
        <f>VLOOKUP(S43,'FS Data'!$A:$B,2,FALSE)</f>
        <v>0</v>
      </c>
      <c r="K43" s="125">
        <f>VLOOKUP(T43,'FS Data'!$A:$B,2,FALSE)</f>
        <v>0</v>
      </c>
      <c r="L43" s="192">
        <f>VLOOKUP(U43,'FS Data'!$A:$B,2,FALSE)/10</f>
        <v>0</v>
      </c>
      <c r="M43" s="218"/>
      <c r="N43" s="220">
        <v>903912</v>
      </c>
      <c r="O43" s="220">
        <v>903914</v>
      </c>
      <c r="P43" s="220">
        <v>903916</v>
      </c>
      <c r="Q43" s="220">
        <v>903918</v>
      </c>
      <c r="R43" s="220">
        <v>903922</v>
      </c>
      <c r="S43" s="220">
        <v>903924</v>
      </c>
      <c r="T43" s="220">
        <v>903926</v>
      </c>
      <c r="U43" s="220">
        <v>903928</v>
      </c>
      <c r="V43" s="215"/>
      <c r="W43" s="219"/>
    </row>
    <row r="44" spans="2:23" s="5" customFormat="1" ht="16.5" customHeight="1" thickBot="1" x14ac:dyDescent="0.3">
      <c r="B44" s="285">
        <v>40</v>
      </c>
      <c r="C44" s="388" t="s">
        <v>736</v>
      </c>
      <c r="D44" s="284" t="s">
        <v>96</v>
      </c>
      <c r="E44" s="128">
        <f>VLOOKUP(N44,'FS Data'!$A:$B,2,FALSE)</f>
        <v>0</v>
      </c>
      <c r="F44" s="128">
        <f>VLOOKUP(O44,'FS Data'!$A:$B,2,FALSE)</f>
        <v>0</v>
      </c>
      <c r="G44" s="128">
        <f>VLOOKUP(P44,'FS Data'!$A:$B,2,FALSE)</f>
        <v>0</v>
      </c>
      <c r="H44" s="193">
        <f>VLOOKUP(Q44,'FS Data'!$A:$B,2,FALSE)/10</f>
        <v>0</v>
      </c>
      <c r="I44" s="170">
        <f>VLOOKUP(R44,'FS Data'!$A:$B,2,FALSE)</f>
        <v>0</v>
      </c>
      <c r="J44" s="170">
        <f>VLOOKUP(S44,'FS Data'!$A:$B,2,FALSE)</f>
        <v>0</v>
      </c>
      <c r="K44" s="170">
        <f>VLOOKUP(T44,'FS Data'!$A:$B,2,FALSE)</f>
        <v>0</v>
      </c>
      <c r="L44" s="194">
        <f>VLOOKUP(U44,'FS Data'!$A:$B,2,FALSE)/10</f>
        <v>0</v>
      </c>
      <c r="M44" s="218"/>
      <c r="N44" s="220">
        <v>904012</v>
      </c>
      <c r="O44" s="220">
        <v>904014</v>
      </c>
      <c r="P44" s="220">
        <v>904016</v>
      </c>
      <c r="Q44" s="220">
        <v>904018</v>
      </c>
      <c r="R44" s="220">
        <v>904022</v>
      </c>
      <c r="S44" s="220">
        <v>904024</v>
      </c>
      <c r="T44" s="220">
        <v>904026</v>
      </c>
      <c r="U44" s="220">
        <v>904028</v>
      </c>
      <c r="V44" s="215"/>
      <c r="W44" s="219"/>
    </row>
    <row r="45" spans="2:23" s="5" customFormat="1" ht="16.5" customHeight="1" thickBot="1" x14ac:dyDescent="0.3">
      <c r="B45" s="285">
        <v>41</v>
      </c>
      <c r="C45" s="619" t="s">
        <v>737</v>
      </c>
      <c r="D45" s="572"/>
      <c r="E45" s="148">
        <f>VLOOKUP(N45,'FS Data'!$A:$B,2,FALSE)</f>
        <v>82</v>
      </c>
      <c r="F45" s="148">
        <f>VLOOKUP(O45,'FS Data'!$A:$B,2,FALSE)</f>
        <v>11999</v>
      </c>
      <c r="G45" s="148">
        <f>VLOOKUP(P45,'FS Data'!$A:$B,2,FALSE)</f>
        <v>3680</v>
      </c>
      <c r="H45" s="196">
        <f>VLOOKUP(Q45,'FS Data'!$A:$B,2,FALSE)/10</f>
        <v>30.7</v>
      </c>
      <c r="I45" s="145">
        <f>VLOOKUP(R45,'FS Data'!$A:$B,2,FALSE)</f>
        <v>82</v>
      </c>
      <c r="J45" s="145">
        <f>VLOOKUP(S45,'FS Data'!$A:$B,2,FALSE)</f>
        <v>11999</v>
      </c>
      <c r="K45" s="145">
        <f>VLOOKUP(T45,'FS Data'!$A:$B,2,FALSE)</f>
        <v>3680</v>
      </c>
      <c r="L45" s="197">
        <f>VLOOKUP(U45,'FS Data'!$A:$B,2,FALSE)/10</f>
        <v>30.7</v>
      </c>
      <c r="M45" s="218"/>
      <c r="N45" s="220">
        <v>904112</v>
      </c>
      <c r="O45" s="220">
        <v>904114</v>
      </c>
      <c r="P45" s="220">
        <v>904116</v>
      </c>
      <c r="Q45" s="220">
        <v>904118</v>
      </c>
      <c r="R45" s="220">
        <v>904122</v>
      </c>
      <c r="S45" s="220">
        <v>904124</v>
      </c>
      <c r="T45" s="220">
        <v>904126</v>
      </c>
      <c r="U45" s="220">
        <v>904128</v>
      </c>
      <c r="V45" s="215"/>
      <c r="W45" s="219"/>
    </row>
    <row r="46" spans="2:23" s="5" customFormat="1" ht="16.5" customHeight="1" x14ac:dyDescent="0.25">
      <c r="B46" s="285">
        <v>42</v>
      </c>
      <c r="C46" s="388" t="s">
        <v>738</v>
      </c>
      <c r="D46" s="321" t="s">
        <v>97</v>
      </c>
      <c r="E46" s="20">
        <f>VLOOKUP(N46,'FS Data'!$A:$B,2,FALSE)</f>
        <v>67</v>
      </c>
      <c r="F46" s="20">
        <f>VLOOKUP(O46,'FS Data'!$A:$B,2,FALSE)</f>
        <v>30135</v>
      </c>
      <c r="G46" s="20">
        <f>VLOOKUP(P46,'FS Data'!$A:$B,2,FALSE)</f>
        <v>7032</v>
      </c>
      <c r="H46" s="177">
        <f>VLOOKUP(Q46,'FS Data'!$A:$B,2,FALSE)/10</f>
        <v>23.3</v>
      </c>
      <c r="I46" s="117">
        <f>VLOOKUP(R46,'FS Data'!$A:$B,2,FALSE)</f>
        <v>67</v>
      </c>
      <c r="J46" s="117">
        <f>VLOOKUP(S46,'FS Data'!$A:$B,2,FALSE)</f>
        <v>30135</v>
      </c>
      <c r="K46" s="117">
        <f>VLOOKUP(T46,'FS Data'!$A:$B,2,FALSE)</f>
        <v>7032</v>
      </c>
      <c r="L46" s="195">
        <f>VLOOKUP(U46,'FS Data'!$A:$B,2,FALSE)/10</f>
        <v>23.3</v>
      </c>
      <c r="M46" s="218"/>
      <c r="N46" s="220">
        <v>904212</v>
      </c>
      <c r="O46" s="220">
        <v>904214</v>
      </c>
      <c r="P46" s="220">
        <v>904216</v>
      </c>
      <c r="Q46" s="220">
        <v>904218</v>
      </c>
      <c r="R46" s="220">
        <v>904222</v>
      </c>
      <c r="S46" s="220">
        <v>904224</v>
      </c>
      <c r="T46" s="220">
        <v>904226</v>
      </c>
      <c r="U46" s="220">
        <v>904228</v>
      </c>
      <c r="V46" s="215"/>
      <c r="W46" s="215"/>
    </row>
    <row r="47" spans="2:23" s="5" customFormat="1" ht="16.5" customHeight="1" x14ac:dyDescent="0.25">
      <c r="B47" s="285">
        <v>43</v>
      </c>
      <c r="C47" s="388" t="s">
        <v>739</v>
      </c>
      <c r="D47" s="321" t="s">
        <v>98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77">
        <f>VLOOKUP(Q47,'FS Data'!$A:$B,2,FALSE)/10</f>
        <v>0</v>
      </c>
      <c r="I47" s="117">
        <f>VLOOKUP(R47,'FS Data'!$A:$B,2,FALSE)</f>
        <v>0</v>
      </c>
      <c r="J47" s="117">
        <f>VLOOKUP(S47,'FS Data'!$A:$B,2,FALSE)</f>
        <v>0</v>
      </c>
      <c r="K47" s="117">
        <f>VLOOKUP(T47,'FS Data'!$A:$B,2,FALSE)</f>
        <v>0</v>
      </c>
      <c r="L47" s="195">
        <f>VLOOKUP(U47,'FS Data'!$A:$B,2,FALSE)/10</f>
        <v>0</v>
      </c>
      <c r="M47" s="218"/>
      <c r="N47" s="220">
        <v>904312</v>
      </c>
      <c r="O47" s="220">
        <v>904314</v>
      </c>
      <c r="P47" s="220">
        <v>904316</v>
      </c>
      <c r="Q47" s="220">
        <v>904318</v>
      </c>
      <c r="R47" s="220">
        <v>904322</v>
      </c>
      <c r="S47" s="220">
        <v>904324</v>
      </c>
      <c r="T47" s="220">
        <v>904326</v>
      </c>
      <c r="U47" s="220">
        <v>904328</v>
      </c>
      <c r="V47" s="215"/>
      <c r="W47" s="215"/>
    </row>
    <row r="48" spans="2:23" s="5" customFormat="1" ht="16.5" customHeight="1" x14ac:dyDescent="0.25">
      <c r="B48" s="285">
        <v>44</v>
      </c>
      <c r="C48" s="388" t="s">
        <v>740</v>
      </c>
      <c r="D48" s="321" t="s">
        <v>99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77">
        <f>VLOOKUP(Q48,'FS Data'!$A:$B,2,FALSE)/10</f>
        <v>0</v>
      </c>
      <c r="I48" s="117">
        <f>VLOOKUP(R48,'FS Data'!$A:$B,2,FALSE)</f>
        <v>0</v>
      </c>
      <c r="J48" s="117">
        <f>VLOOKUP(S48,'FS Data'!$A:$B,2,FALSE)</f>
        <v>0</v>
      </c>
      <c r="K48" s="117">
        <f>VLOOKUP(T48,'FS Data'!$A:$B,2,FALSE)</f>
        <v>0</v>
      </c>
      <c r="L48" s="195">
        <f>VLOOKUP(U48,'FS Data'!$A:$B,2,FALSE)/10</f>
        <v>0</v>
      </c>
      <c r="M48" s="218"/>
      <c r="N48" s="220">
        <v>904412</v>
      </c>
      <c r="O48" s="220">
        <v>904414</v>
      </c>
      <c r="P48" s="220">
        <v>904416</v>
      </c>
      <c r="Q48" s="220">
        <v>904418</v>
      </c>
      <c r="R48" s="220">
        <v>904422</v>
      </c>
      <c r="S48" s="220">
        <v>904424</v>
      </c>
      <c r="T48" s="220">
        <v>904426</v>
      </c>
      <c r="U48" s="220">
        <v>904428</v>
      </c>
      <c r="V48" s="215"/>
      <c r="W48" s="215"/>
    </row>
    <row r="49" spans="2:23" s="5" customFormat="1" ht="16.5" customHeight="1" x14ac:dyDescent="0.25">
      <c r="B49" s="285">
        <v>45</v>
      </c>
      <c r="C49" s="388" t="s">
        <v>741</v>
      </c>
      <c r="D49" s="284" t="s">
        <v>100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77">
        <f>VLOOKUP(Q49,'FS Data'!$A:$B,2,FALSE)/10</f>
        <v>0</v>
      </c>
      <c r="I49" s="117">
        <f>VLOOKUP(R49,'FS Data'!$A:$B,2,FALSE)</f>
        <v>0</v>
      </c>
      <c r="J49" s="117">
        <f>VLOOKUP(S49,'FS Data'!$A:$B,2,FALSE)</f>
        <v>0</v>
      </c>
      <c r="K49" s="117">
        <f>VLOOKUP(T49,'FS Data'!$A:$B,2,FALSE)</f>
        <v>0</v>
      </c>
      <c r="L49" s="195">
        <f>VLOOKUP(U49,'FS Data'!$A:$B,2,FALSE)/10</f>
        <v>0</v>
      </c>
      <c r="M49" s="218"/>
      <c r="N49" s="220">
        <v>904512</v>
      </c>
      <c r="O49" s="220">
        <v>904514</v>
      </c>
      <c r="P49" s="220">
        <v>904516</v>
      </c>
      <c r="Q49" s="220">
        <v>904518</v>
      </c>
      <c r="R49" s="220">
        <v>904522</v>
      </c>
      <c r="S49" s="220">
        <v>904524</v>
      </c>
      <c r="T49" s="220">
        <v>904526</v>
      </c>
      <c r="U49" s="220">
        <v>904528</v>
      </c>
      <c r="V49" s="215"/>
      <c r="W49" s="215"/>
    </row>
    <row r="50" spans="2:23" s="5" customFormat="1" ht="16.5" customHeight="1" x14ac:dyDescent="0.25">
      <c r="B50" s="285">
        <v>46</v>
      </c>
      <c r="C50" s="605" t="s">
        <v>742</v>
      </c>
      <c r="D50" s="397"/>
      <c r="E50" s="20">
        <f>VLOOKUP(N50,'FS Data'!$A:$B,2,FALSE)</f>
        <v>67</v>
      </c>
      <c r="F50" s="20">
        <f>VLOOKUP(O50,'FS Data'!$A:$B,2,FALSE)</f>
        <v>30135</v>
      </c>
      <c r="G50" s="20">
        <f>VLOOKUP(P50,'FS Data'!$A:$B,2,FALSE)</f>
        <v>7032</v>
      </c>
      <c r="H50" s="177">
        <f>VLOOKUP(Q50,'FS Data'!$A:$B,2,FALSE)/10</f>
        <v>23.3</v>
      </c>
      <c r="I50" s="117">
        <f>VLOOKUP(R50,'FS Data'!$A:$B,2,FALSE)</f>
        <v>67</v>
      </c>
      <c r="J50" s="117">
        <f>VLOOKUP(S50,'FS Data'!$A:$B,2,FALSE)</f>
        <v>30135</v>
      </c>
      <c r="K50" s="117">
        <f>VLOOKUP(T50,'FS Data'!$A:$B,2,FALSE)</f>
        <v>7032</v>
      </c>
      <c r="L50" s="195">
        <f>VLOOKUP(U50,'FS Data'!$A:$B,2,FALSE)/10</f>
        <v>23.3</v>
      </c>
      <c r="M50" s="218"/>
      <c r="N50" s="220">
        <v>904612</v>
      </c>
      <c r="O50" s="220">
        <v>904614</v>
      </c>
      <c r="P50" s="220">
        <v>904616</v>
      </c>
      <c r="Q50" s="220">
        <v>904618</v>
      </c>
      <c r="R50" s="220">
        <v>904622</v>
      </c>
      <c r="S50" s="220">
        <v>904624</v>
      </c>
      <c r="T50" s="220">
        <v>904626</v>
      </c>
      <c r="U50" s="220">
        <v>904628</v>
      </c>
      <c r="V50" s="215"/>
      <c r="W50" s="215"/>
    </row>
    <row r="51" spans="2:23" s="5" customFormat="1" ht="24" customHeight="1" x14ac:dyDescent="0.25">
      <c r="B51" s="285">
        <v>47</v>
      </c>
      <c r="C51" s="398" t="s">
        <v>743</v>
      </c>
      <c r="D51" s="399" t="s">
        <v>229</v>
      </c>
      <c r="E51" s="20">
        <f>VLOOKUP(N51,'FS Data'!$A:$B,2,FALSE)</f>
        <v>61</v>
      </c>
      <c r="F51" s="20">
        <f>VLOOKUP(O51,'FS Data'!$A:$B,2,FALSE)</f>
        <v>41963</v>
      </c>
      <c r="G51" s="20">
        <f>VLOOKUP(P51,'FS Data'!$A:$B,2,FALSE)</f>
        <v>11792</v>
      </c>
      <c r="H51" s="177">
        <f>VLOOKUP(Q51,'FS Data'!$A:$B,2,FALSE)/10</f>
        <v>28.1</v>
      </c>
      <c r="I51" s="117">
        <f>VLOOKUP(R51,'FS Data'!$A:$B,2,FALSE)</f>
        <v>61</v>
      </c>
      <c r="J51" s="117">
        <f>VLOOKUP(S51,'FS Data'!$A:$B,2,FALSE)</f>
        <v>41963</v>
      </c>
      <c r="K51" s="117">
        <f>VLOOKUP(T51,'FS Data'!$A:$B,2,FALSE)</f>
        <v>11792</v>
      </c>
      <c r="L51" s="195">
        <f>VLOOKUP(U51,'FS Data'!$A:$B,2,FALSE)/10</f>
        <v>28.1</v>
      </c>
      <c r="M51" s="218"/>
      <c r="N51" s="220">
        <v>904712</v>
      </c>
      <c r="O51" s="220">
        <v>904714</v>
      </c>
      <c r="P51" s="220">
        <v>904716</v>
      </c>
      <c r="Q51" s="220">
        <v>904718</v>
      </c>
      <c r="R51" s="220">
        <v>904722</v>
      </c>
      <c r="S51" s="220">
        <v>904724</v>
      </c>
      <c r="T51" s="220">
        <v>904726</v>
      </c>
      <c r="U51" s="220">
        <v>904728</v>
      </c>
      <c r="V51" s="215"/>
      <c r="W51" s="215"/>
    </row>
    <row r="52" spans="2:23" s="5" customFormat="1" ht="16.5" customHeight="1" x14ac:dyDescent="0.25">
      <c r="B52" s="285">
        <v>48</v>
      </c>
      <c r="C52" s="400" t="s">
        <v>744</v>
      </c>
      <c r="D52" s="356" t="s">
        <v>230</v>
      </c>
      <c r="E52" s="101"/>
      <c r="F52" s="91"/>
      <c r="G52" s="115">
        <f>VLOOKUP(P52,'FS Data'!$A:$B,2,FALSE)</f>
        <v>-14001</v>
      </c>
      <c r="H52" s="249"/>
      <c r="I52" s="250"/>
      <c r="J52" s="251"/>
      <c r="K52" s="119">
        <f>VLOOKUP(T52,'FS Data'!$A:$B,2,FALSE)</f>
        <v>-14001</v>
      </c>
      <c r="L52" s="227"/>
      <c r="M52" s="218"/>
      <c r="N52" s="220">
        <v>904812</v>
      </c>
      <c r="O52" s="220">
        <v>904814</v>
      </c>
      <c r="P52" s="220">
        <v>904816</v>
      </c>
      <c r="Q52" s="220">
        <v>904818</v>
      </c>
      <c r="R52" s="220">
        <v>904822</v>
      </c>
      <c r="S52" s="220">
        <v>904824</v>
      </c>
      <c r="T52" s="220">
        <v>904826</v>
      </c>
      <c r="U52" s="220">
        <v>904828</v>
      </c>
      <c r="V52" s="215"/>
      <c r="W52" s="215"/>
    </row>
    <row r="53" spans="2:23" s="5" customFormat="1" ht="16.5" customHeight="1" x14ac:dyDescent="0.25">
      <c r="B53" s="285">
        <v>49</v>
      </c>
      <c r="C53" s="400" t="s">
        <v>745</v>
      </c>
      <c r="D53" s="356" t="s">
        <v>231</v>
      </c>
      <c r="E53" s="101"/>
      <c r="F53" s="91"/>
      <c r="G53" s="115">
        <f>VLOOKUP(P53,'FS Data'!$A:$B,2,FALSE)</f>
        <v>0</v>
      </c>
      <c r="H53" s="249"/>
      <c r="I53" s="250"/>
      <c r="J53" s="251"/>
      <c r="K53" s="119">
        <f>VLOOKUP(T53,'FS Data'!$A:$B,2,FALSE)</f>
        <v>0</v>
      </c>
      <c r="L53" s="89"/>
      <c r="M53" s="218"/>
      <c r="N53" s="220">
        <v>904912</v>
      </c>
      <c r="O53" s="220">
        <v>904914</v>
      </c>
      <c r="P53" s="220">
        <v>904916</v>
      </c>
      <c r="Q53" s="220">
        <v>904918</v>
      </c>
      <c r="R53" s="220">
        <v>904922</v>
      </c>
      <c r="S53" s="220">
        <v>904924</v>
      </c>
      <c r="T53" s="220">
        <v>904926</v>
      </c>
      <c r="U53" s="220">
        <v>904928</v>
      </c>
      <c r="V53" s="215"/>
      <c r="W53" s="215"/>
    </row>
    <row r="54" spans="2:23" s="5" customFormat="1" ht="16.5" customHeight="1" x14ac:dyDescent="0.25">
      <c r="B54" s="285">
        <v>50</v>
      </c>
      <c r="C54" s="400" t="s">
        <v>746</v>
      </c>
      <c r="D54" s="356" t="s">
        <v>232</v>
      </c>
      <c r="E54" s="101"/>
      <c r="F54" s="91"/>
      <c r="G54" s="115">
        <f>VLOOKUP(P54,'FS Data'!$A:$B,2,FALSE)</f>
        <v>0</v>
      </c>
      <c r="H54" s="249"/>
      <c r="I54" s="250"/>
      <c r="J54" s="251"/>
      <c r="K54" s="119">
        <f>VLOOKUP(T54,'FS Data'!$A:$B,2,FALSE)</f>
        <v>0</v>
      </c>
      <c r="L54" s="89"/>
      <c r="M54" s="218"/>
      <c r="N54" s="220">
        <v>905012</v>
      </c>
      <c r="O54" s="220">
        <v>905014</v>
      </c>
      <c r="P54" s="220">
        <v>905016</v>
      </c>
      <c r="Q54" s="220">
        <v>905018</v>
      </c>
      <c r="R54" s="220">
        <v>905022</v>
      </c>
      <c r="S54" s="220">
        <v>905024</v>
      </c>
      <c r="T54" s="220">
        <v>905026</v>
      </c>
      <c r="U54" s="220">
        <v>905028</v>
      </c>
      <c r="V54" s="215"/>
      <c r="W54" s="215"/>
    </row>
    <row r="55" spans="2:23" s="5" customFormat="1" ht="16.5" customHeight="1" x14ac:dyDescent="0.25">
      <c r="B55" s="285">
        <v>51</v>
      </c>
      <c r="C55" s="400" t="s">
        <v>747</v>
      </c>
      <c r="D55" s="401" t="s">
        <v>233</v>
      </c>
      <c r="E55" s="101"/>
      <c r="F55" s="91"/>
      <c r="G55" s="115">
        <f>VLOOKUP(P55,'FS Data'!$A:$B,2,FALSE)</f>
        <v>0</v>
      </c>
      <c r="H55" s="249"/>
      <c r="I55" s="250"/>
      <c r="J55" s="251"/>
      <c r="K55" s="119">
        <f>VLOOKUP(T55,'FS Data'!$A:$B,2,FALSE)</f>
        <v>0</v>
      </c>
      <c r="L55" s="89"/>
      <c r="M55" s="218"/>
      <c r="N55" s="220">
        <v>905112</v>
      </c>
      <c r="O55" s="220">
        <v>905114</v>
      </c>
      <c r="P55" s="220">
        <v>905116</v>
      </c>
      <c r="Q55" s="220">
        <v>905118</v>
      </c>
      <c r="R55" s="220">
        <v>905122</v>
      </c>
      <c r="S55" s="220">
        <v>905124</v>
      </c>
      <c r="T55" s="220">
        <v>905126</v>
      </c>
      <c r="U55" s="220">
        <v>905128</v>
      </c>
      <c r="V55" s="215"/>
      <c r="W55" s="215"/>
    </row>
    <row r="56" spans="2:23" s="5" customFormat="1" ht="16.5" customHeight="1" thickBot="1" x14ac:dyDescent="0.3">
      <c r="B56" s="285">
        <v>52</v>
      </c>
      <c r="C56" s="606" t="s">
        <v>748</v>
      </c>
      <c r="D56" s="402"/>
      <c r="E56" s="101"/>
      <c r="F56" s="102"/>
      <c r="G56" s="115">
        <f>VLOOKUP(P56,'FS Data'!$A:$B,2,FALSE)</f>
        <v>-14001</v>
      </c>
      <c r="H56" s="249"/>
      <c r="I56" s="250"/>
      <c r="J56" s="251"/>
      <c r="K56" s="119">
        <f>VLOOKUP(T56,'FS Data'!$A:$B,2,FALSE)</f>
        <v>14001</v>
      </c>
      <c r="L56" s="89"/>
      <c r="M56" s="218"/>
      <c r="N56" s="220">
        <v>905212</v>
      </c>
      <c r="O56" s="220">
        <v>905214</v>
      </c>
      <c r="P56" s="220">
        <v>905216</v>
      </c>
      <c r="Q56" s="220">
        <v>905218</v>
      </c>
      <c r="R56" s="220">
        <v>905222</v>
      </c>
      <c r="S56" s="220">
        <v>905224</v>
      </c>
      <c r="T56" s="220">
        <v>905226</v>
      </c>
      <c r="U56" s="220">
        <v>905228</v>
      </c>
      <c r="V56" s="215"/>
      <c r="W56" s="215"/>
    </row>
    <row r="57" spans="2:23" s="5" customFormat="1" ht="16.5" customHeight="1" thickBot="1" x14ac:dyDescent="0.3">
      <c r="B57" s="285">
        <v>53</v>
      </c>
      <c r="C57" s="606" t="s">
        <v>749</v>
      </c>
      <c r="D57" s="402"/>
      <c r="E57" s="148">
        <f>VLOOKUP(N57,'FS Data'!$A:$B,2,FALSE)</f>
        <v>412</v>
      </c>
      <c r="F57" s="148">
        <f>VLOOKUP(O57,'FS Data'!$A:$B,2,FALSE)</f>
        <v>196981</v>
      </c>
      <c r="G57" s="20">
        <f>VLOOKUP(P57,'FS Data'!$A:$B,2,FALSE)</f>
        <v>76014</v>
      </c>
      <c r="H57" s="196">
        <f>VLOOKUP(Q57,'FS Data'!$A:$B,2,FALSE)/10</f>
        <v>38.6</v>
      </c>
      <c r="I57" s="145">
        <f>VLOOKUP(R57,'FS Data'!$A:$B,2,FALSE)</f>
        <v>412</v>
      </c>
      <c r="J57" s="145">
        <f>VLOOKUP(S57,'FS Data'!$A:$B,2,FALSE)</f>
        <v>196981</v>
      </c>
      <c r="K57" s="117">
        <f>VLOOKUP(T57,'FS Data'!$A:$B,2,FALSE)</f>
        <v>76014</v>
      </c>
      <c r="L57" s="197">
        <f>VLOOKUP(U57,'FS Data'!$A:$B,2,FALSE)/10</f>
        <v>38.6</v>
      </c>
      <c r="M57" s="218"/>
      <c r="N57" s="220">
        <v>905312</v>
      </c>
      <c r="O57" s="220">
        <v>905314</v>
      </c>
      <c r="P57" s="220">
        <v>905316</v>
      </c>
      <c r="Q57" s="220">
        <v>905318</v>
      </c>
      <c r="R57" s="220">
        <v>905322</v>
      </c>
      <c r="S57" s="220">
        <v>905324</v>
      </c>
      <c r="T57" s="220">
        <v>905326</v>
      </c>
      <c r="U57" s="220">
        <v>905328</v>
      </c>
      <c r="V57" s="215"/>
      <c r="W57" s="215"/>
    </row>
    <row r="58" spans="2:23" s="5" customFormat="1" ht="16.5" customHeight="1" thickBot="1" x14ac:dyDescent="0.3">
      <c r="B58" s="285">
        <v>54</v>
      </c>
      <c r="C58" s="403"/>
      <c r="D58" s="404"/>
      <c r="E58" s="258"/>
      <c r="F58" s="259"/>
      <c r="G58" s="258"/>
      <c r="H58" s="259"/>
      <c r="I58" s="258"/>
      <c r="J58" s="259"/>
      <c r="K58" s="82"/>
      <c r="L58" s="102"/>
      <c r="M58" s="218"/>
      <c r="N58" s="220">
        <v>905412</v>
      </c>
      <c r="O58" s="220">
        <v>905414</v>
      </c>
      <c r="P58" s="220">
        <v>905416</v>
      </c>
      <c r="Q58" s="220">
        <v>905418</v>
      </c>
      <c r="R58" s="220">
        <v>905422</v>
      </c>
      <c r="S58" s="220">
        <v>905424</v>
      </c>
      <c r="T58" s="220">
        <v>905426</v>
      </c>
      <c r="U58" s="220">
        <v>905428</v>
      </c>
      <c r="V58" s="215"/>
      <c r="W58" s="215"/>
    </row>
    <row r="59" spans="2:23" s="5" customFormat="1" ht="16.5" customHeight="1" x14ac:dyDescent="0.25">
      <c r="B59" s="285">
        <v>55</v>
      </c>
      <c r="C59" s="391" t="s">
        <v>750</v>
      </c>
      <c r="D59" s="392"/>
      <c r="E59" s="172">
        <f>VLOOKUP(N59,'FS Data'!$A:$B,2,FALSE)</f>
        <v>301</v>
      </c>
      <c r="F59" s="172">
        <f>VLOOKUP(O59,'FS Data'!$A:$B,2,FALSE)</f>
        <v>143315</v>
      </c>
      <c r="G59" s="172">
        <f>VLOOKUP(P59,'FS Data'!$A:$B,2,FALSE)</f>
        <v>55794</v>
      </c>
      <c r="H59" s="177">
        <f>VLOOKUP(Q59,'FS Data'!$A:$B,2,FALSE)/10</f>
        <v>38.9</v>
      </c>
      <c r="I59" s="173">
        <f>VLOOKUP(R59,'FS Data'!$A:$B,2,FALSE)</f>
        <v>301</v>
      </c>
      <c r="J59" s="173">
        <f>VLOOKUP(S59,'FS Data'!$A:$B,2,FALSE)</f>
        <v>143315</v>
      </c>
      <c r="K59" s="173">
        <f>VLOOKUP(T59,'FS Data'!$A:$B,2,FALSE)</f>
        <v>55794</v>
      </c>
      <c r="L59" s="195">
        <f>VLOOKUP(U59,'FS Data'!$A:$B,2,FALSE)/10</f>
        <v>38.9</v>
      </c>
      <c r="M59" s="218"/>
      <c r="N59" s="220">
        <v>905512</v>
      </c>
      <c r="O59" s="220">
        <v>905514</v>
      </c>
      <c r="P59" s="220">
        <v>905516</v>
      </c>
      <c r="Q59" s="220">
        <v>905518</v>
      </c>
      <c r="R59" s="220">
        <v>905522</v>
      </c>
      <c r="S59" s="220">
        <v>905524</v>
      </c>
      <c r="T59" s="220">
        <v>905526</v>
      </c>
      <c r="U59" s="220">
        <v>905528</v>
      </c>
      <c r="V59" s="215"/>
      <c r="W59" s="215"/>
    </row>
    <row r="60" spans="2:23" s="5" customFormat="1" ht="16.5" customHeight="1" x14ac:dyDescent="0.25">
      <c r="B60" s="285">
        <v>56</v>
      </c>
      <c r="C60" s="698" t="s">
        <v>751</v>
      </c>
      <c r="D60" s="393"/>
      <c r="E60" s="114">
        <f>VLOOKUP(N60,'FS Data'!$A:$B,2,FALSE)</f>
        <v>106</v>
      </c>
      <c r="F60" s="114">
        <f>VLOOKUP(O60,'FS Data'!$A:$B,2,FALSE)</f>
        <v>43295</v>
      </c>
      <c r="G60" s="114">
        <f>VLOOKUP(P60,'FS Data'!$A:$B,2,FALSE)</f>
        <v>17067</v>
      </c>
      <c r="H60" s="191">
        <f>VLOOKUP(Q60,'FS Data'!$A:$B,2,FALSE)/10</f>
        <v>39.4</v>
      </c>
      <c r="I60" s="125">
        <f>VLOOKUP(R60,'FS Data'!$A:$B,2,FALSE)</f>
        <v>106</v>
      </c>
      <c r="J60" s="125">
        <f>VLOOKUP(S60,'FS Data'!$A:$B,2,FALSE)</f>
        <v>43295</v>
      </c>
      <c r="K60" s="125">
        <f>VLOOKUP(T60,'FS Data'!$A:$B,2,FALSE)</f>
        <v>17067</v>
      </c>
      <c r="L60" s="192">
        <f>VLOOKUP(U60,'FS Data'!$A:$B,2,FALSE)/10</f>
        <v>39.4</v>
      </c>
      <c r="M60" s="218"/>
      <c r="N60" s="220">
        <v>905612</v>
      </c>
      <c r="O60" s="220">
        <v>905614</v>
      </c>
      <c r="P60" s="220">
        <v>905616</v>
      </c>
      <c r="Q60" s="220">
        <v>905618</v>
      </c>
      <c r="R60" s="220">
        <v>905622</v>
      </c>
      <c r="S60" s="220">
        <v>905624</v>
      </c>
      <c r="T60" s="220">
        <v>905626</v>
      </c>
      <c r="U60" s="220">
        <v>905628</v>
      </c>
      <c r="V60" s="215"/>
      <c r="W60" s="215"/>
    </row>
    <row r="61" spans="2:23" ht="16.5" customHeight="1" x14ac:dyDescent="0.2">
      <c r="B61" s="285">
        <v>57</v>
      </c>
      <c r="C61" s="698" t="s">
        <v>752</v>
      </c>
      <c r="D61" s="393"/>
      <c r="E61" s="114">
        <f>VLOOKUP(N61,'FS Data'!$A:$B,2,FALSE)</f>
        <v>5</v>
      </c>
      <c r="F61" s="114">
        <f>VLOOKUP(O61,'FS Data'!$A:$B,2,FALSE)</f>
        <v>10371</v>
      </c>
      <c r="G61" s="114">
        <f>VLOOKUP(P61,'FS Data'!$A:$B,2,FALSE)</f>
        <v>3153</v>
      </c>
      <c r="H61" s="191">
        <f>VLOOKUP(Q61,'FS Data'!$A:$B,2,FALSE)/10</f>
        <v>30.4</v>
      </c>
      <c r="I61" s="125">
        <f>VLOOKUP(R61,'FS Data'!$A:$B,2,FALSE)</f>
        <v>5</v>
      </c>
      <c r="J61" s="125">
        <f>VLOOKUP(S61,'FS Data'!$A:$B,2,FALSE)</f>
        <v>10371</v>
      </c>
      <c r="K61" s="125">
        <f>VLOOKUP(T61,'FS Data'!$A:$B,2,FALSE)</f>
        <v>3153</v>
      </c>
      <c r="L61" s="192">
        <f>VLOOKUP(U61,'FS Data'!$A:$B,2,FALSE)/10</f>
        <v>30.4</v>
      </c>
      <c r="N61" s="220">
        <v>905712</v>
      </c>
      <c r="O61" s="220">
        <v>905714</v>
      </c>
      <c r="P61" s="220">
        <v>905716</v>
      </c>
      <c r="Q61" s="220">
        <v>905718</v>
      </c>
      <c r="R61" s="220">
        <v>905722</v>
      </c>
      <c r="S61" s="220">
        <v>905724</v>
      </c>
      <c r="T61" s="220">
        <v>905726</v>
      </c>
      <c r="U61" s="220">
        <v>905728</v>
      </c>
      <c r="W61" s="262"/>
    </row>
    <row r="62" spans="2:23" ht="16.5" customHeight="1" x14ac:dyDescent="0.2">
      <c r="B62" s="285">
        <v>58</v>
      </c>
      <c r="C62" s="391" t="s">
        <v>753</v>
      </c>
      <c r="D62" s="392"/>
      <c r="E62" s="114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91">
        <f>VLOOKUP(Q62,'FS Data'!$A:$B,2,FALSE)/10</f>
        <v>0</v>
      </c>
      <c r="I62" s="125">
        <f>VLOOKUP(R62,'FS Data'!$A:$B,2,FALSE)</f>
        <v>0</v>
      </c>
      <c r="J62" s="125">
        <f>VLOOKUP(S62,'FS Data'!$A:$B,2,FALSE)</f>
        <v>0</v>
      </c>
      <c r="K62" s="125">
        <f>VLOOKUP(T62,'FS Data'!$A:$B,2,FALSE)</f>
        <v>0</v>
      </c>
      <c r="L62" s="192">
        <f>VLOOKUP(U62,'FS Data'!$A:$B,2,FALSE)/10</f>
        <v>0</v>
      </c>
      <c r="N62" s="220">
        <v>905812</v>
      </c>
      <c r="O62" s="220">
        <v>905814</v>
      </c>
      <c r="P62" s="220">
        <v>905816</v>
      </c>
      <c r="Q62" s="220">
        <v>905818</v>
      </c>
      <c r="R62" s="220">
        <v>905822</v>
      </c>
      <c r="S62" s="220">
        <v>905824</v>
      </c>
      <c r="T62" s="220">
        <v>905826</v>
      </c>
      <c r="U62" s="220">
        <v>905828</v>
      </c>
      <c r="W62" s="262"/>
    </row>
    <row r="63" spans="2:23" ht="16.5" customHeight="1" thickBot="1" x14ac:dyDescent="0.25">
      <c r="B63" s="285">
        <v>59</v>
      </c>
      <c r="C63" s="391" t="s">
        <v>754</v>
      </c>
      <c r="D63" s="405"/>
      <c r="E63" s="174">
        <f>VLOOKUP(N63,'FS Data'!$A:$B,2,FALSE)</f>
        <v>0</v>
      </c>
      <c r="F63" s="174">
        <f>VLOOKUP(O63,'FS Data'!$A:$B,2,FALSE)</f>
        <v>0</v>
      </c>
      <c r="G63" s="174">
        <f>VLOOKUP(P63,'FS Data'!$A:$B,2,FALSE)</f>
        <v>0</v>
      </c>
      <c r="H63" s="191">
        <f>VLOOKUP(Q63,'FS Data'!$A:$B,2,FALSE)/10</f>
        <v>0</v>
      </c>
      <c r="I63" s="175">
        <f>VLOOKUP(R63,'FS Data'!$A:$B,2,FALSE)</f>
        <v>0</v>
      </c>
      <c r="J63" s="175">
        <f>VLOOKUP(S63,'FS Data'!$A:$B,2,FALSE)</f>
        <v>0</v>
      </c>
      <c r="K63" s="175">
        <f>VLOOKUP(T63,'FS Data'!$A:$B,2,FALSE)</f>
        <v>0</v>
      </c>
      <c r="L63" s="192">
        <f>VLOOKUP(U63,'FS Data'!$A:$B,2,FALSE)/10</f>
        <v>0</v>
      </c>
      <c r="N63" s="220">
        <v>905912</v>
      </c>
      <c r="O63" s="220">
        <v>905914</v>
      </c>
      <c r="P63" s="220">
        <v>905916</v>
      </c>
      <c r="Q63" s="220">
        <v>905918</v>
      </c>
      <c r="R63" s="220">
        <v>905922</v>
      </c>
      <c r="S63" s="220">
        <v>905924</v>
      </c>
      <c r="T63" s="220">
        <v>905926</v>
      </c>
      <c r="U63" s="220">
        <v>905928</v>
      </c>
      <c r="W63" s="262"/>
    </row>
    <row r="64" spans="2:23" ht="16.5" customHeight="1" x14ac:dyDescent="0.2">
      <c r="B64" s="285">
        <v>60</v>
      </c>
      <c r="C64" s="406" t="s">
        <v>755</v>
      </c>
      <c r="D64" s="407"/>
      <c r="E64" s="82"/>
      <c r="F64" s="82"/>
      <c r="G64" s="82"/>
      <c r="H64" s="103"/>
      <c r="I64" s="82"/>
      <c r="J64" s="82"/>
      <c r="K64" s="82"/>
      <c r="L64" s="104"/>
      <c r="N64" s="220">
        <v>906012</v>
      </c>
      <c r="O64" s="220">
        <v>906014</v>
      </c>
      <c r="P64" s="220">
        <v>906016</v>
      </c>
      <c r="Q64" s="220">
        <v>906018</v>
      </c>
      <c r="R64" s="220">
        <v>906022</v>
      </c>
      <c r="S64" s="220">
        <v>906024</v>
      </c>
      <c r="T64" s="220">
        <v>906026</v>
      </c>
      <c r="U64" s="220">
        <v>906028</v>
      </c>
    </row>
    <row r="65" spans="2:21" ht="16.5" customHeight="1" x14ac:dyDescent="0.2">
      <c r="B65" s="285">
        <v>61</v>
      </c>
      <c r="C65" s="388" t="s">
        <v>756</v>
      </c>
      <c r="D65" s="408">
        <v>493</v>
      </c>
      <c r="E65" s="114">
        <f>VLOOKUP(N65,'FS Data'!$A:$B,2,FALSE)</f>
        <v>0</v>
      </c>
      <c r="F65" s="114">
        <f>VLOOKUP(O65,'FS Data'!$A:$B,2,FALSE)</f>
        <v>0</v>
      </c>
      <c r="G65" s="114">
        <f>VLOOKUP(P65,'FS Data'!$A:$B,2,FALSE)</f>
        <v>0</v>
      </c>
      <c r="H65" s="191">
        <f>VLOOKUP(Q65,'FS Data'!$A:$B,2,FALSE)/10</f>
        <v>0</v>
      </c>
      <c r="I65" s="125">
        <f>VLOOKUP(R65,'FS Data'!$A:$B,2,FALSE)</f>
        <v>0</v>
      </c>
      <c r="J65" s="125">
        <f>VLOOKUP(S65,'FS Data'!$A:$B,2,FALSE)</f>
        <v>0</v>
      </c>
      <c r="K65" s="125">
        <f>VLOOKUP(T65,'FS Data'!$A:$B,2,FALSE)</f>
        <v>0</v>
      </c>
      <c r="L65" s="192">
        <f>VLOOKUP(U65,'FS Data'!$A:$B,2,FALSE)/10</f>
        <v>0</v>
      </c>
      <c r="N65" s="220">
        <v>906112</v>
      </c>
      <c r="O65" s="220">
        <v>906114</v>
      </c>
      <c r="P65" s="220">
        <v>906116</v>
      </c>
      <c r="Q65" s="220">
        <v>906118</v>
      </c>
      <c r="R65" s="220">
        <v>906122</v>
      </c>
      <c r="S65" s="220">
        <v>906124</v>
      </c>
      <c r="T65" s="220">
        <v>906126</v>
      </c>
      <c r="U65" s="220">
        <v>906128</v>
      </c>
    </row>
    <row r="66" spans="2:21" ht="16.5" customHeight="1" x14ac:dyDescent="0.2">
      <c r="B66" s="285">
        <v>62</v>
      </c>
      <c r="C66" s="388" t="s">
        <v>757</v>
      </c>
      <c r="D66" s="408">
        <v>494</v>
      </c>
      <c r="E66" s="114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91">
        <f>VLOOKUP(Q66,'FS Data'!$A:$B,2,FALSE)/10</f>
        <v>0</v>
      </c>
      <c r="I66" s="125">
        <f>VLOOKUP(R66,'FS Data'!$A:$B,2,FALSE)</f>
        <v>0</v>
      </c>
      <c r="J66" s="125">
        <f>VLOOKUP(S66,'FS Data'!$A:$B,2,FALSE)</f>
        <v>0</v>
      </c>
      <c r="K66" s="125">
        <f>VLOOKUP(T66,'FS Data'!$A:$B,2,FALSE)</f>
        <v>0</v>
      </c>
      <c r="L66" s="192">
        <f>VLOOKUP(U66,'FS Data'!$A:$B,2,FALSE)/10</f>
        <v>0</v>
      </c>
      <c r="N66" s="220">
        <v>906212</v>
      </c>
      <c r="O66" s="220">
        <v>906214</v>
      </c>
      <c r="P66" s="220">
        <v>906216</v>
      </c>
      <c r="Q66" s="220">
        <v>906218</v>
      </c>
      <c r="R66" s="220">
        <v>906222</v>
      </c>
      <c r="S66" s="220">
        <v>906224</v>
      </c>
      <c r="T66" s="220">
        <v>906226</v>
      </c>
      <c r="U66" s="220">
        <v>906228</v>
      </c>
    </row>
    <row r="67" spans="2:21" ht="16.5" customHeight="1" x14ac:dyDescent="0.2">
      <c r="B67" s="285">
        <v>63</v>
      </c>
      <c r="C67" s="409" t="s">
        <v>758</v>
      </c>
      <c r="D67" s="296" t="s">
        <v>23</v>
      </c>
      <c r="E67" s="105"/>
      <c r="F67" s="106"/>
      <c r="G67" s="114">
        <f>VLOOKUP(P67,'FS Data'!$A:$B,2,FALSE)</f>
        <v>0</v>
      </c>
      <c r="H67" s="252"/>
      <c r="I67" s="253"/>
      <c r="J67" s="254"/>
      <c r="K67" s="125">
        <f>VLOOKUP(T67,'FS Data'!$A:$B,2,FALSE)</f>
        <v>0</v>
      </c>
      <c r="L67" s="100"/>
      <c r="N67" s="220">
        <v>906312</v>
      </c>
      <c r="O67" s="220">
        <v>906314</v>
      </c>
      <c r="P67" s="220">
        <v>906316</v>
      </c>
      <c r="Q67" s="220">
        <v>906318</v>
      </c>
      <c r="R67" s="220">
        <v>906322</v>
      </c>
      <c r="S67" s="220">
        <v>906324</v>
      </c>
      <c r="T67" s="220">
        <v>906326</v>
      </c>
      <c r="U67" s="220">
        <v>906328</v>
      </c>
    </row>
    <row r="68" spans="2:21" ht="16.5" customHeight="1" x14ac:dyDescent="0.2">
      <c r="B68" s="285">
        <v>64</v>
      </c>
      <c r="C68" s="409" t="s">
        <v>759</v>
      </c>
      <c r="D68" s="296" t="s">
        <v>24</v>
      </c>
      <c r="E68" s="81"/>
      <c r="F68" s="114">
        <f>VLOOKUP(O68,'FS Data'!$A:$B,2,FALSE)</f>
        <v>0</v>
      </c>
      <c r="G68" s="114">
        <f>VLOOKUP(P68,'FS Data'!$A:$B,2,FALSE)</f>
        <v>0</v>
      </c>
      <c r="H68" s="191">
        <f>VLOOKUP(Q68,'FS Data'!$A:$B,2,FALSE)/10</f>
        <v>0</v>
      </c>
      <c r="I68" s="107"/>
      <c r="J68" s="125">
        <f>VLOOKUP(S68,'FS Data'!$A:$B,2,FALSE)</f>
        <v>0</v>
      </c>
      <c r="K68" s="125">
        <f>VLOOKUP(T68,'FS Data'!$A:$B,2,FALSE)</f>
        <v>0</v>
      </c>
      <c r="L68" s="192">
        <f>VLOOKUP(U68,'FS Data'!$A:$B,2,FALSE)/10</f>
        <v>0</v>
      </c>
      <c r="N68" s="220">
        <v>906412</v>
      </c>
      <c r="O68" s="220">
        <v>906414</v>
      </c>
      <c r="P68" s="220">
        <v>906416</v>
      </c>
      <c r="Q68" s="220">
        <v>906418</v>
      </c>
      <c r="R68" s="220">
        <v>906422</v>
      </c>
      <c r="S68" s="220">
        <v>906424</v>
      </c>
      <c r="T68" s="220">
        <v>906426</v>
      </c>
      <c r="U68" s="220">
        <v>906428</v>
      </c>
    </row>
    <row r="69" spans="2:21" ht="16.5" customHeight="1" thickBot="1" x14ac:dyDescent="0.25">
      <c r="B69" s="285">
        <v>65</v>
      </c>
      <c r="C69" s="409" t="s">
        <v>760</v>
      </c>
      <c r="D69" s="296" t="s">
        <v>25</v>
      </c>
      <c r="E69" s="81"/>
      <c r="F69" s="114">
        <f>VLOOKUP(O69,'FS Data'!$A:$B,2,FALSE)</f>
        <v>0</v>
      </c>
      <c r="G69" s="114">
        <f>VLOOKUP(P69,'FS Data'!$A:$B,2,FALSE)</f>
        <v>0</v>
      </c>
      <c r="H69" s="191">
        <f>VLOOKUP(Q69,'FS Data'!$A:$B,2,FALSE)/10</f>
        <v>0</v>
      </c>
      <c r="I69" s="107"/>
      <c r="J69" s="125">
        <f>VLOOKUP(S69,'FS Data'!$A:$B,2,FALSE)</f>
        <v>0</v>
      </c>
      <c r="K69" s="125">
        <f>VLOOKUP(T69,'FS Data'!$A:$B,2,FALSE)</f>
        <v>0</v>
      </c>
      <c r="L69" s="192">
        <f>VLOOKUP(U69,'FS Data'!$A:$B,2,FALSE)/10</f>
        <v>0</v>
      </c>
      <c r="N69" s="220">
        <v>906512</v>
      </c>
      <c r="O69" s="220">
        <v>906514</v>
      </c>
      <c r="P69" s="220">
        <v>906516</v>
      </c>
      <c r="Q69" s="220">
        <v>906518</v>
      </c>
      <c r="R69" s="220">
        <v>906522</v>
      </c>
      <c r="S69" s="220">
        <v>906524</v>
      </c>
      <c r="T69" s="220">
        <v>906526</v>
      </c>
      <c r="U69" s="220">
        <v>906528</v>
      </c>
    </row>
    <row r="70" spans="2:21" ht="16.5" customHeight="1" thickBot="1" x14ac:dyDescent="0.25">
      <c r="B70" s="285">
        <v>66</v>
      </c>
      <c r="C70" s="874" t="s">
        <v>696</v>
      </c>
      <c r="D70" s="875"/>
      <c r="E70" s="148">
        <f>VLOOKUP(N70,'FS Data'!$A:$B,2,FALSE)</f>
        <v>0</v>
      </c>
      <c r="F70" s="148">
        <f>VLOOKUP(O70,'FS Data'!$A:$B,2,FALSE)</f>
        <v>0</v>
      </c>
      <c r="G70" s="148">
        <f>VLOOKUP(P70,'FS Data'!$A:$B,2,FALSE)</f>
        <v>0</v>
      </c>
      <c r="H70" s="196">
        <f>VLOOKUP(Q70,'FS Data'!$A:$B,2,FALSE)/10</f>
        <v>0</v>
      </c>
      <c r="I70" s="145">
        <f>VLOOKUP(R70,'FS Data'!$A:$B,2,FALSE)</f>
        <v>0</v>
      </c>
      <c r="J70" s="145">
        <f>VLOOKUP(S70,'FS Data'!$A:$B,2,FALSE)</f>
        <v>0</v>
      </c>
      <c r="K70" s="145">
        <f>VLOOKUP(T70,'FS Data'!$A:$B,2,FALSE)</f>
        <v>0</v>
      </c>
      <c r="L70" s="192">
        <f>VLOOKUP(U70,'FS Data'!$A:$B,2,FALSE)/10</f>
        <v>0</v>
      </c>
      <c r="N70" s="220">
        <v>906612</v>
      </c>
      <c r="O70" s="220">
        <v>906614</v>
      </c>
      <c r="P70" s="220">
        <v>906616</v>
      </c>
      <c r="Q70" s="220">
        <v>906618</v>
      </c>
      <c r="R70" s="220">
        <v>906622</v>
      </c>
      <c r="S70" s="220">
        <v>906624</v>
      </c>
      <c r="T70" s="220">
        <v>906626</v>
      </c>
      <c r="U70" s="220">
        <v>906628</v>
      </c>
    </row>
    <row r="71" spans="2:21" ht="21.75" customHeight="1" thickBot="1" x14ac:dyDescent="0.25">
      <c r="B71" s="285">
        <v>67</v>
      </c>
      <c r="C71" s="872" t="s">
        <v>695</v>
      </c>
      <c r="D71" s="873"/>
      <c r="E71" s="199">
        <f>VLOOKUP(N71,'FS Data'!$A:$B,2,FALSE)</f>
        <v>710</v>
      </c>
      <c r="F71" s="199">
        <f>VLOOKUP(O71,'FS Data'!$A:$B,2,FALSE)</f>
        <v>294309</v>
      </c>
      <c r="G71" s="199">
        <f>VLOOKUP(P71,'FS Data'!$A:$B,2,FALSE)</f>
        <v>141784</v>
      </c>
      <c r="H71" s="196">
        <f>VLOOKUP(Q71,'FS Data'!$A:$B,2,FALSE)/10</f>
        <v>48.2</v>
      </c>
      <c r="I71" s="198">
        <f>VLOOKUP(R71,'FS Data'!$A:$B,2,FALSE)</f>
        <v>710</v>
      </c>
      <c r="J71" s="198">
        <f>VLOOKUP(S71,'FS Data'!$A:$B,2,FALSE)</f>
        <v>294309</v>
      </c>
      <c r="K71" s="198">
        <f>VLOOKUP(T71,'FS Data'!$A:$B,2,FALSE)</f>
        <v>141784</v>
      </c>
      <c r="L71" s="192">
        <f>VLOOKUP(U71,'FS Data'!$A:$B,2,FALSE)/10</f>
        <v>48.2</v>
      </c>
      <c r="N71" s="220">
        <v>906712</v>
      </c>
      <c r="O71" s="220">
        <v>906714</v>
      </c>
      <c r="P71" s="220">
        <v>906716</v>
      </c>
      <c r="Q71" s="220">
        <v>906718</v>
      </c>
      <c r="R71" s="220">
        <v>906722</v>
      </c>
      <c r="S71" s="220">
        <v>906724</v>
      </c>
      <c r="T71" s="220">
        <v>906726</v>
      </c>
      <c r="U71" s="220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zoomScaleNormal="100" workbookViewId="0">
      <selection activeCell="B2" sqref="B2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15" bestFit="1" customWidth="1"/>
    <col min="23" max="26" width="10.5703125" style="215" bestFit="1" customWidth="1"/>
    <col min="27" max="30" width="10.42578125" style="215" bestFit="1" customWidth="1"/>
    <col min="31" max="35" width="9.7109375" style="215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14"/>
      <c r="C2" s="715"/>
      <c r="D2" s="1020" t="s">
        <v>762</v>
      </c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2"/>
    </row>
    <row r="3" spans="2:35" ht="18.75" customHeight="1" x14ac:dyDescent="0.25">
      <c r="B3" s="13">
        <v>1</v>
      </c>
      <c r="C3" s="1007" t="s">
        <v>763</v>
      </c>
      <c r="D3" s="1008"/>
      <c r="E3" s="1008"/>
      <c r="F3" s="1008"/>
      <c r="G3" s="1008"/>
      <c r="H3" s="1009"/>
      <c r="I3" s="1002" t="s">
        <v>764</v>
      </c>
      <c r="J3" s="1003"/>
      <c r="K3" s="1002" t="s">
        <v>765</v>
      </c>
      <c r="L3" s="1003"/>
      <c r="M3" s="1016" t="s">
        <v>766</v>
      </c>
      <c r="N3" s="1017"/>
      <c r="O3" s="1016" t="s">
        <v>52</v>
      </c>
      <c r="P3" s="1017"/>
      <c r="Q3" s="1016" t="s">
        <v>53</v>
      </c>
      <c r="R3" s="1018"/>
      <c r="S3" s="1016" t="s">
        <v>54</v>
      </c>
      <c r="T3" s="1018"/>
    </row>
    <row r="4" spans="2:35" ht="18.75" customHeight="1" x14ac:dyDescent="0.25">
      <c r="B4" s="108">
        <v>2</v>
      </c>
      <c r="C4" s="648" t="s">
        <v>319</v>
      </c>
      <c r="D4" s="14"/>
      <c r="E4" s="14"/>
      <c r="F4" s="14"/>
      <c r="G4" s="14"/>
      <c r="H4" s="242"/>
      <c r="I4" s="897">
        <f>VLOOKUP(W4,'FS Data'!$A:$B,2,FALSE)</f>
        <v>6852</v>
      </c>
      <c r="J4" s="794"/>
      <c r="K4" s="791">
        <f>VLOOKUP(Z4,'FS Data'!$A:$B,2,FALSE)</f>
        <v>4118</v>
      </c>
      <c r="L4" s="794"/>
      <c r="M4" s="791">
        <f>VLOOKUP(AB4,'FS Data'!$A:$B,2,FALSE)</f>
        <v>1515</v>
      </c>
      <c r="N4" s="897"/>
      <c r="O4" s="791">
        <f>VLOOKUP(AD4,'FS Data'!$A:$B,2,FALSE)</f>
        <v>1219</v>
      </c>
      <c r="P4" s="794"/>
      <c r="Q4" s="791">
        <f>VLOOKUP(AF4,'FS Data'!$A:$B,2,FALSE)</f>
        <v>0</v>
      </c>
      <c r="R4" s="794"/>
      <c r="S4" s="791">
        <f>VLOOKUP(AH4,'FS Data'!$A:$B,2,FALSE)</f>
        <v>0</v>
      </c>
      <c r="T4" s="794"/>
      <c r="U4" s="215">
        <v>1000204</v>
      </c>
      <c r="V4" s="215">
        <v>1000206</v>
      </c>
      <c r="W4" s="215">
        <v>1000208</v>
      </c>
      <c r="X4" s="215">
        <v>1000210</v>
      </c>
      <c r="Y4" s="215">
        <v>1000212</v>
      </c>
      <c r="Z4" s="215">
        <v>1000214</v>
      </c>
      <c r="AA4" s="215">
        <v>1000216</v>
      </c>
      <c r="AB4" s="215">
        <v>1000218</v>
      </c>
      <c r="AC4" s="215">
        <v>1000219</v>
      </c>
      <c r="AD4" s="215">
        <v>1000220</v>
      </c>
      <c r="AE4" s="215">
        <v>1000221</v>
      </c>
      <c r="AF4" s="215">
        <v>1000222</v>
      </c>
      <c r="AG4" s="215">
        <v>1000223</v>
      </c>
      <c r="AH4" s="215">
        <v>1000224</v>
      </c>
      <c r="AI4" s="215">
        <v>1000225</v>
      </c>
    </row>
    <row r="5" spans="2:35" ht="18.75" customHeight="1" x14ac:dyDescent="0.25">
      <c r="B5" s="13">
        <v>3</v>
      </c>
      <c r="C5" s="648" t="s">
        <v>767</v>
      </c>
      <c r="D5" s="14"/>
      <c r="E5" s="14"/>
      <c r="F5" s="14"/>
      <c r="G5" s="14"/>
      <c r="H5" s="242"/>
      <c r="I5" s="897">
        <f>VLOOKUP(W5,'FS Data'!$A:$B,2,FALSE)</f>
        <v>51421</v>
      </c>
      <c r="J5" s="794"/>
      <c r="K5" s="791">
        <f>VLOOKUP(Z5,'FS Data'!$A:$B,2,FALSE)</f>
        <v>6979</v>
      </c>
      <c r="L5" s="794"/>
      <c r="M5" s="791">
        <f>VLOOKUP(AB5,'FS Data'!$A:$B,2,FALSE)</f>
        <v>30471</v>
      </c>
      <c r="N5" s="897"/>
      <c r="O5" s="791">
        <f>VLOOKUP(AD5,'FS Data'!$A:$B,2,FALSE)</f>
        <v>5153</v>
      </c>
      <c r="P5" s="794"/>
      <c r="Q5" s="791">
        <f>VLOOKUP(AF5,'FS Data'!$A:$B,2,FALSE)</f>
        <v>2152</v>
      </c>
      <c r="R5" s="794"/>
      <c r="S5" s="791">
        <f>VLOOKUP(AH5,'FS Data'!$A:$B,2,FALSE)</f>
        <v>6666</v>
      </c>
      <c r="T5" s="794"/>
      <c r="U5" s="215">
        <v>1000304</v>
      </c>
      <c r="V5" s="215">
        <v>1000306</v>
      </c>
      <c r="W5" s="215">
        <v>1000308</v>
      </c>
      <c r="X5" s="215">
        <v>1000310</v>
      </c>
      <c r="Y5" s="215">
        <v>1000312</v>
      </c>
      <c r="Z5" s="215">
        <v>1000314</v>
      </c>
      <c r="AA5" s="215">
        <v>1000316</v>
      </c>
      <c r="AB5" s="215">
        <v>1000318</v>
      </c>
      <c r="AC5" s="215">
        <v>1000319</v>
      </c>
      <c r="AD5" s="215">
        <v>1000320</v>
      </c>
      <c r="AE5" s="215">
        <v>1000321</v>
      </c>
      <c r="AF5" s="215">
        <v>1000322</v>
      </c>
      <c r="AG5" s="215">
        <v>1000323</v>
      </c>
      <c r="AH5" s="215">
        <v>1000324</v>
      </c>
      <c r="AI5" s="215">
        <v>1000325</v>
      </c>
    </row>
    <row r="6" spans="2:35" ht="18.75" customHeight="1" x14ac:dyDescent="0.25">
      <c r="B6" s="108">
        <v>4</v>
      </c>
      <c r="C6" s="648" t="s">
        <v>768</v>
      </c>
      <c r="D6" s="14"/>
      <c r="E6" s="14"/>
      <c r="F6" s="14"/>
      <c r="G6" s="14"/>
      <c r="H6" s="242"/>
      <c r="I6" s="897">
        <f>VLOOKUP(W6,'FS Data'!$A:$B,2,FALSE)</f>
        <v>24296</v>
      </c>
      <c r="J6" s="794"/>
      <c r="K6" s="791">
        <f>VLOOKUP(Z6,'FS Data'!$A:$B,2,FALSE)</f>
        <v>22252</v>
      </c>
      <c r="L6" s="794"/>
      <c r="M6" s="791">
        <f>VLOOKUP(AB6,'FS Data'!$A:$B,2,FALSE)</f>
        <v>1768</v>
      </c>
      <c r="N6" s="897"/>
      <c r="O6" s="791">
        <f>VLOOKUP(AD6,'FS Data'!$A:$B,2,FALSE)</f>
        <v>0</v>
      </c>
      <c r="P6" s="794"/>
      <c r="Q6" s="791">
        <f>VLOOKUP(AF6,'FS Data'!$A:$B,2,FALSE)</f>
        <v>276</v>
      </c>
      <c r="R6" s="794"/>
      <c r="S6" s="791">
        <f>VLOOKUP(AH6,'FS Data'!$A:$B,2,FALSE)</f>
        <v>0</v>
      </c>
      <c r="T6" s="794"/>
      <c r="U6" s="215">
        <v>1000404</v>
      </c>
      <c r="V6" s="215">
        <v>1000406</v>
      </c>
      <c r="W6" s="215">
        <v>1000408</v>
      </c>
      <c r="X6" s="215">
        <v>1000410</v>
      </c>
      <c r="Y6" s="215">
        <v>1000412</v>
      </c>
      <c r="Z6" s="215">
        <v>1000414</v>
      </c>
      <c r="AA6" s="215">
        <v>1000416</v>
      </c>
      <c r="AB6" s="215">
        <v>1000418</v>
      </c>
      <c r="AC6" s="215">
        <v>1000419</v>
      </c>
      <c r="AD6" s="215">
        <v>1000420</v>
      </c>
      <c r="AE6" s="215">
        <v>1000421</v>
      </c>
      <c r="AF6" s="215">
        <v>1000422</v>
      </c>
      <c r="AG6" s="215">
        <v>1000423</v>
      </c>
      <c r="AH6" s="215">
        <v>1000424</v>
      </c>
      <c r="AI6" s="215">
        <v>1000425</v>
      </c>
    </row>
    <row r="7" spans="2:35" ht="18.75" customHeight="1" x14ac:dyDescent="0.25">
      <c r="B7" s="13">
        <v>5</v>
      </c>
      <c r="C7" s="1004" t="s">
        <v>835</v>
      </c>
      <c r="D7" s="1005"/>
      <c r="E7" s="1005"/>
      <c r="F7" s="1005"/>
      <c r="G7" s="1005"/>
      <c r="H7" s="1006"/>
      <c r="I7" s="985" t="s">
        <v>836</v>
      </c>
      <c r="J7" s="986"/>
      <c r="K7" s="1000" t="s">
        <v>837</v>
      </c>
      <c r="L7" s="1001"/>
      <c r="M7" s="987" t="s">
        <v>838</v>
      </c>
      <c r="N7" s="988"/>
      <c r="O7" s="987" t="s">
        <v>839</v>
      </c>
      <c r="P7" s="988"/>
      <c r="Q7" s="987" t="s">
        <v>840</v>
      </c>
      <c r="R7" s="988"/>
      <c r="S7" s="982" t="s">
        <v>841</v>
      </c>
      <c r="T7" s="983"/>
      <c r="U7" s="215">
        <v>1000504</v>
      </c>
      <c r="V7" s="215">
        <v>1000506</v>
      </c>
      <c r="W7" s="215">
        <v>1000508</v>
      </c>
      <c r="X7" s="215">
        <v>1000510</v>
      </c>
      <c r="Y7" s="215">
        <v>1000512</v>
      </c>
      <c r="Z7" s="215">
        <v>1000514</v>
      </c>
      <c r="AA7" s="215">
        <v>1000516</v>
      </c>
      <c r="AB7" s="215">
        <v>1000518</v>
      </c>
      <c r="AC7" s="215">
        <v>1000519</v>
      </c>
      <c r="AD7" s="215">
        <v>1000520</v>
      </c>
      <c r="AE7" s="215">
        <v>1000521</v>
      </c>
      <c r="AF7" s="215">
        <v>1000522</v>
      </c>
      <c r="AG7" s="215">
        <v>1000523</v>
      </c>
      <c r="AH7" s="215">
        <v>1000524</v>
      </c>
      <c r="AI7" s="215">
        <v>1000525</v>
      </c>
    </row>
    <row r="8" spans="2:35" ht="18.75" customHeight="1" x14ac:dyDescent="0.25">
      <c r="B8" s="108">
        <v>6</v>
      </c>
      <c r="C8" s="991" t="s">
        <v>848</v>
      </c>
      <c r="D8" s="992"/>
      <c r="E8" s="992"/>
      <c r="F8" s="992"/>
      <c r="G8" s="992"/>
      <c r="H8" s="993"/>
      <c r="I8" s="134">
        <f>VLOOKUP(W8,'FS Data'!$A:$B,2,FALSE)</f>
        <v>625584</v>
      </c>
      <c r="J8" s="114">
        <f>VLOOKUP(X8,'FS Data'!$A:$B,2,FALSE)</f>
        <v>15</v>
      </c>
      <c r="K8" s="114">
        <f>VLOOKUP(Z8,'FS Data'!$A:$B,2,FALSE)</f>
        <v>464736</v>
      </c>
      <c r="L8" s="114">
        <f>VLOOKUP(AA8,'FS Data'!$A:$B,2,FALSE)</f>
        <v>11</v>
      </c>
      <c r="M8" s="114">
        <f>VLOOKUP(AB8,'FS Data'!$A:$B,2,FALSE)</f>
        <v>31000</v>
      </c>
      <c r="N8" s="126">
        <f>VLOOKUP(AC8,'FS Data'!$A:$B,2,FALSE)</f>
        <v>1</v>
      </c>
      <c r="O8" s="122">
        <f>VLOOKUP(AD8,'FS Data'!$A:$B,2,FALSE)</f>
        <v>48946</v>
      </c>
      <c r="P8" s="122">
        <f>VLOOKUP(AE8,'FS Data'!$A:$B,2,FALSE)</f>
        <v>1</v>
      </c>
      <c r="Q8" s="122">
        <f>VLOOKUP(AF8,'FS Data'!$A:$B,2,FALSE)</f>
        <v>80902</v>
      </c>
      <c r="R8" s="122">
        <f>VLOOKUP(AG8,'FS Data'!$A:$B,2,FALSE)</f>
        <v>2</v>
      </c>
      <c r="S8" s="122">
        <f>VLOOKUP(AH8,'FS Data'!$A:$B,2,FALSE)</f>
        <v>0</v>
      </c>
      <c r="T8" s="122">
        <f>VLOOKUP(AI8,'FS Data'!$A:$B,2,FALSE)</f>
        <v>0</v>
      </c>
      <c r="U8" s="215">
        <v>1000604</v>
      </c>
      <c r="V8" s="215">
        <v>1000606</v>
      </c>
      <c r="W8" s="215">
        <v>1000608</v>
      </c>
      <c r="X8" s="215">
        <v>1000610</v>
      </c>
      <c r="Y8" s="215">
        <v>1000612</v>
      </c>
      <c r="Z8" s="215">
        <v>1000614</v>
      </c>
      <c r="AA8" s="215">
        <v>1000616</v>
      </c>
      <c r="AB8" s="215">
        <v>1000618</v>
      </c>
      <c r="AC8" s="215">
        <v>1000619</v>
      </c>
      <c r="AD8" s="215">
        <v>1000620</v>
      </c>
      <c r="AE8" s="215">
        <v>1000621</v>
      </c>
      <c r="AF8" s="215">
        <v>1000622</v>
      </c>
      <c r="AG8" s="215">
        <v>1000623</v>
      </c>
      <c r="AH8" s="215">
        <v>1000624</v>
      </c>
      <c r="AI8" s="215">
        <v>1000625</v>
      </c>
    </row>
    <row r="9" spans="2:35" ht="18.75" customHeight="1" x14ac:dyDescent="0.25">
      <c r="B9" s="13">
        <v>7</v>
      </c>
      <c r="C9" s="991" t="s">
        <v>849</v>
      </c>
      <c r="D9" s="992"/>
      <c r="E9" s="992"/>
      <c r="F9" s="992"/>
      <c r="G9" s="992"/>
      <c r="H9" s="993"/>
      <c r="I9" s="134">
        <f>VLOOKUP(W9,'FS Data'!$A:$B,2,FALSE)</f>
        <v>316413</v>
      </c>
      <c r="J9" s="114">
        <f>VLOOKUP(X9,'FS Data'!$A:$B,2,FALSE)</f>
        <v>8</v>
      </c>
      <c r="K9" s="114">
        <f>VLOOKUP(Z9,'FS Data'!$A:$B,2,FALSE)</f>
        <v>134405</v>
      </c>
      <c r="L9" s="114">
        <f>VLOOKUP(AA9,'FS Data'!$A:$B,2,FALSE)</f>
        <v>4</v>
      </c>
      <c r="M9" s="114">
        <f>VLOOKUP(AB9,'FS Data'!$A:$B,2,FALSE)</f>
        <v>35685</v>
      </c>
      <c r="N9" s="126">
        <f>VLOOKUP(AC9,'FS Data'!$A:$B,2,FALSE)</f>
        <v>1</v>
      </c>
      <c r="O9" s="122">
        <f>VLOOKUP(AD9,'FS Data'!$A:$B,2,FALSE)</f>
        <v>107495</v>
      </c>
      <c r="P9" s="122">
        <f>VLOOKUP(AE9,'FS Data'!$A:$B,2,FALSE)</f>
        <v>2</v>
      </c>
      <c r="Q9" s="122">
        <f>VLOOKUP(AF9,'FS Data'!$A:$B,2,FALSE)</f>
        <v>38828</v>
      </c>
      <c r="R9" s="122">
        <f>VLOOKUP(AG9,'FS Data'!$A:$B,2,FALSE)</f>
        <v>1</v>
      </c>
      <c r="S9" s="122">
        <f>VLOOKUP(AH9,'FS Data'!$A:$B,2,FALSE)</f>
        <v>0</v>
      </c>
      <c r="T9" s="122">
        <f>VLOOKUP(AI9,'FS Data'!$A:$B,2,FALSE)</f>
        <v>0</v>
      </c>
      <c r="U9" s="215">
        <v>1000704</v>
      </c>
      <c r="V9" s="215">
        <v>1000706</v>
      </c>
      <c r="W9" s="215">
        <v>1000708</v>
      </c>
      <c r="X9" s="215">
        <v>1000710</v>
      </c>
      <c r="Y9" s="215">
        <v>1000712</v>
      </c>
      <c r="Z9" s="215">
        <v>1000714</v>
      </c>
      <c r="AA9" s="215">
        <v>1000716</v>
      </c>
      <c r="AB9" s="215">
        <v>1000718</v>
      </c>
      <c r="AC9" s="215">
        <v>1000719</v>
      </c>
      <c r="AD9" s="215">
        <v>1000720</v>
      </c>
      <c r="AE9" s="215">
        <v>1000721</v>
      </c>
      <c r="AF9" s="215">
        <v>1000722</v>
      </c>
      <c r="AG9" s="215">
        <v>1000723</v>
      </c>
      <c r="AH9" s="215">
        <v>1000724</v>
      </c>
      <c r="AI9" s="215">
        <v>1000725</v>
      </c>
    </row>
    <row r="10" spans="2:35" ht="18.75" customHeight="1" x14ac:dyDescent="0.25">
      <c r="B10" s="108">
        <v>8</v>
      </c>
      <c r="C10" s="991" t="s">
        <v>137</v>
      </c>
      <c r="D10" s="992"/>
      <c r="E10" s="992"/>
      <c r="F10" s="992"/>
      <c r="G10" s="992"/>
      <c r="H10" s="993"/>
      <c r="I10" s="134">
        <f>VLOOKUP(W10,'FS Data'!$A:$B,2,FALSE)</f>
        <v>0</v>
      </c>
      <c r="J10" s="114">
        <f>VLOOKUP(X10,'FS Data'!$A:$B,2,FALSE)</f>
        <v>0</v>
      </c>
      <c r="K10" s="114">
        <f>VLOOKUP(Z10,'FS Data'!$A:$B,2,FALSE)</f>
        <v>0</v>
      </c>
      <c r="L10" s="114">
        <f>VLOOKUP(AA10,'FS Data'!$A:$B,2,FALSE)</f>
        <v>0</v>
      </c>
      <c r="M10" s="114">
        <f>VLOOKUP(AB10,'FS Data'!$A:$B,2,FALSE)</f>
        <v>0</v>
      </c>
      <c r="N10" s="126">
        <f>VLOOKUP(AC10,'FS Data'!$A:$B,2,FALSE)</f>
        <v>0</v>
      </c>
      <c r="O10" s="122">
        <f>VLOOKUP(AD10,'FS Data'!$A:$B,2,FALSE)</f>
        <v>0</v>
      </c>
      <c r="P10" s="122">
        <f>VLOOKUP(AE10,'FS Data'!$A:$B,2,FALSE)</f>
        <v>0</v>
      </c>
      <c r="Q10" s="122">
        <f>VLOOKUP(AF10,'FS Data'!$A:$B,2,FALSE)</f>
        <v>0</v>
      </c>
      <c r="R10" s="122">
        <f>VLOOKUP(AG10,'FS Data'!$A:$B,2,FALSE)</f>
        <v>0</v>
      </c>
      <c r="S10" s="122">
        <f>VLOOKUP(AH10,'FS Data'!$A:$B,2,FALSE)</f>
        <v>0</v>
      </c>
      <c r="T10" s="122">
        <f>VLOOKUP(AI10,'FS Data'!$A:$B,2,FALSE)</f>
        <v>0</v>
      </c>
      <c r="U10" s="215">
        <v>1000804</v>
      </c>
      <c r="V10" s="215">
        <v>1000806</v>
      </c>
      <c r="W10" s="215">
        <v>1000808</v>
      </c>
      <c r="X10" s="215">
        <v>1000810</v>
      </c>
      <c r="Y10" s="215">
        <v>1000812</v>
      </c>
      <c r="Z10" s="215">
        <v>1000814</v>
      </c>
      <c r="AA10" s="215">
        <v>1000816</v>
      </c>
      <c r="AB10" s="215">
        <v>1000818</v>
      </c>
      <c r="AC10" s="215">
        <v>1000819</v>
      </c>
      <c r="AD10" s="215">
        <v>1000820</v>
      </c>
      <c r="AE10" s="215">
        <v>1000821</v>
      </c>
      <c r="AF10" s="215">
        <v>1000822</v>
      </c>
      <c r="AG10" s="215">
        <v>1000823</v>
      </c>
      <c r="AH10" s="215">
        <v>1000824</v>
      </c>
      <c r="AI10" s="215">
        <v>1000825</v>
      </c>
    </row>
    <row r="11" spans="2:35" ht="18.75" customHeight="1" x14ac:dyDescent="0.25">
      <c r="B11" s="13">
        <v>9</v>
      </c>
      <c r="C11" s="991" t="s">
        <v>397</v>
      </c>
      <c r="D11" s="992"/>
      <c r="E11" s="992"/>
      <c r="F11" s="992"/>
      <c r="G11" s="992"/>
      <c r="H11" s="993"/>
      <c r="I11" s="134">
        <f>VLOOKUP(W11,'FS Data'!$A:$B,2,FALSE)</f>
        <v>689760</v>
      </c>
      <c r="J11" s="114">
        <f>VLOOKUP(X11,'FS Data'!$A:$B,2,FALSE)</f>
        <v>22</v>
      </c>
      <c r="K11" s="114">
        <f>VLOOKUP(Z11,'FS Data'!$A:$B,2,FALSE)</f>
        <v>408151</v>
      </c>
      <c r="L11" s="114">
        <f>VLOOKUP(AA11,'FS Data'!$A:$B,2,FALSE)</f>
        <v>13</v>
      </c>
      <c r="M11" s="114">
        <f>VLOOKUP(AB11,'FS Data'!$A:$B,2,FALSE)</f>
        <v>82113</v>
      </c>
      <c r="N11" s="126">
        <f>VLOOKUP(AC11,'FS Data'!$A:$B,2,FALSE)</f>
        <v>3</v>
      </c>
      <c r="O11" s="122">
        <f>VLOOKUP(AD11,'FS Data'!$A:$B,2,FALSE)</f>
        <v>58360</v>
      </c>
      <c r="P11" s="122">
        <f>VLOOKUP(AE11,'FS Data'!$A:$B,2,FALSE)</f>
        <v>2</v>
      </c>
      <c r="Q11" s="122">
        <f>VLOOKUP(AF11,'FS Data'!$A:$B,2,FALSE)</f>
        <v>74008</v>
      </c>
      <c r="R11" s="122">
        <f>VLOOKUP(AG11,'FS Data'!$A:$B,2,FALSE)</f>
        <v>2</v>
      </c>
      <c r="S11" s="122">
        <f>VLOOKUP(AH11,'FS Data'!$A:$B,2,FALSE)</f>
        <v>67128</v>
      </c>
      <c r="T11" s="122">
        <f>VLOOKUP(AI11,'FS Data'!$A:$B,2,FALSE)</f>
        <v>2</v>
      </c>
      <c r="U11" s="215">
        <v>1000904</v>
      </c>
      <c r="V11" s="215">
        <v>1000906</v>
      </c>
      <c r="W11" s="215">
        <v>1000908</v>
      </c>
      <c r="X11" s="215">
        <v>1000910</v>
      </c>
      <c r="Y11" s="215">
        <v>1000912</v>
      </c>
      <c r="Z11" s="215">
        <v>1000914</v>
      </c>
      <c r="AA11" s="215">
        <v>1000916</v>
      </c>
      <c r="AB11" s="215">
        <v>1000918</v>
      </c>
      <c r="AC11" s="215">
        <v>1000919</v>
      </c>
      <c r="AD11" s="215">
        <v>1000920</v>
      </c>
      <c r="AE11" s="215">
        <v>1000921</v>
      </c>
      <c r="AF11" s="215">
        <v>1000922</v>
      </c>
      <c r="AG11" s="215">
        <v>1000923</v>
      </c>
      <c r="AH11" s="215">
        <v>1000924</v>
      </c>
      <c r="AI11" s="215">
        <v>1000925</v>
      </c>
    </row>
    <row r="12" spans="2:35" ht="18.600000000000001" customHeight="1" x14ac:dyDescent="0.25">
      <c r="B12" s="108">
        <v>10</v>
      </c>
      <c r="C12" s="998" t="s">
        <v>842</v>
      </c>
      <c r="D12" s="999"/>
      <c r="E12" s="999"/>
      <c r="F12" s="988"/>
      <c r="G12" s="1019" t="s">
        <v>843</v>
      </c>
      <c r="H12" s="1019"/>
      <c r="I12" s="1019"/>
      <c r="J12" s="1019" t="s">
        <v>844</v>
      </c>
      <c r="K12" s="1019"/>
      <c r="L12" s="410" t="s">
        <v>845</v>
      </c>
      <c r="M12" s="966" t="s">
        <v>846</v>
      </c>
      <c r="N12" s="967"/>
      <c r="O12" s="985" t="s">
        <v>847</v>
      </c>
      <c r="P12" s="986"/>
      <c r="Q12" s="410" t="s">
        <v>845</v>
      </c>
      <c r="R12" s="411"/>
      <c r="S12" s="412"/>
      <c r="T12" s="413"/>
      <c r="U12" s="215">
        <v>1001004</v>
      </c>
      <c r="V12" s="215">
        <v>1001006</v>
      </c>
      <c r="W12" s="215">
        <v>1001008</v>
      </c>
      <c r="X12" s="215">
        <v>1001010</v>
      </c>
      <c r="Y12" s="215">
        <v>1001012</v>
      </c>
      <c r="Z12" s="215">
        <v>1001014</v>
      </c>
      <c r="AA12" s="215">
        <v>1001016</v>
      </c>
      <c r="AB12" s="215">
        <v>1001018</v>
      </c>
      <c r="AC12" s="215">
        <v>1001019</v>
      </c>
      <c r="AD12" s="215">
        <v>1001020</v>
      </c>
      <c r="AE12" s="215">
        <v>1001021</v>
      </c>
      <c r="AF12" s="215">
        <v>1001022</v>
      </c>
      <c r="AG12" s="215">
        <v>1001023</v>
      </c>
      <c r="AH12" s="215">
        <v>1001024</v>
      </c>
      <c r="AI12" s="215">
        <v>1001025</v>
      </c>
    </row>
    <row r="13" spans="2:35" ht="18.600000000000001" customHeight="1" x14ac:dyDescent="0.25">
      <c r="B13" s="13">
        <v>11</v>
      </c>
      <c r="C13" s="507" t="s">
        <v>850</v>
      </c>
      <c r="D13" s="109"/>
      <c r="E13" s="109"/>
      <c r="F13" s="244"/>
      <c r="G13" s="971">
        <f>VLOOKUP(W13,'FS Data'!$A:$B,2,FALSE)</f>
        <v>2039798</v>
      </c>
      <c r="H13" s="996"/>
      <c r="I13" s="997"/>
      <c r="J13" s="971">
        <f>VLOOKUP(Z13,'FS Data'!$A:$B,2,FALSE)</f>
        <v>142413</v>
      </c>
      <c r="K13" s="996"/>
      <c r="L13" s="177">
        <f>VLOOKUP(AA13,'FS Data'!$A:$B,2,FALSE)/10</f>
        <v>7</v>
      </c>
      <c r="M13" s="971">
        <f>VLOOKUP(AB13,'FS Data'!$A:$B,2,FALSE)</f>
        <v>2039798</v>
      </c>
      <c r="N13" s="972"/>
      <c r="O13" s="791">
        <f>VLOOKUP(AD13,'FS Data'!$A:$B,2,FALSE)</f>
        <v>142413</v>
      </c>
      <c r="P13" s="979"/>
      <c r="Q13" s="210">
        <f>VLOOKUP(AF13,'FS Data'!$A:$B,2,FALSE)/10</f>
        <v>7</v>
      </c>
      <c r="R13" s="414"/>
      <c r="S13" s="412"/>
      <c r="T13" s="413"/>
      <c r="U13" s="215">
        <v>1001104</v>
      </c>
      <c r="V13" s="215">
        <v>1001106</v>
      </c>
      <c r="W13" s="215">
        <v>1001108</v>
      </c>
      <c r="X13" s="215">
        <v>1001110</v>
      </c>
      <c r="Y13" s="215">
        <v>1001112</v>
      </c>
      <c r="Z13" s="215">
        <v>1001114</v>
      </c>
      <c r="AA13" s="215">
        <v>1001116</v>
      </c>
      <c r="AB13" s="215">
        <v>1001118</v>
      </c>
      <c r="AC13" s="215">
        <v>1001119</v>
      </c>
      <c r="AD13" s="215">
        <v>1001120</v>
      </c>
      <c r="AE13" s="215">
        <v>1001121</v>
      </c>
      <c r="AF13" s="215">
        <v>1001122</v>
      </c>
      <c r="AG13" s="215">
        <v>1001123</v>
      </c>
      <c r="AH13" s="215">
        <v>1001124</v>
      </c>
      <c r="AI13" s="215">
        <v>1001125</v>
      </c>
    </row>
    <row r="14" spans="2:35" ht="18.600000000000001" customHeight="1" x14ac:dyDescent="0.25">
      <c r="B14" s="108">
        <v>12</v>
      </c>
      <c r="C14" s="507" t="s">
        <v>851</v>
      </c>
      <c r="D14" s="109"/>
      <c r="E14" s="109"/>
      <c r="F14" s="244"/>
      <c r="G14" s="971">
        <f>VLOOKUP(W14,'FS Data'!$A:$B,2,FALSE)</f>
        <v>294309</v>
      </c>
      <c r="H14" s="996"/>
      <c r="I14" s="997"/>
      <c r="J14" s="971">
        <f>VLOOKUP(Z14,'FS Data'!$A:$B,2,FALSE)</f>
        <v>141784</v>
      </c>
      <c r="K14" s="996"/>
      <c r="L14" s="177">
        <f>VLOOKUP(AA14,'FS Data'!$A:$B,2,FALSE)/10</f>
        <v>48.2</v>
      </c>
      <c r="M14" s="791">
        <f>VLOOKUP(AB14,'FS Data'!$A:$B,2,FALSE)</f>
        <v>294309</v>
      </c>
      <c r="N14" s="984"/>
      <c r="O14" s="791">
        <f>VLOOKUP(AD14,'FS Data'!$A:$B,2,FALSE)</f>
        <v>141784</v>
      </c>
      <c r="P14" s="979"/>
      <c r="Q14" s="177">
        <f>VLOOKUP(AF14,'FS Data'!$A:$B,2,FALSE)/10</f>
        <v>48.2</v>
      </c>
      <c r="R14" s="414"/>
      <c r="S14" s="412"/>
      <c r="T14" s="413"/>
      <c r="U14" s="215">
        <v>1001204</v>
      </c>
      <c r="V14" s="215">
        <v>1001206</v>
      </c>
      <c r="W14" s="215">
        <v>1001208</v>
      </c>
      <c r="X14" s="215">
        <v>1001210</v>
      </c>
      <c r="Y14" s="215">
        <v>1001212</v>
      </c>
      <c r="Z14" s="215">
        <v>1001214</v>
      </c>
      <c r="AA14" s="215">
        <v>1001216</v>
      </c>
      <c r="AB14" s="215">
        <v>1001218</v>
      </c>
      <c r="AC14" s="215">
        <v>1001219</v>
      </c>
      <c r="AD14" s="215">
        <v>1001220</v>
      </c>
      <c r="AE14" s="215">
        <v>1001221</v>
      </c>
      <c r="AF14" s="215">
        <v>1001222</v>
      </c>
      <c r="AG14" s="215">
        <v>1001223</v>
      </c>
      <c r="AH14" s="215">
        <v>1001224</v>
      </c>
      <c r="AI14" s="215">
        <v>1001225</v>
      </c>
    </row>
    <row r="15" spans="2:35" ht="18.600000000000001" customHeight="1" x14ac:dyDescent="0.25">
      <c r="B15" s="13">
        <v>13</v>
      </c>
      <c r="C15" s="507" t="s">
        <v>852</v>
      </c>
      <c r="D15" s="109"/>
      <c r="E15" s="109"/>
      <c r="F15" s="244"/>
      <c r="G15" s="971">
        <f>VLOOKUP(W15,'FS Data'!$A:$B,2,FALSE)</f>
        <v>2334107</v>
      </c>
      <c r="H15" s="996"/>
      <c r="I15" s="997"/>
      <c r="J15" s="971">
        <f>VLOOKUP(Z15,'FS Data'!$A:$B,2,FALSE)</f>
        <v>284197</v>
      </c>
      <c r="K15" s="996"/>
      <c r="L15" s="177">
        <f>VLOOKUP(AA15,'FS Data'!$A:$B,2,FALSE)/10</f>
        <v>12.2</v>
      </c>
      <c r="M15" s="791">
        <f>VLOOKUP(AB15,'FS Data'!$A:$B,2,FALSE)</f>
        <v>2334107</v>
      </c>
      <c r="N15" s="984"/>
      <c r="O15" s="791">
        <f>VLOOKUP(AD15,'FS Data'!$A:$B,2,FALSE)</f>
        <v>284197</v>
      </c>
      <c r="P15" s="979"/>
      <c r="Q15" s="177">
        <f>VLOOKUP(AF15,'FS Data'!$A:$B,2,FALSE)/10</f>
        <v>12.2</v>
      </c>
      <c r="R15" s="414"/>
      <c r="S15" s="412"/>
      <c r="T15" s="413"/>
      <c r="U15" s="215">
        <v>1001304</v>
      </c>
      <c r="V15" s="215">
        <v>1001306</v>
      </c>
      <c r="W15" s="215">
        <v>1001308</v>
      </c>
      <c r="X15" s="215">
        <v>1001310</v>
      </c>
      <c r="Y15" s="215">
        <v>1001312</v>
      </c>
      <c r="Z15" s="215">
        <v>1001314</v>
      </c>
      <c r="AA15" s="215">
        <v>1001316</v>
      </c>
      <c r="AB15" s="215">
        <v>1001318</v>
      </c>
      <c r="AC15" s="215">
        <v>1001319</v>
      </c>
      <c r="AD15" s="215">
        <v>1001320</v>
      </c>
      <c r="AE15" s="215">
        <v>1001321</v>
      </c>
      <c r="AF15" s="215">
        <v>1001322</v>
      </c>
      <c r="AG15" s="215">
        <v>1001323</v>
      </c>
      <c r="AH15" s="215">
        <v>1001324</v>
      </c>
      <c r="AI15" s="215">
        <v>1001325</v>
      </c>
    </row>
    <row r="16" spans="2:35" ht="24.75" customHeight="1" x14ac:dyDescent="0.25">
      <c r="B16" s="108">
        <v>14</v>
      </c>
      <c r="C16" s="507" t="s">
        <v>853</v>
      </c>
      <c r="D16" s="109"/>
      <c r="E16" s="109"/>
      <c r="F16" s="109"/>
      <c r="G16" s="415"/>
      <c r="H16" s="416"/>
      <c r="I16" s="416"/>
      <c r="J16" s="971">
        <f>VLOOKUP(Z16,'FS Data'!$A:$B,2,FALSE)</f>
        <v>80616</v>
      </c>
      <c r="K16" s="996"/>
      <c r="L16" s="177">
        <f>VLOOKUP(AA16,'FS Data'!$A:$B,2,FALSE)/10</f>
        <v>28.4</v>
      </c>
      <c r="M16" s="417"/>
      <c r="N16" s="417"/>
      <c r="O16" s="791">
        <f>VLOOKUP(AD16,'FS Data'!$A:$B,2,FALSE)</f>
        <v>80616</v>
      </c>
      <c r="P16" s="979"/>
      <c r="Q16" s="177">
        <f>VLOOKUP(AF16,'FS Data'!$A:$B,2,FALSE)/10</f>
        <v>28.4</v>
      </c>
      <c r="R16" s="414"/>
      <c r="S16" s="412"/>
      <c r="T16" s="413"/>
      <c r="U16" s="215">
        <v>1001404</v>
      </c>
      <c r="V16" s="215">
        <v>1001406</v>
      </c>
      <c r="W16" s="215">
        <v>1001408</v>
      </c>
      <c r="X16" s="215">
        <v>1001410</v>
      </c>
      <c r="Y16" s="215">
        <v>1001412</v>
      </c>
      <c r="Z16" s="215">
        <v>1001414</v>
      </c>
      <c r="AA16" s="215">
        <v>1001416</v>
      </c>
      <c r="AB16" s="215">
        <v>1001418</v>
      </c>
      <c r="AC16" s="215">
        <v>1001419</v>
      </c>
      <c r="AD16" s="215">
        <v>1001420</v>
      </c>
      <c r="AE16" s="215">
        <v>1001421</v>
      </c>
      <c r="AF16" s="215">
        <v>1001422</v>
      </c>
      <c r="AG16" s="215">
        <v>1001423</v>
      </c>
      <c r="AH16" s="215">
        <v>1001424</v>
      </c>
      <c r="AI16" s="215">
        <v>1001425</v>
      </c>
    </row>
    <row r="17" spans="2:115" ht="23.25" customHeight="1" x14ac:dyDescent="0.25">
      <c r="B17" s="13">
        <v>15</v>
      </c>
      <c r="C17" s="507" t="s">
        <v>854</v>
      </c>
      <c r="D17" s="109"/>
      <c r="E17" s="109"/>
      <c r="F17" s="109"/>
      <c r="G17" s="415"/>
      <c r="H17" s="416"/>
      <c r="I17" s="416"/>
      <c r="J17" s="971">
        <f>VLOOKUP(Z17,'FS Data'!$A:$B,2,FALSE)</f>
        <v>191236</v>
      </c>
      <c r="K17" s="996"/>
      <c r="L17" s="177">
        <f>VLOOKUP(AA17,'FS Data'!$A:$B,2,FALSE)/10</f>
        <v>67.3</v>
      </c>
      <c r="M17" s="415"/>
      <c r="N17" s="415"/>
      <c r="O17" s="791">
        <f>VLOOKUP(AD17,'FS Data'!$A:$B,2,FALSE)</f>
        <v>191236</v>
      </c>
      <c r="P17" s="979"/>
      <c r="Q17" s="177">
        <f>VLOOKUP(AF17,'FS Data'!$A:$B,2,FALSE)/10</f>
        <v>67.3</v>
      </c>
      <c r="R17" s="414"/>
      <c r="S17" s="412"/>
      <c r="T17" s="413"/>
      <c r="U17" s="215">
        <v>1001504</v>
      </c>
      <c r="V17" s="215">
        <v>1001506</v>
      </c>
      <c r="W17" s="215">
        <v>1001508</v>
      </c>
      <c r="X17" s="215">
        <v>1001510</v>
      </c>
      <c r="Y17" s="215">
        <v>1001512</v>
      </c>
      <c r="Z17" s="215">
        <v>1001514</v>
      </c>
      <c r="AA17" s="215">
        <v>1001516</v>
      </c>
      <c r="AB17" s="215">
        <v>1001518</v>
      </c>
      <c r="AC17" s="215">
        <v>1001519</v>
      </c>
      <c r="AD17" s="215">
        <v>1001520</v>
      </c>
      <c r="AE17" s="215">
        <v>1001521</v>
      </c>
      <c r="AF17" s="215">
        <v>1001522</v>
      </c>
      <c r="AG17" s="215">
        <v>1001523</v>
      </c>
      <c r="AH17" s="215">
        <v>1001524</v>
      </c>
      <c r="AI17" s="215">
        <v>1001525</v>
      </c>
    </row>
    <row r="18" spans="2:115" ht="24.75" customHeight="1" x14ac:dyDescent="0.25">
      <c r="B18" s="108">
        <v>16</v>
      </c>
      <c r="C18" s="507" t="s">
        <v>855</v>
      </c>
      <c r="D18" s="109"/>
      <c r="E18" s="109"/>
      <c r="F18" s="109"/>
      <c r="G18" s="415"/>
      <c r="H18" s="416"/>
      <c r="I18" s="416"/>
      <c r="J18" s="971">
        <f>VLOOKUP(Z18,'FS Data'!$A:$B,2,FALSE)</f>
        <v>65186</v>
      </c>
      <c r="K18" s="996"/>
      <c r="L18" s="177">
        <f>VLOOKUP(AA18,'FS Data'!$A:$B,2,FALSE)/10</f>
        <v>22.9</v>
      </c>
      <c r="M18" s="415"/>
      <c r="N18" s="415"/>
      <c r="O18" s="791">
        <f>VLOOKUP(AD18,'FS Data'!$A:$B,2,FALSE)</f>
        <v>65186</v>
      </c>
      <c r="P18" s="979"/>
      <c r="Q18" s="177">
        <f>VLOOKUP(AF18,'FS Data'!$A:$B,2,FALSE)/10</f>
        <v>22.9</v>
      </c>
      <c r="R18" s="414"/>
      <c r="S18" s="412"/>
      <c r="T18" s="413"/>
      <c r="U18" s="215">
        <v>1001604</v>
      </c>
      <c r="V18" s="215">
        <v>1001606</v>
      </c>
      <c r="W18" s="215">
        <v>1001608</v>
      </c>
      <c r="X18" s="215">
        <v>1001610</v>
      </c>
      <c r="Y18" s="215">
        <v>1001612</v>
      </c>
      <c r="Z18" s="215">
        <v>1001614</v>
      </c>
      <c r="AA18" s="215">
        <v>1001616</v>
      </c>
      <c r="AB18" s="215">
        <v>1001618</v>
      </c>
      <c r="AC18" s="215">
        <v>1001619</v>
      </c>
      <c r="AD18" s="215">
        <v>1001620</v>
      </c>
      <c r="AE18" s="215">
        <v>1001621</v>
      </c>
      <c r="AF18" s="215">
        <v>1001622</v>
      </c>
      <c r="AG18" s="215">
        <v>1001623</v>
      </c>
      <c r="AH18" s="215">
        <v>1001624</v>
      </c>
      <c r="AI18" s="215">
        <v>1001625</v>
      </c>
    </row>
    <row r="19" spans="2:115" ht="24" customHeight="1" x14ac:dyDescent="0.25">
      <c r="B19" s="13">
        <v>17</v>
      </c>
      <c r="C19" s="507" t="s">
        <v>856</v>
      </c>
      <c r="D19" s="109"/>
      <c r="E19" s="109"/>
      <c r="F19" s="109"/>
      <c r="G19" s="415"/>
      <c r="H19" s="416"/>
      <c r="I19" s="416"/>
      <c r="J19" s="971">
        <f>VLOOKUP(Z19,'FS Data'!$A:$B,2,FALSE)</f>
        <v>88636</v>
      </c>
      <c r="K19" s="996"/>
      <c r="L19" s="177">
        <f>VLOOKUP(AA19,'FS Data'!$A:$B,2,FALSE)/10</f>
        <v>31.2</v>
      </c>
      <c r="M19" s="415"/>
      <c r="N19" s="415"/>
      <c r="O19" s="791">
        <f>VLOOKUP(AD19,'FS Data'!$A:$B,2,FALSE)</f>
        <v>88636</v>
      </c>
      <c r="P19" s="979"/>
      <c r="Q19" s="177">
        <f>VLOOKUP(AF19,'FS Data'!$A:$B,2,FALSE)/10</f>
        <v>31.2</v>
      </c>
      <c r="R19" s="414"/>
      <c r="S19" s="412"/>
      <c r="T19" s="413"/>
      <c r="U19" s="215">
        <v>1001704</v>
      </c>
      <c r="V19" s="215">
        <v>1001706</v>
      </c>
      <c r="W19" s="215">
        <v>1001708</v>
      </c>
      <c r="X19" s="215">
        <v>1001710</v>
      </c>
      <c r="Y19" s="215">
        <v>1001712</v>
      </c>
      <c r="Z19" s="215">
        <v>1001714</v>
      </c>
      <c r="AA19" s="215">
        <v>1001716</v>
      </c>
      <c r="AB19" s="215">
        <v>1001718</v>
      </c>
      <c r="AC19" s="215">
        <v>1001719</v>
      </c>
      <c r="AD19" s="215">
        <v>1001720</v>
      </c>
      <c r="AE19" s="215">
        <v>1001721</v>
      </c>
      <c r="AF19" s="215">
        <v>1001722</v>
      </c>
      <c r="AG19" s="215">
        <v>1001723</v>
      </c>
      <c r="AH19" s="215">
        <v>1001724</v>
      </c>
      <c r="AI19" s="215">
        <v>1001725</v>
      </c>
    </row>
    <row r="20" spans="2:115" ht="24.75" customHeight="1" x14ac:dyDescent="0.25">
      <c r="B20" s="108">
        <v>18</v>
      </c>
      <c r="C20" s="746" t="s">
        <v>857</v>
      </c>
      <c r="D20" s="204"/>
      <c r="E20" s="204"/>
      <c r="F20" s="204"/>
      <c r="G20" s="415"/>
      <c r="H20" s="416"/>
      <c r="I20" s="416"/>
      <c r="J20" s="994">
        <f>VLOOKUP(Z20,'FS Data'!$A:$B,2,FALSE)</f>
        <v>-141477</v>
      </c>
      <c r="K20" s="995"/>
      <c r="L20" s="415"/>
      <c r="M20" s="415"/>
      <c r="N20" s="415"/>
      <c r="O20" s="980">
        <f>VLOOKUP(AD20,'FS Data'!$A:$B,2,FALSE)</f>
        <v>-141477</v>
      </c>
      <c r="P20" s="981"/>
      <c r="Q20" s="744"/>
      <c r="R20" s="745"/>
      <c r="S20" s="412"/>
      <c r="T20" s="413"/>
      <c r="U20" s="215">
        <v>1001804</v>
      </c>
      <c r="V20" s="215">
        <v>1001806</v>
      </c>
      <c r="W20" s="215">
        <v>1001808</v>
      </c>
      <c r="X20" s="215">
        <v>1001810</v>
      </c>
      <c r="Y20" s="215">
        <v>1001812</v>
      </c>
      <c r="Z20" s="215">
        <v>1001814</v>
      </c>
      <c r="AA20" s="215">
        <v>1001816</v>
      </c>
      <c r="AB20" s="215">
        <v>1001818</v>
      </c>
      <c r="AC20" s="215">
        <v>1001819</v>
      </c>
      <c r="AD20" s="215">
        <v>1001820</v>
      </c>
      <c r="AE20" s="215">
        <v>1001821</v>
      </c>
      <c r="AF20" s="215">
        <v>1001822</v>
      </c>
      <c r="AG20" s="215">
        <v>1001823</v>
      </c>
      <c r="AH20" s="215">
        <v>1001824</v>
      </c>
      <c r="AI20" s="215">
        <v>1001825</v>
      </c>
    </row>
    <row r="21" spans="2:115" ht="18.600000000000001" customHeight="1" x14ac:dyDescent="0.25">
      <c r="B21" s="178">
        <v>19</v>
      </c>
      <c r="C21" s="909" t="s">
        <v>858</v>
      </c>
      <c r="D21" s="909"/>
      <c r="E21" s="909"/>
      <c r="F21" s="909"/>
      <c r="G21" s="909" t="s">
        <v>859</v>
      </c>
      <c r="H21" s="909"/>
      <c r="I21" s="909"/>
      <c r="J21" s="909"/>
      <c r="K21" s="909" t="s">
        <v>860</v>
      </c>
      <c r="L21" s="909"/>
      <c r="M21" s="909"/>
      <c r="N21" s="909" t="s">
        <v>861</v>
      </c>
      <c r="O21" s="909"/>
      <c r="P21" s="909"/>
      <c r="Q21" s="909" t="s">
        <v>862</v>
      </c>
      <c r="R21" s="909"/>
      <c r="S21" s="909"/>
      <c r="T21" s="909"/>
      <c r="U21" s="215">
        <v>1001904</v>
      </c>
      <c r="V21" s="215">
        <v>1001906</v>
      </c>
      <c r="W21" s="215">
        <v>1001908</v>
      </c>
      <c r="X21" s="215">
        <v>1001910</v>
      </c>
      <c r="Y21" s="215">
        <v>1001912</v>
      </c>
      <c r="Z21" s="215">
        <v>1001914</v>
      </c>
      <c r="AA21" s="215">
        <v>1001916</v>
      </c>
      <c r="AB21" s="215">
        <v>1001918</v>
      </c>
      <c r="AC21" s="215">
        <v>1001919</v>
      </c>
      <c r="AD21" s="215">
        <v>1001920</v>
      </c>
      <c r="AE21" s="215">
        <v>1001921</v>
      </c>
      <c r="AF21" s="215">
        <v>1001922</v>
      </c>
      <c r="AG21" s="215">
        <v>1001923</v>
      </c>
      <c r="AH21" s="215">
        <v>1001924</v>
      </c>
      <c r="AI21" s="215">
        <v>1001925</v>
      </c>
    </row>
    <row r="22" spans="2:115" s="65" customFormat="1" ht="21.6" customHeight="1" x14ac:dyDescent="0.25">
      <c r="B22" s="108">
        <v>20</v>
      </c>
      <c r="C22" s="976" t="s">
        <v>863</v>
      </c>
      <c r="D22" s="977"/>
      <c r="E22" s="977"/>
      <c r="F22" s="978"/>
      <c r="G22" s="1023">
        <f>VLOOKUP(U22,'FS Data'!$A:$B,2,FALSE)/100</f>
        <v>189.95</v>
      </c>
      <c r="H22" s="1024"/>
      <c r="I22" s="1024"/>
      <c r="J22" s="1025"/>
      <c r="K22" s="1023">
        <f>VLOOKUP(V22,'FS Data'!$A:$B,2,FALSE)/100</f>
        <v>0</v>
      </c>
      <c r="L22" s="1024"/>
      <c r="M22" s="1025"/>
      <c r="N22" s="973">
        <f>VLOOKUP(X22,'FS Data'!$A:$B,2,FALSE)/100</f>
        <v>0</v>
      </c>
      <c r="O22" s="973"/>
      <c r="P22" s="973"/>
      <c r="Q22" s="1023">
        <f>VLOOKUP(Y22,'FS Data'!$A:$B,2,FALSE)/100</f>
        <v>0</v>
      </c>
      <c r="R22" s="1024"/>
      <c r="S22" s="1025"/>
      <c r="T22" s="1025"/>
      <c r="U22" s="215">
        <v>1002004</v>
      </c>
      <c r="V22" s="215">
        <v>1002006</v>
      </c>
      <c r="W22" s="215">
        <v>1002008</v>
      </c>
      <c r="X22" s="215">
        <v>1002010</v>
      </c>
      <c r="Y22" s="215">
        <v>1002012</v>
      </c>
      <c r="Z22" s="215">
        <v>1002014</v>
      </c>
      <c r="AA22" s="215">
        <v>1002016</v>
      </c>
      <c r="AB22" s="215">
        <v>1002018</v>
      </c>
      <c r="AC22" s="215">
        <v>1002019</v>
      </c>
      <c r="AD22" s="215">
        <v>1002020</v>
      </c>
      <c r="AE22" s="215">
        <v>1002021</v>
      </c>
      <c r="AF22" s="215">
        <v>1002022</v>
      </c>
      <c r="AG22" s="215">
        <v>1002023</v>
      </c>
      <c r="AH22" s="215">
        <v>1002024</v>
      </c>
      <c r="AI22" s="215">
        <v>1002025</v>
      </c>
    </row>
    <row r="23" spans="2:115" s="65" customFormat="1" ht="21.6" customHeight="1" x14ac:dyDescent="0.25">
      <c r="B23" s="13">
        <v>21</v>
      </c>
      <c r="C23" s="1010" t="s">
        <v>864</v>
      </c>
      <c r="D23" s="1011"/>
      <c r="E23" s="1011"/>
      <c r="F23" s="1012"/>
      <c r="G23" s="961">
        <f>VLOOKUP(U23,'FS Data'!$A:$B,2,FALSE)/100</f>
        <v>140.34</v>
      </c>
      <c r="H23" s="962"/>
      <c r="I23" s="962"/>
      <c r="J23" s="963"/>
      <c r="K23" s="961">
        <f>VLOOKUP(V23,'FS Data'!$A:$B,2,FALSE)/100</f>
        <v>0</v>
      </c>
      <c r="L23" s="962"/>
      <c r="M23" s="963"/>
      <c r="N23" s="973">
        <f>VLOOKUP(X23,'FS Data'!$A:$B,2,FALSE)/100</f>
        <v>0</v>
      </c>
      <c r="O23" s="973"/>
      <c r="P23" s="973"/>
      <c r="Q23" s="961">
        <f>VLOOKUP(Y23,'FS Data'!$A:$B,2,FALSE)/100</f>
        <v>0</v>
      </c>
      <c r="R23" s="962"/>
      <c r="S23" s="963"/>
      <c r="T23" s="963"/>
      <c r="U23" s="215">
        <v>1002104</v>
      </c>
      <c r="V23" s="215">
        <v>1002106</v>
      </c>
      <c r="W23" s="215">
        <v>1002108</v>
      </c>
      <c r="X23" s="215">
        <v>1002110</v>
      </c>
      <c r="Y23" s="215">
        <v>1002112</v>
      </c>
      <c r="Z23" s="215">
        <v>1002114</v>
      </c>
      <c r="AA23" s="215">
        <v>1002116</v>
      </c>
      <c r="AB23" s="215">
        <v>1002118</v>
      </c>
      <c r="AC23" s="215">
        <v>1002119</v>
      </c>
      <c r="AD23" s="215">
        <v>1002120</v>
      </c>
      <c r="AE23" s="215">
        <v>1002121</v>
      </c>
      <c r="AF23" s="215">
        <v>1002122</v>
      </c>
      <c r="AG23" s="215">
        <v>1002123</v>
      </c>
      <c r="AH23" s="215">
        <v>1002124</v>
      </c>
      <c r="AI23" s="215">
        <v>1002125</v>
      </c>
    </row>
    <row r="24" spans="2:115" ht="21.6" customHeight="1" x14ac:dyDescent="0.25">
      <c r="B24" s="108">
        <v>22</v>
      </c>
      <c r="C24" s="1013" t="s">
        <v>865</v>
      </c>
      <c r="D24" s="1014"/>
      <c r="E24" s="1014"/>
      <c r="F24" s="1015"/>
      <c r="G24" s="961">
        <f>VLOOKUP(U24,'FS Data'!$A:$B,2,FALSE)/100</f>
        <v>189.95</v>
      </c>
      <c r="H24" s="962"/>
      <c r="I24" s="962"/>
      <c r="J24" s="963"/>
      <c r="K24" s="961">
        <f>VLOOKUP(V24,'FS Data'!$A:$B,2,FALSE)/100</f>
        <v>0</v>
      </c>
      <c r="L24" s="962"/>
      <c r="M24" s="963"/>
      <c r="N24" s="973">
        <f>VLOOKUP(X24,'FS Data'!$A:$B,2,FALSE)/100</f>
        <v>0</v>
      </c>
      <c r="O24" s="973"/>
      <c r="P24" s="973"/>
      <c r="Q24" s="961">
        <f>VLOOKUP(Y24,'FS Data'!$A:$B,2,FALSE)/100</f>
        <v>0</v>
      </c>
      <c r="R24" s="962"/>
      <c r="S24" s="963"/>
      <c r="T24" s="963"/>
      <c r="U24" s="215">
        <v>1002204</v>
      </c>
      <c r="V24" s="215">
        <v>1002206</v>
      </c>
      <c r="W24" s="215">
        <v>1002208</v>
      </c>
      <c r="X24" s="215">
        <v>1002210</v>
      </c>
      <c r="Y24" s="215">
        <v>1002212</v>
      </c>
      <c r="Z24" s="215">
        <v>1002214</v>
      </c>
      <c r="AA24" s="215">
        <v>1002216</v>
      </c>
      <c r="AB24" s="215">
        <v>1002218</v>
      </c>
      <c r="AC24" s="215">
        <v>1002219</v>
      </c>
      <c r="AD24" s="215">
        <v>1002220</v>
      </c>
      <c r="AE24" s="215">
        <v>1002221</v>
      </c>
      <c r="AF24" s="215">
        <v>1002222</v>
      </c>
      <c r="AG24" s="215">
        <v>1002223</v>
      </c>
      <c r="AH24" s="215">
        <v>1002224</v>
      </c>
      <c r="AI24" s="215">
        <v>1002225</v>
      </c>
    </row>
    <row r="25" spans="2:115" ht="21.6" customHeight="1" x14ac:dyDescent="0.2">
      <c r="B25" s="13">
        <v>23</v>
      </c>
      <c r="C25" s="949" t="s">
        <v>866</v>
      </c>
      <c r="D25" s="950"/>
      <c r="E25" s="950"/>
      <c r="F25" s="951"/>
      <c r="G25" s="961">
        <f>VLOOKUP(U25,'FS Data'!$A:$B,2,FALSE)/100</f>
        <v>80</v>
      </c>
      <c r="H25" s="962"/>
      <c r="I25" s="962"/>
      <c r="J25" s="963"/>
      <c r="K25" s="961">
        <f>VLOOKUP(V25,'FS Data'!$A:$B,2,FALSE)/100</f>
        <v>0</v>
      </c>
      <c r="L25" s="962"/>
      <c r="M25" s="963"/>
      <c r="N25" s="424"/>
      <c r="O25" s="425"/>
      <c r="P25" s="959"/>
      <c r="Q25" s="960"/>
      <c r="R25" s="957"/>
      <c r="S25" s="958"/>
      <c r="T25" s="426"/>
      <c r="U25" s="215">
        <v>1002304</v>
      </c>
      <c r="V25" s="215">
        <v>1002306</v>
      </c>
      <c r="W25" s="215">
        <v>1002308</v>
      </c>
      <c r="X25" s="215">
        <v>1002310</v>
      </c>
      <c r="Y25" s="215">
        <v>1002312</v>
      </c>
      <c r="Z25" s="215">
        <v>1002314</v>
      </c>
      <c r="AA25" s="215">
        <v>1002316</v>
      </c>
      <c r="AB25" s="215">
        <v>1002318</v>
      </c>
      <c r="AC25" s="215">
        <v>1002319</v>
      </c>
      <c r="AD25" s="215">
        <v>1002320</v>
      </c>
      <c r="AE25" s="215">
        <v>1002321</v>
      </c>
      <c r="AF25" s="215">
        <v>1002322</v>
      </c>
      <c r="AG25" s="215">
        <v>1002323</v>
      </c>
      <c r="AH25" s="215">
        <v>1002324</v>
      </c>
      <c r="AI25" s="215">
        <v>1002325</v>
      </c>
    </row>
    <row r="26" spans="2:115" s="65" customFormat="1" ht="18.75" customHeight="1" x14ac:dyDescent="0.2">
      <c r="B26" s="108">
        <v>24</v>
      </c>
      <c r="C26" s="949" t="s">
        <v>867</v>
      </c>
      <c r="D26" s="950"/>
      <c r="E26" s="951"/>
      <c r="F26" s="127">
        <f>VLOOKUP(U26,'FS Data'!$A:$B,2,FALSE)</f>
        <v>8</v>
      </c>
      <c r="G26" s="416"/>
      <c r="H26" s="416"/>
      <c r="I26" s="420"/>
      <c r="J26" s="1026" t="s">
        <v>868</v>
      </c>
      <c r="K26" s="965"/>
      <c r="L26" s="791">
        <f>VLOOKUP(W26,'FS Data'!$A:$B,2,FALSE)</f>
        <v>4</v>
      </c>
      <c r="M26" s="1027"/>
      <c r="N26" s="416"/>
      <c r="O26" s="416"/>
      <c r="P26" s="952" t="s">
        <v>869</v>
      </c>
      <c r="Q26" s="953"/>
      <c r="R26" s="954"/>
      <c r="S26" s="989">
        <f>VLOOKUP(Z26,'FS Data'!$A:$B,2,FALSE)</f>
        <v>21</v>
      </c>
      <c r="T26" s="990"/>
      <c r="U26" s="215">
        <v>1002403</v>
      </c>
      <c r="V26" s="215">
        <v>1002406</v>
      </c>
      <c r="W26" s="215">
        <v>1002408</v>
      </c>
      <c r="X26" s="215">
        <v>1002410</v>
      </c>
      <c r="Y26" s="215">
        <v>1002412</v>
      </c>
      <c r="Z26" s="215">
        <v>1002414</v>
      </c>
      <c r="AA26" s="215">
        <v>1002416</v>
      </c>
      <c r="AB26" s="215">
        <v>1002418</v>
      </c>
      <c r="AC26" s="215">
        <v>1002419</v>
      </c>
      <c r="AD26" s="215">
        <v>1002420</v>
      </c>
      <c r="AE26" s="215">
        <v>1002421</v>
      </c>
      <c r="AF26" s="215">
        <v>1002422</v>
      </c>
      <c r="AG26" s="215">
        <v>1002423</v>
      </c>
      <c r="AH26" s="215">
        <v>1002424</v>
      </c>
      <c r="AI26" s="215">
        <v>1002425</v>
      </c>
    </row>
    <row r="27" spans="2:115" ht="18.75" customHeight="1" x14ac:dyDescent="0.25">
      <c r="B27" s="13">
        <v>25</v>
      </c>
      <c r="C27" s="968" t="s">
        <v>903</v>
      </c>
      <c r="D27" s="418"/>
      <c r="E27" s="419"/>
      <c r="F27" s="965" t="s">
        <v>870</v>
      </c>
      <c r="G27" s="965"/>
      <c r="H27" s="965" t="s">
        <v>871</v>
      </c>
      <c r="I27" s="965"/>
      <c r="J27" s="1028" t="s">
        <v>872</v>
      </c>
      <c r="K27" s="1028"/>
      <c r="L27" s="348" t="s">
        <v>873</v>
      </c>
      <c r="M27" s="965" t="s">
        <v>874</v>
      </c>
      <c r="N27" s="965"/>
      <c r="O27" s="348" t="s">
        <v>875</v>
      </c>
      <c r="P27" s="965" t="s">
        <v>876</v>
      </c>
      <c r="Q27" s="965"/>
      <c r="R27" s="965" t="s">
        <v>34</v>
      </c>
      <c r="S27" s="965"/>
      <c r="T27" s="438"/>
      <c r="U27" s="215">
        <v>1002504</v>
      </c>
      <c r="V27" s="215">
        <v>1002506</v>
      </c>
      <c r="W27" s="215">
        <v>1002508</v>
      </c>
      <c r="X27" s="215">
        <v>1002510</v>
      </c>
      <c r="Y27" s="215">
        <v>1002512</v>
      </c>
      <c r="Z27" s="215">
        <v>1002514</v>
      </c>
      <c r="AA27" s="215">
        <v>1002516</v>
      </c>
      <c r="AB27" s="215">
        <v>1002518</v>
      </c>
      <c r="AC27" s="215">
        <v>1002519</v>
      </c>
      <c r="AD27" s="215">
        <v>1002520</v>
      </c>
      <c r="AE27" s="215">
        <v>1002521</v>
      </c>
      <c r="AF27" s="215">
        <v>1002522</v>
      </c>
      <c r="AG27" s="215">
        <v>1002523</v>
      </c>
      <c r="AH27" s="215">
        <v>1002524</v>
      </c>
      <c r="AI27" s="215">
        <v>1002525</v>
      </c>
    </row>
    <row r="28" spans="2:115" ht="18.75" customHeight="1" x14ac:dyDescent="0.25">
      <c r="B28" s="108">
        <v>26</v>
      </c>
      <c r="C28" s="969"/>
      <c r="D28" s="747" t="s">
        <v>877</v>
      </c>
      <c r="E28" s="214"/>
      <c r="F28" s="974"/>
      <c r="G28" s="974"/>
      <c r="H28" s="412"/>
      <c r="I28" s="421"/>
      <c r="J28" s="422"/>
      <c r="K28" s="422"/>
      <c r="L28" s="422"/>
      <c r="M28" s="975"/>
      <c r="N28" s="888"/>
      <c r="O28" s="423"/>
      <c r="P28" s="942">
        <f>VLOOKUP(AD28,'FS Data'!$A:$B,2,FALSE)/100</f>
        <v>1</v>
      </c>
      <c r="Q28" s="942"/>
      <c r="R28" s="942">
        <f>VLOOKUP(AF28,'FS Data'!$A:$B,2,FALSE)/100</f>
        <v>1</v>
      </c>
      <c r="S28" s="942"/>
      <c r="T28" s="439"/>
      <c r="U28" s="215">
        <v>1002604</v>
      </c>
      <c r="V28" s="215">
        <v>1002606</v>
      </c>
      <c r="W28" s="215">
        <v>1002608</v>
      </c>
      <c r="X28" s="215">
        <v>1002610</v>
      </c>
      <c r="Y28" s="215">
        <v>1002612</v>
      </c>
      <c r="Z28" s="215">
        <v>1002614</v>
      </c>
      <c r="AA28" s="215">
        <v>1002616</v>
      </c>
      <c r="AB28" s="215">
        <v>1002618</v>
      </c>
      <c r="AC28" s="215">
        <v>1002619</v>
      </c>
      <c r="AD28" s="215">
        <v>1002620</v>
      </c>
      <c r="AE28" s="215">
        <v>1002621</v>
      </c>
      <c r="AF28" s="215">
        <v>1002622</v>
      </c>
      <c r="AG28" s="215">
        <v>1002623</v>
      </c>
      <c r="AH28" s="215">
        <v>1002624</v>
      </c>
      <c r="AI28" s="215">
        <v>1002625</v>
      </c>
    </row>
    <row r="29" spans="2:115" ht="21.6" customHeight="1" x14ac:dyDescent="0.25">
      <c r="B29" s="13">
        <v>27</v>
      </c>
      <c r="C29" s="969"/>
      <c r="D29" s="747" t="s">
        <v>878</v>
      </c>
      <c r="E29" s="214"/>
      <c r="F29" s="940">
        <f>VLOOKUP(W29,'FS Data'!$A:$B,2,FALSE)/100</f>
        <v>0.5</v>
      </c>
      <c r="G29" s="941"/>
      <c r="H29" s="942">
        <f>VLOOKUP(X29,'FS Data'!$A:$B,2,FALSE)/100</f>
        <v>0</v>
      </c>
      <c r="I29" s="942"/>
      <c r="J29" s="942">
        <f>VLOOKUP(Y29,'FS Data'!$A:$B,2,FALSE)/100</f>
        <v>0.5</v>
      </c>
      <c r="K29" s="942"/>
      <c r="L29" s="179">
        <f>VLOOKUP(Z29,'FS Data'!$A:$B,2,FALSE)/100</f>
        <v>0.5</v>
      </c>
      <c r="M29" s="942">
        <f>VLOOKUP(AA29,'FS Data'!$A:$B,2,FALSE)/100</f>
        <v>0.5</v>
      </c>
      <c r="N29" s="942"/>
      <c r="O29" s="347">
        <f>VLOOKUP(AB29,'FS Data'!$A:$B,2,FALSE)/100</f>
        <v>0</v>
      </c>
      <c r="P29" s="942">
        <f>VLOOKUP(AD29,'FS Data'!$A:$B,2,FALSE)/100</f>
        <v>0.5</v>
      </c>
      <c r="Q29" s="942"/>
      <c r="R29" s="942">
        <f>VLOOKUP(AF29,'FS Data'!$A:$B,2,FALSE)/100</f>
        <v>2.5</v>
      </c>
      <c r="S29" s="942"/>
      <c r="T29" s="439"/>
      <c r="U29" s="215">
        <v>1002704</v>
      </c>
      <c r="V29" s="215">
        <v>1002706</v>
      </c>
      <c r="W29" s="215">
        <v>1002708</v>
      </c>
      <c r="X29" s="215">
        <v>1002710</v>
      </c>
      <c r="Y29" s="215">
        <v>1002712</v>
      </c>
      <c r="Z29" s="215">
        <v>1002714</v>
      </c>
      <c r="AA29" s="215">
        <v>1002716</v>
      </c>
      <c r="AB29" s="215">
        <v>1002718</v>
      </c>
      <c r="AC29" s="215">
        <v>1002719</v>
      </c>
      <c r="AD29" s="215">
        <v>1002720</v>
      </c>
      <c r="AE29" s="215">
        <v>1002721</v>
      </c>
      <c r="AF29" s="215">
        <v>1002722</v>
      </c>
      <c r="AG29" s="215">
        <v>1002723</v>
      </c>
      <c r="AH29" s="215">
        <v>1002724</v>
      </c>
      <c r="AI29" s="215">
        <v>1002725</v>
      </c>
    </row>
    <row r="30" spans="2:115" ht="21.6" customHeight="1" x14ac:dyDescent="0.25">
      <c r="B30" s="108">
        <v>28</v>
      </c>
      <c r="C30" s="969"/>
      <c r="D30" s="747" t="s">
        <v>879</v>
      </c>
      <c r="E30" s="214"/>
      <c r="F30" s="940">
        <f>VLOOKUP(W30,'FS Data'!$A:$B,2,FALSE)/100</f>
        <v>2</v>
      </c>
      <c r="G30" s="941"/>
      <c r="H30" s="942">
        <f>VLOOKUP(X30,'FS Data'!$A:$B,2,FALSE)/100</f>
        <v>1</v>
      </c>
      <c r="I30" s="964"/>
      <c r="J30" s="942">
        <f>VLOOKUP(Y30,'FS Data'!$A:$B,2,FALSE)/100</f>
        <v>2</v>
      </c>
      <c r="K30" s="942"/>
      <c r="L30" s="431"/>
      <c r="M30" s="955"/>
      <c r="N30" s="956"/>
      <c r="O30" s="427"/>
      <c r="P30" s="427"/>
      <c r="Q30" s="428"/>
      <c r="R30" s="942">
        <f>VLOOKUP(AF30,'FS Data'!$A:$B,2,FALSE)/100</f>
        <v>5</v>
      </c>
      <c r="S30" s="942"/>
      <c r="T30" s="439"/>
      <c r="U30" s="215">
        <v>1002804</v>
      </c>
      <c r="V30" s="215">
        <v>1002806</v>
      </c>
      <c r="W30" s="215">
        <v>1002808</v>
      </c>
      <c r="X30" s="215">
        <v>1002810</v>
      </c>
      <c r="Y30" s="215">
        <v>1002812</v>
      </c>
      <c r="Z30" s="215">
        <v>1002814</v>
      </c>
      <c r="AA30" s="215">
        <v>1002816</v>
      </c>
      <c r="AB30" s="215">
        <v>1002818</v>
      </c>
      <c r="AC30" s="215">
        <v>1002819</v>
      </c>
      <c r="AD30" s="215">
        <v>1002820</v>
      </c>
      <c r="AE30" s="215">
        <v>1002821</v>
      </c>
      <c r="AF30" s="215">
        <v>1002822</v>
      </c>
      <c r="AG30" s="215">
        <v>1002823</v>
      </c>
      <c r="AH30" s="215">
        <v>1002824</v>
      </c>
      <c r="AI30" s="215">
        <v>1002825</v>
      </c>
    </row>
    <row r="31" spans="2:115" ht="21.6" customHeight="1" x14ac:dyDescent="0.25">
      <c r="B31" s="13">
        <v>29</v>
      </c>
      <c r="C31" s="969"/>
      <c r="D31" s="747" t="s">
        <v>880</v>
      </c>
      <c r="E31" s="214"/>
      <c r="F31" s="940">
        <f>VLOOKUP(W31,'FS Data'!$A:$B,2,FALSE)/100</f>
        <v>0</v>
      </c>
      <c r="G31" s="941"/>
      <c r="H31" s="942">
        <f>VLOOKUP(X31,'FS Data'!$A:$B,2,FALSE)/100</f>
        <v>0</v>
      </c>
      <c r="I31" s="942"/>
      <c r="J31" s="942">
        <f>VLOOKUP(Y31,'FS Data'!$A:$B,2,FALSE)/100</f>
        <v>0</v>
      </c>
      <c r="K31" s="942"/>
      <c r="L31" s="431"/>
      <c r="M31" s="956"/>
      <c r="N31" s="956"/>
      <c r="O31" s="427"/>
      <c r="P31" s="427"/>
      <c r="Q31" s="428"/>
      <c r="R31" s="942">
        <f>VLOOKUP(AF31,'FS Data'!$A:$B,2,FALSE)/100</f>
        <v>0</v>
      </c>
      <c r="S31" s="942"/>
      <c r="T31" s="439"/>
      <c r="U31" s="215">
        <v>1002904</v>
      </c>
      <c r="V31" s="215">
        <v>1002906</v>
      </c>
      <c r="W31" s="215">
        <v>1002908</v>
      </c>
      <c r="X31" s="215">
        <v>1002910</v>
      </c>
      <c r="Y31" s="215">
        <v>1002912</v>
      </c>
      <c r="Z31" s="215">
        <v>1002914</v>
      </c>
      <c r="AA31" s="215">
        <v>1002916</v>
      </c>
      <c r="AB31" s="215">
        <v>1002918</v>
      </c>
      <c r="AC31" s="215">
        <v>1002919</v>
      </c>
      <c r="AD31" s="215">
        <v>1002920</v>
      </c>
      <c r="AE31" s="215">
        <v>1002921</v>
      </c>
      <c r="AF31" s="215">
        <v>1002922</v>
      </c>
      <c r="AG31" s="215">
        <v>1002923</v>
      </c>
      <c r="AH31" s="215">
        <v>1002924</v>
      </c>
      <c r="AI31" s="215">
        <v>1002925</v>
      </c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5"/>
      <c r="DG31" s="215"/>
      <c r="DH31" s="215"/>
      <c r="DI31" s="215"/>
      <c r="DJ31" s="215"/>
      <c r="DK31" s="215"/>
    </row>
    <row r="32" spans="2:115" ht="21.6" customHeight="1" x14ac:dyDescent="0.25">
      <c r="B32" s="108">
        <v>30</v>
      </c>
      <c r="C32" s="969"/>
      <c r="D32" s="747" t="s">
        <v>881</v>
      </c>
      <c r="E32" s="214"/>
      <c r="F32" s="940">
        <f>VLOOKUP(W32,'FS Data'!$A:$B,2,FALSE)/100</f>
        <v>0</v>
      </c>
      <c r="G32" s="941"/>
      <c r="H32" s="947"/>
      <c r="I32" s="948"/>
      <c r="J32" s="956"/>
      <c r="K32" s="956"/>
      <c r="L32" s="432"/>
      <c r="M32" s="433"/>
      <c r="N32" s="430"/>
      <c r="O32" s="427"/>
      <c r="P32" s="427"/>
      <c r="Q32" s="428"/>
      <c r="R32" s="942">
        <f>VLOOKUP(AF32,'FS Data'!$A:$B,2,FALSE)/100</f>
        <v>0</v>
      </c>
      <c r="S32" s="942"/>
      <c r="T32" s="439"/>
      <c r="U32" s="215">
        <v>1003004</v>
      </c>
      <c r="V32" s="215">
        <v>1003006</v>
      </c>
      <c r="W32" s="215">
        <v>1003008</v>
      </c>
      <c r="X32" s="215">
        <v>1003010</v>
      </c>
      <c r="Y32" s="215">
        <v>1003012</v>
      </c>
      <c r="Z32" s="215">
        <v>1003014</v>
      </c>
      <c r="AA32" s="215">
        <v>1003016</v>
      </c>
      <c r="AB32" s="215">
        <v>1003018</v>
      </c>
      <c r="AC32" s="215">
        <v>1003019</v>
      </c>
      <c r="AD32" s="215">
        <v>1003020</v>
      </c>
      <c r="AE32" s="215">
        <v>1003021</v>
      </c>
      <c r="AF32" s="215">
        <v>1003022</v>
      </c>
      <c r="AG32" s="215">
        <v>1003023</v>
      </c>
      <c r="AH32" s="215">
        <v>1003024</v>
      </c>
      <c r="AI32" s="215">
        <v>1003025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5"/>
      <c r="DG32" s="215"/>
      <c r="DH32" s="215"/>
      <c r="DI32" s="215"/>
      <c r="DJ32" s="215"/>
      <c r="DK32" s="215"/>
    </row>
    <row r="33" spans="2:115" ht="21.6" customHeight="1" x14ac:dyDescent="0.25">
      <c r="B33" s="13">
        <v>31</v>
      </c>
      <c r="C33" s="969"/>
      <c r="D33" s="747" t="s">
        <v>882</v>
      </c>
      <c r="E33" s="214"/>
      <c r="F33" s="434"/>
      <c r="G33" s="435"/>
      <c r="H33" s="947"/>
      <c r="I33" s="948"/>
      <c r="J33" s="956"/>
      <c r="K33" s="956"/>
      <c r="L33" s="432"/>
      <c r="M33" s="942">
        <f>VLOOKUP(AA33,'FS Data'!$A:$B,2,FALSE)/100</f>
        <v>2</v>
      </c>
      <c r="N33" s="942"/>
      <c r="O33" s="430"/>
      <c r="P33" s="427"/>
      <c r="Q33" s="428"/>
      <c r="R33" s="942">
        <f>VLOOKUP(AF33,'FS Data'!$A:$B,2,FALSE)/100</f>
        <v>2</v>
      </c>
      <c r="S33" s="942"/>
      <c r="T33" s="439"/>
      <c r="U33" s="215">
        <v>1003104</v>
      </c>
      <c r="V33" s="215">
        <v>1003106</v>
      </c>
      <c r="W33" s="215">
        <v>1003108</v>
      </c>
      <c r="X33" s="215">
        <v>1003110</v>
      </c>
      <c r="Y33" s="215">
        <v>1003112</v>
      </c>
      <c r="Z33" s="215">
        <v>1003114</v>
      </c>
      <c r="AA33" s="215">
        <v>1003116</v>
      </c>
      <c r="AB33" s="215">
        <v>1003118</v>
      </c>
      <c r="AC33" s="215">
        <v>1003119</v>
      </c>
      <c r="AD33" s="215">
        <v>1003120</v>
      </c>
      <c r="AE33" s="215">
        <v>1003121</v>
      </c>
      <c r="AF33" s="215">
        <v>1003122</v>
      </c>
      <c r="AG33" s="215">
        <v>1003123</v>
      </c>
      <c r="AH33" s="215">
        <v>1003124</v>
      </c>
      <c r="AI33" s="215">
        <v>1003125</v>
      </c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5"/>
      <c r="DG33" s="215"/>
      <c r="DH33" s="215"/>
      <c r="DI33" s="215"/>
      <c r="DJ33" s="215"/>
      <c r="DK33" s="215"/>
    </row>
    <row r="34" spans="2:115" ht="21.6" customHeight="1" x14ac:dyDescent="0.25">
      <c r="B34" s="108">
        <v>32</v>
      </c>
      <c r="C34" s="969"/>
      <c r="D34" s="747" t="s">
        <v>883</v>
      </c>
      <c r="E34" s="109"/>
      <c r="F34" s="429"/>
      <c r="G34" s="427"/>
      <c r="H34" s="947"/>
      <c r="I34" s="948"/>
      <c r="J34" s="956"/>
      <c r="K34" s="956"/>
      <c r="L34" s="560">
        <f>VLOOKUP(Z34,'FS Data'!$A:$B,2,FALSE)/100</f>
        <v>6</v>
      </c>
      <c r="M34" s="943"/>
      <c r="N34" s="944"/>
      <c r="O34" s="347">
        <f>VLOOKUP(AB34,'FS Data'!$A:$B,2,FALSE)/100</f>
        <v>0</v>
      </c>
      <c r="P34" s="429"/>
      <c r="Q34" s="428"/>
      <c r="R34" s="942">
        <f>VLOOKUP(AF34,'FS Data'!$A:$B,2,FALSE)/100</f>
        <v>6</v>
      </c>
      <c r="S34" s="942"/>
      <c r="T34" s="439"/>
      <c r="U34" s="215">
        <v>1003204</v>
      </c>
      <c r="V34" s="215">
        <v>1003206</v>
      </c>
      <c r="W34" s="215">
        <v>1003208</v>
      </c>
      <c r="X34" s="215">
        <v>1003210</v>
      </c>
      <c r="Y34" s="215">
        <v>1003212</v>
      </c>
      <c r="Z34" s="215">
        <v>1003214</v>
      </c>
      <c r="AA34" s="215">
        <v>1003216</v>
      </c>
      <c r="AB34" s="215">
        <v>1003218</v>
      </c>
      <c r="AC34" s="215">
        <v>1003219</v>
      </c>
      <c r="AD34" s="215">
        <v>1003220</v>
      </c>
      <c r="AE34" s="215">
        <v>1003221</v>
      </c>
      <c r="AF34" s="215">
        <v>1003222</v>
      </c>
      <c r="AG34" s="215">
        <v>1003223</v>
      </c>
      <c r="AH34" s="215">
        <v>1003224</v>
      </c>
      <c r="AI34" s="215">
        <v>1003225</v>
      </c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5"/>
      <c r="DG34" s="215"/>
      <c r="DH34" s="215"/>
      <c r="DI34" s="215"/>
      <c r="DJ34" s="215"/>
      <c r="DK34" s="215"/>
    </row>
    <row r="35" spans="2:115" ht="21.6" customHeight="1" x14ac:dyDescent="0.25">
      <c r="B35" s="13">
        <v>33</v>
      </c>
      <c r="C35" s="969"/>
      <c r="D35" s="747" t="s">
        <v>884</v>
      </c>
      <c r="E35" s="345"/>
      <c r="F35" s="429"/>
      <c r="G35" s="427"/>
      <c r="H35" s="947"/>
      <c r="I35" s="948"/>
      <c r="J35" s="956"/>
      <c r="K35" s="956"/>
      <c r="L35" s="560">
        <f>VLOOKUP(Z35,'FS Data'!$A:$B,2,FALSE)/100</f>
        <v>0</v>
      </c>
      <c r="M35" s="429"/>
      <c r="N35" s="437"/>
      <c r="O35" s="347">
        <f>VLOOKUP(AB35,'FS Data'!$A:$B,2,FALSE)/100</f>
        <v>0</v>
      </c>
      <c r="P35" s="429"/>
      <c r="Q35" s="428"/>
      <c r="R35" s="942">
        <f>VLOOKUP(AF35,'FS Data'!$A:$B,2,FALSE)/100</f>
        <v>0</v>
      </c>
      <c r="S35" s="942"/>
      <c r="T35" s="440"/>
      <c r="U35" s="215">
        <v>1003304</v>
      </c>
      <c r="V35" s="215">
        <v>1003306</v>
      </c>
      <c r="W35" s="215">
        <v>1003308</v>
      </c>
      <c r="X35" s="215">
        <v>1003310</v>
      </c>
      <c r="Y35" s="215">
        <v>1003312</v>
      </c>
      <c r="Z35" s="215">
        <v>1003314</v>
      </c>
      <c r="AA35" s="215">
        <v>1003316</v>
      </c>
      <c r="AB35" s="215">
        <v>1003318</v>
      </c>
      <c r="AC35" s="215">
        <v>1003319</v>
      </c>
      <c r="AD35" s="215">
        <v>1003320</v>
      </c>
      <c r="AE35" s="215">
        <v>1003321</v>
      </c>
      <c r="AF35" s="215">
        <v>1003322</v>
      </c>
      <c r="AG35" s="215">
        <v>1003323</v>
      </c>
      <c r="AH35" s="215">
        <v>1003324</v>
      </c>
      <c r="AI35" s="215">
        <v>1003325</v>
      </c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5"/>
      <c r="DG35" s="215"/>
      <c r="DH35" s="215"/>
      <c r="DI35" s="215"/>
      <c r="DJ35" s="215"/>
      <c r="DK35" s="215"/>
    </row>
    <row r="36" spans="2:115" ht="21.6" customHeight="1" x14ac:dyDescent="0.25">
      <c r="B36" s="108">
        <v>34</v>
      </c>
      <c r="C36" s="969"/>
      <c r="D36" s="747" t="s">
        <v>885</v>
      </c>
      <c r="E36" s="109"/>
      <c r="F36" s="436"/>
      <c r="G36" s="430"/>
      <c r="H36" s="947"/>
      <c r="I36" s="948"/>
      <c r="J36" s="956"/>
      <c r="K36" s="956"/>
      <c r="L36" s="560">
        <f>VLOOKUP(Z36,'FS Data'!$A:$B,2,FALSE)/100</f>
        <v>2</v>
      </c>
      <c r="M36" s="945"/>
      <c r="N36" s="946"/>
      <c r="O36" s="347">
        <f>VLOOKUP(AB36,'FS Data'!$A:$B,2,FALSE)/100</f>
        <v>0</v>
      </c>
      <c r="P36" s="429"/>
      <c r="Q36" s="428"/>
      <c r="R36" s="942">
        <f>VLOOKUP(AF36,'FS Data'!$A:$B,2,FALSE)/100</f>
        <v>2</v>
      </c>
      <c r="S36" s="942"/>
      <c r="T36" s="413"/>
      <c r="U36" s="215">
        <v>1003404</v>
      </c>
      <c r="V36" s="215">
        <v>1003406</v>
      </c>
      <c r="W36" s="215">
        <v>1003408</v>
      </c>
      <c r="X36" s="215">
        <v>1003410</v>
      </c>
      <c r="Y36" s="215">
        <v>1003412</v>
      </c>
      <c r="Z36" s="215">
        <v>1003414</v>
      </c>
      <c r="AA36" s="215">
        <v>1003416</v>
      </c>
      <c r="AB36" s="215">
        <v>1003418</v>
      </c>
      <c r="AC36" s="215">
        <v>1003419</v>
      </c>
      <c r="AD36" s="215">
        <v>1003420</v>
      </c>
      <c r="AE36" s="215">
        <v>1003421</v>
      </c>
      <c r="AF36" s="215">
        <v>1003422</v>
      </c>
      <c r="AG36" s="215">
        <v>1003423</v>
      </c>
      <c r="AH36" s="215">
        <v>1003424</v>
      </c>
      <c r="AI36" s="215">
        <v>1003425</v>
      </c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5"/>
      <c r="DG36" s="215"/>
      <c r="DH36" s="215"/>
      <c r="DI36" s="215"/>
      <c r="DJ36" s="215"/>
      <c r="DK36" s="215"/>
    </row>
    <row r="37" spans="2:115" ht="21.6" customHeight="1" x14ac:dyDescent="0.25">
      <c r="B37" s="13">
        <v>35</v>
      </c>
      <c r="C37" s="969"/>
      <c r="D37" s="747" t="s">
        <v>886</v>
      </c>
      <c r="E37" s="214"/>
      <c r="F37" s="940">
        <f>VLOOKUP(W37,'FS Data'!$A:$B,2,FALSE)/100</f>
        <v>1</v>
      </c>
      <c r="G37" s="941"/>
      <c r="H37" s="942">
        <f>VLOOKUP(X37,'FS Data'!$A:$B,2,FALSE)/100</f>
        <v>0</v>
      </c>
      <c r="I37" s="942"/>
      <c r="J37" s="942">
        <f>VLOOKUP(Y37,'FS Data'!$A:$B,2,FALSE)/100</f>
        <v>1</v>
      </c>
      <c r="K37" s="942"/>
      <c r="L37" s="179">
        <f>VLOOKUP(Z37,'FS Data'!$A:$B,2,FALSE)/100</f>
        <v>1.5</v>
      </c>
      <c r="M37" s="942">
        <f>VLOOKUP(AA37,'FS Data'!$A:$B,2,FALSE)/100</f>
        <v>0</v>
      </c>
      <c r="N37" s="942"/>
      <c r="O37" s="347">
        <f>VLOOKUP(AB37,'FS Data'!$A:$B,2,FALSE)/100</f>
        <v>0</v>
      </c>
      <c r="P37" s="942">
        <f>VLOOKUP(AD37,'FS Data'!$A:$B,2,FALSE)/100</f>
        <v>2</v>
      </c>
      <c r="Q37" s="942"/>
      <c r="R37" s="942">
        <f>VLOOKUP(AF37,'FS Data'!$A:$B,2,FALSE)/100</f>
        <v>5.5</v>
      </c>
      <c r="S37" s="942"/>
      <c r="T37" s="413"/>
      <c r="U37" s="215">
        <v>1003504</v>
      </c>
      <c r="V37" s="215">
        <v>1003506</v>
      </c>
      <c r="W37" s="215">
        <v>1003508</v>
      </c>
      <c r="X37" s="215">
        <v>1003510</v>
      </c>
      <c r="Y37" s="215">
        <v>1003512</v>
      </c>
      <c r="Z37" s="215">
        <v>1003514</v>
      </c>
      <c r="AA37" s="215">
        <v>1003516</v>
      </c>
      <c r="AB37" s="215">
        <v>1003518</v>
      </c>
      <c r="AC37" s="215">
        <v>1003519</v>
      </c>
      <c r="AD37" s="215">
        <v>1003520</v>
      </c>
      <c r="AE37" s="215">
        <v>1003521</v>
      </c>
      <c r="AF37" s="215">
        <v>1003522</v>
      </c>
      <c r="AG37" s="215">
        <v>1003523</v>
      </c>
      <c r="AH37" s="215">
        <v>1003524</v>
      </c>
      <c r="AI37" s="215">
        <v>1003525</v>
      </c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5"/>
      <c r="DG37" s="215"/>
      <c r="DH37" s="215"/>
      <c r="DI37" s="215"/>
      <c r="DJ37" s="215"/>
      <c r="DK37" s="215"/>
    </row>
    <row r="38" spans="2:115" ht="18.75" customHeight="1" x14ac:dyDescent="0.25">
      <c r="B38" s="13">
        <v>36</v>
      </c>
      <c r="C38" s="970"/>
      <c r="D38" s="748" t="s">
        <v>887</v>
      </c>
      <c r="E38" s="211"/>
      <c r="F38" s="940">
        <f>VLOOKUP(W38,'FS Data'!$A:$B,2,FALSE)/100</f>
        <v>3.5</v>
      </c>
      <c r="G38" s="941"/>
      <c r="H38" s="942">
        <f>VLOOKUP(X38,'FS Data'!$A:$B,2,FALSE)/100</f>
        <v>1</v>
      </c>
      <c r="I38" s="942"/>
      <c r="J38" s="942">
        <f>VLOOKUP(Y38,'FS Data'!$A:$B,2,FALSE)/100</f>
        <v>3.5</v>
      </c>
      <c r="K38" s="942"/>
      <c r="L38" s="179">
        <f>VLOOKUP(Z38,'FS Data'!$A:$B,2,FALSE)/100</f>
        <v>10</v>
      </c>
      <c r="M38" s="942">
        <f>VLOOKUP(AA38,'FS Data'!$A:$B,2,FALSE)/100</f>
        <v>2.5</v>
      </c>
      <c r="N38" s="942"/>
      <c r="O38" s="347">
        <f>VLOOKUP(AB38,'FS Data'!$A:$B,2,FALSE)/100</f>
        <v>0</v>
      </c>
      <c r="P38" s="942">
        <f>VLOOKUP(AD38,'FS Data'!$A:$B,2,FALSE)/100</f>
        <v>3.5</v>
      </c>
      <c r="Q38" s="942"/>
      <c r="R38" s="942">
        <f>VLOOKUP(AF38,'FS Data'!$A:$B,2,FALSE)/100</f>
        <v>24</v>
      </c>
      <c r="S38" s="942"/>
      <c r="T38" s="413"/>
      <c r="U38" s="215">
        <v>1003604</v>
      </c>
      <c r="V38" s="215">
        <v>1003606</v>
      </c>
      <c r="W38" s="215">
        <v>1003608</v>
      </c>
      <c r="X38" s="215">
        <v>1003610</v>
      </c>
      <c r="Y38" s="215">
        <v>1003612</v>
      </c>
      <c r="Z38" s="215">
        <v>1003614</v>
      </c>
      <c r="AA38" s="215">
        <v>1003616</v>
      </c>
      <c r="AB38" s="215">
        <v>1003618</v>
      </c>
      <c r="AC38" s="215">
        <v>1003619</v>
      </c>
      <c r="AD38" s="215">
        <v>1003620</v>
      </c>
      <c r="AE38" s="215">
        <v>1003621</v>
      </c>
      <c r="AF38" s="215">
        <v>1003622</v>
      </c>
      <c r="AG38" s="215">
        <v>1003623</v>
      </c>
      <c r="AH38" s="215">
        <v>1003624</v>
      </c>
      <c r="AI38" s="215">
        <v>1003625</v>
      </c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5"/>
      <c r="DG38" s="215"/>
      <c r="DH38" s="215"/>
      <c r="DI38" s="215"/>
      <c r="DJ38" s="215"/>
      <c r="DK38" s="215"/>
    </row>
    <row r="39" spans="2:115" ht="18.75" customHeight="1" x14ac:dyDescent="0.25">
      <c r="B39" s="108">
        <v>37</v>
      </c>
      <c r="C39" s="444"/>
      <c r="D39" s="445"/>
      <c r="E39" s="445"/>
      <c r="F39" s="445"/>
      <c r="G39" s="445"/>
      <c r="H39" s="445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6"/>
      <c r="U39" s="215">
        <v>1003704</v>
      </c>
      <c r="V39" s="215">
        <v>1003706</v>
      </c>
      <c r="W39" s="215">
        <v>1003708</v>
      </c>
      <c r="X39" s="215">
        <v>1003710</v>
      </c>
      <c r="Y39" s="215">
        <v>1003712</v>
      </c>
      <c r="Z39" s="215">
        <v>1003714</v>
      </c>
      <c r="AA39" s="215">
        <v>1003716</v>
      </c>
      <c r="AB39" s="215">
        <v>1003718</v>
      </c>
      <c r="AC39" s="215">
        <v>1003719</v>
      </c>
      <c r="AD39" s="215">
        <v>1003720</v>
      </c>
      <c r="AE39" s="215">
        <v>1003721</v>
      </c>
      <c r="AF39" s="215">
        <v>1003722</v>
      </c>
      <c r="AG39" s="215">
        <v>1003723</v>
      </c>
      <c r="AH39" s="215">
        <v>1003724</v>
      </c>
      <c r="AI39" s="215">
        <v>1003725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5"/>
      <c r="DG39" s="215"/>
      <c r="DH39" s="215"/>
      <c r="DI39" s="215"/>
      <c r="DJ39" s="215"/>
      <c r="DK39" s="215"/>
    </row>
    <row r="40" spans="2:115" ht="18.75" customHeight="1" x14ac:dyDescent="0.25">
      <c r="B40" s="13">
        <v>38</v>
      </c>
      <c r="C40" s="928" t="s">
        <v>904</v>
      </c>
      <c r="D40" s="905" t="s">
        <v>888</v>
      </c>
      <c r="E40" s="906"/>
      <c r="F40" s="906"/>
      <c r="G40" s="906"/>
      <c r="H40" s="906"/>
      <c r="I40" s="907"/>
      <c r="J40" s="895">
        <f>VLOOKUP(U40,'FS Data'!$A:$B,2,FALSE)/10</f>
        <v>12.2</v>
      </c>
      <c r="K40" s="896"/>
      <c r="L40" s="920" t="s">
        <v>894</v>
      </c>
      <c r="M40" s="921"/>
      <c r="N40" s="921"/>
      <c r="O40" s="921"/>
      <c r="P40" s="921"/>
      <c r="Q40" s="922"/>
      <c r="R40" s="895">
        <f>VLOOKUP(AF40,'FS Data'!$A:$B,2,FALSE)/10</f>
        <v>1</v>
      </c>
      <c r="S40" s="896"/>
      <c r="T40" s="413"/>
      <c r="U40" s="215">
        <v>1003804</v>
      </c>
      <c r="V40" s="215">
        <v>1003806</v>
      </c>
      <c r="W40" s="215">
        <v>1003808</v>
      </c>
      <c r="X40" s="215">
        <v>1003810</v>
      </c>
      <c r="Y40" s="215">
        <v>1003812</v>
      </c>
      <c r="Z40" s="215">
        <v>1003814</v>
      </c>
      <c r="AA40" s="215">
        <v>1003816</v>
      </c>
      <c r="AB40" s="215">
        <v>1003818</v>
      </c>
      <c r="AC40" s="215">
        <v>1003819</v>
      </c>
      <c r="AD40" s="215">
        <v>1003820</v>
      </c>
      <c r="AE40" s="215">
        <v>1003821</v>
      </c>
      <c r="AF40" s="215">
        <v>1003822</v>
      </c>
      <c r="AG40" s="215">
        <v>1003823</v>
      </c>
      <c r="AH40" s="215">
        <v>1003824</v>
      </c>
      <c r="AI40" s="215">
        <v>1003825</v>
      </c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5"/>
      <c r="DG40" s="215"/>
      <c r="DH40" s="215"/>
      <c r="DI40" s="215"/>
      <c r="DJ40" s="215"/>
      <c r="DK40" s="215"/>
    </row>
    <row r="41" spans="2:115" ht="18.75" customHeight="1" x14ac:dyDescent="0.25">
      <c r="B41" s="13">
        <v>39</v>
      </c>
      <c r="C41" s="929"/>
      <c r="D41" s="905" t="s">
        <v>889</v>
      </c>
      <c r="E41" s="906"/>
      <c r="F41" s="906"/>
      <c r="G41" s="906"/>
      <c r="H41" s="906"/>
      <c r="I41" s="907"/>
      <c r="J41" s="895">
        <f>VLOOKUP(U41,'FS Data'!$A:$B,2,FALSE)/10</f>
        <v>18.2</v>
      </c>
      <c r="K41" s="896"/>
      <c r="L41" s="920" t="s">
        <v>895</v>
      </c>
      <c r="M41" s="921"/>
      <c r="N41" s="921"/>
      <c r="O41" s="921"/>
      <c r="P41" s="921"/>
      <c r="Q41" s="922"/>
      <c r="R41" s="895">
        <f>VLOOKUP(AF41,'FS Data'!$A:$B,2,FALSE)/10</f>
        <v>2.1</v>
      </c>
      <c r="S41" s="896"/>
      <c r="T41" s="413"/>
      <c r="U41" s="215">
        <v>1003904</v>
      </c>
      <c r="V41" s="215">
        <v>1003906</v>
      </c>
      <c r="W41" s="215">
        <v>1003908</v>
      </c>
      <c r="X41" s="215">
        <v>1003910</v>
      </c>
      <c r="Y41" s="215">
        <v>1003912</v>
      </c>
      <c r="Z41" s="215">
        <v>1003914</v>
      </c>
      <c r="AA41" s="215">
        <v>1003916</v>
      </c>
      <c r="AB41" s="215">
        <v>1003918</v>
      </c>
      <c r="AC41" s="215">
        <v>1003919</v>
      </c>
      <c r="AD41" s="215">
        <v>1003920</v>
      </c>
      <c r="AE41" s="215">
        <v>1003921</v>
      </c>
      <c r="AF41" s="215">
        <v>1003922</v>
      </c>
      <c r="AG41" s="215">
        <v>1003923</v>
      </c>
      <c r="AH41" s="215">
        <v>1003924</v>
      </c>
      <c r="AI41" s="215">
        <v>1003925</v>
      </c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5"/>
      <c r="DG41" s="215"/>
      <c r="DH41" s="215"/>
      <c r="DI41" s="215"/>
      <c r="DJ41" s="215"/>
      <c r="DK41" s="215"/>
    </row>
    <row r="42" spans="2:115" ht="18.75" customHeight="1" x14ac:dyDescent="0.25">
      <c r="B42" s="108">
        <v>40</v>
      </c>
      <c r="C42" s="929"/>
      <c r="D42" s="905" t="s">
        <v>890</v>
      </c>
      <c r="E42" s="906"/>
      <c r="F42" s="906"/>
      <c r="G42" s="906"/>
      <c r="H42" s="906"/>
      <c r="I42" s="907"/>
      <c r="J42" s="895">
        <f>VLOOKUP(U42,'FS Data'!$A:$B,2,FALSE)/10</f>
        <v>-3.7</v>
      </c>
      <c r="K42" s="896"/>
      <c r="L42" s="925" t="s">
        <v>896</v>
      </c>
      <c r="M42" s="926"/>
      <c r="N42" s="926"/>
      <c r="O42" s="926"/>
      <c r="P42" s="926"/>
      <c r="Q42" s="927"/>
      <c r="R42" s="895">
        <f>VLOOKUP(AE42,'FS Data'!$A:$B,2,FALSE)/10</f>
        <v>4.0999999999999996</v>
      </c>
      <c r="S42" s="896"/>
      <c r="T42" s="413"/>
      <c r="U42" s="215">
        <v>1004004</v>
      </c>
      <c r="V42" s="215">
        <v>1004006</v>
      </c>
      <c r="W42" s="215">
        <v>1004008</v>
      </c>
      <c r="X42" s="215">
        <v>1004010</v>
      </c>
      <c r="Y42" s="215">
        <v>1004012</v>
      </c>
      <c r="Z42" s="215">
        <v>1004014</v>
      </c>
      <c r="AA42" s="215">
        <v>1004016</v>
      </c>
      <c r="AB42" s="215">
        <v>1004018</v>
      </c>
      <c r="AC42" s="215">
        <v>1004019</v>
      </c>
      <c r="AD42" s="215">
        <v>1004020</v>
      </c>
      <c r="AE42" s="215">
        <v>1004021</v>
      </c>
      <c r="AF42" s="215">
        <v>1004022</v>
      </c>
      <c r="AG42" s="215">
        <v>1004023</v>
      </c>
      <c r="AH42" s="215">
        <v>1004024</v>
      </c>
      <c r="AI42" s="215">
        <v>1004025</v>
      </c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5"/>
      <c r="DG42" s="215"/>
      <c r="DH42" s="215"/>
      <c r="DI42" s="215"/>
      <c r="DJ42" s="215"/>
      <c r="DK42" s="215"/>
    </row>
    <row r="43" spans="2:115" ht="18.75" customHeight="1" x14ac:dyDescent="0.25">
      <c r="B43" s="13">
        <v>41</v>
      </c>
      <c r="C43" s="929"/>
      <c r="D43" s="905" t="s">
        <v>891</v>
      </c>
      <c r="E43" s="906"/>
      <c r="F43" s="906"/>
      <c r="G43" s="906"/>
      <c r="H43" s="906"/>
      <c r="I43" s="907"/>
      <c r="J43" s="895">
        <f>VLOOKUP(U43,'FS Data'!$A:$B,2,FALSE)/10</f>
        <v>49.8</v>
      </c>
      <c r="K43" s="896"/>
      <c r="L43" s="898" t="s">
        <v>897</v>
      </c>
      <c r="M43" s="899"/>
      <c r="N43" s="899"/>
      <c r="O43" s="899"/>
      <c r="P43" s="899"/>
      <c r="Q43" s="900"/>
      <c r="R43" s="895">
        <f>VLOOKUP(AB43,'FS Data'!$A:$B,2,FALSE)/10</f>
        <v>4.7</v>
      </c>
      <c r="S43" s="896"/>
      <c r="T43" s="413"/>
      <c r="U43" s="215">
        <v>1004102</v>
      </c>
      <c r="V43" s="215">
        <v>1004106</v>
      </c>
      <c r="W43" s="215">
        <v>1004108</v>
      </c>
      <c r="X43" s="215">
        <v>1004110</v>
      </c>
      <c r="Y43" s="215">
        <v>1004112</v>
      </c>
      <c r="Z43" s="215">
        <v>1004114</v>
      </c>
      <c r="AA43" s="215">
        <v>1004116</v>
      </c>
      <c r="AB43" s="215">
        <v>1004118</v>
      </c>
      <c r="AC43" s="215">
        <v>1004119</v>
      </c>
      <c r="AD43" s="215">
        <v>1004120</v>
      </c>
      <c r="AE43" s="215">
        <v>1004121</v>
      </c>
      <c r="AF43" s="215">
        <v>1004122</v>
      </c>
      <c r="AG43" s="215">
        <v>1004123</v>
      </c>
      <c r="AH43" s="215">
        <v>1004124</v>
      </c>
      <c r="AI43" s="215">
        <v>1004125</v>
      </c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5"/>
      <c r="DG43" s="215"/>
      <c r="DH43" s="215"/>
      <c r="DI43" s="215"/>
      <c r="DJ43" s="215"/>
      <c r="DK43" s="215"/>
    </row>
    <row r="44" spans="2:115" ht="18.75" customHeight="1" x14ac:dyDescent="0.25">
      <c r="B44" s="13">
        <v>42</v>
      </c>
      <c r="C44" s="929"/>
      <c r="D44" s="905" t="s">
        <v>892</v>
      </c>
      <c r="E44" s="906"/>
      <c r="F44" s="906"/>
      <c r="G44" s="906"/>
      <c r="H44" s="906"/>
      <c r="I44" s="907"/>
      <c r="J44" s="895">
        <f>VLOOKUP(U44,'FS Data'!$A:$B,2,FALSE)/10</f>
        <v>37.6</v>
      </c>
      <c r="K44" s="896"/>
      <c r="L44" s="936"/>
      <c r="M44" s="936"/>
      <c r="N44" s="936"/>
      <c r="O44" s="936"/>
      <c r="P44" s="936"/>
      <c r="Q44" s="936"/>
      <c r="R44" s="937"/>
      <c r="S44" s="937"/>
      <c r="T44" s="413"/>
      <c r="U44" s="215">
        <v>1004202</v>
      </c>
      <c r="V44" s="215">
        <v>1004206</v>
      </c>
      <c r="W44" s="215">
        <v>1004208</v>
      </c>
      <c r="X44" s="215">
        <v>1004210</v>
      </c>
      <c r="Y44" s="215">
        <v>1004212</v>
      </c>
      <c r="Z44" s="215">
        <v>1004214</v>
      </c>
      <c r="AA44" s="215">
        <v>1004216</v>
      </c>
      <c r="AB44" s="215">
        <v>1004218</v>
      </c>
      <c r="AC44" s="215">
        <v>1004219</v>
      </c>
      <c r="AD44" s="215">
        <v>1004220</v>
      </c>
      <c r="AE44" s="215">
        <v>1004221</v>
      </c>
      <c r="AF44" s="215">
        <v>1004222</v>
      </c>
      <c r="AG44" s="215">
        <v>1004223</v>
      </c>
      <c r="AH44" s="215">
        <v>1004224</v>
      </c>
      <c r="AI44" s="215">
        <v>1004225</v>
      </c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5"/>
      <c r="DG44" s="215"/>
      <c r="DH44" s="215"/>
      <c r="DI44" s="215"/>
      <c r="DJ44" s="215"/>
      <c r="DK44" s="215"/>
    </row>
    <row r="45" spans="2:115" ht="18.75" customHeight="1" x14ac:dyDescent="0.25">
      <c r="B45" s="108">
        <v>43</v>
      </c>
      <c r="C45" s="929"/>
      <c r="D45" s="930" t="s">
        <v>893</v>
      </c>
      <c r="E45" s="931"/>
      <c r="F45" s="931"/>
      <c r="G45" s="931"/>
      <c r="H45" s="931"/>
      <c r="I45" s="932"/>
      <c r="J45" s="895">
        <f>VLOOKUP(U45,'FS Data'!$A:$B,2,FALSE)/10</f>
        <v>11.9</v>
      </c>
      <c r="K45" s="896"/>
      <c r="L45" s="933" t="s">
        <v>898</v>
      </c>
      <c r="M45" s="934"/>
      <c r="N45" s="934"/>
      <c r="O45" s="934"/>
      <c r="P45" s="934"/>
      <c r="Q45" s="935"/>
      <c r="R45" s="895">
        <f>VLOOKUP(AB45,'FS Data'!$A:$B,2,FALSE)/10</f>
        <v>38.9</v>
      </c>
      <c r="S45" s="896"/>
      <c r="T45" s="413"/>
      <c r="U45" s="215">
        <v>1004302</v>
      </c>
      <c r="V45" s="215">
        <v>1004306</v>
      </c>
      <c r="W45" s="215">
        <v>1004308</v>
      </c>
      <c r="X45" s="215">
        <v>1004310</v>
      </c>
      <c r="Y45" s="215">
        <v>1004312</v>
      </c>
      <c r="Z45" s="215">
        <v>1004314</v>
      </c>
      <c r="AA45" s="215">
        <v>1004316</v>
      </c>
      <c r="AB45" s="215">
        <v>1004317</v>
      </c>
      <c r="AC45" s="215">
        <v>1004319</v>
      </c>
      <c r="AD45" s="215">
        <v>1004320</v>
      </c>
      <c r="AE45" s="215">
        <v>1004321</v>
      </c>
      <c r="AF45" s="215">
        <v>1004322</v>
      </c>
      <c r="AG45" s="215">
        <v>1004323</v>
      </c>
      <c r="AH45" s="215">
        <v>1004324</v>
      </c>
      <c r="AI45" s="215">
        <v>1004325</v>
      </c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</row>
    <row r="46" spans="2:115" ht="18.75" customHeight="1" x14ac:dyDescent="0.25">
      <c r="B46" s="13">
        <v>44</v>
      </c>
      <c r="C46" s="929"/>
      <c r="D46" s="607"/>
      <c r="E46" s="608"/>
      <c r="F46" s="608"/>
      <c r="G46" s="608"/>
      <c r="H46" s="608"/>
      <c r="I46" s="608"/>
      <c r="J46" s="441"/>
      <c r="K46" s="441"/>
      <c r="L46" s="609"/>
      <c r="M46" s="609"/>
      <c r="N46" s="609"/>
      <c r="O46" s="609"/>
      <c r="P46" s="609"/>
      <c r="Q46" s="609"/>
      <c r="R46" s="441"/>
      <c r="S46" s="441"/>
      <c r="T46" s="413"/>
      <c r="U46" s="215">
        <v>1004404</v>
      </c>
      <c r="V46" s="215">
        <v>1004406</v>
      </c>
      <c r="W46" s="215">
        <v>1004408</v>
      </c>
      <c r="X46" s="215">
        <v>1004410</v>
      </c>
      <c r="Y46" s="215">
        <v>1004412</v>
      </c>
      <c r="Z46" s="215">
        <v>1004414</v>
      </c>
      <c r="AA46" s="215">
        <v>1004416</v>
      </c>
      <c r="AB46" s="215">
        <v>1004418</v>
      </c>
      <c r="AC46" s="215">
        <v>1004419</v>
      </c>
      <c r="AD46" s="215">
        <v>1004420</v>
      </c>
      <c r="AE46" s="215">
        <v>1004421</v>
      </c>
      <c r="AF46" s="215">
        <v>1004422</v>
      </c>
      <c r="AG46" s="215">
        <v>1004423</v>
      </c>
      <c r="AH46" s="215">
        <v>1004424</v>
      </c>
      <c r="AI46" s="215">
        <v>1004425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15"/>
      <c r="DJ46" s="215"/>
      <c r="DK46" s="215"/>
    </row>
    <row r="47" spans="2:115" ht="18.75" customHeight="1" x14ac:dyDescent="0.25">
      <c r="B47" s="13">
        <v>45</v>
      </c>
      <c r="C47" s="928" t="s">
        <v>904</v>
      </c>
      <c r="D47" s="905" t="s">
        <v>888</v>
      </c>
      <c r="E47" s="906"/>
      <c r="F47" s="906"/>
      <c r="G47" s="906"/>
      <c r="H47" s="906"/>
      <c r="I47" s="907"/>
      <c r="J47" s="895">
        <f>VLOOKUP(U47,'FS Data'!$A:$B,2,FALSE)/10</f>
        <v>0</v>
      </c>
      <c r="K47" s="896"/>
      <c r="L47" s="920" t="s">
        <v>899</v>
      </c>
      <c r="M47" s="921"/>
      <c r="N47" s="921"/>
      <c r="O47" s="921"/>
      <c r="P47" s="921"/>
      <c r="Q47" s="922"/>
      <c r="R47" s="895">
        <f>VLOOKUP(AF47,'FS Data'!$A:$B,2,FALSE)/10</f>
        <v>0</v>
      </c>
      <c r="S47" s="896"/>
      <c r="T47" s="413"/>
      <c r="U47" s="215">
        <v>1004504</v>
      </c>
      <c r="V47" s="215">
        <v>1004506</v>
      </c>
      <c r="W47" s="215">
        <v>1004508</v>
      </c>
      <c r="X47" s="215">
        <v>1004510</v>
      </c>
      <c r="Y47" s="215">
        <v>1004512</v>
      </c>
      <c r="Z47" s="215">
        <v>1004514</v>
      </c>
      <c r="AA47" s="215">
        <v>1004516</v>
      </c>
      <c r="AB47" s="215">
        <v>1004518</v>
      </c>
      <c r="AC47" s="215">
        <v>1004519</v>
      </c>
      <c r="AD47" s="215">
        <v>1004520</v>
      </c>
      <c r="AE47" s="215">
        <v>1004521</v>
      </c>
      <c r="AF47" s="215">
        <v>1004522</v>
      </c>
      <c r="AG47" s="215">
        <v>1004523</v>
      </c>
      <c r="AH47" s="215">
        <v>1004524</v>
      </c>
      <c r="AI47" s="215">
        <v>1004525</v>
      </c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5"/>
      <c r="DG47" s="215"/>
      <c r="DH47" s="215"/>
      <c r="DI47" s="215"/>
      <c r="DJ47" s="215"/>
      <c r="DK47" s="215"/>
    </row>
    <row r="48" spans="2:115" ht="18.75" customHeight="1" x14ac:dyDescent="0.25">
      <c r="B48" s="108">
        <v>46</v>
      </c>
      <c r="C48" s="929"/>
      <c r="D48" s="905" t="s">
        <v>889</v>
      </c>
      <c r="E48" s="906"/>
      <c r="F48" s="906"/>
      <c r="G48" s="906"/>
      <c r="H48" s="906"/>
      <c r="I48" s="907"/>
      <c r="J48" s="895">
        <f>VLOOKUP(U48,'FS Data'!$A:$B,2,FALSE)/10</f>
        <v>0</v>
      </c>
      <c r="K48" s="896"/>
      <c r="L48" s="920" t="s">
        <v>900</v>
      </c>
      <c r="M48" s="921"/>
      <c r="N48" s="921"/>
      <c r="O48" s="921"/>
      <c r="P48" s="921"/>
      <c r="Q48" s="922"/>
      <c r="R48" s="895">
        <f>VLOOKUP(AF48,'FS Data'!$A:$B,2,FALSE)/10</f>
        <v>0</v>
      </c>
      <c r="S48" s="896"/>
      <c r="T48" s="413"/>
      <c r="U48" s="215">
        <v>1004604</v>
      </c>
      <c r="V48" s="215">
        <v>1004606</v>
      </c>
      <c r="W48" s="215">
        <v>1004608</v>
      </c>
      <c r="X48" s="215">
        <v>1004610</v>
      </c>
      <c r="Y48" s="215">
        <v>1004612</v>
      </c>
      <c r="Z48" s="215">
        <v>1004614</v>
      </c>
      <c r="AA48" s="215">
        <v>1004616</v>
      </c>
      <c r="AB48" s="215">
        <v>1004618</v>
      </c>
      <c r="AC48" s="215">
        <v>1004619</v>
      </c>
      <c r="AD48" s="215">
        <v>1004620</v>
      </c>
      <c r="AE48" s="215">
        <v>1004621</v>
      </c>
      <c r="AF48" s="215">
        <v>1004622</v>
      </c>
      <c r="AG48" s="215">
        <v>1004623</v>
      </c>
      <c r="AH48" s="215">
        <v>1004624</v>
      </c>
      <c r="AI48" s="215">
        <v>1004625</v>
      </c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15"/>
      <c r="DJ48" s="215"/>
      <c r="DK48" s="215"/>
    </row>
    <row r="49" spans="2:115" ht="18.75" customHeight="1" x14ac:dyDescent="0.25">
      <c r="B49" s="13">
        <v>47</v>
      </c>
      <c r="C49" s="929"/>
      <c r="D49" s="905" t="s">
        <v>890</v>
      </c>
      <c r="E49" s="906"/>
      <c r="F49" s="906"/>
      <c r="G49" s="906"/>
      <c r="H49" s="906"/>
      <c r="I49" s="907"/>
      <c r="J49" s="895">
        <f>VLOOKUP(U49,'FS Data'!$A:$B,2,FALSE)/10</f>
        <v>0</v>
      </c>
      <c r="K49" s="896"/>
      <c r="L49" s="920" t="s">
        <v>901</v>
      </c>
      <c r="M49" s="921"/>
      <c r="N49" s="921"/>
      <c r="O49" s="921"/>
      <c r="P49" s="921"/>
      <c r="Q49" s="922"/>
      <c r="R49" s="895">
        <f>VLOOKUP(AE49,'FS Data'!$A:$B,2,FALSE)/10</f>
        <v>0</v>
      </c>
      <c r="S49" s="896"/>
      <c r="T49" s="413"/>
      <c r="U49" s="215">
        <v>1004704</v>
      </c>
      <c r="V49" s="215">
        <v>1004706</v>
      </c>
      <c r="W49" s="215">
        <v>1004708</v>
      </c>
      <c r="X49" s="215">
        <v>1004710</v>
      </c>
      <c r="Y49" s="215">
        <v>1004712</v>
      </c>
      <c r="Z49" s="215">
        <v>1004714</v>
      </c>
      <c r="AA49" s="215">
        <v>1004716</v>
      </c>
      <c r="AB49" s="215">
        <v>1004718</v>
      </c>
      <c r="AC49" s="215">
        <v>1004719</v>
      </c>
      <c r="AD49" s="215">
        <v>1004720</v>
      </c>
      <c r="AE49" s="215">
        <v>1004721</v>
      </c>
      <c r="AF49" s="215">
        <v>1004722</v>
      </c>
      <c r="AG49" s="215">
        <v>1004723</v>
      </c>
      <c r="AH49" s="215">
        <v>1004724</v>
      </c>
      <c r="AI49" s="215">
        <v>1004725</v>
      </c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15"/>
      <c r="DJ49" s="215"/>
      <c r="DK49" s="215"/>
    </row>
    <row r="50" spans="2:115" ht="18.75" customHeight="1" x14ac:dyDescent="0.25">
      <c r="B50" s="13">
        <v>48</v>
      </c>
      <c r="C50" s="929"/>
      <c r="D50" s="905" t="s">
        <v>891</v>
      </c>
      <c r="E50" s="906"/>
      <c r="F50" s="906"/>
      <c r="G50" s="906"/>
      <c r="H50" s="906"/>
      <c r="I50" s="907"/>
      <c r="J50" s="895">
        <f>VLOOKUP(U50,'FS Data'!$A:$B,2,FALSE)/10</f>
        <v>0</v>
      </c>
      <c r="K50" s="896"/>
      <c r="L50" s="898" t="s">
        <v>902</v>
      </c>
      <c r="M50" s="899"/>
      <c r="N50" s="899"/>
      <c r="O50" s="899"/>
      <c r="P50" s="899"/>
      <c r="Q50" s="900"/>
      <c r="R50" s="895">
        <f>VLOOKUP(AB50,'FS Data'!$A:$B,2,FALSE)/10</f>
        <v>0</v>
      </c>
      <c r="S50" s="896"/>
      <c r="T50" s="413"/>
      <c r="U50" s="215">
        <v>1004802</v>
      </c>
      <c r="V50" s="215">
        <v>1004806</v>
      </c>
      <c r="W50" s="215">
        <v>1004808</v>
      </c>
      <c r="X50" s="215">
        <v>1004810</v>
      </c>
      <c r="Y50" s="215">
        <v>1004812</v>
      </c>
      <c r="Z50" s="215">
        <v>1004814</v>
      </c>
      <c r="AA50" s="215">
        <v>1004816</v>
      </c>
      <c r="AB50" s="215">
        <v>1004818</v>
      </c>
      <c r="AC50" s="215">
        <v>1004819</v>
      </c>
      <c r="AD50" s="215">
        <v>1004820</v>
      </c>
      <c r="AE50" s="215">
        <v>1004821</v>
      </c>
      <c r="AF50" s="215">
        <v>1004822</v>
      </c>
      <c r="AG50" s="215">
        <v>1004823</v>
      </c>
      <c r="AH50" s="215">
        <v>1004824</v>
      </c>
      <c r="AI50" s="215">
        <v>1004825</v>
      </c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5"/>
      <c r="DG50" s="215"/>
      <c r="DH50" s="215"/>
      <c r="DI50" s="215"/>
      <c r="DJ50" s="215"/>
      <c r="DK50" s="215"/>
    </row>
    <row r="51" spans="2:115" ht="18.75" customHeight="1" x14ac:dyDescent="0.25">
      <c r="B51" s="108">
        <v>49</v>
      </c>
      <c r="C51" s="929"/>
      <c r="D51" s="905" t="s">
        <v>892</v>
      </c>
      <c r="E51" s="906"/>
      <c r="F51" s="906"/>
      <c r="G51" s="906"/>
      <c r="H51" s="906"/>
      <c r="I51" s="907"/>
      <c r="J51" s="895">
        <f>VLOOKUP(U51,'FS Data'!$A:$B,2,FALSE)/10</f>
        <v>0</v>
      </c>
      <c r="K51" s="896"/>
      <c r="L51" s="901"/>
      <c r="M51" s="901"/>
      <c r="N51" s="901"/>
      <c r="O51" s="901"/>
      <c r="P51" s="901"/>
      <c r="Q51" s="901"/>
      <c r="R51" s="938"/>
      <c r="S51" s="939"/>
      <c r="T51" s="413"/>
      <c r="U51" s="215">
        <v>1004902</v>
      </c>
      <c r="V51" s="215">
        <v>1004906</v>
      </c>
      <c r="W51" s="215">
        <v>1004908</v>
      </c>
      <c r="X51" s="215">
        <v>1004910</v>
      </c>
      <c r="Y51" s="215">
        <v>1004912</v>
      </c>
      <c r="Z51" s="215">
        <v>1004914</v>
      </c>
      <c r="AA51" s="215">
        <v>1004916</v>
      </c>
      <c r="AB51" s="215">
        <v>1004918</v>
      </c>
      <c r="AC51" s="215">
        <v>1004919</v>
      </c>
      <c r="AD51" s="215">
        <v>1004920</v>
      </c>
      <c r="AE51" s="215">
        <v>1004921</v>
      </c>
      <c r="AF51" s="215">
        <v>1004922</v>
      </c>
      <c r="AG51" s="215">
        <v>1004923</v>
      </c>
      <c r="AH51" s="215">
        <v>1004924</v>
      </c>
      <c r="AI51" s="215">
        <v>1004925</v>
      </c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5"/>
      <c r="DG51" s="215"/>
      <c r="DH51" s="215"/>
      <c r="DI51" s="215"/>
      <c r="DJ51" s="215"/>
      <c r="DK51" s="215"/>
    </row>
    <row r="52" spans="2:115" ht="18.75" customHeight="1" x14ac:dyDescent="0.25">
      <c r="B52" s="13">
        <v>50</v>
      </c>
      <c r="C52" s="929"/>
      <c r="D52" s="905" t="s">
        <v>893</v>
      </c>
      <c r="E52" s="906"/>
      <c r="F52" s="906"/>
      <c r="G52" s="906"/>
      <c r="H52" s="906"/>
      <c r="I52" s="907"/>
      <c r="J52" s="895">
        <f>VLOOKUP(U52,'FS Data'!$A:$B,2,FALSE)/10</f>
        <v>0</v>
      </c>
      <c r="K52" s="896"/>
      <c r="L52" s="905" t="s">
        <v>234</v>
      </c>
      <c r="M52" s="906"/>
      <c r="N52" s="906"/>
      <c r="O52" s="906"/>
      <c r="P52" s="906"/>
      <c r="Q52" s="908"/>
      <c r="R52" s="895">
        <f>VLOOKUP(AH52,'FS Data'!$A:$B,2,FALSE)/10</f>
        <v>0</v>
      </c>
      <c r="S52" s="896"/>
      <c r="T52" s="413"/>
      <c r="U52" s="215">
        <v>1005002</v>
      </c>
      <c r="V52" s="215">
        <v>1005006</v>
      </c>
      <c r="W52" s="215">
        <v>1005008</v>
      </c>
      <c r="X52" s="215">
        <v>1005010</v>
      </c>
      <c r="Y52" s="215">
        <v>1005012</v>
      </c>
      <c r="Z52" s="215">
        <v>1005014</v>
      </c>
      <c r="AA52" s="215">
        <v>1005016</v>
      </c>
      <c r="AB52" s="215">
        <v>1005018</v>
      </c>
      <c r="AC52" s="215">
        <v>1005019</v>
      </c>
      <c r="AD52" s="215">
        <v>1005020</v>
      </c>
      <c r="AE52" s="215">
        <v>1005021</v>
      </c>
      <c r="AF52" s="215">
        <v>1005022</v>
      </c>
      <c r="AG52" s="215">
        <v>1005023</v>
      </c>
      <c r="AH52" s="215">
        <v>1005017</v>
      </c>
      <c r="AI52" s="215">
        <v>1005025</v>
      </c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15"/>
      <c r="DJ52" s="215"/>
      <c r="DK52" s="215"/>
    </row>
    <row r="53" spans="2:115" ht="18.75" customHeight="1" x14ac:dyDescent="0.25">
      <c r="B53" s="13">
        <v>51</v>
      </c>
      <c r="C53" s="929"/>
      <c r="D53" s="909" t="s">
        <v>905</v>
      </c>
      <c r="E53" s="910"/>
      <c r="F53" s="910"/>
      <c r="G53" s="910"/>
      <c r="H53" s="910"/>
      <c r="I53" s="911" t="s">
        <v>906</v>
      </c>
      <c r="J53" s="912"/>
      <c r="K53" s="912"/>
      <c r="L53" s="912"/>
      <c r="M53" s="912"/>
      <c r="N53" s="913"/>
      <c r="O53" s="914" t="s">
        <v>907</v>
      </c>
      <c r="P53" s="915"/>
      <c r="Q53" s="915"/>
      <c r="R53" s="916">
        <f>VLOOKUP(AH53,'FS Data'!$A:$B,2,FALSE)/100</f>
        <v>143.09</v>
      </c>
      <c r="S53" s="917"/>
      <c r="T53" s="413"/>
      <c r="U53" s="215">
        <v>1005104</v>
      </c>
      <c r="V53" s="215">
        <v>1005106</v>
      </c>
      <c r="W53" s="215">
        <v>1005108</v>
      </c>
      <c r="X53" s="215">
        <v>1005110</v>
      </c>
      <c r="Y53" s="215">
        <v>1005112</v>
      </c>
      <c r="Z53" s="215">
        <v>1005114</v>
      </c>
      <c r="AA53" s="215">
        <v>1005116</v>
      </c>
      <c r="AB53" s="215">
        <v>1005118</v>
      </c>
      <c r="AC53" s="215">
        <v>1005119</v>
      </c>
      <c r="AD53" s="215">
        <v>1005120</v>
      </c>
      <c r="AE53" s="215">
        <v>1005121</v>
      </c>
      <c r="AF53" s="215">
        <v>1005122</v>
      </c>
      <c r="AG53" s="215">
        <v>1005123</v>
      </c>
      <c r="AH53" s="215">
        <v>1005124</v>
      </c>
      <c r="AI53" s="215">
        <v>1005125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5"/>
      <c r="DG53" s="215"/>
      <c r="DH53" s="215"/>
      <c r="DI53" s="215"/>
      <c r="DJ53" s="215"/>
      <c r="DK53" s="215"/>
    </row>
    <row r="54" spans="2:115" ht="18.75" customHeight="1" x14ac:dyDescent="0.25">
      <c r="B54" s="108">
        <v>52</v>
      </c>
      <c r="C54" s="918" t="s">
        <v>917</v>
      </c>
      <c r="D54" s="919"/>
      <c r="E54" s="182" t="s">
        <v>918</v>
      </c>
      <c r="F54" s="184" t="s">
        <v>517</v>
      </c>
      <c r="G54" s="923" t="s">
        <v>519</v>
      </c>
      <c r="H54" s="924"/>
      <c r="I54" s="918" t="s">
        <v>917</v>
      </c>
      <c r="J54" s="825"/>
      <c r="K54" s="610" t="s">
        <v>918</v>
      </c>
      <c r="L54" s="183" t="s">
        <v>517</v>
      </c>
      <c r="M54" s="902" t="s">
        <v>519</v>
      </c>
      <c r="N54" s="903"/>
      <c r="O54" s="416"/>
      <c r="P54" s="416"/>
      <c r="Q54" s="416"/>
      <c r="R54" s="416"/>
      <c r="S54" s="416"/>
      <c r="T54" s="413"/>
      <c r="U54" s="215">
        <v>1005204</v>
      </c>
      <c r="V54" s="215">
        <v>1005206</v>
      </c>
      <c r="W54" s="215">
        <v>1005208</v>
      </c>
      <c r="X54" s="215">
        <v>1005210</v>
      </c>
      <c r="Y54" s="215">
        <v>1005212</v>
      </c>
      <c r="Z54" s="215">
        <v>1005214</v>
      </c>
      <c r="AA54" s="215">
        <v>1005216</v>
      </c>
      <c r="AB54" s="215">
        <v>1005218</v>
      </c>
      <c r="AC54" s="215">
        <v>1005219</v>
      </c>
      <c r="AD54" s="215">
        <v>1005220</v>
      </c>
      <c r="AE54" s="215">
        <v>1005221</v>
      </c>
      <c r="AF54" s="215">
        <v>1005222</v>
      </c>
      <c r="AG54" s="215">
        <v>1005223</v>
      </c>
      <c r="AH54" s="215">
        <v>1005224</v>
      </c>
      <c r="AI54" s="215">
        <v>1005225</v>
      </c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5"/>
      <c r="DG54" s="215"/>
      <c r="DH54" s="215"/>
      <c r="DI54" s="215"/>
      <c r="DJ54" s="215"/>
      <c r="DK54" s="215"/>
    </row>
    <row r="55" spans="2:115" ht="18.75" customHeight="1" x14ac:dyDescent="0.25">
      <c r="B55" s="13">
        <v>53</v>
      </c>
      <c r="C55" s="885" t="s">
        <v>909</v>
      </c>
      <c r="D55" s="886"/>
      <c r="E55" s="180">
        <v>800</v>
      </c>
      <c r="F55" s="122">
        <f>VLOOKUP(Y55,'FS Data'!$A:$B,2,FALSE)</f>
        <v>0</v>
      </c>
      <c r="G55" s="882">
        <f>VLOOKUP(Z55,'FS Data'!$A:$B,2,FALSE)</f>
        <v>0</v>
      </c>
      <c r="H55" s="883"/>
      <c r="I55" s="889" t="s">
        <v>919</v>
      </c>
      <c r="J55" s="890"/>
      <c r="K55" s="611" t="s">
        <v>309</v>
      </c>
      <c r="L55" s="346">
        <f>VLOOKUP(AB55,'FS Data'!$A:$B,2,FALSE)</f>
        <v>0</v>
      </c>
      <c r="M55" s="884">
        <f>VLOOKUP(AD55,'FS Data'!$A:$B,2,FALSE)</f>
        <v>0</v>
      </c>
      <c r="N55" s="882"/>
      <c r="O55" s="416"/>
      <c r="P55" s="416"/>
      <c r="Q55" s="416"/>
      <c r="R55" s="416"/>
      <c r="S55" s="416"/>
      <c r="T55" s="413"/>
      <c r="U55" s="215">
        <v>1005304</v>
      </c>
      <c r="V55" s="215">
        <v>1005306</v>
      </c>
      <c r="W55" s="215">
        <v>1005308</v>
      </c>
      <c r="X55" s="215">
        <v>1005310</v>
      </c>
      <c r="Y55" s="215">
        <v>1005312</v>
      </c>
      <c r="Z55" s="215">
        <v>1005314</v>
      </c>
      <c r="AA55" s="215">
        <v>1005316</v>
      </c>
      <c r="AB55" s="215">
        <v>1005318</v>
      </c>
      <c r="AC55" s="215">
        <v>1005319</v>
      </c>
      <c r="AD55" s="215">
        <v>1005320</v>
      </c>
      <c r="AE55" s="215">
        <v>1005321</v>
      </c>
      <c r="AF55" s="215">
        <v>1005322</v>
      </c>
      <c r="AG55" s="215">
        <v>1005323</v>
      </c>
      <c r="AH55" s="215">
        <v>1005324</v>
      </c>
      <c r="AI55" s="215">
        <v>1005325</v>
      </c>
    </row>
    <row r="56" spans="2:115" s="25" customFormat="1" ht="18.75" customHeight="1" x14ac:dyDescent="0.25">
      <c r="B56" s="13">
        <v>54</v>
      </c>
      <c r="C56" s="885" t="s">
        <v>910</v>
      </c>
      <c r="D56" s="886"/>
      <c r="E56" s="180">
        <v>801</v>
      </c>
      <c r="F56" s="122">
        <f>VLOOKUP(Y56,'FS Data'!$A:$B,2,FALSE)</f>
        <v>47</v>
      </c>
      <c r="G56" s="882">
        <f>VLOOKUP(Z56,'FS Data'!$A:$B,2,FALSE)</f>
        <v>47</v>
      </c>
      <c r="H56" s="883"/>
      <c r="I56" s="889" t="s">
        <v>920</v>
      </c>
      <c r="J56" s="890"/>
      <c r="K56" s="611" t="s">
        <v>310</v>
      </c>
      <c r="L56" s="346">
        <f>VLOOKUP(AB56,'FS Data'!$A:$B,2,FALSE)</f>
        <v>6</v>
      </c>
      <c r="M56" s="884">
        <f>VLOOKUP(AD56,'FS Data'!$A:$B,2,FALSE)</f>
        <v>6</v>
      </c>
      <c r="N56" s="882"/>
      <c r="O56" s="904" t="s">
        <v>908</v>
      </c>
      <c r="P56" s="785"/>
      <c r="Q56" s="785"/>
      <c r="R56" s="897">
        <f>VLOOKUP(AH56,'FS Data'!$A:$B,2,FALSE)</f>
        <v>0</v>
      </c>
      <c r="S56" s="794"/>
      <c r="T56" s="413"/>
      <c r="U56" s="215">
        <v>1005404</v>
      </c>
      <c r="V56" s="215">
        <v>1005406</v>
      </c>
      <c r="W56" s="215">
        <v>1005408</v>
      </c>
      <c r="X56" s="215">
        <v>1005410</v>
      </c>
      <c r="Y56" s="215">
        <v>1005412</v>
      </c>
      <c r="Z56" s="215">
        <v>1005414</v>
      </c>
      <c r="AA56" s="215">
        <v>1005416</v>
      </c>
      <c r="AB56" s="215">
        <v>1005418</v>
      </c>
      <c r="AC56" s="215">
        <v>1005419</v>
      </c>
      <c r="AD56" s="215">
        <v>1005420</v>
      </c>
      <c r="AE56" s="215">
        <v>1005421</v>
      </c>
      <c r="AF56" s="215">
        <v>1005422</v>
      </c>
      <c r="AG56" s="215">
        <v>1005423</v>
      </c>
      <c r="AH56" s="215">
        <v>1005424</v>
      </c>
      <c r="AI56" s="215">
        <v>1005425</v>
      </c>
    </row>
    <row r="57" spans="2:115" ht="18.75" customHeight="1" x14ac:dyDescent="0.25">
      <c r="B57" s="108">
        <v>55</v>
      </c>
      <c r="C57" s="885" t="s">
        <v>911</v>
      </c>
      <c r="D57" s="886"/>
      <c r="E57" s="180">
        <v>805</v>
      </c>
      <c r="F57" s="122">
        <f>VLOOKUP(Y57,'FS Data'!$A:$B,2,FALSE)</f>
        <v>327</v>
      </c>
      <c r="G57" s="882">
        <f>VLOOKUP(Z57,'FS Data'!$A:$B,2,FALSE)</f>
        <v>327</v>
      </c>
      <c r="H57" s="883"/>
      <c r="I57" s="889" t="s">
        <v>921</v>
      </c>
      <c r="J57" s="890"/>
      <c r="K57" s="612" t="s">
        <v>311</v>
      </c>
      <c r="L57" s="346">
        <f>VLOOKUP(AB57,'FS Data'!$A:$B,2,FALSE)</f>
        <v>0</v>
      </c>
      <c r="M57" s="884">
        <f>VLOOKUP(AD57,'FS Data'!$A:$B,2,FALSE)</f>
        <v>0</v>
      </c>
      <c r="N57" s="882"/>
      <c r="O57" s="416"/>
      <c r="P57" s="416"/>
      <c r="Q57" s="416"/>
      <c r="R57" s="416"/>
      <c r="S57" s="416"/>
      <c r="T57" s="413"/>
      <c r="U57" s="215">
        <v>1005504</v>
      </c>
      <c r="V57" s="215">
        <v>1005506</v>
      </c>
      <c r="W57" s="215">
        <v>1005508</v>
      </c>
      <c r="X57" s="215">
        <v>1005510</v>
      </c>
      <c r="Y57" s="215">
        <v>1005512</v>
      </c>
      <c r="Z57" s="215">
        <v>1005514</v>
      </c>
      <c r="AA57" s="215">
        <v>1005516</v>
      </c>
      <c r="AB57" s="215">
        <v>1005518</v>
      </c>
      <c r="AC57" s="215">
        <v>1005519</v>
      </c>
      <c r="AD57" s="215">
        <v>1005520</v>
      </c>
      <c r="AE57" s="215">
        <v>1005521</v>
      </c>
      <c r="AF57" s="215">
        <v>1005522</v>
      </c>
      <c r="AG57" s="215">
        <v>1005523</v>
      </c>
      <c r="AH57" s="215">
        <v>1005524</v>
      </c>
      <c r="AI57" s="215">
        <v>1005525</v>
      </c>
    </row>
    <row r="58" spans="2:115" ht="18.75" customHeight="1" x14ac:dyDescent="0.25">
      <c r="B58" s="13">
        <v>56</v>
      </c>
      <c r="C58" s="885" t="s">
        <v>912</v>
      </c>
      <c r="D58" s="886"/>
      <c r="E58" s="180">
        <v>806</v>
      </c>
      <c r="F58" s="122">
        <f>VLOOKUP(Y58,'FS Data'!$A:$B,2,FALSE)</f>
        <v>0</v>
      </c>
      <c r="G58" s="882">
        <f>VLOOKUP(Z58,'FS Data'!$A:$B,2,FALSE)</f>
        <v>0</v>
      </c>
      <c r="H58" s="883"/>
      <c r="I58" s="889" t="s">
        <v>922</v>
      </c>
      <c r="J58" s="890"/>
      <c r="K58" s="611">
        <v>861</v>
      </c>
      <c r="L58" s="346">
        <f>VLOOKUP(AB58,'FS Data'!$A:$B,2,FALSE)</f>
        <v>0</v>
      </c>
      <c r="M58" s="884">
        <f>VLOOKUP(AD58,'FS Data'!$A:$B,2,FALSE)</f>
        <v>0</v>
      </c>
      <c r="N58" s="882"/>
      <c r="O58" s="416"/>
      <c r="P58" s="416"/>
      <c r="Q58" s="416"/>
      <c r="R58" s="416"/>
      <c r="S58" s="416"/>
      <c r="T58" s="413"/>
      <c r="U58" s="215">
        <v>1005604</v>
      </c>
      <c r="V58" s="215">
        <v>1005606</v>
      </c>
      <c r="W58" s="215">
        <v>1005608</v>
      </c>
      <c r="X58" s="215">
        <v>1005610</v>
      </c>
      <c r="Y58" s="215">
        <v>1005612</v>
      </c>
      <c r="Z58" s="215">
        <v>1005614</v>
      </c>
      <c r="AA58" s="215">
        <v>1005616</v>
      </c>
      <c r="AB58" s="215">
        <v>1005618</v>
      </c>
      <c r="AC58" s="215">
        <v>1005619</v>
      </c>
      <c r="AD58" s="215">
        <v>1005620</v>
      </c>
      <c r="AE58" s="215">
        <v>1005621</v>
      </c>
      <c r="AF58" s="215">
        <v>1005622</v>
      </c>
      <c r="AG58" s="215">
        <v>1005623</v>
      </c>
      <c r="AH58" s="215">
        <v>1005624</v>
      </c>
      <c r="AI58" s="215">
        <v>1005625</v>
      </c>
    </row>
    <row r="59" spans="2:115" s="65" customFormat="1" ht="18.75" customHeight="1" x14ac:dyDescent="0.25">
      <c r="B59" s="13">
        <v>57</v>
      </c>
      <c r="C59" s="885" t="s">
        <v>913</v>
      </c>
      <c r="D59" s="886"/>
      <c r="E59" s="180">
        <v>810</v>
      </c>
      <c r="F59" s="122">
        <f>VLOOKUP(Y59,'FS Data'!$A:$B,2,FALSE)</f>
        <v>0</v>
      </c>
      <c r="G59" s="882">
        <f>VLOOKUP(Z59,'FS Data'!$A:$B,2,FALSE)</f>
        <v>0</v>
      </c>
      <c r="H59" s="883"/>
      <c r="I59" s="889" t="s">
        <v>923</v>
      </c>
      <c r="J59" s="890"/>
      <c r="K59" s="613">
        <v>862</v>
      </c>
      <c r="L59" s="346">
        <f>VLOOKUP(AB59,'FS Data'!$A:$B,2,FALSE)</f>
        <v>0</v>
      </c>
      <c r="M59" s="884">
        <f>VLOOKUP(AD59,'FS Data'!$A:$B,2,FALSE)</f>
        <v>0</v>
      </c>
      <c r="N59" s="882"/>
      <c r="O59" s="416"/>
      <c r="P59" s="416"/>
      <c r="Q59" s="416"/>
      <c r="R59" s="416"/>
      <c r="S59" s="416"/>
      <c r="T59" s="413"/>
      <c r="U59" s="215">
        <v>1005704</v>
      </c>
      <c r="V59" s="215">
        <v>1005706</v>
      </c>
      <c r="W59" s="215">
        <v>1005708</v>
      </c>
      <c r="X59" s="215">
        <v>1005710</v>
      </c>
      <c r="Y59" s="215">
        <v>1005712</v>
      </c>
      <c r="Z59" s="215">
        <v>1005714</v>
      </c>
      <c r="AA59" s="215">
        <v>1005716</v>
      </c>
      <c r="AB59" s="215">
        <v>1005718</v>
      </c>
      <c r="AC59" s="215">
        <v>1005719</v>
      </c>
      <c r="AD59" s="215">
        <v>1005720</v>
      </c>
      <c r="AE59" s="215">
        <v>1005721</v>
      </c>
      <c r="AF59" s="215">
        <v>1005722</v>
      </c>
      <c r="AG59" s="215">
        <v>1005723</v>
      </c>
      <c r="AH59" s="215">
        <v>1005724</v>
      </c>
      <c r="AI59" s="215">
        <v>1005725</v>
      </c>
    </row>
    <row r="60" spans="2:115" ht="18.75" customHeight="1" x14ac:dyDescent="0.25">
      <c r="B60" s="108">
        <v>58</v>
      </c>
      <c r="C60" s="885" t="s">
        <v>15</v>
      </c>
      <c r="D60" s="886"/>
      <c r="E60" s="180" t="s">
        <v>26</v>
      </c>
      <c r="F60" s="122">
        <f>VLOOKUP(Y60,'FS Data'!$A:$B,2,FALSE)</f>
        <v>16714</v>
      </c>
      <c r="G60" s="882">
        <f>VLOOKUP(Z60,'FS Data'!$A:$B,2,FALSE)</f>
        <v>16714</v>
      </c>
      <c r="H60" s="883"/>
      <c r="I60" s="891" t="s">
        <v>924</v>
      </c>
      <c r="J60" s="877"/>
      <c r="K60" s="892"/>
      <c r="L60" s="349">
        <f>VLOOKUP(AB60,'FS Data'!$A:$B,2,FALSE)</f>
        <v>6</v>
      </c>
      <c r="M60" s="893">
        <f>VLOOKUP(AD60,'FS Data'!$A:$B,2,FALSE)</f>
        <v>6</v>
      </c>
      <c r="N60" s="894"/>
      <c r="O60" s="416"/>
      <c r="P60" s="416"/>
      <c r="Q60" s="416"/>
      <c r="R60" s="416"/>
      <c r="S60" s="416"/>
      <c r="T60" s="413"/>
      <c r="U60" s="215">
        <v>1005804</v>
      </c>
      <c r="V60" s="215">
        <v>1005806</v>
      </c>
      <c r="W60" s="215">
        <v>1005808</v>
      </c>
      <c r="X60" s="215">
        <v>1005810</v>
      </c>
      <c r="Y60" s="215">
        <v>1005812</v>
      </c>
      <c r="Z60" s="215">
        <v>1005814</v>
      </c>
      <c r="AA60" s="215">
        <v>1005816</v>
      </c>
      <c r="AB60" s="215">
        <v>1005818</v>
      </c>
      <c r="AC60" s="215">
        <v>1005819</v>
      </c>
      <c r="AD60" s="215">
        <v>1005820</v>
      </c>
      <c r="AE60" s="215">
        <v>1005821</v>
      </c>
      <c r="AF60" s="215">
        <v>1005822</v>
      </c>
      <c r="AG60" s="215">
        <v>1005823</v>
      </c>
      <c r="AH60" s="215">
        <v>1005824</v>
      </c>
      <c r="AI60" s="215">
        <v>1005825</v>
      </c>
    </row>
    <row r="61" spans="2:115" ht="18.75" customHeight="1" x14ac:dyDescent="0.25">
      <c r="B61" s="13">
        <v>59</v>
      </c>
      <c r="C61" s="885" t="s">
        <v>16</v>
      </c>
      <c r="D61" s="886"/>
      <c r="E61" s="180" t="s">
        <v>1</v>
      </c>
      <c r="F61" s="122">
        <f>VLOOKUP(Y61,'FS Data'!$A:$B,2,FALSE)</f>
        <v>0</v>
      </c>
      <c r="G61" s="882">
        <f>VLOOKUP(Z61,'FS Data'!$A:$B,2,FALSE)</f>
        <v>0</v>
      </c>
      <c r="H61" s="883"/>
      <c r="I61" s="614"/>
      <c r="J61" s="615"/>
      <c r="K61" s="616"/>
      <c r="L61" s="442"/>
      <c r="M61" s="442"/>
      <c r="N61" s="442"/>
      <c r="O61" s="416"/>
      <c r="P61" s="416"/>
      <c r="Q61" s="416"/>
      <c r="R61" s="416"/>
      <c r="S61" s="416"/>
      <c r="T61" s="413"/>
      <c r="U61" s="215">
        <v>1005904</v>
      </c>
      <c r="V61" s="215">
        <v>1005906</v>
      </c>
      <c r="W61" s="215">
        <v>1005908</v>
      </c>
      <c r="X61" s="215">
        <v>1005910</v>
      </c>
      <c r="Y61" s="215">
        <v>1005912</v>
      </c>
      <c r="Z61" s="215">
        <v>1005914</v>
      </c>
      <c r="AA61" s="215">
        <v>1005916</v>
      </c>
      <c r="AB61" s="215">
        <v>1005918</v>
      </c>
      <c r="AC61" s="215">
        <v>1005919</v>
      </c>
      <c r="AD61" s="215">
        <v>1005920</v>
      </c>
      <c r="AE61" s="215">
        <v>1005921</v>
      </c>
      <c r="AF61" s="215">
        <v>1005922</v>
      </c>
      <c r="AG61" s="215">
        <v>1005923</v>
      </c>
      <c r="AH61" s="215">
        <v>1005924</v>
      </c>
      <c r="AI61" s="215">
        <v>1005925</v>
      </c>
    </row>
    <row r="62" spans="2:115" ht="18.75" customHeight="1" x14ac:dyDescent="0.25">
      <c r="B62" s="13">
        <v>60</v>
      </c>
      <c r="C62" s="885" t="s">
        <v>914</v>
      </c>
      <c r="D62" s="886"/>
      <c r="E62" s="180">
        <v>815</v>
      </c>
      <c r="F62" s="122">
        <f>VLOOKUP(Y62,'FS Data'!$A:$B,2,FALSE)</f>
        <v>37150</v>
      </c>
      <c r="G62" s="882">
        <f>VLOOKUP(Z62,'FS Data'!$A:$B,2,FALSE)</f>
        <v>37150</v>
      </c>
      <c r="H62" s="883"/>
      <c r="I62" s="617"/>
      <c r="J62" s="618"/>
      <c r="K62" s="618"/>
      <c r="L62" s="443"/>
      <c r="M62" s="887"/>
      <c r="N62" s="888"/>
      <c r="O62" s="416"/>
      <c r="P62" s="416"/>
      <c r="Q62" s="416"/>
      <c r="R62" s="416"/>
      <c r="S62" s="416"/>
      <c r="T62" s="413"/>
      <c r="U62" s="215">
        <v>1006004</v>
      </c>
      <c r="V62" s="215">
        <v>1006006</v>
      </c>
      <c r="W62" s="215">
        <v>1006008</v>
      </c>
      <c r="X62" s="215">
        <v>1006010</v>
      </c>
      <c r="Y62" s="215">
        <v>1006012</v>
      </c>
      <c r="Z62" s="215">
        <v>1006014</v>
      </c>
      <c r="AA62" s="215">
        <v>1006016</v>
      </c>
      <c r="AB62" s="215">
        <v>1006018</v>
      </c>
      <c r="AC62" s="215">
        <v>1006019</v>
      </c>
      <c r="AD62" s="215">
        <v>1006020</v>
      </c>
      <c r="AE62" s="215">
        <v>1006021</v>
      </c>
      <c r="AF62" s="215">
        <v>1006021</v>
      </c>
      <c r="AG62" s="215">
        <v>1006023</v>
      </c>
      <c r="AH62" s="215">
        <v>1006024</v>
      </c>
      <c r="AI62" s="215">
        <v>1006025</v>
      </c>
    </row>
    <row r="63" spans="2:115" ht="18.75" customHeight="1" x14ac:dyDescent="0.25">
      <c r="B63" s="108">
        <v>61</v>
      </c>
      <c r="C63" s="885" t="s">
        <v>915</v>
      </c>
      <c r="D63" s="886"/>
      <c r="E63" s="180">
        <v>816</v>
      </c>
      <c r="F63" s="122">
        <f>VLOOKUP(Y63,'FS Data'!$A:$B,2,FALSE)</f>
        <v>0</v>
      </c>
      <c r="G63" s="882">
        <f>VLOOKUP(Z63,'FS Data'!$A:$B,2,FALSE)</f>
        <v>0</v>
      </c>
      <c r="H63" s="883"/>
      <c r="I63" s="876" t="s">
        <v>925</v>
      </c>
      <c r="J63" s="877"/>
      <c r="K63" s="877"/>
      <c r="L63" s="416"/>
      <c r="M63" s="416"/>
      <c r="N63" s="416"/>
      <c r="O63" s="416"/>
      <c r="P63" s="416"/>
      <c r="Q63" s="416"/>
      <c r="R63" s="416"/>
      <c r="S63" s="416"/>
      <c r="T63" s="413"/>
      <c r="U63" s="215">
        <v>1006104</v>
      </c>
      <c r="V63" s="215">
        <v>1006106</v>
      </c>
      <c r="W63" s="215">
        <v>1006108</v>
      </c>
      <c r="X63" s="215">
        <v>1006110</v>
      </c>
      <c r="Y63" s="215">
        <v>1006112</v>
      </c>
      <c r="Z63" s="215">
        <v>1006114</v>
      </c>
      <c r="AA63" s="215">
        <v>1006116</v>
      </c>
      <c r="AB63" s="215">
        <v>1006118</v>
      </c>
      <c r="AC63" s="215">
        <v>1006119</v>
      </c>
      <c r="AD63" s="215">
        <v>1006120</v>
      </c>
      <c r="AE63" s="215">
        <v>1006121</v>
      </c>
      <c r="AF63" s="215">
        <v>1006118</v>
      </c>
      <c r="AG63" s="215">
        <v>1006123</v>
      </c>
      <c r="AH63" s="215">
        <v>1006124</v>
      </c>
      <c r="AI63" s="215">
        <v>1006125</v>
      </c>
    </row>
    <row r="64" spans="2:115" ht="15" customHeight="1" x14ac:dyDescent="0.25">
      <c r="B64" s="13">
        <v>62</v>
      </c>
      <c r="C64" s="880" t="s">
        <v>916</v>
      </c>
      <c r="D64" s="881"/>
      <c r="E64" s="181"/>
      <c r="F64" s="122">
        <f>VLOOKUP(Y64,'FS Data'!$A:$B,2,FALSE)</f>
        <v>54238</v>
      </c>
      <c r="G64" s="882">
        <f>VLOOKUP(Z64,'FS Data'!$A:$B,2,FALSE)</f>
        <v>54238</v>
      </c>
      <c r="H64" s="883"/>
      <c r="I64" s="878"/>
      <c r="J64" s="879"/>
      <c r="K64" s="879"/>
      <c r="L64" s="122">
        <f>VLOOKUP(AB64,'FS Data'!$A:$B,2,FALSE)</f>
        <v>54232</v>
      </c>
      <c r="M64" s="884">
        <f>VLOOKUP(AD64,'FS Data'!$A:$B,2,FALSE)</f>
        <v>54232</v>
      </c>
      <c r="N64" s="882"/>
      <c r="O64" s="416"/>
      <c r="P64" s="416"/>
      <c r="Q64" s="416"/>
      <c r="R64" s="416"/>
      <c r="S64" s="416"/>
      <c r="T64" s="413"/>
      <c r="U64" s="215">
        <v>1006204</v>
      </c>
      <c r="V64" s="215">
        <v>1006206</v>
      </c>
      <c r="W64" s="215">
        <v>1006208</v>
      </c>
      <c r="X64" s="215">
        <v>1006210</v>
      </c>
      <c r="Y64" s="215">
        <v>1006212</v>
      </c>
      <c r="Z64" s="215">
        <v>1006214</v>
      </c>
      <c r="AA64" s="215">
        <v>1006216</v>
      </c>
      <c r="AB64" s="215">
        <v>1006218</v>
      </c>
      <c r="AC64" s="215">
        <v>1006219</v>
      </c>
      <c r="AD64" s="215">
        <v>1006220</v>
      </c>
      <c r="AE64" s="215">
        <v>1006221</v>
      </c>
      <c r="AF64" s="215">
        <v>1006215</v>
      </c>
      <c r="AG64" s="215">
        <v>1006223</v>
      </c>
      <c r="AH64" s="215">
        <v>1006224</v>
      </c>
      <c r="AI64" s="215">
        <v>1006225</v>
      </c>
    </row>
  </sheetData>
  <mergeCells count="247">
    <mergeCell ref="K3:L3"/>
    <mergeCell ref="I6:J6"/>
    <mergeCell ref="D2:T2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K4:L4"/>
    <mergeCell ref="I4:J4"/>
    <mergeCell ref="I5:J5"/>
    <mergeCell ref="K6:L6"/>
    <mergeCell ref="S3:T3"/>
    <mergeCell ref="N24:P24"/>
    <mergeCell ref="I3:J3"/>
    <mergeCell ref="C7:H7"/>
    <mergeCell ref="C3:H3"/>
    <mergeCell ref="R27:S27"/>
    <mergeCell ref="R28:S28"/>
    <mergeCell ref="C23:F23"/>
    <mergeCell ref="C24:F24"/>
    <mergeCell ref="M3:N3"/>
    <mergeCell ref="O3:P3"/>
    <mergeCell ref="Q3:R3"/>
    <mergeCell ref="J18:K18"/>
    <mergeCell ref="J16:K16"/>
    <mergeCell ref="G13:I13"/>
    <mergeCell ref="J12:K12"/>
    <mergeCell ref="J13:K13"/>
    <mergeCell ref="G12:I12"/>
    <mergeCell ref="G15:I15"/>
    <mergeCell ref="M15:N15"/>
    <mergeCell ref="K5:L5"/>
    <mergeCell ref="O6:P6"/>
    <mergeCell ref="O7:P7"/>
    <mergeCell ref="Q7:R7"/>
    <mergeCell ref="J15:K15"/>
    <mergeCell ref="M6:N6"/>
    <mergeCell ref="O16:P16"/>
    <mergeCell ref="Q23:T23"/>
    <mergeCell ref="Q24:T24"/>
    <mergeCell ref="S26:T26"/>
    <mergeCell ref="O18:P18"/>
    <mergeCell ref="O17:P17"/>
    <mergeCell ref="I7:J7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C12:F12"/>
    <mergeCell ref="K7:L7"/>
    <mergeCell ref="C8:H8"/>
    <mergeCell ref="J34:K34"/>
    <mergeCell ref="H31:I31"/>
    <mergeCell ref="J31:K31"/>
    <mergeCell ref="H33:I33"/>
    <mergeCell ref="J33:K33"/>
    <mergeCell ref="S4:T4"/>
    <mergeCell ref="Q5:R5"/>
    <mergeCell ref="S6:T6"/>
    <mergeCell ref="S5:T5"/>
    <mergeCell ref="Q4:R4"/>
    <mergeCell ref="Q6:R6"/>
    <mergeCell ref="O14:P14"/>
    <mergeCell ref="M29:N29"/>
    <mergeCell ref="R29:S29"/>
    <mergeCell ref="O20:P20"/>
    <mergeCell ref="S7:T7"/>
    <mergeCell ref="M14:N14"/>
    <mergeCell ref="M4:N4"/>
    <mergeCell ref="O4:P4"/>
    <mergeCell ref="O12:P12"/>
    <mergeCell ref="O5:P5"/>
    <mergeCell ref="O13:P13"/>
    <mergeCell ref="M7:N7"/>
    <mergeCell ref="M5:N5"/>
    <mergeCell ref="M12:N12"/>
    <mergeCell ref="M31:N31"/>
    <mergeCell ref="C21:F21"/>
    <mergeCell ref="C27:C38"/>
    <mergeCell ref="F37:G37"/>
    <mergeCell ref="M37:N37"/>
    <mergeCell ref="M13:N13"/>
    <mergeCell ref="J36:K36"/>
    <mergeCell ref="J37:K37"/>
    <mergeCell ref="G23:J23"/>
    <mergeCell ref="K23:M23"/>
    <mergeCell ref="N23:P23"/>
    <mergeCell ref="F28:G28"/>
    <mergeCell ref="M28:N28"/>
    <mergeCell ref="H38:I38"/>
    <mergeCell ref="J38:K38"/>
    <mergeCell ref="H36:I36"/>
    <mergeCell ref="C22:F22"/>
    <mergeCell ref="G24:J24"/>
    <mergeCell ref="K24:M24"/>
    <mergeCell ref="J35:K35"/>
    <mergeCell ref="H32:I32"/>
    <mergeCell ref="J32:K32"/>
    <mergeCell ref="H34:I34"/>
    <mergeCell ref="C26:E26"/>
    <mergeCell ref="P26:R26"/>
    <mergeCell ref="M30:N30"/>
    <mergeCell ref="R30:S30"/>
    <mergeCell ref="R31:S31"/>
    <mergeCell ref="R25:S25"/>
    <mergeCell ref="P25:Q25"/>
    <mergeCell ref="G25:J25"/>
    <mergeCell ref="F29:G29"/>
    <mergeCell ref="J30:K30"/>
    <mergeCell ref="H30:I30"/>
    <mergeCell ref="M27:N27"/>
    <mergeCell ref="F31:G31"/>
    <mergeCell ref="F27:G27"/>
    <mergeCell ref="F30:G30"/>
    <mergeCell ref="K25:M25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R37:S37"/>
    <mergeCell ref="F38:G38"/>
    <mergeCell ref="M38:N38"/>
    <mergeCell ref="R38:S38"/>
    <mergeCell ref="D40:I40"/>
    <mergeCell ref="R40:S40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D41:I41"/>
    <mergeCell ref="J41:K41"/>
    <mergeCell ref="L41:Q41"/>
    <mergeCell ref="R41:S41"/>
    <mergeCell ref="G54:H54"/>
    <mergeCell ref="L42:Q42"/>
    <mergeCell ref="C56:D56"/>
    <mergeCell ref="G56:H56"/>
    <mergeCell ref="I56:J56"/>
    <mergeCell ref="C40:C46"/>
    <mergeCell ref="D45:I45"/>
    <mergeCell ref="J45:K45"/>
    <mergeCell ref="L45:Q45"/>
    <mergeCell ref="D42:I42"/>
    <mergeCell ref="J42:K42"/>
    <mergeCell ref="J50:K50"/>
    <mergeCell ref="C47:C53"/>
    <mergeCell ref="D49:I49"/>
    <mergeCell ref="D50:I50"/>
    <mergeCell ref="D51:I51"/>
    <mergeCell ref="L49:Q49"/>
    <mergeCell ref="L40:Q40"/>
    <mergeCell ref="C55:D55"/>
    <mergeCell ref="G55:H55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R53:S53"/>
    <mergeCell ref="C54:D54"/>
    <mergeCell ref="I54:J54"/>
    <mergeCell ref="D48:I48"/>
    <mergeCell ref="J51:K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L45:Q45" location="Calc3" display="Fixed Overhead Absorption %" xr:uid="{00000000-0004-0000-0900-000002000000}"/>
    <hyperlink ref="D45:I45" location="Calc2" display="BMW Fixed Operations Sales as % of Total BMW Sales" xr:uid="{7DEF7CDD-9401-435C-B7CD-FC8DC8E5D2DB}"/>
    <hyperlink ref="L42:Q42" location="Calc1" display="BMW GPNVR as % of Avg. New BMW Selling Price" xr:uid="{C8553875-30DE-4012-89D9-7F5BB11CE496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13.7109375" style="135" customWidth="1"/>
    <col min="2" max="2" width="18.85546875" style="129" bestFit="1" customWidth="1"/>
    <col min="3" max="3" width="7.85546875" style="130" bestFit="1" customWidth="1"/>
    <col min="4" max="4" width="6.85546875" style="130" bestFit="1" customWidth="1"/>
    <col min="5" max="5" width="8" style="131" bestFit="1" customWidth="1"/>
    <col min="6" max="6" width="18" style="1031" bestFit="1" customWidth="1"/>
    <col min="7" max="8" width="15" style="1031" bestFit="1" customWidth="1"/>
    <col min="9" max="9" width="51.5703125" style="1032" bestFit="1" customWidth="1"/>
    <col min="10" max="10" width="11.85546875" style="1031" bestFit="1" customWidth="1"/>
    <col min="11" max="190" width="9.140625" style="1031"/>
    <col min="191" max="16384" width="9.140625" style="130"/>
  </cols>
  <sheetData>
    <row r="1" spans="1:190" s="112" customFormat="1" ht="12.75" x14ac:dyDescent="0.2">
      <c r="A1" s="110" t="s">
        <v>32</v>
      </c>
      <c r="B1" s="111" t="s">
        <v>83</v>
      </c>
      <c r="C1" s="112" t="s">
        <v>84</v>
      </c>
      <c r="D1" s="112" t="s">
        <v>85</v>
      </c>
      <c r="E1" s="113" t="s">
        <v>86</v>
      </c>
      <c r="F1" s="1029" t="s">
        <v>152</v>
      </c>
      <c r="G1" s="1029" t="s">
        <v>87</v>
      </c>
      <c r="H1" s="1029" t="s">
        <v>88</v>
      </c>
      <c r="I1" s="1029" t="s">
        <v>89</v>
      </c>
      <c r="J1" s="1030"/>
      <c r="K1" s="1029"/>
      <c r="L1" s="1029"/>
      <c r="M1" s="1029"/>
      <c r="N1" s="1029"/>
      <c r="O1" s="1029"/>
      <c r="P1" s="1029"/>
      <c r="Q1" s="1029"/>
      <c r="R1" s="1029"/>
      <c r="S1" s="1029"/>
      <c r="T1" s="1029"/>
      <c r="U1" s="1029"/>
      <c r="V1" s="1029"/>
      <c r="W1" s="1029"/>
      <c r="X1" s="1029"/>
      <c r="Y1" s="1029"/>
      <c r="Z1" s="1029"/>
      <c r="AA1" s="1029"/>
      <c r="AB1" s="1029"/>
      <c r="AC1" s="1029"/>
      <c r="AD1" s="1029"/>
      <c r="AE1" s="1029"/>
      <c r="AF1" s="1029"/>
      <c r="AG1" s="1029"/>
      <c r="AH1" s="1029"/>
      <c r="AI1" s="1029"/>
      <c r="AJ1" s="1029"/>
      <c r="AK1" s="1029"/>
      <c r="AL1" s="1029"/>
      <c r="AM1" s="1029"/>
      <c r="AN1" s="1029"/>
      <c r="AO1" s="1029"/>
      <c r="AP1" s="1029"/>
      <c r="AQ1" s="1029"/>
      <c r="AR1" s="1029"/>
      <c r="AS1" s="1029"/>
      <c r="AT1" s="1029"/>
      <c r="AU1" s="1029"/>
      <c r="AV1" s="1029"/>
      <c r="AW1" s="1029"/>
      <c r="AX1" s="1029"/>
      <c r="AY1" s="1029"/>
      <c r="AZ1" s="1029"/>
      <c r="BA1" s="1029"/>
      <c r="BB1" s="1029"/>
      <c r="BC1" s="1029"/>
      <c r="BD1" s="1029"/>
      <c r="BE1" s="1029"/>
      <c r="BF1" s="1029"/>
      <c r="BG1" s="1029"/>
      <c r="BH1" s="1029"/>
      <c r="BI1" s="1029"/>
      <c r="BJ1" s="1029"/>
      <c r="BK1" s="1029"/>
      <c r="BL1" s="1029"/>
      <c r="BM1" s="1029"/>
      <c r="BN1" s="1029"/>
      <c r="BO1" s="1029"/>
      <c r="BP1" s="1029"/>
      <c r="BQ1" s="1029"/>
      <c r="BR1" s="1029"/>
      <c r="BS1" s="1029"/>
      <c r="BT1" s="1029"/>
      <c r="BU1" s="1029"/>
      <c r="BV1" s="1029"/>
      <c r="BW1" s="1029"/>
      <c r="BX1" s="1029"/>
      <c r="BY1" s="1029"/>
      <c r="BZ1" s="1029"/>
      <c r="CA1" s="1029"/>
      <c r="CB1" s="1029"/>
      <c r="CC1" s="1029"/>
      <c r="CD1" s="1029"/>
      <c r="CE1" s="1029"/>
      <c r="CF1" s="1029"/>
      <c r="CG1" s="1029"/>
      <c r="CH1" s="1029"/>
      <c r="CI1" s="1029"/>
      <c r="CJ1" s="1029"/>
      <c r="CK1" s="1029"/>
      <c r="CL1" s="1029"/>
      <c r="CM1" s="1029"/>
      <c r="CN1" s="1029"/>
      <c r="CO1" s="1029"/>
      <c r="CP1" s="1029"/>
      <c r="CQ1" s="1029"/>
      <c r="CR1" s="1029"/>
      <c r="CS1" s="1029"/>
      <c r="CT1" s="1029"/>
      <c r="CU1" s="1029"/>
      <c r="CV1" s="1029"/>
      <c r="CW1" s="1029"/>
      <c r="CX1" s="1029"/>
      <c r="CY1" s="1029"/>
      <c r="CZ1" s="1029"/>
      <c r="DA1" s="1029"/>
      <c r="DB1" s="1029"/>
      <c r="DC1" s="1029"/>
      <c r="DD1" s="1029"/>
      <c r="DE1" s="1029"/>
      <c r="DF1" s="1029"/>
      <c r="DG1" s="1029"/>
      <c r="DH1" s="1029"/>
      <c r="DI1" s="1029"/>
      <c r="DJ1" s="1029"/>
      <c r="DK1" s="1029"/>
      <c r="DL1" s="1029"/>
      <c r="DM1" s="1029"/>
      <c r="DN1" s="1029"/>
      <c r="DO1" s="1029"/>
      <c r="DP1" s="1029"/>
      <c r="DQ1" s="1029"/>
      <c r="DR1" s="1029"/>
      <c r="DS1" s="1029"/>
      <c r="DT1" s="1029"/>
      <c r="DU1" s="1029"/>
      <c r="DV1" s="1029"/>
      <c r="DW1" s="1029"/>
      <c r="DX1" s="1029"/>
      <c r="DY1" s="1029"/>
      <c r="DZ1" s="1029"/>
      <c r="EA1" s="1029"/>
      <c r="EB1" s="1029"/>
      <c r="EC1" s="1029"/>
      <c r="ED1" s="1029"/>
      <c r="EE1" s="1029"/>
      <c r="EF1" s="1029"/>
      <c r="EG1" s="1029"/>
      <c r="EH1" s="1029"/>
      <c r="EI1" s="1029"/>
      <c r="EJ1" s="1029"/>
      <c r="EK1" s="1029"/>
      <c r="EL1" s="1029"/>
      <c r="EM1" s="1029"/>
      <c r="EN1" s="1029"/>
      <c r="EO1" s="1029"/>
      <c r="EP1" s="1029"/>
      <c r="EQ1" s="1029"/>
      <c r="ER1" s="1029"/>
      <c r="ES1" s="1029"/>
      <c r="ET1" s="1029"/>
      <c r="EU1" s="1029"/>
      <c r="EV1" s="1029"/>
      <c r="EW1" s="1029"/>
      <c r="EX1" s="1029"/>
      <c r="EY1" s="1029"/>
      <c r="EZ1" s="1029"/>
      <c r="FA1" s="1029"/>
      <c r="FB1" s="1029"/>
      <c r="FC1" s="1029"/>
      <c r="FD1" s="1029"/>
      <c r="FE1" s="1029"/>
      <c r="FF1" s="1029"/>
      <c r="FG1" s="1029"/>
      <c r="FH1" s="1029"/>
      <c r="FI1" s="1029"/>
      <c r="FJ1" s="1029"/>
      <c r="FK1" s="1029"/>
      <c r="FL1" s="1029"/>
      <c r="FM1" s="1029"/>
      <c r="FN1" s="1029"/>
      <c r="FO1" s="1029"/>
      <c r="FP1" s="1029"/>
      <c r="FQ1" s="1029"/>
      <c r="FR1" s="1029"/>
      <c r="FS1" s="1029"/>
      <c r="FT1" s="1029"/>
      <c r="FU1" s="1029"/>
      <c r="FV1" s="1029"/>
      <c r="FW1" s="1029"/>
      <c r="FX1" s="1029"/>
      <c r="FY1" s="1029"/>
      <c r="FZ1" s="1029"/>
      <c r="GA1" s="1029"/>
      <c r="GB1" s="1029"/>
      <c r="GC1" s="1029"/>
      <c r="GD1" s="1029"/>
      <c r="GE1" s="1029"/>
      <c r="GF1" s="1029"/>
      <c r="GG1" s="1029"/>
      <c r="GH1" s="1029"/>
    </row>
    <row r="2" spans="1:190" x14ac:dyDescent="0.25">
      <c r="A2" s="1033">
        <v>1000218</v>
      </c>
      <c r="B2" s="129">
        <v>1515</v>
      </c>
      <c r="C2" s="130" t="s">
        <v>949</v>
      </c>
      <c r="D2" s="130">
        <v>16</v>
      </c>
      <c r="E2" s="130" t="s">
        <v>949</v>
      </c>
      <c r="F2" s="1031">
        <v>0</v>
      </c>
      <c r="G2" s="1031">
        <v>1515</v>
      </c>
      <c r="H2" s="1031">
        <v>1515</v>
      </c>
      <c r="I2" s="1032" t="s">
        <v>950</v>
      </c>
    </row>
    <row r="3" spans="1:190" x14ac:dyDescent="0.25">
      <c r="A3" s="1033">
        <v>1000220</v>
      </c>
      <c r="B3" s="129">
        <v>1219</v>
      </c>
      <c r="C3" s="130" t="s">
        <v>951</v>
      </c>
      <c r="D3" s="130">
        <v>16</v>
      </c>
      <c r="E3" s="130" t="s">
        <v>951</v>
      </c>
      <c r="F3" s="1031">
        <v>0</v>
      </c>
      <c r="G3" s="1031">
        <v>1219</v>
      </c>
      <c r="H3" s="1031">
        <v>1219</v>
      </c>
      <c r="I3" s="1032" t="s">
        <v>952</v>
      </c>
    </row>
    <row r="4" spans="1:190" x14ac:dyDescent="0.25">
      <c r="A4" s="1033">
        <v>1000222</v>
      </c>
      <c r="B4" s="129">
        <v>0</v>
      </c>
      <c r="E4" s="130"/>
    </row>
    <row r="5" spans="1:190" x14ac:dyDescent="0.25">
      <c r="A5" s="1033">
        <v>1000224</v>
      </c>
      <c r="B5" s="129">
        <v>0</v>
      </c>
      <c r="E5" s="130"/>
    </row>
    <row r="6" spans="1:190" x14ac:dyDescent="0.25">
      <c r="A6" s="1033">
        <v>1000318</v>
      </c>
      <c r="B6" s="129">
        <v>30471</v>
      </c>
      <c r="C6" s="130" t="s">
        <v>953</v>
      </c>
      <c r="D6" s="130">
        <v>16</v>
      </c>
      <c r="E6" s="130" t="s">
        <v>953</v>
      </c>
      <c r="F6" s="1031">
        <v>0</v>
      </c>
      <c r="G6" s="1031">
        <v>30471</v>
      </c>
      <c r="H6" s="1031">
        <v>30471</v>
      </c>
      <c r="I6" s="1032" t="s">
        <v>954</v>
      </c>
    </row>
    <row r="7" spans="1:190" x14ac:dyDescent="0.25">
      <c r="A7" s="1033">
        <v>1000320</v>
      </c>
      <c r="B7" s="129">
        <v>5153</v>
      </c>
      <c r="C7" s="130" t="s">
        <v>955</v>
      </c>
      <c r="D7" s="130">
        <v>16</v>
      </c>
      <c r="E7" s="130" t="s">
        <v>955</v>
      </c>
      <c r="F7" s="1031">
        <v>0</v>
      </c>
      <c r="G7" s="1031">
        <v>5153</v>
      </c>
      <c r="H7" s="1031">
        <v>5153</v>
      </c>
      <c r="I7" s="1032" t="s">
        <v>956</v>
      </c>
    </row>
    <row r="8" spans="1:190" x14ac:dyDescent="0.25">
      <c r="A8" s="1033">
        <v>1000322</v>
      </c>
      <c r="B8" s="129">
        <v>2152</v>
      </c>
      <c r="C8" s="130" t="s">
        <v>957</v>
      </c>
      <c r="D8" s="130">
        <v>16</v>
      </c>
      <c r="E8" s="130" t="s">
        <v>957</v>
      </c>
      <c r="F8" s="1031">
        <v>0</v>
      </c>
      <c r="G8" s="1031">
        <v>2152</v>
      </c>
      <c r="H8" s="1031">
        <v>2152</v>
      </c>
      <c r="I8" s="1032" t="s">
        <v>958</v>
      </c>
    </row>
    <row r="9" spans="1:190" x14ac:dyDescent="0.25">
      <c r="A9" s="1033">
        <v>1000324</v>
      </c>
      <c r="B9" s="129">
        <v>6666</v>
      </c>
      <c r="C9" s="130" t="s">
        <v>959</v>
      </c>
      <c r="D9" s="130">
        <v>16</v>
      </c>
      <c r="E9" s="130" t="s">
        <v>959</v>
      </c>
      <c r="F9" s="1031">
        <v>0</v>
      </c>
      <c r="G9" s="1031">
        <v>6666</v>
      </c>
      <c r="H9" s="1031">
        <v>6666</v>
      </c>
      <c r="I9" s="1032" t="s">
        <v>960</v>
      </c>
    </row>
    <row r="10" spans="1:190" x14ac:dyDescent="0.25">
      <c r="A10" s="1033">
        <v>1000418</v>
      </c>
      <c r="B10" s="129">
        <v>1768</v>
      </c>
      <c r="C10" s="130" t="s">
        <v>961</v>
      </c>
      <c r="D10" s="130">
        <v>16</v>
      </c>
      <c r="E10" s="130" t="s">
        <v>961</v>
      </c>
      <c r="F10" s="1031">
        <v>0</v>
      </c>
      <c r="G10" s="1031">
        <v>1768</v>
      </c>
      <c r="H10" s="1031">
        <v>1768</v>
      </c>
      <c r="I10" s="1032" t="s">
        <v>962</v>
      </c>
    </row>
    <row r="11" spans="1:190" x14ac:dyDescent="0.25">
      <c r="A11" s="1033">
        <v>1000420</v>
      </c>
      <c r="B11" s="129">
        <v>0</v>
      </c>
      <c r="E11" s="130"/>
    </row>
    <row r="12" spans="1:190" x14ac:dyDescent="0.25">
      <c r="A12" s="1033">
        <v>1000422</v>
      </c>
      <c r="B12" s="129">
        <v>276</v>
      </c>
      <c r="C12" s="130" t="s">
        <v>963</v>
      </c>
      <c r="D12" s="130">
        <v>16</v>
      </c>
      <c r="E12" s="130" t="s">
        <v>963</v>
      </c>
      <c r="F12" s="1031">
        <v>0</v>
      </c>
      <c r="G12" s="1031">
        <v>276</v>
      </c>
      <c r="H12" s="1031">
        <v>276</v>
      </c>
      <c r="I12" s="1032" t="s">
        <v>964</v>
      </c>
    </row>
    <row r="13" spans="1:190" x14ac:dyDescent="0.25">
      <c r="A13" s="1033">
        <v>1000424</v>
      </c>
      <c r="B13" s="129">
        <v>0</v>
      </c>
      <c r="E13" s="130"/>
    </row>
    <row r="14" spans="1:190" x14ac:dyDescent="0.25">
      <c r="A14" s="1033">
        <v>1000618</v>
      </c>
      <c r="B14" s="129">
        <v>31000</v>
      </c>
      <c r="C14" s="130" t="s">
        <v>965</v>
      </c>
      <c r="D14" s="130">
        <v>16</v>
      </c>
      <c r="E14" s="130" t="s">
        <v>965</v>
      </c>
      <c r="F14" s="1031">
        <v>0</v>
      </c>
      <c r="G14" s="1031">
        <v>31000</v>
      </c>
      <c r="H14" s="1031">
        <v>31000</v>
      </c>
      <c r="I14" s="1032" t="s">
        <v>966</v>
      </c>
    </row>
    <row r="15" spans="1:190" x14ac:dyDescent="0.25">
      <c r="A15" s="1033">
        <v>1000619</v>
      </c>
      <c r="B15" s="129">
        <v>1</v>
      </c>
      <c r="C15" s="130" t="s">
        <v>967</v>
      </c>
      <c r="D15" s="130">
        <v>16</v>
      </c>
      <c r="E15" s="130" t="s">
        <v>967</v>
      </c>
      <c r="F15" s="1031">
        <v>0</v>
      </c>
      <c r="G15" s="1031">
        <v>0.01</v>
      </c>
      <c r="H15" s="1031">
        <v>0.01</v>
      </c>
      <c r="I15" s="1032" t="s">
        <v>968</v>
      </c>
    </row>
    <row r="16" spans="1:190" x14ac:dyDescent="0.25">
      <c r="A16" s="1033">
        <v>1000620</v>
      </c>
      <c r="B16" s="129">
        <v>48946</v>
      </c>
      <c r="C16" s="130" t="s">
        <v>969</v>
      </c>
      <c r="D16" s="130">
        <v>16</v>
      </c>
      <c r="E16" s="130" t="s">
        <v>969</v>
      </c>
      <c r="F16" s="1031">
        <v>0</v>
      </c>
      <c r="G16" s="1031">
        <v>48946</v>
      </c>
      <c r="H16" s="1031">
        <v>48946</v>
      </c>
      <c r="I16" s="1032" t="s">
        <v>970</v>
      </c>
    </row>
    <row r="17" spans="1:9" x14ac:dyDescent="0.25">
      <c r="A17" s="1033">
        <v>1000621</v>
      </c>
      <c r="B17" s="129">
        <v>1</v>
      </c>
      <c r="C17" s="130" t="s">
        <v>971</v>
      </c>
      <c r="D17" s="130">
        <v>16</v>
      </c>
      <c r="E17" s="130" t="s">
        <v>971</v>
      </c>
      <c r="F17" s="1031">
        <v>0</v>
      </c>
      <c r="G17" s="1031">
        <v>0.01</v>
      </c>
      <c r="H17" s="1031">
        <v>0.01</v>
      </c>
      <c r="I17" s="1032" t="s">
        <v>972</v>
      </c>
    </row>
    <row r="18" spans="1:9" x14ac:dyDescent="0.25">
      <c r="A18" s="1033">
        <v>1000622</v>
      </c>
      <c r="B18" s="129">
        <v>80902</v>
      </c>
      <c r="C18" s="130" t="s">
        <v>973</v>
      </c>
      <c r="D18" s="130">
        <v>16</v>
      </c>
      <c r="E18" s="130" t="s">
        <v>973</v>
      </c>
      <c r="F18" s="1031">
        <v>0</v>
      </c>
      <c r="G18" s="1031">
        <v>80902</v>
      </c>
      <c r="H18" s="1031">
        <v>80902</v>
      </c>
      <c r="I18" s="1032" t="s">
        <v>974</v>
      </c>
    </row>
    <row r="19" spans="1:9" x14ac:dyDescent="0.25">
      <c r="A19" s="1033">
        <v>1000623</v>
      </c>
      <c r="B19" s="129">
        <v>2</v>
      </c>
      <c r="C19" s="130" t="s">
        <v>975</v>
      </c>
      <c r="D19" s="130">
        <v>16</v>
      </c>
      <c r="E19" s="130" t="s">
        <v>975</v>
      </c>
      <c r="F19" s="1031">
        <v>0</v>
      </c>
      <c r="G19" s="1031">
        <v>0.02</v>
      </c>
      <c r="H19" s="1031">
        <v>0.02</v>
      </c>
      <c r="I19" s="1032" t="s">
        <v>976</v>
      </c>
    </row>
    <row r="20" spans="1:9" x14ac:dyDescent="0.25">
      <c r="A20" s="1033">
        <v>1000624</v>
      </c>
      <c r="B20" s="129">
        <v>0</v>
      </c>
      <c r="E20" s="130"/>
    </row>
    <row r="21" spans="1:9" x14ac:dyDescent="0.25">
      <c r="A21" s="1033">
        <v>1000625</v>
      </c>
      <c r="B21" s="129">
        <v>0</v>
      </c>
      <c r="E21" s="130"/>
    </row>
    <row r="22" spans="1:9" x14ac:dyDescent="0.25">
      <c r="A22" s="1033">
        <v>1000718</v>
      </c>
      <c r="B22" s="129">
        <v>35685</v>
      </c>
      <c r="C22" s="130" t="s">
        <v>977</v>
      </c>
      <c r="D22" s="130">
        <v>16</v>
      </c>
      <c r="E22" s="130" t="s">
        <v>977</v>
      </c>
      <c r="F22" s="1031">
        <v>0</v>
      </c>
      <c r="G22" s="1031">
        <v>35685</v>
      </c>
      <c r="H22" s="1031">
        <v>35685</v>
      </c>
      <c r="I22" s="1032" t="s">
        <v>978</v>
      </c>
    </row>
    <row r="23" spans="1:9" x14ac:dyDescent="0.25">
      <c r="A23" s="1033">
        <v>1000719</v>
      </c>
      <c r="B23" s="129">
        <v>1</v>
      </c>
      <c r="C23" s="130" t="s">
        <v>979</v>
      </c>
      <c r="D23" s="130">
        <v>16</v>
      </c>
      <c r="E23" s="130" t="s">
        <v>979</v>
      </c>
      <c r="F23" s="1031">
        <v>0</v>
      </c>
      <c r="G23" s="1031">
        <v>0.01</v>
      </c>
      <c r="H23" s="1031">
        <v>0.01</v>
      </c>
      <c r="I23" s="1032" t="s">
        <v>980</v>
      </c>
    </row>
    <row r="24" spans="1:9" x14ac:dyDescent="0.25">
      <c r="A24" s="1033">
        <v>1000720</v>
      </c>
      <c r="B24" s="129">
        <v>107495</v>
      </c>
      <c r="C24" s="130" t="s">
        <v>981</v>
      </c>
      <c r="D24" s="130">
        <v>16</v>
      </c>
      <c r="E24" s="130" t="s">
        <v>981</v>
      </c>
      <c r="F24" s="1031">
        <v>0</v>
      </c>
      <c r="G24" s="1031">
        <v>107495</v>
      </c>
      <c r="H24" s="1031">
        <v>107495</v>
      </c>
      <c r="I24" s="1032" t="s">
        <v>982</v>
      </c>
    </row>
    <row r="25" spans="1:9" x14ac:dyDescent="0.25">
      <c r="A25" s="1033">
        <v>1000721</v>
      </c>
      <c r="B25" s="129">
        <v>2</v>
      </c>
      <c r="C25" s="130" t="s">
        <v>983</v>
      </c>
      <c r="D25" s="130">
        <v>16</v>
      </c>
      <c r="E25" s="130" t="s">
        <v>983</v>
      </c>
      <c r="F25" s="1031">
        <v>0</v>
      </c>
      <c r="G25" s="1031">
        <v>0.02</v>
      </c>
      <c r="H25" s="1031">
        <v>0.02</v>
      </c>
      <c r="I25" s="1032" t="s">
        <v>984</v>
      </c>
    </row>
    <row r="26" spans="1:9" x14ac:dyDescent="0.25">
      <c r="A26" s="1033">
        <v>1000722</v>
      </c>
      <c r="B26" s="129">
        <v>38828</v>
      </c>
      <c r="C26" s="130" t="s">
        <v>985</v>
      </c>
      <c r="D26" s="130">
        <v>16</v>
      </c>
      <c r="E26" s="130" t="s">
        <v>985</v>
      </c>
      <c r="F26" s="1031">
        <v>0</v>
      </c>
      <c r="G26" s="1031">
        <v>38828</v>
      </c>
      <c r="H26" s="1031">
        <v>38828</v>
      </c>
      <c r="I26" s="1032" t="s">
        <v>986</v>
      </c>
    </row>
    <row r="27" spans="1:9" x14ac:dyDescent="0.25">
      <c r="A27" s="1033">
        <v>1000723</v>
      </c>
      <c r="B27" s="129">
        <v>1</v>
      </c>
      <c r="C27" s="130" t="s">
        <v>987</v>
      </c>
      <c r="D27" s="130">
        <v>16</v>
      </c>
      <c r="E27" s="130" t="s">
        <v>987</v>
      </c>
      <c r="F27" s="1031">
        <v>0</v>
      </c>
      <c r="G27" s="1031">
        <v>0.01</v>
      </c>
      <c r="H27" s="1031">
        <v>0.01</v>
      </c>
      <c r="I27" s="1032" t="s">
        <v>988</v>
      </c>
    </row>
    <row r="28" spans="1:9" x14ac:dyDescent="0.25">
      <c r="A28" s="1033">
        <v>1000724</v>
      </c>
      <c r="B28" s="129">
        <v>0</v>
      </c>
      <c r="E28" s="130"/>
    </row>
    <row r="29" spans="1:9" x14ac:dyDescent="0.25">
      <c r="A29" s="1033">
        <v>1000725</v>
      </c>
      <c r="B29" s="129">
        <v>0</v>
      </c>
      <c r="E29" s="130"/>
    </row>
    <row r="30" spans="1:9" x14ac:dyDescent="0.25">
      <c r="A30" s="1033">
        <v>1000818</v>
      </c>
      <c r="B30" s="129">
        <v>0</v>
      </c>
      <c r="E30" s="130"/>
    </row>
    <row r="31" spans="1:9" x14ac:dyDescent="0.25">
      <c r="A31" s="1033">
        <v>1000819</v>
      </c>
      <c r="B31" s="129">
        <v>0</v>
      </c>
      <c r="E31" s="130"/>
    </row>
    <row r="32" spans="1:9" x14ac:dyDescent="0.25">
      <c r="A32" s="1033">
        <v>1000820</v>
      </c>
      <c r="B32" s="129">
        <v>0</v>
      </c>
      <c r="E32" s="130"/>
    </row>
    <row r="33" spans="1:9" x14ac:dyDescent="0.25">
      <c r="A33" s="1033">
        <v>1000821</v>
      </c>
      <c r="B33" s="129">
        <v>0</v>
      </c>
      <c r="E33" s="130"/>
    </row>
    <row r="34" spans="1:9" x14ac:dyDescent="0.25">
      <c r="A34" s="1033">
        <v>1000822</v>
      </c>
      <c r="B34" s="129">
        <v>0</v>
      </c>
      <c r="E34" s="130"/>
    </row>
    <row r="35" spans="1:9" x14ac:dyDescent="0.25">
      <c r="A35" s="1033">
        <v>1000823</v>
      </c>
      <c r="B35" s="129">
        <v>0</v>
      </c>
      <c r="E35" s="130"/>
    </row>
    <row r="36" spans="1:9" x14ac:dyDescent="0.25">
      <c r="A36" s="1033">
        <v>1000824</v>
      </c>
      <c r="B36" s="129">
        <v>0</v>
      </c>
      <c r="E36" s="130"/>
    </row>
    <row r="37" spans="1:9" x14ac:dyDescent="0.25">
      <c r="A37" s="1033">
        <v>1000825</v>
      </c>
      <c r="B37" s="129">
        <v>0</v>
      </c>
      <c r="E37" s="130"/>
    </row>
    <row r="38" spans="1:9" x14ac:dyDescent="0.25">
      <c r="A38" s="1033">
        <v>1000918</v>
      </c>
      <c r="B38" s="129">
        <v>82113</v>
      </c>
      <c r="C38" s="130" t="s">
        <v>989</v>
      </c>
      <c r="D38" s="130">
        <v>16</v>
      </c>
      <c r="E38" s="130" t="s">
        <v>989</v>
      </c>
      <c r="F38" s="1031">
        <v>0</v>
      </c>
      <c r="G38" s="1031">
        <v>82113</v>
      </c>
      <c r="H38" s="1031">
        <v>82113</v>
      </c>
      <c r="I38" s="1032" t="s">
        <v>990</v>
      </c>
    </row>
    <row r="39" spans="1:9" x14ac:dyDescent="0.25">
      <c r="A39" s="1033">
        <v>1000919</v>
      </c>
      <c r="B39" s="129">
        <v>3</v>
      </c>
      <c r="C39" s="130" t="s">
        <v>991</v>
      </c>
      <c r="D39" s="130">
        <v>16</v>
      </c>
      <c r="E39" s="130" t="s">
        <v>991</v>
      </c>
      <c r="F39" s="1031">
        <v>0</v>
      </c>
      <c r="G39" s="1031">
        <v>0.03</v>
      </c>
      <c r="H39" s="1031">
        <v>0.03</v>
      </c>
      <c r="I39" s="1032" t="s">
        <v>992</v>
      </c>
    </row>
    <row r="40" spans="1:9" x14ac:dyDescent="0.25">
      <c r="A40" s="1033">
        <v>1000920</v>
      </c>
      <c r="B40" s="129">
        <v>58360</v>
      </c>
      <c r="C40" s="130" t="s">
        <v>993</v>
      </c>
      <c r="D40" s="130">
        <v>16</v>
      </c>
      <c r="E40" s="130" t="s">
        <v>993</v>
      </c>
      <c r="F40" s="1031">
        <v>0</v>
      </c>
      <c r="G40" s="1031">
        <v>58360</v>
      </c>
      <c r="H40" s="1031">
        <v>58360</v>
      </c>
      <c r="I40" s="1032" t="s">
        <v>994</v>
      </c>
    </row>
    <row r="41" spans="1:9" x14ac:dyDescent="0.25">
      <c r="A41" s="1033">
        <v>1000921</v>
      </c>
      <c r="B41" s="129">
        <v>2</v>
      </c>
      <c r="C41" s="130" t="s">
        <v>995</v>
      </c>
      <c r="D41" s="130">
        <v>16</v>
      </c>
      <c r="E41" s="130" t="s">
        <v>995</v>
      </c>
      <c r="F41" s="1031">
        <v>0</v>
      </c>
      <c r="G41" s="1031">
        <v>0.02</v>
      </c>
      <c r="H41" s="1031">
        <v>0.02</v>
      </c>
      <c r="I41" s="1032" t="s">
        <v>996</v>
      </c>
    </row>
    <row r="42" spans="1:9" x14ac:dyDescent="0.25">
      <c r="A42" s="1033">
        <v>1000922</v>
      </c>
      <c r="B42" s="129">
        <v>74008</v>
      </c>
      <c r="C42" s="130" t="s">
        <v>997</v>
      </c>
      <c r="D42" s="130">
        <v>16</v>
      </c>
      <c r="E42" s="130" t="s">
        <v>997</v>
      </c>
      <c r="F42" s="1031">
        <v>0</v>
      </c>
      <c r="G42" s="1031">
        <v>74008</v>
      </c>
      <c r="H42" s="1031">
        <v>74008</v>
      </c>
      <c r="I42" s="1032" t="s">
        <v>998</v>
      </c>
    </row>
    <row r="43" spans="1:9" x14ac:dyDescent="0.25">
      <c r="A43" s="1033">
        <v>1000923</v>
      </c>
      <c r="B43" s="129">
        <v>2</v>
      </c>
      <c r="C43" s="130" t="s">
        <v>999</v>
      </c>
      <c r="D43" s="130">
        <v>16</v>
      </c>
      <c r="E43" s="130" t="s">
        <v>999</v>
      </c>
      <c r="F43" s="1031">
        <v>0</v>
      </c>
      <c r="G43" s="1031">
        <v>0.02</v>
      </c>
      <c r="H43" s="1031">
        <v>0.02</v>
      </c>
      <c r="I43" s="1032" t="s">
        <v>1000</v>
      </c>
    </row>
    <row r="44" spans="1:9" x14ac:dyDescent="0.25">
      <c r="A44" s="1033">
        <v>1000924</v>
      </c>
      <c r="B44" s="129">
        <v>67128</v>
      </c>
      <c r="C44" s="130" t="s">
        <v>1001</v>
      </c>
      <c r="D44" s="130">
        <v>16</v>
      </c>
      <c r="E44" s="130" t="s">
        <v>1001</v>
      </c>
      <c r="F44" s="1031">
        <v>0</v>
      </c>
      <c r="G44" s="1031">
        <v>67128</v>
      </c>
      <c r="H44" s="1031">
        <v>67128</v>
      </c>
      <c r="I44" s="1032" t="s">
        <v>1002</v>
      </c>
    </row>
    <row r="45" spans="1:9" x14ac:dyDescent="0.25">
      <c r="A45" s="1033">
        <v>1000925</v>
      </c>
      <c r="B45" s="129">
        <v>2</v>
      </c>
      <c r="C45" s="130" t="s">
        <v>1003</v>
      </c>
      <c r="D45" s="130">
        <v>16</v>
      </c>
      <c r="E45" s="130" t="s">
        <v>1003</v>
      </c>
      <c r="F45" s="1031">
        <v>0</v>
      </c>
      <c r="G45" s="1031">
        <v>0.02</v>
      </c>
      <c r="H45" s="1031">
        <v>0.02</v>
      </c>
      <c r="I45" s="1032" t="s">
        <v>1004</v>
      </c>
    </row>
    <row r="46" spans="1:9" x14ac:dyDescent="0.25">
      <c r="A46" s="1033">
        <v>1002004</v>
      </c>
      <c r="B46" s="129">
        <v>18995</v>
      </c>
      <c r="C46" s="130" t="s">
        <v>1005</v>
      </c>
      <c r="D46" s="130">
        <v>16</v>
      </c>
      <c r="E46" s="130" t="s">
        <v>1005</v>
      </c>
      <c r="F46" s="1031">
        <v>0</v>
      </c>
      <c r="G46" s="1031">
        <v>189.95</v>
      </c>
      <c r="H46" s="1031">
        <v>189.95</v>
      </c>
      <c r="I46" s="1032" t="s">
        <v>1006</v>
      </c>
    </row>
    <row r="47" spans="1:9" x14ac:dyDescent="0.25">
      <c r="A47" s="1033">
        <v>1002006</v>
      </c>
      <c r="B47" s="129">
        <v>0</v>
      </c>
      <c r="E47" s="130"/>
    </row>
    <row r="48" spans="1:9" x14ac:dyDescent="0.25">
      <c r="A48" s="1033">
        <v>1002010</v>
      </c>
      <c r="B48" s="129">
        <v>0</v>
      </c>
      <c r="E48" s="130"/>
    </row>
    <row r="49" spans="1:9" x14ac:dyDescent="0.25">
      <c r="A49" s="1033">
        <v>1002012</v>
      </c>
      <c r="B49" s="129">
        <v>0</v>
      </c>
      <c r="E49" s="130"/>
    </row>
    <row r="50" spans="1:9" x14ac:dyDescent="0.25">
      <c r="A50" s="1033">
        <v>1002104</v>
      </c>
      <c r="B50" s="129">
        <v>14034</v>
      </c>
      <c r="C50" s="130" t="s">
        <v>1007</v>
      </c>
      <c r="D50" s="130">
        <v>16</v>
      </c>
      <c r="E50" s="130" t="s">
        <v>1007</v>
      </c>
      <c r="F50" s="1031">
        <v>0</v>
      </c>
      <c r="G50" s="1031">
        <v>140.34</v>
      </c>
      <c r="H50" s="1031">
        <v>140.34</v>
      </c>
      <c r="I50" s="1032" t="s">
        <v>1008</v>
      </c>
    </row>
    <row r="51" spans="1:9" x14ac:dyDescent="0.25">
      <c r="A51" s="1033">
        <v>1002106</v>
      </c>
      <c r="B51" s="129">
        <v>0</v>
      </c>
      <c r="E51" s="130"/>
    </row>
    <row r="52" spans="1:9" x14ac:dyDescent="0.25">
      <c r="A52" s="1033">
        <v>1002110</v>
      </c>
      <c r="B52" s="129">
        <v>0</v>
      </c>
      <c r="E52" s="130"/>
    </row>
    <row r="53" spans="1:9" x14ac:dyDescent="0.25">
      <c r="A53" s="1033">
        <v>1002112</v>
      </c>
      <c r="B53" s="129">
        <v>0</v>
      </c>
      <c r="E53" s="130"/>
    </row>
    <row r="54" spans="1:9" x14ac:dyDescent="0.25">
      <c r="A54" s="1033">
        <v>1002204</v>
      </c>
      <c r="B54" s="129">
        <v>18995</v>
      </c>
      <c r="C54" s="130" t="s">
        <v>1009</v>
      </c>
      <c r="D54" s="130">
        <v>16</v>
      </c>
      <c r="E54" s="130" t="s">
        <v>1009</v>
      </c>
      <c r="F54" s="1031">
        <v>0</v>
      </c>
      <c r="G54" s="1031">
        <v>189.95</v>
      </c>
      <c r="H54" s="1031">
        <v>189.95</v>
      </c>
      <c r="I54" s="1032" t="s">
        <v>1010</v>
      </c>
    </row>
    <row r="55" spans="1:9" x14ac:dyDescent="0.25">
      <c r="A55" s="1033">
        <v>1002206</v>
      </c>
      <c r="B55" s="129">
        <v>0</v>
      </c>
      <c r="E55" s="130"/>
    </row>
    <row r="56" spans="1:9" x14ac:dyDescent="0.25">
      <c r="A56" s="1033">
        <v>1002210</v>
      </c>
      <c r="B56" s="129">
        <v>0</v>
      </c>
      <c r="E56" s="130"/>
    </row>
    <row r="57" spans="1:9" x14ac:dyDescent="0.25">
      <c r="A57" s="1033">
        <v>1002212</v>
      </c>
      <c r="B57" s="129">
        <v>0</v>
      </c>
      <c r="E57" s="130"/>
    </row>
    <row r="58" spans="1:9" x14ac:dyDescent="0.25">
      <c r="A58" s="1033">
        <v>1002304</v>
      </c>
      <c r="B58" s="129">
        <v>8000</v>
      </c>
      <c r="C58" s="130" t="s">
        <v>1011</v>
      </c>
      <c r="D58" s="130">
        <v>16</v>
      </c>
      <c r="E58" s="130" t="s">
        <v>1011</v>
      </c>
      <c r="F58" s="1031">
        <v>0</v>
      </c>
      <c r="G58" s="1031">
        <v>80</v>
      </c>
      <c r="H58" s="1031">
        <v>80</v>
      </c>
      <c r="I58" s="1032" t="s">
        <v>1012</v>
      </c>
    </row>
    <row r="59" spans="1:9" x14ac:dyDescent="0.25">
      <c r="A59" s="1033">
        <v>1002306</v>
      </c>
      <c r="B59" s="129">
        <v>0</v>
      </c>
      <c r="E59" s="130"/>
    </row>
    <row r="60" spans="1:9" x14ac:dyDescent="0.25">
      <c r="A60" s="1033">
        <v>1002403</v>
      </c>
      <c r="B60" s="129">
        <v>8</v>
      </c>
      <c r="C60" s="130" t="s">
        <v>1013</v>
      </c>
      <c r="D60" s="130">
        <v>16</v>
      </c>
      <c r="E60" s="130" t="s">
        <v>1013</v>
      </c>
      <c r="F60" s="1031">
        <v>0</v>
      </c>
      <c r="G60" s="1031">
        <v>0.08</v>
      </c>
      <c r="H60" s="1031">
        <v>0.08</v>
      </c>
      <c r="I60" s="1032" t="s">
        <v>1014</v>
      </c>
    </row>
    <row r="61" spans="1:9" x14ac:dyDescent="0.25">
      <c r="A61" s="1033">
        <v>1002408</v>
      </c>
      <c r="B61" s="129">
        <v>4</v>
      </c>
      <c r="C61" s="130" t="s">
        <v>1015</v>
      </c>
      <c r="D61" s="130">
        <v>16</v>
      </c>
      <c r="E61" s="130" t="s">
        <v>1015</v>
      </c>
      <c r="F61" s="1031">
        <v>0</v>
      </c>
      <c r="G61" s="1031">
        <v>0.04</v>
      </c>
      <c r="H61" s="1031">
        <v>0.04</v>
      </c>
      <c r="I61" s="1032" t="s">
        <v>1016</v>
      </c>
    </row>
    <row r="62" spans="1:9" x14ac:dyDescent="0.25">
      <c r="A62" s="1033">
        <v>1002414</v>
      </c>
      <c r="B62" s="129">
        <v>21</v>
      </c>
      <c r="C62" s="130">
        <v>179</v>
      </c>
      <c r="D62" s="130">
        <v>16</v>
      </c>
      <c r="E62" s="130">
        <v>179</v>
      </c>
      <c r="F62" s="1031">
        <v>0</v>
      </c>
      <c r="G62" s="1031">
        <v>0.21</v>
      </c>
      <c r="H62" s="1031">
        <v>0.21</v>
      </c>
      <c r="I62" s="1032" t="s">
        <v>1017</v>
      </c>
    </row>
    <row r="63" spans="1:9" x14ac:dyDescent="0.25">
      <c r="A63" s="1033">
        <v>1002620</v>
      </c>
      <c r="B63" s="129">
        <v>100</v>
      </c>
      <c r="C63" s="130" t="s">
        <v>1018</v>
      </c>
      <c r="D63" s="130">
        <v>16</v>
      </c>
      <c r="E63" s="130" t="s">
        <v>1018</v>
      </c>
      <c r="F63" s="1031">
        <v>0</v>
      </c>
      <c r="G63" s="1031">
        <v>1</v>
      </c>
      <c r="H63" s="1031">
        <v>1</v>
      </c>
      <c r="I63" s="1032" t="s">
        <v>1019</v>
      </c>
    </row>
    <row r="64" spans="1:9" x14ac:dyDescent="0.25">
      <c r="A64" s="1033">
        <v>1002622</v>
      </c>
      <c r="B64" s="129">
        <v>100</v>
      </c>
      <c r="E64" s="130"/>
    </row>
    <row r="65" spans="1:9" x14ac:dyDescent="0.25">
      <c r="A65" s="1033">
        <v>1002708</v>
      </c>
      <c r="B65" s="129">
        <v>50</v>
      </c>
      <c r="C65" s="130" t="s">
        <v>1020</v>
      </c>
      <c r="D65" s="130">
        <v>16</v>
      </c>
      <c r="E65" s="130" t="s">
        <v>1020</v>
      </c>
      <c r="F65" s="1031">
        <v>0</v>
      </c>
      <c r="G65" s="1031">
        <v>0.5</v>
      </c>
      <c r="H65" s="1031">
        <v>0.5</v>
      </c>
      <c r="I65" s="1032" t="s">
        <v>1021</v>
      </c>
    </row>
    <row r="66" spans="1:9" x14ac:dyDescent="0.25">
      <c r="A66" s="1033">
        <v>1002710</v>
      </c>
      <c r="B66" s="129">
        <v>0</v>
      </c>
      <c r="E66" s="130"/>
    </row>
    <row r="67" spans="1:9" x14ac:dyDescent="0.25">
      <c r="A67" s="1033">
        <v>1002712</v>
      </c>
      <c r="B67" s="129">
        <v>50</v>
      </c>
      <c r="C67" s="130" t="s">
        <v>1022</v>
      </c>
      <c r="D67" s="130">
        <v>16</v>
      </c>
      <c r="E67" s="130" t="s">
        <v>1022</v>
      </c>
      <c r="F67" s="1031">
        <v>0</v>
      </c>
      <c r="G67" s="1031">
        <v>0.5</v>
      </c>
      <c r="H67" s="1031">
        <v>0.5</v>
      </c>
      <c r="I67" s="1032" t="s">
        <v>1023</v>
      </c>
    </row>
    <row r="68" spans="1:9" x14ac:dyDescent="0.25">
      <c r="A68" s="1033">
        <v>1002714</v>
      </c>
      <c r="B68" s="129">
        <v>50</v>
      </c>
      <c r="C68" s="130" t="s">
        <v>1024</v>
      </c>
      <c r="D68" s="130">
        <v>16</v>
      </c>
      <c r="E68" s="130" t="s">
        <v>1024</v>
      </c>
      <c r="F68" s="1031">
        <v>0</v>
      </c>
      <c r="G68" s="1031">
        <v>0.5</v>
      </c>
      <c r="H68" s="1031">
        <v>0.5</v>
      </c>
      <c r="I68" s="1032" t="s">
        <v>1025</v>
      </c>
    </row>
    <row r="69" spans="1:9" x14ac:dyDescent="0.25">
      <c r="A69" s="1033">
        <v>1002716</v>
      </c>
      <c r="B69" s="129">
        <v>50</v>
      </c>
      <c r="C69" s="130" t="s">
        <v>1026</v>
      </c>
      <c r="D69" s="130">
        <v>16</v>
      </c>
      <c r="E69" s="130" t="s">
        <v>1026</v>
      </c>
      <c r="F69" s="1031">
        <v>0</v>
      </c>
      <c r="G69" s="1031">
        <v>0.5</v>
      </c>
      <c r="H69" s="1031">
        <v>0.5</v>
      </c>
      <c r="I69" s="1032" t="s">
        <v>1027</v>
      </c>
    </row>
    <row r="70" spans="1:9" x14ac:dyDescent="0.25">
      <c r="A70" s="1033">
        <v>1002718</v>
      </c>
      <c r="B70" s="129">
        <v>0</v>
      </c>
      <c r="E70" s="130"/>
    </row>
    <row r="71" spans="1:9" x14ac:dyDescent="0.25">
      <c r="A71" s="1033">
        <v>1002720</v>
      </c>
      <c r="B71" s="129">
        <v>50</v>
      </c>
      <c r="C71" s="130" t="s">
        <v>1028</v>
      </c>
      <c r="D71" s="130">
        <v>16</v>
      </c>
      <c r="E71" s="130" t="s">
        <v>1028</v>
      </c>
      <c r="F71" s="1031">
        <v>0</v>
      </c>
      <c r="G71" s="1031">
        <v>0.5</v>
      </c>
      <c r="H71" s="1031">
        <v>0.5</v>
      </c>
      <c r="I71" s="1032" t="s">
        <v>1029</v>
      </c>
    </row>
    <row r="72" spans="1:9" x14ac:dyDescent="0.25">
      <c r="A72" s="1033">
        <v>1002722</v>
      </c>
      <c r="B72" s="129">
        <v>250</v>
      </c>
      <c r="E72" s="130"/>
    </row>
    <row r="73" spans="1:9" x14ac:dyDescent="0.25">
      <c r="A73" s="1033">
        <v>1002808</v>
      </c>
      <c r="B73" s="129">
        <v>200</v>
      </c>
      <c r="C73" s="130" t="s">
        <v>1030</v>
      </c>
      <c r="D73" s="130">
        <v>16</v>
      </c>
      <c r="E73" s="130" t="s">
        <v>1030</v>
      </c>
      <c r="F73" s="1031">
        <v>0</v>
      </c>
      <c r="G73" s="1031">
        <v>2</v>
      </c>
      <c r="H73" s="1031">
        <v>2</v>
      </c>
      <c r="I73" s="1032" t="s">
        <v>1031</v>
      </c>
    </row>
    <row r="74" spans="1:9" x14ac:dyDescent="0.25">
      <c r="A74" s="1033">
        <v>1002810</v>
      </c>
      <c r="B74" s="129">
        <v>100</v>
      </c>
      <c r="C74" s="130">
        <v>164</v>
      </c>
      <c r="D74" s="130">
        <v>16</v>
      </c>
      <c r="E74" s="130">
        <v>164</v>
      </c>
      <c r="F74" s="1031">
        <v>0</v>
      </c>
      <c r="G74" s="1031">
        <v>1</v>
      </c>
      <c r="H74" s="1031">
        <v>1</v>
      </c>
      <c r="I74" s="1032" t="s">
        <v>1032</v>
      </c>
    </row>
    <row r="75" spans="1:9" x14ac:dyDescent="0.25">
      <c r="A75" s="1033">
        <v>1002812</v>
      </c>
      <c r="B75" s="129">
        <v>200</v>
      </c>
      <c r="C75" s="130" t="s">
        <v>1033</v>
      </c>
      <c r="D75" s="130">
        <v>16</v>
      </c>
      <c r="E75" s="130" t="s">
        <v>1033</v>
      </c>
      <c r="F75" s="1031">
        <v>0</v>
      </c>
      <c r="G75" s="1031">
        <v>2</v>
      </c>
      <c r="H75" s="1031">
        <v>2</v>
      </c>
      <c r="I75" s="1032" t="s">
        <v>1034</v>
      </c>
    </row>
    <row r="76" spans="1:9" x14ac:dyDescent="0.25">
      <c r="A76" s="1033">
        <v>1002822</v>
      </c>
      <c r="B76" s="129">
        <v>500</v>
      </c>
      <c r="E76" s="130"/>
    </row>
    <row r="77" spans="1:9" x14ac:dyDescent="0.25">
      <c r="A77" s="1033">
        <v>1002908</v>
      </c>
      <c r="B77" s="129">
        <v>0</v>
      </c>
      <c r="E77" s="130"/>
    </row>
    <row r="78" spans="1:9" x14ac:dyDescent="0.25">
      <c r="A78" s="1033">
        <v>1002910</v>
      </c>
      <c r="B78" s="129">
        <v>0</v>
      </c>
      <c r="E78" s="130"/>
    </row>
    <row r="79" spans="1:9" x14ac:dyDescent="0.25">
      <c r="A79" s="1033">
        <v>1002912</v>
      </c>
      <c r="B79" s="129">
        <v>0</v>
      </c>
      <c r="E79" s="130"/>
    </row>
    <row r="80" spans="1:9" x14ac:dyDescent="0.25">
      <c r="A80" s="1033">
        <v>1002922</v>
      </c>
      <c r="B80" s="129">
        <v>0</v>
      </c>
      <c r="E80" s="130"/>
    </row>
    <row r="81" spans="1:9" x14ac:dyDescent="0.25">
      <c r="A81" s="1033">
        <v>1003008</v>
      </c>
      <c r="B81" s="129">
        <v>0</v>
      </c>
      <c r="E81" s="130"/>
    </row>
    <row r="82" spans="1:9" x14ac:dyDescent="0.25">
      <c r="A82" s="1033">
        <v>1003022</v>
      </c>
      <c r="B82" s="129">
        <v>0</v>
      </c>
      <c r="E82" s="130"/>
    </row>
    <row r="83" spans="1:9" x14ac:dyDescent="0.25">
      <c r="A83" s="1033">
        <v>1003116</v>
      </c>
      <c r="B83" s="129">
        <v>200</v>
      </c>
      <c r="C83" s="130" t="s">
        <v>1035</v>
      </c>
      <c r="D83" s="130">
        <v>16</v>
      </c>
      <c r="E83" s="130" t="s">
        <v>1035</v>
      </c>
      <c r="F83" s="1031">
        <v>0</v>
      </c>
      <c r="G83" s="1031">
        <v>2</v>
      </c>
      <c r="H83" s="1031">
        <v>2</v>
      </c>
      <c r="I83" s="1032" t="s">
        <v>1036</v>
      </c>
    </row>
    <row r="84" spans="1:9" x14ac:dyDescent="0.25">
      <c r="A84" s="1033">
        <v>1003122</v>
      </c>
      <c r="B84" s="129">
        <v>200</v>
      </c>
      <c r="E84" s="130"/>
    </row>
    <row r="85" spans="1:9" x14ac:dyDescent="0.25">
      <c r="A85" s="1033">
        <v>1003214</v>
      </c>
      <c r="B85" s="129">
        <v>600</v>
      </c>
      <c r="C85" s="130" t="s">
        <v>1037</v>
      </c>
      <c r="D85" s="130">
        <v>16</v>
      </c>
      <c r="E85" s="130" t="s">
        <v>1037</v>
      </c>
      <c r="F85" s="1031">
        <v>0</v>
      </c>
      <c r="G85" s="1031">
        <v>6</v>
      </c>
      <c r="H85" s="1031">
        <v>6</v>
      </c>
      <c r="I85" s="1032" t="s">
        <v>1038</v>
      </c>
    </row>
    <row r="86" spans="1:9" x14ac:dyDescent="0.25">
      <c r="A86" s="1033">
        <v>1003218</v>
      </c>
      <c r="B86" s="129">
        <v>0</v>
      </c>
      <c r="E86" s="130"/>
    </row>
    <row r="87" spans="1:9" x14ac:dyDescent="0.25">
      <c r="A87" s="1033">
        <v>1003222</v>
      </c>
      <c r="B87" s="129">
        <v>600</v>
      </c>
      <c r="E87" s="130"/>
    </row>
    <row r="88" spans="1:9" x14ac:dyDescent="0.25">
      <c r="A88" s="1033">
        <v>1003314</v>
      </c>
      <c r="B88" s="129">
        <v>0</v>
      </c>
      <c r="E88" s="130"/>
    </row>
    <row r="89" spans="1:9" x14ac:dyDescent="0.25">
      <c r="A89" s="1033">
        <v>1003318</v>
      </c>
      <c r="B89" s="129">
        <v>0</v>
      </c>
      <c r="E89" s="130"/>
    </row>
    <row r="90" spans="1:9" x14ac:dyDescent="0.25">
      <c r="A90" s="1033">
        <v>1003322</v>
      </c>
      <c r="B90" s="129">
        <v>0</v>
      </c>
      <c r="E90" s="130"/>
    </row>
    <row r="91" spans="1:9" x14ac:dyDescent="0.25">
      <c r="A91" s="1033">
        <v>1003414</v>
      </c>
      <c r="B91" s="129">
        <v>200</v>
      </c>
      <c r="C91" s="130" t="s">
        <v>1039</v>
      </c>
      <c r="D91" s="130">
        <v>16</v>
      </c>
      <c r="E91" s="130" t="s">
        <v>1039</v>
      </c>
      <c r="F91" s="1031">
        <v>0</v>
      </c>
      <c r="G91" s="1031">
        <v>2</v>
      </c>
      <c r="H91" s="1031">
        <v>2</v>
      </c>
      <c r="I91" s="1032" t="s">
        <v>1040</v>
      </c>
    </row>
    <row r="92" spans="1:9" x14ac:dyDescent="0.25">
      <c r="A92" s="1033">
        <v>1003418</v>
      </c>
      <c r="B92" s="129">
        <v>0</v>
      </c>
      <c r="E92" s="130"/>
    </row>
    <row r="93" spans="1:9" x14ac:dyDescent="0.25">
      <c r="A93" s="1033">
        <v>1003422</v>
      </c>
      <c r="B93" s="129">
        <v>200</v>
      </c>
      <c r="E93" s="130"/>
    </row>
    <row r="94" spans="1:9" x14ac:dyDescent="0.25">
      <c r="A94" s="1033">
        <v>1003508</v>
      </c>
      <c r="B94" s="129">
        <v>100</v>
      </c>
      <c r="C94" s="130" t="s">
        <v>1041</v>
      </c>
      <c r="D94" s="130">
        <v>16</v>
      </c>
      <c r="E94" s="130" t="s">
        <v>1041</v>
      </c>
      <c r="F94" s="1031">
        <v>0</v>
      </c>
      <c r="G94" s="1031">
        <v>1</v>
      </c>
      <c r="H94" s="1031">
        <v>1</v>
      </c>
      <c r="I94" s="1032" t="s">
        <v>1042</v>
      </c>
    </row>
    <row r="95" spans="1:9" x14ac:dyDescent="0.25">
      <c r="A95" s="1033">
        <v>1003510</v>
      </c>
      <c r="B95" s="129">
        <v>0</v>
      </c>
      <c r="E95" s="130"/>
    </row>
    <row r="96" spans="1:9" x14ac:dyDescent="0.25">
      <c r="A96" s="1033">
        <v>1003512</v>
      </c>
      <c r="B96" s="129">
        <v>100</v>
      </c>
      <c r="C96" s="130" t="s">
        <v>1043</v>
      </c>
      <c r="D96" s="130">
        <v>16</v>
      </c>
      <c r="E96" s="130" t="s">
        <v>1043</v>
      </c>
      <c r="F96" s="1031">
        <v>0</v>
      </c>
      <c r="G96" s="1031">
        <v>1</v>
      </c>
      <c r="H96" s="1031">
        <v>1</v>
      </c>
      <c r="I96" s="1032" t="s">
        <v>1044</v>
      </c>
    </row>
    <row r="97" spans="1:9" x14ac:dyDescent="0.25">
      <c r="A97" s="1033">
        <v>1003514</v>
      </c>
      <c r="B97" s="129">
        <v>150</v>
      </c>
      <c r="C97" s="130" t="s">
        <v>1045</v>
      </c>
      <c r="D97" s="130">
        <v>16</v>
      </c>
      <c r="E97" s="130" t="s">
        <v>1045</v>
      </c>
      <c r="F97" s="1031">
        <v>0</v>
      </c>
      <c r="G97" s="1031">
        <v>1.5</v>
      </c>
      <c r="H97" s="1031">
        <v>1.5</v>
      </c>
      <c r="I97" s="1032" t="s">
        <v>1046</v>
      </c>
    </row>
    <row r="98" spans="1:9" x14ac:dyDescent="0.25">
      <c r="A98" s="1033">
        <v>1003516</v>
      </c>
      <c r="B98" s="129">
        <v>0</v>
      </c>
      <c r="E98" s="130"/>
    </row>
    <row r="99" spans="1:9" x14ac:dyDescent="0.25">
      <c r="A99" s="1033">
        <v>1003518</v>
      </c>
      <c r="B99" s="129">
        <v>0</v>
      </c>
      <c r="E99" s="130"/>
    </row>
    <row r="100" spans="1:9" x14ac:dyDescent="0.25">
      <c r="A100" s="1033">
        <v>1003520</v>
      </c>
      <c r="B100" s="129">
        <v>200</v>
      </c>
      <c r="C100" s="130" t="s">
        <v>1047</v>
      </c>
      <c r="D100" s="130">
        <v>16</v>
      </c>
      <c r="E100" s="130" t="s">
        <v>1047</v>
      </c>
      <c r="F100" s="1031">
        <v>0</v>
      </c>
      <c r="G100" s="1031">
        <v>2</v>
      </c>
      <c r="H100" s="1031">
        <v>2</v>
      </c>
      <c r="I100" s="1032" t="s">
        <v>1048</v>
      </c>
    </row>
    <row r="101" spans="1:9" x14ac:dyDescent="0.25">
      <c r="A101" s="1033">
        <v>1003522</v>
      </c>
      <c r="B101" s="129">
        <v>550</v>
      </c>
      <c r="E101" s="130"/>
    </row>
    <row r="102" spans="1:9" x14ac:dyDescent="0.25">
      <c r="A102" s="1033">
        <v>1003608</v>
      </c>
      <c r="B102" s="129">
        <v>350</v>
      </c>
      <c r="E102" s="130"/>
    </row>
    <row r="103" spans="1:9" x14ac:dyDescent="0.25">
      <c r="A103" s="1033">
        <v>1003610</v>
      </c>
      <c r="B103" s="129">
        <v>100</v>
      </c>
      <c r="E103" s="130"/>
    </row>
    <row r="104" spans="1:9" x14ac:dyDescent="0.25">
      <c r="A104" s="1033">
        <v>1003612</v>
      </c>
      <c r="B104" s="129">
        <v>350</v>
      </c>
      <c r="E104" s="130"/>
    </row>
    <row r="105" spans="1:9" x14ac:dyDescent="0.25">
      <c r="A105" s="1033">
        <v>1003614</v>
      </c>
      <c r="B105" s="129">
        <v>1000</v>
      </c>
      <c r="E105" s="130"/>
    </row>
    <row r="106" spans="1:9" x14ac:dyDescent="0.25">
      <c r="A106" s="1033">
        <v>1003616</v>
      </c>
      <c r="B106" s="129">
        <v>250</v>
      </c>
      <c r="E106" s="130"/>
    </row>
    <row r="107" spans="1:9" x14ac:dyDescent="0.25">
      <c r="A107" s="1033">
        <v>1003618</v>
      </c>
      <c r="B107" s="129">
        <v>0</v>
      </c>
      <c r="E107" s="130"/>
    </row>
    <row r="108" spans="1:9" x14ac:dyDescent="0.25">
      <c r="A108" s="1033">
        <v>1003620</v>
      </c>
      <c r="B108" s="129">
        <v>350</v>
      </c>
      <c r="E108" s="130"/>
    </row>
    <row r="109" spans="1:9" x14ac:dyDescent="0.25">
      <c r="A109" s="1033">
        <v>1003622</v>
      </c>
      <c r="B109" s="129">
        <v>2400</v>
      </c>
      <c r="E109" s="130"/>
    </row>
    <row r="110" spans="1:9" x14ac:dyDescent="0.25">
      <c r="A110" s="1033">
        <v>1005124</v>
      </c>
      <c r="B110" s="129">
        <v>14309</v>
      </c>
      <c r="C110" s="130" t="s">
        <v>1049</v>
      </c>
      <c r="D110" s="130">
        <v>16</v>
      </c>
      <c r="E110" s="130" t="s">
        <v>1049</v>
      </c>
      <c r="F110" s="1031">
        <v>0</v>
      </c>
      <c r="G110" s="1031">
        <v>143.09</v>
      </c>
      <c r="H110" s="1031">
        <v>143.09</v>
      </c>
      <c r="I110" s="1032" t="s">
        <v>1050</v>
      </c>
    </row>
    <row r="111" spans="1:9" x14ac:dyDescent="0.25">
      <c r="A111" s="1033">
        <v>1005312</v>
      </c>
      <c r="B111" s="129">
        <v>0</v>
      </c>
      <c r="E111" s="130"/>
    </row>
    <row r="112" spans="1:9" x14ac:dyDescent="0.25">
      <c r="A112" s="1033">
        <v>1005314</v>
      </c>
      <c r="B112" s="129">
        <v>0</v>
      </c>
      <c r="E112" s="130"/>
    </row>
    <row r="113" spans="1:9" x14ac:dyDescent="0.25">
      <c r="A113" s="1033">
        <v>1005318</v>
      </c>
      <c r="B113" s="129">
        <v>0</v>
      </c>
      <c r="E113" s="130"/>
    </row>
    <row r="114" spans="1:9" x14ac:dyDescent="0.25">
      <c r="A114" s="1033">
        <v>1005320</v>
      </c>
      <c r="B114" s="129">
        <v>0</v>
      </c>
      <c r="E114" s="130"/>
    </row>
    <row r="115" spans="1:9" x14ac:dyDescent="0.25">
      <c r="A115" s="1033">
        <v>1005412</v>
      </c>
      <c r="B115" s="129">
        <v>47</v>
      </c>
      <c r="C115" s="130">
        <v>801</v>
      </c>
      <c r="D115" s="130">
        <v>16</v>
      </c>
      <c r="E115" s="130">
        <v>801</v>
      </c>
      <c r="F115" s="1031">
        <v>0</v>
      </c>
      <c r="G115" s="1031">
        <v>-47.33</v>
      </c>
      <c r="H115" s="1031">
        <v>-47.33</v>
      </c>
      <c r="I115" s="1032" t="s">
        <v>1051</v>
      </c>
    </row>
    <row r="116" spans="1:9" x14ac:dyDescent="0.25">
      <c r="A116" s="1033">
        <v>1005414</v>
      </c>
      <c r="B116" s="129">
        <v>47</v>
      </c>
      <c r="C116" s="130">
        <v>801</v>
      </c>
      <c r="D116" s="130">
        <v>16</v>
      </c>
      <c r="E116" s="130">
        <v>801</v>
      </c>
      <c r="F116" s="1031">
        <v>0</v>
      </c>
      <c r="G116" s="1031">
        <v>-47.33</v>
      </c>
      <c r="H116" s="1031">
        <v>-47.33</v>
      </c>
      <c r="I116" s="1032" t="s">
        <v>1051</v>
      </c>
    </row>
    <row r="117" spans="1:9" x14ac:dyDescent="0.25">
      <c r="A117" s="1033">
        <v>1005424</v>
      </c>
      <c r="B117" s="129">
        <v>0</v>
      </c>
      <c r="E117" s="130"/>
    </row>
    <row r="118" spans="1:9" x14ac:dyDescent="0.25">
      <c r="A118" s="1033">
        <v>1005512</v>
      </c>
      <c r="B118" s="129">
        <v>327</v>
      </c>
      <c r="C118" s="130">
        <v>805</v>
      </c>
      <c r="D118" s="130">
        <v>16</v>
      </c>
      <c r="E118" s="130">
        <v>805</v>
      </c>
      <c r="F118" s="1031">
        <v>0</v>
      </c>
      <c r="G118" s="1031">
        <v>-326.85000000000002</v>
      </c>
      <c r="H118" s="1031">
        <v>-326.85000000000002</v>
      </c>
      <c r="I118" s="1032" t="s">
        <v>1052</v>
      </c>
    </row>
    <row r="119" spans="1:9" x14ac:dyDescent="0.25">
      <c r="A119" s="1033">
        <v>1005514</v>
      </c>
      <c r="B119" s="129">
        <v>327</v>
      </c>
      <c r="C119" s="130">
        <v>805</v>
      </c>
      <c r="D119" s="130">
        <v>16</v>
      </c>
      <c r="E119" s="130">
        <v>805</v>
      </c>
      <c r="F119" s="1031">
        <v>0</v>
      </c>
      <c r="G119" s="1031">
        <v>-326.85000000000002</v>
      </c>
      <c r="H119" s="1031">
        <v>-326.85000000000002</v>
      </c>
      <c r="I119" s="1032" t="s">
        <v>1052</v>
      </c>
    </row>
    <row r="120" spans="1:9" x14ac:dyDescent="0.25">
      <c r="A120" s="1033">
        <v>1005518</v>
      </c>
      <c r="B120" s="129">
        <v>0</v>
      </c>
      <c r="E120" s="130"/>
    </row>
    <row r="121" spans="1:9" x14ac:dyDescent="0.25">
      <c r="A121" s="1033">
        <v>1005520</v>
      </c>
      <c r="B121" s="129">
        <v>0</v>
      </c>
      <c r="E121" s="130"/>
    </row>
    <row r="122" spans="1:9" x14ac:dyDescent="0.25">
      <c r="A122" s="1033">
        <v>1005612</v>
      </c>
      <c r="B122" s="129">
        <v>0</v>
      </c>
      <c r="E122" s="130"/>
    </row>
    <row r="123" spans="1:9" x14ac:dyDescent="0.25">
      <c r="A123" s="1033">
        <v>1005614</v>
      </c>
      <c r="B123" s="129">
        <v>0</v>
      </c>
      <c r="E123" s="130"/>
    </row>
    <row r="124" spans="1:9" x14ac:dyDescent="0.25">
      <c r="A124" s="1033">
        <v>1005618</v>
      </c>
      <c r="B124" s="129">
        <v>0</v>
      </c>
      <c r="E124" s="130"/>
    </row>
    <row r="125" spans="1:9" x14ac:dyDescent="0.25">
      <c r="A125" s="1033">
        <v>1005620</v>
      </c>
      <c r="B125" s="129">
        <v>0</v>
      </c>
      <c r="E125" s="130"/>
    </row>
    <row r="126" spans="1:9" x14ac:dyDescent="0.25">
      <c r="A126" s="1033">
        <v>1005712</v>
      </c>
      <c r="B126" s="129">
        <v>0</v>
      </c>
      <c r="E126" s="130"/>
    </row>
    <row r="127" spans="1:9" x14ac:dyDescent="0.25">
      <c r="A127" s="1033">
        <v>1005714</v>
      </c>
      <c r="B127" s="129">
        <v>0</v>
      </c>
      <c r="E127" s="130"/>
    </row>
    <row r="128" spans="1:9" x14ac:dyDescent="0.25">
      <c r="A128" s="1033">
        <v>1005718</v>
      </c>
      <c r="B128" s="129">
        <v>0</v>
      </c>
      <c r="E128" s="130"/>
    </row>
    <row r="129" spans="1:9" x14ac:dyDescent="0.25">
      <c r="A129" s="1033">
        <v>1005720</v>
      </c>
      <c r="B129" s="129">
        <v>0</v>
      </c>
      <c r="E129" s="130"/>
    </row>
    <row r="130" spans="1:9" x14ac:dyDescent="0.25">
      <c r="A130" s="1033">
        <v>1005812</v>
      </c>
      <c r="B130" s="129">
        <v>16714</v>
      </c>
      <c r="C130" s="130" t="s">
        <v>26</v>
      </c>
      <c r="D130" s="130">
        <v>16</v>
      </c>
      <c r="E130" s="130" t="s">
        <v>26</v>
      </c>
      <c r="F130" s="1031">
        <v>0</v>
      </c>
      <c r="G130" s="1031">
        <v>-16714.39</v>
      </c>
      <c r="H130" s="1031">
        <v>-16714.39</v>
      </c>
      <c r="I130" s="1032" t="s">
        <v>15</v>
      </c>
    </row>
    <row r="131" spans="1:9" x14ac:dyDescent="0.25">
      <c r="A131" s="1033">
        <v>1005814</v>
      </c>
      <c r="B131" s="129">
        <v>16714</v>
      </c>
      <c r="C131" s="130" t="s">
        <v>26</v>
      </c>
      <c r="D131" s="130">
        <v>16</v>
      </c>
      <c r="E131" s="130" t="s">
        <v>26</v>
      </c>
      <c r="F131" s="1031">
        <v>0</v>
      </c>
      <c r="G131" s="1031">
        <v>-16714.39</v>
      </c>
      <c r="H131" s="1031">
        <v>-16714.39</v>
      </c>
      <c r="I131" s="1032" t="s">
        <v>15</v>
      </c>
    </row>
    <row r="132" spans="1:9" x14ac:dyDescent="0.25">
      <c r="A132" s="1033">
        <v>1005912</v>
      </c>
      <c r="B132" s="129">
        <v>0</v>
      </c>
      <c r="E132" s="130"/>
    </row>
    <row r="133" spans="1:9" x14ac:dyDescent="0.25">
      <c r="A133" s="1033">
        <v>1005914</v>
      </c>
      <c r="B133" s="129">
        <v>0</v>
      </c>
      <c r="E133" s="130"/>
    </row>
    <row r="134" spans="1:9" x14ac:dyDescent="0.25">
      <c r="A134" s="1033">
        <v>1006012</v>
      </c>
      <c r="B134" s="129">
        <v>37150</v>
      </c>
      <c r="C134" s="130">
        <v>815</v>
      </c>
      <c r="D134" s="130">
        <v>16</v>
      </c>
      <c r="E134" s="130">
        <v>815</v>
      </c>
      <c r="F134" s="1031">
        <v>0</v>
      </c>
      <c r="G134" s="1031">
        <v>-35649.629999999997</v>
      </c>
      <c r="H134" s="1031">
        <v>-35649.629999999997</v>
      </c>
      <c r="I134" s="1032" t="s">
        <v>1053</v>
      </c>
    </row>
    <row r="135" spans="1:9" x14ac:dyDescent="0.25">
      <c r="A135" s="1033"/>
      <c r="C135" s="130">
        <v>815</v>
      </c>
      <c r="D135" s="130">
        <v>16</v>
      </c>
      <c r="E135" s="130" t="s">
        <v>1054</v>
      </c>
      <c r="F135" s="1031">
        <v>0</v>
      </c>
      <c r="G135" s="1031">
        <v>-1500</v>
      </c>
      <c r="H135" s="1031">
        <v>-1500</v>
      </c>
      <c r="I135" s="1032" t="s">
        <v>1055</v>
      </c>
    </row>
    <row r="136" spans="1:9" x14ac:dyDescent="0.25">
      <c r="A136" s="1033">
        <v>1006014</v>
      </c>
      <c r="B136" s="129">
        <v>37150</v>
      </c>
      <c r="C136" s="130">
        <v>815</v>
      </c>
      <c r="D136" s="130">
        <v>16</v>
      </c>
      <c r="E136" s="130">
        <v>815</v>
      </c>
      <c r="F136" s="1031">
        <v>0</v>
      </c>
      <c r="G136" s="1031">
        <v>-35649.629999999997</v>
      </c>
      <c r="H136" s="1031">
        <v>-35649.629999999997</v>
      </c>
      <c r="I136" s="1032" t="s">
        <v>1053</v>
      </c>
    </row>
    <row r="137" spans="1:9" x14ac:dyDescent="0.25">
      <c r="A137" s="1033"/>
      <c r="C137" s="130">
        <v>815</v>
      </c>
      <c r="D137" s="130">
        <v>16</v>
      </c>
      <c r="E137" s="130" t="s">
        <v>1054</v>
      </c>
      <c r="F137" s="1031">
        <v>0</v>
      </c>
      <c r="G137" s="1031">
        <v>-1500</v>
      </c>
      <c r="H137" s="1031">
        <v>-1500</v>
      </c>
      <c r="I137" s="1032" t="s">
        <v>1055</v>
      </c>
    </row>
    <row r="138" spans="1:9" x14ac:dyDescent="0.25">
      <c r="A138" s="1033">
        <v>1006112</v>
      </c>
      <c r="B138" s="129">
        <v>0</v>
      </c>
      <c r="E138" s="130"/>
    </row>
    <row r="139" spans="1:9" x14ac:dyDescent="0.25">
      <c r="A139" s="1033">
        <v>1006114</v>
      </c>
      <c r="B139" s="129">
        <v>0</v>
      </c>
      <c r="E139" s="130"/>
    </row>
    <row r="140" spans="1:9" x14ac:dyDescent="0.25">
      <c r="A140" s="1033">
        <v>1006212</v>
      </c>
      <c r="B140" s="129">
        <v>54238</v>
      </c>
      <c r="E140" s="130"/>
    </row>
    <row r="141" spans="1:9" x14ac:dyDescent="0.25">
      <c r="A141" s="1033">
        <v>1006214</v>
      </c>
      <c r="B141" s="129">
        <v>54238</v>
      </c>
      <c r="E141" s="130"/>
    </row>
    <row r="142" spans="1:9" x14ac:dyDescent="0.25">
      <c r="A142" s="1033">
        <v>900112</v>
      </c>
      <c r="B142" s="129">
        <v>37</v>
      </c>
      <c r="C142" s="130" t="s">
        <v>1056</v>
      </c>
      <c r="D142" s="130">
        <v>16</v>
      </c>
      <c r="E142" s="130" t="s">
        <v>1056</v>
      </c>
      <c r="F142" s="1031">
        <v>0</v>
      </c>
      <c r="G142" s="1031">
        <v>-0.37</v>
      </c>
      <c r="H142" s="1031">
        <v>-0.37</v>
      </c>
      <c r="I142" s="1032" t="s">
        <v>1057</v>
      </c>
    </row>
    <row r="143" spans="1:9" x14ac:dyDescent="0.25">
      <c r="A143" s="1033">
        <v>900114</v>
      </c>
      <c r="B143" s="129">
        <v>19086</v>
      </c>
      <c r="C143" s="130" t="s">
        <v>10</v>
      </c>
      <c r="D143" s="130">
        <v>16</v>
      </c>
      <c r="E143" s="130" t="s">
        <v>10</v>
      </c>
      <c r="F143" s="1031">
        <v>0</v>
      </c>
      <c r="G143" s="1031">
        <v>-19085.54</v>
      </c>
      <c r="H143" s="1031">
        <v>-19085.54</v>
      </c>
      <c r="I143" s="1032" t="s">
        <v>1058</v>
      </c>
    </row>
    <row r="144" spans="1:9" x14ac:dyDescent="0.25">
      <c r="A144" s="1033">
        <v>900116</v>
      </c>
      <c r="B144" s="129">
        <v>7552</v>
      </c>
      <c r="C144" s="130" t="s">
        <v>10</v>
      </c>
      <c r="D144" s="130">
        <v>16</v>
      </c>
      <c r="E144" s="130" t="s">
        <v>10</v>
      </c>
      <c r="F144" s="1031">
        <v>0</v>
      </c>
      <c r="G144" s="1031">
        <v>-19085.54</v>
      </c>
      <c r="H144" s="1031">
        <v>-19085.54</v>
      </c>
      <c r="I144" s="1032" t="s">
        <v>1058</v>
      </c>
    </row>
    <row r="145" spans="1:9" x14ac:dyDescent="0.25">
      <c r="A145" s="1033"/>
      <c r="C145" s="130" t="s">
        <v>1059</v>
      </c>
      <c r="D145" s="130">
        <v>16</v>
      </c>
      <c r="E145" s="130" t="s">
        <v>1059</v>
      </c>
      <c r="F145" s="1031">
        <v>0</v>
      </c>
      <c r="G145" s="1031">
        <v>11534.05</v>
      </c>
      <c r="H145" s="1031">
        <v>11534.05</v>
      </c>
      <c r="I145" s="1032" t="s">
        <v>1060</v>
      </c>
    </row>
    <row r="146" spans="1:9" x14ac:dyDescent="0.25">
      <c r="A146" s="1033">
        <v>900118</v>
      </c>
      <c r="B146" s="129">
        <v>396</v>
      </c>
      <c r="E146" s="130"/>
    </row>
    <row r="147" spans="1:9" x14ac:dyDescent="0.25">
      <c r="A147" s="1033">
        <v>900122</v>
      </c>
      <c r="B147" s="129">
        <v>37</v>
      </c>
      <c r="C147" s="130" t="s">
        <v>1056</v>
      </c>
      <c r="D147" s="130">
        <v>16</v>
      </c>
      <c r="E147" s="130" t="s">
        <v>1056</v>
      </c>
      <c r="F147" s="1031">
        <v>0</v>
      </c>
      <c r="G147" s="1031">
        <v>-0.37</v>
      </c>
      <c r="H147" s="1031">
        <v>-0.37</v>
      </c>
      <c r="I147" s="1032" t="s">
        <v>1057</v>
      </c>
    </row>
    <row r="148" spans="1:9" x14ac:dyDescent="0.25">
      <c r="A148" s="1033">
        <v>900124</v>
      </c>
      <c r="B148" s="129">
        <v>19086</v>
      </c>
      <c r="C148" s="130" t="s">
        <v>10</v>
      </c>
      <c r="D148" s="130">
        <v>16</v>
      </c>
      <c r="E148" s="130" t="s">
        <v>10</v>
      </c>
      <c r="F148" s="1031">
        <v>0</v>
      </c>
      <c r="G148" s="1031">
        <v>-19085.54</v>
      </c>
      <c r="H148" s="1031">
        <v>-19085.54</v>
      </c>
      <c r="I148" s="1032" t="s">
        <v>1058</v>
      </c>
    </row>
    <row r="149" spans="1:9" x14ac:dyDescent="0.25">
      <c r="A149" s="1033">
        <v>900126</v>
      </c>
      <c r="B149" s="129">
        <v>7552</v>
      </c>
      <c r="C149" s="130" t="s">
        <v>10</v>
      </c>
      <c r="D149" s="130">
        <v>16</v>
      </c>
      <c r="E149" s="130" t="s">
        <v>10</v>
      </c>
      <c r="F149" s="1031">
        <v>0</v>
      </c>
      <c r="G149" s="1031">
        <v>-19085.54</v>
      </c>
      <c r="H149" s="1031">
        <v>-19085.54</v>
      </c>
      <c r="I149" s="1032" t="s">
        <v>1058</v>
      </c>
    </row>
    <row r="150" spans="1:9" x14ac:dyDescent="0.25">
      <c r="A150" s="1033"/>
      <c r="C150" s="130" t="s">
        <v>1059</v>
      </c>
      <c r="D150" s="130">
        <v>16</v>
      </c>
      <c r="E150" s="130" t="s">
        <v>1059</v>
      </c>
      <c r="F150" s="1031">
        <v>0</v>
      </c>
      <c r="G150" s="1031">
        <v>11534.05</v>
      </c>
      <c r="H150" s="1031">
        <v>11534.05</v>
      </c>
      <c r="I150" s="1032" t="s">
        <v>1060</v>
      </c>
    </row>
    <row r="151" spans="1:9" x14ac:dyDescent="0.25">
      <c r="A151" s="1033">
        <v>900128</v>
      </c>
      <c r="B151" s="129">
        <v>396</v>
      </c>
      <c r="E151" s="130"/>
    </row>
    <row r="152" spans="1:9" x14ac:dyDescent="0.25">
      <c r="A152" s="1033">
        <v>900212</v>
      </c>
      <c r="B152" s="129">
        <v>41</v>
      </c>
      <c r="C152" s="130" t="s">
        <v>1061</v>
      </c>
      <c r="D152" s="130">
        <v>16</v>
      </c>
      <c r="E152" s="130" t="s">
        <v>1061</v>
      </c>
      <c r="F152" s="1031">
        <v>0</v>
      </c>
      <c r="G152" s="1031">
        <v>-0.41</v>
      </c>
      <c r="H152" s="1031">
        <v>-0.41</v>
      </c>
      <c r="I152" s="1032" t="s">
        <v>1062</v>
      </c>
    </row>
    <row r="153" spans="1:9" x14ac:dyDescent="0.25">
      <c r="A153" s="1033">
        <v>900214</v>
      </c>
      <c r="B153" s="129">
        <v>21533</v>
      </c>
      <c r="C153" s="130" t="s">
        <v>11</v>
      </c>
      <c r="D153" s="130">
        <v>16</v>
      </c>
      <c r="E153" s="130" t="s">
        <v>11</v>
      </c>
      <c r="F153" s="1031">
        <v>0</v>
      </c>
      <c r="G153" s="1031">
        <v>-21532.83</v>
      </c>
      <c r="H153" s="1031">
        <v>-21532.83</v>
      </c>
      <c r="I153" s="1032" t="s">
        <v>1063</v>
      </c>
    </row>
    <row r="154" spans="1:9" x14ac:dyDescent="0.25">
      <c r="A154" s="1033">
        <v>900216</v>
      </c>
      <c r="B154" s="129">
        <v>9811</v>
      </c>
      <c r="C154" s="130" t="s">
        <v>11</v>
      </c>
      <c r="D154" s="130">
        <v>16</v>
      </c>
      <c r="E154" s="130" t="s">
        <v>11</v>
      </c>
      <c r="F154" s="1031">
        <v>0</v>
      </c>
      <c r="G154" s="1031">
        <v>-21532.83</v>
      </c>
      <c r="H154" s="1031">
        <v>-21532.83</v>
      </c>
      <c r="I154" s="1032" t="s">
        <v>1063</v>
      </c>
    </row>
    <row r="155" spans="1:9" x14ac:dyDescent="0.25">
      <c r="A155" s="1033"/>
      <c r="C155" s="130" t="s">
        <v>1064</v>
      </c>
      <c r="D155" s="130">
        <v>16</v>
      </c>
      <c r="E155" s="130" t="s">
        <v>1064</v>
      </c>
      <c r="F155" s="1031">
        <v>0</v>
      </c>
      <c r="G155" s="1031">
        <v>11722.34</v>
      </c>
      <c r="H155" s="1031">
        <v>11722.34</v>
      </c>
      <c r="I155" s="1032" t="s">
        <v>1065</v>
      </c>
    </row>
    <row r="156" spans="1:9" x14ac:dyDescent="0.25">
      <c r="A156" s="1033">
        <v>900218</v>
      </c>
      <c r="B156" s="129">
        <v>456</v>
      </c>
      <c r="E156" s="130"/>
    </row>
    <row r="157" spans="1:9" x14ac:dyDescent="0.25">
      <c r="A157" s="1033">
        <v>900222</v>
      </c>
      <c r="B157" s="129">
        <v>41</v>
      </c>
      <c r="C157" s="130" t="s">
        <v>1061</v>
      </c>
      <c r="D157" s="130">
        <v>16</v>
      </c>
      <c r="E157" s="130" t="s">
        <v>1061</v>
      </c>
      <c r="F157" s="1031">
        <v>0</v>
      </c>
      <c r="G157" s="1031">
        <v>-0.41</v>
      </c>
      <c r="H157" s="1031">
        <v>-0.41</v>
      </c>
      <c r="I157" s="1032" t="s">
        <v>1062</v>
      </c>
    </row>
    <row r="158" spans="1:9" x14ac:dyDescent="0.25">
      <c r="A158" s="1033">
        <v>900224</v>
      </c>
      <c r="B158" s="129">
        <v>21533</v>
      </c>
      <c r="C158" s="130" t="s">
        <v>11</v>
      </c>
      <c r="D158" s="130">
        <v>16</v>
      </c>
      <c r="E158" s="130" t="s">
        <v>11</v>
      </c>
      <c r="F158" s="1031">
        <v>0</v>
      </c>
      <c r="G158" s="1031">
        <v>-21532.83</v>
      </c>
      <c r="H158" s="1031">
        <v>-21532.83</v>
      </c>
      <c r="I158" s="1032" t="s">
        <v>1063</v>
      </c>
    </row>
    <row r="159" spans="1:9" x14ac:dyDescent="0.25">
      <c r="A159" s="1033">
        <v>900226</v>
      </c>
      <c r="B159" s="129">
        <v>9811</v>
      </c>
      <c r="C159" s="130" t="s">
        <v>11</v>
      </c>
      <c r="D159" s="130">
        <v>16</v>
      </c>
      <c r="E159" s="130" t="s">
        <v>11</v>
      </c>
      <c r="F159" s="1031">
        <v>0</v>
      </c>
      <c r="G159" s="1031">
        <v>-21532.83</v>
      </c>
      <c r="H159" s="1031">
        <v>-21532.83</v>
      </c>
      <c r="I159" s="1032" t="s">
        <v>1063</v>
      </c>
    </row>
    <row r="160" spans="1:9" x14ac:dyDescent="0.25">
      <c r="A160" s="1033"/>
      <c r="C160" s="130" t="s">
        <v>1064</v>
      </c>
      <c r="D160" s="130">
        <v>16</v>
      </c>
      <c r="E160" s="130" t="s">
        <v>1064</v>
      </c>
      <c r="F160" s="1031">
        <v>0</v>
      </c>
      <c r="G160" s="1031">
        <v>11722.34</v>
      </c>
      <c r="H160" s="1031">
        <v>11722.34</v>
      </c>
      <c r="I160" s="1032" t="s">
        <v>1065</v>
      </c>
    </row>
    <row r="161" spans="1:9" x14ac:dyDescent="0.25">
      <c r="A161" s="1033">
        <v>900228</v>
      </c>
      <c r="B161" s="129">
        <v>456</v>
      </c>
      <c r="E161" s="130"/>
    </row>
    <row r="162" spans="1:9" x14ac:dyDescent="0.25">
      <c r="A162" s="1033">
        <v>900312</v>
      </c>
      <c r="B162" s="129">
        <v>4</v>
      </c>
      <c r="C162" s="130" t="s">
        <v>1066</v>
      </c>
      <c r="D162" s="130">
        <v>16</v>
      </c>
      <c r="E162" s="130" t="s">
        <v>1066</v>
      </c>
      <c r="F162" s="1031">
        <v>0</v>
      </c>
      <c r="G162" s="1031">
        <v>-0.04</v>
      </c>
      <c r="H162" s="1031">
        <v>-0.04</v>
      </c>
      <c r="I162" s="1032" t="s">
        <v>1067</v>
      </c>
    </row>
    <row r="163" spans="1:9" x14ac:dyDescent="0.25">
      <c r="A163" s="1033">
        <v>900314</v>
      </c>
      <c r="B163" s="129">
        <v>1747</v>
      </c>
      <c r="C163" s="130" t="s">
        <v>177</v>
      </c>
      <c r="D163" s="130">
        <v>16</v>
      </c>
      <c r="E163" s="130" t="s">
        <v>177</v>
      </c>
      <c r="F163" s="1031">
        <v>0</v>
      </c>
      <c r="G163" s="1031">
        <v>-1747.4</v>
      </c>
      <c r="H163" s="1031">
        <v>-1747.4</v>
      </c>
      <c r="I163" s="1032" t="s">
        <v>1068</v>
      </c>
    </row>
    <row r="164" spans="1:9" x14ac:dyDescent="0.25">
      <c r="A164" s="1033">
        <v>900316</v>
      </c>
      <c r="B164" s="129">
        <v>685</v>
      </c>
      <c r="C164" s="130" t="s">
        <v>177</v>
      </c>
      <c r="D164" s="130">
        <v>16</v>
      </c>
      <c r="E164" s="130" t="s">
        <v>177</v>
      </c>
      <c r="F164" s="1031">
        <v>0</v>
      </c>
      <c r="G164" s="1031">
        <v>-1747.4</v>
      </c>
      <c r="H164" s="1031">
        <v>-1747.4</v>
      </c>
      <c r="I164" s="1032" t="s">
        <v>1068</v>
      </c>
    </row>
    <row r="165" spans="1:9" x14ac:dyDescent="0.25">
      <c r="A165" s="1033"/>
      <c r="C165" s="130" t="s">
        <v>1069</v>
      </c>
      <c r="D165" s="130">
        <v>16</v>
      </c>
      <c r="E165" s="130" t="s">
        <v>1069</v>
      </c>
      <c r="F165" s="1031">
        <v>0</v>
      </c>
      <c r="G165" s="1031">
        <v>1061.99</v>
      </c>
      <c r="H165" s="1031">
        <v>1061.99</v>
      </c>
      <c r="I165" s="1032" t="s">
        <v>1070</v>
      </c>
    </row>
    <row r="166" spans="1:9" x14ac:dyDescent="0.25">
      <c r="A166" s="1033">
        <v>900318</v>
      </c>
      <c r="B166" s="129">
        <v>392</v>
      </c>
      <c r="E166" s="130"/>
    </row>
    <row r="167" spans="1:9" x14ac:dyDescent="0.25">
      <c r="A167" s="1033">
        <v>900322</v>
      </c>
      <c r="B167" s="129">
        <v>4</v>
      </c>
      <c r="C167" s="130" t="s">
        <v>1066</v>
      </c>
      <c r="D167" s="130">
        <v>16</v>
      </c>
      <c r="E167" s="130" t="s">
        <v>1066</v>
      </c>
      <c r="F167" s="1031">
        <v>0</v>
      </c>
      <c r="G167" s="1031">
        <v>-0.04</v>
      </c>
      <c r="H167" s="1031">
        <v>-0.04</v>
      </c>
      <c r="I167" s="1032" t="s">
        <v>1067</v>
      </c>
    </row>
    <row r="168" spans="1:9" x14ac:dyDescent="0.25">
      <c r="A168" s="1033">
        <v>900324</v>
      </c>
      <c r="B168" s="129">
        <v>1747</v>
      </c>
      <c r="C168" s="130" t="s">
        <v>177</v>
      </c>
      <c r="D168" s="130">
        <v>16</v>
      </c>
      <c r="E168" s="130" t="s">
        <v>177</v>
      </c>
      <c r="F168" s="1031">
        <v>0</v>
      </c>
      <c r="G168" s="1031">
        <v>-1747.4</v>
      </c>
      <c r="H168" s="1031">
        <v>-1747.4</v>
      </c>
      <c r="I168" s="1032" t="s">
        <v>1068</v>
      </c>
    </row>
    <row r="169" spans="1:9" x14ac:dyDescent="0.25">
      <c r="A169" s="1033">
        <v>900326</v>
      </c>
      <c r="B169" s="129">
        <v>685</v>
      </c>
      <c r="C169" s="130" t="s">
        <v>177</v>
      </c>
      <c r="D169" s="130">
        <v>16</v>
      </c>
      <c r="E169" s="130" t="s">
        <v>177</v>
      </c>
      <c r="F169" s="1031">
        <v>0</v>
      </c>
      <c r="G169" s="1031">
        <v>-1747.4</v>
      </c>
      <c r="H169" s="1031">
        <v>-1747.4</v>
      </c>
      <c r="I169" s="1032" t="s">
        <v>1068</v>
      </c>
    </row>
    <row r="170" spans="1:9" x14ac:dyDescent="0.25">
      <c r="A170" s="1033"/>
      <c r="C170" s="130" t="s">
        <v>1069</v>
      </c>
      <c r="D170" s="130">
        <v>16</v>
      </c>
      <c r="E170" s="130" t="s">
        <v>1069</v>
      </c>
      <c r="F170" s="1031">
        <v>0</v>
      </c>
      <c r="G170" s="1031">
        <v>1061.99</v>
      </c>
      <c r="H170" s="1031">
        <v>1061.99</v>
      </c>
      <c r="I170" s="1032" t="s">
        <v>1070</v>
      </c>
    </row>
    <row r="171" spans="1:9" x14ac:dyDescent="0.25">
      <c r="A171" s="1033">
        <v>900328</v>
      </c>
      <c r="B171" s="129">
        <v>392</v>
      </c>
      <c r="E171" s="130"/>
    </row>
    <row r="172" spans="1:9" x14ac:dyDescent="0.25">
      <c r="A172" s="1033">
        <v>900412</v>
      </c>
      <c r="B172" s="129">
        <v>0</v>
      </c>
      <c r="E172" s="130"/>
    </row>
    <row r="173" spans="1:9" x14ac:dyDescent="0.25">
      <c r="A173" s="1033">
        <v>900414</v>
      </c>
      <c r="B173" s="129">
        <v>0</v>
      </c>
      <c r="E173" s="130"/>
    </row>
    <row r="174" spans="1:9" x14ac:dyDescent="0.25">
      <c r="A174" s="1033">
        <v>900416</v>
      </c>
      <c r="B174" s="129">
        <v>0</v>
      </c>
      <c r="E174" s="130"/>
    </row>
    <row r="175" spans="1:9" x14ac:dyDescent="0.25">
      <c r="A175" s="1033">
        <v>900418</v>
      </c>
      <c r="B175" s="129">
        <v>0</v>
      </c>
      <c r="E175" s="130"/>
    </row>
    <row r="176" spans="1:9" x14ac:dyDescent="0.25">
      <c r="A176" s="1033">
        <v>900422</v>
      </c>
      <c r="B176" s="129">
        <v>0</v>
      </c>
      <c r="E176" s="130"/>
    </row>
    <row r="177" spans="1:9" x14ac:dyDescent="0.25">
      <c r="A177" s="1033">
        <v>900424</v>
      </c>
      <c r="B177" s="129">
        <v>0</v>
      </c>
      <c r="E177" s="130"/>
    </row>
    <row r="178" spans="1:9" x14ac:dyDescent="0.25">
      <c r="A178" s="1033">
        <v>900426</v>
      </c>
      <c r="B178" s="129">
        <v>0</v>
      </c>
      <c r="E178" s="130"/>
    </row>
    <row r="179" spans="1:9" x14ac:dyDescent="0.25">
      <c r="A179" s="1033">
        <v>900428</v>
      </c>
      <c r="B179" s="129">
        <v>0</v>
      </c>
      <c r="E179" s="130"/>
    </row>
    <row r="180" spans="1:9" x14ac:dyDescent="0.25">
      <c r="A180" s="1033">
        <v>900512</v>
      </c>
      <c r="B180" s="129">
        <v>0</v>
      </c>
      <c r="E180" s="130"/>
    </row>
    <row r="181" spans="1:9" x14ac:dyDescent="0.25">
      <c r="A181" s="1033">
        <v>900514</v>
      </c>
      <c r="B181" s="129">
        <v>0</v>
      </c>
      <c r="E181" s="130"/>
    </row>
    <row r="182" spans="1:9" x14ac:dyDescent="0.25">
      <c r="A182" s="1033">
        <v>900516</v>
      </c>
      <c r="B182" s="129">
        <v>0</v>
      </c>
      <c r="E182" s="130"/>
    </row>
    <row r="183" spans="1:9" x14ac:dyDescent="0.25">
      <c r="A183" s="1033">
        <v>900518</v>
      </c>
      <c r="B183" s="129">
        <v>0</v>
      </c>
      <c r="E183" s="130"/>
    </row>
    <row r="184" spans="1:9" x14ac:dyDescent="0.25">
      <c r="A184" s="1033">
        <v>900522</v>
      </c>
      <c r="B184" s="129">
        <v>0</v>
      </c>
      <c r="E184" s="130"/>
    </row>
    <row r="185" spans="1:9" x14ac:dyDescent="0.25">
      <c r="A185" s="1033">
        <v>900524</v>
      </c>
      <c r="B185" s="129">
        <v>0</v>
      </c>
      <c r="E185" s="130"/>
    </row>
    <row r="186" spans="1:9" x14ac:dyDescent="0.25">
      <c r="A186" s="1033">
        <v>900526</v>
      </c>
      <c r="B186" s="129">
        <v>0</v>
      </c>
      <c r="E186" s="130"/>
    </row>
    <row r="187" spans="1:9" x14ac:dyDescent="0.25">
      <c r="A187" s="1033">
        <v>900528</v>
      </c>
      <c r="B187" s="129">
        <v>0</v>
      </c>
      <c r="E187" s="130"/>
    </row>
    <row r="188" spans="1:9" x14ac:dyDescent="0.25">
      <c r="A188" s="1033">
        <v>900612</v>
      </c>
      <c r="B188" s="129">
        <v>82</v>
      </c>
      <c r="E188" s="130"/>
    </row>
    <row r="189" spans="1:9" x14ac:dyDescent="0.25">
      <c r="A189" s="1033">
        <v>900614</v>
      </c>
      <c r="B189" s="129">
        <v>42366</v>
      </c>
      <c r="E189" s="130"/>
    </row>
    <row r="190" spans="1:9" x14ac:dyDescent="0.25">
      <c r="A190" s="1033">
        <v>900616</v>
      </c>
      <c r="B190" s="129">
        <v>18048</v>
      </c>
      <c r="C190" s="130" t="s">
        <v>10</v>
      </c>
      <c r="D190" s="130">
        <v>16</v>
      </c>
      <c r="E190" s="130" t="s">
        <v>10</v>
      </c>
      <c r="F190" s="1031">
        <v>0</v>
      </c>
      <c r="G190" s="1031">
        <v>-19085.54</v>
      </c>
      <c r="H190" s="1031">
        <v>-19085.54</v>
      </c>
      <c r="I190" s="1032" t="s">
        <v>1058</v>
      </c>
    </row>
    <row r="191" spans="1:9" x14ac:dyDescent="0.25">
      <c r="A191" s="1033"/>
      <c r="C191" s="130" t="s">
        <v>1059</v>
      </c>
      <c r="D191" s="130">
        <v>16</v>
      </c>
      <c r="E191" s="130" t="s">
        <v>1059</v>
      </c>
      <c r="F191" s="1031">
        <v>0</v>
      </c>
      <c r="G191" s="1031">
        <v>11534.05</v>
      </c>
      <c r="H191" s="1031">
        <v>11534.05</v>
      </c>
      <c r="I191" s="1032" t="s">
        <v>1060</v>
      </c>
    </row>
    <row r="192" spans="1:9" x14ac:dyDescent="0.25">
      <c r="A192" s="1033"/>
      <c r="C192" s="130" t="s">
        <v>11</v>
      </c>
      <c r="D192" s="130">
        <v>16</v>
      </c>
      <c r="E192" s="130" t="s">
        <v>11</v>
      </c>
      <c r="F192" s="1031">
        <v>0</v>
      </c>
      <c r="G192" s="1031">
        <v>-21532.83</v>
      </c>
      <c r="H192" s="1031">
        <v>-21532.83</v>
      </c>
      <c r="I192" s="1032" t="s">
        <v>1063</v>
      </c>
    </row>
    <row r="193" spans="1:9" x14ac:dyDescent="0.25">
      <c r="A193" s="1033"/>
      <c r="C193" s="130" t="s">
        <v>1064</v>
      </c>
      <c r="D193" s="130">
        <v>16</v>
      </c>
      <c r="E193" s="130" t="s">
        <v>1064</v>
      </c>
      <c r="F193" s="1031">
        <v>0</v>
      </c>
      <c r="G193" s="1031">
        <v>11722.34</v>
      </c>
      <c r="H193" s="1031">
        <v>11722.34</v>
      </c>
      <c r="I193" s="1032" t="s">
        <v>1065</v>
      </c>
    </row>
    <row r="194" spans="1:9" x14ac:dyDescent="0.25">
      <c r="A194" s="1033"/>
      <c r="C194" s="130" t="s">
        <v>177</v>
      </c>
      <c r="D194" s="130">
        <v>16</v>
      </c>
      <c r="E194" s="130" t="s">
        <v>177</v>
      </c>
      <c r="F194" s="1031">
        <v>0</v>
      </c>
      <c r="G194" s="1031">
        <v>-1747.4</v>
      </c>
      <c r="H194" s="1031">
        <v>-1747.4</v>
      </c>
      <c r="I194" s="1032" t="s">
        <v>1068</v>
      </c>
    </row>
    <row r="195" spans="1:9" x14ac:dyDescent="0.25">
      <c r="A195" s="1033"/>
      <c r="C195" s="130" t="s">
        <v>1069</v>
      </c>
      <c r="D195" s="130">
        <v>16</v>
      </c>
      <c r="E195" s="130" t="s">
        <v>1069</v>
      </c>
      <c r="F195" s="1031">
        <v>0</v>
      </c>
      <c r="G195" s="1031">
        <v>1061.99</v>
      </c>
      <c r="H195" s="1031">
        <v>1061.99</v>
      </c>
      <c r="I195" s="1032" t="s">
        <v>1070</v>
      </c>
    </row>
    <row r="196" spans="1:9" x14ac:dyDescent="0.25">
      <c r="A196" s="1033">
        <v>900618</v>
      </c>
      <c r="B196" s="129">
        <v>426</v>
      </c>
      <c r="E196" s="130"/>
    </row>
    <row r="197" spans="1:9" x14ac:dyDescent="0.25">
      <c r="A197" s="1033">
        <v>900622</v>
      </c>
      <c r="B197" s="129">
        <v>82</v>
      </c>
      <c r="E197" s="130"/>
    </row>
    <row r="198" spans="1:9" x14ac:dyDescent="0.25">
      <c r="A198" s="1033">
        <v>900624</v>
      </c>
      <c r="B198" s="129">
        <v>42366</v>
      </c>
      <c r="E198" s="130"/>
    </row>
    <row r="199" spans="1:9" x14ac:dyDescent="0.25">
      <c r="A199" s="1033">
        <v>900626</v>
      </c>
      <c r="B199" s="129">
        <v>18048</v>
      </c>
      <c r="C199" s="130" t="s">
        <v>10</v>
      </c>
      <c r="D199" s="130">
        <v>16</v>
      </c>
      <c r="E199" s="130" t="s">
        <v>10</v>
      </c>
      <c r="F199" s="1031">
        <v>0</v>
      </c>
      <c r="G199" s="1031">
        <v>-19085.54</v>
      </c>
      <c r="H199" s="1031">
        <v>-19085.54</v>
      </c>
      <c r="I199" s="1032" t="s">
        <v>1058</v>
      </c>
    </row>
    <row r="200" spans="1:9" x14ac:dyDescent="0.25">
      <c r="A200" s="1033"/>
      <c r="C200" s="130" t="s">
        <v>1059</v>
      </c>
      <c r="D200" s="130">
        <v>16</v>
      </c>
      <c r="E200" s="130" t="s">
        <v>1059</v>
      </c>
      <c r="F200" s="1031">
        <v>0</v>
      </c>
      <c r="G200" s="1031">
        <v>11534.05</v>
      </c>
      <c r="H200" s="1031">
        <v>11534.05</v>
      </c>
      <c r="I200" s="1032" t="s">
        <v>1060</v>
      </c>
    </row>
    <row r="201" spans="1:9" x14ac:dyDescent="0.25">
      <c r="A201" s="1033"/>
      <c r="C201" s="130" t="s">
        <v>11</v>
      </c>
      <c r="D201" s="130">
        <v>16</v>
      </c>
      <c r="E201" s="130" t="s">
        <v>11</v>
      </c>
      <c r="F201" s="1031">
        <v>0</v>
      </c>
      <c r="G201" s="1031">
        <v>-21532.83</v>
      </c>
      <c r="H201" s="1031">
        <v>-21532.83</v>
      </c>
      <c r="I201" s="1032" t="s">
        <v>1063</v>
      </c>
    </row>
    <row r="202" spans="1:9" x14ac:dyDescent="0.25">
      <c r="A202" s="1033"/>
      <c r="C202" s="130" t="s">
        <v>1064</v>
      </c>
      <c r="D202" s="130">
        <v>16</v>
      </c>
      <c r="E202" s="130" t="s">
        <v>1064</v>
      </c>
      <c r="F202" s="1031">
        <v>0</v>
      </c>
      <c r="G202" s="1031">
        <v>11722.34</v>
      </c>
      <c r="H202" s="1031">
        <v>11722.34</v>
      </c>
      <c r="I202" s="1032" t="s">
        <v>1065</v>
      </c>
    </row>
    <row r="203" spans="1:9" x14ac:dyDescent="0.25">
      <c r="A203" s="1033"/>
      <c r="C203" s="130" t="s">
        <v>177</v>
      </c>
      <c r="D203" s="130">
        <v>16</v>
      </c>
      <c r="E203" s="130" t="s">
        <v>177</v>
      </c>
      <c r="F203" s="1031">
        <v>0</v>
      </c>
      <c r="G203" s="1031">
        <v>-1747.4</v>
      </c>
      <c r="H203" s="1031">
        <v>-1747.4</v>
      </c>
      <c r="I203" s="1032" t="s">
        <v>1068</v>
      </c>
    </row>
    <row r="204" spans="1:9" x14ac:dyDescent="0.25">
      <c r="A204" s="1033"/>
      <c r="C204" s="130" t="s">
        <v>1069</v>
      </c>
      <c r="D204" s="130">
        <v>16</v>
      </c>
      <c r="E204" s="130" t="s">
        <v>1069</v>
      </c>
      <c r="F204" s="1031">
        <v>0</v>
      </c>
      <c r="G204" s="1031">
        <v>1061.99</v>
      </c>
      <c r="H204" s="1031">
        <v>1061.99</v>
      </c>
      <c r="I204" s="1032" t="s">
        <v>1070</v>
      </c>
    </row>
    <row r="205" spans="1:9" x14ac:dyDescent="0.25">
      <c r="A205" s="1033">
        <v>900628</v>
      </c>
      <c r="B205" s="129">
        <v>426</v>
      </c>
      <c r="E205" s="130"/>
    </row>
    <row r="206" spans="1:9" x14ac:dyDescent="0.25">
      <c r="A206" s="1033">
        <v>900712</v>
      </c>
      <c r="B206" s="129">
        <v>12</v>
      </c>
      <c r="C206" s="130" t="s">
        <v>1071</v>
      </c>
      <c r="D206" s="130">
        <v>16</v>
      </c>
      <c r="E206" s="130" t="s">
        <v>1071</v>
      </c>
      <c r="F206" s="1031">
        <v>0</v>
      </c>
      <c r="G206" s="1031">
        <v>-0.12</v>
      </c>
      <c r="H206" s="1031">
        <v>-0.12</v>
      </c>
      <c r="I206" s="1032" t="s">
        <v>1072</v>
      </c>
    </row>
    <row r="207" spans="1:9" x14ac:dyDescent="0.25">
      <c r="A207" s="1033">
        <v>900714</v>
      </c>
      <c r="B207" s="129">
        <v>1731</v>
      </c>
      <c r="C207" s="130" t="s">
        <v>14</v>
      </c>
      <c r="D207" s="130">
        <v>16</v>
      </c>
      <c r="E207" s="130" t="s">
        <v>14</v>
      </c>
      <c r="F207" s="1031">
        <v>0</v>
      </c>
      <c r="G207" s="1031">
        <v>-1730.65</v>
      </c>
      <c r="H207" s="1031">
        <v>-1730.65</v>
      </c>
      <c r="I207" s="1032" t="s">
        <v>1073</v>
      </c>
    </row>
    <row r="208" spans="1:9" x14ac:dyDescent="0.25">
      <c r="A208" s="1033">
        <v>900716</v>
      </c>
      <c r="B208" s="129">
        <v>495</v>
      </c>
      <c r="C208" s="130" t="s">
        <v>14</v>
      </c>
      <c r="D208" s="130">
        <v>16</v>
      </c>
      <c r="E208" s="130" t="s">
        <v>14</v>
      </c>
      <c r="F208" s="1031">
        <v>0</v>
      </c>
      <c r="G208" s="1031">
        <v>-1730.65</v>
      </c>
      <c r="H208" s="1031">
        <v>-1730.65</v>
      </c>
      <c r="I208" s="1032" t="s">
        <v>1073</v>
      </c>
    </row>
    <row r="209" spans="1:9" x14ac:dyDescent="0.25">
      <c r="A209" s="1033"/>
      <c r="C209" s="130" t="s">
        <v>1074</v>
      </c>
      <c r="D209" s="130">
        <v>16</v>
      </c>
      <c r="E209" s="130" t="s">
        <v>1074</v>
      </c>
      <c r="F209" s="1031">
        <v>0</v>
      </c>
      <c r="G209" s="1031">
        <v>1236.1199999999999</v>
      </c>
      <c r="H209" s="1031">
        <v>1236.1199999999999</v>
      </c>
      <c r="I209" s="1032" t="s">
        <v>1075</v>
      </c>
    </row>
    <row r="210" spans="1:9" x14ac:dyDescent="0.25">
      <c r="A210" s="1033">
        <v>900718</v>
      </c>
      <c r="B210" s="129">
        <v>286</v>
      </c>
      <c r="E210" s="130"/>
    </row>
    <row r="211" spans="1:9" x14ac:dyDescent="0.25">
      <c r="A211" s="1033">
        <v>900722</v>
      </c>
      <c r="B211" s="129">
        <v>12</v>
      </c>
      <c r="C211" s="130" t="s">
        <v>1071</v>
      </c>
      <c r="D211" s="130">
        <v>16</v>
      </c>
      <c r="E211" s="130" t="s">
        <v>1071</v>
      </c>
      <c r="F211" s="1031">
        <v>0</v>
      </c>
      <c r="G211" s="1031">
        <v>-0.12</v>
      </c>
      <c r="H211" s="1031">
        <v>-0.12</v>
      </c>
      <c r="I211" s="1032" t="s">
        <v>1072</v>
      </c>
    </row>
    <row r="212" spans="1:9" x14ac:dyDescent="0.25">
      <c r="A212" s="1033">
        <v>900724</v>
      </c>
      <c r="B212" s="129">
        <v>1731</v>
      </c>
      <c r="C212" s="130" t="s">
        <v>14</v>
      </c>
      <c r="D212" s="130">
        <v>16</v>
      </c>
      <c r="E212" s="130" t="s">
        <v>14</v>
      </c>
      <c r="F212" s="1031">
        <v>0</v>
      </c>
      <c r="G212" s="1031">
        <v>-1730.65</v>
      </c>
      <c r="H212" s="1031">
        <v>-1730.65</v>
      </c>
      <c r="I212" s="1032" t="s">
        <v>1073</v>
      </c>
    </row>
    <row r="213" spans="1:9" x14ac:dyDescent="0.25">
      <c r="A213" s="1033">
        <v>900726</v>
      </c>
      <c r="B213" s="129">
        <v>495</v>
      </c>
      <c r="C213" s="130" t="s">
        <v>14</v>
      </c>
      <c r="D213" s="130">
        <v>16</v>
      </c>
      <c r="E213" s="130" t="s">
        <v>14</v>
      </c>
      <c r="F213" s="1031">
        <v>0</v>
      </c>
      <c r="G213" s="1031">
        <v>-1730.65</v>
      </c>
      <c r="H213" s="1031">
        <v>-1730.65</v>
      </c>
      <c r="I213" s="1032" t="s">
        <v>1073</v>
      </c>
    </row>
    <row r="214" spans="1:9" x14ac:dyDescent="0.25">
      <c r="A214" s="1033"/>
      <c r="C214" s="130" t="s">
        <v>1074</v>
      </c>
      <c r="D214" s="130">
        <v>16</v>
      </c>
      <c r="E214" s="130" t="s">
        <v>1074</v>
      </c>
      <c r="F214" s="1031">
        <v>0</v>
      </c>
      <c r="G214" s="1031">
        <v>1236.1199999999999</v>
      </c>
      <c r="H214" s="1031">
        <v>1236.1199999999999</v>
      </c>
      <c r="I214" s="1032" t="s">
        <v>1075</v>
      </c>
    </row>
    <row r="215" spans="1:9" x14ac:dyDescent="0.25">
      <c r="A215" s="1033">
        <v>900728</v>
      </c>
      <c r="B215" s="129">
        <v>286</v>
      </c>
      <c r="E215" s="130"/>
    </row>
    <row r="216" spans="1:9" x14ac:dyDescent="0.25">
      <c r="A216" s="1033">
        <v>900812</v>
      </c>
      <c r="B216" s="129">
        <v>29</v>
      </c>
      <c r="C216" s="130" t="s">
        <v>1076</v>
      </c>
      <c r="D216" s="130">
        <v>16</v>
      </c>
      <c r="E216" s="130" t="s">
        <v>1076</v>
      </c>
      <c r="F216" s="1031">
        <v>0</v>
      </c>
      <c r="G216" s="1031">
        <v>-0.28999999999999998</v>
      </c>
      <c r="H216" s="1031">
        <v>-0.28999999999999998</v>
      </c>
      <c r="I216" s="1032" t="s">
        <v>1077</v>
      </c>
    </row>
    <row r="217" spans="1:9" x14ac:dyDescent="0.25">
      <c r="A217" s="1033">
        <v>900814</v>
      </c>
      <c r="B217" s="129">
        <v>3507</v>
      </c>
      <c r="C217" s="130" t="s">
        <v>17</v>
      </c>
      <c r="D217" s="130">
        <v>16</v>
      </c>
      <c r="E217" s="130" t="s">
        <v>17</v>
      </c>
      <c r="F217" s="1031">
        <v>0</v>
      </c>
      <c r="G217" s="1031">
        <v>-3507.35</v>
      </c>
      <c r="H217" s="1031">
        <v>-3507.35</v>
      </c>
      <c r="I217" s="1032" t="s">
        <v>1078</v>
      </c>
    </row>
    <row r="218" spans="1:9" x14ac:dyDescent="0.25">
      <c r="A218" s="1033">
        <v>900816</v>
      </c>
      <c r="B218" s="129">
        <v>1002</v>
      </c>
      <c r="C218" s="130" t="s">
        <v>17</v>
      </c>
      <c r="D218" s="130">
        <v>16</v>
      </c>
      <c r="E218" s="130" t="s">
        <v>17</v>
      </c>
      <c r="F218" s="1031">
        <v>0</v>
      </c>
      <c r="G218" s="1031">
        <v>-3507.35</v>
      </c>
      <c r="H218" s="1031">
        <v>-3507.35</v>
      </c>
      <c r="I218" s="1032" t="s">
        <v>1078</v>
      </c>
    </row>
    <row r="219" spans="1:9" x14ac:dyDescent="0.25">
      <c r="A219" s="1033"/>
      <c r="C219" s="130" t="s">
        <v>1079</v>
      </c>
      <c r="D219" s="130">
        <v>16</v>
      </c>
      <c r="E219" s="130" t="s">
        <v>1079</v>
      </c>
      <c r="F219" s="1031">
        <v>0</v>
      </c>
      <c r="G219" s="1031">
        <v>2505.09</v>
      </c>
      <c r="H219" s="1031">
        <v>2505.09</v>
      </c>
      <c r="I219" s="1032" t="s">
        <v>1080</v>
      </c>
    </row>
    <row r="220" spans="1:9" x14ac:dyDescent="0.25">
      <c r="A220" s="1033">
        <v>900818</v>
      </c>
      <c r="B220" s="129">
        <v>286</v>
      </c>
      <c r="E220" s="130"/>
    </row>
    <row r="221" spans="1:9" x14ac:dyDescent="0.25">
      <c r="A221" s="1033">
        <v>900822</v>
      </c>
      <c r="B221" s="129">
        <v>29</v>
      </c>
      <c r="C221" s="130" t="s">
        <v>1076</v>
      </c>
      <c r="D221" s="130">
        <v>16</v>
      </c>
      <c r="E221" s="130" t="s">
        <v>1076</v>
      </c>
      <c r="F221" s="1031">
        <v>0</v>
      </c>
      <c r="G221" s="1031">
        <v>-0.28999999999999998</v>
      </c>
      <c r="H221" s="1031">
        <v>-0.28999999999999998</v>
      </c>
      <c r="I221" s="1032" t="s">
        <v>1077</v>
      </c>
    </row>
    <row r="222" spans="1:9" x14ac:dyDescent="0.25">
      <c r="A222" s="1033">
        <v>900824</v>
      </c>
      <c r="B222" s="129">
        <v>3507</v>
      </c>
      <c r="C222" s="130" t="s">
        <v>17</v>
      </c>
      <c r="D222" s="130">
        <v>16</v>
      </c>
      <c r="E222" s="130" t="s">
        <v>17</v>
      </c>
      <c r="F222" s="1031">
        <v>0</v>
      </c>
      <c r="G222" s="1031">
        <v>-3507.35</v>
      </c>
      <c r="H222" s="1031">
        <v>-3507.35</v>
      </c>
      <c r="I222" s="1032" t="s">
        <v>1078</v>
      </c>
    </row>
    <row r="223" spans="1:9" x14ac:dyDescent="0.25">
      <c r="A223" s="1033">
        <v>900826</v>
      </c>
      <c r="B223" s="129">
        <v>1002</v>
      </c>
      <c r="C223" s="130" t="s">
        <v>17</v>
      </c>
      <c r="D223" s="130">
        <v>16</v>
      </c>
      <c r="E223" s="130" t="s">
        <v>17</v>
      </c>
      <c r="F223" s="1031">
        <v>0</v>
      </c>
      <c r="G223" s="1031">
        <v>-3507.35</v>
      </c>
      <c r="H223" s="1031">
        <v>-3507.35</v>
      </c>
      <c r="I223" s="1032" t="s">
        <v>1078</v>
      </c>
    </row>
    <row r="224" spans="1:9" x14ac:dyDescent="0.25">
      <c r="A224" s="1033"/>
      <c r="C224" s="130" t="s">
        <v>1079</v>
      </c>
      <c r="D224" s="130">
        <v>16</v>
      </c>
      <c r="E224" s="130" t="s">
        <v>1079</v>
      </c>
      <c r="F224" s="1031">
        <v>0</v>
      </c>
      <c r="G224" s="1031">
        <v>2505.09</v>
      </c>
      <c r="H224" s="1031">
        <v>2505.09</v>
      </c>
      <c r="I224" s="1032" t="s">
        <v>1080</v>
      </c>
    </row>
    <row r="225" spans="1:5" x14ac:dyDescent="0.25">
      <c r="A225" s="1033">
        <v>900828</v>
      </c>
      <c r="B225" s="129">
        <v>286</v>
      </c>
      <c r="E225" s="130"/>
    </row>
    <row r="226" spans="1:5" x14ac:dyDescent="0.25">
      <c r="A226" s="1033">
        <v>900912</v>
      </c>
      <c r="B226" s="129">
        <v>0</v>
      </c>
      <c r="E226" s="130"/>
    </row>
    <row r="227" spans="1:5" x14ac:dyDescent="0.25">
      <c r="A227" s="1033">
        <v>900914</v>
      </c>
      <c r="B227" s="129">
        <v>0</v>
      </c>
      <c r="E227" s="130"/>
    </row>
    <row r="228" spans="1:5" x14ac:dyDescent="0.25">
      <c r="A228" s="1033">
        <v>900916</v>
      </c>
      <c r="B228" s="129">
        <v>0</v>
      </c>
      <c r="E228" s="130"/>
    </row>
    <row r="229" spans="1:5" x14ac:dyDescent="0.25">
      <c r="A229" s="1033">
        <v>900918</v>
      </c>
      <c r="B229" s="129">
        <v>0</v>
      </c>
      <c r="E229" s="130"/>
    </row>
    <row r="230" spans="1:5" x14ac:dyDescent="0.25">
      <c r="A230" s="1033">
        <v>900922</v>
      </c>
      <c r="B230" s="129">
        <v>0</v>
      </c>
      <c r="E230" s="130"/>
    </row>
    <row r="231" spans="1:5" x14ac:dyDescent="0.25">
      <c r="A231" s="1033">
        <v>900924</v>
      </c>
      <c r="B231" s="129">
        <v>0</v>
      </c>
      <c r="E231" s="130"/>
    </row>
    <row r="232" spans="1:5" x14ac:dyDescent="0.25">
      <c r="A232" s="1033">
        <v>900926</v>
      </c>
      <c r="B232" s="129">
        <v>0</v>
      </c>
      <c r="E232" s="130"/>
    </row>
    <row r="233" spans="1:5" x14ac:dyDescent="0.25">
      <c r="A233" s="1033">
        <v>900928</v>
      </c>
      <c r="B233" s="129">
        <v>0</v>
      </c>
      <c r="E233" s="130"/>
    </row>
    <row r="234" spans="1:5" x14ac:dyDescent="0.25">
      <c r="A234" s="1033">
        <v>901012</v>
      </c>
      <c r="B234" s="129">
        <v>0</v>
      </c>
      <c r="E234" s="130"/>
    </row>
    <row r="235" spans="1:5" x14ac:dyDescent="0.25">
      <c r="A235" s="1033">
        <v>901014</v>
      </c>
      <c r="B235" s="129">
        <v>0</v>
      </c>
      <c r="E235" s="130"/>
    </row>
    <row r="236" spans="1:5" x14ac:dyDescent="0.25">
      <c r="A236" s="1033">
        <v>901016</v>
      </c>
      <c r="B236" s="129">
        <v>0</v>
      </c>
      <c r="E236" s="130"/>
    </row>
    <row r="237" spans="1:5" x14ac:dyDescent="0.25">
      <c r="A237" s="1033">
        <v>901018</v>
      </c>
      <c r="B237" s="129">
        <v>0</v>
      </c>
      <c r="E237" s="130"/>
    </row>
    <row r="238" spans="1:5" x14ac:dyDescent="0.25">
      <c r="A238" s="1033">
        <v>901022</v>
      </c>
      <c r="B238" s="129">
        <v>0</v>
      </c>
      <c r="E238" s="130"/>
    </row>
    <row r="239" spans="1:5" x14ac:dyDescent="0.25">
      <c r="A239" s="1033">
        <v>901024</v>
      </c>
      <c r="B239" s="129">
        <v>0</v>
      </c>
      <c r="E239" s="130"/>
    </row>
    <row r="240" spans="1:5" x14ac:dyDescent="0.25">
      <c r="A240" s="1033">
        <v>901026</v>
      </c>
      <c r="B240" s="129">
        <v>0</v>
      </c>
      <c r="E240" s="130"/>
    </row>
    <row r="241" spans="1:9" x14ac:dyDescent="0.25">
      <c r="A241" s="1033">
        <v>901028</v>
      </c>
      <c r="B241" s="129">
        <v>0</v>
      </c>
      <c r="E241" s="130"/>
    </row>
    <row r="242" spans="1:9" x14ac:dyDescent="0.25">
      <c r="A242" s="1033">
        <v>901112</v>
      </c>
      <c r="B242" s="129">
        <v>41</v>
      </c>
      <c r="E242" s="130"/>
    </row>
    <row r="243" spans="1:9" x14ac:dyDescent="0.25">
      <c r="A243" s="1033">
        <v>901114</v>
      </c>
      <c r="B243" s="129">
        <v>5238</v>
      </c>
      <c r="E243" s="130"/>
    </row>
    <row r="244" spans="1:9" x14ac:dyDescent="0.25">
      <c r="A244" s="1033">
        <v>901116</v>
      </c>
      <c r="B244" s="129">
        <v>1497</v>
      </c>
      <c r="C244" s="130" t="s">
        <v>14</v>
      </c>
      <c r="D244" s="130">
        <v>16</v>
      </c>
      <c r="E244" s="130" t="s">
        <v>14</v>
      </c>
      <c r="F244" s="1031">
        <v>0</v>
      </c>
      <c r="G244" s="1031">
        <v>-1730.65</v>
      </c>
      <c r="H244" s="1031">
        <v>-1730.65</v>
      </c>
      <c r="I244" s="1032" t="s">
        <v>1073</v>
      </c>
    </row>
    <row r="245" spans="1:9" x14ac:dyDescent="0.25">
      <c r="A245" s="1033"/>
      <c r="C245" s="130" t="s">
        <v>1074</v>
      </c>
      <c r="D245" s="130">
        <v>16</v>
      </c>
      <c r="E245" s="130" t="s">
        <v>1074</v>
      </c>
      <c r="F245" s="1031">
        <v>0</v>
      </c>
      <c r="G245" s="1031">
        <v>1236.1199999999999</v>
      </c>
      <c r="H245" s="1031">
        <v>1236.1199999999999</v>
      </c>
      <c r="I245" s="1032" t="s">
        <v>1075</v>
      </c>
    </row>
    <row r="246" spans="1:9" x14ac:dyDescent="0.25">
      <c r="A246" s="1033"/>
      <c r="C246" s="130" t="s">
        <v>17</v>
      </c>
      <c r="D246" s="130">
        <v>16</v>
      </c>
      <c r="E246" s="130" t="s">
        <v>17</v>
      </c>
      <c r="F246" s="1031">
        <v>0</v>
      </c>
      <c r="G246" s="1031">
        <v>-3507.35</v>
      </c>
      <c r="H246" s="1031">
        <v>-3507.35</v>
      </c>
      <c r="I246" s="1032" t="s">
        <v>1078</v>
      </c>
    </row>
    <row r="247" spans="1:9" x14ac:dyDescent="0.25">
      <c r="A247" s="1033"/>
      <c r="C247" s="130" t="s">
        <v>1079</v>
      </c>
      <c r="D247" s="130">
        <v>16</v>
      </c>
      <c r="E247" s="130" t="s">
        <v>1079</v>
      </c>
      <c r="F247" s="1031">
        <v>0</v>
      </c>
      <c r="G247" s="1031">
        <v>2505.09</v>
      </c>
      <c r="H247" s="1031">
        <v>2505.09</v>
      </c>
      <c r="I247" s="1032" t="s">
        <v>1080</v>
      </c>
    </row>
    <row r="248" spans="1:9" x14ac:dyDescent="0.25">
      <c r="A248" s="1033">
        <v>901118</v>
      </c>
      <c r="B248" s="129">
        <v>286</v>
      </c>
      <c r="E248" s="130"/>
    </row>
    <row r="249" spans="1:9" x14ac:dyDescent="0.25">
      <c r="A249" s="1033">
        <v>901122</v>
      </c>
      <c r="B249" s="129">
        <v>41</v>
      </c>
      <c r="E249" s="130"/>
    </row>
    <row r="250" spans="1:9" x14ac:dyDescent="0.25">
      <c r="A250" s="1033">
        <v>901124</v>
      </c>
      <c r="B250" s="129">
        <v>5238</v>
      </c>
      <c r="E250" s="130"/>
    </row>
    <row r="251" spans="1:9" x14ac:dyDescent="0.25">
      <c r="A251" s="1033">
        <v>901126</v>
      </c>
      <c r="B251" s="129">
        <v>1497</v>
      </c>
      <c r="C251" s="130" t="s">
        <v>14</v>
      </c>
      <c r="D251" s="130">
        <v>16</v>
      </c>
      <c r="E251" s="130" t="s">
        <v>14</v>
      </c>
      <c r="F251" s="1031">
        <v>0</v>
      </c>
      <c r="G251" s="1031">
        <v>-1730.65</v>
      </c>
      <c r="H251" s="1031">
        <v>-1730.65</v>
      </c>
      <c r="I251" s="1032" t="s">
        <v>1073</v>
      </c>
    </row>
    <row r="252" spans="1:9" x14ac:dyDescent="0.25">
      <c r="A252" s="1033"/>
      <c r="C252" s="130" t="s">
        <v>1074</v>
      </c>
      <c r="D252" s="130">
        <v>16</v>
      </c>
      <c r="E252" s="130" t="s">
        <v>1074</v>
      </c>
      <c r="F252" s="1031">
        <v>0</v>
      </c>
      <c r="G252" s="1031">
        <v>1236.1199999999999</v>
      </c>
      <c r="H252" s="1031">
        <v>1236.1199999999999</v>
      </c>
      <c r="I252" s="1032" t="s">
        <v>1075</v>
      </c>
    </row>
    <row r="253" spans="1:9" x14ac:dyDescent="0.25">
      <c r="A253" s="1033"/>
      <c r="C253" s="130" t="s">
        <v>17</v>
      </c>
      <c r="D253" s="130">
        <v>16</v>
      </c>
      <c r="E253" s="130" t="s">
        <v>17</v>
      </c>
      <c r="F253" s="1031">
        <v>0</v>
      </c>
      <c r="G253" s="1031">
        <v>-3507.35</v>
      </c>
      <c r="H253" s="1031">
        <v>-3507.35</v>
      </c>
      <c r="I253" s="1032" t="s">
        <v>1078</v>
      </c>
    </row>
    <row r="254" spans="1:9" x14ac:dyDescent="0.25">
      <c r="A254" s="1033"/>
      <c r="C254" s="130" t="s">
        <v>1079</v>
      </c>
      <c r="D254" s="130">
        <v>16</v>
      </c>
      <c r="E254" s="130" t="s">
        <v>1079</v>
      </c>
      <c r="F254" s="1031">
        <v>0</v>
      </c>
      <c r="G254" s="1031">
        <v>2505.09</v>
      </c>
      <c r="H254" s="1031">
        <v>2505.09</v>
      </c>
      <c r="I254" s="1032" t="s">
        <v>1080</v>
      </c>
    </row>
    <row r="255" spans="1:9" x14ac:dyDescent="0.25">
      <c r="A255" s="1033">
        <v>901128</v>
      </c>
      <c r="B255" s="129">
        <v>286</v>
      </c>
      <c r="E255" s="130"/>
    </row>
    <row r="256" spans="1:9" x14ac:dyDescent="0.25">
      <c r="A256" s="1033">
        <v>901212</v>
      </c>
      <c r="B256" s="129">
        <v>0</v>
      </c>
      <c r="E256" s="130"/>
    </row>
    <row r="257" spans="1:9" x14ac:dyDescent="0.25">
      <c r="A257" s="1033">
        <v>901214</v>
      </c>
      <c r="B257" s="129">
        <v>0</v>
      </c>
      <c r="E257" s="130"/>
    </row>
    <row r="258" spans="1:9" x14ac:dyDescent="0.25">
      <c r="A258" s="1033">
        <v>901216</v>
      </c>
      <c r="B258" s="129">
        <v>0</v>
      </c>
      <c r="E258" s="130"/>
    </row>
    <row r="259" spans="1:9" x14ac:dyDescent="0.25">
      <c r="A259" s="1033">
        <v>901218</v>
      </c>
      <c r="B259" s="129">
        <v>0</v>
      </c>
      <c r="E259" s="130"/>
    </row>
    <row r="260" spans="1:9" x14ac:dyDescent="0.25">
      <c r="A260" s="1033">
        <v>901222</v>
      </c>
      <c r="B260" s="129">
        <v>0</v>
      </c>
      <c r="E260" s="130"/>
    </row>
    <row r="261" spans="1:9" x14ac:dyDescent="0.25">
      <c r="A261" s="1033">
        <v>901224</v>
      </c>
      <c r="B261" s="129">
        <v>0</v>
      </c>
      <c r="E261" s="130"/>
    </row>
    <row r="262" spans="1:9" x14ac:dyDescent="0.25">
      <c r="A262" s="1033">
        <v>901226</v>
      </c>
      <c r="B262" s="129">
        <v>0</v>
      </c>
      <c r="E262" s="130"/>
    </row>
    <row r="263" spans="1:9" x14ac:dyDescent="0.25">
      <c r="A263" s="1033">
        <v>901228</v>
      </c>
      <c r="B263" s="129">
        <v>0</v>
      </c>
      <c r="E263" s="130"/>
    </row>
    <row r="264" spans="1:9" x14ac:dyDescent="0.25">
      <c r="A264" s="1033">
        <v>901312</v>
      </c>
      <c r="B264" s="129">
        <v>1</v>
      </c>
      <c r="C264" s="130" t="s">
        <v>1081</v>
      </c>
      <c r="D264" s="130">
        <v>16</v>
      </c>
      <c r="E264" s="130" t="s">
        <v>1081</v>
      </c>
      <c r="F264" s="1031">
        <v>0</v>
      </c>
      <c r="G264" s="1031">
        <v>-0.01</v>
      </c>
      <c r="H264" s="1031">
        <v>-0.01</v>
      </c>
      <c r="I264" s="1032" t="s">
        <v>1082</v>
      </c>
    </row>
    <row r="265" spans="1:9" x14ac:dyDescent="0.25">
      <c r="A265" s="1033">
        <v>901314</v>
      </c>
      <c r="B265" s="129">
        <v>0</v>
      </c>
      <c r="E265" s="130"/>
    </row>
    <row r="266" spans="1:9" x14ac:dyDescent="0.25">
      <c r="A266" s="1033">
        <v>901316</v>
      </c>
      <c r="B266" s="129">
        <v>0</v>
      </c>
      <c r="E266" s="130"/>
    </row>
    <row r="267" spans="1:9" x14ac:dyDescent="0.25">
      <c r="A267" s="1033">
        <v>901318</v>
      </c>
      <c r="B267" s="129">
        <v>0</v>
      </c>
      <c r="E267" s="130"/>
    </row>
    <row r="268" spans="1:9" x14ac:dyDescent="0.25">
      <c r="A268" s="1033">
        <v>901322</v>
      </c>
      <c r="B268" s="129">
        <v>1</v>
      </c>
      <c r="C268" s="130" t="s">
        <v>1081</v>
      </c>
      <c r="D268" s="130">
        <v>16</v>
      </c>
      <c r="E268" s="130" t="s">
        <v>1081</v>
      </c>
      <c r="F268" s="1031">
        <v>0</v>
      </c>
      <c r="G268" s="1031">
        <v>-0.01</v>
      </c>
      <c r="H268" s="1031">
        <v>-0.01</v>
      </c>
      <c r="I268" s="1032" t="s">
        <v>1082</v>
      </c>
    </row>
    <row r="269" spans="1:9" x14ac:dyDescent="0.25">
      <c r="A269" s="1033">
        <v>901324</v>
      </c>
      <c r="B269" s="129">
        <v>0</v>
      </c>
      <c r="E269" s="130"/>
    </row>
    <row r="270" spans="1:9" x14ac:dyDescent="0.25">
      <c r="A270" s="1033">
        <v>901326</v>
      </c>
      <c r="B270" s="129">
        <v>0</v>
      </c>
      <c r="E270" s="130"/>
    </row>
    <row r="271" spans="1:9" x14ac:dyDescent="0.25">
      <c r="A271" s="1033">
        <v>901328</v>
      </c>
      <c r="B271" s="129">
        <v>0</v>
      </c>
      <c r="E271" s="130"/>
    </row>
    <row r="272" spans="1:9" x14ac:dyDescent="0.25">
      <c r="A272" s="1033">
        <v>901412</v>
      </c>
      <c r="B272" s="129">
        <v>0</v>
      </c>
      <c r="E272" s="130"/>
    </row>
    <row r="273" spans="1:5" x14ac:dyDescent="0.25">
      <c r="A273" s="1033">
        <v>901414</v>
      </c>
      <c r="B273" s="129">
        <v>0</v>
      </c>
      <c r="E273" s="130"/>
    </row>
    <row r="274" spans="1:5" x14ac:dyDescent="0.25">
      <c r="A274" s="1033">
        <v>901416</v>
      </c>
      <c r="B274" s="129">
        <v>0</v>
      </c>
      <c r="E274" s="130"/>
    </row>
    <row r="275" spans="1:5" x14ac:dyDescent="0.25">
      <c r="A275" s="1033">
        <v>901418</v>
      </c>
      <c r="B275" s="129">
        <v>0</v>
      </c>
      <c r="E275" s="130"/>
    </row>
    <row r="276" spans="1:5" x14ac:dyDescent="0.25">
      <c r="A276" s="1033">
        <v>901422</v>
      </c>
      <c r="B276" s="129">
        <v>0</v>
      </c>
      <c r="E276" s="130"/>
    </row>
    <row r="277" spans="1:5" x14ac:dyDescent="0.25">
      <c r="A277" s="1033">
        <v>901424</v>
      </c>
      <c r="B277" s="129">
        <v>0</v>
      </c>
      <c r="E277" s="130"/>
    </row>
    <row r="278" spans="1:5" x14ac:dyDescent="0.25">
      <c r="A278" s="1033">
        <v>901426</v>
      </c>
      <c r="B278" s="129">
        <v>0</v>
      </c>
      <c r="E278" s="130"/>
    </row>
    <row r="279" spans="1:5" x14ac:dyDescent="0.25">
      <c r="A279" s="1033">
        <v>901428</v>
      </c>
      <c r="B279" s="129">
        <v>0</v>
      </c>
      <c r="E279" s="130"/>
    </row>
    <row r="280" spans="1:5" x14ac:dyDescent="0.25">
      <c r="A280" s="1033">
        <v>901512</v>
      </c>
      <c r="B280" s="129">
        <v>0</v>
      </c>
      <c r="E280" s="130"/>
    </row>
    <row r="281" spans="1:5" x14ac:dyDescent="0.25">
      <c r="A281" s="1033">
        <v>901514</v>
      </c>
      <c r="B281" s="129">
        <v>0</v>
      </c>
      <c r="E281" s="130"/>
    </row>
    <row r="282" spans="1:5" x14ac:dyDescent="0.25">
      <c r="A282" s="1033">
        <v>901516</v>
      </c>
      <c r="B282" s="129">
        <v>0</v>
      </c>
      <c r="E282" s="130"/>
    </row>
    <row r="283" spans="1:5" x14ac:dyDescent="0.25">
      <c r="A283" s="1033">
        <v>901518</v>
      </c>
      <c r="B283" s="129">
        <v>0</v>
      </c>
      <c r="E283" s="130"/>
    </row>
    <row r="284" spans="1:5" x14ac:dyDescent="0.25">
      <c r="A284" s="1033">
        <v>901522</v>
      </c>
      <c r="B284" s="129">
        <v>0</v>
      </c>
      <c r="E284" s="130"/>
    </row>
    <row r="285" spans="1:5" x14ac:dyDescent="0.25">
      <c r="A285" s="1033">
        <v>901524</v>
      </c>
      <c r="B285" s="129">
        <v>0</v>
      </c>
      <c r="E285" s="130"/>
    </row>
    <row r="286" spans="1:5" x14ac:dyDescent="0.25">
      <c r="A286" s="1033">
        <v>901526</v>
      </c>
      <c r="B286" s="129">
        <v>0</v>
      </c>
      <c r="E286" s="130"/>
    </row>
    <row r="287" spans="1:5" x14ac:dyDescent="0.25">
      <c r="A287" s="1033">
        <v>901528</v>
      </c>
      <c r="B287" s="129">
        <v>0</v>
      </c>
      <c r="E287" s="130"/>
    </row>
    <row r="288" spans="1:5" x14ac:dyDescent="0.25">
      <c r="A288" s="1033">
        <v>901612</v>
      </c>
      <c r="B288" s="129">
        <v>0</v>
      </c>
      <c r="E288" s="130"/>
    </row>
    <row r="289" spans="1:9" x14ac:dyDescent="0.25">
      <c r="A289" s="1033">
        <v>901614</v>
      </c>
      <c r="B289" s="129">
        <v>0</v>
      </c>
      <c r="E289" s="130"/>
    </row>
    <row r="290" spans="1:9" x14ac:dyDescent="0.25">
      <c r="A290" s="1033">
        <v>901616</v>
      </c>
      <c r="B290" s="129">
        <v>0</v>
      </c>
      <c r="E290" s="130"/>
    </row>
    <row r="291" spans="1:9" x14ac:dyDescent="0.25">
      <c r="A291" s="1033">
        <v>901618</v>
      </c>
      <c r="B291" s="129">
        <v>0</v>
      </c>
      <c r="E291" s="130"/>
    </row>
    <row r="292" spans="1:9" x14ac:dyDescent="0.25">
      <c r="A292" s="1033">
        <v>901622</v>
      </c>
      <c r="B292" s="129">
        <v>0</v>
      </c>
      <c r="E292" s="130"/>
    </row>
    <row r="293" spans="1:9" x14ac:dyDescent="0.25">
      <c r="A293" s="1033">
        <v>901624</v>
      </c>
      <c r="B293" s="129">
        <v>0</v>
      </c>
      <c r="E293" s="130"/>
    </row>
    <row r="294" spans="1:9" x14ac:dyDescent="0.25">
      <c r="A294" s="1033">
        <v>901626</v>
      </c>
      <c r="B294" s="129">
        <v>0</v>
      </c>
      <c r="E294" s="130"/>
    </row>
    <row r="295" spans="1:9" x14ac:dyDescent="0.25">
      <c r="A295" s="1033">
        <v>901628</v>
      </c>
      <c r="B295" s="129">
        <v>0</v>
      </c>
      <c r="E295" s="130"/>
    </row>
    <row r="296" spans="1:9" x14ac:dyDescent="0.25">
      <c r="A296" s="1033">
        <v>901712</v>
      </c>
      <c r="B296" s="129">
        <v>1</v>
      </c>
      <c r="E296" s="130"/>
    </row>
    <row r="297" spans="1:9" x14ac:dyDescent="0.25">
      <c r="A297" s="1033">
        <v>901714</v>
      </c>
      <c r="B297" s="129">
        <v>0</v>
      </c>
      <c r="E297" s="130"/>
    </row>
    <row r="298" spans="1:9" x14ac:dyDescent="0.25">
      <c r="A298" s="1033">
        <v>901716</v>
      </c>
      <c r="B298" s="129">
        <v>0</v>
      </c>
      <c r="E298" s="130"/>
    </row>
    <row r="299" spans="1:9" x14ac:dyDescent="0.25">
      <c r="A299" s="1033">
        <v>901718</v>
      </c>
      <c r="B299" s="129">
        <v>0</v>
      </c>
      <c r="E299" s="130"/>
    </row>
    <row r="300" spans="1:9" x14ac:dyDescent="0.25">
      <c r="A300" s="1033">
        <v>901722</v>
      </c>
      <c r="B300" s="129">
        <v>1</v>
      </c>
      <c r="E300" s="130"/>
    </row>
    <row r="301" spans="1:9" x14ac:dyDescent="0.25">
      <c r="A301" s="1033">
        <v>901724</v>
      </c>
      <c r="B301" s="129">
        <v>0</v>
      </c>
      <c r="E301" s="130"/>
    </row>
    <row r="302" spans="1:9" x14ac:dyDescent="0.25">
      <c r="A302" s="1033">
        <v>901726</v>
      </c>
      <c r="B302" s="129">
        <v>0</v>
      </c>
      <c r="E302" s="130"/>
    </row>
    <row r="303" spans="1:9" x14ac:dyDescent="0.25">
      <c r="A303" s="1033">
        <v>901728</v>
      </c>
      <c r="B303" s="129">
        <v>0</v>
      </c>
      <c r="E303" s="130"/>
    </row>
    <row r="304" spans="1:9" x14ac:dyDescent="0.25">
      <c r="A304" s="1033">
        <v>901812</v>
      </c>
      <c r="B304" s="129">
        <v>21</v>
      </c>
      <c r="C304" s="130" t="s">
        <v>1083</v>
      </c>
      <c r="D304" s="130">
        <v>16</v>
      </c>
      <c r="E304" s="130" t="s">
        <v>1083</v>
      </c>
      <c r="F304" s="1031">
        <v>0</v>
      </c>
      <c r="G304" s="1031">
        <v>-0.21</v>
      </c>
      <c r="H304" s="1031">
        <v>-0.21</v>
      </c>
      <c r="I304" s="1032" t="s">
        <v>1084</v>
      </c>
    </row>
    <row r="305" spans="1:9" x14ac:dyDescent="0.25">
      <c r="A305" s="1033">
        <v>901814</v>
      </c>
      <c r="B305" s="129">
        <v>33249</v>
      </c>
      <c r="C305" s="130" t="s">
        <v>41</v>
      </c>
      <c r="D305" s="130">
        <v>16</v>
      </c>
      <c r="E305" s="130" t="s">
        <v>41</v>
      </c>
      <c r="F305" s="1031">
        <v>0</v>
      </c>
      <c r="G305" s="1031">
        <v>-33248.720000000001</v>
      </c>
      <c r="H305" s="1031">
        <v>-33248.720000000001</v>
      </c>
      <c r="I305" s="1032" t="s">
        <v>1085</v>
      </c>
    </row>
    <row r="306" spans="1:9" x14ac:dyDescent="0.25">
      <c r="A306" s="1033">
        <v>901816</v>
      </c>
      <c r="B306" s="129">
        <v>9169</v>
      </c>
      <c r="C306" s="130" t="s">
        <v>41</v>
      </c>
      <c r="D306" s="130">
        <v>16</v>
      </c>
      <c r="E306" s="130" t="s">
        <v>41</v>
      </c>
      <c r="F306" s="1031">
        <v>0</v>
      </c>
      <c r="G306" s="1031">
        <v>-33248.720000000001</v>
      </c>
      <c r="H306" s="1031">
        <v>-33248.720000000001</v>
      </c>
      <c r="I306" s="1032" t="s">
        <v>1085</v>
      </c>
    </row>
    <row r="307" spans="1:9" x14ac:dyDescent="0.25">
      <c r="A307" s="1033"/>
      <c r="C307" s="130" t="s">
        <v>1086</v>
      </c>
      <c r="D307" s="130">
        <v>16</v>
      </c>
      <c r="E307" s="130" t="s">
        <v>1086</v>
      </c>
      <c r="F307" s="1031">
        <v>0</v>
      </c>
      <c r="G307" s="1031">
        <v>24079.71</v>
      </c>
      <c r="H307" s="1031">
        <v>24079.71</v>
      </c>
      <c r="I307" s="1032" t="s">
        <v>1087</v>
      </c>
    </row>
    <row r="308" spans="1:9" x14ac:dyDescent="0.25">
      <c r="A308" s="1033">
        <v>901818</v>
      </c>
      <c r="B308" s="129">
        <v>276</v>
      </c>
      <c r="E308" s="130"/>
    </row>
    <row r="309" spans="1:9" x14ac:dyDescent="0.25">
      <c r="A309" s="1033">
        <v>901822</v>
      </c>
      <c r="B309" s="129">
        <v>21</v>
      </c>
      <c r="C309" s="130" t="s">
        <v>1083</v>
      </c>
      <c r="D309" s="130">
        <v>16</v>
      </c>
      <c r="E309" s="130" t="s">
        <v>1083</v>
      </c>
      <c r="F309" s="1031">
        <v>0</v>
      </c>
      <c r="G309" s="1031">
        <v>-0.21</v>
      </c>
      <c r="H309" s="1031">
        <v>-0.21</v>
      </c>
      <c r="I309" s="1032" t="s">
        <v>1084</v>
      </c>
    </row>
    <row r="310" spans="1:9" x14ac:dyDescent="0.25">
      <c r="A310" s="1033">
        <v>901824</v>
      </c>
      <c r="B310" s="129">
        <v>33249</v>
      </c>
      <c r="C310" s="130" t="s">
        <v>41</v>
      </c>
      <c r="D310" s="130">
        <v>16</v>
      </c>
      <c r="E310" s="130" t="s">
        <v>41</v>
      </c>
      <c r="F310" s="1031">
        <v>0</v>
      </c>
      <c r="G310" s="1031">
        <v>-33248.720000000001</v>
      </c>
      <c r="H310" s="1031">
        <v>-33248.720000000001</v>
      </c>
      <c r="I310" s="1032" t="s">
        <v>1085</v>
      </c>
    </row>
    <row r="311" spans="1:9" x14ac:dyDescent="0.25">
      <c r="A311" s="1033">
        <v>901826</v>
      </c>
      <c r="B311" s="129">
        <v>9169</v>
      </c>
      <c r="C311" s="130" t="s">
        <v>41</v>
      </c>
      <c r="D311" s="130">
        <v>16</v>
      </c>
      <c r="E311" s="130" t="s">
        <v>41</v>
      </c>
      <c r="F311" s="1031">
        <v>0</v>
      </c>
      <c r="G311" s="1031">
        <v>-33248.720000000001</v>
      </c>
      <c r="H311" s="1031">
        <v>-33248.720000000001</v>
      </c>
      <c r="I311" s="1032" t="s">
        <v>1085</v>
      </c>
    </row>
    <row r="312" spans="1:9" x14ac:dyDescent="0.25">
      <c r="A312" s="1033"/>
      <c r="C312" s="130" t="s">
        <v>1086</v>
      </c>
      <c r="D312" s="130">
        <v>16</v>
      </c>
      <c r="E312" s="130" t="s">
        <v>1086</v>
      </c>
      <c r="F312" s="1031">
        <v>0</v>
      </c>
      <c r="G312" s="1031">
        <v>24079.71</v>
      </c>
      <c r="H312" s="1031">
        <v>24079.71</v>
      </c>
      <c r="I312" s="1032" t="s">
        <v>1087</v>
      </c>
    </row>
    <row r="313" spans="1:9" x14ac:dyDescent="0.25">
      <c r="A313" s="1033">
        <v>901828</v>
      </c>
      <c r="B313" s="129">
        <v>276</v>
      </c>
      <c r="E313" s="130"/>
    </row>
    <row r="314" spans="1:9" x14ac:dyDescent="0.25">
      <c r="A314" s="1033">
        <v>901912</v>
      </c>
      <c r="B314" s="129">
        <v>20</v>
      </c>
      <c r="C314" s="130" t="s">
        <v>1088</v>
      </c>
      <c r="D314" s="130">
        <v>16</v>
      </c>
      <c r="E314" s="130" t="s">
        <v>1088</v>
      </c>
      <c r="F314" s="1031">
        <v>0</v>
      </c>
      <c r="G314" s="1031">
        <v>-0.2</v>
      </c>
      <c r="H314" s="1031">
        <v>-0.2</v>
      </c>
      <c r="I314" s="1032" t="s">
        <v>1089</v>
      </c>
    </row>
    <row r="315" spans="1:9" x14ac:dyDescent="0.25">
      <c r="A315" s="1033">
        <v>901914</v>
      </c>
      <c r="B315" s="129">
        <v>12554</v>
      </c>
      <c r="C315" s="130" t="s">
        <v>42</v>
      </c>
      <c r="D315" s="130">
        <v>16</v>
      </c>
      <c r="E315" s="130" t="s">
        <v>42</v>
      </c>
      <c r="F315" s="1031">
        <v>0</v>
      </c>
      <c r="G315" s="1031">
        <v>-12553.68</v>
      </c>
      <c r="H315" s="1031">
        <v>-12553.68</v>
      </c>
      <c r="I315" s="1032" t="s">
        <v>1090</v>
      </c>
    </row>
    <row r="316" spans="1:9" x14ac:dyDescent="0.25">
      <c r="A316" s="1033">
        <v>901916</v>
      </c>
      <c r="B316" s="129">
        <v>3590</v>
      </c>
      <c r="C316" s="130" t="s">
        <v>42</v>
      </c>
      <c r="D316" s="130">
        <v>16</v>
      </c>
      <c r="E316" s="130" t="s">
        <v>42</v>
      </c>
      <c r="F316" s="1031">
        <v>0</v>
      </c>
      <c r="G316" s="1031">
        <v>-12553.68</v>
      </c>
      <c r="H316" s="1031">
        <v>-12553.68</v>
      </c>
      <c r="I316" s="1032" t="s">
        <v>1090</v>
      </c>
    </row>
    <row r="317" spans="1:9" x14ac:dyDescent="0.25">
      <c r="A317" s="1033"/>
      <c r="C317" s="130" t="s">
        <v>1091</v>
      </c>
      <c r="D317" s="130">
        <v>16</v>
      </c>
      <c r="E317" s="130" t="s">
        <v>1091</v>
      </c>
      <c r="F317" s="1031">
        <v>0</v>
      </c>
      <c r="G317" s="1031">
        <v>8964.18</v>
      </c>
      <c r="H317" s="1031">
        <v>8964.18</v>
      </c>
      <c r="I317" s="1032" t="s">
        <v>1092</v>
      </c>
    </row>
    <row r="318" spans="1:9" x14ac:dyDescent="0.25">
      <c r="A318" s="1033">
        <v>901918</v>
      </c>
      <c r="B318" s="129">
        <v>286</v>
      </c>
      <c r="E318" s="130"/>
    </row>
    <row r="319" spans="1:9" x14ac:dyDescent="0.25">
      <c r="A319" s="1033">
        <v>901922</v>
      </c>
      <c r="B319" s="129">
        <v>20</v>
      </c>
      <c r="C319" s="130" t="s">
        <v>1088</v>
      </c>
      <c r="D319" s="130">
        <v>16</v>
      </c>
      <c r="E319" s="130" t="s">
        <v>1088</v>
      </c>
      <c r="F319" s="1031">
        <v>0</v>
      </c>
      <c r="G319" s="1031">
        <v>-0.2</v>
      </c>
      <c r="H319" s="1031">
        <v>-0.2</v>
      </c>
      <c r="I319" s="1032" t="s">
        <v>1089</v>
      </c>
    </row>
    <row r="320" spans="1:9" x14ac:dyDescent="0.25">
      <c r="A320" s="1033">
        <v>901924</v>
      </c>
      <c r="B320" s="129">
        <v>12554</v>
      </c>
      <c r="C320" s="130" t="s">
        <v>42</v>
      </c>
      <c r="D320" s="130">
        <v>16</v>
      </c>
      <c r="E320" s="130" t="s">
        <v>42</v>
      </c>
      <c r="F320" s="1031">
        <v>0</v>
      </c>
      <c r="G320" s="1031">
        <v>-12553.68</v>
      </c>
      <c r="H320" s="1031">
        <v>-12553.68</v>
      </c>
      <c r="I320" s="1032" t="s">
        <v>1090</v>
      </c>
    </row>
    <row r="321" spans="1:9" x14ac:dyDescent="0.25">
      <c r="A321" s="1033">
        <v>901926</v>
      </c>
      <c r="B321" s="129">
        <v>3590</v>
      </c>
      <c r="C321" s="130" t="s">
        <v>42</v>
      </c>
      <c r="D321" s="130">
        <v>16</v>
      </c>
      <c r="E321" s="130" t="s">
        <v>42</v>
      </c>
      <c r="F321" s="1031">
        <v>0</v>
      </c>
      <c r="G321" s="1031">
        <v>-12553.68</v>
      </c>
      <c r="H321" s="1031">
        <v>-12553.68</v>
      </c>
      <c r="I321" s="1032" t="s">
        <v>1090</v>
      </c>
    </row>
    <row r="322" spans="1:9" x14ac:dyDescent="0.25">
      <c r="A322" s="1033"/>
      <c r="C322" s="130" t="s">
        <v>1091</v>
      </c>
      <c r="D322" s="130">
        <v>16</v>
      </c>
      <c r="E322" s="130" t="s">
        <v>1091</v>
      </c>
      <c r="F322" s="1031">
        <v>0</v>
      </c>
      <c r="G322" s="1031">
        <v>8964.18</v>
      </c>
      <c r="H322" s="1031">
        <v>8964.18</v>
      </c>
      <c r="I322" s="1032" t="s">
        <v>1092</v>
      </c>
    </row>
    <row r="323" spans="1:9" x14ac:dyDescent="0.25">
      <c r="A323" s="1033">
        <v>901928</v>
      </c>
      <c r="B323" s="129">
        <v>286</v>
      </c>
      <c r="E323" s="130"/>
    </row>
    <row r="324" spans="1:9" x14ac:dyDescent="0.25">
      <c r="A324" s="1033">
        <v>902012</v>
      </c>
      <c r="B324" s="129">
        <v>0</v>
      </c>
      <c r="E324" s="130"/>
    </row>
    <row r="325" spans="1:9" x14ac:dyDescent="0.25">
      <c r="A325" s="1033">
        <v>902014</v>
      </c>
      <c r="B325" s="129">
        <v>8580</v>
      </c>
      <c r="C325" s="130" t="s">
        <v>180</v>
      </c>
      <c r="D325" s="130">
        <v>16</v>
      </c>
      <c r="E325" s="130" t="s">
        <v>180</v>
      </c>
      <c r="F325" s="1031">
        <v>0</v>
      </c>
      <c r="G325" s="1031">
        <v>-8580.3700000000008</v>
      </c>
      <c r="H325" s="1031">
        <v>-8580.3700000000008</v>
      </c>
      <c r="I325" s="1032" t="s">
        <v>1093</v>
      </c>
    </row>
    <row r="326" spans="1:9" x14ac:dyDescent="0.25">
      <c r="A326" s="1033">
        <v>902016</v>
      </c>
      <c r="B326" s="129">
        <v>2451</v>
      </c>
      <c r="C326" s="130" t="s">
        <v>180</v>
      </c>
      <c r="D326" s="130">
        <v>16</v>
      </c>
      <c r="E326" s="130" t="s">
        <v>180</v>
      </c>
      <c r="F326" s="1031">
        <v>0</v>
      </c>
      <c r="G326" s="1031">
        <v>-8580.3700000000008</v>
      </c>
      <c r="H326" s="1031">
        <v>-8580.3700000000008</v>
      </c>
      <c r="I326" s="1032" t="s">
        <v>1093</v>
      </c>
    </row>
    <row r="327" spans="1:9" x14ac:dyDescent="0.25">
      <c r="A327" s="1033"/>
      <c r="C327" s="130" t="s">
        <v>1094</v>
      </c>
      <c r="D327" s="130">
        <v>16</v>
      </c>
      <c r="E327" s="130" t="s">
        <v>1094</v>
      </c>
      <c r="F327" s="1031">
        <v>0</v>
      </c>
      <c r="G327" s="1031">
        <v>6128.62</v>
      </c>
      <c r="H327" s="1031">
        <v>6128.62</v>
      </c>
      <c r="I327" s="1032" t="s">
        <v>1095</v>
      </c>
    </row>
    <row r="328" spans="1:9" x14ac:dyDescent="0.25">
      <c r="A328" s="1033">
        <v>902018</v>
      </c>
      <c r="B328" s="129">
        <v>286</v>
      </c>
      <c r="E328" s="130"/>
    </row>
    <row r="329" spans="1:9" x14ac:dyDescent="0.25">
      <c r="A329" s="1033">
        <v>902022</v>
      </c>
      <c r="B329" s="129">
        <v>0</v>
      </c>
      <c r="E329" s="130"/>
    </row>
    <row r="330" spans="1:9" x14ac:dyDescent="0.25">
      <c r="A330" s="1033">
        <v>902024</v>
      </c>
      <c r="B330" s="129">
        <v>8580</v>
      </c>
      <c r="C330" s="130" t="s">
        <v>180</v>
      </c>
      <c r="D330" s="130">
        <v>16</v>
      </c>
      <c r="E330" s="130" t="s">
        <v>180</v>
      </c>
      <c r="F330" s="1031">
        <v>0</v>
      </c>
      <c r="G330" s="1031">
        <v>-8580.3700000000008</v>
      </c>
      <c r="H330" s="1031">
        <v>-8580.3700000000008</v>
      </c>
      <c r="I330" s="1032" t="s">
        <v>1093</v>
      </c>
    </row>
    <row r="331" spans="1:9" x14ac:dyDescent="0.25">
      <c r="A331" s="1033">
        <v>902026</v>
      </c>
      <c r="B331" s="129">
        <v>2451</v>
      </c>
      <c r="C331" s="130" t="s">
        <v>180</v>
      </c>
      <c r="D331" s="130">
        <v>16</v>
      </c>
      <c r="E331" s="130" t="s">
        <v>180</v>
      </c>
      <c r="F331" s="1031">
        <v>0</v>
      </c>
      <c r="G331" s="1031">
        <v>-8580.3700000000008</v>
      </c>
      <c r="H331" s="1031">
        <v>-8580.3700000000008</v>
      </c>
      <c r="I331" s="1032" t="s">
        <v>1093</v>
      </c>
    </row>
    <row r="332" spans="1:9" x14ac:dyDescent="0.25">
      <c r="A332" s="1033"/>
      <c r="C332" s="130" t="s">
        <v>1094</v>
      </c>
      <c r="D332" s="130">
        <v>16</v>
      </c>
      <c r="E332" s="130" t="s">
        <v>1094</v>
      </c>
      <c r="F332" s="1031">
        <v>0</v>
      </c>
      <c r="G332" s="1031">
        <v>6128.62</v>
      </c>
      <c r="H332" s="1031">
        <v>6128.62</v>
      </c>
      <c r="I332" s="1032" t="s">
        <v>1095</v>
      </c>
    </row>
    <row r="333" spans="1:9" x14ac:dyDescent="0.25">
      <c r="A333" s="1033">
        <v>902028</v>
      </c>
      <c r="B333" s="129">
        <v>286</v>
      </c>
      <c r="E333" s="130"/>
    </row>
    <row r="334" spans="1:9" x14ac:dyDescent="0.25">
      <c r="A334" s="1033">
        <v>902112</v>
      </c>
      <c r="B334" s="129">
        <v>0</v>
      </c>
      <c r="E334" s="130"/>
    </row>
    <row r="335" spans="1:9" x14ac:dyDescent="0.25">
      <c r="A335" s="1033">
        <v>902114</v>
      </c>
      <c r="B335" s="129">
        <v>0</v>
      </c>
      <c r="E335" s="130"/>
    </row>
    <row r="336" spans="1:9" x14ac:dyDescent="0.25">
      <c r="A336" s="1033">
        <v>902116</v>
      </c>
      <c r="B336" s="129">
        <v>0</v>
      </c>
      <c r="E336" s="130"/>
    </row>
    <row r="337" spans="1:9" x14ac:dyDescent="0.25">
      <c r="A337" s="1033">
        <v>902118</v>
      </c>
      <c r="B337" s="129">
        <v>0</v>
      </c>
      <c r="E337" s="130"/>
    </row>
    <row r="338" spans="1:9" x14ac:dyDescent="0.25">
      <c r="A338" s="1033">
        <v>902122</v>
      </c>
      <c r="B338" s="129">
        <v>0</v>
      </c>
      <c r="E338" s="130"/>
    </row>
    <row r="339" spans="1:9" x14ac:dyDescent="0.25">
      <c r="A339" s="1033">
        <v>902124</v>
      </c>
      <c r="B339" s="129">
        <v>0</v>
      </c>
      <c r="E339" s="130"/>
    </row>
    <row r="340" spans="1:9" x14ac:dyDescent="0.25">
      <c r="A340" s="1033">
        <v>902126</v>
      </c>
      <c r="B340" s="129">
        <v>0</v>
      </c>
      <c r="E340" s="130"/>
    </row>
    <row r="341" spans="1:9" x14ac:dyDescent="0.25">
      <c r="A341" s="1033">
        <v>902128</v>
      </c>
      <c r="B341" s="129">
        <v>0</v>
      </c>
      <c r="E341" s="130"/>
    </row>
    <row r="342" spans="1:9" x14ac:dyDescent="0.25">
      <c r="A342" s="1033">
        <v>902212</v>
      </c>
      <c r="B342" s="129">
        <v>0</v>
      </c>
      <c r="E342" s="130"/>
    </row>
    <row r="343" spans="1:9" x14ac:dyDescent="0.25">
      <c r="A343" s="1033">
        <v>902214</v>
      </c>
      <c r="B343" s="129">
        <v>0</v>
      </c>
      <c r="E343" s="130"/>
    </row>
    <row r="344" spans="1:9" x14ac:dyDescent="0.25">
      <c r="A344" s="1033">
        <v>902216</v>
      </c>
      <c r="B344" s="129">
        <v>0</v>
      </c>
      <c r="E344" s="130"/>
    </row>
    <row r="345" spans="1:9" x14ac:dyDescent="0.25">
      <c r="A345" s="1033">
        <v>902218</v>
      </c>
      <c r="B345" s="129">
        <v>0</v>
      </c>
      <c r="E345" s="130"/>
    </row>
    <row r="346" spans="1:9" x14ac:dyDescent="0.25">
      <c r="A346" s="1033">
        <v>902222</v>
      </c>
      <c r="B346" s="129">
        <v>0</v>
      </c>
      <c r="E346" s="130"/>
    </row>
    <row r="347" spans="1:9" x14ac:dyDescent="0.25">
      <c r="A347" s="1033">
        <v>902224</v>
      </c>
      <c r="B347" s="129">
        <v>0</v>
      </c>
      <c r="E347" s="130"/>
    </row>
    <row r="348" spans="1:9" x14ac:dyDescent="0.25">
      <c r="A348" s="1033">
        <v>902226</v>
      </c>
      <c r="B348" s="129">
        <v>0</v>
      </c>
      <c r="E348" s="130"/>
    </row>
    <row r="349" spans="1:9" x14ac:dyDescent="0.25">
      <c r="A349" s="1033">
        <v>902228</v>
      </c>
      <c r="B349" s="129">
        <v>0</v>
      </c>
      <c r="E349" s="130"/>
    </row>
    <row r="350" spans="1:9" x14ac:dyDescent="0.25">
      <c r="A350" s="1033">
        <v>902312</v>
      </c>
      <c r="B350" s="129">
        <v>41</v>
      </c>
      <c r="E350" s="130"/>
    </row>
    <row r="351" spans="1:9" x14ac:dyDescent="0.25">
      <c r="A351" s="1033">
        <v>902314</v>
      </c>
      <c r="B351" s="129">
        <v>54383</v>
      </c>
      <c r="E351" s="130"/>
    </row>
    <row r="352" spans="1:9" x14ac:dyDescent="0.25">
      <c r="A352" s="1033">
        <v>902316</v>
      </c>
      <c r="B352" s="129">
        <v>15210</v>
      </c>
      <c r="C352" s="130" t="s">
        <v>41</v>
      </c>
      <c r="D352" s="130">
        <v>16</v>
      </c>
      <c r="E352" s="130" t="s">
        <v>41</v>
      </c>
      <c r="F352" s="1031">
        <v>0</v>
      </c>
      <c r="G352" s="1031">
        <v>-33248.720000000001</v>
      </c>
      <c r="H352" s="1031">
        <v>-33248.720000000001</v>
      </c>
      <c r="I352" s="1032" t="s">
        <v>1085</v>
      </c>
    </row>
    <row r="353" spans="1:9" x14ac:dyDescent="0.25">
      <c r="A353" s="1033"/>
      <c r="C353" s="130" t="s">
        <v>1086</v>
      </c>
      <c r="D353" s="130">
        <v>16</v>
      </c>
      <c r="E353" s="130" t="s">
        <v>1086</v>
      </c>
      <c r="F353" s="1031">
        <v>0</v>
      </c>
      <c r="G353" s="1031">
        <v>24079.71</v>
      </c>
      <c r="H353" s="1031">
        <v>24079.71</v>
      </c>
      <c r="I353" s="1032" t="s">
        <v>1087</v>
      </c>
    </row>
    <row r="354" spans="1:9" x14ac:dyDescent="0.25">
      <c r="A354" s="1033"/>
      <c r="C354" s="130" t="s">
        <v>42</v>
      </c>
      <c r="D354" s="130">
        <v>16</v>
      </c>
      <c r="E354" s="130" t="s">
        <v>42</v>
      </c>
      <c r="F354" s="1031">
        <v>0</v>
      </c>
      <c r="G354" s="1031">
        <v>-12553.68</v>
      </c>
      <c r="H354" s="1031">
        <v>-12553.68</v>
      </c>
      <c r="I354" s="1032" t="s">
        <v>1090</v>
      </c>
    </row>
    <row r="355" spans="1:9" x14ac:dyDescent="0.25">
      <c r="A355" s="1033"/>
      <c r="C355" s="130" t="s">
        <v>1091</v>
      </c>
      <c r="D355" s="130">
        <v>16</v>
      </c>
      <c r="E355" s="130" t="s">
        <v>1091</v>
      </c>
      <c r="F355" s="1031">
        <v>0</v>
      </c>
      <c r="G355" s="1031">
        <v>8964.18</v>
      </c>
      <c r="H355" s="1031">
        <v>8964.18</v>
      </c>
      <c r="I355" s="1032" t="s">
        <v>1092</v>
      </c>
    </row>
    <row r="356" spans="1:9" x14ac:dyDescent="0.25">
      <c r="A356" s="1033"/>
      <c r="C356" s="130" t="s">
        <v>180</v>
      </c>
      <c r="D356" s="130">
        <v>16</v>
      </c>
      <c r="E356" s="130" t="s">
        <v>180</v>
      </c>
      <c r="F356" s="1031">
        <v>0</v>
      </c>
      <c r="G356" s="1031">
        <v>-8580.3700000000008</v>
      </c>
      <c r="H356" s="1031">
        <v>-8580.3700000000008</v>
      </c>
      <c r="I356" s="1032" t="s">
        <v>1093</v>
      </c>
    </row>
    <row r="357" spans="1:9" x14ac:dyDescent="0.25">
      <c r="A357" s="1033"/>
      <c r="C357" s="130" t="s">
        <v>1094</v>
      </c>
      <c r="D357" s="130">
        <v>16</v>
      </c>
      <c r="E357" s="130" t="s">
        <v>1094</v>
      </c>
      <c r="F357" s="1031">
        <v>0</v>
      </c>
      <c r="G357" s="1031">
        <v>6128.62</v>
      </c>
      <c r="H357" s="1031">
        <v>6128.62</v>
      </c>
      <c r="I357" s="1032" t="s">
        <v>1095</v>
      </c>
    </row>
    <row r="358" spans="1:9" x14ac:dyDescent="0.25">
      <c r="A358" s="1033">
        <v>902318</v>
      </c>
      <c r="B358" s="129">
        <v>280</v>
      </c>
      <c r="E358" s="130"/>
    </row>
    <row r="359" spans="1:9" x14ac:dyDescent="0.25">
      <c r="A359" s="1033">
        <v>902322</v>
      </c>
      <c r="B359" s="129">
        <v>41</v>
      </c>
      <c r="E359" s="130"/>
    </row>
    <row r="360" spans="1:9" x14ac:dyDescent="0.25">
      <c r="A360" s="1033">
        <v>902324</v>
      </c>
      <c r="B360" s="129">
        <v>54383</v>
      </c>
      <c r="E360" s="130"/>
    </row>
    <row r="361" spans="1:9" x14ac:dyDescent="0.25">
      <c r="A361" s="1033">
        <v>902326</v>
      </c>
      <c r="B361" s="129">
        <v>15210</v>
      </c>
      <c r="C361" s="130" t="s">
        <v>41</v>
      </c>
      <c r="D361" s="130">
        <v>16</v>
      </c>
      <c r="E361" s="130" t="s">
        <v>41</v>
      </c>
      <c r="F361" s="1031">
        <v>0</v>
      </c>
      <c r="G361" s="1031">
        <v>-33248.720000000001</v>
      </c>
      <c r="H361" s="1031">
        <v>-33248.720000000001</v>
      </c>
      <c r="I361" s="1032" t="s">
        <v>1085</v>
      </c>
    </row>
    <row r="362" spans="1:9" x14ac:dyDescent="0.25">
      <c r="A362" s="1033"/>
      <c r="C362" s="130" t="s">
        <v>1086</v>
      </c>
      <c r="D362" s="130">
        <v>16</v>
      </c>
      <c r="E362" s="130" t="s">
        <v>1086</v>
      </c>
      <c r="F362" s="1031">
        <v>0</v>
      </c>
      <c r="G362" s="1031">
        <v>24079.71</v>
      </c>
      <c r="H362" s="1031">
        <v>24079.71</v>
      </c>
      <c r="I362" s="1032" t="s">
        <v>1087</v>
      </c>
    </row>
    <row r="363" spans="1:9" x14ac:dyDescent="0.25">
      <c r="A363" s="1033"/>
      <c r="C363" s="130" t="s">
        <v>42</v>
      </c>
      <c r="D363" s="130">
        <v>16</v>
      </c>
      <c r="E363" s="130" t="s">
        <v>42</v>
      </c>
      <c r="F363" s="1031">
        <v>0</v>
      </c>
      <c r="G363" s="1031">
        <v>-12553.68</v>
      </c>
      <c r="H363" s="1031">
        <v>-12553.68</v>
      </c>
      <c r="I363" s="1032" t="s">
        <v>1090</v>
      </c>
    </row>
    <row r="364" spans="1:9" x14ac:dyDescent="0.25">
      <c r="A364" s="1033"/>
      <c r="C364" s="130" t="s">
        <v>1091</v>
      </c>
      <c r="D364" s="130">
        <v>16</v>
      </c>
      <c r="E364" s="130" t="s">
        <v>1091</v>
      </c>
      <c r="F364" s="1031">
        <v>0</v>
      </c>
      <c r="G364" s="1031">
        <v>8964.18</v>
      </c>
      <c r="H364" s="1031">
        <v>8964.18</v>
      </c>
      <c r="I364" s="1032" t="s">
        <v>1092</v>
      </c>
    </row>
    <row r="365" spans="1:9" x14ac:dyDescent="0.25">
      <c r="A365" s="1033"/>
      <c r="C365" s="130" t="s">
        <v>180</v>
      </c>
      <c r="D365" s="130">
        <v>16</v>
      </c>
      <c r="E365" s="130" t="s">
        <v>180</v>
      </c>
      <c r="F365" s="1031">
        <v>0</v>
      </c>
      <c r="G365" s="1031">
        <v>-8580.3700000000008</v>
      </c>
      <c r="H365" s="1031">
        <v>-8580.3700000000008</v>
      </c>
      <c r="I365" s="1032" t="s">
        <v>1093</v>
      </c>
    </row>
    <row r="366" spans="1:9" x14ac:dyDescent="0.25">
      <c r="A366" s="1033"/>
      <c r="C366" s="130" t="s">
        <v>1094</v>
      </c>
      <c r="D366" s="130">
        <v>16</v>
      </c>
      <c r="E366" s="130" t="s">
        <v>1094</v>
      </c>
      <c r="F366" s="1031">
        <v>0</v>
      </c>
      <c r="G366" s="1031">
        <v>6128.62</v>
      </c>
      <c r="H366" s="1031">
        <v>6128.62</v>
      </c>
      <c r="I366" s="1032" t="s">
        <v>1095</v>
      </c>
    </row>
    <row r="367" spans="1:9" x14ac:dyDescent="0.25">
      <c r="A367" s="1033">
        <v>902328</v>
      </c>
      <c r="B367" s="129">
        <v>280</v>
      </c>
      <c r="E367" s="130"/>
    </row>
    <row r="368" spans="1:9" x14ac:dyDescent="0.25">
      <c r="A368" s="1033">
        <v>902412</v>
      </c>
      <c r="B368" s="129">
        <v>21</v>
      </c>
      <c r="C368" s="130" t="s">
        <v>1096</v>
      </c>
      <c r="D368" s="130">
        <v>16</v>
      </c>
      <c r="E368" s="130" t="s">
        <v>1096</v>
      </c>
      <c r="F368" s="1031">
        <v>0</v>
      </c>
      <c r="G368" s="1031">
        <v>-0.21</v>
      </c>
      <c r="H368" s="1031">
        <v>-0.21</v>
      </c>
      <c r="I368" s="1032" t="s">
        <v>1097</v>
      </c>
    </row>
    <row r="369" spans="1:9" x14ac:dyDescent="0.25">
      <c r="A369" s="1033">
        <v>902414</v>
      </c>
      <c r="B369" s="129">
        <v>5152</v>
      </c>
      <c r="C369" s="130" t="s">
        <v>45</v>
      </c>
      <c r="D369" s="130">
        <v>16</v>
      </c>
      <c r="E369" s="130" t="s">
        <v>45</v>
      </c>
      <c r="F369" s="1031">
        <v>0</v>
      </c>
      <c r="G369" s="1031">
        <v>-5152.3999999999996</v>
      </c>
      <c r="H369" s="1031">
        <v>-5152.3999999999996</v>
      </c>
      <c r="I369" s="1032" t="s">
        <v>1098</v>
      </c>
    </row>
    <row r="370" spans="1:9" x14ac:dyDescent="0.25">
      <c r="A370" s="1033">
        <v>902416</v>
      </c>
      <c r="B370" s="129">
        <v>2073</v>
      </c>
      <c r="C370" s="130" t="s">
        <v>45</v>
      </c>
      <c r="D370" s="130">
        <v>16</v>
      </c>
      <c r="E370" s="130" t="s">
        <v>45</v>
      </c>
      <c r="F370" s="1031">
        <v>0</v>
      </c>
      <c r="G370" s="1031">
        <v>-5152.3999999999996</v>
      </c>
      <c r="H370" s="1031">
        <v>-5152.3999999999996</v>
      </c>
      <c r="I370" s="1032" t="s">
        <v>1098</v>
      </c>
    </row>
    <row r="371" spans="1:9" x14ac:dyDescent="0.25">
      <c r="A371" s="1033"/>
      <c r="C371" s="130" t="s">
        <v>1099</v>
      </c>
      <c r="D371" s="130">
        <v>16</v>
      </c>
      <c r="E371" s="130" t="s">
        <v>1099</v>
      </c>
      <c r="F371" s="1031">
        <v>0</v>
      </c>
      <c r="G371" s="1031">
        <v>3079.27</v>
      </c>
      <c r="H371" s="1031">
        <v>3079.27</v>
      </c>
      <c r="I371" s="1032" t="s">
        <v>1100</v>
      </c>
    </row>
    <row r="372" spans="1:9" x14ac:dyDescent="0.25">
      <c r="A372" s="1033">
        <v>902418</v>
      </c>
      <c r="B372" s="129">
        <v>402</v>
      </c>
      <c r="E372" s="130"/>
    </row>
    <row r="373" spans="1:9" x14ac:dyDescent="0.25">
      <c r="A373" s="1033">
        <v>902422</v>
      </c>
      <c r="B373" s="129">
        <v>21</v>
      </c>
      <c r="C373" s="130" t="s">
        <v>1096</v>
      </c>
      <c r="D373" s="130">
        <v>16</v>
      </c>
      <c r="E373" s="130" t="s">
        <v>1096</v>
      </c>
      <c r="F373" s="1031">
        <v>0</v>
      </c>
      <c r="G373" s="1031">
        <v>-0.21</v>
      </c>
      <c r="H373" s="1031">
        <v>-0.21</v>
      </c>
      <c r="I373" s="1032" t="s">
        <v>1097</v>
      </c>
    </row>
    <row r="374" spans="1:9" x14ac:dyDescent="0.25">
      <c r="A374" s="1033">
        <v>902424</v>
      </c>
      <c r="B374" s="129">
        <v>5152</v>
      </c>
      <c r="C374" s="130" t="s">
        <v>45</v>
      </c>
      <c r="D374" s="130">
        <v>16</v>
      </c>
      <c r="E374" s="130" t="s">
        <v>45</v>
      </c>
      <c r="F374" s="1031">
        <v>0</v>
      </c>
      <c r="G374" s="1031">
        <v>-5152.3999999999996</v>
      </c>
      <c r="H374" s="1031">
        <v>-5152.3999999999996</v>
      </c>
      <c r="I374" s="1032" t="s">
        <v>1098</v>
      </c>
    </row>
    <row r="375" spans="1:9" x14ac:dyDescent="0.25">
      <c r="A375" s="1033">
        <v>902426</v>
      </c>
      <c r="B375" s="129">
        <v>2073</v>
      </c>
      <c r="C375" s="130" t="s">
        <v>45</v>
      </c>
      <c r="D375" s="130">
        <v>16</v>
      </c>
      <c r="E375" s="130" t="s">
        <v>45</v>
      </c>
      <c r="F375" s="1031">
        <v>0</v>
      </c>
      <c r="G375" s="1031">
        <v>-5152.3999999999996</v>
      </c>
      <c r="H375" s="1031">
        <v>-5152.3999999999996</v>
      </c>
      <c r="I375" s="1032" t="s">
        <v>1098</v>
      </c>
    </row>
    <row r="376" spans="1:9" x14ac:dyDescent="0.25">
      <c r="A376" s="1033"/>
      <c r="C376" s="130" t="s">
        <v>1099</v>
      </c>
      <c r="D376" s="130">
        <v>16</v>
      </c>
      <c r="E376" s="130" t="s">
        <v>1099</v>
      </c>
      <c r="F376" s="1031">
        <v>0</v>
      </c>
      <c r="G376" s="1031">
        <v>3079.27</v>
      </c>
      <c r="H376" s="1031">
        <v>3079.27</v>
      </c>
      <c r="I376" s="1032" t="s">
        <v>1100</v>
      </c>
    </row>
    <row r="377" spans="1:9" x14ac:dyDescent="0.25">
      <c r="A377" s="1033">
        <v>902428</v>
      </c>
      <c r="B377" s="129">
        <v>402</v>
      </c>
      <c r="E377" s="130"/>
    </row>
    <row r="378" spans="1:9" x14ac:dyDescent="0.25">
      <c r="A378" s="1033">
        <v>902512</v>
      </c>
      <c r="B378" s="129">
        <v>15</v>
      </c>
      <c r="C378" s="130" t="s">
        <v>1101</v>
      </c>
      <c r="D378" s="130">
        <v>16</v>
      </c>
      <c r="E378" s="130" t="s">
        <v>1101</v>
      </c>
      <c r="F378" s="1031">
        <v>0</v>
      </c>
      <c r="G378" s="1031">
        <v>-0.15</v>
      </c>
      <c r="H378" s="1031">
        <v>-0.15</v>
      </c>
      <c r="I378" s="1032" t="s">
        <v>1102</v>
      </c>
    </row>
    <row r="379" spans="1:9" x14ac:dyDescent="0.25">
      <c r="A379" s="1033">
        <v>902514</v>
      </c>
      <c r="B379" s="129">
        <v>5701</v>
      </c>
      <c r="C379" s="130" t="s">
        <v>46</v>
      </c>
      <c r="D379" s="130">
        <v>16</v>
      </c>
      <c r="E379" s="130" t="s">
        <v>46</v>
      </c>
      <c r="F379" s="1031">
        <v>0</v>
      </c>
      <c r="G379" s="1031">
        <v>-5700.83</v>
      </c>
      <c r="H379" s="1031">
        <v>-5700.83</v>
      </c>
      <c r="I379" s="1032" t="s">
        <v>1103</v>
      </c>
    </row>
    <row r="380" spans="1:9" x14ac:dyDescent="0.25">
      <c r="A380" s="1033">
        <v>902516</v>
      </c>
      <c r="B380" s="129">
        <v>2664</v>
      </c>
      <c r="C380" s="130" t="s">
        <v>46</v>
      </c>
      <c r="D380" s="130">
        <v>16</v>
      </c>
      <c r="E380" s="130" t="s">
        <v>46</v>
      </c>
      <c r="F380" s="1031">
        <v>0</v>
      </c>
      <c r="G380" s="1031">
        <v>-5700.83</v>
      </c>
      <c r="H380" s="1031">
        <v>-5700.83</v>
      </c>
      <c r="I380" s="1032" t="s">
        <v>1103</v>
      </c>
    </row>
    <row r="381" spans="1:9" x14ac:dyDescent="0.25">
      <c r="A381" s="1033"/>
      <c r="C381" s="130" t="s">
        <v>1104</v>
      </c>
      <c r="D381" s="130">
        <v>16</v>
      </c>
      <c r="E381" s="130" t="s">
        <v>1104</v>
      </c>
      <c r="F381" s="1031">
        <v>0</v>
      </c>
      <c r="G381" s="1031">
        <v>3036.58</v>
      </c>
      <c r="H381" s="1031">
        <v>3036.58</v>
      </c>
      <c r="I381" s="1032" t="s">
        <v>1105</v>
      </c>
    </row>
    <row r="382" spans="1:9" x14ac:dyDescent="0.25">
      <c r="A382" s="1033">
        <v>902518</v>
      </c>
      <c r="B382" s="129">
        <v>467</v>
      </c>
      <c r="E382" s="130"/>
    </row>
    <row r="383" spans="1:9" x14ac:dyDescent="0.25">
      <c r="A383" s="1033">
        <v>902522</v>
      </c>
      <c r="B383" s="129">
        <v>15</v>
      </c>
      <c r="C383" s="130" t="s">
        <v>1101</v>
      </c>
      <c r="D383" s="130">
        <v>16</v>
      </c>
      <c r="E383" s="130" t="s">
        <v>1101</v>
      </c>
      <c r="F383" s="1031">
        <v>0</v>
      </c>
      <c r="G383" s="1031">
        <v>-0.15</v>
      </c>
      <c r="H383" s="1031">
        <v>-0.15</v>
      </c>
      <c r="I383" s="1032" t="s">
        <v>1102</v>
      </c>
    </row>
    <row r="384" spans="1:9" x14ac:dyDescent="0.25">
      <c r="A384" s="1033">
        <v>902524</v>
      </c>
      <c r="B384" s="129">
        <v>5701</v>
      </c>
      <c r="C384" s="130" t="s">
        <v>46</v>
      </c>
      <c r="D384" s="130">
        <v>16</v>
      </c>
      <c r="E384" s="130" t="s">
        <v>46</v>
      </c>
      <c r="F384" s="1031">
        <v>0</v>
      </c>
      <c r="G384" s="1031">
        <v>-5700.83</v>
      </c>
      <c r="H384" s="1031">
        <v>-5700.83</v>
      </c>
      <c r="I384" s="1032" t="s">
        <v>1103</v>
      </c>
    </row>
    <row r="385" spans="1:9" x14ac:dyDescent="0.25">
      <c r="A385" s="1033">
        <v>902526</v>
      </c>
      <c r="B385" s="129">
        <v>2664</v>
      </c>
      <c r="C385" s="130" t="s">
        <v>46</v>
      </c>
      <c r="D385" s="130">
        <v>16</v>
      </c>
      <c r="E385" s="130" t="s">
        <v>46</v>
      </c>
      <c r="F385" s="1031">
        <v>0</v>
      </c>
      <c r="G385" s="1031">
        <v>-5700.83</v>
      </c>
      <c r="H385" s="1031">
        <v>-5700.83</v>
      </c>
      <c r="I385" s="1032" t="s">
        <v>1103</v>
      </c>
    </row>
    <row r="386" spans="1:9" x14ac:dyDescent="0.25">
      <c r="A386" s="1033"/>
      <c r="C386" s="130" t="s">
        <v>1104</v>
      </c>
      <c r="D386" s="130">
        <v>16</v>
      </c>
      <c r="E386" s="130" t="s">
        <v>1104</v>
      </c>
      <c r="F386" s="1031">
        <v>0</v>
      </c>
      <c r="G386" s="1031">
        <v>3036.58</v>
      </c>
      <c r="H386" s="1031">
        <v>3036.58</v>
      </c>
      <c r="I386" s="1032" t="s">
        <v>1105</v>
      </c>
    </row>
    <row r="387" spans="1:9" x14ac:dyDescent="0.25">
      <c r="A387" s="1033">
        <v>902528</v>
      </c>
      <c r="B387" s="129">
        <v>467</v>
      </c>
      <c r="E387" s="130"/>
    </row>
    <row r="388" spans="1:9" x14ac:dyDescent="0.25">
      <c r="A388" s="1033">
        <v>902612</v>
      </c>
      <c r="B388" s="129">
        <v>1</v>
      </c>
      <c r="C388" s="130" t="s">
        <v>1106</v>
      </c>
      <c r="D388" s="130">
        <v>16</v>
      </c>
      <c r="E388" s="130" t="s">
        <v>1106</v>
      </c>
      <c r="F388" s="1031">
        <v>0</v>
      </c>
      <c r="G388" s="1031">
        <v>-0.01</v>
      </c>
      <c r="H388" s="1031">
        <v>-0.01</v>
      </c>
      <c r="I388" s="1032" t="s">
        <v>1107</v>
      </c>
    </row>
    <row r="389" spans="1:9" x14ac:dyDescent="0.25">
      <c r="A389" s="1033">
        <v>902614</v>
      </c>
      <c r="B389" s="129">
        <v>44</v>
      </c>
      <c r="C389" s="130" t="s">
        <v>181</v>
      </c>
      <c r="D389" s="130">
        <v>16</v>
      </c>
      <c r="E389" s="130" t="s">
        <v>181</v>
      </c>
      <c r="F389" s="1031">
        <v>0</v>
      </c>
      <c r="G389" s="1031">
        <v>-44.29</v>
      </c>
      <c r="H389" s="1031">
        <v>-44.29</v>
      </c>
      <c r="I389" s="1032" t="s">
        <v>1108</v>
      </c>
    </row>
    <row r="390" spans="1:9" x14ac:dyDescent="0.25">
      <c r="A390" s="1033">
        <v>902616</v>
      </c>
      <c r="B390" s="129">
        <v>17</v>
      </c>
      <c r="C390" s="130" t="s">
        <v>181</v>
      </c>
      <c r="D390" s="130">
        <v>16</v>
      </c>
      <c r="E390" s="130" t="s">
        <v>181</v>
      </c>
      <c r="F390" s="1031">
        <v>0</v>
      </c>
      <c r="G390" s="1031">
        <v>-44.29</v>
      </c>
      <c r="H390" s="1031">
        <v>-44.29</v>
      </c>
      <c r="I390" s="1032" t="s">
        <v>1108</v>
      </c>
    </row>
    <row r="391" spans="1:9" x14ac:dyDescent="0.25">
      <c r="A391" s="1033"/>
      <c r="C391" s="130" t="s">
        <v>1109</v>
      </c>
      <c r="D391" s="130">
        <v>16</v>
      </c>
      <c r="E391" s="130" t="s">
        <v>1109</v>
      </c>
      <c r="F391" s="1031">
        <v>0</v>
      </c>
      <c r="G391" s="1031">
        <v>26.59</v>
      </c>
      <c r="H391" s="1031">
        <v>26.59</v>
      </c>
      <c r="I391" s="1032" t="s">
        <v>1110</v>
      </c>
    </row>
    <row r="392" spans="1:9" x14ac:dyDescent="0.25">
      <c r="A392" s="1033">
        <v>902618</v>
      </c>
      <c r="B392" s="129">
        <v>386</v>
      </c>
      <c r="E392" s="130"/>
    </row>
    <row r="393" spans="1:9" x14ac:dyDescent="0.25">
      <c r="A393" s="1033">
        <v>902622</v>
      </c>
      <c r="B393" s="129">
        <v>1</v>
      </c>
      <c r="C393" s="130" t="s">
        <v>1106</v>
      </c>
      <c r="D393" s="130">
        <v>16</v>
      </c>
      <c r="E393" s="130" t="s">
        <v>1106</v>
      </c>
      <c r="F393" s="1031">
        <v>0</v>
      </c>
      <c r="G393" s="1031">
        <v>-0.01</v>
      </c>
      <c r="H393" s="1031">
        <v>-0.01</v>
      </c>
      <c r="I393" s="1032" t="s">
        <v>1107</v>
      </c>
    </row>
    <row r="394" spans="1:9" x14ac:dyDescent="0.25">
      <c r="A394" s="1033">
        <v>902624</v>
      </c>
      <c r="B394" s="129">
        <v>44</v>
      </c>
      <c r="C394" s="130" t="s">
        <v>181</v>
      </c>
      <c r="D394" s="130">
        <v>16</v>
      </c>
      <c r="E394" s="130" t="s">
        <v>181</v>
      </c>
      <c r="F394" s="1031">
        <v>0</v>
      </c>
      <c r="G394" s="1031">
        <v>-44.29</v>
      </c>
      <c r="H394" s="1031">
        <v>-44.29</v>
      </c>
      <c r="I394" s="1032" t="s">
        <v>1108</v>
      </c>
    </row>
    <row r="395" spans="1:9" x14ac:dyDescent="0.25">
      <c r="A395" s="1033">
        <v>902626</v>
      </c>
      <c r="B395" s="129">
        <v>17</v>
      </c>
      <c r="C395" s="130" t="s">
        <v>181</v>
      </c>
      <c r="D395" s="130">
        <v>16</v>
      </c>
      <c r="E395" s="130" t="s">
        <v>181</v>
      </c>
      <c r="F395" s="1031">
        <v>0</v>
      </c>
      <c r="G395" s="1031">
        <v>-44.29</v>
      </c>
      <c r="H395" s="1031">
        <v>-44.29</v>
      </c>
      <c r="I395" s="1032" t="s">
        <v>1108</v>
      </c>
    </row>
    <row r="396" spans="1:9" x14ac:dyDescent="0.25">
      <c r="A396" s="1033"/>
      <c r="C396" s="130" t="s">
        <v>1109</v>
      </c>
      <c r="D396" s="130">
        <v>16</v>
      </c>
      <c r="E396" s="130" t="s">
        <v>1109</v>
      </c>
      <c r="F396" s="1031">
        <v>0</v>
      </c>
      <c r="G396" s="1031">
        <v>26.59</v>
      </c>
      <c r="H396" s="1031">
        <v>26.59</v>
      </c>
      <c r="I396" s="1032" t="s">
        <v>1110</v>
      </c>
    </row>
    <row r="397" spans="1:9" x14ac:dyDescent="0.25">
      <c r="A397" s="1033">
        <v>902628</v>
      </c>
      <c r="B397" s="129">
        <v>386</v>
      </c>
      <c r="E397" s="130"/>
    </row>
    <row r="398" spans="1:9" x14ac:dyDescent="0.25">
      <c r="A398" s="1033">
        <v>902712</v>
      </c>
      <c r="B398" s="129">
        <v>0</v>
      </c>
      <c r="E398" s="130"/>
    </row>
    <row r="399" spans="1:9" x14ac:dyDescent="0.25">
      <c r="A399" s="1033">
        <v>902714</v>
      </c>
      <c r="B399" s="129">
        <v>0</v>
      </c>
      <c r="E399" s="130"/>
    </row>
    <row r="400" spans="1:9" x14ac:dyDescent="0.25">
      <c r="A400" s="1033">
        <v>902716</v>
      </c>
      <c r="B400" s="129">
        <v>0</v>
      </c>
      <c r="E400" s="130"/>
    </row>
    <row r="401" spans="1:9" x14ac:dyDescent="0.25">
      <c r="A401" s="1033">
        <v>902718</v>
      </c>
      <c r="B401" s="129">
        <v>0</v>
      </c>
      <c r="E401" s="130"/>
    </row>
    <row r="402" spans="1:9" x14ac:dyDescent="0.25">
      <c r="A402" s="1033">
        <v>902722</v>
      </c>
      <c r="B402" s="129">
        <v>0</v>
      </c>
      <c r="E402" s="130"/>
    </row>
    <row r="403" spans="1:9" x14ac:dyDescent="0.25">
      <c r="A403" s="1033">
        <v>902724</v>
      </c>
      <c r="B403" s="129">
        <v>0</v>
      </c>
      <c r="E403" s="130"/>
    </row>
    <row r="404" spans="1:9" x14ac:dyDescent="0.25">
      <c r="A404" s="1033">
        <v>902726</v>
      </c>
      <c r="B404" s="129">
        <v>0</v>
      </c>
      <c r="E404" s="130"/>
    </row>
    <row r="405" spans="1:9" x14ac:dyDescent="0.25">
      <c r="A405" s="1033">
        <v>902728</v>
      </c>
      <c r="B405" s="129">
        <v>0</v>
      </c>
      <c r="E405" s="130"/>
    </row>
    <row r="406" spans="1:9" x14ac:dyDescent="0.25">
      <c r="A406" s="1033">
        <v>902812</v>
      </c>
      <c r="B406" s="129">
        <v>0</v>
      </c>
      <c r="E406" s="130"/>
    </row>
    <row r="407" spans="1:9" x14ac:dyDescent="0.25">
      <c r="A407" s="1033">
        <v>902814</v>
      </c>
      <c r="B407" s="129">
        <v>0</v>
      </c>
      <c r="E407" s="130"/>
    </row>
    <row r="408" spans="1:9" x14ac:dyDescent="0.25">
      <c r="A408" s="1033">
        <v>902816</v>
      </c>
      <c r="B408" s="129">
        <v>0</v>
      </c>
      <c r="E408" s="130"/>
    </row>
    <row r="409" spans="1:9" x14ac:dyDescent="0.25">
      <c r="A409" s="1033">
        <v>902818</v>
      </c>
      <c r="B409" s="129">
        <v>0</v>
      </c>
      <c r="E409" s="130"/>
    </row>
    <row r="410" spans="1:9" x14ac:dyDescent="0.25">
      <c r="A410" s="1033">
        <v>902822</v>
      </c>
      <c r="B410" s="129">
        <v>0</v>
      </c>
      <c r="E410" s="130"/>
    </row>
    <row r="411" spans="1:9" x14ac:dyDescent="0.25">
      <c r="A411" s="1033">
        <v>902824</v>
      </c>
      <c r="B411" s="129">
        <v>0</v>
      </c>
      <c r="E411" s="130"/>
    </row>
    <row r="412" spans="1:9" x14ac:dyDescent="0.25">
      <c r="A412" s="1033">
        <v>902826</v>
      </c>
      <c r="B412" s="129">
        <v>0</v>
      </c>
      <c r="E412" s="130"/>
    </row>
    <row r="413" spans="1:9" x14ac:dyDescent="0.25">
      <c r="A413" s="1033">
        <v>902828</v>
      </c>
      <c r="B413" s="129">
        <v>0</v>
      </c>
      <c r="E413" s="130"/>
    </row>
    <row r="414" spans="1:9" x14ac:dyDescent="0.25">
      <c r="A414" s="1033">
        <v>902912</v>
      </c>
      <c r="B414" s="129">
        <v>37</v>
      </c>
      <c r="E414" s="130"/>
    </row>
    <row r="415" spans="1:9" x14ac:dyDescent="0.25">
      <c r="A415" s="1033">
        <v>902914</v>
      </c>
      <c r="B415" s="129">
        <v>10897</v>
      </c>
      <c r="E415" s="130"/>
    </row>
    <row r="416" spans="1:9" x14ac:dyDescent="0.25">
      <c r="A416" s="1033">
        <v>902916</v>
      </c>
      <c r="B416" s="129">
        <v>4754</v>
      </c>
      <c r="C416" s="130" t="s">
        <v>45</v>
      </c>
      <c r="D416" s="130">
        <v>16</v>
      </c>
      <c r="E416" s="130" t="s">
        <v>45</v>
      </c>
      <c r="F416" s="1031">
        <v>0</v>
      </c>
      <c r="G416" s="1031">
        <v>-5152.3999999999996</v>
      </c>
      <c r="H416" s="1031">
        <v>-5152.3999999999996</v>
      </c>
      <c r="I416" s="1032" t="s">
        <v>1098</v>
      </c>
    </row>
    <row r="417" spans="1:9" x14ac:dyDescent="0.25">
      <c r="A417" s="1033"/>
      <c r="C417" s="130" t="s">
        <v>1099</v>
      </c>
      <c r="D417" s="130">
        <v>16</v>
      </c>
      <c r="E417" s="130" t="s">
        <v>1099</v>
      </c>
      <c r="F417" s="1031">
        <v>0</v>
      </c>
      <c r="G417" s="1031">
        <v>3079.27</v>
      </c>
      <c r="H417" s="1031">
        <v>3079.27</v>
      </c>
      <c r="I417" s="1032" t="s">
        <v>1100</v>
      </c>
    </row>
    <row r="418" spans="1:9" x14ac:dyDescent="0.25">
      <c r="A418" s="1033"/>
      <c r="C418" s="130" t="s">
        <v>46</v>
      </c>
      <c r="D418" s="130">
        <v>16</v>
      </c>
      <c r="E418" s="130" t="s">
        <v>46</v>
      </c>
      <c r="F418" s="1031">
        <v>0</v>
      </c>
      <c r="G418" s="1031">
        <v>-5700.83</v>
      </c>
      <c r="H418" s="1031">
        <v>-5700.83</v>
      </c>
      <c r="I418" s="1032" t="s">
        <v>1103</v>
      </c>
    </row>
    <row r="419" spans="1:9" x14ac:dyDescent="0.25">
      <c r="A419" s="1033"/>
      <c r="C419" s="130" t="s">
        <v>1104</v>
      </c>
      <c r="D419" s="130">
        <v>16</v>
      </c>
      <c r="E419" s="130" t="s">
        <v>1104</v>
      </c>
      <c r="F419" s="1031">
        <v>0</v>
      </c>
      <c r="G419" s="1031">
        <v>3036.58</v>
      </c>
      <c r="H419" s="1031">
        <v>3036.58</v>
      </c>
      <c r="I419" s="1032" t="s">
        <v>1105</v>
      </c>
    </row>
    <row r="420" spans="1:9" x14ac:dyDescent="0.25">
      <c r="A420" s="1033"/>
      <c r="C420" s="130" t="s">
        <v>181</v>
      </c>
      <c r="D420" s="130">
        <v>16</v>
      </c>
      <c r="E420" s="130" t="s">
        <v>181</v>
      </c>
      <c r="F420" s="1031">
        <v>0</v>
      </c>
      <c r="G420" s="1031">
        <v>-44.29</v>
      </c>
      <c r="H420" s="1031">
        <v>-44.29</v>
      </c>
      <c r="I420" s="1032" t="s">
        <v>1108</v>
      </c>
    </row>
    <row r="421" spans="1:9" x14ac:dyDescent="0.25">
      <c r="A421" s="1033"/>
      <c r="C421" s="130" t="s">
        <v>1109</v>
      </c>
      <c r="D421" s="130">
        <v>16</v>
      </c>
      <c r="E421" s="130" t="s">
        <v>1109</v>
      </c>
      <c r="F421" s="1031">
        <v>0</v>
      </c>
      <c r="G421" s="1031">
        <v>26.59</v>
      </c>
      <c r="H421" s="1031">
        <v>26.59</v>
      </c>
      <c r="I421" s="1032" t="s">
        <v>1110</v>
      </c>
    </row>
    <row r="422" spans="1:9" x14ac:dyDescent="0.25">
      <c r="A422" s="1033">
        <v>902918</v>
      </c>
      <c r="B422" s="129">
        <v>436</v>
      </c>
      <c r="E422" s="130"/>
    </row>
    <row r="423" spans="1:9" x14ac:dyDescent="0.25">
      <c r="A423" s="1033">
        <v>902922</v>
      </c>
      <c r="B423" s="129">
        <v>37</v>
      </c>
      <c r="E423" s="130"/>
    </row>
    <row r="424" spans="1:9" x14ac:dyDescent="0.25">
      <c r="A424" s="1033">
        <v>902924</v>
      </c>
      <c r="B424" s="129">
        <v>10897</v>
      </c>
      <c r="E424" s="130"/>
    </row>
    <row r="425" spans="1:9" x14ac:dyDescent="0.25">
      <c r="A425" s="1033">
        <v>902926</v>
      </c>
      <c r="B425" s="129">
        <v>4754</v>
      </c>
      <c r="C425" s="130" t="s">
        <v>45</v>
      </c>
      <c r="D425" s="130">
        <v>16</v>
      </c>
      <c r="E425" s="130" t="s">
        <v>45</v>
      </c>
      <c r="F425" s="1031">
        <v>0</v>
      </c>
      <c r="G425" s="1031">
        <v>-5152.3999999999996</v>
      </c>
      <c r="H425" s="1031">
        <v>-5152.3999999999996</v>
      </c>
      <c r="I425" s="1032" t="s">
        <v>1098</v>
      </c>
    </row>
    <row r="426" spans="1:9" x14ac:dyDescent="0.25">
      <c r="A426" s="1033"/>
      <c r="C426" s="130" t="s">
        <v>1099</v>
      </c>
      <c r="D426" s="130">
        <v>16</v>
      </c>
      <c r="E426" s="130" t="s">
        <v>1099</v>
      </c>
      <c r="F426" s="1031">
        <v>0</v>
      </c>
      <c r="G426" s="1031">
        <v>3079.27</v>
      </c>
      <c r="H426" s="1031">
        <v>3079.27</v>
      </c>
      <c r="I426" s="1032" t="s">
        <v>1100</v>
      </c>
    </row>
    <row r="427" spans="1:9" x14ac:dyDescent="0.25">
      <c r="A427" s="1033"/>
      <c r="C427" s="130" t="s">
        <v>46</v>
      </c>
      <c r="D427" s="130">
        <v>16</v>
      </c>
      <c r="E427" s="130" t="s">
        <v>46</v>
      </c>
      <c r="F427" s="1031">
        <v>0</v>
      </c>
      <c r="G427" s="1031">
        <v>-5700.83</v>
      </c>
      <c r="H427" s="1031">
        <v>-5700.83</v>
      </c>
      <c r="I427" s="1032" t="s">
        <v>1103</v>
      </c>
    </row>
    <row r="428" spans="1:9" x14ac:dyDescent="0.25">
      <c r="A428" s="1033"/>
      <c r="C428" s="130" t="s">
        <v>1104</v>
      </c>
      <c r="D428" s="130">
        <v>16</v>
      </c>
      <c r="E428" s="130" t="s">
        <v>1104</v>
      </c>
      <c r="F428" s="1031">
        <v>0</v>
      </c>
      <c r="G428" s="1031">
        <v>3036.58</v>
      </c>
      <c r="H428" s="1031">
        <v>3036.58</v>
      </c>
      <c r="I428" s="1032" t="s">
        <v>1105</v>
      </c>
    </row>
    <row r="429" spans="1:9" x14ac:dyDescent="0.25">
      <c r="A429" s="1033"/>
      <c r="C429" s="130" t="s">
        <v>181</v>
      </c>
      <c r="D429" s="130">
        <v>16</v>
      </c>
      <c r="E429" s="130" t="s">
        <v>181</v>
      </c>
      <c r="F429" s="1031">
        <v>0</v>
      </c>
      <c r="G429" s="1031">
        <v>-44.29</v>
      </c>
      <c r="H429" s="1031">
        <v>-44.29</v>
      </c>
      <c r="I429" s="1032" t="s">
        <v>1108</v>
      </c>
    </row>
    <row r="430" spans="1:9" x14ac:dyDescent="0.25">
      <c r="A430" s="1033"/>
      <c r="C430" s="130" t="s">
        <v>1109</v>
      </c>
      <c r="D430" s="130">
        <v>16</v>
      </c>
      <c r="E430" s="130" t="s">
        <v>1109</v>
      </c>
      <c r="F430" s="1031">
        <v>0</v>
      </c>
      <c r="G430" s="1031">
        <v>26.59</v>
      </c>
      <c r="H430" s="1031">
        <v>26.59</v>
      </c>
      <c r="I430" s="1032" t="s">
        <v>1110</v>
      </c>
    </row>
    <row r="431" spans="1:9" x14ac:dyDescent="0.25">
      <c r="A431" s="1033">
        <v>902928</v>
      </c>
      <c r="B431" s="129">
        <v>436</v>
      </c>
      <c r="E431" s="130"/>
    </row>
    <row r="432" spans="1:9" x14ac:dyDescent="0.25">
      <c r="A432" s="1033">
        <v>903012</v>
      </c>
      <c r="B432" s="129">
        <v>0</v>
      </c>
      <c r="E432" s="130"/>
    </row>
    <row r="433" spans="1:9" x14ac:dyDescent="0.25">
      <c r="A433" s="1033">
        <v>903014</v>
      </c>
      <c r="B433" s="129">
        <v>0</v>
      </c>
      <c r="E433" s="130"/>
    </row>
    <row r="434" spans="1:9" x14ac:dyDescent="0.25">
      <c r="A434" s="1033">
        <v>903016</v>
      </c>
      <c r="B434" s="129">
        <v>0</v>
      </c>
      <c r="E434" s="130"/>
    </row>
    <row r="435" spans="1:9" x14ac:dyDescent="0.25">
      <c r="A435" s="1033">
        <v>903018</v>
      </c>
      <c r="B435" s="129">
        <v>0</v>
      </c>
      <c r="E435" s="130"/>
    </row>
    <row r="436" spans="1:9" x14ac:dyDescent="0.25">
      <c r="A436" s="1033">
        <v>903022</v>
      </c>
      <c r="B436" s="129">
        <v>0</v>
      </c>
      <c r="E436" s="130"/>
    </row>
    <row r="437" spans="1:9" x14ac:dyDescent="0.25">
      <c r="A437" s="1033">
        <v>903024</v>
      </c>
      <c r="B437" s="129">
        <v>0</v>
      </c>
      <c r="E437" s="130"/>
    </row>
    <row r="438" spans="1:9" x14ac:dyDescent="0.25">
      <c r="A438" s="1033">
        <v>903026</v>
      </c>
      <c r="B438" s="129">
        <v>0</v>
      </c>
      <c r="E438" s="130"/>
    </row>
    <row r="439" spans="1:9" x14ac:dyDescent="0.25">
      <c r="A439" s="1033">
        <v>903028</v>
      </c>
      <c r="B439" s="129">
        <v>0</v>
      </c>
      <c r="E439" s="130"/>
    </row>
    <row r="440" spans="1:9" x14ac:dyDescent="0.25">
      <c r="A440" s="1033">
        <v>903112</v>
      </c>
      <c r="B440" s="129">
        <v>69</v>
      </c>
      <c r="C440" s="130" t="s">
        <v>1111</v>
      </c>
      <c r="D440" s="130">
        <v>16</v>
      </c>
      <c r="E440" s="130" t="s">
        <v>1111</v>
      </c>
      <c r="F440" s="1031">
        <v>0</v>
      </c>
      <c r="G440" s="1031">
        <v>-0.69</v>
      </c>
      <c r="H440" s="1031">
        <v>-0.69</v>
      </c>
      <c r="I440" s="1032" t="s">
        <v>1112</v>
      </c>
    </row>
    <row r="441" spans="1:9" x14ac:dyDescent="0.25">
      <c r="A441" s="1033">
        <v>903114</v>
      </c>
      <c r="B441" s="129">
        <v>10061</v>
      </c>
      <c r="C441" s="130" t="s">
        <v>49</v>
      </c>
      <c r="D441" s="130">
        <v>16</v>
      </c>
      <c r="E441" s="130" t="s">
        <v>49</v>
      </c>
      <c r="F441" s="1031">
        <v>0</v>
      </c>
      <c r="G441" s="1031">
        <v>-10061.200000000001</v>
      </c>
      <c r="H441" s="1031">
        <v>-10061.200000000001</v>
      </c>
      <c r="I441" s="1032" t="s">
        <v>1113</v>
      </c>
    </row>
    <row r="442" spans="1:9" x14ac:dyDescent="0.25">
      <c r="A442" s="1033">
        <v>903116</v>
      </c>
      <c r="B442" s="129">
        <v>3063</v>
      </c>
      <c r="C442" s="130" t="s">
        <v>49</v>
      </c>
      <c r="D442" s="130">
        <v>16</v>
      </c>
      <c r="E442" s="130" t="s">
        <v>49</v>
      </c>
      <c r="F442" s="1031">
        <v>0</v>
      </c>
      <c r="G442" s="1031">
        <v>-10061.200000000001</v>
      </c>
      <c r="H442" s="1031">
        <v>-10061.200000000001</v>
      </c>
      <c r="I442" s="1032" t="s">
        <v>1113</v>
      </c>
    </row>
    <row r="443" spans="1:9" x14ac:dyDescent="0.25">
      <c r="A443" s="1033"/>
      <c r="C443" s="130" t="s">
        <v>1114</v>
      </c>
      <c r="D443" s="130">
        <v>16</v>
      </c>
      <c r="E443" s="130" t="s">
        <v>1114</v>
      </c>
      <c r="F443" s="1031">
        <v>0</v>
      </c>
      <c r="G443" s="1031">
        <v>6998.24</v>
      </c>
      <c r="H443" s="1031">
        <v>6998.24</v>
      </c>
      <c r="I443" s="1032" t="s">
        <v>1115</v>
      </c>
    </row>
    <row r="444" spans="1:9" x14ac:dyDescent="0.25">
      <c r="A444" s="1033">
        <v>903118</v>
      </c>
      <c r="B444" s="129">
        <v>304</v>
      </c>
      <c r="E444" s="130"/>
    </row>
    <row r="445" spans="1:9" x14ac:dyDescent="0.25">
      <c r="A445" s="1033">
        <v>903122</v>
      </c>
      <c r="B445" s="129">
        <v>69</v>
      </c>
      <c r="C445" s="130" t="s">
        <v>1111</v>
      </c>
      <c r="D445" s="130">
        <v>16</v>
      </c>
      <c r="E445" s="130" t="s">
        <v>1111</v>
      </c>
      <c r="F445" s="1031">
        <v>0</v>
      </c>
      <c r="G445" s="1031">
        <v>-0.69</v>
      </c>
      <c r="H445" s="1031">
        <v>-0.69</v>
      </c>
      <c r="I445" s="1032" t="s">
        <v>1112</v>
      </c>
    </row>
    <row r="446" spans="1:9" x14ac:dyDescent="0.25">
      <c r="A446" s="1033">
        <v>903124</v>
      </c>
      <c r="B446" s="129">
        <v>10061</v>
      </c>
      <c r="C446" s="130" t="s">
        <v>49</v>
      </c>
      <c r="D446" s="130">
        <v>16</v>
      </c>
      <c r="E446" s="130" t="s">
        <v>49</v>
      </c>
      <c r="F446" s="1031">
        <v>0</v>
      </c>
      <c r="G446" s="1031">
        <v>-10061.200000000001</v>
      </c>
      <c r="H446" s="1031">
        <v>-10061.200000000001</v>
      </c>
      <c r="I446" s="1032" t="s">
        <v>1113</v>
      </c>
    </row>
    <row r="447" spans="1:9" x14ac:dyDescent="0.25">
      <c r="A447" s="1033">
        <v>903126</v>
      </c>
      <c r="B447" s="129">
        <v>3063</v>
      </c>
      <c r="C447" s="130" t="s">
        <v>49</v>
      </c>
      <c r="D447" s="130">
        <v>16</v>
      </c>
      <c r="E447" s="130" t="s">
        <v>49</v>
      </c>
      <c r="F447" s="1031">
        <v>0</v>
      </c>
      <c r="G447" s="1031">
        <v>-10061.200000000001</v>
      </c>
      <c r="H447" s="1031">
        <v>-10061.200000000001</v>
      </c>
      <c r="I447" s="1032" t="s">
        <v>1113</v>
      </c>
    </row>
    <row r="448" spans="1:9" x14ac:dyDescent="0.25">
      <c r="A448" s="1033"/>
      <c r="C448" s="130" t="s">
        <v>1114</v>
      </c>
      <c r="D448" s="130">
        <v>16</v>
      </c>
      <c r="E448" s="130" t="s">
        <v>1114</v>
      </c>
      <c r="F448" s="1031">
        <v>0</v>
      </c>
      <c r="G448" s="1031">
        <v>6998.24</v>
      </c>
      <c r="H448" s="1031">
        <v>6998.24</v>
      </c>
      <c r="I448" s="1032" t="s">
        <v>1115</v>
      </c>
    </row>
    <row r="449" spans="1:5" x14ac:dyDescent="0.25">
      <c r="A449" s="1033">
        <v>903128</v>
      </c>
      <c r="B449" s="129">
        <v>304</v>
      </c>
      <c r="E449" s="130"/>
    </row>
    <row r="450" spans="1:5" x14ac:dyDescent="0.25">
      <c r="A450" s="1033">
        <v>903212</v>
      </c>
      <c r="B450" s="129">
        <v>0</v>
      </c>
      <c r="E450" s="130"/>
    </row>
    <row r="451" spans="1:5" x14ac:dyDescent="0.25">
      <c r="A451" s="1033">
        <v>903214</v>
      </c>
      <c r="B451" s="129">
        <v>0</v>
      </c>
      <c r="E451" s="130"/>
    </row>
    <row r="452" spans="1:5" x14ac:dyDescent="0.25">
      <c r="A452" s="1033">
        <v>903216</v>
      </c>
      <c r="B452" s="129">
        <v>0</v>
      </c>
      <c r="E452" s="130"/>
    </row>
    <row r="453" spans="1:5" x14ac:dyDescent="0.25">
      <c r="A453" s="1033">
        <v>903218</v>
      </c>
      <c r="B453" s="129">
        <v>0</v>
      </c>
      <c r="E453" s="130"/>
    </row>
    <row r="454" spans="1:5" x14ac:dyDescent="0.25">
      <c r="A454" s="1033">
        <v>903222</v>
      </c>
      <c r="B454" s="129">
        <v>0</v>
      </c>
      <c r="E454" s="130"/>
    </row>
    <row r="455" spans="1:5" x14ac:dyDescent="0.25">
      <c r="A455" s="1033">
        <v>903224</v>
      </c>
      <c r="B455" s="129">
        <v>0</v>
      </c>
      <c r="E455" s="130"/>
    </row>
    <row r="456" spans="1:5" x14ac:dyDescent="0.25">
      <c r="A456" s="1033">
        <v>903226</v>
      </c>
      <c r="B456" s="129">
        <v>0</v>
      </c>
      <c r="E456" s="130"/>
    </row>
    <row r="457" spans="1:5" x14ac:dyDescent="0.25">
      <c r="A457" s="1033">
        <v>903228</v>
      </c>
      <c r="B457" s="129">
        <v>0</v>
      </c>
      <c r="E457" s="130"/>
    </row>
    <row r="458" spans="1:5" x14ac:dyDescent="0.25">
      <c r="A458" s="1033">
        <v>903312</v>
      </c>
      <c r="B458" s="129">
        <v>0</v>
      </c>
      <c r="E458" s="130"/>
    </row>
    <row r="459" spans="1:5" x14ac:dyDescent="0.25">
      <c r="A459" s="1033">
        <v>903314</v>
      </c>
      <c r="B459" s="129">
        <v>0</v>
      </c>
      <c r="E459" s="130"/>
    </row>
    <row r="460" spans="1:5" x14ac:dyDescent="0.25">
      <c r="A460" s="1033">
        <v>903316</v>
      </c>
      <c r="B460" s="129">
        <v>0</v>
      </c>
      <c r="E460" s="130"/>
    </row>
    <row r="461" spans="1:5" x14ac:dyDescent="0.25">
      <c r="A461" s="1033">
        <v>903318</v>
      </c>
      <c r="B461" s="129">
        <v>0</v>
      </c>
      <c r="E461" s="130"/>
    </row>
    <row r="462" spans="1:5" x14ac:dyDescent="0.25">
      <c r="A462" s="1033">
        <v>903322</v>
      </c>
      <c r="B462" s="129">
        <v>0</v>
      </c>
      <c r="E462" s="130"/>
    </row>
    <row r="463" spans="1:5" x14ac:dyDescent="0.25">
      <c r="A463" s="1033">
        <v>903324</v>
      </c>
      <c r="B463" s="129">
        <v>0</v>
      </c>
      <c r="E463" s="130"/>
    </row>
    <row r="464" spans="1:5" x14ac:dyDescent="0.25">
      <c r="A464" s="1033">
        <v>903326</v>
      </c>
      <c r="B464" s="129">
        <v>0</v>
      </c>
      <c r="E464" s="130"/>
    </row>
    <row r="465" spans="1:9" x14ac:dyDescent="0.25">
      <c r="A465" s="1033">
        <v>903328</v>
      </c>
      <c r="B465" s="129">
        <v>0</v>
      </c>
      <c r="E465" s="130"/>
    </row>
    <row r="466" spans="1:9" x14ac:dyDescent="0.25">
      <c r="A466" s="1033">
        <v>903412</v>
      </c>
      <c r="B466" s="129">
        <v>0</v>
      </c>
      <c r="E466" s="130"/>
    </row>
    <row r="467" spans="1:9" x14ac:dyDescent="0.25">
      <c r="A467" s="1033">
        <v>903414</v>
      </c>
      <c r="B467" s="129">
        <v>0</v>
      </c>
      <c r="E467" s="130"/>
    </row>
    <row r="468" spans="1:9" x14ac:dyDescent="0.25">
      <c r="A468" s="1033">
        <v>903416</v>
      </c>
      <c r="B468" s="129">
        <v>0</v>
      </c>
      <c r="E468" s="130"/>
    </row>
    <row r="469" spans="1:9" x14ac:dyDescent="0.25">
      <c r="A469" s="1033">
        <v>903418</v>
      </c>
      <c r="B469" s="129">
        <v>0</v>
      </c>
      <c r="E469" s="130"/>
    </row>
    <row r="470" spans="1:9" x14ac:dyDescent="0.25">
      <c r="A470" s="1033">
        <v>903422</v>
      </c>
      <c r="B470" s="129">
        <v>0</v>
      </c>
      <c r="E470" s="130"/>
    </row>
    <row r="471" spans="1:9" x14ac:dyDescent="0.25">
      <c r="A471" s="1033">
        <v>903424</v>
      </c>
      <c r="B471" s="129">
        <v>0</v>
      </c>
      <c r="E471" s="130"/>
    </row>
    <row r="472" spans="1:9" x14ac:dyDescent="0.25">
      <c r="A472" s="1033">
        <v>903426</v>
      </c>
      <c r="B472" s="129">
        <v>0</v>
      </c>
      <c r="E472" s="130"/>
    </row>
    <row r="473" spans="1:9" x14ac:dyDescent="0.25">
      <c r="A473" s="1033">
        <v>903428</v>
      </c>
      <c r="B473" s="129">
        <v>0</v>
      </c>
      <c r="E473" s="130"/>
    </row>
    <row r="474" spans="1:9" x14ac:dyDescent="0.25">
      <c r="A474" s="1033">
        <v>903512</v>
      </c>
      <c r="B474" s="129">
        <v>3</v>
      </c>
      <c r="C474" s="130" t="s">
        <v>1116</v>
      </c>
      <c r="D474" s="130">
        <v>16</v>
      </c>
      <c r="E474" s="130" t="s">
        <v>1116</v>
      </c>
      <c r="F474" s="1031">
        <v>0</v>
      </c>
      <c r="G474" s="1031">
        <v>-0.03</v>
      </c>
      <c r="H474" s="1031">
        <v>-0.03</v>
      </c>
      <c r="I474" s="1032" t="s">
        <v>1117</v>
      </c>
    </row>
    <row r="475" spans="1:9" x14ac:dyDescent="0.25">
      <c r="A475" s="1033">
        <v>903514</v>
      </c>
      <c r="B475" s="129">
        <v>-15</v>
      </c>
      <c r="C475" s="130" t="s">
        <v>91</v>
      </c>
      <c r="D475" s="130">
        <v>16</v>
      </c>
      <c r="E475" s="130" t="s">
        <v>91</v>
      </c>
      <c r="F475" s="1031">
        <v>0</v>
      </c>
      <c r="G475" s="1031">
        <v>15.48</v>
      </c>
      <c r="H475" s="1031">
        <v>15.48</v>
      </c>
      <c r="I475" s="1032" t="s">
        <v>1118</v>
      </c>
    </row>
    <row r="476" spans="1:9" x14ac:dyDescent="0.25">
      <c r="A476" s="1033">
        <v>903516</v>
      </c>
      <c r="B476" s="129">
        <v>11</v>
      </c>
      <c r="C476" s="130" t="s">
        <v>91</v>
      </c>
      <c r="D476" s="130">
        <v>16</v>
      </c>
      <c r="E476" s="130" t="s">
        <v>91</v>
      </c>
      <c r="F476" s="1031">
        <v>0</v>
      </c>
      <c r="G476" s="1031">
        <v>15.48</v>
      </c>
      <c r="H476" s="1031">
        <v>15.48</v>
      </c>
      <c r="I476" s="1032" t="s">
        <v>1118</v>
      </c>
    </row>
    <row r="477" spans="1:9" x14ac:dyDescent="0.25">
      <c r="A477" s="1033"/>
      <c r="C477" s="130" t="s">
        <v>1119</v>
      </c>
      <c r="D477" s="130">
        <v>16</v>
      </c>
      <c r="E477" s="130" t="s">
        <v>1119</v>
      </c>
      <c r="F477" s="1031">
        <v>0</v>
      </c>
      <c r="G477" s="1031">
        <v>-26.12</v>
      </c>
      <c r="H477" s="1031">
        <v>-26.12</v>
      </c>
      <c r="I477" s="1032" t="s">
        <v>1120</v>
      </c>
    </row>
    <row r="478" spans="1:9" x14ac:dyDescent="0.25">
      <c r="A478" s="1033">
        <v>903518</v>
      </c>
      <c r="B478" s="129">
        <v>-733</v>
      </c>
      <c r="E478" s="130"/>
    </row>
    <row r="479" spans="1:9" x14ac:dyDescent="0.25">
      <c r="A479" s="1033">
        <v>903522</v>
      </c>
      <c r="B479" s="129">
        <v>3</v>
      </c>
      <c r="C479" s="130" t="s">
        <v>1116</v>
      </c>
      <c r="D479" s="130">
        <v>16</v>
      </c>
      <c r="E479" s="130" t="s">
        <v>1116</v>
      </c>
      <c r="F479" s="1031">
        <v>0</v>
      </c>
      <c r="G479" s="1031">
        <v>-0.03</v>
      </c>
      <c r="H479" s="1031">
        <v>-0.03</v>
      </c>
      <c r="I479" s="1032" t="s">
        <v>1117</v>
      </c>
    </row>
    <row r="480" spans="1:9" x14ac:dyDescent="0.25">
      <c r="A480" s="1033">
        <v>903524</v>
      </c>
      <c r="B480" s="129">
        <v>-15</v>
      </c>
      <c r="C480" s="130" t="s">
        <v>91</v>
      </c>
      <c r="D480" s="130">
        <v>16</v>
      </c>
      <c r="E480" s="130" t="s">
        <v>91</v>
      </c>
      <c r="F480" s="1031">
        <v>0</v>
      </c>
      <c r="G480" s="1031">
        <v>15.48</v>
      </c>
      <c r="H480" s="1031">
        <v>15.48</v>
      </c>
      <c r="I480" s="1032" t="s">
        <v>1118</v>
      </c>
    </row>
    <row r="481" spans="1:9" x14ac:dyDescent="0.25">
      <c r="A481" s="1033">
        <v>903526</v>
      </c>
      <c r="B481" s="129">
        <v>11</v>
      </c>
      <c r="C481" s="130" t="s">
        <v>91</v>
      </c>
      <c r="D481" s="130">
        <v>16</v>
      </c>
      <c r="E481" s="130" t="s">
        <v>91</v>
      </c>
      <c r="F481" s="1031">
        <v>0</v>
      </c>
      <c r="G481" s="1031">
        <v>15.48</v>
      </c>
      <c r="H481" s="1031">
        <v>15.48</v>
      </c>
      <c r="I481" s="1032" t="s">
        <v>1118</v>
      </c>
    </row>
    <row r="482" spans="1:9" x14ac:dyDescent="0.25">
      <c r="A482" s="1033"/>
      <c r="C482" s="130" t="s">
        <v>1119</v>
      </c>
      <c r="D482" s="130">
        <v>16</v>
      </c>
      <c r="E482" s="130" t="s">
        <v>1119</v>
      </c>
      <c r="F482" s="1031">
        <v>0</v>
      </c>
      <c r="G482" s="1031">
        <v>-26.12</v>
      </c>
      <c r="H482" s="1031">
        <v>-26.12</v>
      </c>
      <c r="I482" s="1032" t="s">
        <v>1120</v>
      </c>
    </row>
    <row r="483" spans="1:9" x14ac:dyDescent="0.25">
      <c r="A483" s="1033">
        <v>903528</v>
      </c>
      <c r="B483" s="129">
        <v>-733</v>
      </c>
      <c r="E483" s="130"/>
    </row>
    <row r="484" spans="1:9" x14ac:dyDescent="0.25">
      <c r="A484" s="1033">
        <v>903612</v>
      </c>
      <c r="B484" s="129">
        <v>10</v>
      </c>
      <c r="C484" s="130" t="s">
        <v>1121</v>
      </c>
      <c r="D484" s="130">
        <v>16</v>
      </c>
      <c r="E484" s="130" t="s">
        <v>1121</v>
      </c>
      <c r="F484" s="1031">
        <v>0</v>
      </c>
      <c r="G484" s="1031">
        <v>-0.1</v>
      </c>
      <c r="H484" s="1031">
        <v>-0.1</v>
      </c>
      <c r="I484" s="1032" t="s">
        <v>1122</v>
      </c>
    </row>
    <row r="485" spans="1:9" x14ac:dyDescent="0.25">
      <c r="A485" s="1033">
        <v>903614</v>
      </c>
      <c r="B485" s="129">
        <v>1953</v>
      </c>
      <c r="C485" s="130" t="s">
        <v>92</v>
      </c>
      <c r="D485" s="130">
        <v>16</v>
      </c>
      <c r="E485" s="130" t="s">
        <v>92</v>
      </c>
      <c r="F485" s="1031">
        <v>0</v>
      </c>
      <c r="G485" s="1031">
        <v>-1952.79</v>
      </c>
      <c r="H485" s="1031">
        <v>-1952.79</v>
      </c>
      <c r="I485" s="1032" t="s">
        <v>1123</v>
      </c>
    </row>
    <row r="486" spans="1:9" x14ac:dyDescent="0.25">
      <c r="A486" s="1033">
        <v>903616</v>
      </c>
      <c r="B486" s="129">
        <v>606</v>
      </c>
      <c r="C486" s="130" t="s">
        <v>92</v>
      </c>
      <c r="D486" s="130">
        <v>16</v>
      </c>
      <c r="E486" s="130" t="s">
        <v>92</v>
      </c>
      <c r="F486" s="1031">
        <v>0</v>
      </c>
      <c r="G486" s="1031">
        <v>-1952.79</v>
      </c>
      <c r="H486" s="1031">
        <v>-1952.79</v>
      </c>
      <c r="I486" s="1032" t="s">
        <v>1123</v>
      </c>
    </row>
    <row r="487" spans="1:9" x14ac:dyDescent="0.25">
      <c r="A487" s="1033"/>
      <c r="C487" s="130" t="s">
        <v>1124</v>
      </c>
      <c r="D487" s="130">
        <v>16</v>
      </c>
      <c r="E487" s="130" t="s">
        <v>1124</v>
      </c>
      <c r="F487" s="1031">
        <v>0</v>
      </c>
      <c r="G487" s="1031">
        <v>1347.06</v>
      </c>
      <c r="H487" s="1031">
        <v>1347.06</v>
      </c>
      <c r="I487" s="1032" t="s">
        <v>1125</v>
      </c>
    </row>
    <row r="488" spans="1:9" x14ac:dyDescent="0.25">
      <c r="A488" s="1033">
        <v>903618</v>
      </c>
      <c r="B488" s="129">
        <v>310</v>
      </c>
      <c r="E488" s="130"/>
    </row>
    <row r="489" spans="1:9" x14ac:dyDescent="0.25">
      <c r="A489" s="1033">
        <v>903622</v>
      </c>
      <c r="B489" s="129">
        <v>10</v>
      </c>
      <c r="C489" s="130" t="s">
        <v>1121</v>
      </c>
      <c r="D489" s="130">
        <v>16</v>
      </c>
      <c r="E489" s="130" t="s">
        <v>1121</v>
      </c>
      <c r="F489" s="1031">
        <v>0</v>
      </c>
      <c r="G489" s="1031">
        <v>-0.1</v>
      </c>
      <c r="H489" s="1031">
        <v>-0.1</v>
      </c>
      <c r="I489" s="1032" t="s">
        <v>1122</v>
      </c>
    </row>
    <row r="490" spans="1:9" x14ac:dyDescent="0.25">
      <c r="A490" s="1033">
        <v>903624</v>
      </c>
      <c r="B490" s="129">
        <v>1953</v>
      </c>
      <c r="C490" s="130" t="s">
        <v>92</v>
      </c>
      <c r="D490" s="130">
        <v>16</v>
      </c>
      <c r="E490" s="130" t="s">
        <v>92</v>
      </c>
      <c r="F490" s="1031">
        <v>0</v>
      </c>
      <c r="G490" s="1031">
        <v>-1952.79</v>
      </c>
      <c r="H490" s="1031">
        <v>-1952.79</v>
      </c>
      <c r="I490" s="1032" t="s">
        <v>1123</v>
      </c>
    </row>
    <row r="491" spans="1:9" x14ac:dyDescent="0.25">
      <c r="A491" s="1033">
        <v>903626</v>
      </c>
      <c r="B491" s="129">
        <v>606</v>
      </c>
      <c r="C491" s="130" t="s">
        <v>92</v>
      </c>
      <c r="D491" s="130">
        <v>16</v>
      </c>
      <c r="E491" s="130" t="s">
        <v>92</v>
      </c>
      <c r="F491" s="1031">
        <v>0</v>
      </c>
      <c r="G491" s="1031">
        <v>-1952.79</v>
      </c>
      <c r="H491" s="1031">
        <v>-1952.79</v>
      </c>
      <c r="I491" s="1032" t="s">
        <v>1123</v>
      </c>
    </row>
    <row r="492" spans="1:9" x14ac:dyDescent="0.25">
      <c r="A492" s="1033"/>
      <c r="C492" s="130" t="s">
        <v>1124</v>
      </c>
      <c r="D492" s="130">
        <v>16</v>
      </c>
      <c r="E492" s="130" t="s">
        <v>1124</v>
      </c>
      <c r="F492" s="1031">
        <v>0</v>
      </c>
      <c r="G492" s="1031">
        <v>1347.06</v>
      </c>
      <c r="H492" s="1031">
        <v>1347.06</v>
      </c>
      <c r="I492" s="1032" t="s">
        <v>1125</v>
      </c>
    </row>
    <row r="493" spans="1:9" x14ac:dyDescent="0.25">
      <c r="A493" s="1033">
        <v>903628</v>
      </c>
      <c r="B493" s="129">
        <v>310</v>
      </c>
      <c r="E493" s="130"/>
    </row>
    <row r="494" spans="1:9" x14ac:dyDescent="0.25">
      <c r="A494" s="1033">
        <v>903712</v>
      </c>
      <c r="B494" s="129">
        <v>0</v>
      </c>
      <c r="E494" s="130"/>
    </row>
    <row r="495" spans="1:9" x14ac:dyDescent="0.25">
      <c r="A495" s="1033">
        <v>903714</v>
      </c>
      <c r="B495" s="129">
        <v>0</v>
      </c>
      <c r="E495" s="130"/>
    </row>
    <row r="496" spans="1:9" x14ac:dyDescent="0.25">
      <c r="A496" s="1033">
        <v>903716</v>
      </c>
      <c r="B496" s="129">
        <v>0</v>
      </c>
      <c r="E496" s="130"/>
    </row>
    <row r="497" spans="1:5" x14ac:dyDescent="0.25">
      <c r="A497" s="1033">
        <v>903718</v>
      </c>
      <c r="B497" s="129">
        <v>0</v>
      </c>
      <c r="E497" s="130"/>
    </row>
    <row r="498" spans="1:5" x14ac:dyDescent="0.25">
      <c r="A498" s="1033">
        <v>903722</v>
      </c>
      <c r="B498" s="129">
        <v>0</v>
      </c>
      <c r="E498" s="130"/>
    </row>
    <row r="499" spans="1:5" x14ac:dyDescent="0.25">
      <c r="A499" s="1033">
        <v>903724</v>
      </c>
      <c r="B499" s="129">
        <v>0</v>
      </c>
      <c r="E499" s="130"/>
    </row>
    <row r="500" spans="1:5" x14ac:dyDescent="0.25">
      <c r="A500" s="1033">
        <v>903726</v>
      </c>
      <c r="B500" s="129">
        <v>0</v>
      </c>
      <c r="E500" s="130"/>
    </row>
    <row r="501" spans="1:5" x14ac:dyDescent="0.25">
      <c r="A501" s="1033">
        <v>903728</v>
      </c>
      <c r="B501" s="129">
        <v>0</v>
      </c>
      <c r="E501" s="130"/>
    </row>
    <row r="502" spans="1:5" x14ac:dyDescent="0.25">
      <c r="A502" s="1033">
        <v>903812</v>
      </c>
      <c r="B502" s="129">
        <v>0</v>
      </c>
      <c r="E502" s="130"/>
    </row>
    <row r="503" spans="1:5" x14ac:dyDescent="0.25">
      <c r="A503" s="1033">
        <v>903814</v>
      </c>
      <c r="B503" s="129">
        <v>0</v>
      </c>
      <c r="E503" s="130"/>
    </row>
    <row r="504" spans="1:5" x14ac:dyDescent="0.25">
      <c r="A504" s="1033">
        <v>903816</v>
      </c>
      <c r="B504" s="129">
        <v>0</v>
      </c>
      <c r="E504" s="130"/>
    </row>
    <row r="505" spans="1:5" x14ac:dyDescent="0.25">
      <c r="A505" s="1033">
        <v>903818</v>
      </c>
      <c r="B505" s="129">
        <v>0</v>
      </c>
      <c r="E505" s="130"/>
    </row>
    <row r="506" spans="1:5" x14ac:dyDescent="0.25">
      <c r="A506" s="1033">
        <v>903822</v>
      </c>
      <c r="B506" s="129">
        <v>0</v>
      </c>
      <c r="E506" s="130"/>
    </row>
    <row r="507" spans="1:5" x14ac:dyDescent="0.25">
      <c r="A507" s="1033">
        <v>903824</v>
      </c>
      <c r="B507" s="129">
        <v>0</v>
      </c>
      <c r="E507" s="130"/>
    </row>
    <row r="508" spans="1:5" x14ac:dyDescent="0.25">
      <c r="A508" s="1033">
        <v>903826</v>
      </c>
      <c r="B508" s="129">
        <v>0</v>
      </c>
      <c r="E508" s="130"/>
    </row>
    <row r="509" spans="1:5" x14ac:dyDescent="0.25">
      <c r="A509" s="1033">
        <v>903828</v>
      </c>
      <c r="B509" s="129">
        <v>0</v>
      </c>
      <c r="E509" s="130"/>
    </row>
    <row r="510" spans="1:5" x14ac:dyDescent="0.25">
      <c r="A510" s="1033">
        <v>903912</v>
      </c>
      <c r="B510" s="129">
        <v>0</v>
      </c>
      <c r="E510" s="130"/>
    </row>
    <row r="511" spans="1:5" x14ac:dyDescent="0.25">
      <c r="A511" s="1033">
        <v>903914</v>
      </c>
      <c r="B511" s="129">
        <v>0</v>
      </c>
      <c r="E511" s="130"/>
    </row>
    <row r="512" spans="1:5" x14ac:dyDescent="0.25">
      <c r="A512" s="1033">
        <v>903916</v>
      </c>
      <c r="B512" s="129">
        <v>0</v>
      </c>
      <c r="E512" s="130"/>
    </row>
    <row r="513" spans="1:9" x14ac:dyDescent="0.25">
      <c r="A513" s="1033">
        <v>903918</v>
      </c>
      <c r="B513" s="129">
        <v>0</v>
      </c>
      <c r="E513" s="130"/>
    </row>
    <row r="514" spans="1:9" x14ac:dyDescent="0.25">
      <c r="A514" s="1033">
        <v>903922</v>
      </c>
      <c r="B514" s="129">
        <v>0</v>
      </c>
      <c r="E514" s="130"/>
    </row>
    <row r="515" spans="1:9" x14ac:dyDescent="0.25">
      <c r="A515" s="1033">
        <v>903924</v>
      </c>
      <c r="B515" s="129">
        <v>0</v>
      </c>
      <c r="E515" s="130"/>
    </row>
    <row r="516" spans="1:9" x14ac:dyDescent="0.25">
      <c r="A516" s="1033">
        <v>903926</v>
      </c>
      <c r="B516" s="129">
        <v>0</v>
      </c>
      <c r="E516" s="130"/>
    </row>
    <row r="517" spans="1:9" x14ac:dyDescent="0.25">
      <c r="A517" s="1033">
        <v>903928</v>
      </c>
      <c r="B517" s="129">
        <v>0</v>
      </c>
      <c r="E517" s="130"/>
    </row>
    <row r="518" spans="1:9" x14ac:dyDescent="0.25">
      <c r="A518" s="1033">
        <v>904012</v>
      </c>
      <c r="B518" s="129">
        <v>0</v>
      </c>
      <c r="E518" s="130"/>
    </row>
    <row r="519" spans="1:9" x14ac:dyDescent="0.25">
      <c r="A519" s="1033">
        <v>904014</v>
      </c>
      <c r="B519" s="129">
        <v>0</v>
      </c>
      <c r="E519" s="130"/>
    </row>
    <row r="520" spans="1:9" x14ac:dyDescent="0.25">
      <c r="A520" s="1033">
        <v>904016</v>
      </c>
      <c r="B520" s="129">
        <v>0</v>
      </c>
      <c r="E520" s="130"/>
    </row>
    <row r="521" spans="1:9" x14ac:dyDescent="0.25">
      <c r="A521" s="1033">
        <v>904018</v>
      </c>
      <c r="B521" s="129">
        <v>0</v>
      </c>
      <c r="E521" s="130"/>
    </row>
    <row r="522" spans="1:9" x14ac:dyDescent="0.25">
      <c r="A522" s="1033">
        <v>904022</v>
      </c>
      <c r="B522" s="129">
        <v>0</v>
      </c>
      <c r="E522" s="130"/>
    </row>
    <row r="523" spans="1:9" x14ac:dyDescent="0.25">
      <c r="A523" s="1033">
        <v>904024</v>
      </c>
      <c r="B523" s="129">
        <v>0</v>
      </c>
      <c r="E523" s="130"/>
    </row>
    <row r="524" spans="1:9" x14ac:dyDescent="0.25">
      <c r="A524" s="1033">
        <v>904026</v>
      </c>
      <c r="B524" s="129">
        <v>0</v>
      </c>
      <c r="E524" s="130"/>
    </row>
    <row r="525" spans="1:9" x14ac:dyDescent="0.25">
      <c r="A525" s="1033">
        <v>904028</v>
      </c>
      <c r="B525" s="129">
        <v>0</v>
      </c>
      <c r="E525" s="130"/>
    </row>
    <row r="526" spans="1:9" x14ac:dyDescent="0.25">
      <c r="A526" s="1033">
        <v>904112</v>
      </c>
      <c r="B526" s="129">
        <v>82</v>
      </c>
      <c r="E526" s="130"/>
    </row>
    <row r="527" spans="1:9" x14ac:dyDescent="0.25">
      <c r="A527" s="1033">
        <v>904114</v>
      </c>
      <c r="B527" s="129">
        <v>11999</v>
      </c>
      <c r="E527" s="130"/>
    </row>
    <row r="528" spans="1:9" x14ac:dyDescent="0.25">
      <c r="A528" s="1033">
        <v>904116</v>
      </c>
      <c r="B528" s="129">
        <v>3680</v>
      </c>
      <c r="C528" s="130" t="s">
        <v>49</v>
      </c>
      <c r="D528" s="130">
        <v>16</v>
      </c>
      <c r="E528" s="130" t="s">
        <v>49</v>
      </c>
      <c r="F528" s="1031">
        <v>0</v>
      </c>
      <c r="G528" s="1031">
        <v>-10061.200000000001</v>
      </c>
      <c r="H528" s="1031">
        <v>-10061.200000000001</v>
      </c>
      <c r="I528" s="1032" t="s">
        <v>1113</v>
      </c>
    </row>
    <row r="529" spans="1:9" x14ac:dyDescent="0.25">
      <c r="A529" s="1033"/>
      <c r="C529" s="130" t="s">
        <v>1114</v>
      </c>
      <c r="D529" s="130">
        <v>16</v>
      </c>
      <c r="E529" s="130" t="s">
        <v>1114</v>
      </c>
      <c r="F529" s="1031">
        <v>0</v>
      </c>
      <c r="G529" s="1031">
        <v>6998.24</v>
      </c>
      <c r="H529" s="1031">
        <v>6998.24</v>
      </c>
      <c r="I529" s="1032" t="s">
        <v>1115</v>
      </c>
    </row>
    <row r="530" spans="1:9" x14ac:dyDescent="0.25">
      <c r="A530" s="1033"/>
      <c r="C530" s="130" t="s">
        <v>91</v>
      </c>
      <c r="D530" s="130">
        <v>16</v>
      </c>
      <c r="E530" s="130" t="s">
        <v>91</v>
      </c>
      <c r="F530" s="1031">
        <v>0</v>
      </c>
      <c r="G530" s="1031">
        <v>15.48</v>
      </c>
      <c r="H530" s="1031">
        <v>15.48</v>
      </c>
      <c r="I530" s="1032" t="s">
        <v>1118</v>
      </c>
    </row>
    <row r="531" spans="1:9" x14ac:dyDescent="0.25">
      <c r="A531" s="1033"/>
      <c r="C531" s="130" t="s">
        <v>1119</v>
      </c>
      <c r="D531" s="130">
        <v>16</v>
      </c>
      <c r="E531" s="130" t="s">
        <v>1119</v>
      </c>
      <c r="F531" s="1031">
        <v>0</v>
      </c>
      <c r="G531" s="1031">
        <v>-26.12</v>
      </c>
      <c r="H531" s="1031">
        <v>-26.12</v>
      </c>
      <c r="I531" s="1032" t="s">
        <v>1120</v>
      </c>
    </row>
    <row r="532" spans="1:9" x14ac:dyDescent="0.25">
      <c r="A532" s="1033"/>
      <c r="C532" s="130" t="s">
        <v>92</v>
      </c>
      <c r="D532" s="130">
        <v>16</v>
      </c>
      <c r="E532" s="130" t="s">
        <v>92</v>
      </c>
      <c r="F532" s="1031">
        <v>0</v>
      </c>
      <c r="G532" s="1031">
        <v>-1952.79</v>
      </c>
      <c r="H532" s="1031">
        <v>-1952.79</v>
      </c>
      <c r="I532" s="1032" t="s">
        <v>1123</v>
      </c>
    </row>
    <row r="533" spans="1:9" x14ac:dyDescent="0.25">
      <c r="A533" s="1033"/>
      <c r="C533" s="130" t="s">
        <v>1124</v>
      </c>
      <c r="D533" s="130">
        <v>16</v>
      </c>
      <c r="E533" s="130" t="s">
        <v>1124</v>
      </c>
      <c r="F533" s="1031">
        <v>0</v>
      </c>
      <c r="G533" s="1031">
        <v>1347.06</v>
      </c>
      <c r="H533" s="1031">
        <v>1347.06</v>
      </c>
      <c r="I533" s="1032" t="s">
        <v>1125</v>
      </c>
    </row>
    <row r="534" spans="1:9" x14ac:dyDescent="0.25">
      <c r="A534" s="1033">
        <v>904118</v>
      </c>
      <c r="B534" s="129">
        <v>307</v>
      </c>
      <c r="E534" s="130"/>
    </row>
    <row r="535" spans="1:9" x14ac:dyDescent="0.25">
      <c r="A535" s="1033">
        <v>904122</v>
      </c>
      <c r="B535" s="129">
        <v>82</v>
      </c>
      <c r="E535" s="130"/>
    </row>
    <row r="536" spans="1:9" x14ac:dyDescent="0.25">
      <c r="A536" s="1033">
        <v>904124</v>
      </c>
      <c r="B536" s="129">
        <v>11999</v>
      </c>
      <c r="E536" s="130"/>
    </row>
    <row r="537" spans="1:9" x14ac:dyDescent="0.25">
      <c r="A537" s="1033">
        <v>904126</v>
      </c>
      <c r="B537" s="129">
        <v>3680</v>
      </c>
      <c r="C537" s="130" t="s">
        <v>49</v>
      </c>
      <c r="D537" s="130">
        <v>16</v>
      </c>
      <c r="E537" s="130" t="s">
        <v>49</v>
      </c>
      <c r="F537" s="1031">
        <v>0</v>
      </c>
      <c r="G537" s="1031">
        <v>-10061.200000000001</v>
      </c>
      <c r="H537" s="1031">
        <v>-10061.200000000001</v>
      </c>
      <c r="I537" s="1032" t="s">
        <v>1113</v>
      </c>
    </row>
    <row r="538" spans="1:9" x14ac:dyDescent="0.25">
      <c r="A538" s="1033"/>
      <c r="C538" s="130" t="s">
        <v>1114</v>
      </c>
      <c r="D538" s="130">
        <v>16</v>
      </c>
      <c r="E538" s="130" t="s">
        <v>1114</v>
      </c>
      <c r="F538" s="1031">
        <v>0</v>
      </c>
      <c r="G538" s="1031">
        <v>6998.24</v>
      </c>
      <c r="H538" s="1031">
        <v>6998.24</v>
      </c>
      <c r="I538" s="1032" t="s">
        <v>1115</v>
      </c>
    </row>
    <row r="539" spans="1:9" x14ac:dyDescent="0.25">
      <c r="A539" s="1033"/>
      <c r="C539" s="130" t="s">
        <v>91</v>
      </c>
      <c r="D539" s="130">
        <v>16</v>
      </c>
      <c r="E539" s="130" t="s">
        <v>91</v>
      </c>
      <c r="F539" s="1031">
        <v>0</v>
      </c>
      <c r="G539" s="1031">
        <v>15.48</v>
      </c>
      <c r="H539" s="1031">
        <v>15.48</v>
      </c>
      <c r="I539" s="1032" t="s">
        <v>1118</v>
      </c>
    </row>
    <row r="540" spans="1:9" x14ac:dyDescent="0.25">
      <c r="A540" s="1033"/>
      <c r="C540" s="130" t="s">
        <v>1119</v>
      </c>
      <c r="D540" s="130">
        <v>16</v>
      </c>
      <c r="E540" s="130" t="s">
        <v>1119</v>
      </c>
      <c r="F540" s="1031">
        <v>0</v>
      </c>
      <c r="G540" s="1031">
        <v>-26.12</v>
      </c>
      <c r="H540" s="1031">
        <v>-26.12</v>
      </c>
      <c r="I540" s="1032" t="s">
        <v>1120</v>
      </c>
    </row>
    <row r="541" spans="1:9" x14ac:dyDescent="0.25">
      <c r="A541" s="1033"/>
      <c r="C541" s="130" t="s">
        <v>92</v>
      </c>
      <c r="D541" s="130">
        <v>16</v>
      </c>
      <c r="E541" s="130" t="s">
        <v>92</v>
      </c>
      <c r="F541" s="1031">
        <v>0</v>
      </c>
      <c r="G541" s="1031">
        <v>-1952.79</v>
      </c>
      <c r="H541" s="1031">
        <v>-1952.79</v>
      </c>
      <c r="I541" s="1032" t="s">
        <v>1123</v>
      </c>
    </row>
    <row r="542" spans="1:9" x14ac:dyDescent="0.25">
      <c r="A542" s="1033"/>
      <c r="C542" s="130" t="s">
        <v>1124</v>
      </c>
      <c r="D542" s="130">
        <v>16</v>
      </c>
      <c r="E542" s="130" t="s">
        <v>1124</v>
      </c>
      <c r="F542" s="1031">
        <v>0</v>
      </c>
      <c r="G542" s="1031">
        <v>1347.06</v>
      </c>
      <c r="H542" s="1031">
        <v>1347.06</v>
      </c>
      <c r="I542" s="1032" t="s">
        <v>1125</v>
      </c>
    </row>
    <row r="543" spans="1:9" x14ac:dyDescent="0.25">
      <c r="A543" s="1033">
        <v>904128</v>
      </c>
      <c r="B543" s="129">
        <v>307</v>
      </c>
      <c r="E543" s="130"/>
    </row>
    <row r="544" spans="1:9" x14ac:dyDescent="0.25">
      <c r="A544" s="1033">
        <v>904212</v>
      </c>
      <c r="B544" s="129">
        <v>67</v>
      </c>
      <c r="C544" s="130" t="s">
        <v>1126</v>
      </c>
      <c r="D544" s="130">
        <v>16</v>
      </c>
      <c r="E544" s="130" t="s">
        <v>1126</v>
      </c>
      <c r="F544" s="1031">
        <v>0</v>
      </c>
      <c r="G544" s="1031">
        <v>-0.67</v>
      </c>
      <c r="H544" s="1031">
        <v>-0.67</v>
      </c>
      <c r="I544" s="1032" t="s">
        <v>1127</v>
      </c>
    </row>
    <row r="545" spans="1:9" x14ac:dyDescent="0.25">
      <c r="A545" s="1033">
        <v>904214</v>
      </c>
      <c r="B545" s="129">
        <v>30135</v>
      </c>
      <c r="C545" s="130" t="s">
        <v>97</v>
      </c>
      <c r="D545" s="130">
        <v>16</v>
      </c>
      <c r="E545" s="130" t="s">
        <v>97</v>
      </c>
      <c r="F545" s="1031">
        <v>0</v>
      </c>
      <c r="G545" s="1031">
        <v>-30135.23</v>
      </c>
      <c r="H545" s="1031">
        <v>-30135.23</v>
      </c>
      <c r="I545" s="1032" t="s">
        <v>1128</v>
      </c>
    </row>
    <row r="546" spans="1:9" x14ac:dyDescent="0.25">
      <c r="A546" s="1033">
        <v>904216</v>
      </c>
      <c r="B546" s="129">
        <v>7032</v>
      </c>
      <c r="C546" s="130" t="s">
        <v>97</v>
      </c>
      <c r="D546" s="130">
        <v>16</v>
      </c>
      <c r="E546" s="130" t="s">
        <v>97</v>
      </c>
      <c r="F546" s="1031">
        <v>0</v>
      </c>
      <c r="G546" s="1031">
        <v>-30135.23</v>
      </c>
      <c r="H546" s="1031">
        <v>-30135.23</v>
      </c>
      <c r="I546" s="1032" t="s">
        <v>1128</v>
      </c>
    </row>
    <row r="547" spans="1:9" x14ac:dyDescent="0.25">
      <c r="A547" s="1033"/>
      <c r="C547" s="130" t="s">
        <v>1129</v>
      </c>
      <c r="D547" s="130">
        <v>16</v>
      </c>
      <c r="E547" s="130" t="s">
        <v>1129</v>
      </c>
      <c r="F547" s="1031">
        <v>0</v>
      </c>
      <c r="G547" s="1031">
        <v>22429.05</v>
      </c>
      <c r="H547" s="1031">
        <v>22429.05</v>
      </c>
      <c r="I547" s="1032" t="s">
        <v>1130</v>
      </c>
    </row>
    <row r="548" spans="1:9" x14ac:dyDescent="0.25">
      <c r="A548" s="1033"/>
      <c r="C548" s="130" t="s">
        <v>1129</v>
      </c>
      <c r="D548" s="130">
        <v>16</v>
      </c>
      <c r="E548" s="130" t="s">
        <v>1131</v>
      </c>
      <c r="F548" s="1031">
        <v>0</v>
      </c>
      <c r="G548" s="1031">
        <v>674.43</v>
      </c>
      <c r="H548" s="1031">
        <v>674.43</v>
      </c>
      <c r="I548" s="1032" t="s">
        <v>1132</v>
      </c>
    </row>
    <row r="549" spans="1:9" x14ac:dyDescent="0.25">
      <c r="A549" s="1033">
        <v>904218</v>
      </c>
      <c r="B549" s="129">
        <v>233</v>
      </c>
      <c r="E549" s="130"/>
    </row>
    <row r="550" spans="1:9" x14ac:dyDescent="0.25">
      <c r="A550" s="1033">
        <v>904222</v>
      </c>
      <c r="B550" s="129">
        <v>67</v>
      </c>
      <c r="C550" s="130" t="s">
        <v>1126</v>
      </c>
      <c r="D550" s="130">
        <v>16</v>
      </c>
      <c r="E550" s="130" t="s">
        <v>1126</v>
      </c>
      <c r="F550" s="1031">
        <v>0</v>
      </c>
      <c r="G550" s="1031">
        <v>-0.67</v>
      </c>
      <c r="H550" s="1031">
        <v>-0.67</v>
      </c>
      <c r="I550" s="1032" t="s">
        <v>1127</v>
      </c>
    </row>
    <row r="551" spans="1:9" x14ac:dyDescent="0.25">
      <c r="A551" s="1033">
        <v>904224</v>
      </c>
      <c r="B551" s="129">
        <v>30135</v>
      </c>
      <c r="C551" s="130" t="s">
        <v>97</v>
      </c>
      <c r="D551" s="130">
        <v>16</v>
      </c>
      <c r="E551" s="130" t="s">
        <v>97</v>
      </c>
      <c r="F551" s="1031">
        <v>0</v>
      </c>
      <c r="G551" s="1031">
        <v>-30135.23</v>
      </c>
      <c r="H551" s="1031">
        <v>-30135.23</v>
      </c>
      <c r="I551" s="1032" t="s">
        <v>1128</v>
      </c>
    </row>
    <row r="552" spans="1:9" x14ac:dyDescent="0.25">
      <c r="A552" s="1033">
        <v>904226</v>
      </c>
      <c r="B552" s="129">
        <v>7032</v>
      </c>
      <c r="C552" s="130" t="s">
        <v>97</v>
      </c>
      <c r="D552" s="130">
        <v>16</v>
      </c>
      <c r="E552" s="130" t="s">
        <v>97</v>
      </c>
      <c r="F552" s="1031">
        <v>0</v>
      </c>
      <c r="G552" s="1031">
        <v>-30135.23</v>
      </c>
      <c r="H552" s="1031">
        <v>-30135.23</v>
      </c>
      <c r="I552" s="1032" t="s">
        <v>1128</v>
      </c>
    </row>
    <row r="553" spans="1:9" x14ac:dyDescent="0.25">
      <c r="A553" s="1033"/>
      <c r="C553" s="130" t="s">
        <v>1129</v>
      </c>
      <c r="D553" s="130">
        <v>16</v>
      </c>
      <c r="E553" s="130" t="s">
        <v>1129</v>
      </c>
      <c r="F553" s="1031">
        <v>0</v>
      </c>
      <c r="G553" s="1031">
        <v>22429.05</v>
      </c>
      <c r="H553" s="1031">
        <v>22429.05</v>
      </c>
      <c r="I553" s="1032" t="s">
        <v>1130</v>
      </c>
    </row>
    <row r="554" spans="1:9" x14ac:dyDescent="0.25">
      <c r="A554" s="1033"/>
      <c r="C554" s="130" t="s">
        <v>1129</v>
      </c>
      <c r="D554" s="130">
        <v>16</v>
      </c>
      <c r="E554" s="130" t="s">
        <v>1131</v>
      </c>
      <c r="F554" s="1031">
        <v>0</v>
      </c>
      <c r="G554" s="1031">
        <v>674.43</v>
      </c>
      <c r="H554" s="1031">
        <v>674.43</v>
      </c>
      <c r="I554" s="1032" t="s">
        <v>1132</v>
      </c>
    </row>
    <row r="555" spans="1:9" x14ac:dyDescent="0.25">
      <c r="A555" s="1033">
        <v>904228</v>
      </c>
      <c r="B555" s="129">
        <v>233</v>
      </c>
      <c r="E555" s="130"/>
    </row>
    <row r="556" spans="1:9" x14ac:dyDescent="0.25">
      <c r="A556" s="1033">
        <v>904312</v>
      </c>
      <c r="B556" s="129">
        <v>0</v>
      </c>
      <c r="E556" s="130"/>
    </row>
    <row r="557" spans="1:9" x14ac:dyDescent="0.25">
      <c r="A557" s="1033">
        <v>904314</v>
      </c>
      <c r="B557" s="129">
        <v>0</v>
      </c>
      <c r="E557" s="130"/>
    </row>
    <row r="558" spans="1:9" x14ac:dyDescent="0.25">
      <c r="A558" s="1033">
        <v>904316</v>
      </c>
      <c r="B558" s="129">
        <v>0</v>
      </c>
      <c r="E558" s="130"/>
    </row>
    <row r="559" spans="1:9" x14ac:dyDescent="0.25">
      <c r="A559" s="1033">
        <v>904318</v>
      </c>
      <c r="B559" s="129">
        <v>0</v>
      </c>
      <c r="E559" s="130"/>
    </row>
    <row r="560" spans="1:9" x14ac:dyDescent="0.25">
      <c r="A560" s="1033">
        <v>904322</v>
      </c>
      <c r="B560" s="129">
        <v>0</v>
      </c>
      <c r="E560" s="130"/>
    </row>
    <row r="561" spans="1:5" x14ac:dyDescent="0.25">
      <c r="A561" s="1033">
        <v>904324</v>
      </c>
      <c r="B561" s="129">
        <v>0</v>
      </c>
      <c r="E561" s="130"/>
    </row>
    <row r="562" spans="1:5" x14ac:dyDescent="0.25">
      <c r="A562" s="1033">
        <v>904326</v>
      </c>
      <c r="B562" s="129">
        <v>0</v>
      </c>
      <c r="E562" s="130"/>
    </row>
    <row r="563" spans="1:5" x14ac:dyDescent="0.25">
      <c r="A563" s="1033">
        <v>904328</v>
      </c>
      <c r="B563" s="129">
        <v>0</v>
      </c>
      <c r="E563" s="130"/>
    </row>
    <row r="564" spans="1:5" x14ac:dyDescent="0.25">
      <c r="A564" s="1033">
        <v>904412</v>
      </c>
      <c r="B564" s="129">
        <v>0</v>
      </c>
      <c r="E564" s="130"/>
    </row>
    <row r="565" spans="1:5" x14ac:dyDescent="0.25">
      <c r="A565" s="1033">
        <v>904414</v>
      </c>
      <c r="B565" s="129">
        <v>0</v>
      </c>
      <c r="E565" s="130"/>
    </row>
    <row r="566" spans="1:5" x14ac:dyDescent="0.25">
      <c r="A566" s="1033">
        <v>904416</v>
      </c>
      <c r="B566" s="129">
        <v>0</v>
      </c>
      <c r="E566" s="130"/>
    </row>
    <row r="567" spans="1:5" x14ac:dyDescent="0.25">
      <c r="A567" s="1033">
        <v>904418</v>
      </c>
      <c r="B567" s="129">
        <v>0</v>
      </c>
      <c r="E567" s="130"/>
    </row>
    <row r="568" spans="1:5" x14ac:dyDescent="0.25">
      <c r="A568" s="1033">
        <v>904422</v>
      </c>
      <c r="B568" s="129">
        <v>0</v>
      </c>
      <c r="E568" s="130"/>
    </row>
    <row r="569" spans="1:5" x14ac:dyDescent="0.25">
      <c r="A569" s="1033">
        <v>904424</v>
      </c>
      <c r="B569" s="129">
        <v>0</v>
      </c>
      <c r="E569" s="130"/>
    </row>
    <row r="570" spans="1:5" x14ac:dyDescent="0.25">
      <c r="A570" s="1033">
        <v>904426</v>
      </c>
      <c r="B570" s="129">
        <v>0</v>
      </c>
      <c r="E570" s="130"/>
    </row>
    <row r="571" spans="1:5" x14ac:dyDescent="0.25">
      <c r="A571" s="1033">
        <v>904428</v>
      </c>
      <c r="B571" s="129">
        <v>0</v>
      </c>
      <c r="E571" s="130"/>
    </row>
    <row r="572" spans="1:5" x14ac:dyDescent="0.25">
      <c r="A572" s="1033">
        <v>904512</v>
      </c>
      <c r="B572" s="129">
        <v>0</v>
      </c>
      <c r="E572" s="130"/>
    </row>
    <row r="573" spans="1:5" x14ac:dyDescent="0.25">
      <c r="A573" s="1033">
        <v>904514</v>
      </c>
      <c r="B573" s="129">
        <v>0</v>
      </c>
      <c r="E573" s="130"/>
    </row>
    <row r="574" spans="1:5" x14ac:dyDescent="0.25">
      <c r="A574" s="1033">
        <v>904516</v>
      </c>
      <c r="B574" s="129">
        <v>0</v>
      </c>
      <c r="E574" s="130"/>
    </row>
    <row r="575" spans="1:5" x14ac:dyDescent="0.25">
      <c r="A575" s="1033">
        <v>904518</v>
      </c>
      <c r="B575" s="129">
        <v>0</v>
      </c>
      <c r="E575" s="130"/>
    </row>
    <row r="576" spans="1:5" x14ac:dyDescent="0.25">
      <c r="A576" s="1033">
        <v>904522</v>
      </c>
      <c r="B576" s="129">
        <v>0</v>
      </c>
      <c r="E576" s="130"/>
    </row>
    <row r="577" spans="1:9" x14ac:dyDescent="0.25">
      <c r="A577" s="1033">
        <v>904524</v>
      </c>
      <c r="B577" s="129">
        <v>0</v>
      </c>
      <c r="E577" s="130"/>
    </row>
    <row r="578" spans="1:9" x14ac:dyDescent="0.25">
      <c r="A578" s="1033">
        <v>904526</v>
      </c>
      <c r="B578" s="129">
        <v>0</v>
      </c>
      <c r="E578" s="130"/>
    </row>
    <row r="579" spans="1:9" x14ac:dyDescent="0.25">
      <c r="A579" s="1033">
        <v>904528</v>
      </c>
      <c r="B579" s="129">
        <v>0</v>
      </c>
      <c r="E579" s="130"/>
    </row>
    <row r="580" spans="1:9" x14ac:dyDescent="0.25">
      <c r="A580" s="1033">
        <v>904612</v>
      </c>
      <c r="B580" s="129">
        <v>67</v>
      </c>
      <c r="E580" s="130"/>
    </row>
    <row r="581" spans="1:9" x14ac:dyDescent="0.25">
      <c r="A581" s="1033">
        <v>904614</v>
      </c>
      <c r="B581" s="129">
        <v>30135</v>
      </c>
      <c r="E581" s="130"/>
    </row>
    <row r="582" spans="1:9" x14ac:dyDescent="0.25">
      <c r="A582" s="1033">
        <v>904616</v>
      </c>
      <c r="B582" s="129">
        <v>7032</v>
      </c>
      <c r="C582" s="130" t="s">
        <v>97</v>
      </c>
      <c r="D582" s="130">
        <v>16</v>
      </c>
      <c r="E582" s="130" t="s">
        <v>97</v>
      </c>
      <c r="F582" s="1031">
        <v>0</v>
      </c>
      <c r="G582" s="1031">
        <v>-30135.23</v>
      </c>
      <c r="H582" s="1031">
        <v>-30135.23</v>
      </c>
      <c r="I582" s="1032" t="s">
        <v>1128</v>
      </c>
    </row>
    <row r="583" spans="1:9" x14ac:dyDescent="0.25">
      <c r="A583" s="1033"/>
      <c r="C583" s="130" t="s">
        <v>1129</v>
      </c>
      <c r="D583" s="130">
        <v>16</v>
      </c>
      <c r="E583" s="130" t="s">
        <v>1129</v>
      </c>
      <c r="F583" s="1031">
        <v>0</v>
      </c>
      <c r="G583" s="1031">
        <v>22429.05</v>
      </c>
      <c r="H583" s="1031">
        <v>22429.05</v>
      </c>
      <c r="I583" s="1032" t="s">
        <v>1130</v>
      </c>
    </row>
    <row r="584" spans="1:9" x14ac:dyDescent="0.25">
      <c r="A584" s="1033"/>
      <c r="C584" s="130" t="s">
        <v>1129</v>
      </c>
      <c r="D584" s="130">
        <v>16</v>
      </c>
      <c r="E584" s="130" t="s">
        <v>1131</v>
      </c>
      <c r="F584" s="1031">
        <v>0</v>
      </c>
      <c r="G584" s="1031">
        <v>674.43</v>
      </c>
      <c r="H584" s="1031">
        <v>674.43</v>
      </c>
      <c r="I584" s="1032" t="s">
        <v>1132</v>
      </c>
    </row>
    <row r="585" spans="1:9" x14ac:dyDescent="0.25">
      <c r="A585" s="1033">
        <v>904618</v>
      </c>
      <c r="B585" s="129">
        <v>233</v>
      </c>
      <c r="E585" s="130"/>
    </row>
    <row r="586" spans="1:9" x14ac:dyDescent="0.25">
      <c r="A586" s="1033">
        <v>904622</v>
      </c>
      <c r="B586" s="129">
        <v>67</v>
      </c>
      <c r="E586" s="130"/>
    </row>
    <row r="587" spans="1:9" x14ac:dyDescent="0.25">
      <c r="A587" s="1033">
        <v>904624</v>
      </c>
      <c r="B587" s="129">
        <v>30135</v>
      </c>
      <c r="E587" s="130"/>
    </row>
    <row r="588" spans="1:9" x14ac:dyDescent="0.25">
      <c r="A588" s="1033">
        <v>904626</v>
      </c>
      <c r="B588" s="129">
        <v>7032</v>
      </c>
      <c r="C588" s="130" t="s">
        <v>97</v>
      </c>
      <c r="D588" s="130">
        <v>16</v>
      </c>
      <c r="E588" s="130" t="s">
        <v>97</v>
      </c>
      <c r="F588" s="1031">
        <v>0</v>
      </c>
      <c r="G588" s="1031">
        <v>-30135.23</v>
      </c>
      <c r="H588" s="1031">
        <v>-30135.23</v>
      </c>
      <c r="I588" s="1032" t="s">
        <v>1128</v>
      </c>
    </row>
    <row r="589" spans="1:9" x14ac:dyDescent="0.25">
      <c r="A589" s="1033"/>
      <c r="C589" s="130" t="s">
        <v>1129</v>
      </c>
      <c r="D589" s="130">
        <v>16</v>
      </c>
      <c r="E589" s="130" t="s">
        <v>1129</v>
      </c>
      <c r="F589" s="1031">
        <v>0</v>
      </c>
      <c r="G589" s="1031">
        <v>22429.05</v>
      </c>
      <c r="H589" s="1031">
        <v>22429.05</v>
      </c>
      <c r="I589" s="1032" t="s">
        <v>1130</v>
      </c>
    </row>
    <row r="590" spans="1:9" x14ac:dyDescent="0.25">
      <c r="A590" s="1033"/>
      <c r="C590" s="130" t="s">
        <v>1129</v>
      </c>
      <c r="D590" s="130">
        <v>16</v>
      </c>
      <c r="E590" s="130" t="s">
        <v>1131</v>
      </c>
      <c r="F590" s="1031">
        <v>0</v>
      </c>
      <c r="G590" s="1031">
        <v>674.43</v>
      </c>
      <c r="H590" s="1031">
        <v>674.43</v>
      </c>
      <c r="I590" s="1032" t="s">
        <v>1132</v>
      </c>
    </row>
    <row r="591" spans="1:9" x14ac:dyDescent="0.25">
      <c r="A591" s="1033">
        <v>904628</v>
      </c>
      <c r="B591" s="129">
        <v>233</v>
      </c>
      <c r="E591" s="130"/>
    </row>
    <row r="592" spans="1:9" x14ac:dyDescent="0.25">
      <c r="A592" s="1033">
        <v>904712</v>
      </c>
      <c r="B592" s="129">
        <v>61</v>
      </c>
      <c r="C592" s="130" t="s">
        <v>1133</v>
      </c>
      <c r="D592" s="130">
        <v>16</v>
      </c>
      <c r="E592" s="130" t="s">
        <v>1133</v>
      </c>
      <c r="F592" s="1031">
        <v>0</v>
      </c>
      <c r="G592" s="1031">
        <v>-0.2</v>
      </c>
      <c r="H592" s="1031">
        <v>-0.2</v>
      </c>
      <c r="I592" s="1032" t="s">
        <v>1134</v>
      </c>
    </row>
    <row r="593" spans="1:9" x14ac:dyDescent="0.25">
      <c r="A593" s="1033"/>
      <c r="C593" s="130" t="s">
        <v>1135</v>
      </c>
      <c r="D593" s="130">
        <v>16</v>
      </c>
      <c r="E593" s="130" t="s">
        <v>1135</v>
      </c>
      <c r="F593" s="1031">
        <v>0</v>
      </c>
      <c r="G593" s="1031">
        <v>-0.41</v>
      </c>
      <c r="H593" s="1031">
        <v>-0.41</v>
      </c>
      <c r="I593" s="1032" t="s">
        <v>1136</v>
      </c>
    </row>
    <row r="594" spans="1:9" x14ac:dyDescent="0.25">
      <c r="A594" s="1033">
        <v>904714</v>
      </c>
      <c r="B594" s="129">
        <v>41963</v>
      </c>
      <c r="C594" s="130" t="s">
        <v>1137</v>
      </c>
      <c r="D594" s="130">
        <v>16</v>
      </c>
      <c r="E594" s="130" t="s">
        <v>1137</v>
      </c>
      <c r="F594" s="1031">
        <v>0</v>
      </c>
      <c r="G594" s="1031">
        <v>-35233.71</v>
      </c>
      <c r="H594" s="1031">
        <v>-35233.71</v>
      </c>
      <c r="I594" s="1032" t="s">
        <v>1138</v>
      </c>
    </row>
    <row r="595" spans="1:9" x14ac:dyDescent="0.25">
      <c r="A595" s="1033"/>
      <c r="C595" s="130" t="s">
        <v>1139</v>
      </c>
      <c r="D595" s="130">
        <v>16</v>
      </c>
      <c r="E595" s="130" t="s">
        <v>1139</v>
      </c>
      <c r="F595" s="1031">
        <v>0</v>
      </c>
      <c r="G595" s="1031">
        <v>-2732.14</v>
      </c>
      <c r="H595" s="1031">
        <v>-2732.14</v>
      </c>
      <c r="I595" s="1032" t="s">
        <v>1140</v>
      </c>
    </row>
    <row r="596" spans="1:9" x14ac:dyDescent="0.25">
      <c r="A596" s="1033"/>
      <c r="C596" s="130" t="s">
        <v>1139</v>
      </c>
      <c r="D596" s="130">
        <v>16</v>
      </c>
      <c r="E596" s="130" t="s">
        <v>1141</v>
      </c>
      <c r="F596" s="1031">
        <v>0</v>
      </c>
      <c r="G596" s="1031">
        <v>-3996.72</v>
      </c>
      <c r="H596" s="1031">
        <v>-3996.72</v>
      </c>
      <c r="I596" s="1032" t="s">
        <v>1142</v>
      </c>
    </row>
    <row r="597" spans="1:9" x14ac:dyDescent="0.25">
      <c r="A597" s="1033">
        <v>904716</v>
      </c>
      <c r="B597" s="129">
        <v>11792</v>
      </c>
      <c r="C597" s="130" t="s">
        <v>1137</v>
      </c>
      <c r="D597" s="130">
        <v>16</v>
      </c>
      <c r="E597" s="130" t="s">
        <v>1137</v>
      </c>
      <c r="F597" s="1031">
        <v>0</v>
      </c>
      <c r="G597" s="1031">
        <v>-35233.71</v>
      </c>
      <c r="H597" s="1031">
        <v>-35233.71</v>
      </c>
      <c r="I597" s="1032" t="s">
        <v>1138</v>
      </c>
    </row>
    <row r="598" spans="1:9" x14ac:dyDescent="0.25">
      <c r="A598" s="1033"/>
      <c r="C598" s="130" t="s">
        <v>1139</v>
      </c>
      <c r="D598" s="130">
        <v>16</v>
      </c>
      <c r="E598" s="130" t="s">
        <v>1139</v>
      </c>
      <c r="F598" s="1031">
        <v>0</v>
      </c>
      <c r="G598" s="1031">
        <v>-2732.14</v>
      </c>
      <c r="H598" s="1031">
        <v>-2732.14</v>
      </c>
      <c r="I598" s="1032" t="s">
        <v>1140</v>
      </c>
    </row>
    <row r="599" spans="1:9" x14ac:dyDescent="0.25">
      <c r="A599" s="1033"/>
      <c r="C599" s="130" t="s">
        <v>1139</v>
      </c>
      <c r="D599" s="130">
        <v>16</v>
      </c>
      <c r="E599" s="130" t="s">
        <v>1141</v>
      </c>
      <c r="F599" s="1031">
        <v>0</v>
      </c>
      <c r="G599" s="1031">
        <v>-3996.72</v>
      </c>
      <c r="H599" s="1031">
        <v>-3996.72</v>
      </c>
      <c r="I599" s="1032" t="s">
        <v>1142</v>
      </c>
    </row>
    <row r="600" spans="1:9" x14ac:dyDescent="0.25">
      <c r="A600" s="1033"/>
      <c r="C600" s="130" t="s">
        <v>1143</v>
      </c>
      <c r="D600" s="130">
        <v>16</v>
      </c>
      <c r="E600" s="130" t="s">
        <v>1143</v>
      </c>
      <c r="F600" s="1031">
        <v>0</v>
      </c>
      <c r="G600" s="1031">
        <v>25837.03</v>
      </c>
      <c r="H600" s="1031">
        <v>25837.03</v>
      </c>
      <c r="I600" s="1032" t="s">
        <v>1144</v>
      </c>
    </row>
    <row r="601" spans="1:9" x14ac:dyDescent="0.25">
      <c r="A601" s="1033"/>
      <c r="C601" s="130" t="s">
        <v>1145</v>
      </c>
      <c r="D601" s="130">
        <v>16</v>
      </c>
      <c r="E601" s="130" t="s">
        <v>1145</v>
      </c>
      <c r="F601" s="1031">
        <v>0</v>
      </c>
      <c r="G601" s="1031">
        <v>1781.05</v>
      </c>
      <c r="H601" s="1031">
        <v>1781.05</v>
      </c>
      <c r="I601" s="1032" t="s">
        <v>1146</v>
      </c>
    </row>
    <row r="602" spans="1:9" x14ac:dyDescent="0.25">
      <c r="A602" s="1033"/>
      <c r="C602" s="130" t="s">
        <v>1145</v>
      </c>
      <c r="D602" s="130">
        <v>16</v>
      </c>
      <c r="E602" s="130" t="s">
        <v>1147</v>
      </c>
      <c r="F602" s="1031">
        <v>0</v>
      </c>
      <c r="G602" s="1031">
        <v>2553.25</v>
      </c>
      <c r="H602" s="1031">
        <v>2553.25</v>
      </c>
      <c r="I602" s="1032" t="s">
        <v>1148</v>
      </c>
    </row>
    <row r="603" spans="1:9" x14ac:dyDescent="0.25">
      <c r="A603" s="1033">
        <v>904718</v>
      </c>
      <c r="B603" s="129">
        <v>281</v>
      </c>
      <c r="E603" s="130"/>
    </row>
    <row r="604" spans="1:9" x14ac:dyDescent="0.25">
      <c r="A604" s="1033">
        <v>904722</v>
      </c>
      <c r="B604" s="129">
        <v>61</v>
      </c>
      <c r="C604" s="130" t="s">
        <v>1133</v>
      </c>
      <c r="D604" s="130">
        <v>16</v>
      </c>
      <c r="E604" s="130" t="s">
        <v>1133</v>
      </c>
      <c r="F604" s="1031">
        <v>0</v>
      </c>
      <c r="G604" s="1031">
        <v>-0.2</v>
      </c>
      <c r="H604" s="1031">
        <v>-0.2</v>
      </c>
      <c r="I604" s="1032" t="s">
        <v>1134</v>
      </c>
    </row>
    <row r="605" spans="1:9" x14ac:dyDescent="0.25">
      <c r="A605" s="1033"/>
      <c r="C605" s="130" t="s">
        <v>1135</v>
      </c>
      <c r="D605" s="130">
        <v>16</v>
      </c>
      <c r="E605" s="130" t="s">
        <v>1135</v>
      </c>
      <c r="F605" s="1031">
        <v>0</v>
      </c>
      <c r="G605" s="1031">
        <v>-0.41</v>
      </c>
      <c r="H605" s="1031">
        <v>-0.41</v>
      </c>
      <c r="I605" s="1032" t="s">
        <v>1136</v>
      </c>
    </row>
    <row r="606" spans="1:9" x14ac:dyDescent="0.25">
      <c r="A606" s="1033">
        <v>904724</v>
      </c>
      <c r="B606" s="129">
        <v>41963</v>
      </c>
      <c r="C606" s="130" t="s">
        <v>1137</v>
      </c>
      <c r="D606" s="130">
        <v>16</v>
      </c>
      <c r="E606" s="130" t="s">
        <v>1137</v>
      </c>
      <c r="F606" s="1031">
        <v>0</v>
      </c>
      <c r="G606" s="1031">
        <v>-35233.71</v>
      </c>
      <c r="H606" s="1031">
        <v>-35233.71</v>
      </c>
      <c r="I606" s="1032" t="s">
        <v>1138</v>
      </c>
    </row>
    <row r="607" spans="1:9" x14ac:dyDescent="0.25">
      <c r="A607" s="1033"/>
      <c r="C607" s="130" t="s">
        <v>1139</v>
      </c>
      <c r="D607" s="130">
        <v>16</v>
      </c>
      <c r="E607" s="130" t="s">
        <v>1139</v>
      </c>
      <c r="F607" s="1031">
        <v>0</v>
      </c>
      <c r="G607" s="1031">
        <v>-2732.14</v>
      </c>
      <c r="H607" s="1031">
        <v>-2732.14</v>
      </c>
      <c r="I607" s="1032" t="s">
        <v>1140</v>
      </c>
    </row>
    <row r="608" spans="1:9" x14ac:dyDescent="0.25">
      <c r="A608" s="1033"/>
      <c r="C608" s="130" t="s">
        <v>1139</v>
      </c>
      <c r="D608" s="130">
        <v>16</v>
      </c>
      <c r="E608" s="130" t="s">
        <v>1141</v>
      </c>
      <c r="F608" s="1031">
        <v>0</v>
      </c>
      <c r="G608" s="1031">
        <v>-3996.72</v>
      </c>
      <c r="H608" s="1031">
        <v>-3996.72</v>
      </c>
      <c r="I608" s="1032" t="s">
        <v>1142</v>
      </c>
    </row>
    <row r="609" spans="1:9" x14ac:dyDescent="0.25">
      <c r="A609" s="1033">
        <v>904726</v>
      </c>
      <c r="B609" s="129">
        <v>11792</v>
      </c>
      <c r="C609" s="130" t="s">
        <v>1137</v>
      </c>
      <c r="D609" s="130">
        <v>16</v>
      </c>
      <c r="E609" s="130" t="s">
        <v>1137</v>
      </c>
      <c r="F609" s="1031">
        <v>0</v>
      </c>
      <c r="G609" s="1031">
        <v>-35233.71</v>
      </c>
      <c r="H609" s="1031">
        <v>-35233.71</v>
      </c>
      <c r="I609" s="1032" t="s">
        <v>1138</v>
      </c>
    </row>
    <row r="610" spans="1:9" x14ac:dyDescent="0.25">
      <c r="A610" s="1033"/>
      <c r="C610" s="130" t="s">
        <v>1139</v>
      </c>
      <c r="D610" s="130">
        <v>16</v>
      </c>
      <c r="E610" s="130" t="s">
        <v>1139</v>
      </c>
      <c r="F610" s="1031">
        <v>0</v>
      </c>
      <c r="G610" s="1031">
        <v>-2732.14</v>
      </c>
      <c r="H610" s="1031">
        <v>-2732.14</v>
      </c>
      <c r="I610" s="1032" t="s">
        <v>1140</v>
      </c>
    </row>
    <row r="611" spans="1:9" x14ac:dyDescent="0.25">
      <c r="A611" s="1033"/>
      <c r="C611" s="130" t="s">
        <v>1139</v>
      </c>
      <c r="D611" s="130">
        <v>16</v>
      </c>
      <c r="E611" s="130" t="s">
        <v>1141</v>
      </c>
      <c r="F611" s="1031">
        <v>0</v>
      </c>
      <c r="G611" s="1031">
        <v>-3996.72</v>
      </c>
      <c r="H611" s="1031">
        <v>-3996.72</v>
      </c>
      <c r="I611" s="1032" t="s">
        <v>1142</v>
      </c>
    </row>
    <row r="612" spans="1:9" x14ac:dyDescent="0.25">
      <c r="A612" s="1033"/>
      <c r="C612" s="130" t="s">
        <v>1143</v>
      </c>
      <c r="D612" s="130">
        <v>16</v>
      </c>
      <c r="E612" s="130" t="s">
        <v>1143</v>
      </c>
      <c r="F612" s="1031">
        <v>0</v>
      </c>
      <c r="G612" s="1031">
        <v>25837.03</v>
      </c>
      <c r="H612" s="1031">
        <v>25837.03</v>
      </c>
      <c r="I612" s="1032" t="s">
        <v>1144</v>
      </c>
    </row>
    <row r="613" spans="1:9" x14ac:dyDescent="0.25">
      <c r="A613" s="1033"/>
      <c r="C613" s="130" t="s">
        <v>1145</v>
      </c>
      <c r="D613" s="130">
        <v>16</v>
      </c>
      <c r="E613" s="130" t="s">
        <v>1145</v>
      </c>
      <c r="F613" s="1031">
        <v>0</v>
      </c>
      <c r="G613" s="1031">
        <v>1781.05</v>
      </c>
      <c r="H613" s="1031">
        <v>1781.05</v>
      </c>
      <c r="I613" s="1032" t="s">
        <v>1146</v>
      </c>
    </row>
    <row r="614" spans="1:9" x14ac:dyDescent="0.25">
      <c r="A614" s="1033"/>
      <c r="C614" s="130" t="s">
        <v>1145</v>
      </c>
      <c r="D614" s="130">
        <v>16</v>
      </c>
      <c r="E614" s="130" t="s">
        <v>1147</v>
      </c>
      <c r="F614" s="1031">
        <v>0</v>
      </c>
      <c r="G614" s="1031">
        <v>2553.25</v>
      </c>
      <c r="H614" s="1031">
        <v>2553.25</v>
      </c>
      <c r="I614" s="1032" t="s">
        <v>1148</v>
      </c>
    </row>
    <row r="615" spans="1:9" x14ac:dyDescent="0.25">
      <c r="A615" s="1033">
        <v>904728</v>
      </c>
      <c r="B615" s="129">
        <v>281</v>
      </c>
      <c r="E615" s="130"/>
    </row>
    <row r="616" spans="1:9" x14ac:dyDescent="0.25">
      <c r="A616" s="1033">
        <v>904812</v>
      </c>
      <c r="E616" s="130"/>
    </row>
    <row r="617" spans="1:9" x14ac:dyDescent="0.25">
      <c r="A617" s="1033">
        <v>904814</v>
      </c>
      <c r="E617" s="130"/>
    </row>
    <row r="618" spans="1:9" x14ac:dyDescent="0.25">
      <c r="A618" s="1033">
        <v>904816</v>
      </c>
      <c r="B618" s="129">
        <v>-14001</v>
      </c>
      <c r="C618" s="130" t="s">
        <v>1149</v>
      </c>
      <c r="D618" s="130">
        <v>16</v>
      </c>
      <c r="E618" s="130" t="s">
        <v>1149</v>
      </c>
      <c r="F618" s="1031">
        <v>0</v>
      </c>
      <c r="G618" s="1031">
        <v>-14000.68</v>
      </c>
      <c r="H618" s="1031">
        <v>-14000.68</v>
      </c>
      <c r="I618" s="1032" t="s">
        <v>1150</v>
      </c>
    </row>
    <row r="619" spans="1:9" x14ac:dyDescent="0.25">
      <c r="A619" s="1033">
        <v>904818</v>
      </c>
      <c r="E619" s="130"/>
    </row>
    <row r="620" spans="1:9" x14ac:dyDescent="0.25">
      <c r="A620" s="1033">
        <v>904822</v>
      </c>
      <c r="E620" s="130"/>
    </row>
    <row r="621" spans="1:9" x14ac:dyDescent="0.25">
      <c r="A621" s="1033">
        <v>904824</v>
      </c>
      <c r="E621" s="130"/>
    </row>
    <row r="622" spans="1:9" x14ac:dyDescent="0.25">
      <c r="A622" s="1033">
        <v>904826</v>
      </c>
      <c r="B622" s="129">
        <v>-14001</v>
      </c>
      <c r="C622" s="130" t="s">
        <v>1149</v>
      </c>
      <c r="D622" s="130">
        <v>16</v>
      </c>
      <c r="E622" s="130" t="s">
        <v>1149</v>
      </c>
      <c r="F622" s="1031">
        <v>0</v>
      </c>
      <c r="G622" s="1031">
        <v>-14000.68</v>
      </c>
      <c r="H622" s="1031">
        <v>-14000.68</v>
      </c>
      <c r="I622" s="1032" t="s">
        <v>1150</v>
      </c>
    </row>
    <row r="623" spans="1:9" x14ac:dyDescent="0.25">
      <c r="A623" s="1033">
        <v>904828</v>
      </c>
      <c r="E623" s="130"/>
    </row>
    <row r="624" spans="1:9" x14ac:dyDescent="0.25">
      <c r="A624" s="1033">
        <v>904912</v>
      </c>
      <c r="E624" s="130"/>
    </row>
    <row r="625" spans="1:5" x14ac:dyDescent="0.25">
      <c r="A625" s="1033">
        <v>904914</v>
      </c>
      <c r="E625" s="130"/>
    </row>
    <row r="626" spans="1:5" x14ac:dyDescent="0.25">
      <c r="A626" s="1033">
        <v>904916</v>
      </c>
      <c r="B626" s="129">
        <v>0</v>
      </c>
      <c r="E626" s="130"/>
    </row>
    <row r="627" spans="1:5" x14ac:dyDescent="0.25">
      <c r="A627" s="1033">
        <v>904918</v>
      </c>
      <c r="E627" s="130"/>
    </row>
    <row r="628" spans="1:5" x14ac:dyDescent="0.25">
      <c r="A628" s="1033">
        <v>904922</v>
      </c>
      <c r="E628" s="130"/>
    </row>
    <row r="629" spans="1:5" x14ac:dyDescent="0.25">
      <c r="A629" s="1033">
        <v>904924</v>
      </c>
      <c r="E629" s="130"/>
    </row>
    <row r="630" spans="1:5" x14ac:dyDescent="0.25">
      <c r="A630" s="1033">
        <v>904926</v>
      </c>
      <c r="B630" s="129">
        <v>0</v>
      </c>
      <c r="E630" s="130"/>
    </row>
    <row r="631" spans="1:5" x14ac:dyDescent="0.25">
      <c r="A631" s="1033">
        <v>904928</v>
      </c>
      <c r="E631" s="130"/>
    </row>
    <row r="632" spans="1:5" x14ac:dyDescent="0.25">
      <c r="A632" s="1033">
        <v>905012</v>
      </c>
      <c r="E632" s="130"/>
    </row>
    <row r="633" spans="1:5" x14ac:dyDescent="0.25">
      <c r="A633" s="1033">
        <v>905014</v>
      </c>
      <c r="E633" s="130"/>
    </row>
    <row r="634" spans="1:5" x14ac:dyDescent="0.25">
      <c r="A634" s="1033">
        <v>905016</v>
      </c>
      <c r="B634" s="129">
        <v>0</v>
      </c>
      <c r="E634" s="130"/>
    </row>
    <row r="635" spans="1:5" x14ac:dyDescent="0.25">
      <c r="A635" s="1033">
        <v>905018</v>
      </c>
      <c r="E635" s="130"/>
    </row>
    <row r="636" spans="1:5" x14ac:dyDescent="0.25">
      <c r="A636" s="1033">
        <v>905022</v>
      </c>
      <c r="E636" s="130"/>
    </row>
    <row r="637" spans="1:5" x14ac:dyDescent="0.25">
      <c r="A637" s="1033">
        <v>905024</v>
      </c>
      <c r="E637" s="130"/>
    </row>
    <row r="638" spans="1:5" x14ac:dyDescent="0.25">
      <c r="A638" s="1033">
        <v>905026</v>
      </c>
      <c r="B638" s="129">
        <v>0</v>
      </c>
      <c r="E638" s="130"/>
    </row>
    <row r="639" spans="1:5" x14ac:dyDescent="0.25">
      <c r="A639" s="1033">
        <v>905028</v>
      </c>
      <c r="E639" s="130"/>
    </row>
    <row r="640" spans="1:5" x14ac:dyDescent="0.25">
      <c r="A640" s="1033">
        <v>905112</v>
      </c>
      <c r="E640" s="130"/>
    </row>
    <row r="641" spans="1:9" x14ac:dyDescent="0.25">
      <c r="A641" s="1033">
        <v>905114</v>
      </c>
      <c r="E641" s="130"/>
    </row>
    <row r="642" spans="1:9" x14ac:dyDescent="0.25">
      <c r="A642" s="1033">
        <v>905116</v>
      </c>
      <c r="B642" s="129">
        <v>0</v>
      </c>
      <c r="E642" s="130"/>
    </row>
    <row r="643" spans="1:9" x14ac:dyDescent="0.25">
      <c r="A643" s="1033">
        <v>905118</v>
      </c>
      <c r="E643" s="130"/>
    </row>
    <row r="644" spans="1:9" x14ac:dyDescent="0.25">
      <c r="A644" s="1033">
        <v>905122</v>
      </c>
      <c r="E644" s="130"/>
    </row>
    <row r="645" spans="1:9" x14ac:dyDescent="0.25">
      <c r="A645" s="1033">
        <v>905124</v>
      </c>
      <c r="E645" s="130"/>
    </row>
    <row r="646" spans="1:9" x14ac:dyDescent="0.25">
      <c r="A646" s="1033">
        <v>905126</v>
      </c>
      <c r="B646" s="129">
        <v>0</v>
      </c>
      <c r="E646" s="130"/>
    </row>
    <row r="647" spans="1:9" x14ac:dyDescent="0.25">
      <c r="A647" s="1033">
        <v>905128</v>
      </c>
      <c r="E647" s="130"/>
    </row>
    <row r="648" spans="1:9" x14ac:dyDescent="0.25">
      <c r="A648" s="1033">
        <v>905212</v>
      </c>
      <c r="E648" s="130"/>
    </row>
    <row r="649" spans="1:9" x14ac:dyDescent="0.25">
      <c r="A649" s="1033">
        <v>905214</v>
      </c>
      <c r="E649" s="130"/>
    </row>
    <row r="650" spans="1:9" x14ac:dyDescent="0.25">
      <c r="A650" s="1033">
        <v>905216</v>
      </c>
      <c r="B650" s="129">
        <v>-14001</v>
      </c>
      <c r="C650" s="130" t="s">
        <v>1149</v>
      </c>
      <c r="D650" s="130">
        <v>16</v>
      </c>
      <c r="E650" s="130" t="s">
        <v>1149</v>
      </c>
      <c r="F650" s="1031">
        <v>0</v>
      </c>
      <c r="G650" s="1031">
        <v>-14000.68</v>
      </c>
      <c r="H650" s="1031">
        <v>-14000.68</v>
      </c>
      <c r="I650" s="1032" t="s">
        <v>1150</v>
      </c>
    </row>
    <row r="651" spans="1:9" x14ac:dyDescent="0.25">
      <c r="A651" s="1033">
        <v>905218</v>
      </c>
      <c r="E651" s="130"/>
    </row>
    <row r="652" spans="1:9" x14ac:dyDescent="0.25">
      <c r="A652" s="1033">
        <v>905222</v>
      </c>
      <c r="E652" s="130"/>
    </row>
    <row r="653" spans="1:9" x14ac:dyDescent="0.25">
      <c r="A653" s="1033">
        <v>905224</v>
      </c>
      <c r="E653" s="130"/>
    </row>
    <row r="654" spans="1:9" x14ac:dyDescent="0.25">
      <c r="A654" s="1033">
        <v>905226</v>
      </c>
      <c r="B654" s="129">
        <v>14001</v>
      </c>
      <c r="C654" s="130" t="s">
        <v>1149</v>
      </c>
      <c r="D654" s="130">
        <v>16</v>
      </c>
      <c r="E654" s="130" t="s">
        <v>1149</v>
      </c>
      <c r="F654" s="1031">
        <v>0</v>
      </c>
      <c r="G654" s="1031">
        <v>-14000.68</v>
      </c>
      <c r="H654" s="1031">
        <v>-14000.68</v>
      </c>
      <c r="I654" s="1032" t="s">
        <v>1150</v>
      </c>
    </row>
    <row r="655" spans="1:9" x14ac:dyDescent="0.25">
      <c r="A655" s="1033">
        <v>905228</v>
      </c>
      <c r="E655" s="130"/>
    </row>
    <row r="656" spans="1:9" x14ac:dyDescent="0.25">
      <c r="A656" s="1033">
        <v>905312</v>
      </c>
      <c r="B656" s="129">
        <v>412</v>
      </c>
      <c r="E656" s="130"/>
    </row>
    <row r="657" spans="1:9" x14ac:dyDescent="0.25">
      <c r="A657" s="1033">
        <v>905314</v>
      </c>
      <c r="B657" s="129">
        <v>196981</v>
      </c>
      <c r="E657" s="130"/>
    </row>
    <row r="658" spans="1:9" x14ac:dyDescent="0.25">
      <c r="A658" s="1033">
        <v>905316</v>
      </c>
      <c r="B658" s="129">
        <v>76014</v>
      </c>
      <c r="C658" s="130" t="s">
        <v>10</v>
      </c>
      <c r="D658" s="130">
        <v>16</v>
      </c>
      <c r="E658" s="130" t="s">
        <v>10</v>
      </c>
      <c r="F658" s="1031">
        <v>0</v>
      </c>
      <c r="G658" s="1031">
        <v>-19085.54</v>
      </c>
      <c r="H658" s="1031">
        <v>-19085.54</v>
      </c>
      <c r="I658" s="1032" t="s">
        <v>1058</v>
      </c>
    </row>
    <row r="659" spans="1:9" x14ac:dyDescent="0.25">
      <c r="A659" s="1033"/>
      <c r="C659" s="130" t="s">
        <v>1059</v>
      </c>
      <c r="D659" s="130">
        <v>16</v>
      </c>
      <c r="E659" s="130" t="s">
        <v>1059</v>
      </c>
      <c r="F659" s="1031">
        <v>0</v>
      </c>
      <c r="G659" s="1031">
        <v>11534.05</v>
      </c>
      <c r="H659" s="1031">
        <v>11534.05</v>
      </c>
      <c r="I659" s="1032" t="s">
        <v>1060</v>
      </c>
    </row>
    <row r="660" spans="1:9" x14ac:dyDescent="0.25">
      <c r="A660" s="1033"/>
      <c r="C660" s="130" t="s">
        <v>11</v>
      </c>
      <c r="D660" s="130">
        <v>16</v>
      </c>
      <c r="E660" s="130" t="s">
        <v>11</v>
      </c>
      <c r="F660" s="1031">
        <v>0</v>
      </c>
      <c r="G660" s="1031">
        <v>-21532.83</v>
      </c>
      <c r="H660" s="1031">
        <v>-21532.83</v>
      </c>
      <c r="I660" s="1032" t="s">
        <v>1063</v>
      </c>
    </row>
    <row r="661" spans="1:9" x14ac:dyDescent="0.25">
      <c r="A661" s="1033"/>
      <c r="C661" s="130" t="s">
        <v>1064</v>
      </c>
      <c r="D661" s="130">
        <v>16</v>
      </c>
      <c r="E661" s="130" t="s">
        <v>1064</v>
      </c>
      <c r="F661" s="1031">
        <v>0</v>
      </c>
      <c r="G661" s="1031">
        <v>11722.34</v>
      </c>
      <c r="H661" s="1031">
        <v>11722.34</v>
      </c>
      <c r="I661" s="1032" t="s">
        <v>1065</v>
      </c>
    </row>
    <row r="662" spans="1:9" x14ac:dyDescent="0.25">
      <c r="A662" s="1033"/>
      <c r="C662" s="130" t="s">
        <v>177</v>
      </c>
      <c r="D662" s="130">
        <v>16</v>
      </c>
      <c r="E662" s="130" t="s">
        <v>177</v>
      </c>
      <c r="F662" s="1031">
        <v>0</v>
      </c>
      <c r="G662" s="1031">
        <v>-1747.4</v>
      </c>
      <c r="H662" s="1031">
        <v>-1747.4</v>
      </c>
      <c r="I662" s="1032" t="s">
        <v>1068</v>
      </c>
    </row>
    <row r="663" spans="1:9" x14ac:dyDescent="0.25">
      <c r="A663" s="1033"/>
      <c r="C663" s="130" t="s">
        <v>1069</v>
      </c>
      <c r="D663" s="130">
        <v>16</v>
      </c>
      <c r="E663" s="130" t="s">
        <v>1069</v>
      </c>
      <c r="F663" s="1031">
        <v>0</v>
      </c>
      <c r="G663" s="1031">
        <v>1061.99</v>
      </c>
      <c r="H663" s="1031">
        <v>1061.99</v>
      </c>
      <c r="I663" s="1032" t="s">
        <v>1070</v>
      </c>
    </row>
    <row r="664" spans="1:9" x14ac:dyDescent="0.25">
      <c r="A664" s="1033"/>
      <c r="C664" s="130" t="s">
        <v>14</v>
      </c>
      <c r="D664" s="130">
        <v>16</v>
      </c>
      <c r="E664" s="130" t="s">
        <v>14</v>
      </c>
      <c r="F664" s="1031">
        <v>0</v>
      </c>
      <c r="G664" s="1031">
        <v>-1730.65</v>
      </c>
      <c r="H664" s="1031">
        <v>-1730.65</v>
      </c>
      <c r="I664" s="1032" t="s">
        <v>1073</v>
      </c>
    </row>
    <row r="665" spans="1:9" x14ac:dyDescent="0.25">
      <c r="A665" s="1033"/>
      <c r="C665" s="130" t="s">
        <v>1074</v>
      </c>
      <c r="D665" s="130">
        <v>16</v>
      </c>
      <c r="E665" s="130" t="s">
        <v>1074</v>
      </c>
      <c r="F665" s="1031">
        <v>0</v>
      </c>
      <c r="G665" s="1031">
        <v>1236.1199999999999</v>
      </c>
      <c r="H665" s="1031">
        <v>1236.1199999999999</v>
      </c>
      <c r="I665" s="1032" t="s">
        <v>1075</v>
      </c>
    </row>
    <row r="666" spans="1:9" x14ac:dyDescent="0.25">
      <c r="A666" s="1033"/>
      <c r="C666" s="130" t="s">
        <v>17</v>
      </c>
      <c r="D666" s="130">
        <v>16</v>
      </c>
      <c r="E666" s="130" t="s">
        <v>17</v>
      </c>
      <c r="F666" s="1031">
        <v>0</v>
      </c>
      <c r="G666" s="1031">
        <v>-3507.35</v>
      </c>
      <c r="H666" s="1031">
        <v>-3507.35</v>
      </c>
      <c r="I666" s="1032" t="s">
        <v>1078</v>
      </c>
    </row>
    <row r="667" spans="1:9" x14ac:dyDescent="0.25">
      <c r="A667" s="1033"/>
      <c r="C667" s="130" t="s">
        <v>1079</v>
      </c>
      <c r="D667" s="130">
        <v>16</v>
      </c>
      <c r="E667" s="130" t="s">
        <v>1079</v>
      </c>
      <c r="F667" s="1031">
        <v>0</v>
      </c>
      <c r="G667" s="1031">
        <v>2505.09</v>
      </c>
      <c r="H667" s="1031">
        <v>2505.09</v>
      </c>
      <c r="I667" s="1032" t="s">
        <v>1080</v>
      </c>
    </row>
    <row r="668" spans="1:9" x14ac:dyDescent="0.25">
      <c r="A668" s="1033"/>
      <c r="C668" s="130" t="s">
        <v>41</v>
      </c>
      <c r="D668" s="130">
        <v>16</v>
      </c>
      <c r="E668" s="130" t="s">
        <v>41</v>
      </c>
      <c r="F668" s="1031">
        <v>0</v>
      </c>
      <c r="G668" s="1031">
        <v>-33248.720000000001</v>
      </c>
      <c r="H668" s="1031">
        <v>-33248.720000000001</v>
      </c>
      <c r="I668" s="1032" t="s">
        <v>1085</v>
      </c>
    </row>
    <row r="669" spans="1:9" x14ac:dyDescent="0.25">
      <c r="A669" s="1033"/>
      <c r="C669" s="130" t="s">
        <v>1086</v>
      </c>
      <c r="D669" s="130">
        <v>16</v>
      </c>
      <c r="E669" s="130" t="s">
        <v>1086</v>
      </c>
      <c r="F669" s="1031">
        <v>0</v>
      </c>
      <c r="G669" s="1031">
        <v>24079.71</v>
      </c>
      <c r="H669" s="1031">
        <v>24079.71</v>
      </c>
      <c r="I669" s="1032" t="s">
        <v>1087</v>
      </c>
    </row>
    <row r="670" spans="1:9" x14ac:dyDescent="0.25">
      <c r="A670" s="1033"/>
      <c r="C670" s="130" t="s">
        <v>42</v>
      </c>
      <c r="D670" s="130">
        <v>16</v>
      </c>
      <c r="E670" s="130" t="s">
        <v>42</v>
      </c>
      <c r="F670" s="1031">
        <v>0</v>
      </c>
      <c r="G670" s="1031">
        <v>-12553.68</v>
      </c>
      <c r="H670" s="1031">
        <v>-12553.68</v>
      </c>
      <c r="I670" s="1032" t="s">
        <v>1090</v>
      </c>
    </row>
    <row r="671" spans="1:9" x14ac:dyDescent="0.25">
      <c r="A671" s="1033"/>
      <c r="C671" s="130" t="s">
        <v>1091</v>
      </c>
      <c r="D671" s="130">
        <v>16</v>
      </c>
      <c r="E671" s="130" t="s">
        <v>1091</v>
      </c>
      <c r="F671" s="1031">
        <v>0</v>
      </c>
      <c r="G671" s="1031">
        <v>8964.18</v>
      </c>
      <c r="H671" s="1031">
        <v>8964.18</v>
      </c>
      <c r="I671" s="1032" t="s">
        <v>1092</v>
      </c>
    </row>
    <row r="672" spans="1:9" x14ac:dyDescent="0.25">
      <c r="A672" s="1033"/>
      <c r="C672" s="130" t="s">
        <v>180</v>
      </c>
      <c r="D672" s="130">
        <v>16</v>
      </c>
      <c r="E672" s="130" t="s">
        <v>180</v>
      </c>
      <c r="F672" s="1031">
        <v>0</v>
      </c>
      <c r="G672" s="1031">
        <v>-8580.3700000000008</v>
      </c>
      <c r="H672" s="1031">
        <v>-8580.3700000000008</v>
      </c>
      <c r="I672" s="1032" t="s">
        <v>1093</v>
      </c>
    </row>
    <row r="673" spans="1:9" x14ac:dyDescent="0.25">
      <c r="A673" s="1033"/>
      <c r="C673" s="130" t="s">
        <v>1094</v>
      </c>
      <c r="D673" s="130">
        <v>16</v>
      </c>
      <c r="E673" s="130" t="s">
        <v>1094</v>
      </c>
      <c r="F673" s="1031">
        <v>0</v>
      </c>
      <c r="G673" s="1031">
        <v>6128.62</v>
      </c>
      <c r="H673" s="1031">
        <v>6128.62</v>
      </c>
      <c r="I673" s="1032" t="s">
        <v>1095</v>
      </c>
    </row>
    <row r="674" spans="1:9" x14ac:dyDescent="0.25">
      <c r="A674" s="1033"/>
      <c r="C674" s="130" t="s">
        <v>45</v>
      </c>
      <c r="D674" s="130">
        <v>16</v>
      </c>
      <c r="E674" s="130" t="s">
        <v>45</v>
      </c>
      <c r="F674" s="1031">
        <v>0</v>
      </c>
      <c r="G674" s="1031">
        <v>-5152.3999999999996</v>
      </c>
      <c r="H674" s="1031">
        <v>-5152.3999999999996</v>
      </c>
      <c r="I674" s="1032" t="s">
        <v>1098</v>
      </c>
    </row>
    <row r="675" spans="1:9" x14ac:dyDescent="0.25">
      <c r="A675" s="1033"/>
      <c r="C675" s="130" t="s">
        <v>1099</v>
      </c>
      <c r="D675" s="130">
        <v>16</v>
      </c>
      <c r="E675" s="130" t="s">
        <v>1099</v>
      </c>
      <c r="F675" s="1031">
        <v>0</v>
      </c>
      <c r="G675" s="1031">
        <v>3079.27</v>
      </c>
      <c r="H675" s="1031">
        <v>3079.27</v>
      </c>
      <c r="I675" s="1032" t="s">
        <v>1100</v>
      </c>
    </row>
    <row r="676" spans="1:9" x14ac:dyDescent="0.25">
      <c r="A676" s="1033"/>
      <c r="C676" s="130" t="s">
        <v>46</v>
      </c>
      <c r="D676" s="130">
        <v>16</v>
      </c>
      <c r="E676" s="130" t="s">
        <v>46</v>
      </c>
      <c r="F676" s="1031">
        <v>0</v>
      </c>
      <c r="G676" s="1031">
        <v>-5700.83</v>
      </c>
      <c r="H676" s="1031">
        <v>-5700.83</v>
      </c>
      <c r="I676" s="1032" t="s">
        <v>1103</v>
      </c>
    </row>
    <row r="677" spans="1:9" x14ac:dyDescent="0.25">
      <c r="A677" s="1033"/>
      <c r="C677" s="130" t="s">
        <v>1104</v>
      </c>
      <c r="D677" s="130">
        <v>16</v>
      </c>
      <c r="E677" s="130" t="s">
        <v>1104</v>
      </c>
      <c r="F677" s="1031">
        <v>0</v>
      </c>
      <c r="G677" s="1031">
        <v>3036.58</v>
      </c>
      <c r="H677" s="1031">
        <v>3036.58</v>
      </c>
      <c r="I677" s="1032" t="s">
        <v>1105</v>
      </c>
    </row>
    <row r="678" spans="1:9" x14ac:dyDescent="0.25">
      <c r="A678" s="1033"/>
      <c r="C678" s="130" t="s">
        <v>181</v>
      </c>
      <c r="D678" s="130">
        <v>16</v>
      </c>
      <c r="E678" s="130" t="s">
        <v>181</v>
      </c>
      <c r="F678" s="1031">
        <v>0</v>
      </c>
      <c r="G678" s="1031">
        <v>-44.29</v>
      </c>
      <c r="H678" s="1031">
        <v>-44.29</v>
      </c>
      <c r="I678" s="1032" t="s">
        <v>1108</v>
      </c>
    </row>
    <row r="679" spans="1:9" x14ac:dyDescent="0.25">
      <c r="A679" s="1033"/>
      <c r="C679" s="130" t="s">
        <v>1109</v>
      </c>
      <c r="D679" s="130">
        <v>16</v>
      </c>
      <c r="E679" s="130" t="s">
        <v>1109</v>
      </c>
      <c r="F679" s="1031">
        <v>0</v>
      </c>
      <c r="G679" s="1031">
        <v>26.59</v>
      </c>
      <c r="H679" s="1031">
        <v>26.59</v>
      </c>
      <c r="I679" s="1032" t="s">
        <v>1110</v>
      </c>
    </row>
    <row r="680" spans="1:9" x14ac:dyDescent="0.25">
      <c r="A680" s="1033"/>
      <c r="C680" s="130" t="s">
        <v>49</v>
      </c>
      <c r="D680" s="130">
        <v>16</v>
      </c>
      <c r="E680" s="130" t="s">
        <v>49</v>
      </c>
      <c r="F680" s="1031">
        <v>0</v>
      </c>
      <c r="G680" s="1031">
        <v>-10061.200000000001</v>
      </c>
      <c r="H680" s="1031">
        <v>-10061.200000000001</v>
      </c>
      <c r="I680" s="1032" t="s">
        <v>1113</v>
      </c>
    </row>
    <row r="681" spans="1:9" x14ac:dyDescent="0.25">
      <c r="A681" s="1033"/>
      <c r="C681" s="130" t="s">
        <v>1114</v>
      </c>
      <c r="D681" s="130">
        <v>16</v>
      </c>
      <c r="E681" s="130" t="s">
        <v>1114</v>
      </c>
      <c r="F681" s="1031">
        <v>0</v>
      </c>
      <c r="G681" s="1031">
        <v>6998.24</v>
      </c>
      <c r="H681" s="1031">
        <v>6998.24</v>
      </c>
      <c r="I681" s="1032" t="s">
        <v>1115</v>
      </c>
    </row>
    <row r="682" spans="1:9" x14ac:dyDescent="0.25">
      <c r="A682" s="1033"/>
      <c r="C682" s="130" t="s">
        <v>91</v>
      </c>
      <c r="D682" s="130">
        <v>16</v>
      </c>
      <c r="E682" s="130" t="s">
        <v>91</v>
      </c>
      <c r="F682" s="1031">
        <v>0</v>
      </c>
      <c r="G682" s="1031">
        <v>15.48</v>
      </c>
      <c r="H682" s="1031">
        <v>15.48</v>
      </c>
      <c r="I682" s="1032" t="s">
        <v>1118</v>
      </c>
    </row>
    <row r="683" spans="1:9" x14ac:dyDescent="0.25">
      <c r="A683" s="1033"/>
      <c r="C683" s="130" t="s">
        <v>1119</v>
      </c>
      <c r="D683" s="130">
        <v>16</v>
      </c>
      <c r="E683" s="130" t="s">
        <v>1119</v>
      </c>
      <c r="F683" s="1031">
        <v>0</v>
      </c>
      <c r="G683" s="1031">
        <v>-26.12</v>
      </c>
      <c r="H683" s="1031">
        <v>-26.12</v>
      </c>
      <c r="I683" s="1032" t="s">
        <v>1120</v>
      </c>
    </row>
    <row r="684" spans="1:9" x14ac:dyDescent="0.25">
      <c r="A684" s="1033"/>
      <c r="C684" s="130" t="s">
        <v>92</v>
      </c>
      <c r="D684" s="130">
        <v>16</v>
      </c>
      <c r="E684" s="130" t="s">
        <v>92</v>
      </c>
      <c r="F684" s="1031">
        <v>0</v>
      </c>
      <c r="G684" s="1031">
        <v>-1952.79</v>
      </c>
      <c r="H684" s="1031">
        <v>-1952.79</v>
      </c>
      <c r="I684" s="1032" t="s">
        <v>1123</v>
      </c>
    </row>
    <row r="685" spans="1:9" x14ac:dyDescent="0.25">
      <c r="A685" s="1033"/>
      <c r="C685" s="130" t="s">
        <v>1124</v>
      </c>
      <c r="D685" s="130">
        <v>16</v>
      </c>
      <c r="E685" s="130" t="s">
        <v>1124</v>
      </c>
      <c r="F685" s="1031">
        <v>0</v>
      </c>
      <c r="G685" s="1031">
        <v>1347.06</v>
      </c>
      <c r="H685" s="1031">
        <v>1347.06</v>
      </c>
      <c r="I685" s="1032" t="s">
        <v>1125</v>
      </c>
    </row>
    <row r="686" spans="1:9" x14ac:dyDescent="0.25">
      <c r="A686" s="1033"/>
      <c r="C686" s="130" t="s">
        <v>97</v>
      </c>
      <c r="D686" s="130">
        <v>16</v>
      </c>
      <c r="E686" s="130" t="s">
        <v>97</v>
      </c>
      <c r="F686" s="1031">
        <v>0</v>
      </c>
      <c r="G686" s="1031">
        <v>-30135.23</v>
      </c>
      <c r="H686" s="1031">
        <v>-30135.23</v>
      </c>
      <c r="I686" s="1032" t="s">
        <v>1128</v>
      </c>
    </row>
    <row r="687" spans="1:9" x14ac:dyDescent="0.25">
      <c r="A687" s="1033"/>
      <c r="C687" s="130" t="s">
        <v>1129</v>
      </c>
      <c r="D687" s="130">
        <v>16</v>
      </c>
      <c r="E687" s="130" t="s">
        <v>1129</v>
      </c>
      <c r="F687" s="1031">
        <v>0</v>
      </c>
      <c r="G687" s="1031">
        <v>22429.05</v>
      </c>
      <c r="H687" s="1031">
        <v>22429.05</v>
      </c>
      <c r="I687" s="1032" t="s">
        <v>1130</v>
      </c>
    </row>
    <row r="688" spans="1:9" x14ac:dyDescent="0.25">
      <c r="A688" s="1033"/>
      <c r="C688" s="130" t="s">
        <v>1129</v>
      </c>
      <c r="D688" s="130">
        <v>16</v>
      </c>
      <c r="E688" s="130" t="s">
        <v>1131</v>
      </c>
      <c r="F688" s="1031">
        <v>0</v>
      </c>
      <c r="G688" s="1031">
        <v>674.43</v>
      </c>
      <c r="H688" s="1031">
        <v>674.43</v>
      </c>
      <c r="I688" s="1032" t="s">
        <v>1132</v>
      </c>
    </row>
    <row r="689" spans="1:9" x14ac:dyDescent="0.25">
      <c r="A689" s="1033"/>
      <c r="C689" s="130" t="s">
        <v>1137</v>
      </c>
      <c r="D689" s="130">
        <v>16</v>
      </c>
      <c r="E689" s="130" t="s">
        <v>1137</v>
      </c>
      <c r="F689" s="1031">
        <v>0</v>
      </c>
      <c r="G689" s="1031">
        <v>-35233.71</v>
      </c>
      <c r="H689" s="1031">
        <v>-35233.71</v>
      </c>
      <c r="I689" s="1032" t="s">
        <v>1138</v>
      </c>
    </row>
    <row r="690" spans="1:9" x14ac:dyDescent="0.25">
      <c r="A690" s="1033"/>
      <c r="C690" s="130" t="s">
        <v>1139</v>
      </c>
      <c r="D690" s="130">
        <v>16</v>
      </c>
      <c r="E690" s="130" t="s">
        <v>1139</v>
      </c>
      <c r="F690" s="1031">
        <v>0</v>
      </c>
      <c r="G690" s="1031">
        <v>-2732.14</v>
      </c>
      <c r="H690" s="1031">
        <v>-2732.14</v>
      </c>
      <c r="I690" s="1032" t="s">
        <v>1140</v>
      </c>
    </row>
    <row r="691" spans="1:9" x14ac:dyDescent="0.25">
      <c r="A691" s="1033"/>
      <c r="C691" s="130" t="s">
        <v>1139</v>
      </c>
      <c r="D691" s="130">
        <v>16</v>
      </c>
      <c r="E691" s="130" t="s">
        <v>1141</v>
      </c>
      <c r="F691" s="1031">
        <v>0</v>
      </c>
      <c r="G691" s="1031">
        <v>-3996.72</v>
      </c>
      <c r="H691" s="1031">
        <v>-3996.72</v>
      </c>
      <c r="I691" s="1032" t="s">
        <v>1142</v>
      </c>
    </row>
    <row r="692" spans="1:9" x14ac:dyDescent="0.25">
      <c r="A692" s="1033"/>
      <c r="C692" s="130" t="s">
        <v>1143</v>
      </c>
      <c r="D692" s="130">
        <v>16</v>
      </c>
      <c r="E692" s="130" t="s">
        <v>1143</v>
      </c>
      <c r="F692" s="1031">
        <v>0</v>
      </c>
      <c r="G692" s="1031">
        <v>25837.03</v>
      </c>
      <c r="H692" s="1031">
        <v>25837.03</v>
      </c>
      <c r="I692" s="1032" t="s">
        <v>1144</v>
      </c>
    </row>
    <row r="693" spans="1:9" x14ac:dyDescent="0.25">
      <c r="A693" s="1033"/>
      <c r="C693" s="130" t="s">
        <v>1145</v>
      </c>
      <c r="D693" s="130">
        <v>16</v>
      </c>
      <c r="E693" s="130" t="s">
        <v>1145</v>
      </c>
      <c r="F693" s="1031">
        <v>0</v>
      </c>
      <c r="G693" s="1031">
        <v>1781.05</v>
      </c>
      <c r="H693" s="1031">
        <v>1781.05</v>
      </c>
      <c r="I693" s="1032" t="s">
        <v>1146</v>
      </c>
    </row>
    <row r="694" spans="1:9" x14ac:dyDescent="0.25">
      <c r="A694" s="1033"/>
      <c r="C694" s="130" t="s">
        <v>1145</v>
      </c>
      <c r="D694" s="130">
        <v>16</v>
      </c>
      <c r="E694" s="130" t="s">
        <v>1147</v>
      </c>
      <c r="F694" s="1031">
        <v>0</v>
      </c>
      <c r="G694" s="1031">
        <v>2553.25</v>
      </c>
      <c r="H694" s="1031">
        <v>2553.25</v>
      </c>
      <c r="I694" s="1032" t="s">
        <v>1148</v>
      </c>
    </row>
    <row r="695" spans="1:9" x14ac:dyDescent="0.25">
      <c r="A695" s="1033"/>
      <c r="C695" s="130" t="s">
        <v>1149</v>
      </c>
      <c r="D695" s="130">
        <v>16</v>
      </c>
      <c r="E695" s="130" t="s">
        <v>1149</v>
      </c>
      <c r="F695" s="1031">
        <v>0</v>
      </c>
      <c r="G695" s="1031">
        <v>-14000.68</v>
      </c>
      <c r="H695" s="1031">
        <v>-14000.68</v>
      </c>
      <c r="I695" s="1032" t="s">
        <v>1150</v>
      </c>
    </row>
    <row r="696" spans="1:9" x14ac:dyDescent="0.25">
      <c r="A696" s="1033">
        <v>905318</v>
      </c>
      <c r="B696" s="129">
        <v>386</v>
      </c>
      <c r="E696" s="130"/>
    </row>
    <row r="697" spans="1:9" x14ac:dyDescent="0.25">
      <c r="A697" s="1033">
        <v>905322</v>
      </c>
      <c r="B697" s="129">
        <v>412</v>
      </c>
      <c r="E697" s="130"/>
    </row>
    <row r="698" spans="1:9" x14ac:dyDescent="0.25">
      <c r="A698" s="1033">
        <v>905324</v>
      </c>
      <c r="B698" s="129">
        <v>196981</v>
      </c>
      <c r="E698" s="130"/>
    </row>
    <row r="699" spans="1:9" x14ac:dyDescent="0.25">
      <c r="A699" s="1033">
        <v>905326</v>
      </c>
      <c r="B699" s="129">
        <v>76014</v>
      </c>
      <c r="C699" s="130" t="s">
        <v>10</v>
      </c>
      <c r="D699" s="130">
        <v>16</v>
      </c>
      <c r="E699" s="130" t="s">
        <v>10</v>
      </c>
      <c r="F699" s="1031">
        <v>0</v>
      </c>
      <c r="G699" s="1031">
        <v>-19085.54</v>
      </c>
      <c r="H699" s="1031">
        <v>-19085.54</v>
      </c>
      <c r="I699" s="1032" t="s">
        <v>1058</v>
      </c>
    </row>
    <row r="700" spans="1:9" x14ac:dyDescent="0.25">
      <c r="A700" s="1033"/>
      <c r="C700" s="130" t="s">
        <v>1059</v>
      </c>
      <c r="D700" s="130">
        <v>16</v>
      </c>
      <c r="E700" s="130" t="s">
        <v>1059</v>
      </c>
      <c r="F700" s="1031">
        <v>0</v>
      </c>
      <c r="G700" s="1031">
        <v>11534.05</v>
      </c>
      <c r="H700" s="1031">
        <v>11534.05</v>
      </c>
      <c r="I700" s="1032" t="s">
        <v>1060</v>
      </c>
    </row>
    <row r="701" spans="1:9" x14ac:dyDescent="0.25">
      <c r="A701" s="1033"/>
      <c r="C701" s="130" t="s">
        <v>11</v>
      </c>
      <c r="D701" s="130">
        <v>16</v>
      </c>
      <c r="E701" s="130" t="s">
        <v>11</v>
      </c>
      <c r="F701" s="1031">
        <v>0</v>
      </c>
      <c r="G701" s="1031">
        <v>-21532.83</v>
      </c>
      <c r="H701" s="1031">
        <v>-21532.83</v>
      </c>
      <c r="I701" s="1032" t="s">
        <v>1063</v>
      </c>
    </row>
    <row r="702" spans="1:9" x14ac:dyDescent="0.25">
      <c r="A702" s="1033"/>
      <c r="C702" s="130" t="s">
        <v>1064</v>
      </c>
      <c r="D702" s="130">
        <v>16</v>
      </c>
      <c r="E702" s="130" t="s">
        <v>1064</v>
      </c>
      <c r="F702" s="1031">
        <v>0</v>
      </c>
      <c r="G702" s="1031">
        <v>11722.34</v>
      </c>
      <c r="H702" s="1031">
        <v>11722.34</v>
      </c>
      <c r="I702" s="1032" t="s">
        <v>1065</v>
      </c>
    </row>
    <row r="703" spans="1:9" x14ac:dyDescent="0.25">
      <c r="A703" s="1033"/>
      <c r="C703" s="130" t="s">
        <v>177</v>
      </c>
      <c r="D703" s="130">
        <v>16</v>
      </c>
      <c r="E703" s="130" t="s">
        <v>177</v>
      </c>
      <c r="F703" s="1031">
        <v>0</v>
      </c>
      <c r="G703" s="1031">
        <v>-1747.4</v>
      </c>
      <c r="H703" s="1031">
        <v>-1747.4</v>
      </c>
      <c r="I703" s="1032" t="s">
        <v>1068</v>
      </c>
    </row>
    <row r="704" spans="1:9" x14ac:dyDescent="0.25">
      <c r="A704" s="1033"/>
      <c r="C704" s="130" t="s">
        <v>1069</v>
      </c>
      <c r="D704" s="130">
        <v>16</v>
      </c>
      <c r="E704" s="130" t="s">
        <v>1069</v>
      </c>
      <c r="F704" s="1031">
        <v>0</v>
      </c>
      <c r="G704" s="1031">
        <v>1061.99</v>
      </c>
      <c r="H704" s="1031">
        <v>1061.99</v>
      </c>
      <c r="I704" s="1032" t="s">
        <v>1070</v>
      </c>
    </row>
    <row r="705" spans="1:9" x14ac:dyDescent="0.25">
      <c r="A705" s="1033"/>
      <c r="C705" s="130" t="s">
        <v>14</v>
      </c>
      <c r="D705" s="130">
        <v>16</v>
      </c>
      <c r="E705" s="130" t="s">
        <v>14</v>
      </c>
      <c r="F705" s="1031">
        <v>0</v>
      </c>
      <c r="G705" s="1031">
        <v>-1730.65</v>
      </c>
      <c r="H705" s="1031">
        <v>-1730.65</v>
      </c>
      <c r="I705" s="1032" t="s">
        <v>1073</v>
      </c>
    </row>
    <row r="706" spans="1:9" x14ac:dyDescent="0.25">
      <c r="A706" s="1033"/>
      <c r="C706" s="130" t="s">
        <v>1074</v>
      </c>
      <c r="D706" s="130">
        <v>16</v>
      </c>
      <c r="E706" s="130" t="s">
        <v>1074</v>
      </c>
      <c r="F706" s="1031">
        <v>0</v>
      </c>
      <c r="G706" s="1031">
        <v>1236.1199999999999</v>
      </c>
      <c r="H706" s="1031">
        <v>1236.1199999999999</v>
      </c>
      <c r="I706" s="1032" t="s">
        <v>1075</v>
      </c>
    </row>
    <row r="707" spans="1:9" x14ac:dyDescent="0.25">
      <c r="A707" s="1033"/>
      <c r="C707" s="130" t="s">
        <v>17</v>
      </c>
      <c r="D707" s="130">
        <v>16</v>
      </c>
      <c r="E707" s="130" t="s">
        <v>17</v>
      </c>
      <c r="F707" s="1031">
        <v>0</v>
      </c>
      <c r="G707" s="1031">
        <v>-3507.35</v>
      </c>
      <c r="H707" s="1031">
        <v>-3507.35</v>
      </c>
      <c r="I707" s="1032" t="s">
        <v>1078</v>
      </c>
    </row>
    <row r="708" spans="1:9" x14ac:dyDescent="0.25">
      <c r="A708" s="1033"/>
      <c r="C708" s="130" t="s">
        <v>1079</v>
      </c>
      <c r="D708" s="130">
        <v>16</v>
      </c>
      <c r="E708" s="130" t="s">
        <v>1079</v>
      </c>
      <c r="F708" s="1031">
        <v>0</v>
      </c>
      <c r="G708" s="1031">
        <v>2505.09</v>
      </c>
      <c r="H708" s="1031">
        <v>2505.09</v>
      </c>
      <c r="I708" s="1032" t="s">
        <v>1080</v>
      </c>
    </row>
    <row r="709" spans="1:9" x14ac:dyDescent="0.25">
      <c r="A709" s="1033"/>
      <c r="C709" s="130" t="s">
        <v>41</v>
      </c>
      <c r="D709" s="130">
        <v>16</v>
      </c>
      <c r="E709" s="130" t="s">
        <v>41</v>
      </c>
      <c r="F709" s="1031">
        <v>0</v>
      </c>
      <c r="G709" s="1031">
        <v>-33248.720000000001</v>
      </c>
      <c r="H709" s="1031">
        <v>-33248.720000000001</v>
      </c>
      <c r="I709" s="1032" t="s">
        <v>1085</v>
      </c>
    </row>
    <row r="710" spans="1:9" x14ac:dyDescent="0.25">
      <c r="A710" s="1033"/>
      <c r="C710" s="130" t="s">
        <v>1086</v>
      </c>
      <c r="D710" s="130">
        <v>16</v>
      </c>
      <c r="E710" s="130" t="s">
        <v>1086</v>
      </c>
      <c r="F710" s="1031">
        <v>0</v>
      </c>
      <c r="G710" s="1031">
        <v>24079.71</v>
      </c>
      <c r="H710" s="1031">
        <v>24079.71</v>
      </c>
      <c r="I710" s="1032" t="s">
        <v>1087</v>
      </c>
    </row>
    <row r="711" spans="1:9" x14ac:dyDescent="0.25">
      <c r="A711" s="1033"/>
      <c r="C711" s="130" t="s">
        <v>42</v>
      </c>
      <c r="D711" s="130">
        <v>16</v>
      </c>
      <c r="E711" s="130" t="s">
        <v>42</v>
      </c>
      <c r="F711" s="1031">
        <v>0</v>
      </c>
      <c r="G711" s="1031">
        <v>-12553.68</v>
      </c>
      <c r="H711" s="1031">
        <v>-12553.68</v>
      </c>
      <c r="I711" s="1032" t="s">
        <v>1090</v>
      </c>
    </row>
    <row r="712" spans="1:9" x14ac:dyDescent="0.25">
      <c r="A712" s="1033"/>
      <c r="C712" s="130" t="s">
        <v>1091</v>
      </c>
      <c r="D712" s="130">
        <v>16</v>
      </c>
      <c r="E712" s="130" t="s">
        <v>1091</v>
      </c>
      <c r="F712" s="1031">
        <v>0</v>
      </c>
      <c r="G712" s="1031">
        <v>8964.18</v>
      </c>
      <c r="H712" s="1031">
        <v>8964.18</v>
      </c>
      <c r="I712" s="1032" t="s">
        <v>1092</v>
      </c>
    </row>
    <row r="713" spans="1:9" x14ac:dyDescent="0.25">
      <c r="A713" s="1033"/>
      <c r="C713" s="130" t="s">
        <v>180</v>
      </c>
      <c r="D713" s="130">
        <v>16</v>
      </c>
      <c r="E713" s="130" t="s">
        <v>180</v>
      </c>
      <c r="F713" s="1031">
        <v>0</v>
      </c>
      <c r="G713" s="1031">
        <v>-8580.3700000000008</v>
      </c>
      <c r="H713" s="1031">
        <v>-8580.3700000000008</v>
      </c>
      <c r="I713" s="1032" t="s">
        <v>1093</v>
      </c>
    </row>
    <row r="714" spans="1:9" x14ac:dyDescent="0.25">
      <c r="A714" s="1033"/>
      <c r="C714" s="130" t="s">
        <v>1094</v>
      </c>
      <c r="D714" s="130">
        <v>16</v>
      </c>
      <c r="E714" s="130" t="s">
        <v>1094</v>
      </c>
      <c r="F714" s="1031">
        <v>0</v>
      </c>
      <c r="G714" s="1031">
        <v>6128.62</v>
      </c>
      <c r="H714" s="1031">
        <v>6128.62</v>
      </c>
      <c r="I714" s="1032" t="s">
        <v>1095</v>
      </c>
    </row>
    <row r="715" spans="1:9" x14ac:dyDescent="0.25">
      <c r="A715" s="1033"/>
      <c r="C715" s="130" t="s">
        <v>45</v>
      </c>
      <c r="D715" s="130">
        <v>16</v>
      </c>
      <c r="E715" s="130" t="s">
        <v>45</v>
      </c>
      <c r="F715" s="1031">
        <v>0</v>
      </c>
      <c r="G715" s="1031">
        <v>-5152.3999999999996</v>
      </c>
      <c r="H715" s="1031">
        <v>-5152.3999999999996</v>
      </c>
      <c r="I715" s="1032" t="s">
        <v>1098</v>
      </c>
    </row>
    <row r="716" spans="1:9" x14ac:dyDescent="0.25">
      <c r="A716" s="1033"/>
      <c r="C716" s="130" t="s">
        <v>1099</v>
      </c>
      <c r="D716" s="130">
        <v>16</v>
      </c>
      <c r="E716" s="130" t="s">
        <v>1099</v>
      </c>
      <c r="F716" s="1031">
        <v>0</v>
      </c>
      <c r="G716" s="1031">
        <v>3079.27</v>
      </c>
      <c r="H716" s="1031">
        <v>3079.27</v>
      </c>
      <c r="I716" s="1032" t="s">
        <v>1100</v>
      </c>
    </row>
    <row r="717" spans="1:9" x14ac:dyDescent="0.25">
      <c r="A717" s="1033"/>
      <c r="C717" s="130" t="s">
        <v>46</v>
      </c>
      <c r="D717" s="130">
        <v>16</v>
      </c>
      <c r="E717" s="130" t="s">
        <v>46</v>
      </c>
      <c r="F717" s="1031">
        <v>0</v>
      </c>
      <c r="G717" s="1031">
        <v>-5700.83</v>
      </c>
      <c r="H717" s="1031">
        <v>-5700.83</v>
      </c>
      <c r="I717" s="1032" t="s">
        <v>1103</v>
      </c>
    </row>
    <row r="718" spans="1:9" x14ac:dyDescent="0.25">
      <c r="A718" s="1033"/>
      <c r="C718" s="130" t="s">
        <v>1104</v>
      </c>
      <c r="D718" s="130">
        <v>16</v>
      </c>
      <c r="E718" s="130" t="s">
        <v>1104</v>
      </c>
      <c r="F718" s="1031">
        <v>0</v>
      </c>
      <c r="G718" s="1031">
        <v>3036.58</v>
      </c>
      <c r="H718" s="1031">
        <v>3036.58</v>
      </c>
      <c r="I718" s="1032" t="s">
        <v>1105</v>
      </c>
    </row>
    <row r="719" spans="1:9" x14ac:dyDescent="0.25">
      <c r="A719" s="1033"/>
      <c r="C719" s="130" t="s">
        <v>181</v>
      </c>
      <c r="D719" s="130">
        <v>16</v>
      </c>
      <c r="E719" s="130" t="s">
        <v>181</v>
      </c>
      <c r="F719" s="1031">
        <v>0</v>
      </c>
      <c r="G719" s="1031">
        <v>-44.29</v>
      </c>
      <c r="H719" s="1031">
        <v>-44.29</v>
      </c>
      <c r="I719" s="1032" t="s">
        <v>1108</v>
      </c>
    </row>
    <row r="720" spans="1:9" x14ac:dyDescent="0.25">
      <c r="A720" s="1033"/>
      <c r="C720" s="130" t="s">
        <v>1109</v>
      </c>
      <c r="D720" s="130">
        <v>16</v>
      </c>
      <c r="E720" s="130" t="s">
        <v>1109</v>
      </c>
      <c r="F720" s="1031">
        <v>0</v>
      </c>
      <c r="G720" s="1031">
        <v>26.59</v>
      </c>
      <c r="H720" s="1031">
        <v>26.59</v>
      </c>
      <c r="I720" s="1032" t="s">
        <v>1110</v>
      </c>
    </row>
    <row r="721" spans="1:9" x14ac:dyDescent="0.25">
      <c r="A721" s="1033"/>
      <c r="C721" s="130" t="s">
        <v>49</v>
      </c>
      <c r="D721" s="130">
        <v>16</v>
      </c>
      <c r="E721" s="130" t="s">
        <v>49</v>
      </c>
      <c r="F721" s="1031">
        <v>0</v>
      </c>
      <c r="G721" s="1031">
        <v>-10061.200000000001</v>
      </c>
      <c r="H721" s="1031">
        <v>-10061.200000000001</v>
      </c>
      <c r="I721" s="1032" t="s">
        <v>1113</v>
      </c>
    </row>
    <row r="722" spans="1:9" x14ac:dyDescent="0.25">
      <c r="A722" s="1033"/>
      <c r="C722" s="130" t="s">
        <v>1114</v>
      </c>
      <c r="D722" s="130">
        <v>16</v>
      </c>
      <c r="E722" s="130" t="s">
        <v>1114</v>
      </c>
      <c r="F722" s="1031">
        <v>0</v>
      </c>
      <c r="G722" s="1031">
        <v>6998.24</v>
      </c>
      <c r="H722" s="1031">
        <v>6998.24</v>
      </c>
      <c r="I722" s="1032" t="s">
        <v>1115</v>
      </c>
    </row>
    <row r="723" spans="1:9" x14ac:dyDescent="0.25">
      <c r="A723" s="1033"/>
      <c r="C723" s="130" t="s">
        <v>91</v>
      </c>
      <c r="D723" s="130">
        <v>16</v>
      </c>
      <c r="E723" s="130" t="s">
        <v>91</v>
      </c>
      <c r="F723" s="1031">
        <v>0</v>
      </c>
      <c r="G723" s="1031">
        <v>15.48</v>
      </c>
      <c r="H723" s="1031">
        <v>15.48</v>
      </c>
      <c r="I723" s="1032" t="s">
        <v>1118</v>
      </c>
    </row>
    <row r="724" spans="1:9" x14ac:dyDescent="0.25">
      <c r="A724" s="1033"/>
      <c r="C724" s="130" t="s">
        <v>1119</v>
      </c>
      <c r="D724" s="130">
        <v>16</v>
      </c>
      <c r="E724" s="130" t="s">
        <v>1119</v>
      </c>
      <c r="F724" s="1031">
        <v>0</v>
      </c>
      <c r="G724" s="1031">
        <v>-26.12</v>
      </c>
      <c r="H724" s="1031">
        <v>-26.12</v>
      </c>
      <c r="I724" s="1032" t="s">
        <v>1120</v>
      </c>
    </row>
    <row r="725" spans="1:9" x14ac:dyDescent="0.25">
      <c r="A725" s="1033"/>
      <c r="C725" s="130" t="s">
        <v>92</v>
      </c>
      <c r="D725" s="130">
        <v>16</v>
      </c>
      <c r="E725" s="130" t="s">
        <v>92</v>
      </c>
      <c r="F725" s="1031">
        <v>0</v>
      </c>
      <c r="G725" s="1031">
        <v>-1952.79</v>
      </c>
      <c r="H725" s="1031">
        <v>-1952.79</v>
      </c>
      <c r="I725" s="1032" t="s">
        <v>1123</v>
      </c>
    </row>
    <row r="726" spans="1:9" x14ac:dyDescent="0.25">
      <c r="A726" s="1033"/>
      <c r="C726" s="130" t="s">
        <v>1124</v>
      </c>
      <c r="D726" s="130">
        <v>16</v>
      </c>
      <c r="E726" s="130" t="s">
        <v>1124</v>
      </c>
      <c r="F726" s="1031">
        <v>0</v>
      </c>
      <c r="G726" s="1031">
        <v>1347.06</v>
      </c>
      <c r="H726" s="1031">
        <v>1347.06</v>
      </c>
      <c r="I726" s="1032" t="s">
        <v>1125</v>
      </c>
    </row>
    <row r="727" spans="1:9" x14ac:dyDescent="0.25">
      <c r="A727" s="1033"/>
      <c r="C727" s="130" t="s">
        <v>97</v>
      </c>
      <c r="D727" s="130">
        <v>16</v>
      </c>
      <c r="E727" s="130" t="s">
        <v>97</v>
      </c>
      <c r="F727" s="1031">
        <v>0</v>
      </c>
      <c r="G727" s="1031">
        <v>-30135.23</v>
      </c>
      <c r="H727" s="1031">
        <v>-30135.23</v>
      </c>
      <c r="I727" s="1032" t="s">
        <v>1128</v>
      </c>
    </row>
    <row r="728" spans="1:9" x14ac:dyDescent="0.25">
      <c r="A728" s="1033"/>
      <c r="C728" s="130" t="s">
        <v>1129</v>
      </c>
      <c r="D728" s="130">
        <v>16</v>
      </c>
      <c r="E728" s="130" t="s">
        <v>1129</v>
      </c>
      <c r="F728" s="1031">
        <v>0</v>
      </c>
      <c r="G728" s="1031">
        <v>22429.05</v>
      </c>
      <c r="H728" s="1031">
        <v>22429.05</v>
      </c>
      <c r="I728" s="1032" t="s">
        <v>1130</v>
      </c>
    </row>
    <row r="729" spans="1:9" x14ac:dyDescent="0.25">
      <c r="A729" s="1033"/>
      <c r="C729" s="130" t="s">
        <v>1129</v>
      </c>
      <c r="D729" s="130">
        <v>16</v>
      </c>
      <c r="E729" s="130" t="s">
        <v>1131</v>
      </c>
      <c r="F729" s="1031">
        <v>0</v>
      </c>
      <c r="G729" s="1031">
        <v>674.43</v>
      </c>
      <c r="H729" s="1031">
        <v>674.43</v>
      </c>
      <c r="I729" s="1032" t="s">
        <v>1132</v>
      </c>
    </row>
    <row r="730" spans="1:9" x14ac:dyDescent="0.25">
      <c r="A730" s="1033"/>
      <c r="C730" s="130" t="s">
        <v>1137</v>
      </c>
      <c r="D730" s="130">
        <v>16</v>
      </c>
      <c r="E730" s="130" t="s">
        <v>1137</v>
      </c>
      <c r="F730" s="1031">
        <v>0</v>
      </c>
      <c r="G730" s="1031">
        <v>-35233.71</v>
      </c>
      <c r="H730" s="1031">
        <v>-35233.71</v>
      </c>
      <c r="I730" s="1032" t="s">
        <v>1138</v>
      </c>
    </row>
    <row r="731" spans="1:9" x14ac:dyDescent="0.25">
      <c r="A731" s="1033"/>
      <c r="C731" s="130" t="s">
        <v>1139</v>
      </c>
      <c r="D731" s="130">
        <v>16</v>
      </c>
      <c r="E731" s="130" t="s">
        <v>1139</v>
      </c>
      <c r="F731" s="1031">
        <v>0</v>
      </c>
      <c r="G731" s="1031">
        <v>-2732.14</v>
      </c>
      <c r="H731" s="1031">
        <v>-2732.14</v>
      </c>
      <c r="I731" s="1032" t="s">
        <v>1140</v>
      </c>
    </row>
    <row r="732" spans="1:9" x14ac:dyDescent="0.25">
      <c r="A732" s="1033"/>
      <c r="C732" s="130" t="s">
        <v>1139</v>
      </c>
      <c r="D732" s="130">
        <v>16</v>
      </c>
      <c r="E732" s="130" t="s">
        <v>1141</v>
      </c>
      <c r="F732" s="1031">
        <v>0</v>
      </c>
      <c r="G732" s="1031">
        <v>-3996.72</v>
      </c>
      <c r="H732" s="1031">
        <v>-3996.72</v>
      </c>
      <c r="I732" s="1032" t="s">
        <v>1142</v>
      </c>
    </row>
    <row r="733" spans="1:9" x14ac:dyDescent="0.25">
      <c r="A733" s="1033"/>
      <c r="C733" s="130" t="s">
        <v>1143</v>
      </c>
      <c r="D733" s="130">
        <v>16</v>
      </c>
      <c r="E733" s="130" t="s">
        <v>1143</v>
      </c>
      <c r="F733" s="1031">
        <v>0</v>
      </c>
      <c r="G733" s="1031">
        <v>25837.03</v>
      </c>
      <c r="H733" s="1031">
        <v>25837.03</v>
      </c>
      <c r="I733" s="1032" t="s">
        <v>1144</v>
      </c>
    </row>
    <row r="734" spans="1:9" x14ac:dyDescent="0.25">
      <c r="A734" s="1033"/>
      <c r="C734" s="130" t="s">
        <v>1145</v>
      </c>
      <c r="D734" s="130">
        <v>16</v>
      </c>
      <c r="E734" s="130" t="s">
        <v>1145</v>
      </c>
      <c r="F734" s="1031">
        <v>0</v>
      </c>
      <c r="G734" s="1031">
        <v>1781.05</v>
      </c>
      <c r="H734" s="1031">
        <v>1781.05</v>
      </c>
      <c r="I734" s="1032" t="s">
        <v>1146</v>
      </c>
    </row>
    <row r="735" spans="1:9" x14ac:dyDescent="0.25">
      <c r="A735" s="1033"/>
      <c r="C735" s="130" t="s">
        <v>1145</v>
      </c>
      <c r="D735" s="130">
        <v>16</v>
      </c>
      <c r="E735" s="130" t="s">
        <v>1147</v>
      </c>
      <c r="F735" s="1031">
        <v>0</v>
      </c>
      <c r="G735" s="1031">
        <v>2553.25</v>
      </c>
      <c r="H735" s="1031">
        <v>2553.25</v>
      </c>
      <c r="I735" s="1032" t="s">
        <v>1148</v>
      </c>
    </row>
    <row r="736" spans="1:9" x14ac:dyDescent="0.25">
      <c r="A736" s="1033"/>
      <c r="C736" s="130" t="s">
        <v>1149</v>
      </c>
      <c r="D736" s="130">
        <v>16</v>
      </c>
      <c r="E736" s="130" t="s">
        <v>1149</v>
      </c>
      <c r="F736" s="1031">
        <v>0</v>
      </c>
      <c r="G736" s="1031">
        <v>-14000.68</v>
      </c>
      <c r="H736" s="1031">
        <v>-14000.68</v>
      </c>
      <c r="I736" s="1032" t="s">
        <v>1150</v>
      </c>
    </row>
    <row r="737" spans="1:9" x14ac:dyDescent="0.25">
      <c r="A737" s="1033">
        <v>905328</v>
      </c>
      <c r="B737" s="129">
        <v>386</v>
      </c>
      <c r="E737" s="130"/>
    </row>
    <row r="738" spans="1:9" x14ac:dyDescent="0.25">
      <c r="A738" s="1033">
        <v>905412</v>
      </c>
      <c r="E738" s="130"/>
    </row>
    <row r="739" spans="1:9" x14ac:dyDescent="0.25">
      <c r="A739" s="1033">
        <v>905414</v>
      </c>
      <c r="E739" s="130"/>
    </row>
    <row r="740" spans="1:9" x14ac:dyDescent="0.25">
      <c r="A740" s="1033">
        <v>905416</v>
      </c>
      <c r="E740" s="130"/>
    </row>
    <row r="741" spans="1:9" x14ac:dyDescent="0.25">
      <c r="A741" s="1033">
        <v>905418</v>
      </c>
      <c r="E741" s="130"/>
    </row>
    <row r="742" spans="1:9" x14ac:dyDescent="0.25">
      <c r="A742" s="1033">
        <v>905422</v>
      </c>
      <c r="E742" s="130"/>
    </row>
    <row r="743" spans="1:9" x14ac:dyDescent="0.25">
      <c r="A743" s="1033">
        <v>905424</v>
      </c>
      <c r="E743" s="130"/>
    </row>
    <row r="744" spans="1:9" x14ac:dyDescent="0.25">
      <c r="A744" s="1033">
        <v>905426</v>
      </c>
      <c r="E744" s="130"/>
    </row>
    <row r="745" spans="1:9" x14ac:dyDescent="0.25">
      <c r="A745" s="1033">
        <v>905428</v>
      </c>
      <c r="E745" s="130"/>
    </row>
    <row r="746" spans="1:9" x14ac:dyDescent="0.25">
      <c r="A746" s="1033">
        <v>905512</v>
      </c>
      <c r="B746" s="129">
        <v>301</v>
      </c>
      <c r="E746" s="130"/>
    </row>
    <row r="747" spans="1:9" x14ac:dyDescent="0.25">
      <c r="A747" s="1033">
        <v>905514</v>
      </c>
      <c r="B747" s="129">
        <v>143315</v>
      </c>
      <c r="E747" s="130"/>
    </row>
    <row r="748" spans="1:9" x14ac:dyDescent="0.25">
      <c r="A748" s="1033">
        <v>905516</v>
      </c>
      <c r="B748" s="129">
        <v>55794</v>
      </c>
      <c r="C748" s="130" t="s">
        <v>10</v>
      </c>
      <c r="D748" s="130">
        <v>16</v>
      </c>
      <c r="E748" s="130" t="s">
        <v>10</v>
      </c>
      <c r="F748" s="1031">
        <v>0</v>
      </c>
      <c r="G748" s="1031">
        <v>-19085.54</v>
      </c>
      <c r="H748" s="1031">
        <v>-19085.54</v>
      </c>
      <c r="I748" s="1032" t="s">
        <v>1058</v>
      </c>
    </row>
    <row r="749" spans="1:9" x14ac:dyDescent="0.25">
      <c r="A749" s="1033"/>
      <c r="C749" s="130" t="s">
        <v>1059</v>
      </c>
      <c r="D749" s="130">
        <v>16</v>
      </c>
      <c r="E749" s="130" t="s">
        <v>1059</v>
      </c>
      <c r="F749" s="1031">
        <v>0</v>
      </c>
      <c r="G749" s="1031">
        <v>11534.05</v>
      </c>
      <c r="H749" s="1031">
        <v>11534.05</v>
      </c>
      <c r="I749" s="1032" t="s">
        <v>1060</v>
      </c>
    </row>
    <row r="750" spans="1:9" x14ac:dyDescent="0.25">
      <c r="A750" s="1033"/>
      <c r="C750" s="130" t="s">
        <v>14</v>
      </c>
      <c r="D750" s="130">
        <v>16</v>
      </c>
      <c r="E750" s="130" t="s">
        <v>14</v>
      </c>
      <c r="F750" s="1031">
        <v>0</v>
      </c>
      <c r="G750" s="1031">
        <v>-1730.65</v>
      </c>
      <c r="H750" s="1031">
        <v>-1730.65</v>
      </c>
      <c r="I750" s="1032" t="s">
        <v>1073</v>
      </c>
    </row>
    <row r="751" spans="1:9" x14ac:dyDescent="0.25">
      <c r="A751" s="1033"/>
      <c r="C751" s="130" t="s">
        <v>1074</v>
      </c>
      <c r="D751" s="130">
        <v>16</v>
      </c>
      <c r="E751" s="130" t="s">
        <v>1074</v>
      </c>
      <c r="F751" s="1031">
        <v>0</v>
      </c>
      <c r="G751" s="1031">
        <v>1236.1199999999999</v>
      </c>
      <c r="H751" s="1031">
        <v>1236.1199999999999</v>
      </c>
      <c r="I751" s="1032" t="s">
        <v>1075</v>
      </c>
    </row>
    <row r="752" spans="1:9" x14ac:dyDescent="0.25">
      <c r="A752" s="1033"/>
      <c r="C752" s="130" t="s">
        <v>41</v>
      </c>
      <c r="D752" s="130">
        <v>16</v>
      </c>
      <c r="E752" s="130" t="s">
        <v>41</v>
      </c>
      <c r="F752" s="1031">
        <v>0</v>
      </c>
      <c r="G752" s="1031">
        <v>-33248.720000000001</v>
      </c>
      <c r="H752" s="1031">
        <v>-33248.720000000001</v>
      </c>
      <c r="I752" s="1032" t="s">
        <v>1085</v>
      </c>
    </row>
    <row r="753" spans="1:9" x14ac:dyDescent="0.25">
      <c r="A753" s="1033"/>
      <c r="C753" s="130" t="s">
        <v>1086</v>
      </c>
      <c r="D753" s="130">
        <v>16</v>
      </c>
      <c r="E753" s="130" t="s">
        <v>1086</v>
      </c>
      <c r="F753" s="1031">
        <v>0</v>
      </c>
      <c r="G753" s="1031">
        <v>24079.71</v>
      </c>
      <c r="H753" s="1031">
        <v>24079.71</v>
      </c>
      <c r="I753" s="1032" t="s">
        <v>1087</v>
      </c>
    </row>
    <row r="754" spans="1:9" x14ac:dyDescent="0.25">
      <c r="A754" s="1033"/>
      <c r="C754" s="130" t="s">
        <v>45</v>
      </c>
      <c r="D754" s="130">
        <v>16</v>
      </c>
      <c r="E754" s="130" t="s">
        <v>45</v>
      </c>
      <c r="F754" s="1031">
        <v>0</v>
      </c>
      <c r="G754" s="1031">
        <v>-5152.3999999999996</v>
      </c>
      <c r="H754" s="1031">
        <v>-5152.3999999999996</v>
      </c>
      <c r="I754" s="1032" t="s">
        <v>1098</v>
      </c>
    </row>
    <row r="755" spans="1:9" x14ac:dyDescent="0.25">
      <c r="A755" s="1033"/>
      <c r="C755" s="130" t="s">
        <v>1099</v>
      </c>
      <c r="D755" s="130">
        <v>16</v>
      </c>
      <c r="E755" s="130" t="s">
        <v>1099</v>
      </c>
      <c r="F755" s="1031">
        <v>0</v>
      </c>
      <c r="G755" s="1031">
        <v>3079.27</v>
      </c>
      <c r="H755" s="1031">
        <v>3079.27</v>
      </c>
      <c r="I755" s="1032" t="s">
        <v>1100</v>
      </c>
    </row>
    <row r="756" spans="1:9" x14ac:dyDescent="0.25">
      <c r="A756" s="1033"/>
      <c r="C756" s="130" t="s">
        <v>49</v>
      </c>
      <c r="D756" s="130">
        <v>16</v>
      </c>
      <c r="E756" s="130" t="s">
        <v>49</v>
      </c>
      <c r="F756" s="1031">
        <v>0</v>
      </c>
      <c r="G756" s="1031">
        <v>-10061.200000000001</v>
      </c>
      <c r="H756" s="1031">
        <v>-10061.200000000001</v>
      </c>
      <c r="I756" s="1032" t="s">
        <v>1113</v>
      </c>
    </row>
    <row r="757" spans="1:9" x14ac:dyDescent="0.25">
      <c r="A757" s="1033"/>
      <c r="C757" s="130" t="s">
        <v>1114</v>
      </c>
      <c r="D757" s="130">
        <v>16</v>
      </c>
      <c r="E757" s="130" t="s">
        <v>1114</v>
      </c>
      <c r="F757" s="1031">
        <v>0</v>
      </c>
      <c r="G757" s="1031">
        <v>6998.24</v>
      </c>
      <c r="H757" s="1031">
        <v>6998.24</v>
      </c>
      <c r="I757" s="1032" t="s">
        <v>1115</v>
      </c>
    </row>
    <row r="758" spans="1:9" x14ac:dyDescent="0.25">
      <c r="A758" s="1033"/>
      <c r="C758" s="130" t="s">
        <v>91</v>
      </c>
      <c r="D758" s="130">
        <v>16</v>
      </c>
      <c r="E758" s="130" t="s">
        <v>91</v>
      </c>
      <c r="F758" s="1031">
        <v>0</v>
      </c>
      <c r="G758" s="1031">
        <v>15.48</v>
      </c>
      <c r="H758" s="1031">
        <v>15.48</v>
      </c>
      <c r="I758" s="1032" t="s">
        <v>1118</v>
      </c>
    </row>
    <row r="759" spans="1:9" x14ac:dyDescent="0.25">
      <c r="A759" s="1033"/>
      <c r="C759" s="130" t="s">
        <v>1119</v>
      </c>
      <c r="D759" s="130">
        <v>16</v>
      </c>
      <c r="E759" s="130" t="s">
        <v>1119</v>
      </c>
      <c r="F759" s="1031">
        <v>0</v>
      </c>
      <c r="G759" s="1031">
        <v>-26.12</v>
      </c>
      <c r="H759" s="1031">
        <v>-26.12</v>
      </c>
      <c r="I759" s="1032" t="s">
        <v>1120</v>
      </c>
    </row>
    <row r="760" spans="1:9" x14ac:dyDescent="0.25">
      <c r="A760" s="1033"/>
      <c r="C760" s="130" t="s">
        <v>92</v>
      </c>
      <c r="D760" s="130">
        <v>16</v>
      </c>
      <c r="E760" s="130" t="s">
        <v>92</v>
      </c>
      <c r="F760" s="1031">
        <v>0</v>
      </c>
      <c r="G760" s="1031">
        <v>-1952.79</v>
      </c>
      <c r="H760" s="1031">
        <v>-1952.79</v>
      </c>
      <c r="I760" s="1032" t="s">
        <v>1123</v>
      </c>
    </row>
    <row r="761" spans="1:9" x14ac:dyDescent="0.25">
      <c r="A761" s="1033"/>
      <c r="C761" s="130" t="s">
        <v>1124</v>
      </c>
      <c r="D761" s="130">
        <v>16</v>
      </c>
      <c r="E761" s="130" t="s">
        <v>1124</v>
      </c>
      <c r="F761" s="1031">
        <v>0</v>
      </c>
      <c r="G761" s="1031">
        <v>1347.06</v>
      </c>
      <c r="H761" s="1031">
        <v>1347.06</v>
      </c>
      <c r="I761" s="1032" t="s">
        <v>1125</v>
      </c>
    </row>
    <row r="762" spans="1:9" x14ac:dyDescent="0.25">
      <c r="A762" s="1033"/>
      <c r="C762" s="130" t="s">
        <v>97</v>
      </c>
      <c r="D762" s="130">
        <v>16</v>
      </c>
      <c r="E762" s="130" t="s">
        <v>97</v>
      </c>
      <c r="F762" s="1031">
        <v>0</v>
      </c>
      <c r="G762" s="1031">
        <v>-30135.23</v>
      </c>
      <c r="H762" s="1031">
        <v>-30135.23</v>
      </c>
      <c r="I762" s="1032" t="s">
        <v>1128</v>
      </c>
    </row>
    <row r="763" spans="1:9" x14ac:dyDescent="0.25">
      <c r="A763" s="1033"/>
      <c r="C763" s="130" t="s">
        <v>1129</v>
      </c>
      <c r="D763" s="130">
        <v>16</v>
      </c>
      <c r="E763" s="130" t="s">
        <v>1129</v>
      </c>
      <c r="F763" s="1031">
        <v>0</v>
      </c>
      <c r="G763" s="1031">
        <v>22429.05</v>
      </c>
      <c r="H763" s="1031">
        <v>22429.05</v>
      </c>
      <c r="I763" s="1032" t="s">
        <v>1130</v>
      </c>
    </row>
    <row r="764" spans="1:9" x14ac:dyDescent="0.25">
      <c r="A764" s="1033"/>
      <c r="C764" s="130" t="s">
        <v>1129</v>
      </c>
      <c r="D764" s="130">
        <v>16</v>
      </c>
      <c r="E764" s="130" t="s">
        <v>1131</v>
      </c>
      <c r="F764" s="1031">
        <v>0</v>
      </c>
      <c r="G764" s="1031">
        <v>674.43</v>
      </c>
      <c r="H764" s="1031">
        <v>674.43</v>
      </c>
      <c r="I764" s="1032" t="s">
        <v>1132</v>
      </c>
    </row>
    <row r="765" spans="1:9" x14ac:dyDescent="0.25">
      <c r="A765" s="1033"/>
      <c r="C765" s="130" t="s">
        <v>1149</v>
      </c>
      <c r="D765" s="130">
        <v>16</v>
      </c>
      <c r="E765" s="130" t="s">
        <v>1149</v>
      </c>
      <c r="F765" s="1031">
        <v>0</v>
      </c>
      <c r="G765" s="1031">
        <v>-14000.68</v>
      </c>
      <c r="H765" s="1031">
        <v>-14000.68</v>
      </c>
      <c r="I765" s="1032" t="s">
        <v>1150</v>
      </c>
    </row>
    <row r="766" spans="1:9" x14ac:dyDescent="0.25">
      <c r="A766" s="1033"/>
      <c r="C766" s="130" t="s">
        <v>1137</v>
      </c>
      <c r="D766" s="130">
        <v>16</v>
      </c>
      <c r="E766" s="130" t="s">
        <v>1137</v>
      </c>
      <c r="F766" s="1031">
        <v>0</v>
      </c>
      <c r="G766" s="1031">
        <v>-35233.71</v>
      </c>
      <c r="H766" s="1031">
        <v>-35233.71</v>
      </c>
      <c r="I766" s="1032" t="s">
        <v>1138</v>
      </c>
    </row>
    <row r="767" spans="1:9" x14ac:dyDescent="0.25">
      <c r="A767" s="1033"/>
      <c r="C767" s="130" t="s">
        <v>1139</v>
      </c>
      <c r="D767" s="130">
        <v>16</v>
      </c>
      <c r="E767" s="130" t="s">
        <v>1139</v>
      </c>
      <c r="F767" s="1031">
        <v>0</v>
      </c>
      <c r="G767" s="1031">
        <v>-2732.14</v>
      </c>
      <c r="H767" s="1031">
        <v>-2732.14</v>
      </c>
      <c r="I767" s="1032" t="s">
        <v>1140</v>
      </c>
    </row>
    <row r="768" spans="1:9" x14ac:dyDescent="0.25">
      <c r="A768" s="1033"/>
      <c r="C768" s="130" t="s">
        <v>1139</v>
      </c>
      <c r="D768" s="130">
        <v>16</v>
      </c>
      <c r="E768" s="130" t="s">
        <v>1141</v>
      </c>
      <c r="F768" s="1031">
        <v>0</v>
      </c>
      <c r="G768" s="1031">
        <v>-3996.72</v>
      </c>
      <c r="H768" s="1031">
        <v>-3996.72</v>
      </c>
      <c r="I768" s="1032" t="s">
        <v>1142</v>
      </c>
    </row>
    <row r="769" spans="1:9" x14ac:dyDescent="0.25">
      <c r="A769" s="1033"/>
      <c r="C769" s="130" t="s">
        <v>1143</v>
      </c>
      <c r="D769" s="130">
        <v>16</v>
      </c>
      <c r="E769" s="130" t="s">
        <v>1143</v>
      </c>
      <c r="F769" s="1031">
        <v>0</v>
      </c>
      <c r="G769" s="1031">
        <v>25837.03</v>
      </c>
      <c r="H769" s="1031">
        <v>25837.03</v>
      </c>
      <c r="I769" s="1032" t="s">
        <v>1144</v>
      </c>
    </row>
    <row r="770" spans="1:9" x14ac:dyDescent="0.25">
      <c r="A770" s="1033"/>
      <c r="C770" s="130" t="s">
        <v>1145</v>
      </c>
      <c r="D770" s="130">
        <v>16</v>
      </c>
      <c r="E770" s="130" t="s">
        <v>1145</v>
      </c>
      <c r="F770" s="1031">
        <v>0</v>
      </c>
      <c r="G770" s="1031">
        <v>1781.05</v>
      </c>
      <c r="H770" s="1031">
        <v>1781.05</v>
      </c>
      <c r="I770" s="1032" t="s">
        <v>1146</v>
      </c>
    </row>
    <row r="771" spans="1:9" x14ac:dyDescent="0.25">
      <c r="A771" s="1033"/>
      <c r="C771" s="130" t="s">
        <v>1145</v>
      </c>
      <c r="D771" s="130">
        <v>16</v>
      </c>
      <c r="E771" s="130" t="s">
        <v>1147</v>
      </c>
      <c r="F771" s="1031">
        <v>0</v>
      </c>
      <c r="G771" s="1031">
        <v>2553.25</v>
      </c>
      <c r="H771" s="1031">
        <v>2553.25</v>
      </c>
      <c r="I771" s="1032" t="s">
        <v>1148</v>
      </c>
    </row>
    <row r="772" spans="1:9" x14ac:dyDescent="0.25">
      <c r="A772" s="1033">
        <v>905518</v>
      </c>
      <c r="B772" s="129">
        <v>389</v>
      </c>
      <c r="E772" s="130"/>
    </row>
    <row r="773" spans="1:9" x14ac:dyDescent="0.25">
      <c r="A773" s="1033">
        <v>905522</v>
      </c>
      <c r="B773" s="129">
        <v>301</v>
      </c>
      <c r="E773" s="130"/>
    </row>
    <row r="774" spans="1:9" x14ac:dyDescent="0.25">
      <c r="A774" s="1033">
        <v>905524</v>
      </c>
      <c r="B774" s="129">
        <v>143315</v>
      </c>
      <c r="E774" s="130"/>
    </row>
    <row r="775" spans="1:9" x14ac:dyDescent="0.25">
      <c r="A775" s="1033">
        <v>905526</v>
      </c>
      <c r="B775" s="129">
        <v>55794</v>
      </c>
      <c r="C775" s="130" t="s">
        <v>10</v>
      </c>
      <c r="D775" s="130">
        <v>16</v>
      </c>
      <c r="E775" s="130" t="s">
        <v>10</v>
      </c>
      <c r="F775" s="1031">
        <v>0</v>
      </c>
      <c r="G775" s="1031">
        <v>-19085.54</v>
      </c>
      <c r="H775" s="1031">
        <v>-19085.54</v>
      </c>
      <c r="I775" s="1032" t="s">
        <v>1058</v>
      </c>
    </row>
    <row r="776" spans="1:9" x14ac:dyDescent="0.25">
      <c r="A776" s="1033"/>
      <c r="C776" s="130" t="s">
        <v>1059</v>
      </c>
      <c r="D776" s="130">
        <v>16</v>
      </c>
      <c r="E776" s="130" t="s">
        <v>1059</v>
      </c>
      <c r="F776" s="1031">
        <v>0</v>
      </c>
      <c r="G776" s="1031">
        <v>11534.05</v>
      </c>
      <c r="H776" s="1031">
        <v>11534.05</v>
      </c>
      <c r="I776" s="1032" t="s">
        <v>1060</v>
      </c>
    </row>
    <row r="777" spans="1:9" x14ac:dyDescent="0.25">
      <c r="A777" s="1033"/>
      <c r="C777" s="130" t="s">
        <v>14</v>
      </c>
      <c r="D777" s="130">
        <v>16</v>
      </c>
      <c r="E777" s="130" t="s">
        <v>14</v>
      </c>
      <c r="F777" s="1031">
        <v>0</v>
      </c>
      <c r="G777" s="1031">
        <v>-1730.65</v>
      </c>
      <c r="H777" s="1031">
        <v>-1730.65</v>
      </c>
      <c r="I777" s="1032" t="s">
        <v>1073</v>
      </c>
    </row>
    <row r="778" spans="1:9" x14ac:dyDescent="0.25">
      <c r="A778" s="1033"/>
      <c r="C778" s="130" t="s">
        <v>1074</v>
      </c>
      <c r="D778" s="130">
        <v>16</v>
      </c>
      <c r="E778" s="130" t="s">
        <v>1074</v>
      </c>
      <c r="F778" s="1031">
        <v>0</v>
      </c>
      <c r="G778" s="1031">
        <v>1236.1199999999999</v>
      </c>
      <c r="H778" s="1031">
        <v>1236.1199999999999</v>
      </c>
      <c r="I778" s="1032" t="s">
        <v>1075</v>
      </c>
    </row>
    <row r="779" spans="1:9" x14ac:dyDescent="0.25">
      <c r="A779" s="1033"/>
      <c r="C779" s="130" t="s">
        <v>41</v>
      </c>
      <c r="D779" s="130">
        <v>16</v>
      </c>
      <c r="E779" s="130" t="s">
        <v>41</v>
      </c>
      <c r="F779" s="1031">
        <v>0</v>
      </c>
      <c r="G779" s="1031">
        <v>-33248.720000000001</v>
      </c>
      <c r="H779" s="1031">
        <v>-33248.720000000001</v>
      </c>
      <c r="I779" s="1032" t="s">
        <v>1085</v>
      </c>
    </row>
    <row r="780" spans="1:9" x14ac:dyDescent="0.25">
      <c r="A780" s="1033"/>
      <c r="C780" s="130" t="s">
        <v>1086</v>
      </c>
      <c r="D780" s="130">
        <v>16</v>
      </c>
      <c r="E780" s="130" t="s">
        <v>1086</v>
      </c>
      <c r="F780" s="1031">
        <v>0</v>
      </c>
      <c r="G780" s="1031">
        <v>24079.71</v>
      </c>
      <c r="H780" s="1031">
        <v>24079.71</v>
      </c>
      <c r="I780" s="1032" t="s">
        <v>1087</v>
      </c>
    </row>
    <row r="781" spans="1:9" x14ac:dyDescent="0.25">
      <c r="A781" s="1033"/>
      <c r="C781" s="130" t="s">
        <v>45</v>
      </c>
      <c r="D781" s="130">
        <v>16</v>
      </c>
      <c r="E781" s="130" t="s">
        <v>45</v>
      </c>
      <c r="F781" s="1031">
        <v>0</v>
      </c>
      <c r="G781" s="1031">
        <v>-5152.3999999999996</v>
      </c>
      <c r="H781" s="1031">
        <v>-5152.3999999999996</v>
      </c>
      <c r="I781" s="1032" t="s">
        <v>1098</v>
      </c>
    </row>
    <row r="782" spans="1:9" x14ac:dyDescent="0.25">
      <c r="A782" s="1033"/>
      <c r="C782" s="130" t="s">
        <v>1099</v>
      </c>
      <c r="D782" s="130">
        <v>16</v>
      </c>
      <c r="E782" s="130" t="s">
        <v>1099</v>
      </c>
      <c r="F782" s="1031">
        <v>0</v>
      </c>
      <c r="G782" s="1031">
        <v>3079.27</v>
      </c>
      <c r="H782" s="1031">
        <v>3079.27</v>
      </c>
      <c r="I782" s="1032" t="s">
        <v>1100</v>
      </c>
    </row>
    <row r="783" spans="1:9" x14ac:dyDescent="0.25">
      <c r="A783" s="1033"/>
      <c r="C783" s="130" t="s">
        <v>49</v>
      </c>
      <c r="D783" s="130">
        <v>16</v>
      </c>
      <c r="E783" s="130" t="s">
        <v>49</v>
      </c>
      <c r="F783" s="1031">
        <v>0</v>
      </c>
      <c r="G783" s="1031">
        <v>-10061.200000000001</v>
      </c>
      <c r="H783" s="1031">
        <v>-10061.200000000001</v>
      </c>
      <c r="I783" s="1032" t="s">
        <v>1113</v>
      </c>
    </row>
    <row r="784" spans="1:9" x14ac:dyDescent="0.25">
      <c r="A784" s="1033"/>
      <c r="C784" s="130" t="s">
        <v>1114</v>
      </c>
      <c r="D784" s="130">
        <v>16</v>
      </c>
      <c r="E784" s="130" t="s">
        <v>1114</v>
      </c>
      <c r="F784" s="1031">
        <v>0</v>
      </c>
      <c r="G784" s="1031">
        <v>6998.24</v>
      </c>
      <c r="H784" s="1031">
        <v>6998.24</v>
      </c>
      <c r="I784" s="1032" t="s">
        <v>1115</v>
      </c>
    </row>
    <row r="785" spans="1:9" x14ac:dyDescent="0.25">
      <c r="A785" s="1033"/>
      <c r="C785" s="130" t="s">
        <v>91</v>
      </c>
      <c r="D785" s="130">
        <v>16</v>
      </c>
      <c r="E785" s="130" t="s">
        <v>91</v>
      </c>
      <c r="F785" s="1031">
        <v>0</v>
      </c>
      <c r="G785" s="1031">
        <v>15.48</v>
      </c>
      <c r="H785" s="1031">
        <v>15.48</v>
      </c>
      <c r="I785" s="1032" t="s">
        <v>1118</v>
      </c>
    </row>
    <row r="786" spans="1:9" x14ac:dyDescent="0.25">
      <c r="A786" s="1033"/>
      <c r="C786" s="130" t="s">
        <v>1119</v>
      </c>
      <c r="D786" s="130">
        <v>16</v>
      </c>
      <c r="E786" s="130" t="s">
        <v>1119</v>
      </c>
      <c r="F786" s="1031">
        <v>0</v>
      </c>
      <c r="G786" s="1031">
        <v>-26.12</v>
      </c>
      <c r="H786" s="1031">
        <v>-26.12</v>
      </c>
      <c r="I786" s="1032" t="s">
        <v>1120</v>
      </c>
    </row>
    <row r="787" spans="1:9" x14ac:dyDescent="0.25">
      <c r="A787" s="1033"/>
      <c r="C787" s="130" t="s">
        <v>92</v>
      </c>
      <c r="D787" s="130">
        <v>16</v>
      </c>
      <c r="E787" s="130" t="s">
        <v>92</v>
      </c>
      <c r="F787" s="1031">
        <v>0</v>
      </c>
      <c r="G787" s="1031">
        <v>-1952.79</v>
      </c>
      <c r="H787" s="1031">
        <v>-1952.79</v>
      </c>
      <c r="I787" s="1032" t="s">
        <v>1123</v>
      </c>
    </row>
    <row r="788" spans="1:9" x14ac:dyDescent="0.25">
      <c r="A788" s="1033"/>
      <c r="C788" s="130" t="s">
        <v>1124</v>
      </c>
      <c r="D788" s="130">
        <v>16</v>
      </c>
      <c r="E788" s="130" t="s">
        <v>1124</v>
      </c>
      <c r="F788" s="1031">
        <v>0</v>
      </c>
      <c r="G788" s="1031">
        <v>1347.06</v>
      </c>
      <c r="H788" s="1031">
        <v>1347.06</v>
      </c>
      <c r="I788" s="1032" t="s">
        <v>1125</v>
      </c>
    </row>
    <row r="789" spans="1:9" x14ac:dyDescent="0.25">
      <c r="A789" s="1033"/>
      <c r="C789" s="130" t="s">
        <v>97</v>
      </c>
      <c r="D789" s="130">
        <v>16</v>
      </c>
      <c r="E789" s="130" t="s">
        <v>97</v>
      </c>
      <c r="F789" s="1031">
        <v>0</v>
      </c>
      <c r="G789" s="1031">
        <v>-30135.23</v>
      </c>
      <c r="H789" s="1031">
        <v>-30135.23</v>
      </c>
      <c r="I789" s="1032" t="s">
        <v>1128</v>
      </c>
    </row>
    <row r="790" spans="1:9" x14ac:dyDescent="0.25">
      <c r="A790" s="1033"/>
      <c r="C790" s="130" t="s">
        <v>1129</v>
      </c>
      <c r="D790" s="130">
        <v>16</v>
      </c>
      <c r="E790" s="130" t="s">
        <v>1129</v>
      </c>
      <c r="F790" s="1031">
        <v>0</v>
      </c>
      <c r="G790" s="1031">
        <v>22429.05</v>
      </c>
      <c r="H790" s="1031">
        <v>22429.05</v>
      </c>
      <c r="I790" s="1032" t="s">
        <v>1130</v>
      </c>
    </row>
    <row r="791" spans="1:9" x14ac:dyDescent="0.25">
      <c r="A791" s="1033"/>
      <c r="C791" s="130" t="s">
        <v>1129</v>
      </c>
      <c r="D791" s="130">
        <v>16</v>
      </c>
      <c r="E791" s="130" t="s">
        <v>1131</v>
      </c>
      <c r="F791" s="1031">
        <v>0</v>
      </c>
      <c r="G791" s="1031">
        <v>674.43</v>
      </c>
      <c r="H791" s="1031">
        <v>674.43</v>
      </c>
      <c r="I791" s="1032" t="s">
        <v>1132</v>
      </c>
    </row>
    <row r="792" spans="1:9" x14ac:dyDescent="0.25">
      <c r="A792" s="1033"/>
      <c r="C792" s="130" t="s">
        <v>1149</v>
      </c>
      <c r="D792" s="130">
        <v>16</v>
      </c>
      <c r="E792" s="130" t="s">
        <v>1149</v>
      </c>
      <c r="F792" s="1031">
        <v>0</v>
      </c>
      <c r="G792" s="1031">
        <v>-14000.68</v>
      </c>
      <c r="H792" s="1031">
        <v>-14000.68</v>
      </c>
      <c r="I792" s="1032" t="s">
        <v>1150</v>
      </c>
    </row>
    <row r="793" spans="1:9" x14ac:dyDescent="0.25">
      <c r="A793" s="1033"/>
      <c r="C793" s="130" t="s">
        <v>1137</v>
      </c>
      <c r="D793" s="130">
        <v>16</v>
      </c>
      <c r="E793" s="130" t="s">
        <v>1137</v>
      </c>
      <c r="F793" s="1031">
        <v>0</v>
      </c>
      <c r="G793" s="1031">
        <v>-35233.71</v>
      </c>
      <c r="H793" s="1031">
        <v>-35233.71</v>
      </c>
      <c r="I793" s="1032" t="s">
        <v>1138</v>
      </c>
    </row>
    <row r="794" spans="1:9" x14ac:dyDescent="0.25">
      <c r="A794" s="1033"/>
      <c r="C794" s="130" t="s">
        <v>1139</v>
      </c>
      <c r="D794" s="130">
        <v>16</v>
      </c>
      <c r="E794" s="130" t="s">
        <v>1139</v>
      </c>
      <c r="F794" s="1031">
        <v>0</v>
      </c>
      <c r="G794" s="1031">
        <v>-2732.14</v>
      </c>
      <c r="H794" s="1031">
        <v>-2732.14</v>
      </c>
      <c r="I794" s="1032" t="s">
        <v>1140</v>
      </c>
    </row>
    <row r="795" spans="1:9" x14ac:dyDescent="0.25">
      <c r="A795" s="1033"/>
      <c r="C795" s="130" t="s">
        <v>1139</v>
      </c>
      <c r="D795" s="130">
        <v>16</v>
      </c>
      <c r="E795" s="130" t="s">
        <v>1141</v>
      </c>
      <c r="F795" s="1031">
        <v>0</v>
      </c>
      <c r="G795" s="1031">
        <v>-3996.72</v>
      </c>
      <c r="H795" s="1031">
        <v>-3996.72</v>
      </c>
      <c r="I795" s="1032" t="s">
        <v>1142</v>
      </c>
    </row>
    <row r="796" spans="1:9" x14ac:dyDescent="0.25">
      <c r="A796" s="1033"/>
      <c r="C796" s="130" t="s">
        <v>1143</v>
      </c>
      <c r="D796" s="130">
        <v>16</v>
      </c>
      <c r="E796" s="130" t="s">
        <v>1143</v>
      </c>
      <c r="F796" s="1031">
        <v>0</v>
      </c>
      <c r="G796" s="1031">
        <v>25837.03</v>
      </c>
      <c r="H796" s="1031">
        <v>25837.03</v>
      </c>
      <c r="I796" s="1032" t="s">
        <v>1144</v>
      </c>
    </row>
    <row r="797" spans="1:9" x14ac:dyDescent="0.25">
      <c r="A797" s="1033"/>
      <c r="C797" s="130" t="s">
        <v>1145</v>
      </c>
      <c r="D797" s="130">
        <v>16</v>
      </c>
      <c r="E797" s="130" t="s">
        <v>1145</v>
      </c>
      <c r="F797" s="1031">
        <v>0</v>
      </c>
      <c r="G797" s="1031">
        <v>1781.05</v>
      </c>
      <c r="H797" s="1031">
        <v>1781.05</v>
      </c>
      <c r="I797" s="1032" t="s">
        <v>1146</v>
      </c>
    </row>
    <row r="798" spans="1:9" x14ac:dyDescent="0.25">
      <c r="A798" s="1033"/>
      <c r="C798" s="130" t="s">
        <v>1145</v>
      </c>
      <c r="D798" s="130">
        <v>16</v>
      </c>
      <c r="E798" s="130" t="s">
        <v>1147</v>
      </c>
      <c r="F798" s="1031">
        <v>0</v>
      </c>
      <c r="G798" s="1031">
        <v>2553.25</v>
      </c>
      <c r="H798" s="1031">
        <v>2553.25</v>
      </c>
      <c r="I798" s="1032" t="s">
        <v>1148</v>
      </c>
    </row>
    <row r="799" spans="1:9" x14ac:dyDescent="0.25">
      <c r="A799" s="1033">
        <v>905528</v>
      </c>
      <c r="B799" s="129">
        <v>389</v>
      </c>
      <c r="E799" s="130"/>
    </row>
    <row r="800" spans="1:9" x14ac:dyDescent="0.25">
      <c r="A800" s="1033">
        <v>905612</v>
      </c>
      <c r="B800" s="129">
        <v>106</v>
      </c>
      <c r="E800" s="130"/>
    </row>
    <row r="801" spans="1:9" x14ac:dyDescent="0.25">
      <c r="A801" s="1033">
        <v>905614</v>
      </c>
      <c r="B801" s="129">
        <v>43295</v>
      </c>
      <c r="E801" s="130"/>
    </row>
    <row r="802" spans="1:9" x14ac:dyDescent="0.25">
      <c r="A802" s="1033">
        <v>905616</v>
      </c>
      <c r="B802" s="129">
        <v>17067</v>
      </c>
      <c r="C802" s="130" t="s">
        <v>11</v>
      </c>
      <c r="D802" s="130">
        <v>16</v>
      </c>
      <c r="E802" s="130" t="s">
        <v>11</v>
      </c>
      <c r="F802" s="1031">
        <v>0</v>
      </c>
      <c r="G802" s="1031">
        <v>-21532.83</v>
      </c>
      <c r="H802" s="1031">
        <v>-21532.83</v>
      </c>
      <c r="I802" s="1032" t="s">
        <v>1063</v>
      </c>
    </row>
    <row r="803" spans="1:9" x14ac:dyDescent="0.25">
      <c r="A803" s="1033"/>
      <c r="C803" s="130" t="s">
        <v>1064</v>
      </c>
      <c r="D803" s="130">
        <v>16</v>
      </c>
      <c r="E803" s="130" t="s">
        <v>1064</v>
      </c>
      <c r="F803" s="1031">
        <v>0</v>
      </c>
      <c r="G803" s="1031">
        <v>11722.34</v>
      </c>
      <c r="H803" s="1031">
        <v>11722.34</v>
      </c>
      <c r="I803" s="1032" t="s">
        <v>1065</v>
      </c>
    </row>
    <row r="804" spans="1:9" x14ac:dyDescent="0.25">
      <c r="A804" s="1033"/>
      <c r="C804" s="130" t="s">
        <v>17</v>
      </c>
      <c r="D804" s="130">
        <v>16</v>
      </c>
      <c r="E804" s="130" t="s">
        <v>17</v>
      </c>
      <c r="F804" s="1031">
        <v>0</v>
      </c>
      <c r="G804" s="1031">
        <v>-3507.35</v>
      </c>
      <c r="H804" s="1031">
        <v>-3507.35</v>
      </c>
      <c r="I804" s="1032" t="s">
        <v>1078</v>
      </c>
    </row>
    <row r="805" spans="1:9" x14ac:dyDescent="0.25">
      <c r="A805" s="1033"/>
      <c r="C805" s="130" t="s">
        <v>1079</v>
      </c>
      <c r="D805" s="130">
        <v>16</v>
      </c>
      <c r="E805" s="130" t="s">
        <v>1079</v>
      </c>
      <c r="F805" s="1031">
        <v>0</v>
      </c>
      <c r="G805" s="1031">
        <v>2505.09</v>
      </c>
      <c r="H805" s="1031">
        <v>2505.09</v>
      </c>
      <c r="I805" s="1032" t="s">
        <v>1080</v>
      </c>
    </row>
    <row r="806" spans="1:9" x14ac:dyDescent="0.25">
      <c r="A806" s="1033"/>
      <c r="C806" s="130" t="s">
        <v>42</v>
      </c>
      <c r="D806" s="130">
        <v>16</v>
      </c>
      <c r="E806" s="130" t="s">
        <v>42</v>
      </c>
      <c r="F806" s="1031">
        <v>0</v>
      </c>
      <c r="G806" s="1031">
        <v>-12553.68</v>
      </c>
      <c r="H806" s="1031">
        <v>-12553.68</v>
      </c>
      <c r="I806" s="1032" t="s">
        <v>1090</v>
      </c>
    </row>
    <row r="807" spans="1:9" x14ac:dyDescent="0.25">
      <c r="A807" s="1033"/>
      <c r="C807" s="130" t="s">
        <v>1091</v>
      </c>
      <c r="D807" s="130">
        <v>16</v>
      </c>
      <c r="E807" s="130" t="s">
        <v>1091</v>
      </c>
      <c r="F807" s="1031">
        <v>0</v>
      </c>
      <c r="G807" s="1031">
        <v>8964.18</v>
      </c>
      <c r="H807" s="1031">
        <v>8964.18</v>
      </c>
      <c r="I807" s="1032" t="s">
        <v>1092</v>
      </c>
    </row>
    <row r="808" spans="1:9" x14ac:dyDescent="0.25">
      <c r="A808" s="1033"/>
      <c r="C808" s="130" t="s">
        <v>46</v>
      </c>
      <c r="D808" s="130">
        <v>16</v>
      </c>
      <c r="E808" s="130" t="s">
        <v>46</v>
      </c>
      <c r="F808" s="1031">
        <v>0</v>
      </c>
      <c r="G808" s="1031">
        <v>-5700.83</v>
      </c>
      <c r="H808" s="1031">
        <v>-5700.83</v>
      </c>
      <c r="I808" s="1032" t="s">
        <v>1103</v>
      </c>
    </row>
    <row r="809" spans="1:9" x14ac:dyDescent="0.25">
      <c r="A809" s="1033"/>
      <c r="C809" s="130" t="s">
        <v>1104</v>
      </c>
      <c r="D809" s="130">
        <v>16</v>
      </c>
      <c r="E809" s="130" t="s">
        <v>1104</v>
      </c>
      <c r="F809" s="1031">
        <v>0</v>
      </c>
      <c r="G809" s="1031">
        <v>3036.58</v>
      </c>
      <c r="H809" s="1031">
        <v>3036.58</v>
      </c>
      <c r="I809" s="1032" t="s">
        <v>1105</v>
      </c>
    </row>
    <row r="810" spans="1:9" x14ac:dyDescent="0.25">
      <c r="A810" s="1033">
        <v>905618</v>
      </c>
      <c r="B810" s="129">
        <v>394</v>
      </c>
      <c r="E810" s="130"/>
    </row>
    <row r="811" spans="1:9" x14ac:dyDescent="0.25">
      <c r="A811" s="1033">
        <v>905622</v>
      </c>
      <c r="B811" s="129">
        <v>106</v>
      </c>
      <c r="E811" s="130"/>
    </row>
    <row r="812" spans="1:9" x14ac:dyDescent="0.25">
      <c r="A812" s="1033">
        <v>905624</v>
      </c>
      <c r="B812" s="129">
        <v>43295</v>
      </c>
      <c r="E812" s="130"/>
    </row>
    <row r="813" spans="1:9" x14ac:dyDescent="0.25">
      <c r="A813" s="1033">
        <v>905626</v>
      </c>
      <c r="B813" s="129">
        <v>17067</v>
      </c>
      <c r="C813" s="130" t="s">
        <v>11</v>
      </c>
      <c r="D813" s="130">
        <v>16</v>
      </c>
      <c r="E813" s="130" t="s">
        <v>11</v>
      </c>
      <c r="F813" s="1031">
        <v>0</v>
      </c>
      <c r="G813" s="1031">
        <v>-21532.83</v>
      </c>
      <c r="H813" s="1031">
        <v>-21532.83</v>
      </c>
      <c r="I813" s="1032" t="s">
        <v>1063</v>
      </c>
    </row>
    <row r="814" spans="1:9" x14ac:dyDescent="0.25">
      <c r="A814" s="1033"/>
      <c r="C814" s="130" t="s">
        <v>1064</v>
      </c>
      <c r="D814" s="130">
        <v>16</v>
      </c>
      <c r="E814" s="130" t="s">
        <v>1064</v>
      </c>
      <c r="F814" s="1031">
        <v>0</v>
      </c>
      <c r="G814" s="1031">
        <v>11722.34</v>
      </c>
      <c r="H814" s="1031">
        <v>11722.34</v>
      </c>
      <c r="I814" s="1032" t="s">
        <v>1065</v>
      </c>
    </row>
    <row r="815" spans="1:9" x14ac:dyDescent="0.25">
      <c r="A815" s="1033"/>
      <c r="C815" s="130" t="s">
        <v>17</v>
      </c>
      <c r="D815" s="130">
        <v>16</v>
      </c>
      <c r="E815" s="130" t="s">
        <v>17</v>
      </c>
      <c r="F815" s="1031">
        <v>0</v>
      </c>
      <c r="G815" s="1031">
        <v>-3507.35</v>
      </c>
      <c r="H815" s="1031">
        <v>-3507.35</v>
      </c>
      <c r="I815" s="1032" t="s">
        <v>1078</v>
      </c>
    </row>
    <row r="816" spans="1:9" x14ac:dyDescent="0.25">
      <c r="A816" s="1033"/>
      <c r="C816" s="130" t="s">
        <v>1079</v>
      </c>
      <c r="D816" s="130">
        <v>16</v>
      </c>
      <c r="E816" s="130" t="s">
        <v>1079</v>
      </c>
      <c r="F816" s="1031">
        <v>0</v>
      </c>
      <c r="G816" s="1031">
        <v>2505.09</v>
      </c>
      <c r="H816" s="1031">
        <v>2505.09</v>
      </c>
      <c r="I816" s="1032" t="s">
        <v>1080</v>
      </c>
    </row>
    <row r="817" spans="1:9" x14ac:dyDescent="0.25">
      <c r="A817" s="1033"/>
      <c r="C817" s="130" t="s">
        <v>42</v>
      </c>
      <c r="D817" s="130">
        <v>16</v>
      </c>
      <c r="E817" s="130" t="s">
        <v>42</v>
      </c>
      <c r="F817" s="1031">
        <v>0</v>
      </c>
      <c r="G817" s="1031">
        <v>-12553.68</v>
      </c>
      <c r="H817" s="1031">
        <v>-12553.68</v>
      </c>
      <c r="I817" s="1032" t="s">
        <v>1090</v>
      </c>
    </row>
    <row r="818" spans="1:9" x14ac:dyDescent="0.25">
      <c r="A818" s="1033"/>
      <c r="C818" s="130" t="s">
        <v>1091</v>
      </c>
      <c r="D818" s="130">
        <v>16</v>
      </c>
      <c r="E818" s="130" t="s">
        <v>1091</v>
      </c>
      <c r="F818" s="1031">
        <v>0</v>
      </c>
      <c r="G818" s="1031">
        <v>8964.18</v>
      </c>
      <c r="H818" s="1031">
        <v>8964.18</v>
      </c>
      <c r="I818" s="1032" t="s">
        <v>1092</v>
      </c>
    </row>
    <row r="819" spans="1:9" x14ac:dyDescent="0.25">
      <c r="A819" s="1033"/>
      <c r="C819" s="130" t="s">
        <v>46</v>
      </c>
      <c r="D819" s="130">
        <v>16</v>
      </c>
      <c r="E819" s="130" t="s">
        <v>46</v>
      </c>
      <c r="F819" s="1031">
        <v>0</v>
      </c>
      <c r="G819" s="1031">
        <v>-5700.83</v>
      </c>
      <c r="H819" s="1031">
        <v>-5700.83</v>
      </c>
      <c r="I819" s="1032" t="s">
        <v>1103</v>
      </c>
    </row>
    <row r="820" spans="1:9" x14ac:dyDescent="0.25">
      <c r="A820" s="1033"/>
      <c r="C820" s="130" t="s">
        <v>1104</v>
      </c>
      <c r="D820" s="130">
        <v>16</v>
      </c>
      <c r="E820" s="130" t="s">
        <v>1104</v>
      </c>
      <c r="F820" s="1031">
        <v>0</v>
      </c>
      <c r="G820" s="1031">
        <v>3036.58</v>
      </c>
      <c r="H820" s="1031">
        <v>3036.58</v>
      </c>
      <c r="I820" s="1032" t="s">
        <v>1105</v>
      </c>
    </row>
    <row r="821" spans="1:9" x14ac:dyDescent="0.25">
      <c r="A821" s="1033">
        <v>905628</v>
      </c>
      <c r="B821" s="129">
        <v>394</v>
      </c>
      <c r="E821" s="130"/>
    </row>
    <row r="822" spans="1:9" x14ac:dyDescent="0.25">
      <c r="A822" s="1033">
        <v>905712</v>
      </c>
      <c r="B822" s="129">
        <v>5</v>
      </c>
      <c r="E822" s="130"/>
    </row>
    <row r="823" spans="1:9" x14ac:dyDescent="0.25">
      <c r="A823" s="1033">
        <v>905714</v>
      </c>
      <c r="B823" s="129">
        <v>10371</v>
      </c>
      <c r="E823" s="130"/>
    </row>
    <row r="824" spans="1:9" x14ac:dyDescent="0.25">
      <c r="A824" s="1033">
        <v>905716</v>
      </c>
      <c r="B824" s="129">
        <v>3153</v>
      </c>
      <c r="C824" s="130" t="s">
        <v>177</v>
      </c>
      <c r="D824" s="130">
        <v>16</v>
      </c>
      <c r="E824" s="130" t="s">
        <v>177</v>
      </c>
      <c r="F824" s="1031">
        <v>0</v>
      </c>
      <c r="G824" s="1031">
        <v>-1747.4</v>
      </c>
      <c r="H824" s="1031">
        <v>-1747.4</v>
      </c>
      <c r="I824" s="1032" t="s">
        <v>1068</v>
      </c>
    </row>
    <row r="825" spans="1:9" x14ac:dyDescent="0.25">
      <c r="A825" s="1033"/>
      <c r="C825" s="130" t="s">
        <v>1069</v>
      </c>
      <c r="D825" s="130">
        <v>16</v>
      </c>
      <c r="E825" s="130" t="s">
        <v>1069</v>
      </c>
      <c r="F825" s="1031">
        <v>0</v>
      </c>
      <c r="G825" s="1031">
        <v>1061.99</v>
      </c>
      <c r="H825" s="1031">
        <v>1061.99</v>
      </c>
      <c r="I825" s="1032" t="s">
        <v>1070</v>
      </c>
    </row>
    <row r="826" spans="1:9" x14ac:dyDescent="0.25">
      <c r="A826" s="1033"/>
      <c r="C826" s="130" t="s">
        <v>181</v>
      </c>
      <c r="D826" s="130">
        <v>16</v>
      </c>
      <c r="E826" s="130" t="s">
        <v>181</v>
      </c>
      <c r="F826" s="1031">
        <v>0</v>
      </c>
      <c r="G826" s="1031">
        <v>-44.29</v>
      </c>
      <c r="H826" s="1031">
        <v>-44.29</v>
      </c>
      <c r="I826" s="1032" t="s">
        <v>1108</v>
      </c>
    </row>
    <row r="827" spans="1:9" x14ac:dyDescent="0.25">
      <c r="A827" s="1033"/>
      <c r="C827" s="130" t="s">
        <v>1109</v>
      </c>
      <c r="D827" s="130">
        <v>16</v>
      </c>
      <c r="E827" s="130" t="s">
        <v>1109</v>
      </c>
      <c r="F827" s="1031">
        <v>0</v>
      </c>
      <c r="G827" s="1031">
        <v>26.59</v>
      </c>
      <c r="H827" s="1031">
        <v>26.59</v>
      </c>
      <c r="I827" s="1032" t="s">
        <v>1110</v>
      </c>
    </row>
    <row r="828" spans="1:9" x14ac:dyDescent="0.25">
      <c r="A828" s="1033"/>
      <c r="C828" s="130" t="s">
        <v>180</v>
      </c>
      <c r="D828" s="130">
        <v>16</v>
      </c>
      <c r="E828" s="130" t="s">
        <v>180</v>
      </c>
      <c r="F828" s="1031">
        <v>0</v>
      </c>
      <c r="G828" s="1031">
        <v>-8580.3700000000008</v>
      </c>
      <c r="H828" s="1031">
        <v>-8580.3700000000008</v>
      </c>
      <c r="I828" s="1032" t="s">
        <v>1093</v>
      </c>
    </row>
    <row r="829" spans="1:9" x14ac:dyDescent="0.25">
      <c r="A829" s="1033"/>
      <c r="C829" s="130" t="s">
        <v>1094</v>
      </c>
      <c r="D829" s="130">
        <v>16</v>
      </c>
      <c r="E829" s="130" t="s">
        <v>1094</v>
      </c>
      <c r="F829" s="1031">
        <v>0</v>
      </c>
      <c r="G829" s="1031">
        <v>6128.62</v>
      </c>
      <c r="H829" s="1031">
        <v>6128.62</v>
      </c>
      <c r="I829" s="1032" t="s">
        <v>1095</v>
      </c>
    </row>
    <row r="830" spans="1:9" x14ac:dyDescent="0.25">
      <c r="A830" s="1033">
        <v>905718</v>
      </c>
      <c r="B830" s="129">
        <v>304</v>
      </c>
      <c r="E830" s="130"/>
    </row>
    <row r="831" spans="1:9" x14ac:dyDescent="0.25">
      <c r="A831" s="1033">
        <v>905722</v>
      </c>
      <c r="B831" s="129">
        <v>5</v>
      </c>
      <c r="E831" s="130"/>
    </row>
    <row r="832" spans="1:9" x14ac:dyDescent="0.25">
      <c r="A832" s="1033">
        <v>905724</v>
      </c>
      <c r="B832" s="129">
        <v>10371</v>
      </c>
      <c r="E832" s="130"/>
    </row>
    <row r="833" spans="1:9" x14ac:dyDescent="0.25">
      <c r="A833" s="1033">
        <v>905726</v>
      </c>
      <c r="B833" s="129">
        <v>3153</v>
      </c>
      <c r="C833" s="130" t="s">
        <v>177</v>
      </c>
      <c r="D833" s="130">
        <v>16</v>
      </c>
      <c r="E833" s="130" t="s">
        <v>177</v>
      </c>
      <c r="F833" s="1031">
        <v>0</v>
      </c>
      <c r="G833" s="1031">
        <v>-1747.4</v>
      </c>
      <c r="H833" s="1031">
        <v>-1747.4</v>
      </c>
      <c r="I833" s="1032" t="s">
        <v>1068</v>
      </c>
    </row>
    <row r="834" spans="1:9" x14ac:dyDescent="0.25">
      <c r="A834" s="1033"/>
      <c r="C834" s="130" t="s">
        <v>1069</v>
      </c>
      <c r="D834" s="130">
        <v>16</v>
      </c>
      <c r="E834" s="130" t="s">
        <v>1069</v>
      </c>
      <c r="F834" s="1031">
        <v>0</v>
      </c>
      <c r="G834" s="1031">
        <v>1061.99</v>
      </c>
      <c r="H834" s="1031">
        <v>1061.99</v>
      </c>
      <c r="I834" s="1032" t="s">
        <v>1070</v>
      </c>
    </row>
    <row r="835" spans="1:9" x14ac:dyDescent="0.25">
      <c r="A835" s="1033"/>
      <c r="C835" s="130" t="s">
        <v>181</v>
      </c>
      <c r="D835" s="130">
        <v>16</v>
      </c>
      <c r="E835" s="130" t="s">
        <v>181</v>
      </c>
      <c r="F835" s="1031">
        <v>0</v>
      </c>
      <c r="G835" s="1031">
        <v>-44.29</v>
      </c>
      <c r="H835" s="1031">
        <v>-44.29</v>
      </c>
      <c r="I835" s="1032" t="s">
        <v>1108</v>
      </c>
    </row>
    <row r="836" spans="1:9" x14ac:dyDescent="0.25">
      <c r="A836" s="1033"/>
      <c r="C836" s="130" t="s">
        <v>1109</v>
      </c>
      <c r="D836" s="130">
        <v>16</v>
      </c>
      <c r="E836" s="130" t="s">
        <v>1109</v>
      </c>
      <c r="F836" s="1031">
        <v>0</v>
      </c>
      <c r="G836" s="1031">
        <v>26.59</v>
      </c>
      <c r="H836" s="1031">
        <v>26.59</v>
      </c>
      <c r="I836" s="1032" t="s">
        <v>1110</v>
      </c>
    </row>
    <row r="837" spans="1:9" x14ac:dyDescent="0.25">
      <c r="A837" s="1033"/>
      <c r="C837" s="130" t="s">
        <v>180</v>
      </c>
      <c r="D837" s="130">
        <v>16</v>
      </c>
      <c r="E837" s="130" t="s">
        <v>180</v>
      </c>
      <c r="F837" s="1031">
        <v>0</v>
      </c>
      <c r="G837" s="1031">
        <v>-8580.3700000000008</v>
      </c>
      <c r="H837" s="1031">
        <v>-8580.3700000000008</v>
      </c>
      <c r="I837" s="1032" t="s">
        <v>1093</v>
      </c>
    </row>
    <row r="838" spans="1:9" x14ac:dyDescent="0.25">
      <c r="A838" s="1033"/>
      <c r="C838" s="130" t="s">
        <v>1094</v>
      </c>
      <c r="D838" s="130">
        <v>16</v>
      </c>
      <c r="E838" s="130" t="s">
        <v>1094</v>
      </c>
      <c r="F838" s="1031">
        <v>0</v>
      </c>
      <c r="G838" s="1031">
        <v>6128.62</v>
      </c>
      <c r="H838" s="1031">
        <v>6128.62</v>
      </c>
      <c r="I838" s="1032" t="s">
        <v>1095</v>
      </c>
    </row>
    <row r="839" spans="1:9" x14ac:dyDescent="0.25">
      <c r="A839" s="1033">
        <v>905728</v>
      </c>
      <c r="B839" s="129">
        <v>304</v>
      </c>
      <c r="E839" s="130"/>
    </row>
    <row r="840" spans="1:9" x14ac:dyDescent="0.25">
      <c r="A840" s="1033">
        <v>905812</v>
      </c>
      <c r="B840" s="129">
        <v>0</v>
      </c>
      <c r="E840" s="130"/>
    </row>
    <row r="841" spans="1:9" x14ac:dyDescent="0.25">
      <c r="A841" s="1033">
        <v>905814</v>
      </c>
      <c r="B841" s="129">
        <v>0</v>
      </c>
      <c r="E841" s="130"/>
    </row>
    <row r="842" spans="1:9" x14ac:dyDescent="0.25">
      <c r="A842" s="1033">
        <v>905816</v>
      </c>
      <c r="B842" s="129">
        <v>0</v>
      </c>
      <c r="E842" s="130"/>
    </row>
    <row r="843" spans="1:9" x14ac:dyDescent="0.25">
      <c r="A843" s="1033">
        <v>905818</v>
      </c>
      <c r="B843" s="129">
        <v>0</v>
      </c>
      <c r="E843" s="130"/>
    </row>
    <row r="844" spans="1:9" x14ac:dyDescent="0.25">
      <c r="A844" s="1033">
        <v>905822</v>
      </c>
      <c r="B844" s="129">
        <v>0</v>
      </c>
      <c r="E844" s="130"/>
    </row>
    <row r="845" spans="1:9" x14ac:dyDescent="0.25">
      <c r="A845" s="1033">
        <v>905824</v>
      </c>
      <c r="B845" s="129">
        <v>0</v>
      </c>
      <c r="E845" s="130"/>
    </row>
    <row r="846" spans="1:9" x14ac:dyDescent="0.25">
      <c r="A846" s="1033">
        <v>905826</v>
      </c>
      <c r="B846" s="129">
        <v>0</v>
      </c>
      <c r="E846" s="130"/>
    </row>
    <row r="847" spans="1:9" x14ac:dyDescent="0.25">
      <c r="A847" s="1033">
        <v>905828</v>
      </c>
      <c r="B847" s="129">
        <v>0</v>
      </c>
      <c r="E847" s="130"/>
    </row>
    <row r="848" spans="1:9" x14ac:dyDescent="0.25">
      <c r="A848" s="1033">
        <v>905912</v>
      </c>
      <c r="B848" s="129">
        <v>0</v>
      </c>
      <c r="E848" s="130"/>
    </row>
    <row r="849" spans="1:5" x14ac:dyDescent="0.25">
      <c r="A849" s="1033">
        <v>905914</v>
      </c>
      <c r="B849" s="129">
        <v>0</v>
      </c>
      <c r="E849" s="130"/>
    </row>
    <row r="850" spans="1:5" x14ac:dyDescent="0.25">
      <c r="A850" s="1033">
        <v>905916</v>
      </c>
      <c r="B850" s="129">
        <v>0</v>
      </c>
      <c r="E850" s="130"/>
    </row>
    <row r="851" spans="1:5" x14ac:dyDescent="0.25">
      <c r="A851" s="1033">
        <v>905918</v>
      </c>
      <c r="B851" s="129">
        <v>0</v>
      </c>
      <c r="E851" s="130"/>
    </row>
    <row r="852" spans="1:5" x14ac:dyDescent="0.25">
      <c r="A852" s="1033">
        <v>905922</v>
      </c>
      <c r="B852" s="129">
        <v>0</v>
      </c>
      <c r="E852" s="130"/>
    </row>
    <row r="853" spans="1:5" x14ac:dyDescent="0.25">
      <c r="A853" s="1033">
        <v>905924</v>
      </c>
      <c r="B853" s="129">
        <v>0</v>
      </c>
      <c r="E853" s="130"/>
    </row>
    <row r="854" spans="1:5" x14ac:dyDescent="0.25">
      <c r="A854" s="1033">
        <v>905926</v>
      </c>
      <c r="B854" s="129">
        <v>0</v>
      </c>
      <c r="E854" s="130"/>
    </row>
    <row r="855" spans="1:5" x14ac:dyDescent="0.25">
      <c r="A855" s="1033">
        <v>905928</v>
      </c>
      <c r="B855" s="129">
        <v>0</v>
      </c>
      <c r="E855" s="130"/>
    </row>
    <row r="856" spans="1:5" x14ac:dyDescent="0.25">
      <c r="A856" s="1033">
        <v>906012</v>
      </c>
      <c r="E856" s="130"/>
    </row>
    <row r="857" spans="1:5" x14ac:dyDescent="0.25">
      <c r="A857" s="1033">
        <v>906014</v>
      </c>
      <c r="E857" s="130"/>
    </row>
    <row r="858" spans="1:5" x14ac:dyDescent="0.25">
      <c r="A858" s="1033">
        <v>906016</v>
      </c>
      <c r="E858" s="130"/>
    </row>
    <row r="859" spans="1:5" x14ac:dyDescent="0.25">
      <c r="A859" s="1033">
        <v>906018</v>
      </c>
      <c r="E859" s="130"/>
    </row>
    <row r="860" spans="1:5" x14ac:dyDescent="0.25">
      <c r="A860" s="1033">
        <v>906022</v>
      </c>
      <c r="E860" s="130"/>
    </row>
    <row r="861" spans="1:5" x14ac:dyDescent="0.25">
      <c r="A861" s="1033">
        <v>906024</v>
      </c>
      <c r="E861" s="130"/>
    </row>
    <row r="862" spans="1:5" x14ac:dyDescent="0.25">
      <c r="A862" s="1033">
        <v>906026</v>
      </c>
      <c r="E862" s="130"/>
    </row>
    <row r="863" spans="1:5" x14ac:dyDescent="0.25">
      <c r="A863" s="1033">
        <v>906028</v>
      </c>
      <c r="E863" s="130"/>
    </row>
    <row r="864" spans="1:5" x14ac:dyDescent="0.25">
      <c r="A864" s="1033">
        <v>906112</v>
      </c>
      <c r="B864" s="129">
        <v>0</v>
      </c>
      <c r="E864" s="130"/>
    </row>
    <row r="865" spans="1:5" x14ac:dyDescent="0.25">
      <c r="A865" s="1033">
        <v>906114</v>
      </c>
      <c r="B865" s="129">
        <v>0</v>
      </c>
      <c r="E865" s="130"/>
    </row>
    <row r="866" spans="1:5" x14ac:dyDescent="0.25">
      <c r="A866" s="1033">
        <v>906116</v>
      </c>
      <c r="B866" s="129">
        <v>0</v>
      </c>
      <c r="E866" s="130"/>
    </row>
    <row r="867" spans="1:5" x14ac:dyDescent="0.25">
      <c r="A867" s="1033">
        <v>906118</v>
      </c>
      <c r="B867" s="129">
        <v>0</v>
      </c>
      <c r="E867" s="130"/>
    </row>
    <row r="868" spans="1:5" x14ac:dyDescent="0.25">
      <c r="A868" s="1033">
        <v>906122</v>
      </c>
      <c r="B868" s="129">
        <v>0</v>
      </c>
      <c r="E868" s="130"/>
    </row>
    <row r="869" spans="1:5" x14ac:dyDescent="0.25">
      <c r="A869" s="1033">
        <v>906124</v>
      </c>
      <c r="B869" s="129">
        <v>0</v>
      </c>
      <c r="E869" s="130"/>
    </row>
    <row r="870" spans="1:5" x14ac:dyDescent="0.25">
      <c r="A870" s="1033">
        <v>906126</v>
      </c>
      <c r="B870" s="129">
        <v>0</v>
      </c>
      <c r="E870" s="130"/>
    </row>
    <row r="871" spans="1:5" x14ac:dyDescent="0.25">
      <c r="A871" s="1033">
        <v>906128</v>
      </c>
      <c r="B871" s="129">
        <v>0</v>
      </c>
      <c r="E871" s="130"/>
    </row>
    <row r="872" spans="1:5" x14ac:dyDescent="0.25">
      <c r="A872" s="1033">
        <v>906212</v>
      </c>
      <c r="B872" s="129">
        <v>0</v>
      </c>
      <c r="E872" s="130"/>
    </row>
    <row r="873" spans="1:5" x14ac:dyDescent="0.25">
      <c r="A873" s="1033">
        <v>906214</v>
      </c>
      <c r="B873" s="129">
        <v>0</v>
      </c>
      <c r="E873" s="130"/>
    </row>
    <row r="874" spans="1:5" x14ac:dyDescent="0.25">
      <c r="A874" s="1033">
        <v>906216</v>
      </c>
      <c r="B874" s="129">
        <v>0</v>
      </c>
      <c r="E874" s="130"/>
    </row>
    <row r="875" spans="1:5" x14ac:dyDescent="0.25">
      <c r="A875" s="1033">
        <v>906218</v>
      </c>
      <c r="B875" s="129">
        <v>0</v>
      </c>
      <c r="E875" s="130"/>
    </row>
    <row r="876" spans="1:5" x14ac:dyDescent="0.25">
      <c r="A876" s="1033">
        <v>906222</v>
      </c>
      <c r="B876" s="129">
        <v>0</v>
      </c>
      <c r="E876" s="130"/>
    </row>
    <row r="877" spans="1:5" x14ac:dyDescent="0.25">
      <c r="A877" s="1033">
        <v>906224</v>
      </c>
      <c r="B877" s="129">
        <v>0</v>
      </c>
      <c r="E877" s="130"/>
    </row>
    <row r="878" spans="1:5" x14ac:dyDescent="0.25">
      <c r="A878" s="1033">
        <v>906226</v>
      </c>
      <c r="B878" s="129">
        <v>0</v>
      </c>
      <c r="E878" s="130"/>
    </row>
    <row r="879" spans="1:5" x14ac:dyDescent="0.25">
      <c r="A879" s="1033">
        <v>906228</v>
      </c>
      <c r="B879" s="129">
        <v>0</v>
      </c>
      <c r="E879" s="130"/>
    </row>
    <row r="880" spans="1:5" x14ac:dyDescent="0.25">
      <c r="A880" s="1033">
        <v>906312</v>
      </c>
      <c r="E880" s="130"/>
    </row>
    <row r="881" spans="1:5" x14ac:dyDescent="0.25">
      <c r="A881" s="1033">
        <v>906314</v>
      </c>
      <c r="E881" s="130"/>
    </row>
    <row r="882" spans="1:5" x14ac:dyDescent="0.25">
      <c r="A882" s="1033">
        <v>906316</v>
      </c>
      <c r="B882" s="129">
        <v>0</v>
      </c>
      <c r="E882" s="130"/>
    </row>
    <row r="883" spans="1:5" x14ac:dyDescent="0.25">
      <c r="A883" s="1033">
        <v>906318</v>
      </c>
      <c r="E883" s="130"/>
    </row>
    <row r="884" spans="1:5" x14ac:dyDescent="0.25">
      <c r="A884" s="1033">
        <v>906322</v>
      </c>
      <c r="E884" s="130"/>
    </row>
    <row r="885" spans="1:5" x14ac:dyDescent="0.25">
      <c r="A885" s="1033">
        <v>906324</v>
      </c>
      <c r="E885" s="130"/>
    </row>
    <row r="886" spans="1:5" x14ac:dyDescent="0.25">
      <c r="A886" s="1033">
        <v>906326</v>
      </c>
      <c r="B886" s="129">
        <v>0</v>
      </c>
      <c r="E886" s="130"/>
    </row>
    <row r="887" spans="1:5" x14ac:dyDescent="0.25">
      <c r="A887" s="1033">
        <v>906328</v>
      </c>
      <c r="E887" s="130"/>
    </row>
    <row r="888" spans="1:5" x14ac:dyDescent="0.25">
      <c r="A888" s="1033">
        <v>906412</v>
      </c>
      <c r="E888" s="130"/>
    </row>
    <row r="889" spans="1:5" x14ac:dyDescent="0.25">
      <c r="A889" s="1033">
        <v>906414</v>
      </c>
      <c r="B889" s="129">
        <v>0</v>
      </c>
      <c r="E889" s="130"/>
    </row>
    <row r="890" spans="1:5" x14ac:dyDescent="0.25">
      <c r="A890" s="1033">
        <v>906416</v>
      </c>
      <c r="B890" s="129">
        <v>0</v>
      </c>
      <c r="E890" s="130"/>
    </row>
    <row r="891" spans="1:5" x14ac:dyDescent="0.25">
      <c r="A891" s="1033">
        <v>906418</v>
      </c>
      <c r="B891" s="129">
        <v>0</v>
      </c>
      <c r="E891" s="130"/>
    </row>
    <row r="892" spans="1:5" x14ac:dyDescent="0.25">
      <c r="A892" s="1033">
        <v>906422</v>
      </c>
      <c r="E892" s="130"/>
    </row>
    <row r="893" spans="1:5" x14ac:dyDescent="0.25">
      <c r="A893" s="1033">
        <v>906424</v>
      </c>
      <c r="B893" s="129">
        <v>0</v>
      </c>
      <c r="E893" s="130"/>
    </row>
    <row r="894" spans="1:5" x14ac:dyDescent="0.25">
      <c r="A894" s="1033">
        <v>906426</v>
      </c>
      <c r="B894" s="129">
        <v>0</v>
      </c>
      <c r="E894" s="130"/>
    </row>
    <row r="895" spans="1:5" x14ac:dyDescent="0.25">
      <c r="A895" s="1033">
        <v>906428</v>
      </c>
      <c r="B895" s="129">
        <v>0</v>
      </c>
      <c r="E895" s="130"/>
    </row>
    <row r="896" spans="1:5" x14ac:dyDescent="0.25">
      <c r="A896" s="1033">
        <v>906512</v>
      </c>
      <c r="E896" s="130"/>
    </row>
    <row r="897" spans="1:9" x14ac:dyDescent="0.25">
      <c r="A897" s="1033">
        <v>906514</v>
      </c>
      <c r="B897" s="129">
        <v>0</v>
      </c>
      <c r="E897" s="130"/>
    </row>
    <row r="898" spans="1:9" x14ac:dyDescent="0.25">
      <c r="A898" s="1033">
        <v>906516</v>
      </c>
      <c r="B898" s="129">
        <v>0</v>
      </c>
      <c r="E898" s="130"/>
    </row>
    <row r="899" spans="1:9" x14ac:dyDescent="0.25">
      <c r="A899" s="1033">
        <v>906518</v>
      </c>
      <c r="B899" s="129">
        <v>0</v>
      </c>
      <c r="E899" s="130"/>
    </row>
    <row r="900" spans="1:9" x14ac:dyDescent="0.25">
      <c r="A900" s="1033">
        <v>906522</v>
      </c>
      <c r="E900" s="130"/>
    </row>
    <row r="901" spans="1:9" x14ac:dyDescent="0.25">
      <c r="A901" s="1033">
        <v>906524</v>
      </c>
      <c r="B901" s="129">
        <v>0</v>
      </c>
      <c r="E901" s="130"/>
    </row>
    <row r="902" spans="1:9" x14ac:dyDescent="0.25">
      <c r="A902" s="1033">
        <v>906526</v>
      </c>
      <c r="B902" s="129">
        <v>0</v>
      </c>
      <c r="E902" s="130"/>
    </row>
    <row r="903" spans="1:9" x14ac:dyDescent="0.25">
      <c r="A903" s="1033">
        <v>906528</v>
      </c>
      <c r="B903" s="129">
        <v>0</v>
      </c>
      <c r="E903" s="130"/>
    </row>
    <row r="904" spans="1:9" x14ac:dyDescent="0.25">
      <c r="A904" s="1033">
        <v>906612</v>
      </c>
      <c r="B904" s="129">
        <v>0</v>
      </c>
      <c r="E904" s="130"/>
    </row>
    <row r="905" spans="1:9" x14ac:dyDescent="0.25">
      <c r="A905" s="1033">
        <v>906614</v>
      </c>
      <c r="B905" s="129">
        <v>0</v>
      </c>
      <c r="E905" s="130"/>
    </row>
    <row r="906" spans="1:9" x14ac:dyDescent="0.25">
      <c r="A906" s="1033">
        <v>906616</v>
      </c>
      <c r="B906" s="129">
        <v>0</v>
      </c>
      <c r="E906" s="130"/>
    </row>
    <row r="907" spans="1:9" x14ac:dyDescent="0.25">
      <c r="A907" s="1033">
        <v>906618</v>
      </c>
      <c r="B907" s="129">
        <v>0</v>
      </c>
      <c r="E907" s="130"/>
    </row>
    <row r="908" spans="1:9" x14ac:dyDescent="0.25">
      <c r="A908" s="1033">
        <v>906622</v>
      </c>
      <c r="B908" s="129">
        <v>0</v>
      </c>
      <c r="E908" s="130"/>
    </row>
    <row r="909" spans="1:9" x14ac:dyDescent="0.25">
      <c r="A909" s="1033">
        <v>906624</v>
      </c>
      <c r="B909" s="129">
        <v>0</v>
      </c>
      <c r="E909" s="130"/>
    </row>
    <row r="910" spans="1:9" x14ac:dyDescent="0.25">
      <c r="A910" s="1033">
        <v>906626</v>
      </c>
      <c r="B910" s="129">
        <v>0</v>
      </c>
      <c r="E910" s="130"/>
    </row>
    <row r="911" spans="1:9" x14ac:dyDescent="0.25">
      <c r="A911" s="1033">
        <v>906628</v>
      </c>
      <c r="B911" s="129">
        <v>0</v>
      </c>
      <c r="E911" s="130"/>
    </row>
    <row r="912" spans="1:9" x14ac:dyDescent="0.25">
      <c r="A912" s="1033">
        <v>800112</v>
      </c>
      <c r="B912" s="129">
        <v>47</v>
      </c>
      <c r="C912" s="130" t="s">
        <v>1151</v>
      </c>
      <c r="D912" s="130">
        <v>16</v>
      </c>
      <c r="E912" s="130" t="s">
        <v>1151</v>
      </c>
      <c r="F912" s="1031">
        <v>0</v>
      </c>
      <c r="G912" s="1031">
        <v>-0.47</v>
      </c>
      <c r="H912" s="1031">
        <v>-0.47</v>
      </c>
      <c r="I912" s="1032" t="s">
        <v>1152</v>
      </c>
    </row>
    <row r="913" spans="1:9" x14ac:dyDescent="0.25">
      <c r="A913" s="1033">
        <v>800114</v>
      </c>
      <c r="B913" s="129">
        <v>19603</v>
      </c>
      <c r="C913" s="130" t="s">
        <v>113</v>
      </c>
      <c r="D913" s="130">
        <v>16</v>
      </c>
      <c r="E913" s="130" t="s">
        <v>113</v>
      </c>
      <c r="F913" s="1031">
        <v>0</v>
      </c>
      <c r="G913" s="1031">
        <v>-19603.05</v>
      </c>
      <c r="H913" s="1031">
        <v>-19603.05</v>
      </c>
      <c r="I913" s="1032" t="s">
        <v>1153</v>
      </c>
    </row>
    <row r="914" spans="1:9" x14ac:dyDescent="0.25">
      <c r="A914" s="1033">
        <v>800116</v>
      </c>
      <c r="B914" s="129">
        <v>15712</v>
      </c>
      <c r="C914" s="130" t="s">
        <v>113</v>
      </c>
      <c r="D914" s="130">
        <v>16</v>
      </c>
      <c r="E914" s="130" t="s">
        <v>113</v>
      </c>
      <c r="F914" s="1031">
        <v>0</v>
      </c>
      <c r="G914" s="1031">
        <v>-19603.05</v>
      </c>
      <c r="H914" s="1031">
        <v>-19603.05</v>
      </c>
      <c r="I914" s="1032" t="s">
        <v>1153</v>
      </c>
    </row>
    <row r="915" spans="1:9" x14ac:dyDescent="0.25">
      <c r="A915" s="1033"/>
      <c r="C915" s="130" t="s">
        <v>1154</v>
      </c>
      <c r="D915" s="130">
        <v>16</v>
      </c>
      <c r="E915" s="130" t="s">
        <v>1154</v>
      </c>
      <c r="F915" s="1031">
        <v>0</v>
      </c>
      <c r="G915" s="1031">
        <v>3891.38</v>
      </c>
      <c r="H915" s="1031">
        <v>3891.38</v>
      </c>
      <c r="I915" s="1032" t="s">
        <v>1155</v>
      </c>
    </row>
    <row r="916" spans="1:9" x14ac:dyDescent="0.25">
      <c r="A916" s="1033">
        <v>800118</v>
      </c>
      <c r="B916" s="129">
        <v>802</v>
      </c>
      <c r="E916" s="130"/>
    </row>
    <row r="917" spans="1:9" x14ac:dyDescent="0.25">
      <c r="A917" s="1033">
        <v>800122</v>
      </c>
      <c r="B917" s="129">
        <v>47</v>
      </c>
      <c r="C917" s="130" t="s">
        <v>1151</v>
      </c>
      <c r="D917" s="130">
        <v>16</v>
      </c>
      <c r="E917" s="130" t="s">
        <v>1151</v>
      </c>
      <c r="F917" s="1031">
        <v>0</v>
      </c>
      <c r="G917" s="1031">
        <v>-0.47</v>
      </c>
      <c r="H917" s="1031">
        <v>-0.47</v>
      </c>
      <c r="I917" s="1032" t="s">
        <v>1152</v>
      </c>
    </row>
    <row r="918" spans="1:9" x14ac:dyDescent="0.25">
      <c r="A918" s="1033">
        <v>800124</v>
      </c>
      <c r="B918" s="129">
        <v>19603</v>
      </c>
      <c r="C918" s="130" t="s">
        <v>113</v>
      </c>
      <c r="D918" s="130">
        <v>16</v>
      </c>
      <c r="E918" s="130" t="s">
        <v>113</v>
      </c>
      <c r="F918" s="1031">
        <v>0</v>
      </c>
      <c r="G918" s="1031">
        <v>-19603.05</v>
      </c>
      <c r="H918" s="1031">
        <v>-19603.05</v>
      </c>
      <c r="I918" s="1032" t="s">
        <v>1153</v>
      </c>
    </row>
    <row r="919" spans="1:9" x14ac:dyDescent="0.25">
      <c r="A919" s="1033">
        <v>800126</v>
      </c>
      <c r="B919" s="129">
        <v>15712</v>
      </c>
      <c r="C919" s="130" t="s">
        <v>113</v>
      </c>
      <c r="D919" s="130">
        <v>16</v>
      </c>
      <c r="E919" s="130" t="s">
        <v>113</v>
      </c>
      <c r="F919" s="1031">
        <v>0</v>
      </c>
      <c r="G919" s="1031">
        <v>-19603.05</v>
      </c>
      <c r="H919" s="1031">
        <v>-19603.05</v>
      </c>
      <c r="I919" s="1032" t="s">
        <v>1153</v>
      </c>
    </row>
    <row r="920" spans="1:9" x14ac:dyDescent="0.25">
      <c r="A920" s="1033"/>
      <c r="C920" s="130" t="s">
        <v>1154</v>
      </c>
      <c r="D920" s="130">
        <v>16</v>
      </c>
      <c r="E920" s="130" t="s">
        <v>1154</v>
      </c>
      <c r="F920" s="1031">
        <v>0</v>
      </c>
      <c r="G920" s="1031">
        <v>3891.38</v>
      </c>
      <c r="H920" s="1031">
        <v>3891.38</v>
      </c>
      <c r="I920" s="1032" t="s">
        <v>1155</v>
      </c>
    </row>
    <row r="921" spans="1:9" x14ac:dyDescent="0.25">
      <c r="A921" s="1033">
        <v>800128</v>
      </c>
      <c r="B921" s="129">
        <v>802</v>
      </c>
      <c r="E921" s="130"/>
    </row>
    <row r="922" spans="1:9" x14ac:dyDescent="0.25">
      <c r="A922" s="1033">
        <v>800212</v>
      </c>
      <c r="B922" s="129">
        <v>54</v>
      </c>
      <c r="C922" s="130" t="s">
        <v>1156</v>
      </c>
      <c r="D922" s="130">
        <v>16</v>
      </c>
      <c r="E922" s="130" t="s">
        <v>1156</v>
      </c>
      <c r="F922" s="1031">
        <v>0</v>
      </c>
      <c r="G922" s="1031">
        <v>-0.54</v>
      </c>
      <c r="H922" s="1031">
        <v>-0.54</v>
      </c>
      <c r="I922" s="1032" t="s">
        <v>1157</v>
      </c>
    </row>
    <row r="923" spans="1:9" x14ac:dyDescent="0.25">
      <c r="A923" s="1033">
        <v>800214</v>
      </c>
      <c r="B923" s="129">
        <v>20518</v>
      </c>
      <c r="C923" s="130" t="s">
        <v>114</v>
      </c>
      <c r="D923" s="130">
        <v>16</v>
      </c>
      <c r="E923" s="130" t="s">
        <v>114</v>
      </c>
      <c r="F923" s="1031">
        <v>0</v>
      </c>
      <c r="G923" s="1031">
        <v>-20517.75</v>
      </c>
      <c r="H923" s="1031">
        <v>-20517.75</v>
      </c>
      <c r="I923" s="1032" t="s">
        <v>1158</v>
      </c>
    </row>
    <row r="924" spans="1:9" x14ac:dyDescent="0.25">
      <c r="A924" s="1033">
        <v>800216</v>
      </c>
      <c r="B924" s="129">
        <v>16474</v>
      </c>
      <c r="C924" s="130" t="s">
        <v>114</v>
      </c>
      <c r="D924" s="130">
        <v>16</v>
      </c>
      <c r="E924" s="130" t="s">
        <v>114</v>
      </c>
      <c r="F924" s="1031">
        <v>0</v>
      </c>
      <c r="G924" s="1031">
        <v>-20517.75</v>
      </c>
      <c r="H924" s="1031">
        <v>-20517.75</v>
      </c>
      <c r="I924" s="1032" t="s">
        <v>1158</v>
      </c>
    </row>
    <row r="925" spans="1:9" x14ac:dyDescent="0.25">
      <c r="A925" s="1033"/>
      <c r="C925" s="130" t="s">
        <v>1159</v>
      </c>
      <c r="D925" s="130">
        <v>16</v>
      </c>
      <c r="E925" s="130" t="s">
        <v>1159</v>
      </c>
      <c r="F925" s="1031">
        <v>0</v>
      </c>
      <c r="G925" s="1031">
        <v>4044.13</v>
      </c>
      <c r="H925" s="1031">
        <v>4044.13</v>
      </c>
      <c r="I925" s="1032" t="s">
        <v>1160</v>
      </c>
    </row>
    <row r="926" spans="1:9" x14ac:dyDescent="0.25">
      <c r="A926" s="1033">
        <v>800218</v>
      </c>
      <c r="B926" s="129">
        <v>803</v>
      </c>
      <c r="E926" s="130"/>
    </row>
    <row r="927" spans="1:9" x14ac:dyDescent="0.25">
      <c r="A927" s="1033">
        <v>800222</v>
      </c>
      <c r="B927" s="129">
        <v>54</v>
      </c>
      <c r="C927" s="130" t="s">
        <v>1156</v>
      </c>
      <c r="D927" s="130">
        <v>16</v>
      </c>
      <c r="E927" s="130" t="s">
        <v>1156</v>
      </c>
      <c r="F927" s="1031">
        <v>0</v>
      </c>
      <c r="G927" s="1031">
        <v>-0.54</v>
      </c>
      <c r="H927" s="1031">
        <v>-0.54</v>
      </c>
      <c r="I927" s="1032" t="s">
        <v>1157</v>
      </c>
    </row>
    <row r="928" spans="1:9" x14ac:dyDescent="0.25">
      <c r="A928" s="1033">
        <v>800224</v>
      </c>
      <c r="B928" s="129">
        <v>20518</v>
      </c>
      <c r="C928" s="130" t="s">
        <v>114</v>
      </c>
      <c r="D928" s="130">
        <v>16</v>
      </c>
      <c r="E928" s="130" t="s">
        <v>114</v>
      </c>
      <c r="F928" s="1031">
        <v>0</v>
      </c>
      <c r="G928" s="1031">
        <v>-20517.75</v>
      </c>
      <c r="H928" s="1031">
        <v>-20517.75</v>
      </c>
      <c r="I928" s="1032" t="s">
        <v>1158</v>
      </c>
    </row>
    <row r="929" spans="1:9" x14ac:dyDescent="0.25">
      <c r="A929" s="1033">
        <v>800226</v>
      </c>
      <c r="B929" s="129">
        <v>16474</v>
      </c>
      <c r="C929" s="130" t="s">
        <v>114</v>
      </c>
      <c r="D929" s="130">
        <v>16</v>
      </c>
      <c r="E929" s="130" t="s">
        <v>114</v>
      </c>
      <c r="F929" s="1031">
        <v>0</v>
      </c>
      <c r="G929" s="1031">
        <v>-20517.75</v>
      </c>
      <c r="H929" s="1031">
        <v>-20517.75</v>
      </c>
      <c r="I929" s="1032" t="s">
        <v>1158</v>
      </c>
    </row>
    <row r="930" spans="1:9" x14ac:dyDescent="0.25">
      <c r="A930" s="1033"/>
      <c r="C930" s="130" t="s">
        <v>1159</v>
      </c>
      <c r="D930" s="130">
        <v>16</v>
      </c>
      <c r="E930" s="130" t="s">
        <v>1159</v>
      </c>
      <c r="F930" s="1031">
        <v>0</v>
      </c>
      <c r="G930" s="1031">
        <v>4044.13</v>
      </c>
      <c r="H930" s="1031">
        <v>4044.13</v>
      </c>
      <c r="I930" s="1032" t="s">
        <v>1160</v>
      </c>
    </row>
    <row r="931" spans="1:9" x14ac:dyDescent="0.25">
      <c r="A931" s="1033">
        <v>800228</v>
      </c>
      <c r="B931" s="129">
        <v>803</v>
      </c>
      <c r="E931" s="130"/>
    </row>
    <row r="932" spans="1:9" x14ac:dyDescent="0.25">
      <c r="A932" s="1033">
        <v>800312</v>
      </c>
      <c r="B932" s="129">
        <v>6</v>
      </c>
      <c r="C932" s="130" t="s">
        <v>1161</v>
      </c>
      <c r="D932" s="130">
        <v>16</v>
      </c>
      <c r="E932" s="130" t="s">
        <v>1161</v>
      </c>
      <c r="F932" s="1031">
        <v>0</v>
      </c>
      <c r="G932" s="1031">
        <v>-0.06</v>
      </c>
      <c r="H932" s="1031">
        <v>-0.06</v>
      </c>
      <c r="I932" s="1032" t="s">
        <v>1162</v>
      </c>
    </row>
    <row r="933" spans="1:9" x14ac:dyDescent="0.25">
      <c r="A933" s="1033">
        <v>800314</v>
      </c>
      <c r="B933" s="129">
        <v>1784</v>
      </c>
      <c r="C933" s="130" t="s">
        <v>171</v>
      </c>
      <c r="D933" s="130">
        <v>16</v>
      </c>
      <c r="E933" s="130" t="s">
        <v>171</v>
      </c>
      <c r="F933" s="1031">
        <v>0</v>
      </c>
      <c r="G933" s="1031">
        <v>-1783.61</v>
      </c>
      <c r="H933" s="1031">
        <v>-1783.61</v>
      </c>
      <c r="I933" s="1032" t="s">
        <v>1163</v>
      </c>
    </row>
    <row r="934" spans="1:9" x14ac:dyDescent="0.25">
      <c r="A934" s="1033">
        <v>800316</v>
      </c>
      <c r="B934" s="129">
        <v>1514</v>
      </c>
      <c r="C934" s="130" t="s">
        <v>171</v>
      </c>
      <c r="D934" s="130">
        <v>16</v>
      </c>
      <c r="E934" s="130" t="s">
        <v>171</v>
      </c>
      <c r="F934" s="1031">
        <v>0</v>
      </c>
      <c r="G934" s="1031">
        <v>-1783.61</v>
      </c>
      <c r="H934" s="1031">
        <v>-1783.61</v>
      </c>
      <c r="I934" s="1032" t="s">
        <v>1163</v>
      </c>
    </row>
    <row r="935" spans="1:9" x14ac:dyDescent="0.25">
      <c r="A935" s="1033"/>
      <c r="C935" s="130" t="s">
        <v>1164</v>
      </c>
      <c r="D935" s="130">
        <v>16</v>
      </c>
      <c r="E935" s="130" t="s">
        <v>1164</v>
      </c>
      <c r="F935" s="1031">
        <v>0</v>
      </c>
      <c r="G935" s="1031">
        <v>270.45999999999998</v>
      </c>
      <c r="H935" s="1031">
        <v>270.45999999999998</v>
      </c>
      <c r="I935" s="1032" t="s">
        <v>1165</v>
      </c>
    </row>
    <row r="936" spans="1:9" x14ac:dyDescent="0.25">
      <c r="A936" s="1033">
        <v>800318</v>
      </c>
      <c r="B936" s="129">
        <v>849</v>
      </c>
      <c r="E936" s="130"/>
    </row>
    <row r="937" spans="1:9" x14ac:dyDescent="0.25">
      <c r="A937" s="1033">
        <v>800322</v>
      </c>
      <c r="B937" s="129">
        <v>6</v>
      </c>
      <c r="C937" s="130" t="s">
        <v>1161</v>
      </c>
      <c r="D937" s="130">
        <v>16</v>
      </c>
      <c r="E937" s="130" t="s">
        <v>1161</v>
      </c>
      <c r="F937" s="1031">
        <v>0</v>
      </c>
      <c r="G937" s="1031">
        <v>-0.06</v>
      </c>
      <c r="H937" s="1031">
        <v>-0.06</v>
      </c>
      <c r="I937" s="1032" t="s">
        <v>1162</v>
      </c>
    </row>
    <row r="938" spans="1:9" x14ac:dyDescent="0.25">
      <c r="A938" s="1033">
        <v>800324</v>
      </c>
      <c r="B938" s="129">
        <v>1784</v>
      </c>
      <c r="C938" s="130" t="s">
        <v>171</v>
      </c>
      <c r="D938" s="130">
        <v>16</v>
      </c>
      <c r="E938" s="130" t="s">
        <v>171</v>
      </c>
      <c r="F938" s="1031">
        <v>0</v>
      </c>
      <c r="G938" s="1031">
        <v>-1783.61</v>
      </c>
      <c r="H938" s="1031">
        <v>-1783.61</v>
      </c>
      <c r="I938" s="1032" t="s">
        <v>1163</v>
      </c>
    </row>
    <row r="939" spans="1:9" x14ac:dyDescent="0.25">
      <c r="A939" s="1033">
        <v>800326</v>
      </c>
      <c r="B939" s="129">
        <v>1514</v>
      </c>
      <c r="C939" s="130" t="s">
        <v>171</v>
      </c>
      <c r="D939" s="130">
        <v>16</v>
      </c>
      <c r="E939" s="130" t="s">
        <v>171</v>
      </c>
      <c r="F939" s="1031">
        <v>0</v>
      </c>
      <c r="G939" s="1031">
        <v>-1783.61</v>
      </c>
      <c r="H939" s="1031">
        <v>-1783.61</v>
      </c>
      <c r="I939" s="1032" t="s">
        <v>1163</v>
      </c>
    </row>
    <row r="940" spans="1:9" x14ac:dyDescent="0.25">
      <c r="A940" s="1033"/>
      <c r="C940" s="130" t="s">
        <v>1164</v>
      </c>
      <c r="D940" s="130">
        <v>16</v>
      </c>
      <c r="E940" s="130" t="s">
        <v>1164</v>
      </c>
      <c r="F940" s="1031">
        <v>0</v>
      </c>
      <c r="G940" s="1031">
        <v>270.45999999999998</v>
      </c>
      <c r="H940" s="1031">
        <v>270.45999999999998</v>
      </c>
      <c r="I940" s="1032" t="s">
        <v>1165</v>
      </c>
    </row>
    <row r="941" spans="1:9" x14ac:dyDescent="0.25">
      <c r="A941" s="1033">
        <v>800328</v>
      </c>
      <c r="B941" s="129">
        <v>849</v>
      </c>
      <c r="E941" s="130"/>
    </row>
    <row r="942" spans="1:9" x14ac:dyDescent="0.25">
      <c r="A942" s="1033">
        <v>800412</v>
      </c>
      <c r="B942" s="129">
        <v>0</v>
      </c>
      <c r="E942" s="130"/>
    </row>
    <row r="943" spans="1:9" x14ac:dyDescent="0.25">
      <c r="A943" s="1033">
        <v>800414</v>
      </c>
      <c r="B943" s="129">
        <v>0</v>
      </c>
      <c r="E943" s="130"/>
    </row>
    <row r="944" spans="1:9" x14ac:dyDescent="0.25">
      <c r="A944" s="1033">
        <v>800416</v>
      </c>
      <c r="B944" s="129">
        <v>0</v>
      </c>
      <c r="E944" s="130"/>
    </row>
    <row r="945" spans="1:9" x14ac:dyDescent="0.25">
      <c r="A945" s="1033">
        <v>800418</v>
      </c>
      <c r="B945" s="129">
        <v>0</v>
      </c>
      <c r="E945" s="130"/>
    </row>
    <row r="946" spans="1:9" x14ac:dyDescent="0.25">
      <c r="A946" s="1033">
        <v>800422</v>
      </c>
      <c r="B946" s="129">
        <v>0</v>
      </c>
      <c r="E946" s="130"/>
    </row>
    <row r="947" spans="1:9" x14ac:dyDescent="0.25">
      <c r="A947" s="1033">
        <v>800424</v>
      </c>
      <c r="B947" s="129">
        <v>0</v>
      </c>
      <c r="E947" s="130"/>
    </row>
    <row r="948" spans="1:9" x14ac:dyDescent="0.25">
      <c r="A948" s="1033">
        <v>800426</v>
      </c>
      <c r="B948" s="129">
        <v>0</v>
      </c>
      <c r="E948" s="130"/>
    </row>
    <row r="949" spans="1:9" x14ac:dyDescent="0.25">
      <c r="A949" s="1033">
        <v>800428</v>
      </c>
      <c r="B949" s="129">
        <v>0</v>
      </c>
      <c r="E949" s="130"/>
    </row>
    <row r="950" spans="1:9" x14ac:dyDescent="0.25">
      <c r="A950" s="1033">
        <v>800512</v>
      </c>
      <c r="B950" s="129">
        <v>0</v>
      </c>
      <c r="E950" s="130"/>
    </row>
    <row r="951" spans="1:9" x14ac:dyDescent="0.25">
      <c r="A951" s="1033">
        <v>800514</v>
      </c>
      <c r="B951" s="129">
        <v>0</v>
      </c>
      <c r="E951" s="130"/>
    </row>
    <row r="952" spans="1:9" x14ac:dyDescent="0.25">
      <c r="A952" s="1033">
        <v>800516</v>
      </c>
      <c r="B952" s="129">
        <v>0</v>
      </c>
      <c r="E952" s="130"/>
    </row>
    <row r="953" spans="1:9" x14ac:dyDescent="0.25">
      <c r="A953" s="1033">
        <v>800518</v>
      </c>
      <c r="B953" s="129">
        <v>0</v>
      </c>
      <c r="E953" s="130"/>
    </row>
    <row r="954" spans="1:9" x14ac:dyDescent="0.25">
      <c r="A954" s="1033">
        <v>800522</v>
      </c>
      <c r="B954" s="129">
        <v>0</v>
      </c>
      <c r="E954" s="130"/>
    </row>
    <row r="955" spans="1:9" x14ac:dyDescent="0.25">
      <c r="A955" s="1033">
        <v>800524</v>
      </c>
      <c r="B955" s="129">
        <v>0</v>
      </c>
      <c r="E955" s="130"/>
    </row>
    <row r="956" spans="1:9" x14ac:dyDescent="0.25">
      <c r="A956" s="1033">
        <v>800526</v>
      </c>
      <c r="B956" s="129">
        <v>0</v>
      </c>
      <c r="E956" s="130"/>
    </row>
    <row r="957" spans="1:9" x14ac:dyDescent="0.25">
      <c r="A957" s="1033">
        <v>800528</v>
      </c>
      <c r="B957" s="129">
        <v>0</v>
      </c>
      <c r="E957" s="130"/>
    </row>
    <row r="958" spans="1:9" x14ac:dyDescent="0.25">
      <c r="A958" s="1033">
        <v>800612</v>
      </c>
      <c r="B958" s="129">
        <v>107</v>
      </c>
      <c r="E958" s="130"/>
    </row>
    <row r="959" spans="1:9" x14ac:dyDescent="0.25">
      <c r="A959" s="1033">
        <v>800614</v>
      </c>
      <c r="B959" s="129">
        <v>41905</v>
      </c>
      <c r="E959" s="130"/>
    </row>
    <row r="960" spans="1:9" x14ac:dyDescent="0.25">
      <c r="A960" s="1033">
        <v>800616</v>
      </c>
      <c r="B960" s="129">
        <v>33700</v>
      </c>
      <c r="C960" s="130" t="s">
        <v>113</v>
      </c>
      <c r="D960" s="130">
        <v>16</v>
      </c>
      <c r="E960" s="130" t="s">
        <v>113</v>
      </c>
      <c r="F960" s="1031">
        <v>0</v>
      </c>
      <c r="G960" s="1031">
        <v>-19603.05</v>
      </c>
      <c r="H960" s="1031">
        <v>-19603.05</v>
      </c>
      <c r="I960" s="1032" t="s">
        <v>1153</v>
      </c>
    </row>
    <row r="961" spans="1:9" x14ac:dyDescent="0.25">
      <c r="A961" s="1033"/>
      <c r="C961" s="130" t="s">
        <v>1154</v>
      </c>
      <c r="D961" s="130">
        <v>16</v>
      </c>
      <c r="E961" s="130" t="s">
        <v>1154</v>
      </c>
      <c r="F961" s="1031">
        <v>0</v>
      </c>
      <c r="G961" s="1031">
        <v>3891.38</v>
      </c>
      <c r="H961" s="1031">
        <v>3891.38</v>
      </c>
      <c r="I961" s="1032" t="s">
        <v>1155</v>
      </c>
    </row>
    <row r="962" spans="1:9" x14ac:dyDescent="0.25">
      <c r="A962" s="1033"/>
      <c r="C962" s="130" t="s">
        <v>114</v>
      </c>
      <c r="D962" s="130">
        <v>16</v>
      </c>
      <c r="E962" s="130" t="s">
        <v>114</v>
      </c>
      <c r="F962" s="1031">
        <v>0</v>
      </c>
      <c r="G962" s="1031">
        <v>-20517.75</v>
      </c>
      <c r="H962" s="1031">
        <v>-20517.75</v>
      </c>
      <c r="I962" s="1032" t="s">
        <v>1158</v>
      </c>
    </row>
    <row r="963" spans="1:9" x14ac:dyDescent="0.25">
      <c r="A963" s="1033"/>
      <c r="C963" s="130" t="s">
        <v>1159</v>
      </c>
      <c r="D963" s="130">
        <v>16</v>
      </c>
      <c r="E963" s="130" t="s">
        <v>1159</v>
      </c>
      <c r="F963" s="1031">
        <v>0</v>
      </c>
      <c r="G963" s="1031">
        <v>4044.13</v>
      </c>
      <c r="H963" s="1031">
        <v>4044.13</v>
      </c>
      <c r="I963" s="1032" t="s">
        <v>1160</v>
      </c>
    </row>
    <row r="964" spans="1:9" x14ac:dyDescent="0.25">
      <c r="A964" s="1033"/>
      <c r="C964" s="130" t="s">
        <v>171</v>
      </c>
      <c r="D964" s="130">
        <v>16</v>
      </c>
      <c r="E964" s="130" t="s">
        <v>171</v>
      </c>
      <c r="F964" s="1031">
        <v>0</v>
      </c>
      <c r="G964" s="1031">
        <v>-1783.61</v>
      </c>
      <c r="H964" s="1031">
        <v>-1783.61</v>
      </c>
      <c r="I964" s="1032" t="s">
        <v>1163</v>
      </c>
    </row>
    <row r="965" spans="1:9" x14ac:dyDescent="0.25">
      <c r="A965" s="1033"/>
      <c r="C965" s="130" t="s">
        <v>1164</v>
      </c>
      <c r="D965" s="130">
        <v>16</v>
      </c>
      <c r="E965" s="130" t="s">
        <v>1164</v>
      </c>
      <c r="F965" s="1031">
        <v>0</v>
      </c>
      <c r="G965" s="1031">
        <v>270.45999999999998</v>
      </c>
      <c r="H965" s="1031">
        <v>270.45999999999998</v>
      </c>
      <c r="I965" s="1032" t="s">
        <v>1165</v>
      </c>
    </row>
    <row r="966" spans="1:9" x14ac:dyDescent="0.25">
      <c r="A966" s="1033">
        <v>800618</v>
      </c>
      <c r="B966" s="129">
        <v>804</v>
      </c>
      <c r="E966" s="130"/>
    </row>
    <row r="967" spans="1:9" x14ac:dyDescent="0.25">
      <c r="A967" s="1033">
        <v>800622</v>
      </c>
      <c r="B967" s="129">
        <v>107</v>
      </c>
      <c r="E967" s="130"/>
    </row>
    <row r="968" spans="1:9" x14ac:dyDescent="0.25">
      <c r="A968" s="1033">
        <v>800624</v>
      </c>
      <c r="B968" s="129">
        <v>41905</v>
      </c>
      <c r="E968" s="130"/>
    </row>
    <row r="969" spans="1:9" x14ac:dyDescent="0.25">
      <c r="A969" s="1033">
        <v>800626</v>
      </c>
      <c r="B969" s="129">
        <v>33700</v>
      </c>
      <c r="C969" s="130" t="s">
        <v>113</v>
      </c>
      <c r="D969" s="130">
        <v>16</v>
      </c>
      <c r="E969" s="130" t="s">
        <v>113</v>
      </c>
      <c r="F969" s="1031">
        <v>0</v>
      </c>
      <c r="G969" s="1031">
        <v>-19603.05</v>
      </c>
      <c r="H969" s="1031">
        <v>-19603.05</v>
      </c>
      <c r="I969" s="1032" t="s">
        <v>1153</v>
      </c>
    </row>
    <row r="970" spans="1:9" x14ac:dyDescent="0.25">
      <c r="A970" s="1033"/>
      <c r="C970" s="130" t="s">
        <v>1154</v>
      </c>
      <c r="D970" s="130">
        <v>16</v>
      </c>
      <c r="E970" s="130" t="s">
        <v>1154</v>
      </c>
      <c r="F970" s="1031">
        <v>0</v>
      </c>
      <c r="G970" s="1031">
        <v>3891.38</v>
      </c>
      <c r="H970" s="1031">
        <v>3891.38</v>
      </c>
      <c r="I970" s="1032" t="s">
        <v>1155</v>
      </c>
    </row>
    <row r="971" spans="1:9" x14ac:dyDescent="0.25">
      <c r="A971" s="1033"/>
      <c r="C971" s="130" t="s">
        <v>114</v>
      </c>
      <c r="D971" s="130">
        <v>16</v>
      </c>
      <c r="E971" s="130" t="s">
        <v>114</v>
      </c>
      <c r="F971" s="1031">
        <v>0</v>
      </c>
      <c r="G971" s="1031">
        <v>-20517.75</v>
      </c>
      <c r="H971" s="1031">
        <v>-20517.75</v>
      </c>
      <c r="I971" s="1032" t="s">
        <v>1158</v>
      </c>
    </row>
    <row r="972" spans="1:9" x14ac:dyDescent="0.25">
      <c r="A972" s="1033"/>
      <c r="C972" s="130" t="s">
        <v>1159</v>
      </c>
      <c r="D972" s="130">
        <v>16</v>
      </c>
      <c r="E972" s="130" t="s">
        <v>1159</v>
      </c>
      <c r="F972" s="1031">
        <v>0</v>
      </c>
      <c r="G972" s="1031">
        <v>4044.13</v>
      </c>
      <c r="H972" s="1031">
        <v>4044.13</v>
      </c>
      <c r="I972" s="1032" t="s">
        <v>1160</v>
      </c>
    </row>
    <row r="973" spans="1:9" x14ac:dyDescent="0.25">
      <c r="A973" s="1033"/>
      <c r="C973" s="130" t="s">
        <v>171</v>
      </c>
      <c r="D973" s="130">
        <v>16</v>
      </c>
      <c r="E973" s="130" t="s">
        <v>171</v>
      </c>
      <c r="F973" s="1031">
        <v>0</v>
      </c>
      <c r="G973" s="1031">
        <v>-1783.61</v>
      </c>
      <c r="H973" s="1031">
        <v>-1783.61</v>
      </c>
      <c r="I973" s="1032" t="s">
        <v>1163</v>
      </c>
    </row>
    <row r="974" spans="1:9" x14ac:dyDescent="0.25">
      <c r="A974" s="1033"/>
      <c r="C974" s="130" t="s">
        <v>1164</v>
      </c>
      <c r="D974" s="130">
        <v>16</v>
      </c>
      <c r="E974" s="130" t="s">
        <v>1164</v>
      </c>
      <c r="F974" s="1031">
        <v>0</v>
      </c>
      <c r="G974" s="1031">
        <v>270.45999999999998</v>
      </c>
      <c r="H974" s="1031">
        <v>270.45999999999998</v>
      </c>
      <c r="I974" s="1032" t="s">
        <v>1165</v>
      </c>
    </row>
    <row r="975" spans="1:9" x14ac:dyDescent="0.25">
      <c r="A975" s="1033">
        <v>800628</v>
      </c>
      <c r="B975" s="129">
        <v>804</v>
      </c>
      <c r="E975" s="130"/>
    </row>
    <row r="976" spans="1:9" x14ac:dyDescent="0.25">
      <c r="A976" s="1033">
        <v>800712</v>
      </c>
      <c r="B976" s="129">
        <v>12</v>
      </c>
      <c r="C976" s="130" t="s">
        <v>1166</v>
      </c>
      <c r="D976" s="130">
        <v>16</v>
      </c>
      <c r="E976" s="130" t="s">
        <v>1166</v>
      </c>
      <c r="F976" s="1031">
        <v>0</v>
      </c>
      <c r="G976" s="1031">
        <v>-0.12</v>
      </c>
      <c r="H976" s="1031">
        <v>-0.12</v>
      </c>
      <c r="I976" s="1032" t="s">
        <v>1167</v>
      </c>
    </row>
    <row r="977" spans="1:9" x14ac:dyDescent="0.25">
      <c r="A977" s="1033">
        <v>800714</v>
      </c>
      <c r="B977" s="129">
        <v>1763</v>
      </c>
      <c r="C977" s="130" t="s">
        <v>117</v>
      </c>
      <c r="D977" s="130">
        <v>16</v>
      </c>
      <c r="E977" s="130" t="s">
        <v>117</v>
      </c>
      <c r="F977" s="1031">
        <v>0</v>
      </c>
      <c r="G977" s="1031">
        <v>-1762.56</v>
      </c>
      <c r="H977" s="1031">
        <v>-1762.56</v>
      </c>
      <c r="I977" s="1032" t="s">
        <v>1168</v>
      </c>
    </row>
    <row r="978" spans="1:9" x14ac:dyDescent="0.25">
      <c r="A978" s="1033">
        <v>800716</v>
      </c>
      <c r="B978" s="129">
        <v>1265</v>
      </c>
      <c r="C978" s="130" t="s">
        <v>117</v>
      </c>
      <c r="D978" s="130">
        <v>16</v>
      </c>
      <c r="E978" s="130" t="s">
        <v>117</v>
      </c>
      <c r="F978" s="1031">
        <v>0</v>
      </c>
      <c r="G978" s="1031">
        <v>-1762.56</v>
      </c>
      <c r="H978" s="1031">
        <v>-1762.56</v>
      </c>
      <c r="I978" s="1032" t="s">
        <v>1168</v>
      </c>
    </row>
    <row r="979" spans="1:9" x14ac:dyDescent="0.25">
      <c r="A979" s="1033"/>
      <c r="C979" s="130" t="s">
        <v>1169</v>
      </c>
      <c r="D979" s="130">
        <v>16</v>
      </c>
      <c r="E979" s="130" t="s">
        <v>1169</v>
      </c>
      <c r="F979" s="1031">
        <v>0</v>
      </c>
      <c r="G979" s="1031">
        <v>498.19</v>
      </c>
      <c r="H979" s="1031">
        <v>498.19</v>
      </c>
      <c r="I979" s="1032" t="s">
        <v>1170</v>
      </c>
    </row>
    <row r="980" spans="1:9" x14ac:dyDescent="0.25">
      <c r="A980" s="1033">
        <v>800718</v>
      </c>
      <c r="B980" s="129">
        <v>718</v>
      </c>
      <c r="E980" s="130"/>
    </row>
    <row r="981" spans="1:9" x14ac:dyDescent="0.25">
      <c r="A981" s="1033">
        <v>800722</v>
      </c>
      <c r="B981" s="129">
        <v>12</v>
      </c>
      <c r="C981" s="130" t="s">
        <v>1166</v>
      </c>
      <c r="D981" s="130">
        <v>16</v>
      </c>
      <c r="E981" s="130" t="s">
        <v>1166</v>
      </c>
      <c r="F981" s="1031">
        <v>0</v>
      </c>
      <c r="G981" s="1031">
        <v>-0.12</v>
      </c>
      <c r="H981" s="1031">
        <v>-0.12</v>
      </c>
      <c r="I981" s="1032" t="s">
        <v>1167</v>
      </c>
    </row>
    <row r="982" spans="1:9" x14ac:dyDescent="0.25">
      <c r="A982" s="1033">
        <v>800724</v>
      </c>
      <c r="B982" s="129">
        <v>1763</v>
      </c>
      <c r="C982" s="130" t="s">
        <v>117</v>
      </c>
      <c r="D982" s="130">
        <v>16</v>
      </c>
      <c r="E982" s="130" t="s">
        <v>117</v>
      </c>
      <c r="F982" s="1031">
        <v>0</v>
      </c>
      <c r="G982" s="1031">
        <v>-1762.56</v>
      </c>
      <c r="H982" s="1031">
        <v>-1762.56</v>
      </c>
      <c r="I982" s="1032" t="s">
        <v>1168</v>
      </c>
    </row>
    <row r="983" spans="1:9" x14ac:dyDescent="0.25">
      <c r="A983" s="1033">
        <v>800726</v>
      </c>
      <c r="B983" s="129">
        <v>1265</v>
      </c>
      <c r="C983" s="130" t="s">
        <v>117</v>
      </c>
      <c r="D983" s="130">
        <v>16</v>
      </c>
      <c r="E983" s="130" t="s">
        <v>117</v>
      </c>
      <c r="F983" s="1031">
        <v>0</v>
      </c>
      <c r="G983" s="1031">
        <v>-1762.56</v>
      </c>
      <c r="H983" s="1031">
        <v>-1762.56</v>
      </c>
      <c r="I983" s="1032" t="s">
        <v>1168</v>
      </c>
    </row>
    <row r="984" spans="1:9" x14ac:dyDescent="0.25">
      <c r="A984" s="1033"/>
      <c r="C984" s="130" t="s">
        <v>1169</v>
      </c>
      <c r="D984" s="130">
        <v>16</v>
      </c>
      <c r="E984" s="130" t="s">
        <v>1169</v>
      </c>
      <c r="F984" s="1031">
        <v>0</v>
      </c>
      <c r="G984" s="1031">
        <v>498.19</v>
      </c>
      <c r="H984" s="1031">
        <v>498.19</v>
      </c>
      <c r="I984" s="1032" t="s">
        <v>1170</v>
      </c>
    </row>
    <row r="985" spans="1:9" x14ac:dyDescent="0.25">
      <c r="A985" s="1033">
        <v>800728</v>
      </c>
      <c r="B985" s="129">
        <v>718</v>
      </c>
      <c r="E985" s="130"/>
    </row>
    <row r="986" spans="1:9" x14ac:dyDescent="0.25">
      <c r="A986" s="1033">
        <v>800812</v>
      </c>
      <c r="B986" s="129">
        <v>32</v>
      </c>
      <c r="C986" s="130" t="s">
        <v>1171</v>
      </c>
      <c r="D986" s="130">
        <v>16</v>
      </c>
      <c r="E986" s="130" t="s">
        <v>1171</v>
      </c>
      <c r="F986" s="1031">
        <v>0</v>
      </c>
      <c r="G986" s="1031">
        <v>-0.32</v>
      </c>
      <c r="H986" s="1031">
        <v>-0.32</v>
      </c>
      <c r="I986" s="1032" t="s">
        <v>1172</v>
      </c>
    </row>
    <row r="987" spans="1:9" x14ac:dyDescent="0.25">
      <c r="A987" s="1033">
        <v>800814</v>
      </c>
      <c r="B987" s="129">
        <v>3828</v>
      </c>
      <c r="C987" s="130" t="s">
        <v>118</v>
      </c>
      <c r="D987" s="130">
        <v>16</v>
      </c>
      <c r="E987" s="130" t="s">
        <v>118</v>
      </c>
      <c r="F987" s="1031">
        <v>0</v>
      </c>
      <c r="G987" s="1031">
        <v>-3828.09</v>
      </c>
      <c r="H987" s="1031">
        <v>-3828.09</v>
      </c>
      <c r="I987" s="1032" t="s">
        <v>1173</v>
      </c>
    </row>
    <row r="988" spans="1:9" x14ac:dyDescent="0.25">
      <c r="A988" s="1033">
        <v>800816</v>
      </c>
      <c r="B988" s="129">
        <v>2606</v>
      </c>
      <c r="C988" s="130" t="s">
        <v>118</v>
      </c>
      <c r="D988" s="130">
        <v>16</v>
      </c>
      <c r="E988" s="130" t="s">
        <v>118</v>
      </c>
      <c r="F988" s="1031">
        <v>0</v>
      </c>
      <c r="G988" s="1031">
        <v>-3828.09</v>
      </c>
      <c r="H988" s="1031">
        <v>-3828.09</v>
      </c>
      <c r="I988" s="1032" t="s">
        <v>1173</v>
      </c>
    </row>
    <row r="989" spans="1:9" x14ac:dyDescent="0.25">
      <c r="A989" s="1033"/>
      <c r="C989" s="130" t="s">
        <v>1174</v>
      </c>
      <c r="D989" s="130">
        <v>16</v>
      </c>
      <c r="E989" s="130" t="s">
        <v>1174</v>
      </c>
      <c r="F989" s="1031">
        <v>0</v>
      </c>
      <c r="G989" s="1031">
        <v>1222</v>
      </c>
      <c r="H989" s="1031">
        <v>1222</v>
      </c>
      <c r="I989" s="1032" t="s">
        <v>1175</v>
      </c>
    </row>
    <row r="990" spans="1:9" x14ac:dyDescent="0.25">
      <c r="A990" s="1033">
        <v>800818</v>
      </c>
      <c r="B990" s="129">
        <v>681</v>
      </c>
      <c r="E990" s="130"/>
    </row>
    <row r="991" spans="1:9" x14ac:dyDescent="0.25">
      <c r="A991" s="1033">
        <v>800822</v>
      </c>
      <c r="B991" s="129">
        <v>32</v>
      </c>
      <c r="C991" s="130" t="s">
        <v>1171</v>
      </c>
      <c r="D991" s="130">
        <v>16</v>
      </c>
      <c r="E991" s="130" t="s">
        <v>1171</v>
      </c>
      <c r="F991" s="1031">
        <v>0</v>
      </c>
      <c r="G991" s="1031">
        <v>-0.32</v>
      </c>
      <c r="H991" s="1031">
        <v>-0.32</v>
      </c>
      <c r="I991" s="1032" t="s">
        <v>1172</v>
      </c>
    </row>
    <row r="992" spans="1:9" x14ac:dyDescent="0.25">
      <c r="A992" s="1033">
        <v>800824</v>
      </c>
      <c r="B992" s="129">
        <v>3828</v>
      </c>
      <c r="C992" s="130" t="s">
        <v>118</v>
      </c>
      <c r="D992" s="130">
        <v>16</v>
      </c>
      <c r="E992" s="130" t="s">
        <v>118</v>
      </c>
      <c r="F992" s="1031">
        <v>0</v>
      </c>
      <c r="G992" s="1031">
        <v>-3828.09</v>
      </c>
      <c r="H992" s="1031">
        <v>-3828.09</v>
      </c>
      <c r="I992" s="1032" t="s">
        <v>1173</v>
      </c>
    </row>
    <row r="993" spans="1:9" x14ac:dyDescent="0.25">
      <c r="A993" s="1033">
        <v>800826</v>
      </c>
      <c r="B993" s="129">
        <v>2606</v>
      </c>
      <c r="C993" s="130" t="s">
        <v>118</v>
      </c>
      <c r="D993" s="130">
        <v>16</v>
      </c>
      <c r="E993" s="130" t="s">
        <v>118</v>
      </c>
      <c r="F993" s="1031">
        <v>0</v>
      </c>
      <c r="G993" s="1031">
        <v>-3828.09</v>
      </c>
      <c r="H993" s="1031">
        <v>-3828.09</v>
      </c>
      <c r="I993" s="1032" t="s">
        <v>1173</v>
      </c>
    </row>
    <row r="994" spans="1:9" x14ac:dyDescent="0.25">
      <c r="A994" s="1033"/>
      <c r="C994" s="130" t="s">
        <v>1174</v>
      </c>
      <c r="D994" s="130">
        <v>16</v>
      </c>
      <c r="E994" s="130" t="s">
        <v>1174</v>
      </c>
      <c r="F994" s="1031">
        <v>0</v>
      </c>
      <c r="G994" s="1031">
        <v>1222</v>
      </c>
      <c r="H994" s="1031">
        <v>1222</v>
      </c>
      <c r="I994" s="1032" t="s">
        <v>1175</v>
      </c>
    </row>
    <row r="995" spans="1:9" x14ac:dyDescent="0.25">
      <c r="A995" s="1033">
        <v>800828</v>
      </c>
      <c r="B995" s="129">
        <v>681</v>
      </c>
      <c r="E995" s="130"/>
    </row>
    <row r="996" spans="1:9" x14ac:dyDescent="0.25">
      <c r="A996" s="1033">
        <v>800912</v>
      </c>
      <c r="B996" s="129">
        <v>0</v>
      </c>
      <c r="E996" s="130"/>
    </row>
    <row r="997" spans="1:9" x14ac:dyDescent="0.25">
      <c r="A997" s="1033">
        <v>800914</v>
      </c>
      <c r="B997" s="129">
        <v>0</v>
      </c>
      <c r="E997" s="130"/>
    </row>
    <row r="998" spans="1:9" x14ac:dyDescent="0.25">
      <c r="A998" s="1033">
        <v>800916</v>
      </c>
      <c r="B998" s="129">
        <v>0</v>
      </c>
      <c r="E998" s="130"/>
    </row>
    <row r="999" spans="1:9" x14ac:dyDescent="0.25">
      <c r="A999" s="1033">
        <v>800918</v>
      </c>
      <c r="B999" s="129">
        <v>0</v>
      </c>
      <c r="E999" s="130"/>
    </row>
    <row r="1000" spans="1:9" x14ac:dyDescent="0.25">
      <c r="A1000" s="1033">
        <v>800922</v>
      </c>
      <c r="B1000" s="129">
        <v>0</v>
      </c>
      <c r="E1000" s="130"/>
    </row>
    <row r="1001" spans="1:9" x14ac:dyDescent="0.25">
      <c r="A1001" s="1033">
        <v>800924</v>
      </c>
      <c r="B1001" s="129">
        <v>0</v>
      </c>
      <c r="E1001" s="130"/>
    </row>
    <row r="1002" spans="1:9" x14ac:dyDescent="0.25">
      <c r="A1002" s="1033">
        <v>800926</v>
      </c>
      <c r="B1002" s="129">
        <v>0</v>
      </c>
      <c r="E1002" s="130"/>
    </row>
    <row r="1003" spans="1:9" x14ac:dyDescent="0.25">
      <c r="A1003" s="1033">
        <v>800928</v>
      </c>
      <c r="B1003" s="129">
        <v>0</v>
      </c>
      <c r="E1003" s="130"/>
    </row>
    <row r="1004" spans="1:9" x14ac:dyDescent="0.25">
      <c r="A1004" s="1033">
        <v>801012</v>
      </c>
      <c r="B1004" s="129">
        <v>0</v>
      </c>
      <c r="E1004" s="130"/>
    </row>
    <row r="1005" spans="1:9" x14ac:dyDescent="0.25">
      <c r="A1005" s="1033">
        <v>801014</v>
      </c>
      <c r="B1005" s="129">
        <v>0</v>
      </c>
      <c r="E1005" s="130"/>
    </row>
    <row r="1006" spans="1:9" x14ac:dyDescent="0.25">
      <c r="A1006" s="1033">
        <v>801016</v>
      </c>
      <c r="B1006" s="129">
        <v>0</v>
      </c>
      <c r="E1006" s="130"/>
    </row>
    <row r="1007" spans="1:9" x14ac:dyDescent="0.25">
      <c r="A1007" s="1033">
        <v>801018</v>
      </c>
      <c r="B1007" s="129">
        <v>0</v>
      </c>
      <c r="E1007" s="130"/>
    </row>
    <row r="1008" spans="1:9" x14ac:dyDescent="0.25">
      <c r="A1008" s="1033">
        <v>801022</v>
      </c>
      <c r="B1008" s="129">
        <v>0</v>
      </c>
      <c r="E1008" s="130"/>
    </row>
    <row r="1009" spans="1:9" x14ac:dyDescent="0.25">
      <c r="A1009" s="1033">
        <v>801024</v>
      </c>
      <c r="B1009" s="129">
        <v>0</v>
      </c>
      <c r="E1009" s="130"/>
    </row>
    <row r="1010" spans="1:9" x14ac:dyDescent="0.25">
      <c r="A1010" s="1033">
        <v>801026</v>
      </c>
      <c r="B1010" s="129">
        <v>0</v>
      </c>
      <c r="E1010" s="130"/>
    </row>
    <row r="1011" spans="1:9" x14ac:dyDescent="0.25">
      <c r="A1011" s="1033">
        <v>801028</v>
      </c>
      <c r="B1011" s="129">
        <v>0</v>
      </c>
      <c r="E1011" s="130"/>
    </row>
    <row r="1012" spans="1:9" x14ac:dyDescent="0.25">
      <c r="A1012" s="1033">
        <v>801112</v>
      </c>
      <c r="B1012" s="129">
        <v>44</v>
      </c>
      <c r="E1012" s="130"/>
    </row>
    <row r="1013" spans="1:9" x14ac:dyDescent="0.25">
      <c r="A1013" s="1033">
        <v>801114</v>
      </c>
      <c r="B1013" s="129">
        <v>5591</v>
      </c>
      <c r="E1013" s="130"/>
    </row>
    <row r="1014" spans="1:9" x14ac:dyDescent="0.25">
      <c r="A1014" s="1033">
        <v>801116</v>
      </c>
      <c r="B1014" s="129">
        <v>3871</v>
      </c>
      <c r="C1014" s="130" t="s">
        <v>117</v>
      </c>
      <c r="D1014" s="130">
        <v>16</v>
      </c>
      <c r="E1014" s="130" t="s">
        <v>117</v>
      </c>
      <c r="F1014" s="1031">
        <v>0</v>
      </c>
      <c r="G1014" s="1031">
        <v>-1762.56</v>
      </c>
      <c r="H1014" s="1031">
        <v>-1762.56</v>
      </c>
      <c r="I1014" s="1032" t="s">
        <v>1168</v>
      </c>
    </row>
    <row r="1015" spans="1:9" x14ac:dyDescent="0.25">
      <c r="A1015" s="1033"/>
      <c r="C1015" s="130" t="s">
        <v>1169</v>
      </c>
      <c r="D1015" s="130">
        <v>16</v>
      </c>
      <c r="E1015" s="130" t="s">
        <v>1169</v>
      </c>
      <c r="F1015" s="1031">
        <v>0</v>
      </c>
      <c r="G1015" s="1031">
        <v>498.19</v>
      </c>
      <c r="H1015" s="1031">
        <v>498.19</v>
      </c>
      <c r="I1015" s="1032" t="s">
        <v>1170</v>
      </c>
    </row>
    <row r="1016" spans="1:9" x14ac:dyDescent="0.25">
      <c r="A1016" s="1033"/>
      <c r="C1016" s="130" t="s">
        <v>118</v>
      </c>
      <c r="D1016" s="130">
        <v>16</v>
      </c>
      <c r="E1016" s="130" t="s">
        <v>118</v>
      </c>
      <c r="F1016" s="1031">
        <v>0</v>
      </c>
      <c r="G1016" s="1031">
        <v>-3828.09</v>
      </c>
      <c r="H1016" s="1031">
        <v>-3828.09</v>
      </c>
      <c r="I1016" s="1032" t="s">
        <v>1173</v>
      </c>
    </row>
    <row r="1017" spans="1:9" x14ac:dyDescent="0.25">
      <c r="A1017" s="1033"/>
      <c r="C1017" s="130" t="s">
        <v>1174</v>
      </c>
      <c r="D1017" s="130">
        <v>16</v>
      </c>
      <c r="E1017" s="130" t="s">
        <v>1174</v>
      </c>
      <c r="F1017" s="1031">
        <v>0</v>
      </c>
      <c r="G1017" s="1031">
        <v>1222</v>
      </c>
      <c r="H1017" s="1031">
        <v>1222</v>
      </c>
      <c r="I1017" s="1032" t="s">
        <v>1175</v>
      </c>
    </row>
    <row r="1018" spans="1:9" x14ac:dyDescent="0.25">
      <c r="A1018" s="1033">
        <v>801118</v>
      </c>
      <c r="B1018" s="129">
        <v>692</v>
      </c>
      <c r="E1018" s="130"/>
    </row>
    <row r="1019" spans="1:9" x14ac:dyDescent="0.25">
      <c r="A1019" s="1033">
        <v>801122</v>
      </c>
      <c r="B1019" s="129">
        <v>44</v>
      </c>
      <c r="E1019" s="130"/>
    </row>
    <row r="1020" spans="1:9" x14ac:dyDescent="0.25">
      <c r="A1020" s="1033">
        <v>801124</v>
      </c>
      <c r="B1020" s="129">
        <v>5591</v>
      </c>
      <c r="E1020" s="130"/>
    </row>
    <row r="1021" spans="1:9" x14ac:dyDescent="0.25">
      <c r="A1021" s="1033">
        <v>801126</v>
      </c>
      <c r="B1021" s="129">
        <v>3871</v>
      </c>
      <c r="C1021" s="130" t="s">
        <v>117</v>
      </c>
      <c r="D1021" s="130">
        <v>16</v>
      </c>
      <c r="E1021" s="130" t="s">
        <v>117</v>
      </c>
      <c r="F1021" s="1031">
        <v>0</v>
      </c>
      <c r="G1021" s="1031">
        <v>-1762.56</v>
      </c>
      <c r="H1021" s="1031">
        <v>-1762.56</v>
      </c>
      <c r="I1021" s="1032" t="s">
        <v>1168</v>
      </c>
    </row>
    <row r="1022" spans="1:9" x14ac:dyDescent="0.25">
      <c r="A1022" s="1033"/>
      <c r="C1022" s="130" t="s">
        <v>1169</v>
      </c>
      <c r="D1022" s="130">
        <v>16</v>
      </c>
      <c r="E1022" s="130" t="s">
        <v>1169</v>
      </c>
      <c r="F1022" s="1031">
        <v>0</v>
      </c>
      <c r="G1022" s="1031">
        <v>498.19</v>
      </c>
      <c r="H1022" s="1031">
        <v>498.19</v>
      </c>
      <c r="I1022" s="1032" t="s">
        <v>1170</v>
      </c>
    </row>
    <row r="1023" spans="1:9" x14ac:dyDescent="0.25">
      <c r="A1023" s="1033"/>
      <c r="C1023" s="130" t="s">
        <v>118</v>
      </c>
      <c r="D1023" s="130">
        <v>16</v>
      </c>
      <c r="E1023" s="130" t="s">
        <v>118</v>
      </c>
      <c r="F1023" s="1031">
        <v>0</v>
      </c>
      <c r="G1023" s="1031">
        <v>-3828.09</v>
      </c>
      <c r="H1023" s="1031">
        <v>-3828.09</v>
      </c>
      <c r="I1023" s="1032" t="s">
        <v>1173</v>
      </c>
    </row>
    <row r="1024" spans="1:9" x14ac:dyDescent="0.25">
      <c r="A1024" s="1033"/>
      <c r="C1024" s="130" t="s">
        <v>1174</v>
      </c>
      <c r="D1024" s="130">
        <v>16</v>
      </c>
      <c r="E1024" s="130" t="s">
        <v>1174</v>
      </c>
      <c r="F1024" s="1031">
        <v>0</v>
      </c>
      <c r="G1024" s="1031">
        <v>1222</v>
      </c>
      <c r="H1024" s="1031">
        <v>1222</v>
      </c>
      <c r="I1024" s="1032" t="s">
        <v>1175</v>
      </c>
    </row>
    <row r="1025" spans="1:9" x14ac:dyDescent="0.25">
      <c r="A1025" s="1033">
        <v>801128</v>
      </c>
      <c r="B1025" s="129">
        <v>692</v>
      </c>
      <c r="E1025" s="130"/>
    </row>
    <row r="1026" spans="1:9" x14ac:dyDescent="0.25">
      <c r="A1026" s="1033">
        <v>801212</v>
      </c>
      <c r="B1026" s="129">
        <v>5</v>
      </c>
      <c r="C1026" s="130" t="s">
        <v>1176</v>
      </c>
      <c r="D1026" s="130">
        <v>16</v>
      </c>
      <c r="E1026" s="130" t="s">
        <v>1176</v>
      </c>
      <c r="F1026" s="1031">
        <v>0</v>
      </c>
      <c r="G1026" s="1031">
        <v>-0.05</v>
      </c>
      <c r="H1026" s="1031">
        <v>-0.05</v>
      </c>
      <c r="I1026" s="1032" t="s">
        <v>1177</v>
      </c>
    </row>
    <row r="1027" spans="1:9" x14ac:dyDescent="0.25">
      <c r="A1027" s="1033">
        <v>801214</v>
      </c>
      <c r="B1027" s="129">
        <v>1632</v>
      </c>
      <c r="C1027" s="130" t="s">
        <v>120</v>
      </c>
      <c r="D1027" s="130">
        <v>16</v>
      </c>
      <c r="E1027" s="130" t="s">
        <v>120</v>
      </c>
      <c r="F1027" s="1031">
        <v>0</v>
      </c>
      <c r="G1027" s="1031">
        <v>-1631.55</v>
      </c>
      <c r="H1027" s="1031">
        <v>-1631.55</v>
      </c>
      <c r="I1027" s="1032" t="s">
        <v>1178</v>
      </c>
    </row>
    <row r="1028" spans="1:9" x14ac:dyDescent="0.25">
      <c r="A1028" s="1033">
        <v>801216</v>
      </c>
      <c r="B1028" s="129">
        <v>738</v>
      </c>
      <c r="C1028" s="130" t="s">
        <v>120</v>
      </c>
      <c r="D1028" s="130">
        <v>16</v>
      </c>
      <c r="E1028" s="130" t="s">
        <v>120</v>
      </c>
      <c r="F1028" s="1031">
        <v>0</v>
      </c>
      <c r="G1028" s="1031">
        <v>-1631.55</v>
      </c>
      <c r="H1028" s="1031">
        <v>-1631.55</v>
      </c>
      <c r="I1028" s="1032" t="s">
        <v>1178</v>
      </c>
    </row>
    <row r="1029" spans="1:9" x14ac:dyDescent="0.25">
      <c r="A1029" s="1033"/>
      <c r="C1029" s="130" t="s">
        <v>1179</v>
      </c>
      <c r="D1029" s="130">
        <v>16</v>
      </c>
      <c r="E1029" s="130" t="s">
        <v>1179</v>
      </c>
      <c r="F1029" s="1031">
        <v>0</v>
      </c>
      <c r="G1029" s="1031">
        <v>894</v>
      </c>
      <c r="H1029" s="1031">
        <v>894</v>
      </c>
      <c r="I1029" s="1032" t="s">
        <v>1180</v>
      </c>
    </row>
    <row r="1030" spans="1:9" x14ac:dyDescent="0.25">
      <c r="A1030" s="1033">
        <v>801218</v>
      </c>
      <c r="B1030" s="129">
        <v>452</v>
      </c>
      <c r="E1030" s="130"/>
    </row>
    <row r="1031" spans="1:9" x14ac:dyDescent="0.25">
      <c r="A1031" s="1033">
        <v>801222</v>
      </c>
      <c r="B1031" s="129">
        <v>5</v>
      </c>
      <c r="C1031" s="130" t="s">
        <v>1176</v>
      </c>
      <c r="D1031" s="130">
        <v>16</v>
      </c>
      <c r="E1031" s="130" t="s">
        <v>1176</v>
      </c>
      <c r="F1031" s="1031">
        <v>0</v>
      </c>
      <c r="G1031" s="1031">
        <v>-0.05</v>
      </c>
      <c r="H1031" s="1031">
        <v>-0.05</v>
      </c>
      <c r="I1031" s="1032" t="s">
        <v>1177</v>
      </c>
    </row>
    <row r="1032" spans="1:9" x14ac:dyDescent="0.25">
      <c r="A1032" s="1033">
        <v>801224</v>
      </c>
      <c r="B1032" s="129">
        <v>1632</v>
      </c>
      <c r="C1032" s="130" t="s">
        <v>120</v>
      </c>
      <c r="D1032" s="130">
        <v>16</v>
      </c>
      <c r="E1032" s="130" t="s">
        <v>120</v>
      </c>
      <c r="F1032" s="1031">
        <v>0</v>
      </c>
      <c r="G1032" s="1031">
        <v>-1631.55</v>
      </c>
      <c r="H1032" s="1031">
        <v>-1631.55</v>
      </c>
      <c r="I1032" s="1032" t="s">
        <v>1178</v>
      </c>
    </row>
    <row r="1033" spans="1:9" x14ac:dyDescent="0.25">
      <c r="A1033" s="1033">
        <v>801226</v>
      </c>
      <c r="B1033" s="129">
        <v>738</v>
      </c>
      <c r="C1033" s="130" t="s">
        <v>120</v>
      </c>
      <c r="D1033" s="130">
        <v>16</v>
      </c>
      <c r="E1033" s="130" t="s">
        <v>120</v>
      </c>
      <c r="F1033" s="1031">
        <v>0</v>
      </c>
      <c r="G1033" s="1031">
        <v>-1631.55</v>
      </c>
      <c r="H1033" s="1031">
        <v>-1631.55</v>
      </c>
      <c r="I1033" s="1032" t="s">
        <v>1178</v>
      </c>
    </row>
    <row r="1034" spans="1:9" x14ac:dyDescent="0.25">
      <c r="A1034" s="1033"/>
      <c r="C1034" s="130" t="s">
        <v>1179</v>
      </c>
      <c r="D1034" s="130">
        <v>16</v>
      </c>
      <c r="E1034" s="130" t="s">
        <v>1179</v>
      </c>
      <c r="F1034" s="1031">
        <v>0</v>
      </c>
      <c r="G1034" s="1031">
        <v>894</v>
      </c>
      <c r="H1034" s="1031">
        <v>894</v>
      </c>
      <c r="I1034" s="1032" t="s">
        <v>1180</v>
      </c>
    </row>
    <row r="1035" spans="1:9" x14ac:dyDescent="0.25">
      <c r="A1035" s="1033">
        <v>801228</v>
      </c>
      <c r="B1035" s="129">
        <v>452</v>
      </c>
      <c r="E1035" s="130"/>
    </row>
    <row r="1036" spans="1:9" x14ac:dyDescent="0.25">
      <c r="A1036" s="1033">
        <v>801312</v>
      </c>
      <c r="B1036" s="129">
        <v>4</v>
      </c>
      <c r="C1036" s="130" t="s">
        <v>1181</v>
      </c>
      <c r="D1036" s="130">
        <v>16</v>
      </c>
      <c r="E1036" s="130" t="s">
        <v>1181</v>
      </c>
      <c r="F1036" s="1031">
        <v>0</v>
      </c>
      <c r="G1036" s="1031">
        <v>-0.04</v>
      </c>
      <c r="H1036" s="1031">
        <v>-0.04</v>
      </c>
      <c r="I1036" s="1032" t="s">
        <v>1182</v>
      </c>
    </row>
    <row r="1037" spans="1:9" x14ac:dyDescent="0.25">
      <c r="A1037" s="1033">
        <v>801314</v>
      </c>
      <c r="B1037" s="129">
        <v>1241</v>
      </c>
      <c r="C1037" s="130" t="s">
        <v>121</v>
      </c>
      <c r="D1037" s="130">
        <v>16</v>
      </c>
      <c r="E1037" s="130" t="s">
        <v>121</v>
      </c>
      <c r="F1037" s="1031">
        <v>0</v>
      </c>
      <c r="G1037" s="1031">
        <v>-1240.8</v>
      </c>
      <c r="H1037" s="1031">
        <v>-1240.8</v>
      </c>
      <c r="I1037" s="1032" t="s">
        <v>1183</v>
      </c>
    </row>
    <row r="1038" spans="1:9" x14ac:dyDescent="0.25">
      <c r="A1038" s="1033">
        <v>801316</v>
      </c>
      <c r="B1038" s="129">
        <v>374</v>
      </c>
      <c r="C1038" s="130" t="s">
        <v>121</v>
      </c>
      <c r="D1038" s="130">
        <v>16</v>
      </c>
      <c r="E1038" s="130" t="s">
        <v>121</v>
      </c>
      <c r="F1038" s="1031">
        <v>0</v>
      </c>
      <c r="G1038" s="1031">
        <v>-1240.8</v>
      </c>
      <c r="H1038" s="1031">
        <v>-1240.8</v>
      </c>
      <c r="I1038" s="1032" t="s">
        <v>1183</v>
      </c>
    </row>
    <row r="1039" spans="1:9" x14ac:dyDescent="0.25">
      <c r="A1039" s="1033"/>
      <c r="C1039" s="130" t="s">
        <v>1184</v>
      </c>
      <c r="D1039" s="130">
        <v>16</v>
      </c>
      <c r="E1039" s="130" t="s">
        <v>1184</v>
      </c>
      <c r="F1039" s="1031">
        <v>0</v>
      </c>
      <c r="G1039" s="1031">
        <v>867</v>
      </c>
      <c r="H1039" s="1031">
        <v>867</v>
      </c>
      <c r="I1039" s="1032" t="s">
        <v>1185</v>
      </c>
    </row>
    <row r="1040" spans="1:9" x14ac:dyDescent="0.25">
      <c r="A1040" s="1033">
        <v>801318</v>
      </c>
      <c r="B1040" s="129">
        <v>301</v>
      </c>
      <c r="E1040" s="130"/>
    </row>
    <row r="1041" spans="1:9" x14ac:dyDescent="0.25">
      <c r="A1041" s="1033">
        <v>801322</v>
      </c>
      <c r="B1041" s="129">
        <v>4</v>
      </c>
      <c r="C1041" s="130" t="s">
        <v>1181</v>
      </c>
      <c r="D1041" s="130">
        <v>16</v>
      </c>
      <c r="E1041" s="130" t="s">
        <v>1181</v>
      </c>
      <c r="F1041" s="1031">
        <v>0</v>
      </c>
      <c r="G1041" s="1031">
        <v>-0.04</v>
      </c>
      <c r="H1041" s="1031">
        <v>-0.04</v>
      </c>
      <c r="I1041" s="1032" t="s">
        <v>1182</v>
      </c>
    </row>
    <row r="1042" spans="1:9" x14ac:dyDescent="0.25">
      <c r="A1042" s="1033">
        <v>801324</v>
      </c>
      <c r="B1042" s="129">
        <v>1241</v>
      </c>
      <c r="C1042" s="130" t="s">
        <v>121</v>
      </c>
      <c r="D1042" s="130">
        <v>16</v>
      </c>
      <c r="E1042" s="130" t="s">
        <v>121</v>
      </c>
      <c r="F1042" s="1031">
        <v>0</v>
      </c>
      <c r="G1042" s="1031">
        <v>-1240.8</v>
      </c>
      <c r="H1042" s="1031">
        <v>-1240.8</v>
      </c>
      <c r="I1042" s="1032" t="s">
        <v>1183</v>
      </c>
    </row>
    <row r="1043" spans="1:9" x14ac:dyDescent="0.25">
      <c r="A1043" s="1033">
        <v>801326</v>
      </c>
      <c r="B1043" s="129">
        <v>374</v>
      </c>
      <c r="C1043" s="130" t="s">
        <v>121</v>
      </c>
      <c r="D1043" s="130">
        <v>16</v>
      </c>
      <c r="E1043" s="130" t="s">
        <v>121</v>
      </c>
      <c r="F1043" s="1031">
        <v>0</v>
      </c>
      <c r="G1043" s="1031">
        <v>-1240.8</v>
      </c>
      <c r="H1043" s="1031">
        <v>-1240.8</v>
      </c>
      <c r="I1043" s="1032" t="s">
        <v>1183</v>
      </c>
    </row>
    <row r="1044" spans="1:9" x14ac:dyDescent="0.25">
      <c r="A1044" s="1033"/>
      <c r="C1044" s="130" t="s">
        <v>1184</v>
      </c>
      <c r="D1044" s="130">
        <v>16</v>
      </c>
      <c r="E1044" s="130" t="s">
        <v>1184</v>
      </c>
      <c r="F1044" s="1031">
        <v>0</v>
      </c>
      <c r="G1044" s="1031">
        <v>867</v>
      </c>
      <c r="H1044" s="1031">
        <v>867</v>
      </c>
      <c r="I1044" s="1032" t="s">
        <v>1185</v>
      </c>
    </row>
    <row r="1045" spans="1:9" x14ac:dyDescent="0.25">
      <c r="A1045" s="1033">
        <v>801328</v>
      </c>
      <c r="B1045" s="129">
        <v>301</v>
      </c>
      <c r="E1045" s="130"/>
    </row>
    <row r="1046" spans="1:9" x14ac:dyDescent="0.25">
      <c r="A1046" s="1033">
        <v>801412</v>
      </c>
      <c r="B1046" s="129">
        <v>1</v>
      </c>
      <c r="C1046" s="130" t="s">
        <v>1186</v>
      </c>
      <c r="D1046" s="130">
        <v>16</v>
      </c>
      <c r="E1046" s="130" t="s">
        <v>1186</v>
      </c>
      <c r="F1046" s="1031">
        <v>0</v>
      </c>
      <c r="G1046" s="1031">
        <v>-0.01</v>
      </c>
      <c r="H1046" s="1031">
        <v>-0.01</v>
      </c>
      <c r="I1046" s="1032" t="s">
        <v>1187</v>
      </c>
    </row>
    <row r="1047" spans="1:9" x14ac:dyDescent="0.25">
      <c r="A1047" s="1033">
        <v>801414</v>
      </c>
      <c r="B1047" s="129">
        <v>237</v>
      </c>
      <c r="C1047" s="130" t="s">
        <v>173</v>
      </c>
      <c r="D1047" s="130">
        <v>16</v>
      </c>
      <c r="E1047" s="130" t="s">
        <v>173</v>
      </c>
      <c r="F1047" s="1031">
        <v>0</v>
      </c>
      <c r="G1047" s="1031">
        <v>-236.7</v>
      </c>
      <c r="H1047" s="1031">
        <v>-236.7</v>
      </c>
      <c r="I1047" s="1032" t="s">
        <v>1188</v>
      </c>
    </row>
    <row r="1048" spans="1:9" x14ac:dyDescent="0.25">
      <c r="A1048" s="1033">
        <v>801416</v>
      </c>
      <c r="B1048" s="129">
        <v>111</v>
      </c>
      <c r="C1048" s="130" t="s">
        <v>173</v>
      </c>
      <c r="D1048" s="130">
        <v>16</v>
      </c>
      <c r="E1048" s="130" t="s">
        <v>173</v>
      </c>
      <c r="F1048" s="1031">
        <v>0</v>
      </c>
      <c r="G1048" s="1031">
        <v>-236.7</v>
      </c>
      <c r="H1048" s="1031">
        <v>-236.7</v>
      </c>
      <c r="I1048" s="1032" t="s">
        <v>1188</v>
      </c>
    </row>
    <row r="1049" spans="1:9" x14ac:dyDescent="0.25">
      <c r="A1049" s="1033"/>
      <c r="C1049" s="130" t="s">
        <v>1189</v>
      </c>
      <c r="D1049" s="130">
        <v>16</v>
      </c>
      <c r="E1049" s="130" t="s">
        <v>1189</v>
      </c>
      <c r="F1049" s="1031">
        <v>0</v>
      </c>
      <c r="G1049" s="1031">
        <v>126</v>
      </c>
      <c r="H1049" s="1031">
        <v>126</v>
      </c>
      <c r="I1049" s="1032" t="s">
        <v>1190</v>
      </c>
    </row>
    <row r="1050" spans="1:9" x14ac:dyDescent="0.25">
      <c r="A1050" s="1033">
        <v>801418</v>
      </c>
      <c r="B1050" s="129">
        <v>468</v>
      </c>
      <c r="E1050" s="130"/>
    </row>
    <row r="1051" spans="1:9" x14ac:dyDescent="0.25">
      <c r="A1051" s="1033">
        <v>801422</v>
      </c>
      <c r="B1051" s="129">
        <v>1</v>
      </c>
      <c r="C1051" s="130" t="s">
        <v>1186</v>
      </c>
      <c r="D1051" s="130">
        <v>16</v>
      </c>
      <c r="E1051" s="130" t="s">
        <v>1186</v>
      </c>
      <c r="F1051" s="1031">
        <v>0</v>
      </c>
      <c r="G1051" s="1031">
        <v>-0.01</v>
      </c>
      <c r="H1051" s="1031">
        <v>-0.01</v>
      </c>
      <c r="I1051" s="1032" t="s">
        <v>1187</v>
      </c>
    </row>
    <row r="1052" spans="1:9" x14ac:dyDescent="0.25">
      <c r="A1052" s="1033">
        <v>801424</v>
      </c>
      <c r="B1052" s="129">
        <v>237</v>
      </c>
      <c r="C1052" s="130" t="s">
        <v>173</v>
      </c>
      <c r="D1052" s="130">
        <v>16</v>
      </c>
      <c r="E1052" s="130" t="s">
        <v>173</v>
      </c>
      <c r="F1052" s="1031">
        <v>0</v>
      </c>
      <c r="G1052" s="1031">
        <v>-236.7</v>
      </c>
      <c r="H1052" s="1031">
        <v>-236.7</v>
      </c>
      <c r="I1052" s="1032" t="s">
        <v>1188</v>
      </c>
    </row>
    <row r="1053" spans="1:9" x14ac:dyDescent="0.25">
      <c r="A1053" s="1033">
        <v>801426</v>
      </c>
      <c r="B1053" s="129">
        <v>111</v>
      </c>
      <c r="C1053" s="130" t="s">
        <v>173</v>
      </c>
      <c r="D1053" s="130">
        <v>16</v>
      </c>
      <c r="E1053" s="130" t="s">
        <v>173</v>
      </c>
      <c r="F1053" s="1031">
        <v>0</v>
      </c>
      <c r="G1053" s="1031">
        <v>-236.7</v>
      </c>
      <c r="H1053" s="1031">
        <v>-236.7</v>
      </c>
      <c r="I1053" s="1032" t="s">
        <v>1188</v>
      </c>
    </row>
    <row r="1054" spans="1:9" x14ac:dyDescent="0.25">
      <c r="A1054" s="1033"/>
      <c r="C1054" s="130" t="s">
        <v>1189</v>
      </c>
      <c r="D1054" s="130">
        <v>16</v>
      </c>
      <c r="E1054" s="130" t="s">
        <v>1189</v>
      </c>
      <c r="F1054" s="1031">
        <v>0</v>
      </c>
      <c r="G1054" s="1031">
        <v>126</v>
      </c>
      <c r="H1054" s="1031">
        <v>126</v>
      </c>
      <c r="I1054" s="1032" t="s">
        <v>1190</v>
      </c>
    </row>
    <row r="1055" spans="1:9" x14ac:dyDescent="0.25">
      <c r="A1055" s="1033">
        <v>801428</v>
      </c>
      <c r="B1055" s="129">
        <v>468</v>
      </c>
      <c r="E1055" s="130"/>
    </row>
    <row r="1056" spans="1:9" x14ac:dyDescent="0.25">
      <c r="A1056" s="1033">
        <v>801512</v>
      </c>
      <c r="B1056" s="129">
        <v>0</v>
      </c>
      <c r="E1056" s="130"/>
    </row>
    <row r="1057" spans="1:5" x14ac:dyDescent="0.25">
      <c r="A1057" s="1033">
        <v>801514</v>
      </c>
      <c r="B1057" s="129">
        <v>0</v>
      </c>
      <c r="E1057" s="130"/>
    </row>
    <row r="1058" spans="1:5" x14ac:dyDescent="0.25">
      <c r="A1058" s="1033">
        <v>801516</v>
      </c>
      <c r="B1058" s="129">
        <v>0</v>
      </c>
      <c r="E1058" s="130"/>
    </row>
    <row r="1059" spans="1:5" x14ac:dyDescent="0.25">
      <c r="A1059" s="1033">
        <v>801518</v>
      </c>
      <c r="B1059" s="129">
        <v>0</v>
      </c>
      <c r="E1059" s="130"/>
    </row>
    <row r="1060" spans="1:5" x14ac:dyDescent="0.25">
      <c r="A1060" s="1033">
        <v>801522</v>
      </c>
      <c r="B1060" s="129">
        <v>0</v>
      </c>
      <c r="E1060" s="130"/>
    </row>
    <row r="1061" spans="1:5" x14ac:dyDescent="0.25">
      <c r="A1061" s="1033">
        <v>801524</v>
      </c>
      <c r="B1061" s="129">
        <v>0</v>
      </c>
      <c r="E1061" s="130"/>
    </row>
    <row r="1062" spans="1:5" x14ac:dyDescent="0.25">
      <c r="A1062" s="1033">
        <v>801526</v>
      </c>
      <c r="B1062" s="129">
        <v>0</v>
      </c>
      <c r="E1062" s="130"/>
    </row>
    <row r="1063" spans="1:5" x14ac:dyDescent="0.25">
      <c r="A1063" s="1033">
        <v>801528</v>
      </c>
      <c r="B1063" s="129">
        <v>0</v>
      </c>
      <c r="E1063" s="130"/>
    </row>
    <row r="1064" spans="1:5" x14ac:dyDescent="0.25">
      <c r="A1064" s="1033">
        <v>801612</v>
      </c>
      <c r="B1064" s="129">
        <v>0</v>
      </c>
      <c r="E1064" s="130"/>
    </row>
    <row r="1065" spans="1:5" x14ac:dyDescent="0.25">
      <c r="A1065" s="1033">
        <v>801614</v>
      </c>
      <c r="B1065" s="129">
        <v>0</v>
      </c>
      <c r="E1065" s="130"/>
    </row>
    <row r="1066" spans="1:5" x14ac:dyDescent="0.25">
      <c r="A1066" s="1033">
        <v>801616</v>
      </c>
      <c r="B1066" s="129">
        <v>0</v>
      </c>
      <c r="E1066" s="130"/>
    </row>
    <row r="1067" spans="1:5" x14ac:dyDescent="0.25">
      <c r="A1067" s="1033">
        <v>801618</v>
      </c>
      <c r="B1067" s="129">
        <v>0</v>
      </c>
      <c r="E1067" s="130"/>
    </row>
    <row r="1068" spans="1:5" x14ac:dyDescent="0.25">
      <c r="A1068" s="1033">
        <v>801622</v>
      </c>
      <c r="B1068" s="129">
        <v>0</v>
      </c>
      <c r="E1068" s="130"/>
    </row>
    <row r="1069" spans="1:5" x14ac:dyDescent="0.25">
      <c r="A1069" s="1033">
        <v>801624</v>
      </c>
      <c r="B1069" s="129">
        <v>0</v>
      </c>
      <c r="E1069" s="130"/>
    </row>
    <row r="1070" spans="1:5" x14ac:dyDescent="0.25">
      <c r="A1070" s="1033">
        <v>801626</v>
      </c>
      <c r="B1070" s="129">
        <v>0</v>
      </c>
      <c r="E1070" s="130"/>
    </row>
    <row r="1071" spans="1:5" x14ac:dyDescent="0.25">
      <c r="A1071" s="1033">
        <v>801628</v>
      </c>
      <c r="B1071" s="129">
        <v>0</v>
      </c>
      <c r="E1071" s="130"/>
    </row>
    <row r="1072" spans="1:5" x14ac:dyDescent="0.25">
      <c r="A1072" s="1033">
        <v>801712</v>
      </c>
      <c r="B1072" s="129">
        <v>10</v>
      </c>
      <c r="E1072" s="130"/>
    </row>
    <row r="1073" spans="1:9" x14ac:dyDescent="0.25">
      <c r="A1073" s="1033">
        <v>801714</v>
      </c>
      <c r="B1073" s="129">
        <v>3110</v>
      </c>
      <c r="E1073" s="130"/>
    </row>
    <row r="1074" spans="1:9" x14ac:dyDescent="0.25">
      <c r="A1074" s="1033">
        <v>801716</v>
      </c>
      <c r="B1074" s="129">
        <v>1223</v>
      </c>
      <c r="C1074" s="130" t="s">
        <v>120</v>
      </c>
      <c r="D1074" s="130">
        <v>16</v>
      </c>
      <c r="E1074" s="130" t="s">
        <v>120</v>
      </c>
      <c r="F1074" s="1031">
        <v>0</v>
      </c>
      <c r="G1074" s="1031">
        <v>-1631.55</v>
      </c>
      <c r="H1074" s="1031">
        <v>-1631.55</v>
      </c>
      <c r="I1074" s="1032" t="s">
        <v>1178</v>
      </c>
    </row>
    <row r="1075" spans="1:9" x14ac:dyDescent="0.25">
      <c r="A1075" s="1033"/>
      <c r="C1075" s="130" t="s">
        <v>1179</v>
      </c>
      <c r="D1075" s="130">
        <v>16</v>
      </c>
      <c r="E1075" s="130" t="s">
        <v>1179</v>
      </c>
      <c r="F1075" s="1031">
        <v>0</v>
      </c>
      <c r="G1075" s="1031">
        <v>894</v>
      </c>
      <c r="H1075" s="1031">
        <v>894</v>
      </c>
      <c r="I1075" s="1032" t="s">
        <v>1180</v>
      </c>
    </row>
    <row r="1076" spans="1:9" x14ac:dyDescent="0.25">
      <c r="A1076" s="1033"/>
      <c r="C1076" s="130" t="s">
        <v>121</v>
      </c>
      <c r="D1076" s="130">
        <v>16</v>
      </c>
      <c r="E1076" s="130" t="s">
        <v>121</v>
      </c>
      <c r="F1076" s="1031">
        <v>0</v>
      </c>
      <c r="G1076" s="1031">
        <v>-1240.8</v>
      </c>
      <c r="H1076" s="1031">
        <v>-1240.8</v>
      </c>
      <c r="I1076" s="1032" t="s">
        <v>1183</v>
      </c>
    </row>
    <row r="1077" spans="1:9" x14ac:dyDescent="0.25">
      <c r="A1077" s="1033"/>
      <c r="C1077" s="130" t="s">
        <v>1184</v>
      </c>
      <c r="D1077" s="130">
        <v>16</v>
      </c>
      <c r="E1077" s="130" t="s">
        <v>1184</v>
      </c>
      <c r="F1077" s="1031">
        <v>0</v>
      </c>
      <c r="G1077" s="1031">
        <v>867</v>
      </c>
      <c r="H1077" s="1031">
        <v>867</v>
      </c>
      <c r="I1077" s="1032" t="s">
        <v>1185</v>
      </c>
    </row>
    <row r="1078" spans="1:9" x14ac:dyDescent="0.25">
      <c r="A1078" s="1033"/>
      <c r="C1078" s="130" t="s">
        <v>173</v>
      </c>
      <c r="D1078" s="130">
        <v>16</v>
      </c>
      <c r="E1078" s="130" t="s">
        <v>173</v>
      </c>
      <c r="F1078" s="1031">
        <v>0</v>
      </c>
      <c r="G1078" s="1031">
        <v>-236.7</v>
      </c>
      <c r="H1078" s="1031">
        <v>-236.7</v>
      </c>
      <c r="I1078" s="1032" t="s">
        <v>1188</v>
      </c>
    </row>
    <row r="1079" spans="1:9" x14ac:dyDescent="0.25">
      <c r="A1079" s="1033"/>
      <c r="C1079" s="130" t="s">
        <v>1189</v>
      </c>
      <c r="D1079" s="130">
        <v>16</v>
      </c>
      <c r="E1079" s="130" t="s">
        <v>1189</v>
      </c>
      <c r="F1079" s="1031">
        <v>0</v>
      </c>
      <c r="G1079" s="1031">
        <v>126</v>
      </c>
      <c r="H1079" s="1031">
        <v>126</v>
      </c>
      <c r="I1079" s="1032" t="s">
        <v>1190</v>
      </c>
    </row>
    <row r="1080" spans="1:9" x14ac:dyDescent="0.25">
      <c r="A1080" s="1033">
        <v>801718</v>
      </c>
      <c r="B1080" s="129">
        <v>393</v>
      </c>
      <c r="E1080" s="130"/>
    </row>
    <row r="1081" spans="1:9" x14ac:dyDescent="0.25">
      <c r="A1081" s="1033">
        <v>801722</v>
      </c>
      <c r="B1081" s="129">
        <v>10</v>
      </c>
      <c r="E1081" s="130"/>
    </row>
    <row r="1082" spans="1:9" x14ac:dyDescent="0.25">
      <c r="A1082" s="1033">
        <v>801724</v>
      </c>
      <c r="B1082" s="129">
        <v>3110</v>
      </c>
      <c r="E1082" s="130"/>
    </row>
    <row r="1083" spans="1:9" x14ac:dyDescent="0.25">
      <c r="A1083" s="1033">
        <v>801726</v>
      </c>
      <c r="B1083" s="129">
        <v>1223</v>
      </c>
      <c r="C1083" s="130" t="s">
        <v>120</v>
      </c>
      <c r="D1083" s="130">
        <v>16</v>
      </c>
      <c r="E1083" s="130" t="s">
        <v>120</v>
      </c>
      <c r="F1083" s="1031">
        <v>0</v>
      </c>
      <c r="G1083" s="1031">
        <v>-1631.55</v>
      </c>
      <c r="H1083" s="1031">
        <v>-1631.55</v>
      </c>
      <c r="I1083" s="1032" t="s">
        <v>1178</v>
      </c>
    </row>
    <row r="1084" spans="1:9" x14ac:dyDescent="0.25">
      <c r="A1084" s="1033"/>
      <c r="C1084" s="130" t="s">
        <v>1179</v>
      </c>
      <c r="D1084" s="130">
        <v>16</v>
      </c>
      <c r="E1084" s="130" t="s">
        <v>1179</v>
      </c>
      <c r="F1084" s="1031">
        <v>0</v>
      </c>
      <c r="G1084" s="1031">
        <v>894</v>
      </c>
      <c r="H1084" s="1031">
        <v>894</v>
      </c>
      <c r="I1084" s="1032" t="s">
        <v>1180</v>
      </c>
    </row>
    <row r="1085" spans="1:9" x14ac:dyDescent="0.25">
      <c r="A1085" s="1033"/>
      <c r="C1085" s="130" t="s">
        <v>121</v>
      </c>
      <c r="D1085" s="130">
        <v>16</v>
      </c>
      <c r="E1085" s="130" t="s">
        <v>121</v>
      </c>
      <c r="F1085" s="1031">
        <v>0</v>
      </c>
      <c r="G1085" s="1031">
        <v>-1240.8</v>
      </c>
      <c r="H1085" s="1031">
        <v>-1240.8</v>
      </c>
      <c r="I1085" s="1032" t="s">
        <v>1183</v>
      </c>
    </row>
    <row r="1086" spans="1:9" x14ac:dyDescent="0.25">
      <c r="A1086" s="1033"/>
      <c r="C1086" s="130" t="s">
        <v>1184</v>
      </c>
      <c r="D1086" s="130">
        <v>16</v>
      </c>
      <c r="E1086" s="130" t="s">
        <v>1184</v>
      </c>
      <c r="F1086" s="1031">
        <v>0</v>
      </c>
      <c r="G1086" s="1031">
        <v>867</v>
      </c>
      <c r="H1086" s="1031">
        <v>867</v>
      </c>
      <c r="I1086" s="1032" t="s">
        <v>1185</v>
      </c>
    </row>
    <row r="1087" spans="1:9" x14ac:dyDescent="0.25">
      <c r="A1087" s="1033"/>
      <c r="C1087" s="130" t="s">
        <v>173</v>
      </c>
      <c r="D1087" s="130">
        <v>16</v>
      </c>
      <c r="E1087" s="130" t="s">
        <v>173</v>
      </c>
      <c r="F1087" s="1031">
        <v>0</v>
      </c>
      <c r="G1087" s="1031">
        <v>-236.7</v>
      </c>
      <c r="H1087" s="1031">
        <v>-236.7</v>
      </c>
      <c r="I1087" s="1032" t="s">
        <v>1188</v>
      </c>
    </row>
    <row r="1088" spans="1:9" x14ac:dyDescent="0.25">
      <c r="A1088" s="1033"/>
      <c r="C1088" s="130" t="s">
        <v>1189</v>
      </c>
      <c r="D1088" s="130">
        <v>16</v>
      </c>
      <c r="E1088" s="130" t="s">
        <v>1189</v>
      </c>
      <c r="F1088" s="1031">
        <v>0</v>
      </c>
      <c r="G1088" s="1031">
        <v>126</v>
      </c>
      <c r="H1088" s="1031">
        <v>126</v>
      </c>
      <c r="I1088" s="1032" t="s">
        <v>1190</v>
      </c>
    </row>
    <row r="1089" spans="1:9" x14ac:dyDescent="0.25">
      <c r="A1089" s="1033">
        <v>801728</v>
      </c>
      <c r="B1089" s="129">
        <v>393</v>
      </c>
      <c r="E1089" s="130"/>
    </row>
    <row r="1090" spans="1:9" x14ac:dyDescent="0.25">
      <c r="A1090" s="1033">
        <v>801812</v>
      </c>
      <c r="B1090" s="129">
        <v>21</v>
      </c>
      <c r="C1090" s="130" t="s">
        <v>1191</v>
      </c>
      <c r="D1090" s="130">
        <v>16</v>
      </c>
      <c r="E1090" s="130" t="s">
        <v>1191</v>
      </c>
      <c r="F1090" s="1031">
        <v>0</v>
      </c>
      <c r="G1090" s="1031">
        <v>-0.21</v>
      </c>
      <c r="H1090" s="1031">
        <v>-0.21</v>
      </c>
      <c r="I1090" s="1032" t="s">
        <v>1192</v>
      </c>
    </row>
    <row r="1091" spans="1:9" x14ac:dyDescent="0.25">
      <c r="A1091" s="1033">
        <v>801814</v>
      </c>
      <c r="B1091" s="129">
        <v>12238</v>
      </c>
      <c r="C1091" s="130" t="s">
        <v>124</v>
      </c>
      <c r="D1091" s="130">
        <v>16</v>
      </c>
      <c r="E1091" s="130" t="s">
        <v>124</v>
      </c>
      <c r="F1091" s="1031">
        <v>0</v>
      </c>
      <c r="G1091" s="1031">
        <v>-12238.2</v>
      </c>
      <c r="H1091" s="1031">
        <v>-12238.2</v>
      </c>
      <c r="I1091" s="1032" t="s">
        <v>1193</v>
      </c>
    </row>
    <row r="1092" spans="1:9" x14ac:dyDescent="0.25">
      <c r="A1092" s="1033">
        <v>801816</v>
      </c>
      <c r="B1092" s="129">
        <v>6968</v>
      </c>
      <c r="C1092" s="130" t="s">
        <v>124</v>
      </c>
      <c r="D1092" s="130">
        <v>16</v>
      </c>
      <c r="E1092" s="130" t="s">
        <v>124</v>
      </c>
      <c r="F1092" s="1031">
        <v>0</v>
      </c>
      <c r="G1092" s="1031">
        <v>-12238.2</v>
      </c>
      <c r="H1092" s="1031">
        <v>-12238.2</v>
      </c>
      <c r="I1092" s="1032" t="s">
        <v>1193</v>
      </c>
    </row>
    <row r="1093" spans="1:9" x14ac:dyDescent="0.25">
      <c r="A1093" s="1033"/>
      <c r="C1093" s="130" t="s">
        <v>1194</v>
      </c>
      <c r="D1093" s="130">
        <v>16</v>
      </c>
      <c r="E1093" s="130" t="s">
        <v>1194</v>
      </c>
      <c r="F1093" s="1031">
        <v>0</v>
      </c>
      <c r="G1093" s="1031">
        <v>5269.89</v>
      </c>
      <c r="H1093" s="1031">
        <v>5269.89</v>
      </c>
      <c r="I1093" s="1032" t="s">
        <v>1195</v>
      </c>
    </row>
    <row r="1094" spans="1:9" x14ac:dyDescent="0.25">
      <c r="A1094" s="1033">
        <v>801818</v>
      </c>
      <c r="B1094" s="129">
        <v>569</v>
      </c>
      <c r="E1094" s="130"/>
    </row>
    <row r="1095" spans="1:9" x14ac:dyDescent="0.25">
      <c r="A1095" s="1033">
        <v>801822</v>
      </c>
      <c r="B1095" s="129">
        <v>21</v>
      </c>
      <c r="C1095" s="130" t="s">
        <v>1191</v>
      </c>
      <c r="D1095" s="130">
        <v>16</v>
      </c>
      <c r="E1095" s="130" t="s">
        <v>1191</v>
      </c>
      <c r="F1095" s="1031">
        <v>0</v>
      </c>
      <c r="G1095" s="1031">
        <v>-0.21</v>
      </c>
      <c r="H1095" s="1031">
        <v>-0.21</v>
      </c>
      <c r="I1095" s="1032" t="s">
        <v>1192</v>
      </c>
    </row>
    <row r="1096" spans="1:9" x14ac:dyDescent="0.25">
      <c r="A1096" s="1033">
        <v>801824</v>
      </c>
      <c r="B1096" s="129">
        <v>12238</v>
      </c>
      <c r="C1096" s="130" t="s">
        <v>124</v>
      </c>
      <c r="D1096" s="130">
        <v>16</v>
      </c>
      <c r="E1096" s="130" t="s">
        <v>124</v>
      </c>
      <c r="F1096" s="1031">
        <v>0</v>
      </c>
      <c r="G1096" s="1031">
        <v>-12238.2</v>
      </c>
      <c r="H1096" s="1031">
        <v>-12238.2</v>
      </c>
      <c r="I1096" s="1032" t="s">
        <v>1193</v>
      </c>
    </row>
    <row r="1097" spans="1:9" x14ac:dyDescent="0.25">
      <c r="A1097" s="1033">
        <v>801826</v>
      </c>
      <c r="B1097" s="129">
        <v>6968</v>
      </c>
      <c r="C1097" s="130" t="s">
        <v>124</v>
      </c>
      <c r="D1097" s="130">
        <v>16</v>
      </c>
      <c r="E1097" s="130" t="s">
        <v>124</v>
      </c>
      <c r="F1097" s="1031">
        <v>0</v>
      </c>
      <c r="G1097" s="1031">
        <v>-12238.2</v>
      </c>
      <c r="H1097" s="1031">
        <v>-12238.2</v>
      </c>
      <c r="I1097" s="1032" t="s">
        <v>1193</v>
      </c>
    </row>
    <row r="1098" spans="1:9" x14ac:dyDescent="0.25">
      <c r="A1098" s="1033"/>
      <c r="C1098" s="130" t="s">
        <v>1194</v>
      </c>
      <c r="D1098" s="130">
        <v>16</v>
      </c>
      <c r="E1098" s="130" t="s">
        <v>1194</v>
      </c>
      <c r="F1098" s="1031">
        <v>0</v>
      </c>
      <c r="G1098" s="1031">
        <v>5269.89</v>
      </c>
      <c r="H1098" s="1031">
        <v>5269.89</v>
      </c>
      <c r="I1098" s="1032" t="s">
        <v>1195</v>
      </c>
    </row>
    <row r="1099" spans="1:9" x14ac:dyDescent="0.25">
      <c r="A1099" s="1033">
        <v>801828</v>
      </c>
      <c r="B1099" s="129">
        <v>569</v>
      </c>
      <c r="E1099" s="130"/>
    </row>
    <row r="1100" spans="1:9" x14ac:dyDescent="0.25">
      <c r="A1100" s="1033">
        <v>801912</v>
      </c>
      <c r="B1100" s="129">
        <v>21</v>
      </c>
      <c r="C1100" s="130" t="s">
        <v>1196</v>
      </c>
      <c r="D1100" s="130">
        <v>16</v>
      </c>
      <c r="E1100" s="130" t="s">
        <v>1196</v>
      </c>
      <c r="F1100" s="1031">
        <v>0</v>
      </c>
      <c r="G1100" s="1031">
        <v>-0.21</v>
      </c>
      <c r="H1100" s="1031">
        <v>-0.21</v>
      </c>
      <c r="I1100" s="1032" t="s">
        <v>1197</v>
      </c>
    </row>
    <row r="1101" spans="1:9" x14ac:dyDescent="0.25">
      <c r="A1101" s="1033">
        <v>801914</v>
      </c>
      <c r="B1101" s="129">
        <v>6178</v>
      </c>
      <c r="C1101" s="130" t="s">
        <v>125</v>
      </c>
      <c r="D1101" s="130">
        <v>16</v>
      </c>
      <c r="E1101" s="130" t="s">
        <v>125</v>
      </c>
      <c r="F1101" s="1031">
        <v>0</v>
      </c>
      <c r="G1101" s="1031">
        <v>-6177.57</v>
      </c>
      <c r="H1101" s="1031">
        <v>-6177.57</v>
      </c>
      <c r="I1101" s="1032" t="s">
        <v>1198</v>
      </c>
    </row>
    <row r="1102" spans="1:9" x14ac:dyDescent="0.25">
      <c r="A1102" s="1033">
        <v>801916</v>
      </c>
      <c r="B1102" s="129">
        <v>3691</v>
      </c>
      <c r="C1102" s="130" t="s">
        <v>125</v>
      </c>
      <c r="D1102" s="130">
        <v>16</v>
      </c>
      <c r="E1102" s="130" t="s">
        <v>125</v>
      </c>
      <c r="F1102" s="1031">
        <v>0</v>
      </c>
      <c r="G1102" s="1031">
        <v>-6177.57</v>
      </c>
      <c r="H1102" s="1031">
        <v>-6177.57</v>
      </c>
      <c r="I1102" s="1032" t="s">
        <v>1198</v>
      </c>
    </row>
    <row r="1103" spans="1:9" x14ac:dyDescent="0.25">
      <c r="A1103" s="1033"/>
      <c r="C1103" s="130" t="s">
        <v>1199</v>
      </c>
      <c r="D1103" s="130">
        <v>16</v>
      </c>
      <c r="E1103" s="130" t="s">
        <v>1199</v>
      </c>
      <c r="F1103" s="1031">
        <v>0</v>
      </c>
      <c r="G1103" s="1031">
        <v>2487.06</v>
      </c>
      <c r="H1103" s="1031">
        <v>2487.06</v>
      </c>
      <c r="I1103" s="1032" t="s">
        <v>1200</v>
      </c>
    </row>
    <row r="1104" spans="1:9" x14ac:dyDescent="0.25">
      <c r="A1104" s="1033">
        <v>801918</v>
      </c>
      <c r="B1104" s="129">
        <v>597</v>
      </c>
      <c r="E1104" s="130"/>
    </row>
    <row r="1105" spans="1:9" x14ac:dyDescent="0.25">
      <c r="A1105" s="1033">
        <v>801922</v>
      </c>
      <c r="B1105" s="129">
        <v>21</v>
      </c>
      <c r="C1105" s="130" t="s">
        <v>1196</v>
      </c>
      <c r="D1105" s="130">
        <v>16</v>
      </c>
      <c r="E1105" s="130" t="s">
        <v>1196</v>
      </c>
      <c r="F1105" s="1031">
        <v>0</v>
      </c>
      <c r="G1105" s="1031">
        <v>-0.21</v>
      </c>
      <c r="H1105" s="1031">
        <v>-0.21</v>
      </c>
      <c r="I1105" s="1032" t="s">
        <v>1197</v>
      </c>
    </row>
    <row r="1106" spans="1:9" x14ac:dyDescent="0.25">
      <c r="A1106" s="1033">
        <v>801924</v>
      </c>
      <c r="B1106" s="129">
        <v>6178</v>
      </c>
      <c r="C1106" s="130" t="s">
        <v>125</v>
      </c>
      <c r="D1106" s="130">
        <v>16</v>
      </c>
      <c r="E1106" s="130" t="s">
        <v>125</v>
      </c>
      <c r="F1106" s="1031">
        <v>0</v>
      </c>
      <c r="G1106" s="1031">
        <v>-6177.57</v>
      </c>
      <c r="H1106" s="1031">
        <v>-6177.57</v>
      </c>
      <c r="I1106" s="1032" t="s">
        <v>1198</v>
      </c>
    </row>
    <row r="1107" spans="1:9" x14ac:dyDescent="0.25">
      <c r="A1107" s="1033">
        <v>801926</v>
      </c>
      <c r="B1107" s="129">
        <v>3691</v>
      </c>
      <c r="C1107" s="130" t="s">
        <v>125</v>
      </c>
      <c r="D1107" s="130">
        <v>16</v>
      </c>
      <c r="E1107" s="130" t="s">
        <v>125</v>
      </c>
      <c r="F1107" s="1031">
        <v>0</v>
      </c>
      <c r="G1107" s="1031">
        <v>-6177.57</v>
      </c>
      <c r="H1107" s="1031">
        <v>-6177.57</v>
      </c>
      <c r="I1107" s="1032" t="s">
        <v>1198</v>
      </c>
    </row>
    <row r="1108" spans="1:9" x14ac:dyDescent="0.25">
      <c r="A1108" s="1033"/>
      <c r="C1108" s="130" t="s">
        <v>1199</v>
      </c>
      <c r="D1108" s="130">
        <v>16</v>
      </c>
      <c r="E1108" s="130" t="s">
        <v>1199</v>
      </c>
      <c r="F1108" s="1031">
        <v>0</v>
      </c>
      <c r="G1108" s="1031">
        <v>2487.06</v>
      </c>
      <c r="H1108" s="1031">
        <v>2487.06</v>
      </c>
      <c r="I1108" s="1032" t="s">
        <v>1200</v>
      </c>
    </row>
    <row r="1109" spans="1:9" x14ac:dyDescent="0.25">
      <c r="A1109" s="1033">
        <v>801928</v>
      </c>
      <c r="B1109" s="129">
        <v>597</v>
      </c>
      <c r="E1109" s="130"/>
    </row>
    <row r="1110" spans="1:9" x14ac:dyDescent="0.25">
      <c r="A1110" s="1033">
        <v>802012</v>
      </c>
      <c r="B1110" s="129">
        <v>3</v>
      </c>
      <c r="C1110" s="130" t="s">
        <v>1201</v>
      </c>
      <c r="D1110" s="130">
        <v>16</v>
      </c>
      <c r="E1110" s="130" t="s">
        <v>1201</v>
      </c>
      <c r="F1110" s="1031">
        <v>0</v>
      </c>
      <c r="G1110" s="1031">
        <v>-0.03</v>
      </c>
      <c r="H1110" s="1031">
        <v>-0.03</v>
      </c>
      <c r="I1110" s="1032" t="s">
        <v>1202</v>
      </c>
    </row>
    <row r="1111" spans="1:9" x14ac:dyDescent="0.25">
      <c r="A1111" s="1033">
        <v>802014</v>
      </c>
      <c r="B1111" s="129">
        <v>1041</v>
      </c>
      <c r="C1111" s="130" t="s">
        <v>174</v>
      </c>
      <c r="D1111" s="130">
        <v>16</v>
      </c>
      <c r="E1111" s="130" t="s">
        <v>174</v>
      </c>
      <c r="F1111" s="1031">
        <v>0</v>
      </c>
      <c r="G1111" s="1031">
        <v>-1041.3</v>
      </c>
      <c r="H1111" s="1031">
        <v>-1041.3</v>
      </c>
      <c r="I1111" s="1032" t="s">
        <v>1203</v>
      </c>
    </row>
    <row r="1112" spans="1:9" x14ac:dyDescent="0.25">
      <c r="A1112" s="1033">
        <v>802016</v>
      </c>
      <c r="B1112" s="129">
        <v>838</v>
      </c>
      <c r="C1112" s="130" t="s">
        <v>174</v>
      </c>
      <c r="D1112" s="130">
        <v>16</v>
      </c>
      <c r="E1112" s="130" t="s">
        <v>174</v>
      </c>
      <c r="F1112" s="1031">
        <v>0</v>
      </c>
      <c r="G1112" s="1031">
        <v>-1041.3</v>
      </c>
      <c r="H1112" s="1031">
        <v>-1041.3</v>
      </c>
      <c r="I1112" s="1032" t="s">
        <v>1203</v>
      </c>
    </row>
    <row r="1113" spans="1:9" x14ac:dyDescent="0.25">
      <c r="A1113" s="1033"/>
      <c r="C1113" s="130" t="s">
        <v>1204</v>
      </c>
      <c r="D1113" s="130">
        <v>16</v>
      </c>
      <c r="E1113" s="130" t="s">
        <v>1204</v>
      </c>
      <c r="F1113" s="1031">
        <v>0</v>
      </c>
      <c r="G1113" s="1031">
        <v>202.55</v>
      </c>
      <c r="H1113" s="1031">
        <v>202.55</v>
      </c>
      <c r="I1113" s="1032" t="s">
        <v>1205</v>
      </c>
    </row>
    <row r="1114" spans="1:9" x14ac:dyDescent="0.25">
      <c r="A1114" s="1033">
        <v>802018</v>
      </c>
      <c r="B1114" s="129">
        <v>805</v>
      </c>
      <c r="E1114" s="130"/>
    </row>
    <row r="1115" spans="1:9" x14ac:dyDescent="0.25">
      <c r="A1115" s="1033">
        <v>802022</v>
      </c>
      <c r="B1115" s="129">
        <v>3</v>
      </c>
      <c r="C1115" s="130" t="s">
        <v>1201</v>
      </c>
      <c r="D1115" s="130">
        <v>16</v>
      </c>
      <c r="E1115" s="130" t="s">
        <v>1201</v>
      </c>
      <c r="F1115" s="1031">
        <v>0</v>
      </c>
      <c r="G1115" s="1031">
        <v>-0.03</v>
      </c>
      <c r="H1115" s="1031">
        <v>-0.03</v>
      </c>
      <c r="I1115" s="1032" t="s">
        <v>1202</v>
      </c>
    </row>
    <row r="1116" spans="1:9" x14ac:dyDescent="0.25">
      <c r="A1116" s="1033">
        <v>802024</v>
      </c>
      <c r="B1116" s="129">
        <v>1041</v>
      </c>
      <c r="C1116" s="130" t="s">
        <v>174</v>
      </c>
      <c r="D1116" s="130">
        <v>16</v>
      </c>
      <c r="E1116" s="130" t="s">
        <v>174</v>
      </c>
      <c r="F1116" s="1031">
        <v>0</v>
      </c>
      <c r="G1116" s="1031">
        <v>-1041.3</v>
      </c>
      <c r="H1116" s="1031">
        <v>-1041.3</v>
      </c>
      <c r="I1116" s="1032" t="s">
        <v>1203</v>
      </c>
    </row>
    <row r="1117" spans="1:9" x14ac:dyDescent="0.25">
      <c r="A1117" s="1033">
        <v>802026</v>
      </c>
      <c r="B1117" s="129">
        <v>838</v>
      </c>
      <c r="C1117" s="130" t="s">
        <v>174</v>
      </c>
      <c r="D1117" s="130">
        <v>16</v>
      </c>
      <c r="E1117" s="130" t="s">
        <v>174</v>
      </c>
      <c r="F1117" s="1031">
        <v>0</v>
      </c>
      <c r="G1117" s="1031">
        <v>-1041.3</v>
      </c>
      <c r="H1117" s="1031">
        <v>-1041.3</v>
      </c>
      <c r="I1117" s="1032" t="s">
        <v>1203</v>
      </c>
    </row>
    <row r="1118" spans="1:9" x14ac:dyDescent="0.25">
      <c r="A1118" s="1033"/>
      <c r="C1118" s="130" t="s">
        <v>1204</v>
      </c>
      <c r="D1118" s="130">
        <v>16</v>
      </c>
      <c r="E1118" s="130" t="s">
        <v>1204</v>
      </c>
      <c r="F1118" s="1031">
        <v>0</v>
      </c>
      <c r="G1118" s="1031">
        <v>202.55</v>
      </c>
      <c r="H1118" s="1031">
        <v>202.55</v>
      </c>
      <c r="I1118" s="1032" t="s">
        <v>1205</v>
      </c>
    </row>
    <row r="1119" spans="1:9" x14ac:dyDescent="0.25">
      <c r="A1119" s="1033">
        <v>802028</v>
      </c>
      <c r="B1119" s="129">
        <v>805</v>
      </c>
      <c r="E1119" s="130"/>
    </row>
    <row r="1120" spans="1:9" x14ac:dyDescent="0.25">
      <c r="A1120" s="1033">
        <v>802112</v>
      </c>
      <c r="B1120" s="129">
        <v>0</v>
      </c>
      <c r="E1120" s="130"/>
    </row>
    <row r="1121" spans="1:5" x14ac:dyDescent="0.25">
      <c r="A1121" s="1033">
        <v>802114</v>
      </c>
      <c r="B1121" s="129">
        <v>0</v>
      </c>
      <c r="E1121" s="130"/>
    </row>
    <row r="1122" spans="1:5" x14ac:dyDescent="0.25">
      <c r="A1122" s="1033">
        <v>802116</v>
      </c>
      <c r="B1122" s="129">
        <v>0</v>
      </c>
      <c r="E1122" s="130"/>
    </row>
    <row r="1123" spans="1:5" x14ac:dyDescent="0.25">
      <c r="A1123" s="1033">
        <v>802118</v>
      </c>
      <c r="B1123" s="129">
        <v>0</v>
      </c>
      <c r="E1123" s="130"/>
    </row>
    <row r="1124" spans="1:5" x14ac:dyDescent="0.25">
      <c r="A1124" s="1033">
        <v>802122</v>
      </c>
      <c r="B1124" s="129">
        <v>0</v>
      </c>
      <c r="E1124" s="130"/>
    </row>
    <row r="1125" spans="1:5" x14ac:dyDescent="0.25">
      <c r="A1125" s="1033">
        <v>802124</v>
      </c>
      <c r="B1125" s="129">
        <v>0</v>
      </c>
      <c r="E1125" s="130"/>
    </row>
    <row r="1126" spans="1:5" x14ac:dyDescent="0.25">
      <c r="A1126" s="1033">
        <v>802126</v>
      </c>
      <c r="B1126" s="129">
        <v>0</v>
      </c>
      <c r="E1126" s="130"/>
    </row>
    <row r="1127" spans="1:5" x14ac:dyDescent="0.25">
      <c r="A1127" s="1033">
        <v>802128</v>
      </c>
      <c r="B1127" s="129">
        <v>0</v>
      </c>
      <c r="E1127" s="130"/>
    </row>
    <row r="1128" spans="1:5" x14ac:dyDescent="0.25">
      <c r="A1128" s="1033">
        <v>802212</v>
      </c>
      <c r="B1128" s="129">
        <v>0</v>
      </c>
      <c r="E1128" s="130"/>
    </row>
    <row r="1129" spans="1:5" x14ac:dyDescent="0.25">
      <c r="A1129" s="1033">
        <v>802214</v>
      </c>
      <c r="B1129" s="129">
        <v>0</v>
      </c>
      <c r="E1129" s="130"/>
    </row>
    <row r="1130" spans="1:5" x14ac:dyDescent="0.25">
      <c r="A1130" s="1033">
        <v>802216</v>
      </c>
      <c r="B1130" s="129">
        <v>0</v>
      </c>
      <c r="E1130" s="130"/>
    </row>
    <row r="1131" spans="1:5" x14ac:dyDescent="0.25">
      <c r="A1131" s="1033">
        <v>802218</v>
      </c>
      <c r="B1131" s="129">
        <v>0</v>
      </c>
      <c r="E1131" s="130"/>
    </row>
    <row r="1132" spans="1:5" x14ac:dyDescent="0.25">
      <c r="A1132" s="1033">
        <v>802222</v>
      </c>
      <c r="B1132" s="129">
        <v>0</v>
      </c>
      <c r="E1132" s="130"/>
    </row>
    <row r="1133" spans="1:5" x14ac:dyDescent="0.25">
      <c r="A1133" s="1033">
        <v>802224</v>
      </c>
      <c r="B1133" s="129">
        <v>0</v>
      </c>
      <c r="E1133" s="130"/>
    </row>
    <row r="1134" spans="1:5" x14ac:dyDescent="0.25">
      <c r="A1134" s="1033">
        <v>802226</v>
      </c>
      <c r="B1134" s="129">
        <v>0</v>
      </c>
      <c r="E1134" s="130"/>
    </row>
    <row r="1135" spans="1:5" x14ac:dyDescent="0.25">
      <c r="A1135" s="1033">
        <v>802228</v>
      </c>
      <c r="B1135" s="129">
        <v>0</v>
      </c>
      <c r="E1135" s="130"/>
    </row>
    <row r="1136" spans="1:5" x14ac:dyDescent="0.25">
      <c r="A1136" s="1033">
        <v>802312</v>
      </c>
      <c r="B1136" s="129">
        <v>45</v>
      </c>
      <c r="E1136" s="130"/>
    </row>
    <row r="1137" spans="1:9" x14ac:dyDescent="0.25">
      <c r="A1137" s="1033">
        <v>802314</v>
      </c>
      <c r="B1137" s="129">
        <v>19457</v>
      </c>
      <c r="E1137" s="130"/>
    </row>
    <row r="1138" spans="1:9" x14ac:dyDescent="0.25">
      <c r="A1138" s="1033">
        <v>802316</v>
      </c>
      <c r="B1138" s="129">
        <v>11497</v>
      </c>
      <c r="C1138" s="130" t="s">
        <v>124</v>
      </c>
      <c r="D1138" s="130">
        <v>16</v>
      </c>
      <c r="E1138" s="130" t="s">
        <v>124</v>
      </c>
      <c r="F1138" s="1031">
        <v>0</v>
      </c>
      <c r="G1138" s="1031">
        <v>-12238.2</v>
      </c>
      <c r="H1138" s="1031">
        <v>-12238.2</v>
      </c>
      <c r="I1138" s="1032" t="s">
        <v>1193</v>
      </c>
    </row>
    <row r="1139" spans="1:9" x14ac:dyDescent="0.25">
      <c r="A1139" s="1033"/>
      <c r="C1139" s="130" t="s">
        <v>1194</v>
      </c>
      <c r="D1139" s="130">
        <v>16</v>
      </c>
      <c r="E1139" s="130" t="s">
        <v>1194</v>
      </c>
      <c r="F1139" s="1031">
        <v>0</v>
      </c>
      <c r="G1139" s="1031">
        <v>5269.89</v>
      </c>
      <c r="H1139" s="1031">
        <v>5269.89</v>
      </c>
      <c r="I1139" s="1032" t="s">
        <v>1195</v>
      </c>
    </row>
    <row r="1140" spans="1:9" x14ac:dyDescent="0.25">
      <c r="A1140" s="1033"/>
      <c r="C1140" s="130" t="s">
        <v>125</v>
      </c>
      <c r="D1140" s="130">
        <v>16</v>
      </c>
      <c r="E1140" s="130" t="s">
        <v>125</v>
      </c>
      <c r="F1140" s="1031">
        <v>0</v>
      </c>
      <c r="G1140" s="1031">
        <v>-6177.57</v>
      </c>
      <c r="H1140" s="1031">
        <v>-6177.57</v>
      </c>
      <c r="I1140" s="1032" t="s">
        <v>1198</v>
      </c>
    </row>
    <row r="1141" spans="1:9" x14ac:dyDescent="0.25">
      <c r="A1141" s="1033"/>
      <c r="C1141" s="130" t="s">
        <v>1199</v>
      </c>
      <c r="D1141" s="130">
        <v>16</v>
      </c>
      <c r="E1141" s="130" t="s">
        <v>1199</v>
      </c>
      <c r="F1141" s="1031">
        <v>0</v>
      </c>
      <c r="G1141" s="1031">
        <v>2487.06</v>
      </c>
      <c r="H1141" s="1031">
        <v>2487.06</v>
      </c>
      <c r="I1141" s="1032" t="s">
        <v>1200</v>
      </c>
    </row>
    <row r="1142" spans="1:9" x14ac:dyDescent="0.25">
      <c r="A1142" s="1033"/>
      <c r="C1142" s="130" t="s">
        <v>174</v>
      </c>
      <c r="D1142" s="130">
        <v>16</v>
      </c>
      <c r="E1142" s="130" t="s">
        <v>174</v>
      </c>
      <c r="F1142" s="1031">
        <v>0</v>
      </c>
      <c r="G1142" s="1031">
        <v>-1041.3</v>
      </c>
      <c r="H1142" s="1031">
        <v>-1041.3</v>
      </c>
      <c r="I1142" s="1032" t="s">
        <v>1203</v>
      </c>
    </row>
    <row r="1143" spans="1:9" x14ac:dyDescent="0.25">
      <c r="A1143" s="1033"/>
      <c r="C1143" s="130" t="s">
        <v>1204</v>
      </c>
      <c r="D1143" s="130">
        <v>16</v>
      </c>
      <c r="E1143" s="130" t="s">
        <v>1204</v>
      </c>
      <c r="F1143" s="1031">
        <v>0</v>
      </c>
      <c r="G1143" s="1031">
        <v>202.55</v>
      </c>
      <c r="H1143" s="1031">
        <v>202.55</v>
      </c>
      <c r="I1143" s="1032" t="s">
        <v>1205</v>
      </c>
    </row>
    <row r="1144" spans="1:9" x14ac:dyDescent="0.25">
      <c r="A1144" s="1033">
        <v>802318</v>
      </c>
      <c r="B1144" s="129">
        <v>591</v>
      </c>
      <c r="E1144" s="130"/>
    </row>
    <row r="1145" spans="1:9" x14ac:dyDescent="0.25">
      <c r="A1145" s="1033">
        <v>802322</v>
      </c>
      <c r="B1145" s="129">
        <v>45</v>
      </c>
      <c r="E1145" s="130"/>
    </row>
    <row r="1146" spans="1:9" x14ac:dyDescent="0.25">
      <c r="A1146" s="1033">
        <v>802324</v>
      </c>
      <c r="B1146" s="129">
        <v>19457</v>
      </c>
      <c r="E1146" s="130"/>
    </row>
    <row r="1147" spans="1:9" x14ac:dyDescent="0.25">
      <c r="A1147" s="1033">
        <v>802326</v>
      </c>
      <c r="B1147" s="129">
        <v>11497</v>
      </c>
      <c r="C1147" s="130" t="s">
        <v>124</v>
      </c>
      <c r="D1147" s="130">
        <v>16</v>
      </c>
      <c r="E1147" s="130" t="s">
        <v>124</v>
      </c>
      <c r="F1147" s="1031">
        <v>0</v>
      </c>
      <c r="G1147" s="1031">
        <v>-12238.2</v>
      </c>
      <c r="H1147" s="1031">
        <v>-12238.2</v>
      </c>
      <c r="I1147" s="1032" t="s">
        <v>1193</v>
      </c>
    </row>
    <row r="1148" spans="1:9" x14ac:dyDescent="0.25">
      <c r="A1148" s="1033"/>
      <c r="C1148" s="130" t="s">
        <v>1194</v>
      </c>
      <c r="D1148" s="130">
        <v>16</v>
      </c>
      <c r="E1148" s="130" t="s">
        <v>1194</v>
      </c>
      <c r="F1148" s="1031">
        <v>0</v>
      </c>
      <c r="G1148" s="1031">
        <v>5269.89</v>
      </c>
      <c r="H1148" s="1031">
        <v>5269.89</v>
      </c>
      <c r="I1148" s="1032" t="s">
        <v>1195</v>
      </c>
    </row>
    <row r="1149" spans="1:9" x14ac:dyDescent="0.25">
      <c r="A1149" s="1033"/>
      <c r="C1149" s="130" t="s">
        <v>125</v>
      </c>
      <c r="D1149" s="130">
        <v>16</v>
      </c>
      <c r="E1149" s="130" t="s">
        <v>125</v>
      </c>
      <c r="F1149" s="1031">
        <v>0</v>
      </c>
      <c r="G1149" s="1031">
        <v>-6177.57</v>
      </c>
      <c r="H1149" s="1031">
        <v>-6177.57</v>
      </c>
      <c r="I1149" s="1032" t="s">
        <v>1198</v>
      </c>
    </row>
    <row r="1150" spans="1:9" x14ac:dyDescent="0.25">
      <c r="A1150" s="1033"/>
      <c r="C1150" s="130" t="s">
        <v>1199</v>
      </c>
      <c r="D1150" s="130">
        <v>16</v>
      </c>
      <c r="E1150" s="130" t="s">
        <v>1199</v>
      </c>
      <c r="F1150" s="1031">
        <v>0</v>
      </c>
      <c r="G1150" s="1031">
        <v>2487.06</v>
      </c>
      <c r="H1150" s="1031">
        <v>2487.06</v>
      </c>
      <c r="I1150" s="1032" t="s">
        <v>1200</v>
      </c>
    </row>
    <row r="1151" spans="1:9" x14ac:dyDescent="0.25">
      <c r="A1151" s="1033"/>
      <c r="C1151" s="130" t="s">
        <v>174</v>
      </c>
      <c r="D1151" s="130">
        <v>16</v>
      </c>
      <c r="E1151" s="130" t="s">
        <v>174</v>
      </c>
      <c r="F1151" s="1031">
        <v>0</v>
      </c>
      <c r="G1151" s="1031">
        <v>-1041.3</v>
      </c>
      <c r="H1151" s="1031">
        <v>-1041.3</v>
      </c>
      <c r="I1151" s="1032" t="s">
        <v>1203</v>
      </c>
    </row>
    <row r="1152" spans="1:9" x14ac:dyDescent="0.25">
      <c r="A1152" s="1033"/>
      <c r="C1152" s="130" t="s">
        <v>1204</v>
      </c>
      <c r="D1152" s="130">
        <v>16</v>
      </c>
      <c r="E1152" s="130" t="s">
        <v>1204</v>
      </c>
      <c r="F1152" s="1031">
        <v>0</v>
      </c>
      <c r="G1152" s="1031">
        <v>202.55</v>
      </c>
      <c r="H1152" s="1031">
        <v>202.55</v>
      </c>
      <c r="I1152" s="1032" t="s">
        <v>1205</v>
      </c>
    </row>
    <row r="1153" spans="1:9" x14ac:dyDescent="0.25">
      <c r="A1153" s="1033">
        <v>802328</v>
      </c>
      <c r="B1153" s="129">
        <v>591</v>
      </c>
      <c r="E1153" s="130"/>
    </row>
    <row r="1154" spans="1:9" x14ac:dyDescent="0.25">
      <c r="A1154" s="1033">
        <v>802412</v>
      </c>
      <c r="B1154" s="129">
        <v>33</v>
      </c>
      <c r="C1154" s="130" t="s">
        <v>1206</v>
      </c>
      <c r="D1154" s="130">
        <v>16</v>
      </c>
      <c r="E1154" s="130" t="s">
        <v>1206</v>
      </c>
      <c r="F1154" s="1031">
        <v>0</v>
      </c>
      <c r="G1154" s="1031">
        <v>-0.19</v>
      </c>
      <c r="H1154" s="1031">
        <v>-0.19</v>
      </c>
      <c r="I1154" s="1032" t="s">
        <v>1207</v>
      </c>
    </row>
    <row r="1155" spans="1:9" x14ac:dyDescent="0.25">
      <c r="A1155" s="1033"/>
      <c r="C1155" s="130" t="s">
        <v>1206</v>
      </c>
      <c r="D1155" s="130">
        <v>16</v>
      </c>
      <c r="E1155" s="130" t="s">
        <v>1208</v>
      </c>
      <c r="F1155" s="1031">
        <v>0</v>
      </c>
      <c r="G1155" s="1031">
        <v>-0.14000000000000001</v>
      </c>
      <c r="H1155" s="1031">
        <v>-0.14000000000000001</v>
      </c>
      <c r="I1155" s="1032" t="s">
        <v>1209</v>
      </c>
    </row>
    <row r="1156" spans="1:9" x14ac:dyDescent="0.25">
      <c r="A1156" s="1033">
        <v>802414</v>
      </c>
      <c r="B1156" s="129">
        <v>9614</v>
      </c>
      <c r="C1156" s="130" t="s">
        <v>128</v>
      </c>
      <c r="D1156" s="130">
        <v>16</v>
      </c>
      <c r="E1156" s="130" t="s">
        <v>128</v>
      </c>
      <c r="F1156" s="1031">
        <v>0</v>
      </c>
      <c r="G1156" s="1031">
        <v>-6507.77</v>
      </c>
      <c r="H1156" s="1031">
        <v>-6507.77</v>
      </c>
      <c r="I1156" s="1032" t="s">
        <v>1210</v>
      </c>
    </row>
    <row r="1157" spans="1:9" x14ac:dyDescent="0.25">
      <c r="A1157" s="1033"/>
      <c r="C1157" s="130" t="s">
        <v>128</v>
      </c>
      <c r="D1157" s="130">
        <v>16</v>
      </c>
      <c r="E1157" s="130" t="s">
        <v>1211</v>
      </c>
      <c r="F1157" s="1031">
        <v>0</v>
      </c>
      <c r="G1157" s="1031">
        <v>-3106.15</v>
      </c>
      <c r="H1157" s="1031">
        <v>-3106.15</v>
      </c>
      <c r="I1157" s="1032" t="s">
        <v>1212</v>
      </c>
    </row>
    <row r="1158" spans="1:9" x14ac:dyDescent="0.25">
      <c r="A1158" s="1033">
        <v>802416</v>
      </c>
      <c r="B1158" s="129">
        <v>6390</v>
      </c>
      <c r="C1158" s="130" t="s">
        <v>128</v>
      </c>
      <c r="D1158" s="130">
        <v>16</v>
      </c>
      <c r="E1158" s="130" t="s">
        <v>128</v>
      </c>
      <c r="F1158" s="1031">
        <v>0</v>
      </c>
      <c r="G1158" s="1031">
        <v>-6507.77</v>
      </c>
      <c r="H1158" s="1031">
        <v>-6507.77</v>
      </c>
      <c r="I1158" s="1032" t="s">
        <v>1210</v>
      </c>
    </row>
    <row r="1159" spans="1:9" x14ac:dyDescent="0.25">
      <c r="A1159" s="1033"/>
      <c r="C1159" s="130" t="s">
        <v>128</v>
      </c>
      <c r="D1159" s="130">
        <v>16</v>
      </c>
      <c r="E1159" s="130" t="s">
        <v>1211</v>
      </c>
      <c r="F1159" s="1031">
        <v>0</v>
      </c>
      <c r="G1159" s="1031">
        <v>-3106.15</v>
      </c>
      <c r="H1159" s="1031">
        <v>-3106.15</v>
      </c>
      <c r="I1159" s="1032" t="s">
        <v>1212</v>
      </c>
    </row>
    <row r="1160" spans="1:9" x14ac:dyDescent="0.25">
      <c r="A1160" s="1033"/>
      <c r="C1160" s="130" t="s">
        <v>1213</v>
      </c>
      <c r="D1160" s="130">
        <v>16</v>
      </c>
      <c r="E1160" s="130" t="s">
        <v>1213</v>
      </c>
      <c r="F1160" s="1031">
        <v>0</v>
      </c>
      <c r="G1160" s="1031">
        <v>1378.06</v>
      </c>
      <c r="H1160" s="1031">
        <v>1378.06</v>
      </c>
      <c r="I1160" s="1032" t="s">
        <v>1214</v>
      </c>
    </row>
    <row r="1161" spans="1:9" x14ac:dyDescent="0.25">
      <c r="A1161" s="1033"/>
      <c r="C1161" s="130" t="s">
        <v>1213</v>
      </c>
      <c r="D1161" s="130">
        <v>16</v>
      </c>
      <c r="E1161" s="130" t="s">
        <v>1215</v>
      </c>
      <c r="F1161" s="1031">
        <v>0</v>
      </c>
      <c r="G1161" s="1031">
        <v>1846</v>
      </c>
      <c r="H1161" s="1031">
        <v>1846</v>
      </c>
      <c r="I1161" s="1032" t="s">
        <v>1216</v>
      </c>
    </row>
    <row r="1162" spans="1:9" x14ac:dyDescent="0.25">
      <c r="A1162" s="1033">
        <v>802418</v>
      </c>
      <c r="B1162" s="129">
        <v>665</v>
      </c>
      <c r="E1162" s="130"/>
    </row>
    <row r="1163" spans="1:9" x14ac:dyDescent="0.25">
      <c r="A1163" s="1033">
        <v>802422</v>
      </c>
      <c r="B1163" s="129">
        <v>33</v>
      </c>
      <c r="C1163" s="130" t="s">
        <v>1206</v>
      </c>
      <c r="D1163" s="130">
        <v>16</v>
      </c>
      <c r="E1163" s="130" t="s">
        <v>1206</v>
      </c>
      <c r="F1163" s="1031">
        <v>0</v>
      </c>
      <c r="G1163" s="1031">
        <v>-0.19</v>
      </c>
      <c r="H1163" s="1031">
        <v>-0.19</v>
      </c>
      <c r="I1163" s="1032" t="s">
        <v>1207</v>
      </c>
    </row>
    <row r="1164" spans="1:9" x14ac:dyDescent="0.25">
      <c r="A1164" s="1033"/>
      <c r="C1164" s="130" t="s">
        <v>1206</v>
      </c>
      <c r="D1164" s="130">
        <v>16</v>
      </c>
      <c r="E1164" s="130" t="s">
        <v>1208</v>
      </c>
      <c r="F1164" s="1031">
        <v>0</v>
      </c>
      <c r="G1164" s="1031">
        <v>-0.14000000000000001</v>
      </c>
      <c r="H1164" s="1031">
        <v>-0.14000000000000001</v>
      </c>
      <c r="I1164" s="1032" t="s">
        <v>1209</v>
      </c>
    </row>
    <row r="1165" spans="1:9" x14ac:dyDescent="0.25">
      <c r="A1165" s="1033">
        <v>802424</v>
      </c>
      <c r="B1165" s="129">
        <v>9614</v>
      </c>
      <c r="C1165" s="130" t="s">
        <v>128</v>
      </c>
      <c r="D1165" s="130">
        <v>16</v>
      </c>
      <c r="E1165" s="130" t="s">
        <v>128</v>
      </c>
      <c r="F1165" s="1031">
        <v>0</v>
      </c>
      <c r="G1165" s="1031">
        <v>-6507.77</v>
      </c>
      <c r="H1165" s="1031">
        <v>-6507.77</v>
      </c>
      <c r="I1165" s="1032" t="s">
        <v>1210</v>
      </c>
    </row>
    <row r="1166" spans="1:9" x14ac:dyDescent="0.25">
      <c r="A1166" s="1033"/>
      <c r="C1166" s="130" t="s">
        <v>128</v>
      </c>
      <c r="D1166" s="130">
        <v>16</v>
      </c>
      <c r="E1166" s="130" t="s">
        <v>1211</v>
      </c>
      <c r="F1166" s="1031">
        <v>0</v>
      </c>
      <c r="G1166" s="1031">
        <v>-3106.15</v>
      </c>
      <c r="H1166" s="1031">
        <v>-3106.15</v>
      </c>
      <c r="I1166" s="1032" t="s">
        <v>1212</v>
      </c>
    </row>
    <row r="1167" spans="1:9" x14ac:dyDescent="0.25">
      <c r="A1167" s="1033">
        <v>802426</v>
      </c>
      <c r="B1167" s="129">
        <v>6390</v>
      </c>
      <c r="C1167" s="130" t="s">
        <v>128</v>
      </c>
      <c r="D1167" s="130">
        <v>16</v>
      </c>
      <c r="E1167" s="130" t="s">
        <v>128</v>
      </c>
      <c r="F1167" s="1031">
        <v>0</v>
      </c>
      <c r="G1167" s="1031">
        <v>-6507.77</v>
      </c>
      <c r="H1167" s="1031">
        <v>-6507.77</v>
      </c>
      <c r="I1167" s="1032" t="s">
        <v>1210</v>
      </c>
    </row>
    <row r="1168" spans="1:9" x14ac:dyDescent="0.25">
      <c r="A1168" s="1033"/>
      <c r="C1168" s="130" t="s">
        <v>128</v>
      </c>
      <c r="D1168" s="130">
        <v>16</v>
      </c>
      <c r="E1168" s="130" t="s">
        <v>1211</v>
      </c>
      <c r="F1168" s="1031">
        <v>0</v>
      </c>
      <c r="G1168" s="1031">
        <v>-3106.15</v>
      </c>
      <c r="H1168" s="1031">
        <v>-3106.15</v>
      </c>
      <c r="I1168" s="1032" t="s">
        <v>1212</v>
      </c>
    </row>
    <row r="1169" spans="1:9" x14ac:dyDescent="0.25">
      <c r="A1169" s="1033"/>
      <c r="C1169" s="130" t="s">
        <v>1213</v>
      </c>
      <c r="D1169" s="130">
        <v>16</v>
      </c>
      <c r="E1169" s="130" t="s">
        <v>1213</v>
      </c>
      <c r="F1169" s="1031">
        <v>0</v>
      </c>
      <c r="G1169" s="1031">
        <v>1378.06</v>
      </c>
      <c r="H1169" s="1031">
        <v>1378.06</v>
      </c>
      <c r="I1169" s="1032" t="s">
        <v>1214</v>
      </c>
    </row>
    <row r="1170" spans="1:9" x14ac:dyDescent="0.25">
      <c r="A1170" s="1033"/>
      <c r="C1170" s="130" t="s">
        <v>1213</v>
      </c>
      <c r="D1170" s="130">
        <v>16</v>
      </c>
      <c r="E1170" s="130" t="s">
        <v>1215</v>
      </c>
      <c r="F1170" s="1031">
        <v>0</v>
      </c>
      <c r="G1170" s="1031">
        <v>1846</v>
      </c>
      <c r="H1170" s="1031">
        <v>1846</v>
      </c>
      <c r="I1170" s="1032" t="s">
        <v>1216</v>
      </c>
    </row>
    <row r="1171" spans="1:9" x14ac:dyDescent="0.25">
      <c r="A1171" s="1033">
        <v>802428</v>
      </c>
      <c r="B1171" s="129">
        <v>665</v>
      </c>
      <c r="E1171" s="130"/>
    </row>
    <row r="1172" spans="1:9" x14ac:dyDescent="0.25">
      <c r="A1172" s="1033">
        <v>802512</v>
      </c>
      <c r="B1172" s="129">
        <v>35</v>
      </c>
      <c r="C1172" s="130" t="s">
        <v>1217</v>
      </c>
      <c r="D1172" s="130">
        <v>16</v>
      </c>
      <c r="E1172" s="130" t="s">
        <v>1217</v>
      </c>
      <c r="F1172" s="1031">
        <v>0</v>
      </c>
      <c r="G1172" s="1031">
        <v>-0.23</v>
      </c>
      <c r="H1172" s="1031">
        <v>-0.23</v>
      </c>
      <c r="I1172" s="1032" t="s">
        <v>1218</v>
      </c>
    </row>
    <row r="1173" spans="1:9" x14ac:dyDescent="0.25">
      <c r="A1173" s="1033"/>
      <c r="C1173" s="130" t="s">
        <v>1217</v>
      </c>
      <c r="D1173" s="130">
        <v>16</v>
      </c>
      <c r="E1173" s="130" t="s">
        <v>1219</v>
      </c>
      <c r="F1173" s="1031">
        <v>0</v>
      </c>
      <c r="G1173" s="1031">
        <v>-0.12</v>
      </c>
      <c r="H1173" s="1031">
        <v>-0.12</v>
      </c>
      <c r="I1173" s="1032" t="s">
        <v>1220</v>
      </c>
    </row>
    <row r="1174" spans="1:9" x14ac:dyDescent="0.25">
      <c r="A1174" s="1033">
        <v>802514</v>
      </c>
      <c r="B1174" s="129">
        <v>12377</v>
      </c>
      <c r="C1174" s="130" t="s">
        <v>155</v>
      </c>
      <c r="D1174" s="130">
        <v>16</v>
      </c>
      <c r="E1174" s="130" t="s">
        <v>155</v>
      </c>
      <c r="F1174" s="1031">
        <v>0</v>
      </c>
      <c r="G1174" s="1031">
        <v>-8273.66</v>
      </c>
      <c r="H1174" s="1031">
        <v>-8273.66</v>
      </c>
      <c r="I1174" s="1032" t="s">
        <v>1221</v>
      </c>
    </row>
    <row r="1175" spans="1:9" x14ac:dyDescent="0.25">
      <c r="A1175" s="1033"/>
      <c r="C1175" s="130" t="s">
        <v>155</v>
      </c>
      <c r="D1175" s="130">
        <v>16</v>
      </c>
      <c r="E1175" s="130" t="s">
        <v>2</v>
      </c>
      <c r="F1175" s="1031">
        <v>0</v>
      </c>
      <c r="G1175" s="1031">
        <v>-4103.68</v>
      </c>
      <c r="H1175" s="1031">
        <v>-4103.68</v>
      </c>
      <c r="I1175" s="1032" t="s">
        <v>1222</v>
      </c>
    </row>
    <row r="1176" spans="1:9" x14ac:dyDescent="0.25">
      <c r="A1176" s="1033">
        <v>802516</v>
      </c>
      <c r="B1176" s="129">
        <v>7140</v>
      </c>
      <c r="C1176" s="130" t="s">
        <v>155</v>
      </c>
      <c r="D1176" s="130">
        <v>16</v>
      </c>
      <c r="E1176" s="130" t="s">
        <v>155</v>
      </c>
      <c r="F1176" s="1031">
        <v>0</v>
      </c>
      <c r="G1176" s="1031">
        <v>-8273.66</v>
      </c>
      <c r="H1176" s="1031">
        <v>-8273.66</v>
      </c>
      <c r="I1176" s="1032" t="s">
        <v>1221</v>
      </c>
    </row>
    <row r="1177" spans="1:9" x14ac:dyDescent="0.25">
      <c r="A1177" s="1033"/>
      <c r="C1177" s="130" t="s">
        <v>155</v>
      </c>
      <c r="D1177" s="130">
        <v>16</v>
      </c>
      <c r="E1177" s="130" t="s">
        <v>2</v>
      </c>
      <c r="F1177" s="1031">
        <v>0</v>
      </c>
      <c r="G1177" s="1031">
        <v>-4103.68</v>
      </c>
      <c r="H1177" s="1031">
        <v>-4103.68</v>
      </c>
      <c r="I1177" s="1032" t="s">
        <v>1222</v>
      </c>
    </row>
    <row r="1178" spans="1:9" x14ac:dyDescent="0.25">
      <c r="A1178" s="1033"/>
      <c r="C1178" s="130" t="s">
        <v>1223</v>
      </c>
      <c r="D1178" s="130">
        <v>16</v>
      </c>
      <c r="E1178" s="130" t="s">
        <v>1223</v>
      </c>
      <c r="F1178" s="1031">
        <v>0</v>
      </c>
      <c r="G1178" s="1031">
        <v>2007.77</v>
      </c>
      <c r="H1178" s="1031">
        <v>2007.77</v>
      </c>
      <c r="I1178" s="1032" t="s">
        <v>1224</v>
      </c>
    </row>
    <row r="1179" spans="1:9" x14ac:dyDescent="0.25">
      <c r="A1179" s="1033"/>
      <c r="C1179" s="130" t="s">
        <v>1223</v>
      </c>
      <c r="D1179" s="130">
        <v>16</v>
      </c>
      <c r="E1179" s="130" t="s">
        <v>1225</v>
      </c>
      <c r="F1179" s="1031">
        <v>0</v>
      </c>
      <c r="G1179" s="1031">
        <v>3229.5</v>
      </c>
      <c r="H1179" s="1031">
        <v>3229.5</v>
      </c>
      <c r="I1179" s="1032" t="s">
        <v>1226</v>
      </c>
    </row>
    <row r="1180" spans="1:9" x14ac:dyDescent="0.25">
      <c r="A1180" s="1033">
        <v>802518</v>
      </c>
      <c r="B1180" s="129">
        <v>577</v>
      </c>
      <c r="E1180" s="130"/>
    </row>
    <row r="1181" spans="1:9" x14ac:dyDescent="0.25">
      <c r="A1181" s="1033">
        <v>802522</v>
      </c>
      <c r="B1181" s="129">
        <v>35</v>
      </c>
      <c r="C1181" s="130" t="s">
        <v>1217</v>
      </c>
      <c r="D1181" s="130">
        <v>16</v>
      </c>
      <c r="E1181" s="130" t="s">
        <v>1217</v>
      </c>
      <c r="F1181" s="1031">
        <v>0</v>
      </c>
      <c r="G1181" s="1031">
        <v>-0.23</v>
      </c>
      <c r="H1181" s="1031">
        <v>-0.23</v>
      </c>
      <c r="I1181" s="1032" t="s">
        <v>1218</v>
      </c>
    </row>
    <row r="1182" spans="1:9" x14ac:dyDescent="0.25">
      <c r="A1182" s="1033"/>
      <c r="C1182" s="130" t="s">
        <v>1217</v>
      </c>
      <c r="D1182" s="130">
        <v>16</v>
      </c>
      <c r="E1182" s="130" t="s">
        <v>1219</v>
      </c>
      <c r="F1182" s="1031">
        <v>0</v>
      </c>
      <c r="G1182" s="1031">
        <v>-0.12</v>
      </c>
      <c r="H1182" s="1031">
        <v>-0.12</v>
      </c>
      <c r="I1182" s="1032" t="s">
        <v>1220</v>
      </c>
    </row>
    <row r="1183" spans="1:9" x14ac:dyDescent="0.25">
      <c r="A1183" s="1033">
        <v>802524</v>
      </c>
      <c r="B1183" s="129">
        <v>12377</v>
      </c>
      <c r="C1183" s="130" t="s">
        <v>155</v>
      </c>
      <c r="D1183" s="130">
        <v>16</v>
      </c>
      <c r="E1183" s="130" t="s">
        <v>155</v>
      </c>
      <c r="F1183" s="1031">
        <v>0</v>
      </c>
      <c r="G1183" s="1031">
        <v>-8273.66</v>
      </c>
      <c r="H1183" s="1031">
        <v>-8273.66</v>
      </c>
      <c r="I1183" s="1032" t="s">
        <v>1221</v>
      </c>
    </row>
    <row r="1184" spans="1:9" x14ac:dyDescent="0.25">
      <c r="A1184" s="1033"/>
      <c r="C1184" s="130" t="s">
        <v>155</v>
      </c>
      <c r="D1184" s="130">
        <v>16</v>
      </c>
      <c r="E1184" s="130" t="s">
        <v>2</v>
      </c>
      <c r="F1184" s="1031">
        <v>0</v>
      </c>
      <c r="G1184" s="1031">
        <v>-4103.68</v>
      </c>
      <c r="H1184" s="1031">
        <v>-4103.68</v>
      </c>
      <c r="I1184" s="1032" t="s">
        <v>1222</v>
      </c>
    </row>
    <row r="1185" spans="1:9" x14ac:dyDescent="0.25">
      <c r="A1185" s="1033">
        <v>802526</v>
      </c>
      <c r="B1185" s="129">
        <v>7140</v>
      </c>
      <c r="C1185" s="130" t="s">
        <v>155</v>
      </c>
      <c r="D1185" s="130">
        <v>16</v>
      </c>
      <c r="E1185" s="130" t="s">
        <v>155</v>
      </c>
      <c r="F1185" s="1031">
        <v>0</v>
      </c>
      <c r="G1185" s="1031">
        <v>-8273.66</v>
      </c>
      <c r="H1185" s="1031">
        <v>-8273.66</v>
      </c>
      <c r="I1185" s="1032" t="s">
        <v>1221</v>
      </c>
    </row>
    <row r="1186" spans="1:9" x14ac:dyDescent="0.25">
      <c r="A1186" s="1033"/>
      <c r="C1186" s="130" t="s">
        <v>155</v>
      </c>
      <c r="D1186" s="130">
        <v>16</v>
      </c>
      <c r="E1186" s="130" t="s">
        <v>2</v>
      </c>
      <c r="F1186" s="1031">
        <v>0</v>
      </c>
      <c r="G1186" s="1031">
        <v>-4103.68</v>
      </c>
      <c r="H1186" s="1031">
        <v>-4103.68</v>
      </c>
      <c r="I1186" s="1032" t="s">
        <v>1222</v>
      </c>
    </row>
    <row r="1187" spans="1:9" x14ac:dyDescent="0.25">
      <c r="A1187" s="1033"/>
      <c r="C1187" s="130" t="s">
        <v>1223</v>
      </c>
      <c r="D1187" s="130">
        <v>16</v>
      </c>
      <c r="E1187" s="130" t="s">
        <v>1223</v>
      </c>
      <c r="F1187" s="1031">
        <v>0</v>
      </c>
      <c r="G1187" s="1031">
        <v>2007.77</v>
      </c>
      <c r="H1187" s="1031">
        <v>2007.77</v>
      </c>
      <c r="I1187" s="1032" t="s">
        <v>1224</v>
      </c>
    </row>
    <row r="1188" spans="1:9" x14ac:dyDescent="0.25">
      <c r="A1188" s="1033"/>
      <c r="C1188" s="130" t="s">
        <v>1223</v>
      </c>
      <c r="D1188" s="130">
        <v>16</v>
      </c>
      <c r="E1188" s="130" t="s">
        <v>1225</v>
      </c>
      <c r="F1188" s="1031">
        <v>0</v>
      </c>
      <c r="G1188" s="1031">
        <v>3229.5</v>
      </c>
      <c r="H1188" s="1031">
        <v>3229.5</v>
      </c>
      <c r="I1188" s="1032" t="s">
        <v>1226</v>
      </c>
    </row>
    <row r="1189" spans="1:9" x14ac:dyDescent="0.25">
      <c r="A1189" s="1033">
        <v>802528</v>
      </c>
      <c r="B1189" s="129">
        <v>577</v>
      </c>
      <c r="E1189" s="130"/>
    </row>
    <row r="1190" spans="1:9" x14ac:dyDescent="0.25">
      <c r="A1190" s="1033">
        <v>802612</v>
      </c>
      <c r="B1190" s="129">
        <v>11</v>
      </c>
      <c r="C1190" s="130" t="s">
        <v>1227</v>
      </c>
      <c r="D1190" s="130">
        <v>16</v>
      </c>
      <c r="E1190" s="130" t="s">
        <v>1227</v>
      </c>
      <c r="F1190" s="1031">
        <v>0</v>
      </c>
      <c r="G1190" s="1031">
        <v>-7.0000000000000007E-2</v>
      </c>
      <c r="H1190" s="1031">
        <v>-7.0000000000000007E-2</v>
      </c>
      <c r="I1190" s="1032" t="s">
        <v>1228</v>
      </c>
    </row>
    <row r="1191" spans="1:9" x14ac:dyDescent="0.25">
      <c r="A1191" s="1033"/>
      <c r="C1191" s="130" t="s">
        <v>1227</v>
      </c>
      <c r="D1191" s="130">
        <v>16</v>
      </c>
      <c r="E1191" s="130" t="s">
        <v>1229</v>
      </c>
      <c r="F1191" s="1031">
        <v>0</v>
      </c>
      <c r="G1191" s="1031">
        <v>-0.04</v>
      </c>
      <c r="H1191" s="1031">
        <v>-0.04</v>
      </c>
      <c r="I1191" s="1032" t="s">
        <v>1230</v>
      </c>
    </row>
    <row r="1192" spans="1:9" x14ac:dyDescent="0.25">
      <c r="A1192" s="1033">
        <v>802614</v>
      </c>
      <c r="B1192" s="129">
        <v>2875</v>
      </c>
      <c r="C1192" s="130" t="s">
        <v>175</v>
      </c>
      <c r="D1192" s="130">
        <v>16</v>
      </c>
      <c r="E1192" s="130" t="s">
        <v>175</v>
      </c>
      <c r="F1192" s="1031">
        <v>0</v>
      </c>
      <c r="G1192" s="1031">
        <v>-1958.35</v>
      </c>
      <c r="H1192" s="1031">
        <v>-1958.35</v>
      </c>
      <c r="I1192" s="1032" t="s">
        <v>1231</v>
      </c>
    </row>
    <row r="1193" spans="1:9" x14ac:dyDescent="0.25">
      <c r="A1193" s="1033"/>
      <c r="C1193" s="130" t="s">
        <v>175</v>
      </c>
      <c r="D1193" s="130">
        <v>16</v>
      </c>
      <c r="E1193" s="130" t="s">
        <v>1232</v>
      </c>
      <c r="F1193" s="1031">
        <v>0</v>
      </c>
      <c r="G1193" s="1031">
        <v>-916.8</v>
      </c>
      <c r="H1193" s="1031">
        <v>-916.8</v>
      </c>
      <c r="I1193" s="1032" t="s">
        <v>1233</v>
      </c>
    </row>
    <row r="1194" spans="1:9" x14ac:dyDescent="0.25">
      <c r="A1194" s="1033">
        <v>802616</v>
      </c>
      <c r="B1194" s="129">
        <v>1938</v>
      </c>
      <c r="C1194" s="130" t="s">
        <v>175</v>
      </c>
      <c r="D1194" s="130">
        <v>16</v>
      </c>
      <c r="E1194" s="130" t="s">
        <v>175</v>
      </c>
      <c r="F1194" s="1031">
        <v>0</v>
      </c>
      <c r="G1194" s="1031">
        <v>-1958.35</v>
      </c>
      <c r="H1194" s="1031">
        <v>-1958.35</v>
      </c>
      <c r="I1194" s="1032" t="s">
        <v>1231</v>
      </c>
    </row>
    <row r="1195" spans="1:9" x14ac:dyDescent="0.25">
      <c r="A1195" s="1033"/>
      <c r="C1195" s="130" t="s">
        <v>175</v>
      </c>
      <c r="D1195" s="130">
        <v>16</v>
      </c>
      <c r="E1195" s="130" t="s">
        <v>1232</v>
      </c>
      <c r="F1195" s="1031">
        <v>0</v>
      </c>
      <c r="G1195" s="1031">
        <v>-916.8</v>
      </c>
      <c r="H1195" s="1031">
        <v>-916.8</v>
      </c>
      <c r="I1195" s="1032" t="s">
        <v>1233</v>
      </c>
    </row>
    <row r="1196" spans="1:9" x14ac:dyDescent="0.25">
      <c r="A1196" s="1033"/>
      <c r="C1196" s="130" t="s">
        <v>1234</v>
      </c>
      <c r="D1196" s="130">
        <v>16</v>
      </c>
      <c r="E1196" s="130" t="s">
        <v>1234</v>
      </c>
      <c r="F1196" s="1031">
        <v>0</v>
      </c>
      <c r="G1196" s="1031">
        <v>442.16</v>
      </c>
      <c r="H1196" s="1031">
        <v>442.16</v>
      </c>
      <c r="I1196" s="1032" t="s">
        <v>1235</v>
      </c>
    </row>
    <row r="1197" spans="1:9" x14ac:dyDescent="0.25">
      <c r="A1197" s="1033"/>
      <c r="C1197" s="130" t="s">
        <v>1234</v>
      </c>
      <c r="D1197" s="130">
        <v>16</v>
      </c>
      <c r="E1197" s="130" t="s">
        <v>1236</v>
      </c>
      <c r="F1197" s="1031">
        <v>0</v>
      </c>
      <c r="G1197" s="1031">
        <v>495</v>
      </c>
      <c r="H1197" s="1031">
        <v>495</v>
      </c>
      <c r="I1197" s="1032" t="s">
        <v>1237</v>
      </c>
    </row>
    <row r="1198" spans="1:9" x14ac:dyDescent="0.25">
      <c r="A1198" s="1033">
        <v>802618</v>
      </c>
      <c r="B1198" s="129">
        <v>674</v>
      </c>
      <c r="E1198" s="130"/>
    </row>
    <row r="1199" spans="1:9" x14ac:dyDescent="0.25">
      <c r="A1199" s="1033">
        <v>802622</v>
      </c>
      <c r="B1199" s="129">
        <v>11</v>
      </c>
      <c r="C1199" s="130" t="s">
        <v>1227</v>
      </c>
      <c r="D1199" s="130">
        <v>16</v>
      </c>
      <c r="E1199" s="130" t="s">
        <v>1227</v>
      </c>
      <c r="F1199" s="1031">
        <v>0</v>
      </c>
      <c r="G1199" s="1031">
        <v>-7.0000000000000007E-2</v>
      </c>
      <c r="H1199" s="1031">
        <v>-7.0000000000000007E-2</v>
      </c>
      <c r="I1199" s="1032" t="s">
        <v>1228</v>
      </c>
    </row>
    <row r="1200" spans="1:9" x14ac:dyDescent="0.25">
      <c r="A1200" s="1033"/>
      <c r="C1200" s="130" t="s">
        <v>1227</v>
      </c>
      <c r="D1200" s="130">
        <v>16</v>
      </c>
      <c r="E1200" s="130" t="s">
        <v>1229</v>
      </c>
      <c r="F1200" s="1031">
        <v>0</v>
      </c>
      <c r="G1200" s="1031">
        <v>-0.04</v>
      </c>
      <c r="H1200" s="1031">
        <v>-0.04</v>
      </c>
      <c r="I1200" s="1032" t="s">
        <v>1230</v>
      </c>
    </row>
    <row r="1201" spans="1:9" x14ac:dyDescent="0.25">
      <c r="A1201" s="1033">
        <v>802624</v>
      </c>
      <c r="B1201" s="129">
        <v>2875</v>
      </c>
      <c r="C1201" s="130" t="s">
        <v>175</v>
      </c>
      <c r="D1201" s="130">
        <v>16</v>
      </c>
      <c r="E1201" s="130" t="s">
        <v>175</v>
      </c>
      <c r="F1201" s="1031">
        <v>0</v>
      </c>
      <c r="G1201" s="1031">
        <v>-1958.35</v>
      </c>
      <c r="H1201" s="1031">
        <v>-1958.35</v>
      </c>
      <c r="I1201" s="1032" t="s">
        <v>1231</v>
      </c>
    </row>
    <row r="1202" spans="1:9" x14ac:dyDescent="0.25">
      <c r="A1202" s="1033"/>
      <c r="C1202" s="130" t="s">
        <v>175</v>
      </c>
      <c r="D1202" s="130">
        <v>16</v>
      </c>
      <c r="E1202" s="130" t="s">
        <v>1232</v>
      </c>
      <c r="F1202" s="1031">
        <v>0</v>
      </c>
      <c r="G1202" s="1031">
        <v>-916.8</v>
      </c>
      <c r="H1202" s="1031">
        <v>-916.8</v>
      </c>
      <c r="I1202" s="1032" t="s">
        <v>1233</v>
      </c>
    </row>
    <row r="1203" spans="1:9" x14ac:dyDescent="0.25">
      <c r="A1203" s="1033">
        <v>802626</v>
      </c>
      <c r="B1203" s="129">
        <v>1938</v>
      </c>
      <c r="C1203" s="130" t="s">
        <v>175</v>
      </c>
      <c r="D1203" s="130">
        <v>16</v>
      </c>
      <c r="E1203" s="130" t="s">
        <v>175</v>
      </c>
      <c r="F1203" s="1031">
        <v>0</v>
      </c>
      <c r="G1203" s="1031">
        <v>-1958.35</v>
      </c>
      <c r="H1203" s="1031">
        <v>-1958.35</v>
      </c>
      <c r="I1203" s="1032" t="s">
        <v>1231</v>
      </c>
    </row>
    <row r="1204" spans="1:9" x14ac:dyDescent="0.25">
      <c r="A1204" s="1033"/>
      <c r="C1204" s="130" t="s">
        <v>175</v>
      </c>
      <c r="D1204" s="130">
        <v>16</v>
      </c>
      <c r="E1204" s="130" t="s">
        <v>1232</v>
      </c>
      <c r="F1204" s="1031">
        <v>0</v>
      </c>
      <c r="G1204" s="1031">
        <v>-916.8</v>
      </c>
      <c r="H1204" s="1031">
        <v>-916.8</v>
      </c>
      <c r="I1204" s="1032" t="s">
        <v>1233</v>
      </c>
    </row>
    <row r="1205" spans="1:9" x14ac:dyDescent="0.25">
      <c r="A1205" s="1033"/>
      <c r="C1205" s="130" t="s">
        <v>1234</v>
      </c>
      <c r="D1205" s="130">
        <v>16</v>
      </c>
      <c r="E1205" s="130" t="s">
        <v>1234</v>
      </c>
      <c r="F1205" s="1031">
        <v>0</v>
      </c>
      <c r="G1205" s="1031">
        <v>442.16</v>
      </c>
      <c r="H1205" s="1031">
        <v>442.16</v>
      </c>
      <c r="I1205" s="1032" t="s">
        <v>1235</v>
      </c>
    </row>
    <row r="1206" spans="1:9" x14ac:dyDescent="0.25">
      <c r="A1206" s="1033"/>
      <c r="C1206" s="130" t="s">
        <v>1234</v>
      </c>
      <c r="D1206" s="130">
        <v>16</v>
      </c>
      <c r="E1206" s="130" t="s">
        <v>1236</v>
      </c>
      <c r="F1206" s="1031">
        <v>0</v>
      </c>
      <c r="G1206" s="1031">
        <v>495</v>
      </c>
      <c r="H1206" s="1031">
        <v>495</v>
      </c>
      <c r="I1206" s="1032" t="s">
        <v>1237</v>
      </c>
    </row>
    <row r="1207" spans="1:9" x14ac:dyDescent="0.25">
      <c r="A1207" s="1033">
        <v>802628</v>
      </c>
      <c r="B1207" s="129">
        <v>674</v>
      </c>
      <c r="E1207" s="130"/>
    </row>
    <row r="1208" spans="1:9" x14ac:dyDescent="0.25">
      <c r="A1208" s="1033">
        <v>802712</v>
      </c>
      <c r="B1208" s="129">
        <v>0</v>
      </c>
      <c r="E1208" s="130"/>
    </row>
    <row r="1209" spans="1:9" x14ac:dyDescent="0.25">
      <c r="A1209" s="1033">
        <v>802714</v>
      </c>
      <c r="B1209" s="129">
        <v>0</v>
      </c>
      <c r="E1209" s="130"/>
    </row>
    <row r="1210" spans="1:9" x14ac:dyDescent="0.25">
      <c r="A1210" s="1033">
        <v>802716</v>
      </c>
      <c r="B1210" s="129">
        <v>0</v>
      </c>
      <c r="E1210" s="130"/>
    </row>
    <row r="1211" spans="1:9" x14ac:dyDescent="0.25">
      <c r="A1211" s="1033">
        <v>802718</v>
      </c>
      <c r="B1211" s="129">
        <v>0</v>
      </c>
      <c r="E1211" s="130"/>
    </row>
    <row r="1212" spans="1:9" x14ac:dyDescent="0.25">
      <c r="A1212" s="1033">
        <v>802722</v>
      </c>
      <c r="B1212" s="129">
        <v>0</v>
      </c>
      <c r="E1212" s="130"/>
    </row>
    <row r="1213" spans="1:9" x14ac:dyDescent="0.25">
      <c r="A1213" s="1033">
        <v>802724</v>
      </c>
      <c r="B1213" s="129">
        <v>0</v>
      </c>
      <c r="E1213" s="130"/>
    </row>
    <row r="1214" spans="1:9" x14ac:dyDescent="0.25">
      <c r="A1214" s="1033">
        <v>802726</v>
      </c>
      <c r="B1214" s="129">
        <v>0</v>
      </c>
      <c r="E1214" s="130"/>
    </row>
    <row r="1215" spans="1:9" x14ac:dyDescent="0.25">
      <c r="A1215" s="1033">
        <v>802728</v>
      </c>
      <c r="B1215" s="129">
        <v>0</v>
      </c>
      <c r="E1215" s="130"/>
    </row>
    <row r="1216" spans="1:9" x14ac:dyDescent="0.25">
      <c r="A1216" s="1033">
        <v>802812</v>
      </c>
      <c r="B1216" s="129">
        <v>0</v>
      </c>
      <c r="E1216" s="130"/>
    </row>
    <row r="1217" spans="1:9" x14ac:dyDescent="0.25">
      <c r="A1217" s="1033">
        <v>802814</v>
      </c>
      <c r="B1217" s="129">
        <v>0</v>
      </c>
      <c r="E1217" s="130"/>
    </row>
    <row r="1218" spans="1:9" x14ac:dyDescent="0.25">
      <c r="A1218" s="1033">
        <v>802816</v>
      </c>
      <c r="B1218" s="129">
        <v>0</v>
      </c>
      <c r="E1218" s="130"/>
    </row>
    <row r="1219" spans="1:9" x14ac:dyDescent="0.25">
      <c r="A1219" s="1033">
        <v>802818</v>
      </c>
      <c r="B1219" s="129">
        <v>0</v>
      </c>
      <c r="E1219" s="130"/>
    </row>
    <row r="1220" spans="1:9" x14ac:dyDescent="0.25">
      <c r="A1220" s="1033">
        <v>802822</v>
      </c>
      <c r="B1220" s="129">
        <v>0</v>
      </c>
      <c r="E1220" s="130"/>
    </row>
    <row r="1221" spans="1:9" x14ac:dyDescent="0.25">
      <c r="A1221" s="1033">
        <v>802824</v>
      </c>
      <c r="B1221" s="129">
        <v>0</v>
      </c>
      <c r="E1221" s="130"/>
    </row>
    <row r="1222" spans="1:9" x14ac:dyDescent="0.25">
      <c r="A1222" s="1033">
        <v>802826</v>
      </c>
      <c r="B1222" s="129">
        <v>0</v>
      </c>
      <c r="E1222" s="130"/>
    </row>
    <row r="1223" spans="1:9" x14ac:dyDescent="0.25">
      <c r="A1223" s="1033">
        <v>802828</v>
      </c>
      <c r="B1223" s="129">
        <v>0</v>
      </c>
      <c r="E1223" s="130"/>
    </row>
    <row r="1224" spans="1:9" x14ac:dyDescent="0.25">
      <c r="A1224" s="1033">
        <v>802912</v>
      </c>
      <c r="B1224" s="129">
        <v>79</v>
      </c>
      <c r="E1224" s="130"/>
    </row>
    <row r="1225" spans="1:9" x14ac:dyDescent="0.25">
      <c r="A1225" s="1033">
        <v>802914</v>
      </c>
      <c r="B1225" s="129">
        <v>24866</v>
      </c>
      <c r="E1225" s="130"/>
    </row>
    <row r="1226" spans="1:9" x14ac:dyDescent="0.25">
      <c r="A1226" s="1033">
        <v>802916</v>
      </c>
      <c r="B1226" s="129">
        <v>15468</v>
      </c>
      <c r="C1226" s="130" t="s">
        <v>128</v>
      </c>
      <c r="D1226" s="130">
        <v>16</v>
      </c>
      <c r="E1226" s="130" t="s">
        <v>128</v>
      </c>
      <c r="F1226" s="1031">
        <v>0</v>
      </c>
      <c r="G1226" s="1031">
        <v>-6507.77</v>
      </c>
      <c r="H1226" s="1031">
        <v>-6507.77</v>
      </c>
      <c r="I1226" s="1032" t="s">
        <v>1210</v>
      </c>
    </row>
    <row r="1227" spans="1:9" x14ac:dyDescent="0.25">
      <c r="A1227" s="1033"/>
      <c r="C1227" s="130" t="s">
        <v>128</v>
      </c>
      <c r="D1227" s="130">
        <v>16</v>
      </c>
      <c r="E1227" s="130" t="s">
        <v>1211</v>
      </c>
      <c r="F1227" s="1031">
        <v>0</v>
      </c>
      <c r="G1227" s="1031">
        <v>-3106.15</v>
      </c>
      <c r="H1227" s="1031">
        <v>-3106.15</v>
      </c>
      <c r="I1227" s="1032" t="s">
        <v>1212</v>
      </c>
    </row>
    <row r="1228" spans="1:9" x14ac:dyDescent="0.25">
      <c r="A1228" s="1033"/>
      <c r="C1228" s="130" t="s">
        <v>1213</v>
      </c>
      <c r="D1228" s="130">
        <v>16</v>
      </c>
      <c r="E1228" s="130" t="s">
        <v>1213</v>
      </c>
      <c r="F1228" s="1031">
        <v>0</v>
      </c>
      <c r="G1228" s="1031">
        <v>1378.06</v>
      </c>
      <c r="H1228" s="1031">
        <v>1378.06</v>
      </c>
      <c r="I1228" s="1032" t="s">
        <v>1214</v>
      </c>
    </row>
    <row r="1229" spans="1:9" x14ac:dyDescent="0.25">
      <c r="A1229" s="1033"/>
      <c r="C1229" s="130" t="s">
        <v>1213</v>
      </c>
      <c r="D1229" s="130">
        <v>16</v>
      </c>
      <c r="E1229" s="130" t="s">
        <v>1215</v>
      </c>
      <c r="F1229" s="1031">
        <v>0</v>
      </c>
      <c r="G1229" s="1031">
        <v>1846</v>
      </c>
      <c r="H1229" s="1031">
        <v>1846</v>
      </c>
      <c r="I1229" s="1032" t="s">
        <v>1216</v>
      </c>
    </row>
    <row r="1230" spans="1:9" x14ac:dyDescent="0.25">
      <c r="A1230" s="1033"/>
      <c r="C1230" s="130" t="s">
        <v>155</v>
      </c>
      <c r="D1230" s="130">
        <v>16</v>
      </c>
      <c r="E1230" s="130" t="s">
        <v>155</v>
      </c>
      <c r="F1230" s="1031">
        <v>0</v>
      </c>
      <c r="G1230" s="1031">
        <v>-8273.66</v>
      </c>
      <c r="H1230" s="1031">
        <v>-8273.66</v>
      </c>
      <c r="I1230" s="1032" t="s">
        <v>1221</v>
      </c>
    </row>
    <row r="1231" spans="1:9" x14ac:dyDescent="0.25">
      <c r="A1231" s="1033"/>
      <c r="C1231" s="130" t="s">
        <v>155</v>
      </c>
      <c r="D1231" s="130">
        <v>16</v>
      </c>
      <c r="E1231" s="130" t="s">
        <v>2</v>
      </c>
      <c r="F1231" s="1031">
        <v>0</v>
      </c>
      <c r="G1231" s="1031">
        <v>-4103.68</v>
      </c>
      <c r="H1231" s="1031">
        <v>-4103.68</v>
      </c>
      <c r="I1231" s="1032" t="s">
        <v>1222</v>
      </c>
    </row>
    <row r="1232" spans="1:9" x14ac:dyDescent="0.25">
      <c r="A1232" s="1033"/>
      <c r="C1232" s="130" t="s">
        <v>1223</v>
      </c>
      <c r="D1232" s="130">
        <v>16</v>
      </c>
      <c r="E1232" s="130" t="s">
        <v>1223</v>
      </c>
      <c r="F1232" s="1031">
        <v>0</v>
      </c>
      <c r="G1232" s="1031">
        <v>2007.77</v>
      </c>
      <c r="H1232" s="1031">
        <v>2007.77</v>
      </c>
      <c r="I1232" s="1032" t="s">
        <v>1224</v>
      </c>
    </row>
    <row r="1233" spans="1:9" x14ac:dyDescent="0.25">
      <c r="A1233" s="1033"/>
      <c r="C1233" s="130" t="s">
        <v>1223</v>
      </c>
      <c r="D1233" s="130">
        <v>16</v>
      </c>
      <c r="E1233" s="130" t="s">
        <v>1225</v>
      </c>
      <c r="F1233" s="1031">
        <v>0</v>
      </c>
      <c r="G1233" s="1031">
        <v>3229.5</v>
      </c>
      <c r="H1233" s="1031">
        <v>3229.5</v>
      </c>
      <c r="I1233" s="1032" t="s">
        <v>1226</v>
      </c>
    </row>
    <row r="1234" spans="1:9" x14ac:dyDescent="0.25">
      <c r="A1234" s="1033"/>
      <c r="C1234" s="130" t="s">
        <v>175</v>
      </c>
      <c r="D1234" s="130">
        <v>16</v>
      </c>
      <c r="E1234" s="130" t="s">
        <v>175</v>
      </c>
      <c r="F1234" s="1031">
        <v>0</v>
      </c>
      <c r="G1234" s="1031">
        <v>-1958.35</v>
      </c>
      <c r="H1234" s="1031">
        <v>-1958.35</v>
      </c>
      <c r="I1234" s="1032" t="s">
        <v>1231</v>
      </c>
    </row>
    <row r="1235" spans="1:9" x14ac:dyDescent="0.25">
      <c r="A1235" s="1033"/>
      <c r="C1235" s="130" t="s">
        <v>175</v>
      </c>
      <c r="D1235" s="130">
        <v>16</v>
      </c>
      <c r="E1235" s="130" t="s">
        <v>1232</v>
      </c>
      <c r="F1235" s="1031">
        <v>0</v>
      </c>
      <c r="G1235" s="1031">
        <v>-916.8</v>
      </c>
      <c r="H1235" s="1031">
        <v>-916.8</v>
      </c>
      <c r="I1235" s="1032" t="s">
        <v>1233</v>
      </c>
    </row>
    <row r="1236" spans="1:9" x14ac:dyDescent="0.25">
      <c r="A1236" s="1033"/>
      <c r="C1236" s="130" t="s">
        <v>1234</v>
      </c>
      <c r="D1236" s="130">
        <v>16</v>
      </c>
      <c r="E1236" s="130" t="s">
        <v>1234</v>
      </c>
      <c r="F1236" s="1031">
        <v>0</v>
      </c>
      <c r="G1236" s="1031">
        <v>442.16</v>
      </c>
      <c r="H1236" s="1031">
        <v>442.16</v>
      </c>
      <c r="I1236" s="1032" t="s">
        <v>1235</v>
      </c>
    </row>
    <row r="1237" spans="1:9" x14ac:dyDescent="0.25">
      <c r="A1237" s="1033"/>
      <c r="C1237" s="130" t="s">
        <v>1234</v>
      </c>
      <c r="D1237" s="130">
        <v>16</v>
      </c>
      <c r="E1237" s="130" t="s">
        <v>1236</v>
      </c>
      <c r="F1237" s="1031">
        <v>0</v>
      </c>
      <c r="G1237" s="1031">
        <v>495</v>
      </c>
      <c r="H1237" s="1031">
        <v>495</v>
      </c>
      <c r="I1237" s="1032" t="s">
        <v>1237</v>
      </c>
    </row>
    <row r="1238" spans="1:9" x14ac:dyDescent="0.25">
      <c r="A1238" s="1033">
        <v>802918</v>
      </c>
      <c r="B1238" s="129">
        <v>622</v>
      </c>
      <c r="E1238" s="130"/>
    </row>
    <row r="1239" spans="1:9" x14ac:dyDescent="0.25">
      <c r="A1239" s="1033">
        <v>802922</v>
      </c>
      <c r="B1239" s="129">
        <v>79</v>
      </c>
      <c r="E1239" s="130"/>
    </row>
    <row r="1240" spans="1:9" x14ac:dyDescent="0.25">
      <c r="A1240" s="1033">
        <v>802924</v>
      </c>
      <c r="B1240" s="129">
        <v>24866</v>
      </c>
      <c r="E1240" s="130"/>
    </row>
    <row r="1241" spans="1:9" x14ac:dyDescent="0.25">
      <c r="A1241" s="1033">
        <v>802926</v>
      </c>
      <c r="B1241" s="129">
        <v>15468</v>
      </c>
      <c r="C1241" s="130" t="s">
        <v>128</v>
      </c>
      <c r="D1241" s="130">
        <v>16</v>
      </c>
      <c r="E1241" s="130" t="s">
        <v>128</v>
      </c>
      <c r="F1241" s="1031">
        <v>0</v>
      </c>
      <c r="G1241" s="1031">
        <v>-6507.77</v>
      </c>
      <c r="H1241" s="1031">
        <v>-6507.77</v>
      </c>
      <c r="I1241" s="1032" t="s">
        <v>1210</v>
      </c>
    </row>
    <row r="1242" spans="1:9" x14ac:dyDescent="0.25">
      <c r="A1242" s="1033"/>
      <c r="C1242" s="130" t="s">
        <v>128</v>
      </c>
      <c r="D1242" s="130">
        <v>16</v>
      </c>
      <c r="E1242" s="130" t="s">
        <v>1211</v>
      </c>
      <c r="F1242" s="1031">
        <v>0</v>
      </c>
      <c r="G1242" s="1031">
        <v>-3106.15</v>
      </c>
      <c r="H1242" s="1031">
        <v>-3106.15</v>
      </c>
      <c r="I1242" s="1032" t="s">
        <v>1212</v>
      </c>
    </row>
    <row r="1243" spans="1:9" x14ac:dyDescent="0.25">
      <c r="A1243" s="1033"/>
      <c r="C1243" s="130" t="s">
        <v>1213</v>
      </c>
      <c r="D1243" s="130">
        <v>16</v>
      </c>
      <c r="E1243" s="130" t="s">
        <v>1213</v>
      </c>
      <c r="F1243" s="1031">
        <v>0</v>
      </c>
      <c r="G1243" s="1031">
        <v>1378.06</v>
      </c>
      <c r="H1243" s="1031">
        <v>1378.06</v>
      </c>
      <c r="I1243" s="1032" t="s">
        <v>1214</v>
      </c>
    </row>
    <row r="1244" spans="1:9" x14ac:dyDescent="0.25">
      <c r="A1244" s="1033"/>
      <c r="C1244" s="130" t="s">
        <v>1213</v>
      </c>
      <c r="D1244" s="130">
        <v>16</v>
      </c>
      <c r="E1244" s="130" t="s">
        <v>1215</v>
      </c>
      <c r="F1244" s="1031">
        <v>0</v>
      </c>
      <c r="G1244" s="1031">
        <v>1846</v>
      </c>
      <c r="H1244" s="1031">
        <v>1846</v>
      </c>
      <c r="I1244" s="1032" t="s">
        <v>1216</v>
      </c>
    </row>
    <row r="1245" spans="1:9" x14ac:dyDescent="0.25">
      <c r="A1245" s="1033"/>
      <c r="C1245" s="130" t="s">
        <v>155</v>
      </c>
      <c r="D1245" s="130">
        <v>16</v>
      </c>
      <c r="E1245" s="130" t="s">
        <v>155</v>
      </c>
      <c r="F1245" s="1031">
        <v>0</v>
      </c>
      <c r="G1245" s="1031">
        <v>-8273.66</v>
      </c>
      <c r="H1245" s="1031">
        <v>-8273.66</v>
      </c>
      <c r="I1245" s="1032" t="s">
        <v>1221</v>
      </c>
    </row>
    <row r="1246" spans="1:9" x14ac:dyDescent="0.25">
      <c r="A1246" s="1033"/>
      <c r="C1246" s="130" t="s">
        <v>155</v>
      </c>
      <c r="D1246" s="130">
        <v>16</v>
      </c>
      <c r="E1246" s="130" t="s">
        <v>2</v>
      </c>
      <c r="F1246" s="1031">
        <v>0</v>
      </c>
      <c r="G1246" s="1031">
        <v>-4103.68</v>
      </c>
      <c r="H1246" s="1031">
        <v>-4103.68</v>
      </c>
      <c r="I1246" s="1032" t="s">
        <v>1222</v>
      </c>
    </row>
    <row r="1247" spans="1:9" x14ac:dyDescent="0.25">
      <c r="A1247" s="1033"/>
      <c r="C1247" s="130" t="s">
        <v>1223</v>
      </c>
      <c r="D1247" s="130">
        <v>16</v>
      </c>
      <c r="E1247" s="130" t="s">
        <v>1223</v>
      </c>
      <c r="F1247" s="1031">
        <v>0</v>
      </c>
      <c r="G1247" s="1031">
        <v>2007.77</v>
      </c>
      <c r="H1247" s="1031">
        <v>2007.77</v>
      </c>
      <c r="I1247" s="1032" t="s">
        <v>1224</v>
      </c>
    </row>
    <row r="1248" spans="1:9" x14ac:dyDescent="0.25">
      <c r="A1248" s="1033"/>
      <c r="C1248" s="130" t="s">
        <v>1223</v>
      </c>
      <c r="D1248" s="130">
        <v>16</v>
      </c>
      <c r="E1248" s="130" t="s">
        <v>1225</v>
      </c>
      <c r="F1248" s="1031">
        <v>0</v>
      </c>
      <c r="G1248" s="1031">
        <v>3229.5</v>
      </c>
      <c r="H1248" s="1031">
        <v>3229.5</v>
      </c>
      <c r="I1248" s="1032" t="s">
        <v>1226</v>
      </c>
    </row>
    <row r="1249" spans="1:9" x14ac:dyDescent="0.25">
      <c r="A1249" s="1033"/>
      <c r="C1249" s="130" t="s">
        <v>175</v>
      </c>
      <c r="D1249" s="130">
        <v>16</v>
      </c>
      <c r="E1249" s="130" t="s">
        <v>175</v>
      </c>
      <c r="F1249" s="1031">
        <v>0</v>
      </c>
      <c r="G1249" s="1031">
        <v>-1958.35</v>
      </c>
      <c r="H1249" s="1031">
        <v>-1958.35</v>
      </c>
      <c r="I1249" s="1032" t="s">
        <v>1231</v>
      </c>
    </row>
    <row r="1250" spans="1:9" x14ac:dyDescent="0.25">
      <c r="A1250" s="1033"/>
      <c r="C1250" s="130" t="s">
        <v>175</v>
      </c>
      <c r="D1250" s="130">
        <v>16</v>
      </c>
      <c r="E1250" s="130" t="s">
        <v>1232</v>
      </c>
      <c r="F1250" s="1031">
        <v>0</v>
      </c>
      <c r="G1250" s="1031">
        <v>-916.8</v>
      </c>
      <c r="H1250" s="1031">
        <v>-916.8</v>
      </c>
      <c r="I1250" s="1032" t="s">
        <v>1233</v>
      </c>
    </row>
    <row r="1251" spans="1:9" x14ac:dyDescent="0.25">
      <c r="A1251" s="1033"/>
      <c r="C1251" s="130" t="s">
        <v>1234</v>
      </c>
      <c r="D1251" s="130">
        <v>16</v>
      </c>
      <c r="E1251" s="130" t="s">
        <v>1234</v>
      </c>
      <c r="F1251" s="1031">
        <v>0</v>
      </c>
      <c r="G1251" s="1031">
        <v>442.16</v>
      </c>
      <c r="H1251" s="1031">
        <v>442.16</v>
      </c>
      <c r="I1251" s="1032" t="s">
        <v>1235</v>
      </c>
    </row>
    <row r="1252" spans="1:9" x14ac:dyDescent="0.25">
      <c r="A1252" s="1033"/>
      <c r="C1252" s="130" t="s">
        <v>1234</v>
      </c>
      <c r="D1252" s="130">
        <v>16</v>
      </c>
      <c r="E1252" s="130" t="s">
        <v>1236</v>
      </c>
      <c r="F1252" s="1031">
        <v>0</v>
      </c>
      <c r="G1252" s="1031">
        <v>495</v>
      </c>
      <c r="H1252" s="1031">
        <v>495</v>
      </c>
      <c r="I1252" s="1032" t="s">
        <v>1237</v>
      </c>
    </row>
    <row r="1253" spans="1:9" x14ac:dyDescent="0.25">
      <c r="A1253" s="1033">
        <v>802928</v>
      </c>
      <c r="B1253" s="129">
        <v>622</v>
      </c>
      <c r="E1253" s="130"/>
    </row>
    <row r="1254" spans="1:9" x14ac:dyDescent="0.25">
      <c r="A1254" s="1033">
        <v>803012</v>
      </c>
      <c r="B1254" s="129">
        <v>0</v>
      </c>
      <c r="E1254" s="130"/>
    </row>
    <row r="1255" spans="1:9" x14ac:dyDescent="0.25">
      <c r="A1255" s="1033">
        <v>803014</v>
      </c>
      <c r="B1255" s="129">
        <v>0</v>
      </c>
      <c r="E1255" s="130"/>
    </row>
    <row r="1256" spans="1:9" x14ac:dyDescent="0.25">
      <c r="A1256" s="1033">
        <v>803016</v>
      </c>
      <c r="B1256" s="129">
        <v>0</v>
      </c>
      <c r="E1256" s="130"/>
    </row>
    <row r="1257" spans="1:9" x14ac:dyDescent="0.25">
      <c r="A1257" s="1033">
        <v>803018</v>
      </c>
      <c r="B1257" s="129">
        <v>0</v>
      </c>
      <c r="E1257" s="130"/>
    </row>
    <row r="1258" spans="1:9" x14ac:dyDescent="0.25">
      <c r="A1258" s="1033">
        <v>803022</v>
      </c>
      <c r="B1258" s="129">
        <v>0</v>
      </c>
      <c r="E1258" s="130"/>
    </row>
    <row r="1259" spans="1:9" x14ac:dyDescent="0.25">
      <c r="A1259" s="1033">
        <v>803024</v>
      </c>
      <c r="B1259" s="129">
        <v>0</v>
      </c>
      <c r="E1259" s="130"/>
    </row>
    <row r="1260" spans="1:9" x14ac:dyDescent="0.25">
      <c r="A1260" s="1033">
        <v>803026</v>
      </c>
      <c r="B1260" s="129">
        <v>0</v>
      </c>
      <c r="E1260" s="130"/>
    </row>
    <row r="1261" spans="1:9" x14ac:dyDescent="0.25">
      <c r="A1261" s="1033">
        <v>803028</v>
      </c>
      <c r="B1261" s="129">
        <v>0</v>
      </c>
      <c r="E1261" s="130"/>
    </row>
    <row r="1262" spans="1:9" x14ac:dyDescent="0.25">
      <c r="A1262" s="1033">
        <v>803112</v>
      </c>
      <c r="B1262" s="129">
        <v>13</v>
      </c>
      <c r="C1262" s="130" t="s">
        <v>1238</v>
      </c>
      <c r="D1262" s="130">
        <v>16</v>
      </c>
      <c r="E1262" s="130" t="s">
        <v>1239</v>
      </c>
      <c r="F1262" s="1031">
        <v>0</v>
      </c>
      <c r="G1262" s="1031">
        <v>-0.13</v>
      </c>
      <c r="H1262" s="1031">
        <v>-0.13</v>
      </c>
      <c r="I1262" s="1032" t="s">
        <v>1240</v>
      </c>
    </row>
    <row r="1263" spans="1:9" x14ac:dyDescent="0.25">
      <c r="A1263" s="1033">
        <v>803114</v>
      </c>
      <c r="B1263" s="129">
        <v>2399</v>
      </c>
      <c r="C1263" s="130" t="s">
        <v>8</v>
      </c>
      <c r="D1263" s="130">
        <v>16</v>
      </c>
      <c r="E1263" s="130" t="s">
        <v>1241</v>
      </c>
      <c r="F1263" s="1031">
        <v>0</v>
      </c>
      <c r="G1263" s="1031">
        <v>-2399.4499999999998</v>
      </c>
      <c r="H1263" s="1031">
        <v>-2399.4499999999998</v>
      </c>
      <c r="I1263" s="1032" t="s">
        <v>1242</v>
      </c>
    </row>
    <row r="1264" spans="1:9" x14ac:dyDescent="0.25">
      <c r="A1264" s="1033">
        <v>803116</v>
      </c>
      <c r="B1264" s="129">
        <v>956</v>
      </c>
      <c r="C1264" s="130" t="s">
        <v>8</v>
      </c>
      <c r="D1264" s="130">
        <v>16</v>
      </c>
      <c r="E1264" s="130" t="s">
        <v>1241</v>
      </c>
      <c r="F1264" s="1031">
        <v>0</v>
      </c>
      <c r="G1264" s="1031">
        <v>-2399.4499999999998</v>
      </c>
      <c r="H1264" s="1031">
        <v>-2399.4499999999998</v>
      </c>
      <c r="I1264" s="1032" t="s">
        <v>1242</v>
      </c>
    </row>
    <row r="1265" spans="1:9" x14ac:dyDescent="0.25">
      <c r="A1265" s="1033"/>
      <c r="C1265" s="130" t="s">
        <v>1243</v>
      </c>
      <c r="D1265" s="130">
        <v>16</v>
      </c>
      <c r="E1265" s="130" t="s">
        <v>1244</v>
      </c>
      <c r="F1265" s="1031">
        <v>0</v>
      </c>
      <c r="G1265" s="1031">
        <v>1443</v>
      </c>
      <c r="H1265" s="1031">
        <v>1443</v>
      </c>
      <c r="I1265" s="1032" t="s">
        <v>1245</v>
      </c>
    </row>
    <row r="1266" spans="1:9" x14ac:dyDescent="0.25">
      <c r="A1266" s="1033">
        <v>803118</v>
      </c>
      <c r="B1266" s="129">
        <v>398</v>
      </c>
      <c r="E1266" s="130"/>
    </row>
    <row r="1267" spans="1:9" x14ac:dyDescent="0.25">
      <c r="A1267" s="1033">
        <v>803122</v>
      </c>
      <c r="B1267" s="129">
        <v>13</v>
      </c>
      <c r="C1267" s="130" t="s">
        <v>1238</v>
      </c>
      <c r="D1267" s="130">
        <v>16</v>
      </c>
      <c r="E1267" s="130" t="s">
        <v>1239</v>
      </c>
      <c r="F1267" s="1031">
        <v>0</v>
      </c>
      <c r="G1267" s="1031">
        <v>-0.13</v>
      </c>
      <c r="H1267" s="1031">
        <v>-0.13</v>
      </c>
      <c r="I1267" s="1032" t="s">
        <v>1240</v>
      </c>
    </row>
    <row r="1268" spans="1:9" x14ac:dyDescent="0.25">
      <c r="A1268" s="1033">
        <v>803124</v>
      </c>
      <c r="B1268" s="129">
        <v>2399</v>
      </c>
      <c r="C1268" s="130" t="s">
        <v>8</v>
      </c>
      <c r="D1268" s="130">
        <v>16</v>
      </c>
      <c r="E1268" s="130" t="s">
        <v>1241</v>
      </c>
      <c r="F1268" s="1031">
        <v>0</v>
      </c>
      <c r="G1268" s="1031">
        <v>-2399.4499999999998</v>
      </c>
      <c r="H1268" s="1031">
        <v>-2399.4499999999998</v>
      </c>
      <c r="I1268" s="1032" t="s">
        <v>1242</v>
      </c>
    </row>
    <row r="1269" spans="1:9" x14ac:dyDescent="0.25">
      <c r="A1269" s="1033">
        <v>803126</v>
      </c>
      <c r="B1269" s="129">
        <v>956</v>
      </c>
      <c r="C1269" s="130" t="s">
        <v>8</v>
      </c>
      <c r="D1269" s="130">
        <v>16</v>
      </c>
      <c r="E1269" s="130" t="s">
        <v>1241</v>
      </c>
      <c r="F1269" s="1031">
        <v>0</v>
      </c>
      <c r="G1269" s="1031">
        <v>-2399.4499999999998</v>
      </c>
      <c r="H1269" s="1031">
        <v>-2399.4499999999998</v>
      </c>
      <c r="I1269" s="1032" t="s">
        <v>1242</v>
      </c>
    </row>
    <row r="1270" spans="1:9" x14ac:dyDescent="0.25">
      <c r="A1270" s="1033"/>
      <c r="C1270" s="130" t="s">
        <v>1243</v>
      </c>
      <c r="D1270" s="130">
        <v>16</v>
      </c>
      <c r="E1270" s="130" t="s">
        <v>1244</v>
      </c>
      <c r="F1270" s="1031">
        <v>0</v>
      </c>
      <c r="G1270" s="1031">
        <v>1443</v>
      </c>
      <c r="H1270" s="1031">
        <v>1443</v>
      </c>
      <c r="I1270" s="1032" t="s">
        <v>1245</v>
      </c>
    </row>
    <row r="1271" spans="1:9" x14ac:dyDescent="0.25">
      <c r="A1271" s="1033">
        <v>803128</v>
      </c>
      <c r="B1271" s="129">
        <v>398</v>
      </c>
      <c r="E1271" s="130"/>
    </row>
    <row r="1272" spans="1:9" x14ac:dyDescent="0.25">
      <c r="A1272" s="1033">
        <v>803212</v>
      </c>
      <c r="E1272" s="130"/>
    </row>
    <row r="1273" spans="1:9" x14ac:dyDescent="0.25">
      <c r="A1273" s="1033">
        <v>803214</v>
      </c>
      <c r="E1273" s="130"/>
    </row>
    <row r="1274" spans="1:9" x14ac:dyDescent="0.25">
      <c r="A1274" s="1033">
        <v>803216</v>
      </c>
      <c r="B1274" s="129">
        <v>567</v>
      </c>
      <c r="C1274" s="130" t="s">
        <v>4</v>
      </c>
      <c r="D1274" s="130">
        <v>16</v>
      </c>
      <c r="E1274" s="130" t="s">
        <v>4</v>
      </c>
      <c r="F1274" s="1031">
        <v>0</v>
      </c>
      <c r="G1274" s="1031">
        <v>567.4</v>
      </c>
      <c r="H1274" s="1031">
        <v>567.4</v>
      </c>
      <c r="I1274" s="1032" t="s">
        <v>1246</v>
      </c>
    </row>
    <row r="1275" spans="1:9" x14ac:dyDescent="0.25">
      <c r="A1275" s="1033">
        <v>803218</v>
      </c>
      <c r="E1275" s="130"/>
    </row>
    <row r="1276" spans="1:9" x14ac:dyDescent="0.25">
      <c r="A1276" s="1033">
        <v>803222</v>
      </c>
      <c r="E1276" s="130"/>
    </row>
    <row r="1277" spans="1:9" x14ac:dyDescent="0.25">
      <c r="A1277" s="1033">
        <v>803224</v>
      </c>
      <c r="E1277" s="130"/>
    </row>
    <row r="1278" spans="1:9" x14ac:dyDescent="0.25">
      <c r="A1278" s="1033">
        <v>803226</v>
      </c>
      <c r="B1278" s="129">
        <v>567</v>
      </c>
      <c r="C1278" s="130" t="s">
        <v>4</v>
      </c>
      <c r="D1278" s="130">
        <v>16</v>
      </c>
      <c r="E1278" s="130" t="s">
        <v>4</v>
      </c>
      <c r="F1278" s="1031">
        <v>0</v>
      </c>
      <c r="G1278" s="1031">
        <v>567.4</v>
      </c>
      <c r="H1278" s="1031">
        <v>567.4</v>
      </c>
      <c r="I1278" s="1032" t="s">
        <v>1246</v>
      </c>
    </row>
    <row r="1279" spans="1:9" x14ac:dyDescent="0.25">
      <c r="A1279" s="1033">
        <v>803228</v>
      </c>
      <c r="E1279" s="130"/>
    </row>
    <row r="1280" spans="1:9" x14ac:dyDescent="0.25">
      <c r="A1280" s="1033">
        <v>803312</v>
      </c>
      <c r="E1280" s="130"/>
    </row>
    <row r="1281" spans="1:9" x14ac:dyDescent="0.25">
      <c r="A1281" s="1033">
        <v>803314</v>
      </c>
      <c r="E1281" s="130"/>
    </row>
    <row r="1282" spans="1:9" x14ac:dyDescent="0.25">
      <c r="A1282" s="1033">
        <v>803316</v>
      </c>
      <c r="B1282" s="129">
        <v>378</v>
      </c>
      <c r="C1282" s="130" t="s">
        <v>5</v>
      </c>
      <c r="D1282" s="130">
        <v>16</v>
      </c>
      <c r="E1282" s="130" t="s">
        <v>5</v>
      </c>
      <c r="F1282" s="1031">
        <v>0</v>
      </c>
      <c r="G1282" s="1031">
        <v>378.27</v>
      </c>
      <c r="H1282" s="1031">
        <v>378.27</v>
      </c>
      <c r="I1282" s="1032" t="s">
        <v>1247</v>
      </c>
    </row>
    <row r="1283" spans="1:9" x14ac:dyDescent="0.25">
      <c r="A1283" s="1033">
        <v>803318</v>
      </c>
      <c r="E1283" s="130"/>
    </row>
    <row r="1284" spans="1:9" x14ac:dyDescent="0.25">
      <c r="A1284" s="1033">
        <v>803322</v>
      </c>
      <c r="E1284" s="130"/>
    </row>
    <row r="1285" spans="1:9" x14ac:dyDescent="0.25">
      <c r="A1285" s="1033">
        <v>803324</v>
      </c>
      <c r="E1285" s="130"/>
    </row>
    <row r="1286" spans="1:9" x14ac:dyDescent="0.25">
      <c r="A1286" s="1033">
        <v>803326</v>
      </c>
      <c r="B1286" s="129">
        <v>378</v>
      </c>
      <c r="C1286" s="130" t="s">
        <v>5</v>
      </c>
      <c r="D1286" s="130">
        <v>16</v>
      </c>
      <c r="E1286" s="130" t="s">
        <v>5</v>
      </c>
      <c r="F1286" s="1031">
        <v>0</v>
      </c>
      <c r="G1286" s="1031">
        <v>378.27</v>
      </c>
      <c r="H1286" s="1031">
        <v>378.27</v>
      </c>
      <c r="I1286" s="1032" t="s">
        <v>1247</v>
      </c>
    </row>
    <row r="1287" spans="1:9" x14ac:dyDescent="0.25">
      <c r="A1287" s="1033">
        <v>803328</v>
      </c>
      <c r="E1287" s="130"/>
    </row>
    <row r="1288" spans="1:9" x14ac:dyDescent="0.25">
      <c r="A1288" s="1033">
        <v>803412</v>
      </c>
      <c r="E1288" s="130"/>
    </row>
    <row r="1289" spans="1:9" x14ac:dyDescent="0.25">
      <c r="A1289" s="1033">
        <v>803414</v>
      </c>
      <c r="E1289" s="130"/>
    </row>
    <row r="1290" spans="1:9" x14ac:dyDescent="0.25">
      <c r="A1290" s="1033">
        <v>803416</v>
      </c>
      <c r="B1290" s="129">
        <v>0</v>
      </c>
      <c r="E1290" s="130"/>
    </row>
    <row r="1291" spans="1:9" x14ac:dyDescent="0.25">
      <c r="A1291" s="1033">
        <v>803418</v>
      </c>
      <c r="E1291" s="130"/>
    </row>
    <row r="1292" spans="1:9" x14ac:dyDescent="0.25">
      <c r="A1292" s="1033">
        <v>803422</v>
      </c>
      <c r="E1292" s="130"/>
    </row>
    <row r="1293" spans="1:9" x14ac:dyDescent="0.25">
      <c r="A1293" s="1033">
        <v>803424</v>
      </c>
      <c r="E1293" s="130"/>
    </row>
    <row r="1294" spans="1:9" x14ac:dyDescent="0.25">
      <c r="A1294" s="1033">
        <v>803426</v>
      </c>
      <c r="B1294" s="129">
        <v>0</v>
      </c>
      <c r="E1294" s="130"/>
    </row>
    <row r="1295" spans="1:9" x14ac:dyDescent="0.25">
      <c r="A1295" s="1033">
        <v>803428</v>
      </c>
      <c r="E1295" s="130"/>
    </row>
    <row r="1296" spans="1:9" x14ac:dyDescent="0.25">
      <c r="A1296" s="1033">
        <v>803512</v>
      </c>
      <c r="E1296" s="130"/>
    </row>
    <row r="1297" spans="1:5" x14ac:dyDescent="0.25">
      <c r="A1297" s="1033">
        <v>803514</v>
      </c>
      <c r="E1297" s="130"/>
    </row>
    <row r="1298" spans="1:5" x14ac:dyDescent="0.25">
      <c r="A1298" s="1033">
        <v>803516</v>
      </c>
      <c r="B1298" s="129">
        <v>0</v>
      </c>
      <c r="E1298" s="130"/>
    </row>
    <row r="1299" spans="1:5" x14ac:dyDescent="0.25">
      <c r="A1299" s="1033">
        <v>803518</v>
      </c>
      <c r="E1299" s="130"/>
    </row>
    <row r="1300" spans="1:5" x14ac:dyDescent="0.25">
      <c r="A1300" s="1033">
        <v>803522</v>
      </c>
      <c r="E1300" s="130"/>
    </row>
    <row r="1301" spans="1:5" x14ac:dyDescent="0.25">
      <c r="A1301" s="1033">
        <v>803524</v>
      </c>
      <c r="E1301" s="130"/>
    </row>
    <row r="1302" spans="1:5" x14ac:dyDescent="0.25">
      <c r="A1302" s="1033">
        <v>803526</v>
      </c>
      <c r="B1302" s="129">
        <v>0</v>
      </c>
      <c r="E1302" s="130"/>
    </row>
    <row r="1303" spans="1:5" x14ac:dyDescent="0.25">
      <c r="A1303" s="1033">
        <v>803528</v>
      </c>
      <c r="E1303" s="130"/>
    </row>
    <row r="1304" spans="1:5" x14ac:dyDescent="0.25">
      <c r="A1304" s="1033">
        <v>803612</v>
      </c>
      <c r="E1304" s="130"/>
    </row>
    <row r="1305" spans="1:5" x14ac:dyDescent="0.25">
      <c r="A1305" s="1033">
        <v>803614</v>
      </c>
      <c r="E1305" s="130"/>
    </row>
    <row r="1306" spans="1:5" x14ac:dyDescent="0.25">
      <c r="A1306" s="1033">
        <v>803616</v>
      </c>
      <c r="B1306" s="129">
        <v>0</v>
      </c>
      <c r="E1306" s="130"/>
    </row>
    <row r="1307" spans="1:5" x14ac:dyDescent="0.25">
      <c r="A1307" s="1033">
        <v>803618</v>
      </c>
      <c r="E1307" s="130"/>
    </row>
    <row r="1308" spans="1:5" x14ac:dyDescent="0.25">
      <c r="A1308" s="1033">
        <v>803622</v>
      </c>
      <c r="E1308" s="130"/>
    </row>
    <row r="1309" spans="1:5" x14ac:dyDescent="0.25">
      <c r="A1309" s="1033">
        <v>803624</v>
      </c>
      <c r="E1309" s="130"/>
    </row>
    <row r="1310" spans="1:5" x14ac:dyDescent="0.25">
      <c r="A1310" s="1033">
        <v>803626</v>
      </c>
      <c r="B1310" s="129">
        <v>0</v>
      </c>
      <c r="E1310" s="130"/>
    </row>
    <row r="1311" spans="1:5" x14ac:dyDescent="0.25">
      <c r="A1311" s="1033">
        <v>803628</v>
      </c>
      <c r="E1311" s="130"/>
    </row>
    <row r="1312" spans="1:5" x14ac:dyDescent="0.25">
      <c r="A1312" s="1033">
        <v>803712</v>
      </c>
      <c r="E1312" s="130"/>
    </row>
    <row r="1313" spans="1:9" x14ac:dyDescent="0.25">
      <c r="A1313" s="1033">
        <v>803714</v>
      </c>
      <c r="E1313" s="130"/>
    </row>
    <row r="1314" spans="1:9" x14ac:dyDescent="0.25">
      <c r="A1314" s="1033">
        <v>803716</v>
      </c>
      <c r="B1314" s="129">
        <v>945</v>
      </c>
      <c r="C1314" s="130" t="s">
        <v>4</v>
      </c>
      <c r="D1314" s="130">
        <v>16</v>
      </c>
      <c r="E1314" s="130" t="s">
        <v>4</v>
      </c>
      <c r="F1314" s="1031">
        <v>0</v>
      </c>
      <c r="G1314" s="1031">
        <v>567.4</v>
      </c>
      <c r="H1314" s="1031">
        <v>567.4</v>
      </c>
      <c r="I1314" s="1032" t="s">
        <v>1246</v>
      </c>
    </row>
    <row r="1315" spans="1:9" x14ac:dyDescent="0.25">
      <c r="A1315" s="1033"/>
      <c r="C1315" s="130" t="s">
        <v>5</v>
      </c>
      <c r="D1315" s="130">
        <v>16</v>
      </c>
      <c r="E1315" s="130" t="s">
        <v>5</v>
      </c>
      <c r="F1315" s="1031">
        <v>0</v>
      </c>
      <c r="G1315" s="1031">
        <v>378.27</v>
      </c>
      <c r="H1315" s="1031">
        <v>378.27</v>
      </c>
      <c r="I1315" s="1032" t="s">
        <v>1247</v>
      </c>
    </row>
    <row r="1316" spans="1:9" x14ac:dyDescent="0.25">
      <c r="A1316" s="1033">
        <v>803718</v>
      </c>
      <c r="E1316" s="130"/>
    </row>
    <row r="1317" spans="1:9" x14ac:dyDescent="0.25">
      <c r="A1317" s="1033">
        <v>803722</v>
      </c>
      <c r="E1317" s="130"/>
    </row>
    <row r="1318" spans="1:9" x14ac:dyDescent="0.25">
      <c r="A1318" s="1033">
        <v>803724</v>
      </c>
      <c r="E1318" s="130"/>
    </row>
    <row r="1319" spans="1:9" x14ac:dyDescent="0.25">
      <c r="A1319" s="1033">
        <v>803726</v>
      </c>
      <c r="B1319" s="129">
        <v>945</v>
      </c>
      <c r="C1319" s="130" t="s">
        <v>4</v>
      </c>
      <c r="D1319" s="130">
        <v>16</v>
      </c>
      <c r="E1319" s="130" t="s">
        <v>4</v>
      </c>
      <c r="F1319" s="1031">
        <v>0</v>
      </c>
      <c r="G1319" s="1031">
        <v>567.4</v>
      </c>
      <c r="H1319" s="1031">
        <v>567.4</v>
      </c>
      <c r="I1319" s="1032" t="s">
        <v>1246</v>
      </c>
    </row>
    <row r="1320" spans="1:9" x14ac:dyDescent="0.25">
      <c r="A1320" s="1033"/>
      <c r="C1320" s="130" t="s">
        <v>5</v>
      </c>
      <c r="D1320" s="130">
        <v>16</v>
      </c>
      <c r="E1320" s="130" t="s">
        <v>5</v>
      </c>
      <c r="F1320" s="1031">
        <v>0</v>
      </c>
      <c r="G1320" s="1031">
        <v>378.27</v>
      </c>
      <c r="H1320" s="1031">
        <v>378.27</v>
      </c>
      <c r="I1320" s="1032" t="s">
        <v>1247</v>
      </c>
    </row>
    <row r="1321" spans="1:9" x14ac:dyDescent="0.25">
      <c r="A1321" s="1033">
        <v>803728</v>
      </c>
      <c r="E1321" s="130"/>
    </row>
    <row r="1322" spans="1:9" x14ac:dyDescent="0.25">
      <c r="A1322" s="1033">
        <v>803812</v>
      </c>
      <c r="E1322" s="130"/>
    </row>
    <row r="1323" spans="1:9" x14ac:dyDescent="0.25">
      <c r="A1323" s="1033">
        <v>803814</v>
      </c>
      <c r="E1323" s="130"/>
    </row>
    <row r="1324" spans="1:9" x14ac:dyDescent="0.25">
      <c r="A1324" s="1033">
        <v>803816</v>
      </c>
      <c r="B1324" s="129">
        <v>0</v>
      </c>
      <c r="E1324" s="130"/>
    </row>
    <row r="1325" spans="1:9" x14ac:dyDescent="0.25">
      <c r="A1325" s="1033">
        <v>803818</v>
      </c>
      <c r="E1325" s="130"/>
    </row>
    <row r="1326" spans="1:9" x14ac:dyDescent="0.25">
      <c r="A1326" s="1033">
        <v>803822</v>
      </c>
      <c r="E1326" s="130"/>
    </row>
    <row r="1327" spans="1:9" x14ac:dyDescent="0.25">
      <c r="A1327" s="1033">
        <v>803824</v>
      </c>
      <c r="E1327" s="130"/>
    </row>
    <row r="1328" spans="1:9" x14ac:dyDescent="0.25">
      <c r="A1328" s="1033">
        <v>803826</v>
      </c>
      <c r="B1328" s="129">
        <v>0</v>
      </c>
      <c r="E1328" s="130"/>
    </row>
    <row r="1329" spans="1:9" x14ac:dyDescent="0.25">
      <c r="A1329" s="1033">
        <v>803828</v>
      </c>
      <c r="E1329" s="130"/>
    </row>
    <row r="1330" spans="1:9" x14ac:dyDescent="0.25">
      <c r="A1330" s="1033">
        <v>803912</v>
      </c>
      <c r="E1330" s="130"/>
    </row>
    <row r="1331" spans="1:9" x14ac:dyDescent="0.25">
      <c r="A1331" s="1033">
        <v>803914</v>
      </c>
      <c r="E1331" s="130"/>
    </row>
    <row r="1332" spans="1:9" x14ac:dyDescent="0.25">
      <c r="A1332" s="1033">
        <v>803916</v>
      </c>
      <c r="B1332" s="129">
        <v>0</v>
      </c>
      <c r="E1332" s="130"/>
    </row>
    <row r="1333" spans="1:9" x14ac:dyDescent="0.25">
      <c r="A1333" s="1033">
        <v>803918</v>
      </c>
      <c r="E1333" s="130"/>
    </row>
    <row r="1334" spans="1:9" x14ac:dyDescent="0.25">
      <c r="A1334" s="1033">
        <v>803922</v>
      </c>
      <c r="E1334" s="130"/>
    </row>
    <row r="1335" spans="1:9" x14ac:dyDescent="0.25">
      <c r="A1335" s="1033">
        <v>803924</v>
      </c>
      <c r="E1335" s="130"/>
    </row>
    <row r="1336" spans="1:9" x14ac:dyDescent="0.25">
      <c r="A1336" s="1033">
        <v>803926</v>
      </c>
      <c r="B1336" s="129">
        <v>0</v>
      </c>
      <c r="E1336" s="130"/>
    </row>
    <row r="1337" spans="1:9" x14ac:dyDescent="0.25">
      <c r="A1337" s="1033">
        <v>803928</v>
      </c>
      <c r="E1337" s="130"/>
    </row>
    <row r="1338" spans="1:9" x14ac:dyDescent="0.25">
      <c r="A1338" s="1033">
        <v>804012</v>
      </c>
      <c r="B1338" s="129">
        <v>298</v>
      </c>
      <c r="E1338" s="130"/>
    </row>
    <row r="1339" spans="1:9" x14ac:dyDescent="0.25">
      <c r="A1339" s="1033">
        <v>804014</v>
      </c>
      <c r="B1339" s="129">
        <v>97328</v>
      </c>
      <c r="E1339" s="130"/>
    </row>
    <row r="1340" spans="1:9" x14ac:dyDescent="0.25">
      <c r="A1340" s="1033">
        <v>804016</v>
      </c>
      <c r="B1340" s="129">
        <v>65770</v>
      </c>
      <c r="C1340" s="130" t="s">
        <v>113</v>
      </c>
      <c r="D1340" s="130">
        <v>16</v>
      </c>
      <c r="E1340" s="130" t="s">
        <v>113</v>
      </c>
      <c r="F1340" s="1031">
        <v>0</v>
      </c>
      <c r="G1340" s="1031">
        <v>-19603.05</v>
      </c>
      <c r="H1340" s="1031">
        <v>-19603.05</v>
      </c>
      <c r="I1340" s="1032" t="s">
        <v>1153</v>
      </c>
    </row>
    <row r="1341" spans="1:9" x14ac:dyDescent="0.25">
      <c r="A1341" s="1033"/>
      <c r="C1341" s="130" t="s">
        <v>1154</v>
      </c>
      <c r="D1341" s="130">
        <v>16</v>
      </c>
      <c r="E1341" s="130" t="s">
        <v>1154</v>
      </c>
      <c r="F1341" s="1031">
        <v>0</v>
      </c>
      <c r="G1341" s="1031">
        <v>3891.38</v>
      </c>
      <c r="H1341" s="1031">
        <v>3891.38</v>
      </c>
      <c r="I1341" s="1032" t="s">
        <v>1155</v>
      </c>
    </row>
    <row r="1342" spans="1:9" x14ac:dyDescent="0.25">
      <c r="A1342" s="1033"/>
      <c r="C1342" s="130" t="s">
        <v>114</v>
      </c>
      <c r="D1342" s="130">
        <v>16</v>
      </c>
      <c r="E1342" s="130" t="s">
        <v>114</v>
      </c>
      <c r="F1342" s="1031">
        <v>0</v>
      </c>
      <c r="G1342" s="1031">
        <v>-20517.75</v>
      </c>
      <c r="H1342" s="1031">
        <v>-20517.75</v>
      </c>
      <c r="I1342" s="1032" t="s">
        <v>1158</v>
      </c>
    </row>
    <row r="1343" spans="1:9" x14ac:dyDescent="0.25">
      <c r="A1343" s="1033"/>
      <c r="C1343" s="130" t="s">
        <v>1159</v>
      </c>
      <c r="D1343" s="130">
        <v>16</v>
      </c>
      <c r="E1343" s="130" t="s">
        <v>1159</v>
      </c>
      <c r="F1343" s="1031">
        <v>0</v>
      </c>
      <c r="G1343" s="1031">
        <v>4044.13</v>
      </c>
      <c r="H1343" s="1031">
        <v>4044.13</v>
      </c>
      <c r="I1343" s="1032" t="s">
        <v>1160</v>
      </c>
    </row>
    <row r="1344" spans="1:9" x14ac:dyDescent="0.25">
      <c r="A1344" s="1033"/>
      <c r="C1344" s="130" t="s">
        <v>171</v>
      </c>
      <c r="D1344" s="130">
        <v>16</v>
      </c>
      <c r="E1344" s="130" t="s">
        <v>171</v>
      </c>
      <c r="F1344" s="1031">
        <v>0</v>
      </c>
      <c r="G1344" s="1031">
        <v>-1783.61</v>
      </c>
      <c r="H1344" s="1031">
        <v>-1783.61</v>
      </c>
      <c r="I1344" s="1032" t="s">
        <v>1163</v>
      </c>
    </row>
    <row r="1345" spans="1:9" x14ac:dyDescent="0.25">
      <c r="A1345" s="1033"/>
      <c r="C1345" s="130" t="s">
        <v>1164</v>
      </c>
      <c r="D1345" s="130">
        <v>16</v>
      </c>
      <c r="E1345" s="130" t="s">
        <v>1164</v>
      </c>
      <c r="F1345" s="1031">
        <v>0</v>
      </c>
      <c r="G1345" s="1031">
        <v>270.45999999999998</v>
      </c>
      <c r="H1345" s="1031">
        <v>270.45999999999998</v>
      </c>
      <c r="I1345" s="1032" t="s">
        <v>1165</v>
      </c>
    </row>
    <row r="1346" spans="1:9" x14ac:dyDescent="0.25">
      <c r="A1346" s="1033"/>
      <c r="C1346" s="130" t="s">
        <v>117</v>
      </c>
      <c r="D1346" s="130">
        <v>16</v>
      </c>
      <c r="E1346" s="130" t="s">
        <v>117</v>
      </c>
      <c r="F1346" s="1031">
        <v>0</v>
      </c>
      <c r="G1346" s="1031">
        <v>-1762.56</v>
      </c>
      <c r="H1346" s="1031">
        <v>-1762.56</v>
      </c>
      <c r="I1346" s="1032" t="s">
        <v>1168</v>
      </c>
    </row>
    <row r="1347" spans="1:9" x14ac:dyDescent="0.25">
      <c r="A1347" s="1033"/>
      <c r="C1347" s="130" t="s">
        <v>1169</v>
      </c>
      <c r="D1347" s="130">
        <v>16</v>
      </c>
      <c r="E1347" s="130" t="s">
        <v>1169</v>
      </c>
      <c r="F1347" s="1031">
        <v>0</v>
      </c>
      <c r="G1347" s="1031">
        <v>498.19</v>
      </c>
      <c r="H1347" s="1031">
        <v>498.19</v>
      </c>
      <c r="I1347" s="1032" t="s">
        <v>1170</v>
      </c>
    </row>
    <row r="1348" spans="1:9" x14ac:dyDescent="0.25">
      <c r="A1348" s="1033"/>
      <c r="C1348" s="130" t="s">
        <v>118</v>
      </c>
      <c r="D1348" s="130">
        <v>16</v>
      </c>
      <c r="E1348" s="130" t="s">
        <v>118</v>
      </c>
      <c r="F1348" s="1031">
        <v>0</v>
      </c>
      <c r="G1348" s="1031">
        <v>-3828.09</v>
      </c>
      <c r="H1348" s="1031">
        <v>-3828.09</v>
      </c>
      <c r="I1348" s="1032" t="s">
        <v>1173</v>
      </c>
    </row>
    <row r="1349" spans="1:9" x14ac:dyDescent="0.25">
      <c r="A1349" s="1033"/>
      <c r="C1349" s="130" t="s">
        <v>1174</v>
      </c>
      <c r="D1349" s="130">
        <v>16</v>
      </c>
      <c r="E1349" s="130" t="s">
        <v>1174</v>
      </c>
      <c r="F1349" s="1031">
        <v>0</v>
      </c>
      <c r="G1349" s="1031">
        <v>1222</v>
      </c>
      <c r="H1349" s="1031">
        <v>1222</v>
      </c>
      <c r="I1349" s="1032" t="s">
        <v>1175</v>
      </c>
    </row>
    <row r="1350" spans="1:9" x14ac:dyDescent="0.25">
      <c r="A1350" s="1033"/>
      <c r="C1350" s="130" t="s">
        <v>120</v>
      </c>
      <c r="D1350" s="130">
        <v>16</v>
      </c>
      <c r="E1350" s="130" t="s">
        <v>120</v>
      </c>
      <c r="F1350" s="1031">
        <v>0</v>
      </c>
      <c r="G1350" s="1031">
        <v>-1631.55</v>
      </c>
      <c r="H1350" s="1031">
        <v>-1631.55</v>
      </c>
      <c r="I1350" s="1032" t="s">
        <v>1178</v>
      </c>
    </row>
    <row r="1351" spans="1:9" x14ac:dyDescent="0.25">
      <c r="A1351" s="1033"/>
      <c r="C1351" s="130" t="s">
        <v>1179</v>
      </c>
      <c r="D1351" s="130">
        <v>16</v>
      </c>
      <c r="E1351" s="130" t="s">
        <v>1179</v>
      </c>
      <c r="F1351" s="1031">
        <v>0</v>
      </c>
      <c r="G1351" s="1031">
        <v>894</v>
      </c>
      <c r="H1351" s="1031">
        <v>894</v>
      </c>
      <c r="I1351" s="1032" t="s">
        <v>1180</v>
      </c>
    </row>
    <row r="1352" spans="1:9" x14ac:dyDescent="0.25">
      <c r="A1352" s="1033"/>
      <c r="C1352" s="130" t="s">
        <v>121</v>
      </c>
      <c r="D1352" s="130">
        <v>16</v>
      </c>
      <c r="E1352" s="130" t="s">
        <v>121</v>
      </c>
      <c r="F1352" s="1031">
        <v>0</v>
      </c>
      <c r="G1352" s="1031">
        <v>-1240.8</v>
      </c>
      <c r="H1352" s="1031">
        <v>-1240.8</v>
      </c>
      <c r="I1352" s="1032" t="s">
        <v>1183</v>
      </c>
    </row>
    <row r="1353" spans="1:9" x14ac:dyDescent="0.25">
      <c r="A1353" s="1033"/>
      <c r="C1353" s="130" t="s">
        <v>1184</v>
      </c>
      <c r="D1353" s="130">
        <v>16</v>
      </c>
      <c r="E1353" s="130" t="s">
        <v>1184</v>
      </c>
      <c r="F1353" s="1031">
        <v>0</v>
      </c>
      <c r="G1353" s="1031">
        <v>867</v>
      </c>
      <c r="H1353" s="1031">
        <v>867</v>
      </c>
      <c r="I1353" s="1032" t="s">
        <v>1185</v>
      </c>
    </row>
    <row r="1354" spans="1:9" x14ac:dyDescent="0.25">
      <c r="A1354" s="1033"/>
      <c r="C1354" s="130" t="s">
        <v>173</v>
      </c>
      <c r="D1354" s="130">
        <v>16</v>
      </c>
      <c r="E1354" s="130" t="s">
        <v>173</v>
      </c>
      <c r="F1354" s="1031">
        <v>0</v>
      </c>
      <c r="G1354" s="1031">
        <v>-236.7</v>
      </c>
      <c r="H1354" s="1031">
        <v>-236.7</v>
      </c>
      <c r="I1354" s="1032" t="s">
        <v>1188</v>
      </c>
    </row>
    <row r="1355" spans="1:9" x14ac:dyDescent="0.25">
      <c r="A1355" s="1033"/>
      <c r="C1355" s="130" t="s">
        <v>1189</v>
      </c>
      <c r="D1355" s="130">
        <v>16</v>
      </c>
      <c r="E1355" s="130" t="s">
        <v>1189</v>
      </c>
      <c r="F1355" s="1031">
        <v>0</v>
      </c>
      <c r="G1355" s="1031">
        <v>126</v>
      </c>
      <c r="H1355" s="1031">
        <v>126</v>
      </c>
      <c r="I1355" s="1032" t="s">
        <v>1190</v>
      </c>
    </row>
    <row r="1356" spans="1:9" x14ac:dyDescent="0.25">
      <c r="A1356" s="1033"/>
      <c r="C1356" s="130" t="s">
        <v>124</v>
      </c>
      <c r="D1356" s="130">
        <v>16</v>
      </c>
      <c r="E1356" s="130" t="s">
        <v>124</v>
      </c>
      <c r="F1356" s="1031">
        <v>0</v>
      </c>
      <c r="G1356" s="1031">
        <v>-12238.2</v>
      </c>
      <c r="H1356" s="1031">
        <v>-12238.2</v>
      </c>
      <c r="I1356" s="1032" t="s">
        <v>1193</v>
      </c>
    </row>
    <row r="1357" spans="1:9" x14ac:dyDescent="0.25">
      <c r="A1357" s="1033"/>
      <c r="C1357" s="130" t="s">
        <v>1194</v>
      </c>
      <c r="D1357" s="130">
        <v>16</v>
      </c>
      <c r="E1357" s="130" t="s">
        <v>1194</v>
      </c>
      <c r="F1357" s="1031">
        <v>0</v>
      </c>
      <c r="G1357" s="1031">
        <v>5269.89</v>
      </c>
      <c r="H1357" s="1031">
        <v>5269.89</v>
      </c>
      <c r="I1357" s="1032" t="s">
        <v>1195</v>
      </c>
    </row>
    <row r="1358" spans="1:9" x14ac:dyDescent="0.25">
      <c r="A1358" s="1033"/>
      <c r="C1358" s="130" t="s">
        <v>125</v>
      </c>
      <c r="D1358" s="130">
        <v>16</v>
      </c>
      <c r="E1358" s="130" t="s">
        <v>125</v>
      </c>
      <c r="F1358" s="1031">
        <v>0</v>
      </c>
      <c r="G1358" s="1031">
        <v>-6177.57</v>
      </c>
      <c r="H1358" s="1031">
        <v>-6177.57</v>
      </c>
      <c r="I1358" s="1032" t="s">
        <v>1198</v>
      </c>
    </row>
    <row r="1359" spans="1:9" x14ac:dyDescent="0.25">
      <c r="A1359" s="1033"/>
      <c r="C1359" s="130" t="s">
        <v>1199</v>
      </c>
      <c r="D1359" s="130">
        <v>16</v>
      </c>
      <c r="E1359" s="130" t="s">
        <v>1199</v>
      </c>
      <c r="F1359" s="1031">
        <v>0</v>
      </c>
      <c r="G1359" s="1031">
        <v>2487.06</v>
      </c>
      <c r="H1359" s="1031">
        <v>2487.06</v>
      </c>
      <c r="I1359" s="1032" t="s">
        <v>1200</v>
      </c>
    </row>
    <row r="1360" spans="1:9" x14ac:dyDescent="0.25">
      <c r="A1360" s="1033"/>
      <c r="C1360" s="130" t="s">
        <v>174</v>
      </c>
      <c r="D1360" s="130">
        <v>16</v>
      </c>
      <c r="E1360" s="130" t="s">
        <v>174</v>
      </c>
      <c r="F1360" s="1031">
        <v>0</v>
      </c>
      <c r="G1360" s="1031">
        <v>-1041.3</v>
      </c>
      <c r="H1360" s="1031">
        <v>-1041.3</v>
      </c>
      <c r="I1360" s="1032" t="s">
        <v>1203</v>
      </c>
    </row>
    <row r="1361" spans="1:9" x14ac:dyDescent="0.25">
      <c r="A1361" s="1033"/>
      <c r="C1361" s="130" t="s">
        <v>1204</v>
      </c>
      <c r="D1361" s="130">
        <v>16</v>
      </c>
      <c r="E1361" s="130" t="s">
        <v>1204</v>
      </c>
      <c r="F1361" s="1031">
        <v>0</v>
      </c>
      <c r="G1361" s="1031">
        <v>202.55</v>
      </c>
      <c r="H1361" s="1031">
        <v>202.55</v>
      </c>
      <c r="I1361" s="1032" t="s">
        <v>1205</v>
      </c>
    </row>
    <row r="1362" spans="1:9" x14ac:dyDescent="0.25">
      <c r="A1362" s="1033"/>
      <c r="C1362" s="130" t="s">
        <v>128</v>
      </c>
      <c r="D1362" s="130">
        <v>16</v>
      </c>
      <c r="E1362" s="130" t="s">
        <v>128</v>
      </c>
      <c r="F1362" s="1031">
        <v>0</v>
      </c>
      <c r="G1362" s="1031">
        <v>-6507.77</v>
      </c>
      <c r="H1362" s="1031">
        <v>-6507.77</v>
      </c>
      <c r="I1362" s="1032" t="s">
        <v>1210</v>
      </c>
    </row>
    <row r="1363" spans="1:9" x14ac:dyDescent="0.25">
      <c r="A1363" s="1033"/>
      <c r="C1363" s="130" t="s">
        <v>128</v>
      </c>
      <c r="D1363" s="130">
        <v>16</v>
      </c>
      <c r="E1363" s="130" t="s">
        <v>1211</v>
      </c>
      <c r="F1363" s="1031">
        <v>0</v>
      </c>
      <c r="G1363" s="1031">
        <v>-3106.15</v>
      </c>
      <c r="H1363" s="1031">
        <v>-3106.15</v>
      </c>
      <c r="I1363" s="1032" t="s">
        <v>1212</v>
      </c>
    </row>
    <row r="1364" spans="1:9" x14ac:dyDescent="0.25">
      <c r="A1364" s="1033"/>
      <c r="C1364" s="130" t="s">
        <v>1213</v>
      </c>
      <c r="D1364" s="130">
        <v>16</v>
      </c>
      <c r="E1364" s="130" t="s">
        <v>1213</v>
      </c>
      <c r="F1364" s="1031">
        <v>0</v>
      </c>
      <c r="G1364" s="1031">
        <v>1378.06</v>
      </c>
      <c r="H1364" s="1031">
        <v>1378.06</v>
      </c>
      <c r="I1364" s="1032" t="s">
        <v>1214</v>
      </c>
    </row>
    <row r="1365" spans="1:9" x14ac:dyDescent="0.25">
      <c r="A1365" s="1033"/>
      <c r="C1365" s="130" t="s">
        <v>1213</v>
      </c>
      <c r="D1365" s="130">
        <v>16</v>
      </c>
      <c r="E1365" s="130" t="s">
        <v>1215</v>
      </c>
      <c r="F1365" s="1031">
        <v>0</v>
      </c>
      <c r="G1365" s="1031">
        <v>1846</v>
      </c>
      <c r="H1365" s="1031">
        <v>1846</v>
      </c>
      <c r="I1365" s="1032" t="s">
        <v>1216</v>
      </c>
    </row>
    <row r="1366" spans="1:9" x14ac:dyDescent="0.25">
      <c r="A1366" s="1033"/>
      <c r="C1366" s="130" t="s">
        <v>155</v>
      </c>
      <c r="D1366" s="130">
        <v>16</v>
      </c>
      <c r="E1366" s="130" t="s">
        <v>155</v>
      </c>
      <c r="F1366" s="1031">
        <v>0</v>
      </c>
      <c r="G1366" s="1031">
        <v>-8273.66</v>
      </c>
      <c r="H1366" s="1031">
        <v>-8273.66</v>
      </c>
      <c r="I1366" s="1032" t="s">
        <v>1221</v>
      </c>
    </row>
    <row r="1367" spans="1:9" x14ac:dyDescent="0.25">
      <c r="A1367" s="1033"/>
      <c r="C1367" s="130" t="s">
        <v>155</v>
      </c>
      <c r="D1367" s="130">
        <v>16</v>
      </c>
      <c r="E1367" s="130" t="s">
        <v>2</v>
      </c>
      <c r="F1367" s="1031">
        <v>0</v>
      </c>
      <c r="G1367" s="1031">
        <v>-4103.68</v>
      </c>
      <c r="H1367" s="1031">
        <v>-4103.68</v>
      </c>
      <c r="I1367" s="1032" t="s">
        <v>1222</v>
      </c>
    </row>
    <row r="1368" spans="1:9" x14ac:dyDescent="0.25">
      <c r="A1368" s="1033"/>
      <c r="C1368" s="130" t="s">
        <v>1223</v>
      </c>
      <c r="D1368" s="130">
        <v>16</v>
      </c>
      <c r="E1368" s="130" t="s">
        <v>1223</v>
      </c>
      <c r="F1368" s="1031">
        <v>0</v>
      </c>
      <c r="G1368" s="1031">
        <v>2007.77</v>
      </c>
      <c r="H1368" s="1031">
        <v>2007.77</v>
      </c>
      <c r="I1368" s="1032" t="s">
        <v>1224</v>
      </c>
    </row>
    <row r="1369" spans="1:9" x14ac:dyDescent="0.25">
      <c r="A1369" s="1033"/>
      <c r="C1369" s="130" t="s">
        <v>1223</v>
      </c>
      <c r="D1369" s="130">
        <v>16</v>
      </c>
      <c r="E1369" s="130" t="s">
        <v>1225</v>
      </c>
      <c r="F1369" s="1031">
        <v>0</v>
      </c>
      <c r="G1369" s="1031">
        <v>3229.5</v>
      </c>
      <c r="H1369" s="1031">
        <v>3229.5</v>
      </c>
      <c r="I1369" s="1032" t="s">
        <v>1226</v>
      </c>
    </row>
    <row r="1370" spans="1:9" x14ac:dyDescent="0.25">
      <c r="A1370" s="1033"/>
      <c r="C1370" s="130" t="s">
        <v>175</v>
      </c>
      <c r="D1370" s="130">
        <v>16</v>
      </c>
      <c r="E1370" s="130" t="s">
        <v>175</v>
      </c>
      <c r="F1370" s="1031">
        <v>0</v>
      </c>
      <c r="G1370" s="1031">
        <v>-1958.35</v>
      </c>
      <c r="H1370" s="1031">
        <v>-1958.35</v>
      </c>
      <c r="I1370" s="1032" t="s">
        <v>1231</v>
      </c>
    </row>
    <row r="1371" spans="1:9" x14ac:dyDescent="0.25">
      <c r="A1371" s="1033"/>
      <c r="C1371" s="130" t="s">
        <v>175</v>
      </c>
      <c r="D1371" s="130">
        <v>16</v>
      </c>
      <c r="E1371" s="130" t="s">
        <v>1232</v>
      </c>
      <c r="F1371" s="1031">
        <v>0</v>
      </c>
      <c r="G1371" s="1031">
        <v>-916.8</v>
      </c>
      <c r="H1371" s="1031">
        <v>-916.8</v>
      </c>
      <c r="I1371" s="1032" t="s">
        <v>1233</v>
      </c>
    </row>
    <row r="1372" spans="1:9" x14ac:dyDescent="0.25">
      <c r="A1372" s="1033"/>
      <c r="C1372" s="130" t="s">
        <v>1234</v>
      </c>
      <c r="D1372" s="130">
        <v>16</v>
      </c>
      <c r="E1372" s="130" t="s">
        <v>1234</v>
      </c>
      <c r="F1372" s="1031">
        <v>0</v>
      </c>
      <c r="G1372" s="1031">
        <v>442.16</v>
      </c>
      <c r="H1372" s="1031">
        <v>442.16</v>
      </c>
      <c r="I1372" s="1032" t="s">
        <v>1235</v>
      </c>
    </row>
    <row r="1373" spans="1:9" x14ac:dyDescent="0.25">
      <c r="A1373" s="1033"/>
      <c r="C1373" s="130" t="s">
        <v>1234</v>
      </c>
      <c r="D1373" s="130">
        <v>16</v>
      </c>
      <c r="E1373" s="130" t="s">
        <v>1236</v>
      </c>
      <c r="F1373" s="1031">
        <v>0</v>
      </c>
      <c r="G1373" s="1031">
        <v>495</v>
      </c>
      <c r="H1373" s="1031">
        <v>495</v>
      </c>
      <c r="I1373" s="1032" t="s">
        <v>1237</v>
      </c>
    </row>
    <row r="1374" spans="1:9" x14ac:dyDescent="0.25">
      <c r="A1374" s="1033"/>
      <c r="C1374" s="130" t="s">
        <v>8</v>
      </c>
      <c r="D1374" s="130">
        <v>16</v>
      </c>
      <c r="E1374" s="130" t="s">
        <v>1241</v>
      </c>
      <c r="F1374" s="1031">
        <v>0</v>
      </c>
      <c r="G1374" s="1031">
        <v>-2399.4499999999998</v>
      </c>
      <c r="H1374" s="1031">
        <v>-2399.4499999999998</v>
      </c>
      <c r="I1374" s="1032" t="s">
        <v>1242</v>
      </c>
    </row>
    <row r="1375" spans="1:9" x14ac:dyDescent="0.25">
      <c r="A1375" s="1033"/>
      <c r="C1375" s="130" t="s">
        <v>1243</v>
      </c>
      <c r="D1375" s="130">
        <v>16</v>
      </c>
      <c r="E1375" s="130" t="s">
        <v>1244</v>
      </c>
      <c r="F1375" s="1031">
        <v>0</v>
      </c>
      <c r="G1375" s="1031">
        <v>1443</v>
      </c>
      <c r="H1375" s="1031">
        <v>1443</v>
      </c>
      <c r="I1375" s="1032" t="s">
        <v>1245</v>
      </c>
    </row>
    <row r="1376" spans="1:9" x14ac:dyDescent="0.25">
      <c r="A1376" s="1033"/>
      <c r="C1376" s="130" t="s">
        <v>4</v>
      </c>
      <c r="D1376" s="130">
        <v>16</v>
      </c>
      <c r="E1376" s="130" t="s">
        <v>4</v>
      </c>
      <c r="F1376" s="1031">
        <v>0</v>
      </c>
      <c r="G1376" s="1031">
        <v>567.4</v>
      </c>
      <c r="H1376" s="1031">
        <v>567.4</v>
      </c>
      <c r="I1376" s="1032" t="s">
        <v>1246</v>
      </c>
    </row>
    <row r="1377" spans="1:9" x14ac:dyDescent="0.25">
      <c r="A1377" s="1033"/>
      <c r="C1377" s="130" t="s">
        <v>5</v>
      </c>
      <c r="D1377" s="130">
        <v>16</v>
      </c>
      <c r="E1377" s="130" t="s">
        <v>5</v>
      </c>
      <c r="F1377" s="1031">
        <v>0</v>
      </c>
      <c r="G1377" s="1031">
        <v>378.27</v>
      </c>
      <c r="H1377" s="1031">
        <v>378.27</v>
      </c>
      <c r="I1377" s="1032" t="s">
        <v>1247</v>
      </c>
    </row>
    <row r="1378" spans="1:9" x14ac:dyDescent="0.25">
      <c r="A1378" s="1033">
        <v>804018</v>
      </c>
      <c r="B1378" s="129">
        <v>676</v>
      </c>
      <c r="E1378" s="130"/>
    </row>
    <row r="1379" spans="1:9" x14ac:dyDescent="0.25">
      <c r="A1379" s="1033">
        <v>804022</v>
      </c>
      <c r="B1379" s="129">
        <v>298</v>
      </c>
      <c r="E1379" s="130"/>
    </row>
    <row r="1380" spans="1:9" x14ac:dyDescent="0.25">
      <c r="A1380" s="1033">
        <v>804024</v>
      </c>
      <c r="B1380" s="129">
        <v>97328</v>
      </c>
      <c r="E1380" s="130"/>
    </row>
    <row r="1381" spans="1:9" x14ac:dyDescent="0.25">
      <c r="A1381" s="1033">
        <v>804026</v>
      </c>
      <c r="B1381" s="129">
        <v>65770</v>
      </c>
      <c r="C1381" s="130" t="s">
        <v>113</v>
      </c>
      <c r="D1381" s="130">
        <v>16</v>
      </c>
      <c r="E1381" s="130" t="s">
        <v>113</v>
      </c>
      <c r="F1381" s="1031">
        <v>0</v>
      </c>
      <c r="G1381" s="1031">
        <v>-19603.05</v>
      </c>
      <c r="H1381" s="1031">
        <v>-19603.05</v>
      </c>
      <c r="I1381" s="1032" t="s">
        <v>1153</v>
      </c>
    </row>
    <row r="1382" spans="1:9" x14ac:dyDescent="0.25">
      <c r="A1382" s="1033"/>
      <c r="C1382" s="130" t="s">
        <v>1154</v>
      </c>
      <c r="D1382" s="130">
        <v>16</v>
      </c>
      <c r="E1382" s="130" t="s">
        <v>1154</v>
      </c>
      <c r="F1382" s="1031">
        <v>0</v>
      </c>
      <c r="G1382" s="1031">
        <v>3891.38</v>
      </c>
      <c r="H1382" s="1031">
        <v>3891.38</v>
      </c>
      <c r="I1382" s="1032" t="s">
        <v>1155</v>
      </c>
    </row>
    <row r="1383" spans="1:9" x14ac:dyDescent="0.25">
      <c r="A1383" s="1033"/>
      <c r="C1383" s="130" t="s">
        <v>114</v>
      </c>
      <c r="D1383" s="130">
        <v>16</v>
      </c>
      <c r="E1383" s="130" t="s">
        <v>114</v>
      </c>
      <c r="F1383" s="1031">
        <v>0</v>
      </c>
      <c r="G1383" s="1031">
        <v>-20517.75</v>
      </c>
      <c r="H1383" s="1031">
        <v>-20517.75</v>
      </c>
      <c r="I1383" s="1032" t="s">
        <v>1158</v>
      </c>
    </row>
    <row r="1384" spans="1:9" x14ac:dyDescent="0.25">
      <c r="A1384" s="1033"/>
      <c r="C1384" s="130" t="s">
        <v>1159</v>
      </c>
      <c r="D1384" s="130">
        <v>16</v>
      </c>
      <c r="E1384" s="130" t="s">
        <v>1159</v>
      </c>
      <c r="F1384" s="1031">
        <v>0</v>
      </c>
      <c r="G1384" s="1031">
        <v>4044.13</v>
      </c>
      <c r="H1384" s="1031">
        <v>4044.13</v>
      </c>
      <c r="I1384" s="1032" t="s">
        <v>1160</v>
      </c>
    </row>
    <row r="1385" spans="1:9" x14ac:dyDescent="0.25">
      <c r="A1385" s="1033"/>
      <c r="C1385" s="130" t="s">
        <v>171</v>
      </c>
      <c r="D1385" s="130">
        <v>16</v>
      </c>
      <c r="E1385" s="130" t="s">
        <v>171</v>
      </c>
      <c r="F1385" s="1031">
        <v>0</v>
      </c>
      <c r="G1385" s="1031">
        <v>-1783.61</v>
      </c>
      <c r="H1385" s="1031">
        <v>-1783.61</v>
      </c>
      <c r="I1385" s="1032" t="s">
        <v>1163</v>
      </c>
    </row>
    <row r="1386" spans="1:9" x14ac:dyDescent="0.25">
      <c r="A1386" s="1033"/>
      <c r="C1386" s="130" t="s">
        <v>1164</v>
      </c>
      <c r="D1386" s="130">
        <v>16</v>
      </c>
      <c r="E1386" s="130" t="s">
        <v>1164</v>
      </c>
      <c r="F1386" s="1031">
        <v>0</v>
      </c>
      <c r="G1386" s="1031">
        <v>270.45999999999998</v>
      </c>
      <c r="H1386" s="1031">
        <v>270.45999999999998</v>
      </c>
      <c r="I1386" s="1032" t="s">
        <v>1165</v>
      </c>
    </row>
    <row r="1387" spans="1:9" x14ac:dyDescent="0.25">
      <c r="A1387" s="1033"/>
      <c r="C1387" s="130" t="s">
        <v>117</v>
      </c>
      <c r="D1387" s="130">
        <v>16</v>
      </c>
      <c r="E1387" s="130" t="s">
        <v>117</v>
      </c>
      <c r="F1387" s="1031">
        <v>0</v>
      </c>
      <c r="G1387" s="1031">
        <v>-1762.56</v>
      </c>
      <c r="H1387" s="1031">
        <v>-1762.56</v>
      </c>
      <c r="I1387" s="1032" t="s">
        <v>1168</v>
      </c>
    </row>
    <row r="1388" spans="1:9" x14ac:dyDescent="0.25">
      <c r="A1388" s="1033"/>
      <c r="C1388" s="130" t="s">
        <v>1169</v>
      </c>
      <c r="D1388" s="130">
        <v>16</v>
      </c>
      <c r="E1388" s="130" t="s">
        <v>1169</v>
      </c>
      <c r="F1388" s="1031">
        <v>0</v>
      </c>
      <c r="G1388" s="1031">
        <v>498.19</v>
      </c>
      <c r="H1388" s="1031">
        <v>498.19</v>
      </c>
      <c r="I1388" s="1032" t="s">
        <v>1170</v>
      </c>
    </row>
    <row r="1389" spans="1:9" x14ac:dyDescent="0.25">
      <c r="A1389" s="1033"/>
      <c r="C1389" s="130" t="s">
        <v>118</v>
      </c>
      <c r="D1389" s="130">
        <v>16</v>
      </c>
      <c r="E1389" s="130" t="s">
        <v>118</v>
      </c>
      <c r="F1389" s="1031">
        <v>0</v>
      </c>
      <c r="G1389" s="1031">
        <v>-3828.09</v>
      </c>
      <c r="H1389" s="1031">
        <v>-3828.09</v>
      </c>
      <c r="I1389" s="1032" t="s">
        <v>1173</v>
      </c>
    </row>
    <row r="1390" spans="1:9" x14ac:dyDescent="0.25">
      <c r="A1390" s="1033"/>
      <c r="C1390" s="130" t="s">
        <v>1174</v>
      </c>
      <c r="D1390" s="130">
        <v>16</v>
      </c>
      <c r="E1390" s="130" t="s">
        <v>1174</v>
      </c>
      <c r="F1390" s="1031">
        <v>0</v>
      </c>
      <c r="G1390" s="1031">
        <v>1222</v>
      </c>
      <c r="H1390" s="1031">
        <v>1222</v>
      </c>
      <c r="I1390" s="1032" t="s">
        <v>1175</v>
      </c>
    </row>
    <row r="1391" spans="1:9" x14ac:dyDescent="0.25">
      <c r="A1391" s="1033"/>
      <c r="C1391" s="130" t="s">
        <v>120</v>
      </c>
      <c r="D1391" s="130">
        <v>16</v>
      </c>
      <c r="E1391" s="130" t="s">
        <v>120</v>
      </c>
      <c r="F1391" s="1031">
        <v>0</v>
      </c>
      <c r="G1391" s="1031">
        <v>-1631.55</v>
      </c>
      <c r="H1391" s="1031">
        <v>-1631.55</v>
      </c>
      <c r="I1391" s="1032" t="s">
        <v>1178</v>
      </c>
    </row>
    <row r="1392" spans="1:9" x14ac:dyDescent="0.25">
      <c r="A1392" s="1033"/>
      <c r="C1392" s="130" t="s">
        <v>1179</v>
      </c>
      <c r="D1392" s="130">
        <v>16</v>
      </c>
      <c r="E1392" s="130" t="s">
        <v>1179</v>
      </c>
      <c r="F1392" s="1031">
        <v>0</v>
      </c>
      <c r="G1392" s="1031">
        <v>894</v>
      </c>
      <c r="H1392" s="1031">
        <v>894</v>
      </c>
      <c r="I1392" s="1032" t="s">
        <v>1180</v>
      </c>
    </row>
    <row r="1393" spans="1:9" x14ac:dyDescent="0.25">
      <c r="A1393" s="1033"/>
      <c r="C1393" s="130" t="s">
        <v>121</v>
      </c>
      <c r="D1393" s="130">
        <v>16</v>
      </c>
      <c r="E1393" s="130" t="s">
        <v>121</v>
      </c>
      <c r="F1393" s="1031">
        <v>0</v>
      </c>
      <c r="G1393" s="1031">
        <v>-1240.8</v>
      </c>
      <c r="H1393" s="1031">
        <v>-1240.8</v>
      </c>
      <c r="I1393" s="1032" t="s">
        <v>1183</v>
      </c>
    </row>
    <row r="1394" spans="1:9" x14ac:dyDescent="0.25">
      <c r="A1394" s="1033"/>
      <c r="C1394" s="130" t="s">
        <v>1184</v>
      </c>
      <c r="D1394" s="130">
        <v>16</v>
      </c>
      <c r="E1394" s="130" t="s">
        <v>1184</v>
      </c>
      <c r="F1394" s="1031">
        <v>0</v>
      </c>
      <c r="G1394" s="1031">
        <v>867</v>
      </c>
      <c r="H1394" s="1031">
        <v>867</v>
      </c>
      <c r="I1394" s="1032" t="s">
        <v>1185</v>
      </c>
    </row>
    <row r="1395" spans="1:9" x14ac:dyDescent="0.25">
      <c r="A1395" s="1033"/>
      <c r="C1395" s="130" t="s">
        <v>173</v>
      </c>
      <c r="D1395" s="130">
        <v>16</v>
      </c>
      <c r="E1395" s="130" t="s">
        <v>173</v>
      </c>
      <c r="F1395" s="1031">
        <v>0</v>
      </c>
      <c r="G1395" s="1031">
        <v>-236.7</v>
      </c>
      <c r="H1395" s="1031">
        <v>-236.7</v>
      </c>
      <c r="I1395" s="1032" t="s">
        <v>1188</v>
      </c>
    </row>
    <row r="1396" spans="1:9" x14ac:dyDescent="0.25">
      <c r="A1396" s="1033"/>
      <c r="C1396" s="130" t="s">
        <v>1189</v>
      </c>
      <c r="D1396" s="130">
        <v>16</v>
      </c>
      <c r="E1396" s="130" t="s">
        <v>1189</v>
      </c>
      <c r="F1396" s="1031">
        <v>0</v>
      </c>
      <c r="G1396" s="1031">
        <v>126</v>
      </c>
      <c r="H1396" s="1031">
        <v>126</v>
      </c>
      <c r="I1396" s="1032" t="s">
        <v>1190</v>
      </c>
    </row>
    <row r="1397" spans="1:9" x14ac:dyDescent="0.25">
      <c r="A1397" s="1033"/>
      <c r="C1397" s="130" t="s">
        <v>124</v>
      </c>
      <c r="D1397" s="130">
        <v>16</v>
      </c>
      <c r="E1397" s="130" t="s">
        <v>124</v>
      </c>
      <c r="F1397" s="1031">
        <v>0</v>
      </c>
      <c r="G1397" s="1031">
        <v>-12238.2</v>
      </c>
      <c r="H1397" s="1031">
        <v>-12238.2</v>
      </c>
      <c r="I1397" s="1032" t="s">
        <v>1193</v>
      </c>
    </row>
    <row r="1398" spans="1:9" x14ac:dyDescent="0.25">
      <c r="A1398" s="1033"/>
      <c r="C1398" s="130" t="s">
        <v>1194</v>
      </c>
      <c r="D1398" s="130">
        <v>16</v>
      </c>
      <c r="E1398" s="130" t="s">
        <v>1194</v>
      </c>
      <c r="F1398" s="1031">
        <v>0</v>
      </c>
      <c r="G1398" s="1031">
        <v>5269.89</v>
      </c>
      <c r="H1398" s="1031">
        <v>5269.89</v>
      </c>
      <c r="I1398" s="1032" t="s">
        <v>1195</v>
      </c>
    </row>
    <row r="1399" spans="1:9" x14ac:dyDescent="0.25">
      <c r="A1399" s="1033"/>
      <c r="C1399" s="130" t="s">
        <v>125</v>
      </c>
      <c r="D1399" s="130">
        <v>16</v>
      </c>
      <c r="E1399" s="130" t="s">
        <v>125</v>
      </c>
      <c r="F1399" s="1031">
        <v>0</v>
      </c>
      <c r="G1399" s="1031">
        <v>-6177.57</v>
      </c>
      <c r="H1399" s="1031">
        <v>-6177.57</v>
      </c>
      <c r="I1399" s="1032" t="s">
        <v>1198</v>
      </c>
    </row>
    <row r="1400" spans="1:9" x14ac:dyDescent="0.25">
      <c r="A1400" s="1033"/>
      <c r="C1400" s="130" t="s">
        <v>1199</v>
      </c>
      <c r="D1400" s="130">
        <v>16</v>
      </c>
      <c r="E1400" s="130" t="s">
        <v>1199</v>
      </c>
      <c r="F1400" s="1031">
        <v>0</v>
      </c>
      <c r="G1400" s="1031">
        <v>2487.06</v>
      </c>
      <c r="H1400" s="1031">
        <v>2487.06</v>
      </c>
      <c r="I1400" s="1032" t="s">
        <v>1200</v>
      </c>
    </row>
    <row r="1401" spans="1:9" x14ac:dyDescent="0.25">
      <c r="A1401" s="1033"/>
      <c r="C1401" s="130" t="s">
        <v>174</v>
      </c>
      <c r="D1401" s="130">
        <v>16</v>
      </c>
      <c r="E1401" s="130" t="s">
        <v>174</v>
      </c>
      <c r="F1401" s="1031">
        <v>0</v>
      </c>
      <c r="G1401" s="1031">
        <v>-1041.3</v>
      </c>
      <c r="H1401" s="1031">
        <v>-1041.3</v>
      </c>
      <c r="I1401" s="1032" t="s">
        <v>1203</v>
      </c>
    </row>
    <row r="1402" spans="1:9" x14ac:dyDescent="0.25">
      <c r="A1402" s="1033"/>
      <c r="C1402" s="130" t="s">
        <v>1204</v>
      </c>
      <c r="D1402" s="130">
        <v>16</v>
      </c>
      <c r="E1402" s="130" t="s">
        <v>1204</v>
      </c>
      <c r="F1402" s="1031">
        <v>0</v>
      </c>
      <c r="G1402" s="1031">
        <v>202.55</v>
      </c>
      <c r="H1402" s="1031">
        <v>202.55</v>
      </c>
      <c r="I1402" s="1032" t="s">
        <v>1205</v>
      </c>
    </row>
    <row r="1403" spans="1:9" x14ac:dyDescent="0.25">
      <c r="A1403" s="1033"/>
      <c r="C1403" s="130" t="s">
        <v>128</v>
      </c>
      <c r="D1403" s="130">
        <v>16</v>
      </c>
      <c r="E1403" s="130" t="s">
        <v>128</v>
      </c>
      <c r="F1403" s="1031">
        <v>0</v>
      </c>
      <c r="G1403" s="1031">
        <v>-6507.77</v>
      </c>
      <c r="H1403" s="1031">
        <v>-6507.77</v>
      </c>
      <c r="I1403" s="1032" t="s">
        <v>1210</v>
      </c>
    </row>
    <row r="1404" spans="1:9" x14ac:dyDescent="0.25">
      <c r="A1404" s="1033"/>
      <c r="C1404" s="130" t="s">
        <v>128</v>
      </c>
      <c r="D1404" s="130">
        <v>16</v>
      </c>
      <c r="E1404" s="130" t="s">
        <v>1211</v>
      </c>
      <c r="F1404" s="1031">
        <v>0</v>
      </c>
      <c r="G1404" s="1031">
        <v>-3106.15</v>
      </c>
      <c r="H1404" s="1031">
        <v>-3106.15</v>
      </c>
      <c r="I1404" s="1032" t="s">
        <v>1212</v>
      </c>
    </row>
    <row r="1405" spans="1:9" x14ac:dyDescent="0.25">
      <c r="A1405" s="1033"/>
      <c r="C1405" s="130" t="s">
        <v>1213</v>
      </c>
      <c r="D1405" s="130">
        <v>16</v>
      </c>
      <c r="E1405" s="130" t="s">
        <v>1213</v>
      </c>
      <c r="F1405" s="1031">
        <v>0</v>
      </c>
      <c r="G1405" s="1031">
        <v>1378.06</v>
      </c>
      <c r="H1405" s="1031">
        <v>1378.06</v>
      </c>
      <c r="I1405" s="1032" t="s">
        <v>1214</v>
      </c>
    </row>
    <row r="1406" spans="1:9" x14ac:dyDescent="0.25">
      <c r="A1406" s="1033"/>
      <c r="C1406" s="130" t="s">
        <v>1213</v>
      </c>
      <c r="D1406" s="130">
        <v>16</v>
      </c>
      <c r="E1406" s="130" t="s">
        <v>1215</v>
      </c>
      <c r="F1406" s="1031">
        <v>0</v>
      </c>
      <c r="G1406" s="1031">
        <v>1846</v>
      </c>
      <c r="H1406" s="1031">
        <v>1846</v>
      </c>
      <c r="I1406" s="1032" t="s">
        <v>1216</v>
      </c>
    </row>
    <row r="1407" spans="1:9" x14ac:dyDescent="0.25">
      <c r="A1407" s="1033"/>
      <c r="C1407" s="130" t="s">
        <v>155</v>
      </c>
      <c r="D1407" s="130">
        <v>16</v>
      </c>
      <c r="E1407" s="130" t="s">
        <v>155</v>
      </c>
      <c r="F1407" s="1031">
        <v>0</v>
      </c>
      <c r="G1407" s="1031">
        <v>-8273.66</v>
      </c>
      <c r="H1407" s="1031">
        <v>-8273.66</v>
      </c>
      <c r="I1407" s="1032" t="s">
        <v>1221</v>
      </c>
    </row>
    <row r="1408" spans="1:9" x14ac:dyDescent="0.25">
      <c r="A1408" s="1033"/>
      <c r="C1408" s="130" t="s">
        <v>155</v>
      </c>
      <c r="D1408" s="130">
        <v>16</v>
      </c>
      <c r="E1408" s="130" t="s">
        <v>2</v>
      </c>
      <c r="F1408" s="1031">
        <v>0</v>
      </c>
      <c r="G1408" s="1031">
        <v>-4103.68</v>
      </c>
      <c r="H1408" s="1031">
        <v>-4103.68</v>
      </c>
      <c r="I1408" s="1032" t="s">
        <v>1222</v>
      </c>
    </row>
    <row r="1409" spans="1:9" x14ac:dyDescent="0.25">
      <c r="A1409" s="1033"/>
      <c r="C1409" s="130" t="s">
        <v>1223</v>
      </c>
      <c r="D1409" s="130">
        <v>16</v>
      </c>
      <c r="E1409" s="130" t="s">
        <v>1223</v>
      </c>
      <c r="F1409" s="1031">
        <v>0</v>
      </c>
      <c r="G1409" s="1031">
        <v>2007.77</v>
      </c>
      <c r="H1409" s="1031">
        <v>2007.77</v>
      </c>
      <c r="I1409" s="1032" t="s">
        <v>1224</v>
      </c>
    </row>
    <row r="1410" spans="1:9" x14ac:dyDescent="0.25">
      <c r="A1410" s="1033"/>
      <c r="C1410" s="130" t="s">
        <v>1223</v>
      </c>
      <c r="D1410" s="130">
        <v>16</v>
      </c>
      <c r="E1410" s="130" t="s">
        <v>1225</v>
      </c>
      <c r="F1410" s="1031">
        <v>0</v>
      </c>
      <c r="G1410" s="1031">
        <v>3229.5</v>
      </c>
      <c r="H1410" s="1031">
        <v>3229.5</v>
      </c>
      <c r="I1410" s="1032" t="s">
        <v>1226</v>
      </c>
    </row>
    <row r="1411" spans="1:9" x14ac:dyDescent="0.25">
      <c r="A1411" s="1033"/>
      <c r="C1411" s="130" t="s">
        <v>175</v>
      </c>
      <c r="D1411" s="130">
        <v>16</v>
      </c>
      <c r="E1411" s="130" t="s">
        <v>175</v>
      </c>
      <c r="F1411" s="1031">
        <v>0</v>
      </c>
      <c r="G1411" s="1031">
        <v>-1958.35</v>
      </c>
      <c r="H1411" s="1031">
        <v>-1958.35</v>
      </c>
      <c r="I1411" s="1032" t="s">
        <v>1231</v>
      </c>
    </row>
    <row r="1412" spans="1:9" x14ac:dyDescent="0.25">
      <c r="A1412" s="1033"/>
      <c r="C1412" s="130" t="s">
        <v>175</v>
      </c>
      <c r="D1412" s="130">
        <v>16</v>
      </c>
      <c r="E1412" s="130" t="s">
        <v>1232</v>
      </c>
      <c r="F1412" s="1031">
        <v>0</v>
      </c>
      <c r="G1412" s="1031">
        <v>-916.8</v>
      </c>
      <c r="H1412" s="1031">
        <v>-916.8</v>
      </c>
      <c r="I1412" s="1032" t="s">
        <v>1233</v>
      </c>
    </row>
    <row r="1413" spans="1:9" x14ac:dyDescent="0.25">
      <c r="A1413" s="1033"/>
      <c r="C1413" s="130" t="s">
        <v>1234</v>
      </c>
      <c r="D1413" s="130">
        <v>16</v>
      </c>
      <c r="E1413" s="130" t="s">
        <v>1234</v>
      </c>
      <c r="F1413" s="1031">
        <v>0</v>
      </c>
      <c r="G1413" s="1031">
        <v>442.16</v>
      </c>
      <c r="H1413" s="1031">
        <v>442.16</v>
      </c>
      <c r="I1413" s="1032" t="s">
        <v>1235</v>
      </c>
    </row>
    <row r="1414" spans="1:9" x14ac:dyDescent="0.25">
      <c r="A1414" s="1033"/>
      <c r="C1414" s="130" t="s">
        <v>1234</v>
      </c>
      <c r="D1414" s="130">
        <v>16</v>
      </c>
      <c r="E1414" s="130" t="s">
        <v>1236</v>
      </c>
      <c r="F1414" s="1031">
        <v>0</v>
      </c>
      <c r="G1414" s="1031">
        <v>495</v>
      </c>
      <c r="H1414" s="1031">
        <v>495</v>
      </c>
      <c r="I1414" s="1032" t="s">
        <v>1237</v>
      </c>
    </row>
    <row r="1415" spans="1:9" x14ac:dyDescent="0.25">
      <c r="A1415" s="1033"/>
      <c r="C1415" s="130" t="s">
        <v>4</v>
      </c>
      <c r="D1415" s="130">
        <v>16</v>
      </c>
      <c r="E1415" s="130" t="s">
        <v>4</v>
      </c>
      <c r="F1415" s="1031">
        <v>0</v>
      </c>
      <c r="G1415" s="1031">
        <v>567.4</v>
      </c>
      <c r="H1415" s="1031">
        <v>567.4</v>
      </c>
      <c r="I1415" s="1032" t="s">
        <v>1246</v>
      </c>
    </row>
    <row r="1416" spans="1:9" x14ac:dyDescent="0.25">
      <c r="A1416" s="1033"/>
      <c r="C1416" s="130" t="s">
        <v>5</v>
      </c>
      <c r="D1416" s="130">
        <v>16</v>
      </c>
      <c r="E1416" s="130" t="s">
        <v>5</v>
      </c>
      <c r="F1416" s="1031">
        <v>0</v>
      </c>
      <c r="G1416" s="1031">
        <v>378.27</v>
      </c>
      <c r="H1416" s="1031">
        <v>378.27</v>
      </c>
      <c r="I1416" s="1032" t="s">
        <v>1247</v>
      </c>
    </row>
    <row r="1417" spans="1:9" x14ac:dyDescent="0.25">
      <c r="A1417" s="1033"/>
      <c r="C1417" s="130" t="s">
        <v>8</v>
      </c>
      <c r="D1417" s="130">
        <v>16</v>
      </c>
      <c r="E1417" s="130" t="s">
        <v>1241</v>
      </c>
      <c r="F1417" s="1031">
        <v>0</v>
      </c>
      <c r="G1417" s="1031">
        <v>-2399.4499999999998</v>
      </c>
      <c r="H1417" s="1031">
        <v>-2399.4499999999998</v>
      </c>
      <c r="I1417" s="1032" t="s">
        <v>1242</v>
      </c>
    </row>
    <row r="1418" spans="1:9" x14ac:dyDescent="0.25">
      <c r="A1418" s="1033"/>
      <c r="C1418" s="130" t="s">
        <v>1243</v>
      </c>
      <c r="D1418" s="130">
        <v>16</v>
      </c>
      <c r="E1418" s="130" t="s">
        <v>1244</v>
      </c>
      <c r="F1418" s="1031">
        <v>0</v>
      </c>
      <c r="G1418" s="1031">
        <v>1443</v>
      </c>
      <c r="H1418" s="1031">
        <v>1443</v>
      </c>
      <c r="I1418" s="1032" t="s">
        <v>1245</v>
      </c>
    </row>
    <row r="1419" spans="1:9" x14ac:dyDescent="0.25">
      <c r="A1419" s="1033">
        <v>804028</v>
      </c>
      <c r="B1419" s="129">
        <v>676</v>
      </c>
      <c r="E1419" s="130"/>
    </row>
    <row r="1420" spans="1:9" x14ac:dyDescent="0.25">
      <c r="A1420" s="1033">
        <v>804112</v>
      </c>
      <c r="E1420" s="130"/>
    </row>
    <row r="1421" spans="1:9" x14ac:dyDescent="0.25">
      <c r="A1421" s="1033">
        <v>804114</v>
      </c>
      <c r="E1421" s="130"/>
    </row>
    <row r="1422" spans="1:9" x14ac:dyDescent="0.25">
      <c r="A1422" s="1033">
        <v>804116</v>
      </c>
      <c r="E1422" s="130"/>
    </row>
    <row r="1423" spans="1:9" x14ac:dyDescent="0.25">
      <c r="A1423" s="1033">
        <v>804118</v>
      </c>
      <c r="E1423" s="130"/>
    </row>
    <row r="1424" spans="1:9" x14ac:dyDescent="0.25">
      <c r="A1424" s="1033">
        <v>804122</v>
      </c>
      <c r="E1424" s="130"/>
    </row>
    <row r="1425" spans="1:9" x14ac:dyDescent="0.25">
      <c r="A1425" s="1033">
        <v>804124</v>
      </c>
      <c r="E1425" s="130"/>
    </row>
    <row r="1426" spans="1:9" x14ac:dyDescent="0.25">
      <c r="A1426" s="1033">
        <v>804126</v>
      </c>
      <c r="E1426" s="130"/>
    </row>
    <row r="1427" spans="1:9" x14ac:dyDescent="0.25">
      <c r="A1427" s="1033">
        <v>804128</v>
      </c>
      <c r="E1427" s="130"/>
    </row>
    <row r="1428" spans="1:9" x14ac:dyDescent="0.25">
      <c r="A1428" s="1033">
        <v>804212</v>
      </c>
      <c r="B1428" s="129">
        <v>131</v>
      </c>
      <c r="E1428" s="130"/>
    </row>
    <row r="1429" spans="1:9" x14ac:dyDescent="0.25">
      <c r="A1429" s="1033">
        <v>804214</v>
      </c>
      <c r="B1429" s="129">
        <v>47249</v>
      </c>
      <c r="E1429" s="130"/>
    </row>
    <row r="1430" spans="1:9" x14ac:dyDescent="0.25">
      <c r="A1430" s="1033">
        <v>804216</v>
      </c>
      <c r="B1430" s="129">
        <v>31462</v>
      </c>
      <c r="C1430" s="130" t="s">
        <v>113</v>
      </c>
      <c r="D1430" s="130">
        <v>16</v>
      </c>
      <c r="E1430" s="130" t="s">
        <v>113</v>
      </c>
      <c r="F1430" s="1031">
        <v>0</v>
      </c>
      <c r="G1430" s="1031">
        <v>-19603.05</v>
      </c>
      <c r="H1430" s="1031">
        <v>-19603.05</v>
      </c>
      <c r="I1430" s="1032" t="s">
        <v>1153</v>
      </c>
    </row>
    <row r="1431" spans="1:9" x14ac:dyDescent="0.25">
      <c r="A1431" s="1033"/>
      <c r="C1431" s="130" t="s">
        <v>1154</v>
      </c>
      <c r="D1431" s="130">
        <v>16</v>
      </c>
      <c r="E1431" s="130" t="s">
        <v>1154</v>
      </c>
      <c r="F1431" s="1031">
        <v>0</v>
      </c>
      <c r="G1431" s="1031">
        <v>3891.38</v>
      </c>
      <c r="H1431" s="1031">
        <v>3891.38</v>
      </c>
      <c r="I1431" s="1032" t="s">
        <v>1155</v>
      </c>
    </row>
    <row r="1432" spans="1:9" x14ac:dyDescent="0.25">
      <c r="A1432" s="1033"/>
      <c r="C1432" s="130" t="s">
        <v>117</v>
      </c>
      <c r="D1432" s="130">
        <v>16</v>
      </c>
      <c r="E1432" s="130" t="s">
        <v>117</v>
      </c>
      <c r="F1432" s="1031">
        <v>0</v>
      </c>
      <c r="G1432" s="1031">
        <v>-1762.56</v>
      </c>
      <c r="H1432" s="1031">
        <v>-1762.56</v>
      </c>
      <c r="I1432" s="1032" t="s">
        <v>1168</v>
      </c>
    </row>
    <row r="1433" spans="1:9" x14ac:dyDescent="0.25">
      <c r="A1433" s="1033"/>
      <c r="C1433" s="130" t="s">
        <v>1169</v>
      </c>
      <c r="D1433" s="130">
        <v>16</v>
      </c>
      <c r="E1433" s="130" t="s">
        <v>1169</v>
      </c>
      <c r="F1433" s="1031">
        <v>0</v>
      </c>
      <c r="G1433" s="1031">
        <v>498.19</v>
      </c>
      <c r="H1433" s="1031">
        <v>498.19</v>
      </c>
      <c r="I1433" s="1032" t="s">
        <v>1170</v>
      </c>
    </row>
    <row r="1434" spans="1:9" x14ac:dyDescent="0.25">
      <c r="A1434" s="1033"/>
      <c r="C1434" s="130" t="s">
        <v>120</v>
      </c>
      <c r="D1434" s="130">
        <v>16</v>
      </c>
      <c r="E1434" s="130" t="s">
        <v>120</v>
      </c>
      <c r="F1434" s="1031">
        <v>0</v>
      </c>
      <c r="G1434" s="1031">
        <v>-1631.55</v>
      </c>
      <c r="H1434" s="1031">
        <v>-1631.55</v>
      </c>
      <c r="I1434" s="1032" t="s">
        <v>1178</v>
      </c>
    </row>
    <row r="1435" spans="1:9" x14ac:dyDescent="0.25">
      <c r="A1435" s="1033"/>
      <c r="C1435" s="130" t="s">
        <v>1179</v>
      </c>
      <c r="D1435" s="130">
        <v>16</v>
      </c>
      <c r="E1435" s="130" t="s">
        <v>1179</v>
      </c>
      <c r="F1435" s="1031">
        <v>0</v>
      </c>
      <c r="G1435" s="1031">
        <v>894</v>
      </c>
      <c r="H1435" s="1031">
        <v>894</v>
      </c>
      <c r="I1435" s="1032" t="s">
        <v>1180</v>
      </c>
    </row>
    <row r="1436" spans="1:9" x14ac:dyDescent="0.25">
      <c r="A1436" s="1033"/>
      <c r="C1436" s="130" t="s">
        <v>124</v>
      </c>
      <c r="D1436" s="130">
        <v>16</v>
      </c>
      <c r="E1436" s="130" t="s">
        <v>124</v>
      </c>
      <c r="F1436" s="1031">
        <v>0</v>
      </c>
      <c r="G1436" s="1031">
        <v>-12238.2</v>
      </c>
      <c r="H1436" s="1031">
        <v>-12238.2</v>
      </c>
      <c r="I1436" s="1032" t="s">
        <v>1193</v>
      </c>
    </row>
    <row r="1437" spans="1:9" x14ac:dyDescent="0.25">
      <c r="A1437" s="1033"/>
      <c r="C1437" s="130" t="s">
        <v>1194</v>
      </c>
      <c r="D1437" s="130">
        <v>16</v>
      </c>
      <c r="E1437" s="130" t="s">
        <v>1194</v>
      </c>
      <c r="F1437" s="1031">
        <v>0</v>
      </c>
      <c r="G1437" s="1031">
        <v>5269.89</v>
      </c>
      <c r="H1437" s="1031">
        <v>5269.89</v>
      </c>
      <c r="I1437" s="1032" t="s">
        <v>1195</v>
      </c>
    </row>
    <row r="1438" spans="1:9" x14ac:dyDescent="0.25">
      <c r="A1438" s="1033"/>
      <c r="C1438" s="130" t="s">
        <v>128</v>
      </c>
      <c r="D1438" s="130">
        <v>16</v>
      </c>
      <c r="E1438" s="130" t="s">
        <v>128</v>
      </c>
      <c r="F1438" s="1031">
        <v>0</v>
      </c>
      <c r="G1438" s="1031">
        <v>-6507.77</v>
      </c>
      <c r="H1438" s="1031">
        <v>-6507.77</v>
      </c>
      <c r="I1438" s="1032" t="s">
        <v>1210</v>
      </c>
    </row>
    <row r="1439" spans="1:9" x14ac:dyDescent="0.25">
      <c r="A1439" s="1033"/>
      <c r="C1439" s="130" t="s">
        <v>128</v>
      </c>
      <c r="D1439" s="130">
        <v>16</v>
      </c>
      <c r="E1439" s="130" t="s">
        <v>1211</v>
      </c>
      <c r="F1439" s="1031">
        <v>0</v>
      </c>
      <c r="G1439" s="1031">
        <v>-3106.15</v>
      </c>
      <c r="H1439" s="1031">
        <v>-3106.15</v>
      </c>
      <c r="I1439" s="1032" t="s">
        <v>1212</v>
      </c>
    </row>
    <row r="1440" spans="1:9" x14ac:dyDescent="0.25">
      <c r="A1440" s="1033"/>
      <c r="C1440" s="130" t="s">
        <v>1213</v>
      </c>
      <c r="D1440" s="130">
        <v>16</v>
      </c>
      <c r="E1440" s="130" t="s">
        <v>1213</v>
      </c>
      <c r="F1440" s="1031">
        <v>0</v>
      </c>
      <c r="G1440" s="1031">
        <v>1378.06</v>
      </c>
      <c r="H1440" s="1031">
        <v>1378.06</v>
      </c>
      <c r="I1440" s="1032" t="s">
        <v>1214</v>
      </c>
    </row>
    <row r="1441" spans="1:9" x14ac:dyDescent="0.25">
      <c r="A1441" s="1033"/>
      <c r="C1441" s="130" t="s">
        <v>1213</v>
      </c>
      <c r="D1441" s="130">
        <v>16</v>
      </c>
      <c r="E1441" s="130" t="s">
        <v>1215</v>
      </c>
      <c r="F1441" s="1031">
        <v>0</v>
      </c>
      <c r="G1441" s="1031">
        <v>1846</v>
      </c>
      <c r="H1441" s="1031">
        <v>1846</v>
      </c>
      <c r="I1441" s="1032" t="s">
        <v>1216</v>
      </c>
    </row>
    <row r="1442" spans="1:9" x14ac:dyDescent="0.25">
      <c r="A1442" s="1033"/>
      <c r="C1442" s="130" t="s">
        <v>4</v>
      </c>
      <c r="D1442" s="130">
        <v>16</v>
      </c>
      <c r="E1442" s="130" t="s">
        <v>4</v>
      </c>
      <c r="F1442" s="1031">
        <v>0</v>
      </c>
      <c r="G1442" s="1031">
        <v>567.4</v>
      </c>
      <c r="H1442" s="1031">
        <v>567.4</v>
      </c>
      <c r="I1442" s="1032" t="s">
        <v>1246</v>
      </c>
    </row>
    <row r="1443" spans="1:9" x14ac:dyDescent="0.25">
      <c r="A1443" s="1033"/>
      <c r="C1443" s="130" t="s">
        <v>8</v>
      </c>
      <c r="D1443" s="130">
        <v>16</v>
      </c>
      <c r="E1443" s="130" t="s">
        <v>1241</v>
      </c>
      <c r="F1443" s="1031">
        <v>0</v>
      </c>
      <c r="G1443" s="1031">
        <v>-2399.4499999999998</v>
      </c>
      <c r="H1443" s="1031">
        <v>-2399.4499999999998</v>
      </c>
      <c r="I1443" s="1032" t="s">
        <v>1242</v>
      </c>
    </row>
    <row r="1444" spans="1:9" x14ac:dyDescent="0.25">
      <c r="A1444" s="1033"/>
      <c r="C1444" s="130" t="s">
        <v>1243</v>
      </c>
      <c r="D1444" s="130">
        <v>16</v>
      </c>
      <c r="E1444" s="130" t="s">
        <v>1244</v>
      </c>
      <c r="F1444" s="1031">
        <v>0</v>
      </c>
      <c r="G1444" s="1031">
        <v>1443</v>
      </c>
      <c r="H1444" s="1031">
        <v>1443</v>
      </c>
      <c r="I1444" s="1032" t="s">
        <v>1245</v>
      </c>
    </row>
    <row r="1445" spans="1:9" x14ac:dyDescent="0.25">
      <c r="A1445" s="1033">
        <v>804218</v>
      </c>
      <c r="B1445" s="129">
        <v>666</v>
      </c>
      <c r="E1445" s="130"/>
    </row>
    <row r="1446" spans="1:9" x14ac:dyDescent="0.25">
      <c r="A1446" s="1033">
        <v>804222</v>
      </c>
      <c r="B1446" s="129">
        <v>131</v>
      </c>
      <c r="E1446" s="130"/>
    </row>
    <row r="1447" spans="1:9" x14ac:dyDescent="0.25">
      <c r="A1447" s="1033">
        <v>804224</v>
      </c>
      <c r="B1447" s="129">
        <v>47249</v>
      </c>
      <c r="E1447" s="130"/>
    </row>
    <row r="1448" spans="1:9" x14ac:dyDescent="0.25">
      <c r="A1448" s="1033">
        <v>804226</v>
      </c>
      <c r="B1448" s="129">
        <v>31462</v>
      </c>
      <c r="C1448" s="130" t="s">
        <v>113</v>
      </c>
      <c r="D1448" s="130">
        <v>16</v>
      </c>
      <c r="E1448" s="130" t="s">
        <v>113</v>
      </c>
      <c r="F1448" s="1031">
        <v>0</v>
      </c>
      <c r="G1448" s="1031">
        <v>-19603.05</v>
      </c>
      <c r="H1448" s="1031">
        <v>-19603.05</v>
      </c>
      <c r="I1448" s="1032" t="s">
        <v>1153</v>
      </c>
    </row>
    <row r="1449" spans="1:9" x14ac:dyDescent="0.25">
      <c r="A1449" s="1033"/>
      <c r="C1449" s="130" t="s">
        <v>1154</v>
      </c>
      <c r="D1449" s="130">
        <v>16</v>
      </c>
      <c r="E1449" s="130" t="s">
        <v>1154</v>
      </c>
      <c r="F1449" s="1031">
        <v>0</v>
      </c>
      <c r="G1449" s="1031">
        <v>3891.38</v>
      </c>
      <c r="H1449" s="1031">
        <v>3891.38</v>
      </c>
      <c r="I1449" s="1032" t="s">
        <v>1155</v>
      </c>
    </row>
    <row r="1450" spans="1:9" x14ac:dyDescent="0.25">
      <c r="A1450" s="1033"/>
      <c r="C1450" s="130" t="s">
        <v>117</v>
      </c>
      <c r="D1450" s="130">
        <v>16</v>
      </c>
      <c r="E1450" s="130" t="s">
        <v>117</v>
      </c>
      <c r="F1450" s="1031">
        <v>0</v>
      </c>
      <c r="G1450" s="1031">
        <v>-1762.56</v>
      </c>
      <c r="H1450" s="1031">
        <v>-1762.56</v>
      </c>
      <c r="I1450" s="1032" t="s">
        <v>1168</v>
      </c>
    </row>
    <row r="1451" spans="1:9" x14ac:dyDescent="0.25">
      <c r="A1451" s="1033"/>
      <c r="C1451" s="130" t="s">
        <v>1169</v>
      </c>
      <c r="D1451" s="130">
        <v>16</v>
      </c>
      <c r="E1451" s="130" t="s">
        <v>1169</v>
      </c>
      <c r="F1451" s="1031">
        <v>0</v>
      </c>
      <c r="G1451" s="1031">
        <v>498.19</v>
      </c>
      <c r="H1451" s="1031">
        <v>498.19</v>
      </c>
      <c r="I1451" s="1032" t="s">
        <v>1170</v>
      </c>
    </row>
    <row r="1452" spans="1:9" x14ac:dyDescent="0.25">
      <c r="A1452" s="1033"/>
      <c r="C1452" s="130" t="s">
        <v>120</v>
      </c>
      <c r="D1452" s="130">
        <v>16</v>
      </c>
      <c r="E1452" s="130" t="s">
        <v>120</v>
      </c>
      <c r="F1452" s="1031">
        <v>0</v>
      </c>
      <c r="G1452" s="1031">
        <v>-1631.55</v>
      </c>
      <c r="H1452" s="1031">
        <v>-1631.55</v>
      </c>
      <c r="I1452" s="1032" t="s">
        <v>1178</v>
      </c>
    </row>
    <row r="1453" spans="1:9" x14ac:dyDescent="0.25">
      <c r="A1453" s="1033"/>
      <c r="C1453" s="130" t="s">
        <v>1179</v>
      </c>
      <c r="D1453" s="130">
        <v>16</v>
      </c>
      <c r="E1453" s="130" t="s">
        <v>1179</v>
      </c>
      <c r="F1453" s="1031">
        <v>0</v>
      </c>
      <c r="G1453" s="1031">
        <v>894</v>
      </c>
      <c r="H1453" s="1031">
        <v>894</v>
      </c>
      <c r="I1453" s="1032" t="s">
        <v>1180</v>
      </c>
    </row>
    <row r="1454" spans="1:9" x14ac:dyDescent="0.25">
      <c r="A1454" s="1033"/>
      <c r="C1454" s="130" t="s">
        <v>124</v>
      </c>
      <c r="D1454" s="130">
        <v>16</v>
      </c>
      <c r="E1454" s="130" t="s">
        <v>124</v>
      </c>
      <c r="F1454" s="1031">
        <v>0</v>
      </c>
      <c r="G1454" s="1031">
        <v>-12238.2</v>
      </c>
      <c r="H1454" s="1031">
        <v>-12238.2</v>
      </c>
      <c r="I1454" s="1032" t="s">
        <v>1193</v>
      </c>
    </row>
    <row r="1455" spans="1:9" x14ac:dyDescent="0.25">
      <c r="A1455" s="1033"/>
      <c r="C1455" s="130" t="s">
        <v>1194</v>
      </c>
      <c r="D1455" s="130">
        <v>16</v>
      </c>
      <c r="E1455" s="130" t="s">
        <v>1194</v>
      </c>
      <c r="F1455" s="1031">
        <v>0</v>
      </c>
      <c r="G1455" s="1031">
        <v>5269.89</v>
      </c>
      <c r="H1455" s="1031">
        <v>5269.89</v>
      </c>
      <c r="I1455" s="1032" t="s">
        <v>1195</v>
      </c>
    </row>
    <row r="1456" spans="1:9" x14ac:dyDescent="0.25">
      <c r="A1456" s="1033"/>
      <c r="C1456" s="130" t="s">
        <v>128</v>
      </c>
      <c r="D1456" s="130">
        <v>16</v>
      </c>
      <c r="E1456" s="130" t="s">
        <v>128</v>
      </c>
      <c r="F1456" s="1031">
        <v>0</v>
      </c>
      <c r="G1456" s="1031">
        <v>-6507.77</v>
      </c>
      <c r="H1456" s="1031">
        <v>-6507.77</v>
      </c>
      <c r="I1456" s="1032" t="s">
        <v>1210</v>
      </c>
    </row>
    <row r="1457" spans="1:9" x14ac:dyDescent="0.25">
      <c r="A1457" s="1033"/>
      <c r="C1457" s="130" t="s">
        <v>128</v>
      </c>
      <c r="D1457" s="130">
        <v>16</v>
      </c>
      <c r="E1457" s="130" t="s">
        <v>1211</v>
      </c>
      <c r="F1457" s="1031">
        <v>0</v>
      </c>
      <c r="G1457" s="1031">
        <v>-3106.15</v>
      </c>
      <c r="H1457" s="1031">
        <v>-3106.15</v>
      </c>
      <c r="I1457" s="1032" t="s">
        <v>1212</v>
      </c>
    </row>
    <row r="1458" spans="1:9" x14ac:dyDescent="0.25">
      <c r="A1458" s="1033"/>
      <c r="C1458" s="130" t="s">
        <v>1213</v>
      </c>
      <c r="D1458" s="130">
        <v>16</v>
      </c>
      <c r="E1458" s="130" t="s">
        <v>1213</v>
      </c>
      <c r="F1458" s="1031">
        <v>0</v>
      </c>
      <c r="G1458" s="1031">
        <v>1378.06</v>
      </c>
      <c r="H1458" s="1031">
        <v>1378.06</v>
      </c>
      <c r="I1458" s="1032" t="s">
        <v>1214</v>
      </c>
    </row>
    <row r="1459" spans="1:9" x14ac:dyDescent="0.25">
      <c r="A1459" s="1033"/>
      <c r="C1459" s="130" t="s">
        <v>1213</v>
      </c>
      <c r="D1459" s="130">
        <v>16</v>
      </c>
      <c r="E1459" s="130" t="s">
        <v>1215</v>
      </c>
      <c r="F1459" s="1031">
        <v>0</v>
      </c>
      <c r="G1459" s="1031">
        <v>1846</v>
      </c>
      <c r="H1459" s="1031">
        <v>1846</v>
      </c>
      <c r="I1459" s="1032" t="s">
        <v>1216</v>
      </c>
    </row>
    <row r="1460" spans="1:9" x14ac:dyDescent="0.25">
      <c r="A1460" s="1033"/>
      <c r="C1460" s="130" t="s">
        <v>4</v>
      </c>
      <c r="D1460" s="130">
        <v>16</v>
      </c>
      <c r="E1460" s="130" t="s">
        <v>4</v>
      </c>
      <c r="F1460" s="1031">
        <v>0</v>
      </c>
      <c r="G1460" s="1031">
        <v>567.4</v>
      </c>
      <c r="H1460" s="1031">
        <v>567.4</v>
      </c>
      <c r="I1460" s="1032" t="s">
        <v>1246</v>
      </c>
    </row>
    <row r="1461" spans="1:9" x14ac:dyDescent="0.25">
      <c r="A1461" s="1033"/>
      <c r="C1461" s="130" t="s">
        <v>8</v>
      </c>
      <c r="D1461" s="130">
        <v>16</v>
      </c>
      <c r="E1461" s="130" t="s">
        <v>1241</v>
      </c>
      <c r="F1461" s="1031">
        <v>0</v>
      </c>
      <c r="G1461" s="1031">
        <v>-2399.4499999999998</v>
      </c>
      <c r="H1461" s="1031">
        <v>-2399.4499999999998</v>
      </c>
      <c r="I1461" s="1032" t="s">
        <v>1242</v>
      </c>
    </row>
    <row r="1462" spans="1:9" x14ac:dyDescent="0.25">
      <c r="A1462" s="1033"/>
      <c r="C1462" s="130" t="s">
        <v>1243</v>
      </c>
      <c r="D1462" s="130">
        <v>16</v>
      </c>
      <c r="E1462" s="130" t="s">
        <v>1244</v>
      </c>
      <c r="F1462" s="1031">
        <v>0</v>
      </c>
      <c r="G1462" s="1031">
        <v>1443</v>
      </c>
      <c r="H1462" s="1031">
        <v>1443</v>
      </c>
      <c r="I1462" s="1032" t="s">
        <v>1245</v>
      </c>
    </row>
    <row r="1463" spans="1:9" x14ac:dyDescent="0.25">
      <c r="A1463" s="1033">
        <v>804228</v>
      </c>
      <c r="B1463" s="129">
        <v>666</v>
      </c>
      <c r="E1463" s="130"/>
    </row>
    <row r="1464" spans="1:9" x14ac:dyDescent="0.25">
      <c r="A1464" s="1033">
        <v>804312</v>
      </c>
      <c r="B1464" s="129">
        <v>146</v>
      </c>
      <c r="E1464" s="130"/>
    </row>
    <row r="1465" spans="1:9" x14ac:dyDescent="0.25">
      <c r="A1465" s="1033">
        <v>804314</v>
      </c>
      <c r="B1465" s="129">
        <v>44142</v>
      </c>
      <c r="E1465" s="130"/>
    </row>
    <row r="1466" spans="1:9" x14ac:dyDescent="0.25">
      <c r="A1466" s="1033">
        <v>804316</v>
      </c>
      <c r="B1466" s="129">
        <v>29907</v>
      </c>
      <c r="C1466" s="130" t="s">
        <v>114</v>
      </c>
      <c r="D1466" s="130">
        <v>16</v>
      </c>
      <c r="E1466" s="130" t="s">
        <v>114</v>
      </c>
      <c r="F1466" s="1031">
        <v>0</v>
      </c>
      <c r="G1466" s="1031">
        <v>-20517.75</v>
      </c>
      <c r="H1466" s="1031">
        <v>-20517.75</v>
      </c>
      <c r="I1466" s="1032" t="s">
        <v>1158</v>
      </c>
    </row>
    <row r="1467" spans="1:9" x14ac:dyDescent="0.25">
      <c r="A1467" s="1033"/>
      <c r="C1467" s="130" t="s">
        <v>1159</v>
      </c>
      <c r="D1467" s="130">
        <v>16</v>
      </c>
      <c r="E1467" s="130" t="s">
        <v>1159</v>
      </c>
      <c r="F1467" s="1031">
        <v>0</v>
      </c>
      <c r="G1467" s="1031">
        <v>4044.13</v>
      </c>
      <c r="H1467" s="1031">
        <v>4044.13</v>
      </c>
      <c r="I1467" s="1032" t="s">
        <v>1160</v>
      </c>
    </row>
    <row r="1468" spans="1:9" x14ac:dyDescent="0.25">
      <c r="A1468" s="1033"/>
      <c r="C1468" s="130" t="s">
        <v>118</v>
      </c>
      <c r="D1468" s="130">
        <v>16</v>
      </c>
      <c r="E1468" s="130" t="s">
        <v>118</v>
      </c>
      <c r="F1468" s="1031">
        <v>0</v>
      </c>
      <c r="G1468" s="1031">
        <v>-3828.09</v>
      </c>
      <c r="H1468" s="1031">
        <v>-3828.09</v>
      </c>
      <c r="I1468" s="1032" t="s">
        <v>1173</v>
      </c>
    </row>
    <row r="1469" spans="1:9" x14ac:dyDescent="0.25">
      <c r="A1469" s="1033"/>
      <c r="C1469" s="130" t="s">
        <v>1174</v>
      </c>
      <c r="D1469" s="130">
        <v>16</v>
      </c>
      <c r="E1469" s="130" t="s">
        <v>1174</v>
      </c>
      <c r="F1469" s="1031">
        <v>0</v>
      </c>
      <c r="G1469" s="1031">
        <v>1222</v>
      </c>
      <c r="H1469" s="1031">
        <v>1222</v>
      </c>
      <c r="I1469" s="1032" t="s">
        <v>1175</v>
      </c>
    </row>
    <row r="1470" spans="1:9" x14ac:dyDescent="0.25">
      <c r="A1470" s="1033"/>
      <c r="C1470" s="130" t="s">
        <v>121</v>
      </c>
      <c r="D1470" s="130">
        <v>16</v>
      </c>
      <c r="E1470" s="130" t="s">
        <v>121</v>
      </c>
      <c r="F1470" s="1031">
        <v>0</v>
      </c>
      <c r="G1470" s="1031">
        <v>-1240.8</v>
      </c>
      <c r="H1470" s="1031">
        <v>-1240.8</v>
      </c>
      <c r="I1470" s="1032" t="s">
        <v>1183</v>
      </c>
    </row>
    <row r="1471" spans="1:9" x14ac:dyDescent="0.25">
      <c r="A1471" s="1033"/>
      <c r="C1471" s="130" t="s">
        <v>1184</v>
      </c>
      <c r="D1471" s="130">
        <v>16</v>
      </c>
      <c r="E1471" s="130" t="s">
        <v>1184</v>
      </c>
      <c r="F1471" s="1031">
        <v>0</v>
      </c>
      <c r="G1471" s="1031">
        <v>867</v>
      </c>
      <c r="H1471" s="1031">
        <v>867</v>
      </c>
      <c r="I1471" s="1032" t="s">
        <v>1185</v>
      </c>
    </row>
    <row r="1472" spans="1:9" x14ac:dyDescent="0.25">
      <c r="A1472" s="1033"/>
      <c r="C1472" s="130" t="s">
        <v>125</v>
      </c>
      <c r="D1472" s="130">
        <v>16</v>
      </c>
      <c r="E1472" s="130" t="s">
        <v>125</v>
      </c>
      <c r="F1472" s="1031">
        <v>0</v>
      </c>
      <c r="G1472" s="1031">
        <v>-6177.57</v>
      </c>
      <c r="H1472" s="1031">
        <v>-6177.57</v>
      </c>
      <c r="I1472" s="1032" t="s">
        <v>1198</v>
      </c>
    </row>
    <row r="1473" spans="1:9" x14ac:dyDescent="0.25">
      <c r="A1473" s="1033"/>
      <c r="C1473" s="130" t="s">
        <v>1199</v>
      </c>
      <c r="D1473" s="130">
        <v>16</v>
      </c>
      <c r="E1473" s="130" t="s">
        <v>1199</v>
      </c>
      <c r="F1473" s="1031">
        <v>0</v>
      </c>
      <c r="G1473" s="1031">
        <v>2487.06</v>
      </c>
      <c r="H1473" s="1031">
        <v>2487.06</v>
      </c>
      <c r="I1473" s="1032" t="s">
        <v>1200</v>
      </c>
    </row>
    <row r="1474" spans="1:9" x14ac:dyDescent="0.25">
      <c r="A1474" s="1033"/>
      <c r="C1474" s="130" t="s">
        <v>155</v>
      </c>
      <c r="D1474" s="130">
        <v>16</v>
      </c>
      <c r="E1474" s="130" t="s">
        <v>155</v>
      </c>
      <c r="F1474" s="1031">
        <v>0</v>
      </c>
      <c r="G1474" s="1031">
        <v>-8273.66</v>
      </c>
      <c r="H1474" s="1031">
        <v>-8273.66</v>
      </c>
      <c r="I1474" s="1032" t="s">
        <v>1221</v>
      </c>
    </row>
    <row r="1475" spans="1:9" x14ac:dyDescent="0.25">
      <c r="A1475" s="1033"/>
      <c r="C1475" s="130" t="s">
        <v>155</v>
      </c>
      <c r="D1475" s="130">
        <v>16</v>
      </c>
      <c r="E1475" s="130" t="s">
        <v>2</v>
      </c>
      <c r="F1475" s="1031">
        <v>0</v>
      </c>
      <c r="G1475" s="1031">
        <v>-4103.68</v>
      </c>
      <c r="H1475" s="1031">
        <v>-4103.68</v>
      </c>
      <c r="I1475" s="1032" t="s">
        <v>1222</v>
      </c>
    </row>
    <row r="1476" spans="1:9" x14ac:dyDescent="0.25">
      <c r="A1476" s="1033"/>
      <c r="C1476" s="130" t="s">
        <v>1223</v>
      </c>
      <c r="D1476" s="130">
        <v>16</v>
      </c>
      <c r="E1476" s="130" t="s">
        <v>1223</v>
      </c>
      <c r="F1476" s="1031">
        <v>0</v>
      </c>
      <c r="G1476" s="1031">
        <v>2007.77</v>
      </c>
      <c r="H1476" s="1031">
        <v>2007.77</v>
      </c>
      <c r="I1476" s="1032" t="s">
        <v>1224</v>
      </c>
    </row>
    <row r="1477" spans="1:9" x14ac:dyDescent="0.25">
      <c r="A1477" s="1033"/>
      <c r="C1477" s="130" t="s">
        <v>1223</v>
      </c>
      <c r="D1477" s="130">
        <v>16</v>
      </c>
      <c r="E1477" s="130" t="s">
        <v>1225</v>
      </c>
      <c r="F1477" s="1031">
        <v>0</v>
      </c>
      <c r="G1477" s="1031">
        <v>3229.5</v>
      </c>
      <c r="H1477" s="1031">
        <v>3229.5</v>
      </c>
      <c r="I1477" s="1032" t="s">
        <v>1226</v>
      </c>
    </row>
    <row r="1478" spans="1:9" x14ac:dyDescent="0.25">
      <c r="A1478" s="1033"/>
      <c r="C1478" s="130" t="s">
        <v>5</v>
      </c>
      <c r="D1478" s="130">
        <v>16</v>
      </c>
      <c r="E1478" s="130" t="s">
        <v>5</v>
      </c>
      <c r="F1478" s="1031">
        <v>0</v>
      </c>
      <c r="G1478" s="1031">
        <v>378.27</v>
      </c>
      <c r="H1478" s="1031">
        <v>378.27</v>
      </c>
      <c r="I1478" s="1032" t="s">
        <v>1247</v>
      </c>
    </row>
    <row r="1479" spans="1:9" x14ac:dyDescent="0.25">
      <c r="A1479" s="1033">
        <v>804318</v>
      </c>
      <c r="B1479" s="129">
        <v>678</v>
      </c>
      <c r="E1479" s="130"/>
    </row>
    <row r="1480" spans="1:9" x14ac:dyDescent="0.25">
      <c r="A1480" s="1033">
        <v>804322</v>
      </c>
      <c r="B1480" s="129">
        <v>146</v>
      </c>
      <c r="E1480" s="130"/>
    </row>
    <row r="1481" spans="1:9" x14ac:dyDescent="0.25">
      <c r="A1481" s="1033">
        <v>804324</v>
      </c>
      <c r="B1481" s="129">
        <v>44142</v>
      </c>
      <c r="E1481" s="130"/>
    </row>
    <row r="1482" spans="1:9" x14ac:dyDescent="0.25">
      <c r="A1482" s="1033">
        <v>804326</v>
      </c>
      <c r="B1482" s="129">
        <v>29907</v>
      </c>
      <c r="C1482" s="130" t="s">
        <v>114</v>
      </c>
      <c r="D1482" s="130">
        <v>16</v>
      </c>
      <c r="E1482" s="130" t="s">
        <v>114</v>
      </c>
      <c r="F1482" s="1031">
        <v>0</v>
      </c>
      <c r="G1482" s="1031">
        <v>-20517.75</v>
      </c>
      <c r="H1482" s="1031">
        <v>-20517.75</v>
      </c>
      <c r="I1482" s="1032" t="s">
        <v>1158</v>
      </c>
    </row>
    <row r="1483" spans="1:9" x14ac:dyDescent="0.25">
      <c r="A1483" s="1033"/>
      <c r="C1483" s="130" t="s">
        <v>1159</v>
      </c>
      <c r="D1483" s="130">
        <v>16</v>
      </c>
      <c r="E1483" s="130" t="s">
        <v>1159</v>
      </c>
      <c r="F1483" s="1031">
        <v>0</v>
      </c>
      <c r="G1483" s="1031">
        <v>4044.13</v>
      </c>
      <c r="H1483" s="1031">
        <v>4044.13</v>
      </c>
      <c r="I1483" s="1032" t="s">
        <v>1160</v>
      </c>
    </row>
    <row r="1484" spans="1:9" x14ac:dyDescent="0.25">
      <c r="A1484" s="1033"/>
      <c r="C1484" s="130" t="s">
        <v>118</v>
      </c>
      <c r="D1484" s="130">
        <v>16</v>
      </c>
      <c r="E1484" s="130" t="s">
        <v>118</v>
      </c>
      <c r="F1484" s="1031">
        <v>0</v>
      </c>
      <c r="G1484" s="1031">
        <v>-3828.09</v>
      </c>
      <c r="H1484" s="1031">
        <v>-3828.09</v>
      </c>
      <c r="I1484" s="1032" t="s">
        <v>1173</v>
      </c>
    </row>
    <row r="1485" spans="1:9" x14ac:dyDescent="0.25">
      <c r="A1485" s="1033"/>
      <c r="C1485" s="130" t="s">
        <v>1174</v>
      </c>
      <c r="D1485" s="130">
        <v>16</v>
      </c>
      <c r="E1485" s="130" t="s">
        <v>1174</v>
      </c>
      <c r="F1485" s="1031">
        <v>0</v>
      </c>
      <c r="G1485" s="1031">
        <v>1222</v>
      </c>
      <c r="H1485" s="1031">
        <v>1222</v>
      </c>
      <c r="I1485" s="1032" t="s">
        <v>1175</v>
      </c>
    </row>
    <row r="1486" spans="1:9" x14ac:dyDescent="0.25">
      <c r="A1486" s="1033"/>
      <c r="C1486" s="130" t="s">
        <v>121</v>
      </c>
      <c r="D1486" s="130">
        <v>16</v>
      </c>
      <c r="E1486" s="130" t="s">
        <v>121</v>
      </c>
      <c r="F1486" s="1031">
        <v>0</v>
      </c>
      <c r="G1486" s="1031">
        <v>-1240.8</v>
      </c>
      <c r="H1486" s="1031">
        <v>-1240.8</v>
      </c>
      <c r="I1486" s="1032" t="s">
        <v>1183</v>
      </c>
    </row>
    <row r="1487" spans="1:9" x14ac:dyDescent="0.25">
      <c r="A1487" s="1033"/>
      <c r="C1487" s="130" t="s">
        <v>1184</v>
      </c>
      <c r="D1487" s="130">
        <v>16</v>
      </c>
      <c r="E1487" s="130" t="s">
        <v>1184</v>
      </c>
      <c r="F1487" s="1031">
        <v>0</v>
      </c>
      <c r="G1487" s="1031">
        <v>867</v>
      </c>
      <c r="H1487" s="1031">
        <v>867</v>
      </c>
      <c r="I1487" s="1032" t="s">
        <v>1185</v>
      </c>
    </row>
    <row r="1488" spans="1:9" x14ac:dyDescent="0.25">
      <c r="A1488" s="1033"/>
      <c r="C1488" s="130" t="s">
        <v>125</v>
      </c>
      <c r="D1488" s="130">
        <v>16</v>
      </c>
      <c r="E1488" s="130" t="s">
        <v>125</v>
      </c>
      <c r="F1488" s="1031">
        <v>0</v>
      </c>
      <c r="G1488" s="1031">
        <v>-6177.57</v>
      </c>
      <c r="H1488" s="1031">
        <v>-6177.57</v>
      </c>
      <c r="I1488" s="1032" t="s">
        <v>1198</v>
      </c>
    </row>
    <row r="1489" spans="1:9" x14ac:dyDescent="0.25">
      <c r="A1489" s="1033"/>
      <c r="C1489" s="130" t="s">
        <v>1199</v>
      </c>
      <c r="D1489" s="130">
        <v>16</v>
      </c>
      <c r="E1489" s="130" t="s">
        <v>1199</v>
      </c>
      <c r="F1489" s="1031">
        <v>0</v>
      </c>
      <c r="G1489" s="1031">
        <v>2487.06</v>
      </c>
      <c r="H1489" s="1031">
        <v>2487.06</v>
      </c>
      <c r="I1489" s="1032" t="s">
        <v>1200</v>
      </c>
    </row>
    <row r="1490" spans="1:9" x14ac:dyDescent="0.25">
      <c r="A1490" s="1033"/>
      <c r="C1490" s="130" t="s">
        <v>155</v>
      </c>
      <c r="D1490" s="130">
        <v>16</v>
      </c>
      <c r="E1490" s="130" t="s">
        <v>155</v>
      </c>
      <c r="F1490" s="1031">
        <v>0</v>
      </c>
      <c r="G1490" s="1031">
        <v>-8273.66</v>
      </c>
      <c r="H1490" s="1031">
        <v>-8273.66</v>
      </c>
      <c r="I1490" s="1032" t="s">
        <v>1221</v>
      </c>
    </row>
    <row r="1491" spans="1:9" x14ac:dyDescent="0.25">
      <c r="A1491" s="1033"/>
      <c r="C1491" s="130" t="s">
        <v>155</v>
      </c>
      <c r="D1491" s="130">
        <v>16</v>
      </c>
      <c r="E1491" s="130" t="s">
        <v>2</v>
      </c>
      <c r="F1491" s="1031">
        <v>0</v>
      </c>
      <c r="G1491" s="1031">
        <v>-4103.68</v>
      </c>
      <c r="H1491" s="1031">
        <v>-4103.68</v>
      </c>
      <c r="I1491" s="1032" t="s">
        <v>1222</v>
      </c>
    </row>
    <row r="1492" spans="1:9" x14ac:dyDescent="0.25">
      <c r="A1492" s="1033"/>
      <c r="C1492" s="130" t="s">
        <v>1223</v>
      </c>
      <c r="D1492" s="130">
        <v>16</v>
      </c>
      <c r="E1492" s="130" t="s">
        <v>1223</v>
      </c>
      <c r="F1492" s="1031">
        <v>0</v>
      </c>
      <c r="G1492" s="1031">
        <v>2007.77</v>
      </c>
      <c r="H1492" s="1031">
        <v>2007.77</v>
      </c>
      <c r="I1492" s="1032" t="s">
        <v>1224</v>
      </c>
    </row>
    <row r="1493" spans="1:9" x14ac:dyDescent="0.25">
      <c r="A1493" s="1033"/>
      <c r="C1493" s="130" t="s">
        <v>1223</v>
      </c>
      <c r="D1493" s="130">
        <v>16</v>
      </c>
      <c r="E1493" s="130" t="s">
        <v>1225</v>
      </c>
      <c r="F1493" s="1031">
        <v>0</v>
      </c>
      <c r="G1493" s="1031">
        <v>3229.5</v>
      </c>
      <c r="H1493" s="1031">
        <v>3229.5</v>
      </c>
      <c r="I1493" s="1032" t="s">
        <v>1226</v>
      </c>
    </row>
    <row r="1494" spans="1:9" x14ac:dyDescent="0.25">
      <c r="A1494" s="1033"/>
      <c r="C1494" s="130" t="s">
        <v>5</v>
      </c>
      <c r="D1494" s="130">
        <v>16</v>
      </c>
      <c r="E1494" s="130" t="s">
        <v>5</v>
      </c>
      <c r="F1494" s="1031">
        <v>0</v>
      </c>
      <c r="G1494" s="1031">
        <v>378.27</v>
      </c>
      <c r="H1494" s="1031">
        <v>378.27</v>
      </c>
      <c r="I1494" s="1032" t="s">
        <v>1247</v>
      </c>
    </row>
    <row r="1495" spans="1:9" x14ac:dyDescent="0.25">
      <c r="A1495" s="1033">
        <v>804328</v>
      </c>
      <c r="B1495" s="129">
        <v>678</v>
      </c>
      <c r="E1495" s="130"/>
    </row>
    <row r="1496" spans="1:9" x14ac:dyDescent="0.25">
      <c r="A1496" s="1033">
        <v>804412</v>
      </c>
      <c r="B1496" s="129">
        <v>21</v>
      </c>
      <c r="E1496" s="130"/>
    </row>
    <row r="1497" spans="1:9" x14ac:dyDescent="0.25">
      <c r="A1497" s="1033">
        <v>804414</v>
      </c>
      <c r="B1497" s="129">
        <v>5937</v>
      </c>
      <c r="E1497" s="130"/>
    </row>
    <row r="1498" spans="1:9" x14ac:dyDescent="0.25">
      <c r="A1498" s="1033">
        <v>804416</v>
      </c>
      <c r="B1498" s="129">
        <v>4401</v>
      </c>
      <c r="C1498" s="130" t="s">
        <v>171</v>
      </c>
      <c r="D1498" s="130">
        <v>16</v>
      </c>
      <c r="E1498" s="130" t="s">
        <v>171</v>
      </c>
      <c r="F1498" s="1031">
        <v>0</v>
      </c>
      <c r="G1498" s="1031">
        <v>-1783.61</v>
      </c>
      <c r="H1498" s="1031">
        <v>-1783.61</v>
      </c>
      <c r="I1498" s="1032" t="s">
        <v>1163</v>
      </c>
    </row>
    <row r="1499" spans="1:9" x14ac:dyDescent="0.25">
      <c r="A1499" s="1033"/>
      <c r="C1499" s="130" t="s">
        <v>1164</v>
      </c>
      <c r="D1499" s="130">
        <v>16</v>
      </c>
      <c r="E1499" s="130" t="s">
        <v>1164</v>
      </c>
      <c r="F1499" s="1031">
        <v>0</v>
      </c>
      <c r="G1499" s="1031">
        <v>270.45999999999998</v>
      </c>
      <c r="H1499" s="1031">
        <v>270.45999999999998</v>
      </c>
      <c r="I1499" s="1032" t="s">
        <v>1165</v>
      </c>
    </row>
    <row r="1500" spans="1:9" x14ac:dyDescent="0.25">
      <c r="A1500" s="1033"/>
      <c r="C1500" s="130" t="s">
        <v>173</v>
      </c>
      <c r="D1500" s="130">
        <v>16</v>
      </c>
      <c r="E1500" s="130" t="s">
        <v>173</v>
      </c>
      <c r="F1500" s="1031">
        <v>0</v>
      </c>
      <c r="G1500" s="1031">
        <v>-236.7</v>
      </c>
      <c r="H1500" s="1031">
        <v>-236.7</v>
      </c>
      <c r="I1500" s="1032" t="s">
        <v>1188</v>
      </c>
    </row>
    <row r="1501" spans="1:9" x14ac:dyDescent="0.25">
      <c r="A1501" s="1033"/>
      <c r="C1501" s="130" t="s">
        <v>1189</v>
      </c>
      <c r="D1501" s="130">
        <v>16</v>
      </c>
      <c r="E1501" s="130" t="s">
        <v>1189</v>
      </c>
      <c r="F1501" s="1031">
        <v>0</v>
      </c>
      <c r="G1501" s="1031">
        <v>126</v>
      </c>
      <c r="H1501" s="1031">
        <v>126</v>
      </c>
      <c r="I1501" s="1032" t="s">
        <v>1190</v>
      </c>
    </row>
    <row r="1502" spans="1:9" x14ac:dyDescent="0.25">
      <c r="A1502" s="1033"/>
      <c r="C1502" s="130" t="s">
        <v>174</v>
      </c>
      <c r="D1502" s="130">
        <v>16</v>
      </c>
      <c r="E1502" s="130" t="s">
        <v>174</v>
      </c>
      <c r="F1502" s="1031">
        <v>0</v>
      </c>
      <c r="G1502" s="1031">
        <v>-1041.3</v>
      </c>
      <c r="H1502" s="1031">
        <v>-1041.3</v>
      </c>
      <c r="I1502" s="1032" t="s">
        <v>1203</v>
      </c>
    </row>
    <row r="1503" spans="1:9" x14ac:dyDescent="0.25">
      <c r="A1503" s="1033"/>
      <c r="C1503" s="130" t="s">
        <v>1204</v>
      </c>
      <c r="D1503" s="130">
        <v>16</v>
      </c>
      <c r="E1503" s="130" t="s">
        <v>1204</v>
      </c>
      <c r="F1503" s="1031">
        <v>0</v>
      </c>
      <c r="G1503" s="1031">
        <v>202.55</v>
      </c>
      <c r="H1503" s="1031">
        <v>202.55</v>
      </c>
      <c r="I1503" s="1032" t="s">
        <v>1205</v>
      </c>
    </row>
    <row r="1504" spans="1:9" x14ac:dyDescent="0.25">
      <c r="A1504" s="1033"/>
      <c r="C1504" s="130" t="s">
        <v>175</v>
      </c>
      <c r="D1504" s="130">
        <v>16</v>
      </c>
      <c r="E1504" s="130" t="s">
        <v>175</v>
      </c>
      <c r="F1504" s="1031">
        <v>0</v>
      </c>
      <c r="G1504" s="1031">
        <v>-1958.35</v>
      </c>
      <c r="H1504" s="1031">
        <v>-1958.35</v>
      </c>
      <c r="I1504" s="1032" t="s">
        <v>1231</v>
      </c>
    </row>
    <row r="1505" spans="1:9" x14ac:dyDescent="0.25">
      <c r="A1505" s="1033"/>
      <c r="C1505" s="130" t="s">
        <v>175</v>
      </c>
      <c r="D1505" s="130">
        <v>16</v>
      </c>
      <c r="E1505" s="130" t="s">
        <v>1232</v>
      </c>
      <c r="F1505" s="1031">
        <v>0</v>
      </c>
      <c r="G1505" s="1031">
        <v>-916.8</v>
      </c>
      <c r="H1505" s="1031">
        <v>-916.8</v>
      </c>
      <c r="I1505" s="1032" t="s">
        <v>1233</v>
      </c>
    </row>
    <row r="1506" spans="1:9" x14ac:dyDescent="0.25">
      <c r="A1506" s="1033"/>
      <c r="C1506" s="130" t="s">
        <v>1234</v>
      </c>
      <c r="D1506" s="130">
        <v>16</v>
      </c>
      <c r="E1506" s="130" t="s">
        <v>1234</v>
      </c>
      <c r="F1506" s="1031">
        <v>0</v>
      </c>
      <c r="G1506" s="1031">
        <v>442.16</v>
      </c>
      <c r="H1506" s="1031">
        <v>442.16</v>
      </c>
      <c r="I1506" s="1032" t="s">
        <v>1235</v>
      </c>
    </row>
    <row r="1507" spans="1:9" x14ac:dyDescent="0.25">
      <c r="A1507" s="1033"/>
      <c r="C1507" s="130" t="s">
        <v>1234</v>
      </c>
      <c r="D1507" s="130">
        <v>16</v>
      </c>
      <c r="E1507" s="130" t="s">
        <v>1236</v>
      </c>
      <c r="F1507" s="1031">
        <v>0</v>
      </c>
      <c r="G1507" s="1031">
        <v>495</v>
      </c>
      <c r="H1507" s="1031">
        <v>495</v>
      </c>
      <c r="I1507" s="1032" t="s">
        <v>1237</v>
      </c>
    </row>
    <row r="1508" spans="1:9" x14ac:dyDescent="0.25">
      <c r="A1508" s="1033">
        <v>804418</v>
      </c>
      <c r="B1508" s="129">
        <v>741</v>
      </c>
      <c r="E1508" s="130"/>
    </row>
    <row r="1509" spans="1:9" x14ac:dyDescent="0.25">
      <c r="A1509" s="1033">
        <v>804422</v>
      </c>
      <c r="B1509" s="129">
        <v>21</v>
      </c>
      <c r="E1509" s="130"/>
    </row>
    <row r="1510" spans="1:9" x14ac:dyDescent="0.25">
      <c r="A1510" s="1033">
        <v>804424</v>
      </c>
      <c r="B1510" s="129">
        <v>5937</v>
      </c>
      <c r="E1510" s="130"/>
    </row>
    <row r="1511" spans="1:9" x14ac:dyDescent="0.25">
      <c r="A1511" s="1033">
        <v>804426</v>
      </c>
      <c r="B1511" s="129">
        <v>4401</v>
      </c>
      <c r="C1511" s="130" t="s">
        <v>171</v>
      </c>
      <c r="D1511" s="130">
        <v>16</v>
      </c>
      <c r="E1511" s="130" t="s">
        <v>171</v>
      </c>
      <c r="F1511" s="1031">
        <v>0</v>
      </c>
      <c r="G1511" s="1031">
        <v>-1783.61</v>
      </c>
      <c r="H1511" s="1031">
        <v>-1783.61</v>
      </c>
      <c r="I1511" s="1032" t="s">
        <v>1163</v>
      </c>
    </row>
    <row r="1512" spans="1:9" x14ac:dyDescent="0.25">
      <c r="A1512" s="1033"/>
      <c r="C1512" s="130" t="s">
        <v>1164</v>
      </c>
      <c r="D1512" s="130">
        <v>16</v>
      </c>
      <c r="E1512" s="130" t="s">
        <v>1164</v>
      </c>
      <c r="F1512" s="1031">
        <v>0</v>
      </c>
      <c r="G1512" s="1031">
        <v>270.45999999999998</v>
      </c>
      <c r="H1512" s="1031">
        <v>270.45999999999998</v>
      </c>
      <c r="I1512" s="1032" t="s">
        <v>1165</v>
      </c>
    </row>
    <row r="1513" spans="1:9" x14ac:dyDescent="0.25">
      <c r="A1513" s="1033"/>
      <c r="C1513" s="130" t="s">
        <v>173</v>
      </c>
      <c r="D1513" s="130">
        <v>16</v>
      </c>
      <c r="E1513" s="130" t="s">
        <v>173</v>
      </c>
      <c r="F1513" s="1031">
        <v>0</v>
      </c>
      <c r="G1513" s="1031">
        <v>-236.7</v>
      </c>
      <c r="H1513" s="1031">
        <v>-236.7</v>
      </c>
      <c r="I1513" s="1032" t="s">
        <v>1188</v>
      </c>
    </row>
    <row r="1514" spans="1:9" x14ac:dyDescent="0.25">
      <c r="A1514" s="1033"/>
      <c r="C1514" s="130" t="s">
        <v>1189</v>
      </c>
      <c r="D1514" s="130">
        <v>16</v>
      </c>
      <c r="E1514" s="130" t="s">
        <v>1189</v>
      </c>
      <c r="F1514" s="1031">
        <v>0</v>
      </c>
      <c r="G1514" s="1031">
        <v>126</v>
      </c>
      <c r="H1514" s="1031">
        <v>126</v>
      </c>
      <c r="I1514" s="1032" t="s">
        <v>1190</v>
      </c>
    </row>
    <row r="1515" spans="1:9" x14ac:dyDescent="0.25">
      <c r="A1515" s="1033"/>
      <c r="C1515" s="130" t="s">
        <v>174</v>
      </c>
      <c r="D1515" s="130">
        <v>16</v>
      </c>
      <c r="E1515" s="130" t="s">
        <v>174</v>
      </c>
      <c r="F1515" s="1031">
        <v>0</v>
      </c>
      <c r="G1515" s="1031">
        <v>-1041.3</v>
      </c>
      <c r="H1515" s="1031">
        <v>-1041.3</v>
      </c>
      <c r="I1515" s="1032" t="s">
        <v>1203</v>
      </c>
    </row>
    <row r="1516" spans="1:9" x14ac:dyDescent="0.25">
      <c r="A1516" s="1033"/>
      <c r="C1516" s="130" t="s">
        <v>1204</v>
      </c>
      <c r="D1516" s="130">
        <v>16</v>
      </c>
      <c r="E1516" s="130" t="s">
        <v>1204</v>
      </c>
      <c r="F1516" s="1031">
        <v>0</v>
      </c>
      <c r="G1516" s="1031">
        <v>202.55</v>
      </c>
      <c r="H1516" s="1031">
        <v>202.55</v>
      </c>
      <c r="I1516" s="1032" t="s">
        <v>1205</v>
      </c>
    </row>
    <row r="1517" spans="1:9" x14ac:dyDescent="0.25">
      <c r="A1517" s="1033"/>
      <c r="C1517" s="130" t="s">
        <v>175</v>
      </c>
      <c r="D1517" s="130">
        <v>16</v>
      </c>
      <c r="E1517" s="130" t="s">
        <v>175</v>
      </c>
      <c r="F1517" s="1031">
        <v>0</v>
      </c>
      <c r="G1517" s="1031">
        <v>-1958.35</v>
      </c>
      <c r="H1517" s="1031">
        <v>-1958.35</v>
      </c>
      <c r="I1517" s="1032" t="s">
        <v>1231</v>
      </c>
    </row>
    <row r="1518" spans="1:9" x14ac:dyDescent="0.25">
      <c r="A1518" s="1033"/>
      <c r="C1518" s="130" t="s">
        <v>175</v>
      </c>
      <c r="D1518" s="130">
        <v>16</v>
      </c>
      <c r="E1518" s="130" t="s">
        <v>1232</v>
      </c>
      <c r="F1518" s="1031">
        <v>0</v>
      </c>
      <c r="G1518" s="1031">
        <v>-916.8</v>
      </c>
      <c r="H1518" s="1031">
        <v>-916.8</v>
      </c>
      <c r="I1518" s="1032" t="s">
        <v>1233</v>
      </c>
    </row>
    <row r="1519" spans="1:9" x14ac:dyDescent="0.25">
      <c r="A1519" s="1033"/>
      <c r="C1519" s="130" t="s">
        <v>1234</v>
      </c>
      <c r="D1519" s="130">
        <v>16</v>
      </c>
      <c r="E1519" s="130" t="s">
        <v>1234</v>
      </c>
      <c r="F1519" s="1031">
        <v>0</v>
      </c>
      <c r="G1519" s="1031">
        <v>442.16</v>
      </c>
      <c r="H1519" s="1031">
        <v>442.16</v>
      </c>
      <c r="I1519" s="1032" t="s">
        <v>1235</v>
      </c>
    </row>
    <row r="1520" spans="1:9" x14ac:dyDescent="0.25">
      <c r="A1520" s="1033"/>
      <c r="C1520" s="130" t="s">
        <v>1234</v>
      </c>
      <c r="D1520" s="130">
        <v>16</v>
      </c>
      <c r="E1520" s="130" t="s">
        <v>1236</v>
      </c>
      <c r="F1520" s="1031">
        <v>0</v>
      </c>
      <c r="G1520" s="1031">
        <v>495</v>
      </c>
      <c r="H1520" s="1031">
        <v>495</v>
      </c>
      <c r="I1520" s="1032" t="s">
        <v>1237</v>
      </c>
    </row>
    <row r="1521" spans="1:5" x14ac:dyDescent="0.25">
      <c r="A1521" s="1033">
        <v>804428</v>
      </c>
      <c r="B1521" s="129">
        <v>741</v>
      </c>
      <c r="E1521" s="130"/>
    </row>
    <row r="1522" spans="1:5" x14ac:dyDescent="0.25">
      <c r="A1522" s="1033">
        <v>804512</v>
      </c>
      <c r="B1522" s="129">
        <v>0</v>
      </c>
      <c r="E1522" s="130"/>
    </row>
    <row r="1523" spans="1:5" x14ac:dyDescent="0.25">
      <c r="A1523" s="1033">
        <v>804514</v>
      </c>
      <c r="B1523" s="129">
        <v>0</v>
      </c>
      <c r="E1523" s="130"/>
    </row>
    <row r="1524" spans="1:5" x14ac:dyDescent="0.25">
      <c r="A1524" s="1033">
        <v>804516</v>
      </c>
      <c r="B1524" s="129">
        <v>0</v>
      </c>
      <c r="E1524" s="130"/>
    </row>
    <row r="1525" spans="1:5" x14ac:dyDescent="0.25">
      <c r="A1525" s="1033">
        <v>804518</v>
      </c>
      <c r="B1525" s="129">
        <v>0</v>
      </c>
      <c r="E1525" s="130"/>
    </row>
    <row r="1526" spans="1:5" x14ac:dyDescent="0.25">
      <c r="A1526" s="1033">
        <v>804522</v>
      </c>
      <c r="B1526" s="129">
        <v>0</v>
      </c>
      <c r="E1526" s="130"/>
    </row>
    <row r="1527" spans="1:5" x14ac:dyDescent="0.25">
      <c r="A1527" s="1033">
        <v>804524</v>
      </c>
      <c r="B1527" s="129">
        <v>0</v>
      </c>
      <c r="E1527" s="130"/>
    </row>
    <row r="1528" spans="1:5" x14ac:dyDescent="0.25">
      <c r="A1528" s="1033">
        <v>804526</v>
      </c>
      <c r="B1528" s="129">
        <v>0</v>
      </c>
      <c r="E1528" s="130"/>
    </row>
    <row r="1529" spans="1:5" x14ac:dyDescent="0.25">
      <c r="A1529" s="1033">
        <v>804528</v>
      </c>
      <c r="B1529" s="129">
        <v>0</v>
      </c>
      <c r="E1529" s="130"/>
    </row>
    <row r="1530" spans="1:5" x14ac:dyDescent="0.25">
      <c r="A1530" s="1033">
        <v>804612</v>
      </c>
      <c r="B1530" s="129">
        <v>0</v>
      </c>
      <c r="E1530" s="130"/>
    </row>
    <row r="1531" spans="1:5" x14ac:dyDescent="0.25">
      <c r="A1531" s="1033">
        <v>804614</v>
      </c>
      <c r="B1531" s="129">
        <v>0</v>
      </c>
      <c r="E1531" s="130"/>
    </row>
    <row r="1532" spans="1:5" x14ac:dyDescent="0.25">
      <c r="A1532" s="1033">
        <v>804616</v>
      </c>
      <c r="B1532" s="129">
        <v>0</v>
      </c>
      <c r="E1532" s="130"/>
    </row>
    <row r="1533" spans="1:5" x14ac:dyDescent="0.25">
      <c r="A1533" s="1033">
        <v>804618</v>
      </c>
      <c r="B1533" s="129">
        <v>0</v>
      </c>
      <c r="E1533" s="130"/>
    </row>
    <row r="1534" spans="1:5" x14ac:dyDescent="0.25">
      <c r="A1534" s="1033">
        <v>804622</v>
      </c>
      <c r="B1534" s="129">
        <v>0</v>
      </c>
      <c r="E1534" s="130"/>
    </row>
    <row r="1535" spans="1:5" x14ac:dyDescent="0.25">
      <c r="A1535" s="1033">
        <v>804624</v>
      </c>
      <c r="B1535" s="129">
        <v>0</v>
      </c>
      <c r="E1535" s="130"/>
    </row>
    <row r="1536" spans="1:5" x14ac:dyDescent="0.25">
      <c r="A1536" s="1033">
        <v>804626</v>
      </c>
      <c r="B1536" s="129">
        <v>0</v>
      </c>
      <c r="E1536" s="130"/>
    </row>
    <row r="1537" spans="1:5" x14ac:dyDescent="0.25">
      <c r="A1537" s="1033">
        <v>804628</v>
      </c>
      <c r="B1537" s="129">
        <v>0</v>
      </c>
      <c r="E1537" s="130"/>
    </row>
    <row r="1538" spans="1:5" x14ac:dyDescent="0.25">
      <c r="A1538" s="1033">
        <v>700112</v>
      </c>
      <c r="B1538" s="129">
        <v>0</v>
      </c>
      <c r="E1538" s="130"/>
    </row>
    <row r="1539" spans="1:5" x14ac:dyDescent="0.25">
      <c r="A1539" s="1033">
        <v>700114</v>
      </c>
      <c r="B1539" s="129">
        <v>0</v>
      </c>
      <c r="E1539" s="130"/>
    </row>
    <row r="1540" spans="1:5" x14ac:dyDescent="0.25">
      <c r="A1540" s="1033">
        <v>700116</v>
      </c>
      <c r="B1540" s="129">
        <v>0</v>
      </c>
      <c r="E1540" s="130"/>
    </row>
    <row r="1541" spans="1:5" x14ac:dyDescent="0.25">
      <c r="A1541" s="1033">
        <v>700118</v>
      </c>
      <c r="B1541" s="129">
        <v>0</v>
      </c>
      <c r="E1541" s="130"/>
    </row>
    <row r="1542" spans="1:5" x14ac:dyDescent="0.25">
      <c r="A1542" s="1033">
        <v>700122</v>
      </c>
      <c r="B1542" s="129">
        <v>0</v>
      </c>
      <c r="E1542" s="130"/>
    </row>
    <row r="1543" spans="1:5" x14ac:dyDescent="0.25">
      <c r="A1543" s="1033">
        <v>700124</v>
      </c>
      <c r="B1543" s="129">
        <v>0</v>
      </c>
      <c r="E1543" s="130"/>
    </row>
    <row r="1544" spans="1:5" x14ac:dyDescent="0.25">
      <c r="A1544" s="1033">
        <v>700126</v>
      </c>
      <c r="B1544" s="129">
        <v>0</v>
      </c>
      <c r="E1544" s="130"/>
    </row>
    <row r="1545" spans="1:5" x14ac:dyDescent="0.25">
      <c r="A1545" s="1033">
        <v>700128</v>
      </c>
      <c r="B1545" s="129">
        <v>0</v>
      </c>
      <c r="E1545" s="130"/>
    </row>
    <row r="1546" spans="1:5" x14ac:dyDescent="0.25">
      <c r="A1546" s="1033">
        <v>700212</v>
      </c>
      <c r="B1546" s="129">
        <v>0</v>
      </c>
      <c r="E1546" s="130"/>
    </row>
    <row r="1547" spans="1:5" x14ac:dyDescent="0.25">
      <c r="A1547" s="1033">
        <v>700214</v>
      </c>
      <c r="B1547" s="129">
        <v>0</v>
      </c>
      <c r="E1547" s="130"/>
    </row>
    <row r="1548" spans="1:5" x14ac:dyDescent="0.25">
      <c r="A1548" s="1033">
        <v>700216</v>
      </c>
      <c r="B1548" s="129">
        <v>0</v>
      </c>
      <c r="E1548" s="130"/>
    </row>
    <row r="1549" spans="1:5" x14ac:dyDescent="0.25">
      <c r="A1549" s="1033">
        <v>700218</v>
      </c>
      <c r="B1549" s="129">
        <v>0</v>
      </c>
      <c r="E1549" s="130"/>
    </row>
    <row r="1550" spans="1:5" x14ac:dyDescent="0.25">
      <c r="A1550" s="1033">
        <v>700222</v>
      </c>
      <c r="B1550" s="129">
        <v>0</v>
      </c>
      <c r="E1550" s="130"/>
    </row>
    <row r="1551" spans="1:5" x14ac:dyDescent="0.25">
      <c r="A1551" s="1033">
        <v>700224</v>
      </c>
      <c r="B1551" s="129">
        <v>0</v>
      </c>
      <c r="E1551" s="130"/>
    </row>
    <row r="1552" spans="1:5" x14ac:dyDescent="0.25">
      <c r="A1552" s="1033">
        <v>700226</v>
      </c>
      <c r="B1552" s="129">
        <v>0</v>
      </c>
      <c r="E1552" s="130"/>
    </row>
    <row r="1553" spans="1:5" x14ac:dyDescent="0.25">
      <c r="A1553" s="1033">
        <v>700228</v>
      </c>
      <c r="B1553" s="129">
        <v>0</v>
      </c>
      <c r="E1553" s="130"/>
    </row>
    <row r="1554" spans="1:5" x14ac:dyDescent="0.25">
      <c r="A1554" s="1033">
        <v>700312</v>
      </c>
      <c r="B1554" s="129">
        <v>0</v>
      </c>
      <c r="E1554" s="130"/>
    </row>
    <row r="1555" spans="1:5" x14ac:dyDescent="0.25">
      <c r="A1555" s="1033">
        <v>700314</v>
      </c>
      <c r="B1555" s="129">
        <v>0</v>
      </c>
      <c r="E1555" s="130"/>
    </row>
    <row r="1556" spans="1:5" x14ac:dyDescent="0.25">
      <c r="A1556" s="1033">
        <v>700316</v>
      </c>
      <c r="B1556" s="129">
        <v>0</v>
      </c>
      <c r="E1556" s="130"/>
    </row>
    <row r="1557" spans="1:5" x14ac:dyDescent="0.25">
      <c r="A1557" s="1033">
        <v>700318</v>
      </c>
      <c r="B1557" s="129">
        <v>0</v>
      </c>
      <c r="E1557" s="130"/>
    </row>
    <row r="1558" spans="1:5" x14ac:dyDescent="0.25">
      <c r="A1558" s="1033">
        <v>700322</v>
      </c>
      <c r="B1558" s="129">
        <v>0</v>
      </c>
      <c r="E1558" s="130"/>
    </row>
    <row r="1559" spans="1:5" x14ac:dyDescent="0.25">
      <c r="A1559" s="1033">
        <v>700324</v>
      </c>
      <c r="B1559" s="129">
        <v>0</v>
      </c>
      <c r="E1559" s="130"/>
    </row>
    <row r="1560" spans="1:5" x14ac:dyDescent="0.25">
      <c r="A1560" s="1033">
        <v>700326</v>
      </c>
      <c r="B1560" s="129">
        <v>0</v>
      </c>
      <c r="E1560" s="130"/>
    </row>
    <row r="1561" spans="1:5" x14ac:dyDescent="0.25">
      <c r="A1561" s="1033">
        <v>700328</v>
      </c>
      <c r="B1561" s="129">
        <v>0</v>
      </c>
      <c r="E1561" s="130"/>
    </row>
    <row r="1562" spans="1:5" x14ac:dyDescent="0.25">
      <c r="A1562" s="1033">
        <v>700412</v>
      </c>
      <c r="B1562" s="129">
        <v>0</v>
      </c>
      <c r="E1562" s="130"/>
    </row>
    <row r="1563" spans="1:5" x14ac:dyDescent="0.25">
      <c r="A1563" s="1033">
        <v>700414</v>
      </c>
      <c r="B1563" s="129">
        <v>0</v>
      </c>
      <c r="E1563" s="130"/>
    </row>
    <row r="1564" spans="1:5" x14ac:dyDescent="0.25">
      <c r="A1564" s="1033">
        <v>700416</v>
      </c>
      <c r="B1564" s="129">
        <v>0</v>
      </c>
      <c r="E1564" s="130"/>
    </row>
    <row r="1565" spans="1:5" x14ac:dyDescent="0.25">
      <c r="A1565" s="1033">
        <v>700418</v>
      </c>
      <c r="B1565" s="129">
        <v>0</v>
      </c>
      <c r="E1565" s="130"/>
    </row>
    <row r="1566" spans="1:5" x14ac:dyDescent="0.25">
      <c r="A1566" s="1033">
        <v>700422</v>
      </c>
      <c r="B1566" s="129">
        <v>0</v>
      </c>
      <c r="E1566" s="130"/>
    </row>
    <row r="1567" spans="1:5" x14ac:dyDescent="0.25">
      <c r="A1567" s="1033">
        <v>700424</v>
      </c>
      <c r="B1567" s="129">
        <v>0</v>
      </c>
      <c r="E1567" s="130"/>
    </row>
    <row r="1568" spans="1:5" x14ac:dyDescent="0.25">
      <c r="A1568" s="1033">
        <v>700426</v>
      </c>
      <c r="B1568" s="129">
        <v>0</v>
      </c>
      <c r="E1568" s="130"/>
    </row>
    <row r="1569" spans="1:5" x14ac:dyDescent="0.25">
      <c r="A1569" s="1033">
        <v>700428</v>
      </c>
      <c r="B1569" s="129">
        <v>0</v>
      </c>
      <c r="E1569" s="130"/>
    </row>
    <row r="1570" spans="1:5" x14ac:dyDescent="0.25">
      <c r="A1570" s="1033">
        <v>700512</v>
      </c>
      <c r="B1570" s="129">
        <v>0</v>
      </c>
      <c r="E1570" s="130"/>
    </row>
    <row r="1571" spans="1:5" x14ac:dyDescent="0.25">
      <c r="A1571" s="1033">
        <v>700514</v>
      </c>
      <c r="B1571" s="129">
        <v>0</v>
      </c>
      <c r="E1571" s="130"/>
    </row>
    <row r="1572" spans="1:5" x14ac:dyDescent="0.25">
      <c r="A1572" s="1033">
        <v>700516</v>
      </c>
      <c r="B1572" s="129">
        <v>0</v>
      </c>
      <c r="E1572" s="130"/>
    </row>
    <row r="1573" spans="1:5" x14ac:dyDescent="0.25">
      <c r="A1573" s="1033">
        <v>700518</v>
      </c>
      <c r="B1573" s="129">
        <v>0</v>
      </c>
      <c r="E1573" s="130"/>
    </row>
    <row r="1574" spans="1:5" x14ac:dyDescent="0.25">
      <c r="A1574" s="1033">
        <v>700522</v>
      </c>
      <c r="B1574" s="129">
        <v>0</v>
      </c>
      <c r="E1574" s="130"/>
    </row>
    <row r="1575" spans="1:5" x14ac:dyDescent="0.25">
      <c r="A1575" s="1033">
        <v>700524</v>
      </c>
      <c r="B1575" s="129">
        <v>0</v>
      </c>
      <c r="E1575" s="130"/>
    </row>
    <row r="1576" spans="1:5" x14ac:dyDescent="0.25">
      <c r="A1576" s="1033">
        <v>700526</v>
      </c>
      <c r="B1576" s="129">
        <v>0</v>
      </c>
      <c r="E1576" s="130"/>
    </row>
    <row r="1577" spans="1:5" x14ac:dyDescent="0.25">
      <c r="A1577" s="1033">
        <v>700528</v>
      </c>
      <c r="B1577" s="129">
        <v>0</v>
      </c>
      <c r="E1577" s="130"/>
    </row>
    <row r="1578" spans="1:5" x14ac:dyDescent="0.25">
      <c r="A1578" s="1033">
        <v>700612</v>
      </c>
      <c r="B1578" s="129">
        <v>0</v>
      </c>
      <c r="E1578" s="130"/>
    </row>
    <row r="1579" spans="1:5" x14ac:dyDescent="0.25">
      <c r="A1579" s="1033">
        <v>700614</v>
      </c>
      <c r="B1579" s="129">
        <v>0</v>
      </c>
      <c r="E1579" s="130"/>
    </row>
    <row r="1580" spans="1:5" x14ac:dyDescent="0.25">
      <c r="A1580" s="1033">
        <v>700616</v>
      </c>
      <c r="B1580" s="129">
        <v>0</v>
      </c>
      <c r="E1580" s="130"/>
    </row>
    <row r="1581" spans="1:5" x14ac:dyDescent="0.25">
      <c r="A1581" s="1033">
        <v>700618</v>
      </c>
      <c r="B1581" s="129">
        <v>0</v>
      </c>
      <c r="E1581" s="130"/>
    </row>
    <row r="1582" spans="1:5" x14ac:dyDescent="0.25">
      <c r="A1582" s="1033">
        <v>700622</v>
      </c>
      <c r="B1582" s="129">
        <v>0</v>
      </c>
      <c r="E1582" s="130"/>
    </row>
    <row r="1583" spans="1:5" x14ac:dyDescent="0.25">
      <c r="A1583" s="1033">
        <v>700624</v>
      </c>
      <c r="B1583" s="129">
        <v>0</v>
      </c>
      <c r="E1583" s="130"/>
    </row>
    <row r="1584" spans="1:5" x14ac:dyDescent="0.25">
      <c r="A1584" s="1033">
        <v>700626</v>
      </c>
      <c r="B1584" s="129">
        <v>0</v>
      </c>
      <c r="E1584" s="130"/>
    </row>
    <row r="1585" spans="1:5" x14ac:dyDescent="0.25">
      <c r="A1585" s="1033">
        <v>700628</v>
      </c>
      <c r="B1585" s="129">
        <v>0</v>
      </c>
      <c r="E1585" s="130"/>
    </row>
    <row r="1586" spans="1:5" x14ac:dyDescent="0.25">
      <c r="A1586" s="1033">
        <v>700712</v>
      </c>
      <c r="B1586" s="129">
        <v>0</v>
      </c>
      <c r="E1586" s="130"/>
    </row>
    <row r="1587" spans="1:5" x14ac:dyDescent="0.25">
      <c r="A1587" s="1033">
        <v>700714</v>
      </c>
      <c r="B1587" s="129">
        <v>0</v>
      </c>
      <c r="E1587" s="130"/>
    </row>
    <row r="1588" spans="1:5" x14ac:dyDescent="0.25">
      <c r="A1588" s="1033">
        <v>700716</v>
      </c>
      <c r="B1588" s="129">
        <v>0</v>
      </c>
      <c r="E1588" s="130"/>
    </row>
    <row r="1589" spans="1:5" x14ac:dyDescent="0.25">
      <c r="A1589" s="1033">
        <v>700718</v>
      </c>
      <c r="B1589" s="129">
        <v>0</v>
      </c>
      <c r="E1589" s="130"/>
    </row>
    <row r="1590" spans="1:5" x14ac:dyDescent="0.25">
      <c r="A1590" s="1033">
        <v>700722</v>
      </c>
      <c r="B1590" s="129">
        <v>0</v>
      </c>
      <c r="E1590" s="130"/>
    </row>
    <row r="1591" spans="1:5" x14ac:dyDescent="0.25">
      <c r="A1591" s="1033">
        <v>700724</v>
      </c>
      <c r="B1591" s="129">
        <v>0</v>
      </c>
      <c r="E1591" s="130"/>
    </row>
    <row r="1592" spans="1:5" x14ac:dyDescent="0.25">
      <c r="A1592" s="1033">
        <v>700726</v>
      </c>
      <c r="B1592" s="129">
        <v>0</v>
      </c>
      <c r="E1592" s="130"/>
    </row>
    <row r="1593" spans="1:5" x14ac:dyDescent="0.25">
      <c r="A1593" s="1033">
        <v>700728</v>
      </c>
      <c r="B1593" s="129">
        <v>0</v>
      </c>
      <c r="E1593" s="130"/>
    </row>
    <row r="1594" spans="1:5" x14ac:dyDescent="0.25">
      <c r="A1594" s="1033">
        <v>700812</v>
      </c>
      <c r="B1594" s="129">
        <v>0</v>
      </c>
      <c r="E1594" s="130"/>
    </row>
    <row r="1595" spans="1:5" x14ac:dyDescent="0.25">
      <c r="A1595" s="1033">
        <v>700814</v>
      </c>
      <c r="B1595" s="129">
        <v>0</v>
      </c>
      <c r="E1595" s="130"/>
    </row>
    <row r="1596" spans="1:5" x14ac:dyDescent="0.25">
      <c r="A1596" s="1033">
        <v>700816</v>
      </c>
      <c r="B1596" s="129">
        <v>0</v>
      </c>
      <c r="E1596" s="130"/>
    </row>
    <row r="1597" spans="1:5" x14ac:dyDescent="0.25">
      <c r="A1597" s="1033">
        <v>700818</v>
      </c>
      <c r="B1597" s="129">
        <v>0</v>
      </c>
      <c r="E1597" s="130"/>
    </row>
    <row r="1598" spans="1:5" x14ac:dyDescent="0.25">
      <c r="A1598" s="1033">
        <v>700822</v>
      </c>
      <c r="B1598" s="129">
        <v>0</v>
      </c>
      <c r="E1598" s="130"/>
    </row>
    <row r="1599" spans="1:5" x14ac:dyDescent="0.25">
      <c r="A1599" s="1033">
        <v>700824</v>
      </c>
      <c r="B1599" s="129">
        <v>0</v>
      </c>
      <c r="E1599" s="130"/>
    </row>
    <row r="1600" spans="1:5" x14ac:dyDescent="0.25">
      <c r="A1600" s="1033">
        <v>700826</v>
      </c>
      <c r="B1600" s="129">
        <v>0</v>
      </c>
      <c r="E1600" s="130"/>
    </row>
    <row r="1601" spans="1:5" x14ac:dyDescent="0.25">
      <c r="A1601" s="1033">
        <v>700828</v>
      </c>
      <c r="B1601" s="129">
        <v>0</v>
      </c>
      <c r="E1601" s="130"/>
    </row>
    <row r="1602" spans="1:5" x14ac:dyDescent="0.25">
      <c r="A1602" s="1033">
        <v>700912</v>
      </c>
      <c r="B1602" s="129">
        <v>0</v>
      </c>
      <c r="E1602" s="130"/>
    </row>
    <row r="1603" spans="1:5" x14ac:dyDescent="0.25">
      <c r="A1603" s="1033">
        <v>700914</v>
      </c>
      <c r="B1603" s="129">
        <v>0</v>
      </c>
      <c r="E1603" s="130"/>
    </row>
    <row r="1604" spans="1:5" x14ac:dyDescent="0.25">
      <c r="A1604" s="1033">
        <v>700916</v>
      </c>
      <c r="B1604" s="129">
        <v>0</v>
      </c>
      <c r="E1604" s="130"/>
    </row>
    <row r="1605" spans="1:5" x14ac:dyDescent="0.25">
      <c r="A1605" s="1033">
        <v>700918</v>
      </c>
      <c r="B1605" s="129">
        <v>0</v>
      </c>
      <c r="E1605" s="130"/>
    </row>
    <row r="1606" spans="1:5" x14ac:dyDescent="0.25">
      <c r="A1606" s="1033">
        <v>700922</v>
      </c>
      <c r="B1606" s="129">
        <v>0</v>
      </c>
      <c r="E1606" s="130"/>
    </row>
    <row r="1607" spans="1:5" x14ac:dyDescent="0.25">
      <c r="A1607" s="1033">
        <v>700924</v>
      </c>
      <c r="B1607" s="129">
        <v>0</v>
      </c>
      <c r="E1607" s="130"/>
    </row>
    <row r="1608" spans="1:5" x14ac:dyDescent="0.25">
      <c r="A1608" s="1033">
        <v>700926</v>
      </c>
      <c r="B1608" s="129">
        <v>0</v>
      </c>
      <c r="E1608" s="130"/>
    </row>
    <row r="1609" spans="1:5" x14ac:dyDescent="0.25">
      <c r="A1609" s="1033">
        <v>700928</v>
      </c>
      <c r="B1609" s="129">
        <v>0</v>
      </c>
      <c r="E1609" s="130"/>
    </row>
    <row r="1610" spans="1:5" x14ac:dyDescent="0.25">
      <c r="A1610" s="1033">
        <v>701012</v>
      </c>
      <c r="B1610" s="129">
        <v>0</v>
      </c>
      <c r="E1610" s="130"/>
    </row>
    <row r="1611" spans="1:5" x14ac:dyDescent="0.25">
      <c r="A1611" s="1033">
        <v>701014</v>
      </c>
      <c r="B1611" s="129">
        <v>0</v>
      </c>
      <c r="E1611" s="130"/>
    </row>
    <row r="1612" spans="1:5" x14ac:dyDescent="0.25">
      <c r="A1612" s="1033">
        <v>701016</v>
      </c>
      <c r="B1612" s="129">
        <v>0</v>
      </c>
      <c r="E1612" s="130"/>
    </row>
    <row r="1613" spans="1:5" x14ac:dyDescent="0.25">
      <c r="A1613" s="1033">
        <v>701018</v>
      </c>
      <c r="B1613" s="129">
        <v>0</v>
      </c>
      <c r="E1613" s="130"/>
    </row>
    <row r="1614" spans="1:5" x14ac:dyDescent="0.25">
      <c r="A1614" s="1033">
        <v>701022</v>
      </c>
      <c r="B1614" s="129">
        <v>0</v>
      </c>
      <c r="E1614" s="130"/>
    </row>
    <row r="1615" spans="1:5" x14ac:dyDescent="0.25">
      <c r="A1615" s="1033">
        <v>701024</v>
      </c>
      <c r="B1615" s="129">
        <v>0</v>
      </c>
      <c r="E1615" s="130"/>
    </row>
    <row r="1616" spans="1:5" x14ac:dyDescent="0.25">
      <c r="A1616" s="1033">
        <v>701026</v>
      </c>
      <c r="B1616" s="129">
        <v>0</v>
      </c>
      <c r="E1616" s="130"/>
    </row>
    <row r="1617" spans="1:5" x14ac:dyDescent="0.25">
      <c r="A1617" s="1033">
        <v>701028</v>
      </c>
      <c r="B1617" s="129">
        <v>0</v>
      </c>
      <c r="E1617" s="130"/>
    </row>
    <row r="1618" spans="1:5" x14ac:dyDescent="0.25">
      <c r="A1618" s="1033">
        <v>701112</v>
      </c>
      <c r="B1618" s="129">
        <v>0</v>
      </c>
      <c r="E1618" s="130"/>
    </row>
    <row r="1619" spans="1:5" x14ac:dyDescent="0.25">
      <c r="A1619" s="1033">
        <v>701114</v>
      </c>
      <c r="B1619" s="129">
        <v>0</v>
      </c>
      <c r="E1619" s="130"/>
    </row>
    <row r="1620" spans="1:5" x14ac:dyDescent="0.25">
      <c r="A1620" s="1033">
        <v>701116</v>
      </c>
      <c r="B1620" s="129">
        <v>0</v>
      </c>
      <c r="E1620" s="130"/>
    </row>
    <row r="1621" spans="1:5" x14ac:dyDescent="0.25">
      <c r="A1621" s="1033">
        <v>701118</v>
      </c>
      <c r="B1621" s="129">
        <v>0</v>
      </c>
      <c r="E1621" s="130"/>
    </row>
    <row r="1622" spans="1:5" x14ac:dyDescent="0.25">
      <c r="A1622" s="1033">
        <v>701122</v>
      </c>
      <c r="B1622" s="129">
        <v>0</v>
      </c>
      <c r="E1622" s="130"/>
    </row>
    <row r="1623" spans="1:5" x14ac:dyDescent="0.25">
      <c r="A1623" s="1033">
        <v>701124</v>
      </c>
      <c r="B1623" s="129">
        <v>0</v>
      </c>
      <c r="E1623" s="130"/>
    </row>
    <row r="1624" spans="1:5" x14ac:dyDescent="0.25">
      <c r="A1624" s="1033">
        <v>701126</v>
      </c>
      <c r="B1624" s="129">
        <v>0</v>
      </c>
      <c r="E1624" s="130"/>
    </row>
    <row r="1625" spans="1:5" x14ac:dyDescent="0.25">
      <c r="A1625" s="1033">
        <v>701128</v>
      </c>
      <c r="B1625" s="129">
        <v>0</v>
      </c>
      <c r="E1625" s="130"/>
    </row>
    <row r="1626" spans="1:5" x14ac:dyDescent="0.25">
      <c r="A1626" s="1033">
        <v>701212</v>
      </c>
      <c r="B1626" s="129">
        <v>0</v>
      </c>
      <c r="E1626" s="130"/>
    </row>
    <row r="1627" spans="1:5" x14ac:dyDescent="0.25">
      <c r="A1627" s="1033">
        <v>701214</v>
      </c>
      <c r="B1627" s="129">
        <v>0</v>
      </c>
      <c r="E1627" s="130"/>
    </row>
    <row r="1628" spans="1:5" x14ac:dyDescent="0.25">
      <c r="A1628" s="1033">
        <v>701216</v>
      </c>
      <c r="B1628" s="129">
        <v>0</v>
      </c>
      <c r="E1628" s="130"/>
    </row>
    <row r="1629" spans="1:5" x14ac:dyDescent="0.25">
      <c r="A1629" s="1033">
        <v>701218</v>
      </c>
      <c r="B1629" s="129">
        <v>0</v>
      </c>
      <c r="E1629" s="130"/>
    </row>
    <row r="1630" spans="1:5" x14ac:dyDescent="0.25">
      <c r="A1630" s="1033">
        <v>701222</v>
      </c>
      <c r="B1630" s="129">
        <v>0</v>
      </c>
      <c r="E1630" s="130"/>
    </row>
    <row r="1631" spans="1:5" x14ac:dyDescent="0.25">
      <c r="A1631" s="1033">
        <v>701224</v>
      </c>
      <c r="B1631" s="129">
        <v>0</v>
      </c>
      <c r="E1631" s="130"/>
    </row>
    <row r="1632" spans="1:5" x14ac:dyDescent="0.25">
      <c r="A1632" s="1033">
        <v>701226</v>
      </c>
      <c r="B1632" s="129">
        <v>0</v>
      </c>
      <c r="E1632" s="130"/>
    </row>
    <row r="1633" spans="1:5" x14ac:dyDescent="0.25">
      <c r="A1633" s="1033">
        <v>701228</v>
      </c>
      <c r="B1633" s="129">
        <v>0</v>
      </c>
      <c r="E1633" s="130"/>
    </row>
    <row r="1634" spans="1:5" x14ac:dyDescent="0.25">
      <c r="A1634" s="1033">
        <v>701312</v>
      </c>
      <c r="B1634" s="129">
        <v>0</v>
      </c>
      <c r="E1634" s="130"/>
    </row>
    <row r="1635" spans="1:5" x14ac:dyDescent="0.25">
      <c r="A1635" s="1033">
        <v>701314</v>
      </c>
      <c r="B1635" s="129">
        <v>0</v>
      </c>
      <c r="E1635" s="130"/>
    </row>
    <row r="1636" spans="1:5" x14ac:dyDescent="0.25">
      <c r="A1636" s="1033">
        <v>701316</v>
      </c>
      <c r="B1636" s="129">
        <v>0</v>
      </c>
      <c r="E1636" s="130"/>
    </row>
    <row r="1637" spans="1:5" x14ac:dyDescent="0.25">
      <c r="A1637" s="1033">
        <v>701318</v>
      </c>
      <c r="B1637" s="129">
        <v>0</v>
      </c>
      <c r="E1637" s="130"/>
    </row>
    <row r="1638" spans="1:5" x14ac:dyDescent="0.25">
      <c r="A1638" s="1033">
        <v>701322</v>
      </c>
      <c r="B1638" s="129">
        <v>0</v>
      </c>
      <c r="E1638" s="130"/>
    </row>
    <row r="1639" spans="1:5" x14ac:dyDescent="0.25">
      <c r="A1639" s="1033">
        <v>701324</v>
      </c>
      <c r="B1639" s="129">
        <v>0</v>
      </c>
      <c r="E1639" s="130"/>
    </row>
    <row r="1640" spans="1:5" x14ac:dyDescent="0.25">
      <c r="A1640" s="1033">
        <v>701326</v>
      </c>
      <c r="B1640" s="129">
        <v>0</v>
      </c>
      <c r="E1640" s="130"/>
    </row>
    <row r="1641" spans="1:5" x14ac:dyDescent="0.25">
      <c r="A1641" s="1033">
        <v>701328</v>
      </c>
      <c r="B1641" s="129">
        <v>0</v>
      </c>
      <c r="E1641" s="130"/>
    </row>
    <row r="1642" spans="1:5" x14ac:dyDescent="0.25">
      <c r="A1642" s="1033">
        <v>701412</v>
      </c>
      <c r="B1642" s="129">
        <v>0</v>
      </c>
      <c r="E1642" s="130"/>
    </row>
    <row r="1643" spans="1:5" x14ac:dyDescent="0.25">
      <c r="A1643" s="1033">
        <v>701414</v>
      </c>
      <c r="B1643" s="129">
        <v>0</v>
      </c>
      <c r="E1643" s="130"/>
    </row>
    <row r="1644" spans="1:5" x14ac:dyDescent="0.25">
      <c r="A1644" s="1033">
        <v>701416</v>
      </c>
      <c r="B1644" s="129">
        <v>0</v>
      </c>
      <c r="E1644" s="130"/>
    </row>
    <row r="1645" spans="1:5" x14ac:dyDescent="0.25">
      <c r="A1645" s="1033">
        <v>701418</v>
      </c>
      <c r="B1645" s="129">
        <v>0</v>
      </c>
      <c r="E1645" s="130"/>
    </row>
    <row r="1646" spans="1:5" x14ac:dyDescent="0.25">
      <c r="A1646" s="1033">
        <v>701422</v>
      </c>
      <c r="B1646" s="129">
        <v>0</v>
      </c>
      <c r="E1646" s="130"/>
    </row>
    <row r="1647" spans="1:5" x14ac:dyDescent="0.25">
      <c r="A1647" s="1033">
        <v>701424</v>
      </c>
      <c r="B1647" s="129">
        <v>0</v>
      </c>
      <c r="E1647" s="130"/>
    </row>
    <row r="1648" spans="1:5" x14ac:dyDescent="0.25">
      <c r="A1648" s="1033">
        <v>701426</v>
      </c>
      <c r="B1648" s="129">
        <v>0</v>
      </c>
      <c r="E1648" s="130"/>
    </row>
    <row r="1649" spans="1:5" x14ac:dyDescent="0.25">
      <c r="A1649" s="1033">
        <v>701428</v>
      </c>
      <c r="B1649" s="129">
        <v>0</v>
      </c>
      <c r="E1649" s="130"/>
    </row>
    <row r="1650" spans="1:5" x14ac:dyDescent="0.25">
      <c r="A1650" s="1033">
        <v>701512</v>
      </c>
      <c r="B1650" s="129">
        <v>0</v>
      </c>
      <c r="E1650" s="130"/>
    </row>
    <row r="1651" spans="1:5" x14ac:dyDescent="0.25">
      <c r="A1651" s="1033">
        <v>701514</v>
      </c>
      <c r="B1651" s="129">
        <v>0</v>
      </c>
      <c r="E1651" s="130"/>
    </row>
    <row r="1652" spans="1:5" x14ac:dyDescent="0.25">
      <c r="A1652" s="1033">
        <v>701516</v>
      </c>
      <c r="B1652" s="129">
        <v>0</v>
      </c>
      <c r="E1652" s="130"/>
    </row>
    <row r="1653" spans="1:5" x14ac:dyDescent="0.25">
      <c r="A1653" s="1033">
        <v>701518</v>
      </c>
      <c r="B1653" s="129">
        <v>0</v>
      </c>
      <c r="E1653" s="130"/>
    </row>
    <row r="1654" spans="1:5" x14ac:dyDescent="0.25">
      <c r="A1654" s="1033">
        <v>701522</v>
      </c>
      <c r="B1654" s="129">
        <v>0</v>
      </c>
      <c r="E1654" s="130"/>
    </row>
    <row r="1655" spans="1:5" x14ac:dyDescent="0.25">
      <c r="A1655" s="1033">
        <v>701524</v>
      </c>
      <c r="B1655" s="129">
        <v>0</v>
      </c>
      <c r="E1655" s="130"/>
    </row>
    <row r="1656" spans="1:5" x14ac:dyDescent="0.25">
      <c r="A1656" s="1033">
        <v>701526</v>
      </c>
      <c r="B1656" s="129">
        <v>0</v>
      </c>
      <c r="E1656" s="130"/>
    </row>
    <row r="1657" spans="1:5" x14ac:dyDescent="0.25">
      <c r="A1657" s="1033">
        <v>701528</v>
      </c>
      <c r="B1657" s="129">
        <v>0</v>
      </c>
      <c r="E1657" s="130"/>
    </row>
    <row r="1658" spans="1:5" x14ac:dyDescent="0.25">
      <c r="A1658" s="1033">
        <v>701612</v>
      </c>
      <c r="B1658" s="129">
        <v>0</v>
      </c>
      <c r="E1658" s="130"/>
    </row>
    <row r="1659" spans="1:5" x14ac:dyDescent="0.25">
      <c r="A1659" s="1033">
        <v>701614</v>
      </c>
      <c r="B1659" s="129">
        <v>0</v>
      </c>
      <c r="E1659" s="130"/>
    </row>
    <row r="1660" spans="1:5" x14ac:dyDescent="0.25">
      <c r="A1660" s="1033">
        <v>701616</v>
      </c>
      <c r="B1660" s="129">
        <v>0</v>
      </c>
      <c r="E1660" s="130"/>
    </row>
    <row r="1661" spans="1:5" x14ac:dyDescent="0.25">
      <c r="A1661" s="1033">
        <v>701618</v>
      </c>
      <c r="B1661" s="129">
        <v>0</v>
      </c>
      <c r="E1661" s="130"/>
    </row>
    <row r="1662" spans="1:5" x14ac:dyDescent="0.25">
      <c r="A1662" s="1033">
        <v>701622</v>
      </c>
      <c r="B1662" s="129">
        <v>0</v>
      </c>
      <c r="E1662" s="130"/>
    </row>
    <row r="1663" spans="1:5" x14ac:dyDescent="0.25">
      <c r="A1663" s="1033">
        <v>701624</v>
      </c>
      <c r="B1663" s="129">
        <v>0</v>
      </c>
      <c r="E1663" s="130"/>
    </row>
    <row r="1664" spans="1:5" x14ac:dyDescent="0.25">
      <c r="A1664" s="1033">
        <v>701626</v>
      </c>
      <c r="B1664" s="129">
        <v>0</v>
      </c>
      <c r="E1664" s="130"/>
    </row>
    <row r="1665" spans="1:5" x14ac:dyDescent="0.25">
      <c r="A1665" s="1033">
        <v>701628</v>
      </c>
      <c r="B1665" s="129">
        <v>0</v>
      </c>
      <c r="E1665" s="130"/>
    </row>
    <row r="1666" spans="1:5" x14ac:dyDescent="0.25">
      <c r="A1666" s="1033">
        <v>701712</v>
      </c>
      <c r="B1666" s="129">
        <v>0</v>
      </c>
      <c r="E1666" s="130"/>
    </row>
    <row r="1667" spans="1:5" x14ac:dyDescent="0.25">
      <c r="A1667" s="1033">
        <v>701714</v>
      </c>
      <c r="B1667" s="129">
        <v>0</v>
      </c>
      <c r="E1667" s="130"/>
    </row>
    <row r="1668" spans="1:5" x14ac:dyDescent="0.25">
      <c r="A1668" s="1033">
        <v>701716</v>
      </c>
      <c r="B1668" s="129">
        <v>0</v>
      </c>
      <c r="E1668" s="130"/>
    </row>
    <row r="1669" spans="1:5" x14ac:dyDescent="0.25">
      <c r="A1669" s="1033">
        <v>701718</v>
      </c>
      <c r="B1669" s="129">
        <v>0</v>
      </c>
      <c r="E1669" s="130"/>
    </row>
    <row r="1670" spans="1:5" x14ac:dyDescent="0.25">
      <c r="A1670" s="1033">
        <v>701722</v>
      </c>
      <c r="B1670" s="129">
        <v>0</v>
      </c>
      <c r="E1670" s="130"/>
    </row>
    <row r="1671" spans="1:5" x14ac:dyDescent="0.25">
      <c r="A1671" s="1033">
        <v>701724</v>
      </c>
      <c r="B1671" s="129">
        <v>0</v>
      </c>
      <c r="E1671" s="130"/>
    </row>
    <row r="1672" spans="1:5" x14ac:dyDescent="0.25">
      <c r="A1672" s="1033">
        <v>701726</v>
      </c>
      <c r="B1672" s="129">
        <v>0</v>
      </c>
      <c r="E1672" s="130"/>
    </row>
    <row r="1673" spans="1:5" x14ac:dyDescent="0.25">
      <c r="A1673" s="1033">
        <v>701728</v>
      </c>
      <c r="B1673" s="129">
        <v>0</v>
      </c>
      <c r="E1673" s="130"/>
    </row>
    <row r="1674" spans="1:5" x14ac:dyDescent="0.25">
      <c r="A1674" s="1033">
        <v>701812</v>
      </c>
      <c r="B1674" s="129">
        <v>0</v>
      </c>
      <c r="E1674" s="130"/>
    </row>
    <row r="1675" spans="1:5" x14ac:dyDescent="0.25">
      <c r="A1675" s="1033">
        <v>701814</v>
      </c>
      <c r="B1675" s="129">
        <v>0</v>
      </c>
      <c r="E1675" s="130"/>
    </row>
    <row r="1676" spans="1:5" x14ac:dyDescent="0.25">
      <c r="A1676" s="1033">
        <v>701816</v>
      </c>
      <c r="B1676" s="129">
        <v>0</v>
      </c>
      <c r="E1676" s="130"/>
    </row>
    <row r="1677" spans="1:5" x14ac:dyDescent="0.25">
      <c r="A1677" s="1033">
        <v>701818</v>
      </c>
      <c r="B1677" s="129">
        <v>0</v>
      </c>
      <c r="E1677" s="130"/>
    </row>
    <row r="1678" spans="1:5" x14ac:dyDescent="0.25">
      <c r="A1678" s="1033">
        <v>701822</v>
      </c>
      <c r="B1678" s="129">
        <v>0</v>
      </c>
      <c r="E1678" s="130"/>
    </row>
    <row r="1679" spans="1:5" x14ac:dyDescent="0.25">
      <c r="A1679" s="1033">
        <v>701824</v>
      </c>
      <c r="B1679" s="129">
        <v>0</v>
      </c>
      <c r="E1679" s="130"/>
    </row>
    <row r="1680" spans="1:5" x14ac:dyDescent="0.25">
      <c r="A1680" s="1033">
        <v>701826</v>
      </c>
      <c r="B1680" s="129">
        <v>0</v>
      </c>
      <c r="E1680" s="130"/>
    </row>
    <row r="1681" spans="1:5" x14ac:dyDescent="0.25">
      <c r="A1681" s="1033">
        <v>701828</v>
      </c>
      <c r="B1681" s="129">
        <v>0</v>
      </c>
      <c r="E1681" s="130"/>
    </row>
    <row r="1682" spans="1:5" x14ac:dyDescent="0.25">
      <c r="A1682" s="1033">
        <v>701912</v>
      </c>
      <c r="B1682" s="129">
        <v>0</v>
      </c>
      <c r="E1682" s="130"/>
    </row>
    <row r="1683" spans="1:5" x14ac:dyDescent="0.25">
      <c r="A1683" s="1033">
        <v>701914</v>
      </c>
      <c r="B1683" s="129">
        <v>0</v>
      </c>
      <c r="E1683" s="130"/>
    </row>
    <row r="1684" spans="1:5" x14ac:dyDescent="0.25">
      <c r="A1684" s="1033">
        <v>701916</v>
      </c>
      <c r="B1684" s="129">
        <v>0</v>
      </c>
      <c r="E1684" s="130"/>
    </row>
    <row r="1685" spans="1:5" x14ac:dyDescent="0.25">
      <c r="A1685" s="1033">
        <v>701918</v>
      </c>
      <c r="B1685" s="129">
        <v>0</v>
      </c>
      <c r="E1685" s="130"/>
    </row>
    <row r="1686" spans="1:5" x14ac:dyDescent="0.25">
      <c r="A1686" s="1033">
        <v>701922</v>
      </c>
      <c r="B1686" s="129">
        <v>0</v>
      </c>
      <c r="E1686" s="130"/>
    </row>
    <row r="1687" spans="1:5" x14ac:dyDescent="0.25">
      <c r="A1687" s="1033">
        <v>701924</v>
      </c>
      <c r="B1687" s="129">
        <v>0</v>
      </c>
      <c r="E1687" s="130"/>
    </row>
    <row r="1688" spans="1:5" x14ac:dyDescent="0.25">
      <c r="A1688" s="1033">
        <v>701926</v>
      </c>
      <c r="B1688" s="129">
        <v>0</v>
      </c>
      <c r="E1688" s="130"/>
    </row>
    <row r="1689" spans="1:5" x14ac:dyDescent="0.25">
      <c r="A1689" s="1033">
        <v>701928</v>
      </c>
      <c r="B1689" s="129">
        <v>0</v>
      </c>
      <c r="E1689" s="130"/>
    </row>
    <row r="1690" spans="1:5" x14ac:dyDescent="0.25">
      <c r="A1690" s="1033">
        <v>702012</v>
      </c>
      <c r="E1690" s="130"/>
    </row>
    <row r="1691" spans="1:5" x14ac:dyDescent="0.25">
      <c r="A1691" s="1033">
        <v>702014</v>
      </c>
      <c r="E1691" s="130"/>
    </row>
    <row r="1692" spans="1:5" x14ac:dyDescent="0.25">
      <c r="A1692" s="1033">
        <v>702016</v>
      </c>
      <c r="B1692" s="129">
        <v>0</v>
      </c>
      <c r="E1692" s="130"/>
    </row>
    <row r="1693" spans="1:5" x14ac:dyDescent="0.25">
      <c r="A1693" s="1033">
        <v>702018</v>
      </c>
      <c r="B1693" s="129">
        <v>0</v>
      </c>
      <c r="E1693" s="130"/>
    </row>
    <row r="1694" spans="1:5" x14ac:dyDescent="0.25">
      <c r="A1694" s="1033">
        <v>702022</v>
      </c>
      <c r="E1694" s="130"/>
    </row>
    <row r="1695" spans="1:5" x14ac:dyDescent="0.25">
      <c r="A1695" s="1033">
        <v>702024</v>
      </c>
      <c r="E1695" s="130"/>
    </row>
    <row r="1696" spans="1:5" x14ac:dyDescent="0.25">
      <c r="A1696" s="1033">
        <v>702026</v>
      </c>
      <c r="B1696" s="129">
        <v>0</v>
      </c>
      <c r="E1696" s="130"/>
    </row>
    <row r="1697" spans="1:5" x14ac:dyDescent="0.25">
      <c r="A1697" s="1033">
        <v>702028</v>
      </c>
      <c r="B1697" s="129">
        <v>0</v>
      </c>
      <c r="E1697" s="130"/>
    </row>
    <row r="1698" spans="1:5" x14ac:dyDescent="0.25">
      <c r="A1698" s="1033">
        <v>702112</v>
      </c>
      <c r="B1698" s="129">
        <v>0</v>
      </c>
      <c r="E1698" s="130"/>
    </row>
    <row r="1699" spans="1:5" x14ac:dyDescent="0.25">
      <c r="A1699" s="1033">
        <v>702114</v>
      </c>
      <c r="B1699" s="129">
        <v>0</v>
      </c>
      <c r="E1699" s="130"/>
    </row>
    <row r="1700" spans="1:5" x14ac:dyDescent="0.25">
      <c r="A1700" s="1033">
        <v>702116</v>
      </c>
      <c r="B1700" s="129">
        <v>0</v>
      </c>
      <c r="E1700" s="130"/>
    </row>
    <row r="1701" spans="1:5" x14ac:dyDescent="0.25">
      <c r="A1701" s="1033">
        <v>702118</v>
      </c>
      <c r="B1701" s="129">
        <v>0</v>
      </c>
      <c r="E1701" s="130"/>
    </row>
    <row r="1702" spans="1:5" x14ac:dyDescent="0.25">
      <c r="A1702" s="1033">
        <v>702122</v>
      </c>
      <c r="B1702" s="129">
        <v>0</v>
      </c>
      <c r="E1702" s="130"/>
    </row>
    <row r="1703" spans="1:5" x14ac:dyDescent="0.25">
      <c r="A1703" s="1033">
        <v>702124</v>
      </c>
      <c r="B1703" s="129">
        <v>0</v>
      </c>
      <c r="E1703" s="130"/>
    </row>
    <row r="1704" spans="1:5" x14ac:dyDescent="0.25">
      <c r="A1704" s="1033">
        <v>702126</v>
      </c>
      <c r="B1704" s="129">
        <v>0</v>
      </c>
      <c r="E1704" s="130"/>
    </row>
    <row r="1705" spans="1:5" x14ac:dyDescent="0.25">
      <c r="A1705" s="1033">
        <v>702128</v>
      </c>
      <c r="B1705" s="129">
        <v>0</v>
      </c>
      <c r="E1705" s="130"/>
    </row>
    <row r="1706" spans="1:5" x14ac:dyDescent="0.25">
      <c r="A1706" s="1033">
        <v>702312</v>
      </c>
      <c r="E1706" s="130"/>
    </row>
    <row r="1707" spans="1:5" x14ac:dyDescent="0.25">
      <c r="A1707" s="1033">
        <v>702314</v>
      </c>
      <c r="E1707" s="130"/>
    </row>
    <row r="1708" spans="1:5" x14ac:dyDescent="0.25">
      <c r="A1708" s="1033">
        <v>702316</v>
      </c>
      <c r="E1708" s="130"/>
    </row>
    <row r="1709" spans="1:5" x14ac:dyDescent="0.25">
      <c r="A1709" s="1033">
        <v>702318</v>
      </c>
      <c r="E1709" s="130"/>
    </row>
    <row r="1710" spans="1:5" x14ac:dyDescent="0.25">
      <c r="A1710" s="1033">
        <v>702322</v>
      </c>
      <c r="E1710" s="130"/>
    </row>
    <row r="1711" spans="1:5" x14ac:dyDescent="0.25">
      <c r="A1711" s="1033">
        <v>702324</v>
      </c>
      <c r="E1711" s="130"/>
    </row>
    <row r="1712" spans="1:5" x14ac:dyDescent="0.25">
      <c r="A1712" s="1033">
        <v>702326</v>
      </c>
      <c r="E1712" s="130"/>
    </row>
    <row r="1713" spans="1:5" x14ac:dyDescent="0.25">
      <c r="A1713" s="1033">
        <v>702328</v>
      </c>
      <c r="E1713" s="130"/>
    </row>
    <row r="1714" spans="1:5" x14ac:dyDescent="0.25">
      <c r="A1714" s="1033">
        <v>702412</v>
      </c>
      <c r="B1714" s="129">
        <v>0</v>
      </c>
      <c r="E1714" s="130"/>
    </row>
    <row r="1715" spans="1:5" x14ac:dyDescent="0.25">
      <c r="A1715" s="1033">
        <v>702414</v>
      </c>
      <c r="B1715" s="129">
        <v>0</v>
      </c>
      <c r="E1715" s="130"/>
    </row>
    <row r="1716" spans="1:5" x14ac:dyDescent="0.25">
      <c r="A1716" s="1033">
        <v>702416</v>
      </c>
      <c r="B1716" s="129">
        <v>0</v>
      </c>
      <c r="E1716" s="130"/>
    </row>
    <row r="1717" spans="1:5" x14ac:dyDescent="0.25">
      <c r="A1717" s="1033">
        <v>702418</v>
      </c>
      <c r="B1717" s="129">
        <v>0</v>
      </c>
      <c r="E1717" s="130"/>
    </row>
    <row r="1718" spans="1:5" x14ac:dyDescent="0.25">
      <c r="A1718" s="1033">
        <v>702422</v>
      </c>
      <c r="B1718" s="129">
        <v>0</v>
      </c>
      <c r="E1718" s="130"/>
    </row>
    <row r="1719" spans="1:5" x14ac:dyDescent="0.25">
      <c r="A1719" s="1033">
        <v>702424</v>
      </c>
      <c r="B1719" s="129">
        <v>0</v>
      </c>
      <c r="E1719" s="130"/>
    </row>
    <row r="1720" spans="1:5" x14ac:dyDescent="0.25">
      <c r="A1720" s="1033">
        <v>702426</v>
      </c>
      <c r="B1720" s="129">
        <v>0</v>
      </c>
      <c r="E1720" s="130"/>
    </row>
    <row r="1721" spans="1:5" x14ac:dyDescent="0.25">
      <c r="A1721" s="1033">
        <v>702428</v>
      </c>
      <c r="B1721" s="129">
        <v>0</v>
      </c>
      <c r="E1721" s="130"/>
    </row>
    <row r="1722" spans="1:5" x14ac:dyDescent="0.25">
      <c r="A1722" s="1033">
        <v>702512</v>
      </c>
      <c r="B1722" s="129">
        <v>0</v>
      </c>
      <c r="E1722" s="130"/>
    </row>
    <row r="1723" spans="1:5" x14ac:dyDescent="0.25">
      <c r="A1723" s="1033">
        <v>702514</v>
      </c>
      <c r="B1723" s="129">
        <v>0</v>
      </c>
      <c r="E1723" s="130"/>
    </row>
    <row r="1724" spans="1:5" x14ac:dyDescent="0.25">
      <c r="A1724" s="1033">
        <v>702516</v>
      </c>
      <c r="B1724" s="129">
        <v>0</v>
      </c>
      <c r="E1724" s="130"/>
    </row>
    <row r="1725" spans="1:5" x14ac:dyDescent="0.25">
      <c r="A1725" s="1033">
        <v>702518</v>
      </c>
      <c r="B1725" s="129">
        <v>0</v>
      </c>
      <c r="E1725" s="130"/>
    </row>
    <row r="1726" spans="1:5" x14ac:dyDescent="0.25">
      <c r="A1726" s="1033">
        <v>702522</v>
      </c>
      <c r="B1726" s="129">
        <v>0</v>
      </c>
      <c r="E1726" s="130"/>
    </row>
    <row r="1727" spans="1:5" x14ac:dyDescent="0.25">
      <c r="A1727" s="1033">
        <v>702524</v>
      </c>
      <c r="B1727" s="129">
        <v>0</v>
      </c>
      <c r="E1727" s="130"/>
    </row>
    <row r="1728" spans="1:5" x14ac:dyDescent="0.25">
      <c r="A1728" s="1033">
        <v>702526</v>
      </c>
      <c r="B1728" s="129">
        <v>0</v>
      </c>
      <c r="E1728" s="130"/>
    </row>
    <row r="1729" spans="1:5" x14ac:dyDescent="0.25">
      <c r="A1729" s="1033">
        <v>702528</v>
      </c>
      <c r="B1729" s="129">
        <v>0</v>
      </c>
      <c r="E1729" s="130"/>
    </row>
    <row r="1730" spans="1:5" x14ac:dyDescent="0.25">
      <c r="A1730" s="1033">
        <v>702612</v>
      </c>
      <c r="B1730" s="129">
        <v>0</v>
      </c>
      <c r="E1730" s="130"/>
    </row>
    <row r="1731" spans="1:5" x14ac:dyDescent="0.25">
      <c r="A1731" s="1033">
        <v>702614</v>
      </c>
      <c r="B1731" s="129">
        <v>0</v>
      </c>
      <c r="E1731" s="130"/>
    </row>
    <row r="1732" spans="1:5" x14ac:dyDescent="0.25">
      <c r="A1732" s="1033">
        <v>702616</v>
      </c>
      <c r="B1732" s="129">
        <v>0</v>
      </c>
      <c r="E1732" s="130"/>
    </row>
    <row r="1733" spans="1:5" x14ac:dyDescent="0.25">
      <c r="A1733" s="1033">
        <v>702618</v>
      </c>
      <c r="B1733" s="129">
        <v>0</v>
      </c>
      <c r="E1733" s="130"/>
    </row>
    <row r="1734" spans="1:5" x14ac:dyDescent="0.25">
      <c r="A1734" s="1033">
        <v>702622</v>
      </c>
      <c r="B1734" s="129">
        <v>0</v>
      </c>
      <c r="E1734" s="130"/>
    </row>
    <row r="1735" spans="1:5" x14ac:dyDescent="0.25">
      <c r="A1735" s="1033">
        <v>702624</v>
      </c>
      <c r="B1735" s="129">
        <v>0</v>
      </c>
      <c r="E1735" s="130"/>
    </row>
    <row r="1736" spans="1:5" x14ac:dyDescent="0.25">
      <c r="A1736" s="1033">
        <v>702626</v>
      </c>
      <c r="B1736" s="129">
        <v>0</v>
      </c>
      <c r="E1736" s="130"/>
    </row>
    <row r="1737" spans="1:5" x14ac:dyDescent="0.25">
      <c r="A1737" s="1033">
        <v>702628</v>
      </c>
      <c r="B1737" s="129">
        <v>0</v>
      </c>
      <c r="E1737" s="130"/>
    </row>
    <row r="1738" spans="1:5" x14ac:dyDescent="0.25">
      <c r="A1738" s="1033">
        <v>702712</v>
      </c>
      <c r="B1738" s="129">
        <v>0</v>
      </c>
      <c r="E1738" s="130"/>
    </row>
    <row r="1739" spans="1:5" x14ac:dyDescent="0.25">
      <c r="A1739" s="1033">
        <v>702714</v>
      </c>
      <c r="B1739" s="129">
        <v>0</v>
      </c>
      <c r="E1739" s="130"/>
    </row>
    <row r="1740" spans="1:5" x14ac:dyDescent="0.25">
      <c r="A1740" s="1033">
        <v>702716</v>
      </c>
      <c r="B1740" s="129">
        <v>0</v>
      </c>
      <c r="E1740" s="130"/>
    </row>
    <row r="1741" spans="1:5" x14ac:dyDescent="0.25">
      <c r="A1741" s="1033">
        <v>702718</v>
      </c>
      <c r="B1741" s="129">
        <v>0</v>
      </c>
      <c r="E1741" s="130"/>
    </row>
    <row r="1742" spans="1:5" x14ac:dyDescent="0.25">
      <c r="A1742" s="1033">
        <v>702722</v>
      </c>
      <c r="B1742" s="129">
        <v>0</v>
      </c>
      <c r="E1742" s="130"/>
    </row>
    <row r="1743" spans="1:5" x14ac:dyDescent="0.25">
      <c r="A1743" s="1033">
        <v>702724</v>
      </c>
      <c r="B1743" s="129">
        <v>0</v>
      </c>
      <c r="E1743" s="130"/>
    </row>
    <row r="1744" spans="1:5" x14ac:dyDescent="0.25">
      <c r="A1744" s="1033">
        <v>702726</v>
      </c>
      <c r="B1744" s="129">
        <v>0</v>
      </c>
      <c r="E1744" s="130"/>
    </row>
    <row r="1745" spans="1:5" x14ac:dyDescent="0.25">
      <c r="A1745" s="1033">
        <v>702728</v>
      </c>
      <c r="B1745" s="129">
        <v>0</v>
      </c>
      <c r="E1745" s="130"/>
    </row>
    <row r="1746" spans="1:5" x14ac:dyDescent="0.25">
      <c r="A1746" s="1033">
        <v>702812</v>
      </c>
      <c r="E1746" s="130"/>
    </row>
    <row r="1747" spans="1:5" x14ac:dyDescent="0.25">
      <c r="A1747" s="1033">
        <v>702814</v>
      </c>
      <c r="E1747" s="130"/>
    </row>
    <row r="1748" spans="1:5" x14ac:dyDescent="0.25">
      <c r="A1748" s="1033">
        <v>702816</v>
      </c>
      <c r="E1748" s="130"/>
    </row>
    <row r="1749" spans="1:5" x14ac:dyDescent="0.25">
      <c r="A1749" s="1033">
        <v>702818</v>
      </c>
      <c r="E1749" s="130"/>
    </row>
    <row r="1750" spans="1:5" x14ac:dyDescent="0.25">
      <c r="A1750" s="1033">
        <v>702822</v>
      </c>
      <c r="E1750" s="130"/>
    </row>
    <row r="1751" spans="1:5" x14ac:dyDescent="0.25">
      <c r="A1751" s="1033">
        <v>702824</v>
      </c>
      <c r="E1751" s="130"/>
    </row>
    <row r="1752" spans="1:5" x14ac:dyDescent="0.25">
      <c r="A1752" s="1033">
        <v>702826</v>
      </c>
      <c r="E1752" s="130"/>
    </row>
    <row r="1753" spans="1:5" x14ac:dyDescent="0.25">
      <c r="A1753" s="1033">
        <v>702828</v>
      </c>
      <c r="E1753" s="130"/>
    </row>
    <row r="1754" spans="1:5" x14ac:dyDescent="0.25">
      <c r="A1754" s="1033">
        <v>703012</v>
      </c>
      <c r="B1754" s="129">
        <v>0</v>
      </c>
      <c r="E1754" s="130"/>
    </row>
    <row r="1755" spans="1:5" x14ac:dyDescent="0.25">
      <c r="A1755" s="1033">
        <v>703014</v>
      </c>
      <c r="B1755" s="129">
        <v>0</v>
      </c>
      <c r="E1755" s="130"/>
    </row>
    <row r="1756" spans="1:5" x14ac:dyDescent="0.25">
      <c r="A1756" s="1033">
        <v>703016</v>
      </c>
      <c r="B1756" s="129">
        <v>0</v>
      </c>
      <c r="E1756" s="130"/>
    </row>
    <row r="1757" spans="1:5" x14ac:dyDescent="0.25">
      <c r="A1757" s="1033">
        <v>703018</v>
      </c>
      <c r="B1757" s="129">
        <v>0</v>
      </c>
      <c r="E1757" s="130"/>
    </row>
    <row r="1758" spans="1:5" x14ac:dyDescent="0.25">
      <c r="A1758" s="1033">
        <v>703022</v>
      </c>
      <c r="B1758" s="129">
        <v>0</v>
      </c>
      <c r="E1758" s="130"/>
    </row>
    <row r="1759" spans="1:5" x14ac:dyDescent="0.25">
      <c r="A1759" s="1033">
        <v>703024</v>
      </c>
      <c r="B1759" s="129">
        <v>0</v>
      </c>
      <c r="E1759" s="130"/>
    </row>
    <row r="1760" spans="1:5" x14ac:dyDescent="0.25">
      <c r="A1760" s="1033">
        <v>703026</v>
      </c>
      <c r="B1760" s="129">
        <v>0</v>
      </c>
      <c r="E1760" s="130"/>
    </row>
    <row r="1761" spans="1:5" x14ac:dyDescent="0.25">
      <c r="A1761" s="1033">
        <v>703028</v>
      </c>
      <c r="B1761" s="129">
        <v>0</v>
      </c>
      <c r="E1761" s="130"/>
    </row>
    <row r="1762" spans="1:5" x14ac:dyDescent="0.25">
      <c r="A1762" s="1033">
        <v>703312</v>
      </c>
      <c r="B1762" s="129">
        <v>0</v>
      </c>
      <c r="E1762" s="130"/>
    </row>
    <row r="1763" spans="1:5" x14ac:dyDescent="0.25">
      <c r="A1763" s="1033">
        <v>703314</v>
      </c>
      <c r="B1763" s="129">
        <v>0</v>
      </c>
      <c r="E1763" s="130"/>
    </row>
    <row r="1764" spans="1:5" x14ac:dyDescent="0.25">
      <c r="A1764" s="1033">
        <v>703316</v>
      </c>
      <c r="B1764" s="129">
        <v>0</v>
      </c>
      <c r="E1764" s="130"/>
    </row>
    <row r="1765" spans="1:5" x14ac:dyDescent="0.25">
      <c r="A1765" s="1033">
        <v>703318</v>
      </c>
      <c r="B1765" s="129">
        <v>0</v>
      </c>
      <c r="E1765" s="130"/>
    </row>
    <row r="1766" spans="1:5" x14ac:dyDescent="0.25">
      <c r="A1766" s="1033">
        <v>703322</v>
      </c>
      <c r="B1766" s="129">
        <v>0</v>
      </c>
      <c r="E1766" s="130"/>
    </row>
    <row r="1767" spans="1:5" x14ac:dyDescent="0.25">
      <c r="A1767" s="1033">
        <v>703324</v>
      </c>
      <c r="B1767" s="129">
        <v>0</v>
      </c>
      <c r="E1767" s="130"/>
    </row>
    <row r="1768" spans="1:5" x14ac:dyDescent="0.25">
      <c r="A1768" s="1033">
        <v>703326</v>
      </c>
      <c r="B1768" s="129">
        <v>0</v>
      </c>
      <c r="E1768" s="130"/>
    </row>
    <row r="1769" spans="1:5" x14ac:dyDescent="0.25">
      <c r="A1769" s="1033">
        <v>703328</v>
      </c>
      <c r="B1769" s="129">
        <v>0</v>
      </c>
      <c r="E1769" s="130"/>
    </row>
    <row r="1770" spans="1:5" x14ac:dyDescent="0.25">
      <c r="A1770" s="1033">
        <v>703412</v>
      </c>
      <c r="B1770" s="129">
        <v>0</v>
      </c>
      <c r="E1770" s="130"/>
    </row>
    <row r="1771" spans="1:5" x14ac:dyDescent="0.25">
      <c r="A1771" s="1033">
        <v>703414</v>
      </c>
      <c r="B1771" s="129">
        <v>0</v>
      </c>
      <c r="E1771" s="130"/>
    </row>
    <row r="1772" spans="1:5" x14ac:dyDescent="0.25">
      <c r="A1772" s="1033">
        <v>703416</v>
      </c>
      <c r="B1772" s="129">
        <v>0</v>
      </c>
      <c r="E1772" s="130"/>
    </row>
    <row r="1773" spans="1:5" x14ac:dyDescent="0.25">
      <c r="A1773" s="1033">
        <v>703418</v>
      </c>
      <c r="B1773" s="129">
        <v>0</v>
      </c>
      <c r="E1773" s="130"/>
    </row>
    <row r="1774" spans="1:5" x14ac:dyDescent="0.25">
      <c r="A1774" s="1033">
        <v>703422</v>
      </c>
      <c r="B1774" s="129">
        <v>0</v>
      </c>
      <c r="E1774" s="130"/>
    </row>
    <row r="1775" spans="1:5" x14ac:dyDescent="0.25">
      <c r="A1775" s="1033">
        <v>703424</v>
      </c>
      <c r="B1775" s="129">
        <v>0</v>
      </c>
      <c r="E1775" s="130"/>
    </row>
    <row r="1776" spans="1:5" x14ac:dyDescent="0.25">
      <c r="A1776" s="1033">
        <v>703426</v>
      </c>
      <c r="B1776" s="129">
        <v>0</v>
      </c>
      <c r="E1776" s="130"/>
    </row>
    <row r="1777" spans="1:5" x14ac:dyDescent="0.25">
      <c r="A1777" s="1033">
        <v>703428</v>
      </c>
      <c r="B1777" s="129">
        <v>0</v>
      </c>
      <c r="E1777" s="130"/>
    </row>
    <row r="1778" spans="1:5" x14ac:dyDescent="0.25">
      <c r="A1778" s="1033">
        <v>703512</v>
      </c>
      <c r="B1778" s="129">
        <v>0</v>
      </c>
      <c r="E1778" s="130"/>
    </row>
    <row r="1779" spans="1:5" x14ac:dyDescent="0.25">
      <c r="A1779" s="1033">
        <v>703514</v>
      </c>
      <c r="B1779" s="129">
        <v>0</v>
      </c>
      <c r="E1779" s="130"/>
    </row>
    <row r="1780" spans="1:5" x14ac:dyDescent="0.25">
      <c r="A1780" s="1033">
        <v>703516</v>
      </c>
      <c r="B1780" s="129">
        <v>0</v>
      </c>
      <c r="E1780" s="130"/>
    </row>
    <row r="1781" spans="1:5" x14ac:dyDescent="0.25">
      <c r="A1781" s="1033">
        <v>703518</v>
      </c>
      <c r="B1781" s="129">
        <v>0</v>
      </c>
      <c r="E1781" s="130"/>
    </row>
    <row r="1782" spans="1:5" x14ac:dyDescent="0.25">
      <c r="A1782" s="1033">
        <v>703522</v>
      </c>
      <c r="B1782" s="129">
        <v>0</v>
      </c>
      <c r="E1782" s="130"/>
    </row>
    <row r="1783" spans="1:5" x14ac:dyDescent="0.25">
      <c r="A1783" s="1033">
        <v>703524</v>
      </c>
      <c r="B1783" s="129">
        <v>0</v>
      </c>
      <c r="E1783" s="130"/>
    </row>
    <row r="1784" spans="1:5" x14ac:dyDescent="0.25">
      <c r="A1784" s="1033">
        <v>703526</v>
      </c>
      <c r="B1784" s="129">
        <v>0</v>
      </c>
      <c r="E1784" s="130"/>
    </row>
    <row r="1785" spans="1:5" x14ac:dyDescent="0.25">
      <c r="A1785" s="1033">
        <v>703528</v>
      </c>
      <c r="B1785" s="129">
        <v>0</v>
      </c>
      <c r="E1785" s="130"/>
    </row>
    <row r="1786" spans="1:5" x14ac:dyDescent="0.25">
      <c r="A1786" s="1033">
        <v>703712</v>
      </c>
      <c r="E1786" s="130"/>
    </row>
    <row r="1787" spans="1:5" x14ac:dyDescent="0.25">
      <c r="A1787" s="1033">
        <v>703714</v>
      </c>
      <c r="E1787" s="130"/>
    </row>
    <row r="1788" spans="1:5" x14ac:dyDescent="0.25">
      <c r="A1788" s="1033">
        <v>703716</v>
      </c>
      <c r="E1788" s="130"/>
    </row>
    <row r="1789" spans="1:5" x14ac:dyDescent="0.25">
      <c r="A1789" s="1033">
        <v>703718</v>
      </c>
      <c r="E1789" s="130"/>
    </row>
    <row r="1790" spans="1:5" x14ac:dyDescent="0.25">
      <c r="A1790" s="1033">
        <v>703722</v>
      </c>
      <c r="E1790" s="130"/>
    </row>
    <row r="1791" spans="1:5" x14ac:dyDescent="0.25">
      <c r="A1791" s="1033">
        <v>703724</v>
      </c>
      <c r="E1791" s="130"/>
    </row>
    <row r="1792" spans="1:5" x14ac:dyDescent="0.25">
      <c r="A1792" s="1033">
        <v>703726</v>
      </c>
      <c r="E1792" s="130"/>
    </row>
    <row r="1793" spans="1:9" x14ac:dyDescent="0.25">
      <c r="A1793" s="1033">
        <v>703728</v>
      </c>
      <c r="E1793" s="130"/>
    </row>
    <row r="1794" spans="1:9" x14ac:dyDescent="0.25">
      <c r="A1794" s="1033">
        <v>703812</v>
      </c>
      <c r="B1794" s="129">
        <v>6</v>
      </c>
      <c r="C1794" s="130" t="s">
        <v>1248</v>
      </c>
      <c r="D1794" s="130">
        <v>16</v>
      </c>
      <c r="E1794" s="130" t="s">
        <v>1248</v>
      </c>
      <c r="F1794" s="1031">
        <v>0</v>
      </c>
      <c r="G1794" s="1031">
        <v>-0.03</v>
      </c>
      <c r="H1794" s="1031">
        <v>-0.03</v>
      </c>
      <c r="I1794" s="1032" t="s">
        <v>1249</v>
      </c>
    </row>
    <row r="1795" spans="1:9" x14ac:dyDescent="0.25">
      <c r="A1795" s="1033"/>
      <c r="C1795" s="130" t="s">
        <v>1250</v>
      </c>
      <c r="D1795" s="130">
        <v>16</v>
      </c>
      <c r="E1795" s="130" t="s">
        <v>1250</v>
      </c>
      <c r="F1795" s="1031">
        <v>0</v>
      </c>
      <c r="G1795" s="1031">
        <v>-0.03</v>
      </c>
      <c r="H1795" s="1031">
        <v>-0.03</v>
      </c>
      <c r="I1795" s="1032" t="s">
        <v>1251</v>
      </c>
    </row>
    <row r="1796" spans="1:9" x14ac:dyDescent="0.25">
      <c r="A1796" s="1033">
        <v>703814</v>
      </c>
      <c r="B1796" s="129">
        <v>281133</v>
      </c>
      <c r="C1796" s="130" t="s">
        <v>1252</v>
      </c>
      <c r="D1796" s="130">
        <v>16</v>
      </c>
      <c r="E1796" s="130" t="s">
        <v>1252</v>
      </c>
      <c r="F1796" s="1031">
        <v>0</v>
      </c>
      <c r="G1796" s="1031">
        <v>-156545.9</v>
      </c>
      <c r="H1796" s="1031">
        <v>-156545.9</v>
      </c>
      <c r="I1796" s="1032" t="s">
        <v>1253</v>
      </c>
    </row>
    <row r="1797" spans="1:9" x14ac:dyDescent="0.25">
      <c r="A1797" s="1033"/>
      <c r="C1797" s="130" t="s">
        <v>1254</v>
      </c>
      <c r="D1797" s="130">
        <v>16</v>
      </c>
      <c r="E1797" s="130" t="s">
        <v>1254</v>
      </c>
      <c r="F1797" s="1031">
        <v>0</v>
      </c>
      <c r="G1797" s="1031">
        <v>-124587.36</v>
      </c>
      <c r="H1797" s="1031">
        <v>-124587.36</v>
      </c>
      <c r="I1797" s="1032" t="s">
        <v>1255</v>
      </c>
    </row>
    <row r="1798" spans="1:9" x14ac:dyDescent="0.25">
      <c r="A1798" s="1033">
        <v>703816</v>
      </c>
      <c r="B1798" s="129">
        <v>23255</v>
      </c>
      <c r="C1798" s="130" t="s">
        <v>1252</v>
      </c>
      <c r="D1798" s="130">
        <v>16</v>
      </c>
      <c r="E1798" s="130" t="s">
        <v>1252</v>
      </c>
      <c r="F1798" s="1031">
        <v>0</v>
      </c>
      <c r="G1798" s="1031">
        <v>-156545.9</v>
      </c>
      <c r="H1798" s="1031">
        <v>-156545.9</v>
      </c>
      <c r="I1798" s="1032" t="s">
        <v>1253</v>
      </c>
    </row>
    <row r="1799" spans="1:9" x14ac:dyDescent="0.25">
      <c r="A1799" s="1033"/>
      <c r="C1799" s="130" t="s">
        <v>1254</v>
      </c>
      <c r="D1799" s="130">
        <v>16</v>
      </c>
      <c r="E1799" s="130" t="s">
        <v>1254</v>
      </c>
      <c r="F1799" s="1031">
        <v>0</v>
      </c>
      <c r="G1799" s="1031">
        <v>-124587.36</v>
      </c>
      <c r="H1799" s="1031">
        <v>-124587.36</v>
      </c>
      <c r="I1799" s="1032" t="s">
        <v>1255</v>
      </c>
    </row>
    <row r="1800" spans="1:9" x14ac:dyDescent="0.25">
      <c r="A1800" s="1033"/>
      <c r="C1800" s="130" t="s">
        <v>1256</v>
      </c>
      <c r="D1800" s="130">
        <v>16</v>
      </c>
      <c r="E1800" s="130" t="s">
        <v>1256</v>
      </c>
      <c r="F1800" s="1031">
        <v>0</v>
      </c>
      <c r="G1800" s="1031">
        <v>147238.17000000001</v>
      </c>
      <c r="H1800" s="1031">
        <v>147238.17000000001</v>
      </c>
      <c r="I1800" s="1032" t="s">
        <v>1257</v>
      </c>
    </row>
    <row r="1801" spans="1:9" x14ac:dyDescent="0.25">
      <c r="A1801" s="1033"/>
      <c r="C1801" s="130" t="s">
        <v>1258</v>
      </c>
      <c r="D1801" s="130">
        <v>16</v>
      </c>
      <c r="E1801" s="130" t="s">
        <v>1258</v>
      </c>
      <c r="F1801" s="1031">
        <v>0</v>
      </c>
      <c r="G1801" s="1031">
        <v>110639.33</v>
      </c>
      <c r="H1801" s="1031">
        <v>110639.33</v>
      </c>
      <c r="I1801" s="1032" t="s">
        <v>1259</v>
      </c>
    </row>
    <row r="1802" spans="1:9" x14ac:dyDescent="0.25">
      <c r="A1802" s="1033">
        <v>703818</v>
      </c>
      <c r="B1802" s="129">
        <v>3876</v>
      </c>
      <c r="E1802" s="130"/>
    </row>
    <row r="1803" spans="1:9" x14ac:dyDescent="0.25">
      <c r="A1803" s="1033">
        <v>703822</v>
      </c>
      <c r="B1803" s="129">
        <v>6</v>
      </c>
      <c r="C1803" s="130" t="s">
        <v>1248</v>
      </c>
      <c r="D1803" s="130">
        <v>16</v>
      </c>
      <c r="E1803" s="130" t="s">
        <v>1248</v>
      </c>
      <c r="F1803" s="1031">
        <v>0</v>
      </c>
      <c r="G1803" s="1031">
        <v>-0.03</v>
      </c>
      <c r="H1803" s="1031">
        <v>-0.03</v>
      </c>
      <c r="I1803" s="1032" t="s">
        <v>1249</v>
      </c>
    </row>
    <row r="1804" spans="1:9" x14ac:dyDescent="0.25">
      <c r="A1804" s="1033"/>
      <c r="C1804" s="130" t="s">
        <v>1250</v>
      </c>
      <c r="D1804" s="130">
        <v>16</v>
      </c>
      <c r="E1804" s="130" t="s">
        <v>1250</v>
      </c>
      <c r="F1804" s="1031">
        <v>0</v>
      </c>
      <c r="G1804" s="1031">
        <v>-0.03</v>
      </c>
      <c r="H1804" s="1031">
        <v>-0.03</v>
      </c>
      <c r="I1804" s="1032" t="s">
        <v>1251</v>
      </c>
    </row>
    <row r="1805" spans="1:9" x14ac:dyDescent="0.25">
      <c r="A1805" s="1033">
        <v>703824</v>
      </c>
      <c r="B1805" s="129">
        <v>281133</v>
      </c>
      <c r="C1805" s="130" t="s">
        <v>1252</v>
      </c>
      <c r="D1805" s="130">
        <v>16</v>
      </c>
      <c r="E1805" s="130" t="s">
        <v>1252</v>
      </c>
      <c r="F1805" s="1031">
        <v>0</v>
      </c>
      <c r="G1805" s="1031">
        <v>-156545.9</v>
      </c>
      <c r="H1805" s="1031">
        <v>-156545.9</v>
      </c>
      <c r="I1805" s="1032" t="s">
        <v>1253</v>
      </c>
    </row>
    <row r="1806" spans="1:9" x14ac:dyDescent="0.25">
      <c r="A1806" s="1033"/>
      <c r="C1806" s="130" t="s">
        <v>1254</v>
      </c>
      <c r="D1806" s="130">
        <v>16</v>
      </c>
      <c r="E1806" s="130" t="s">
        <v>1254</v>
      </c>
      <c r="F1806" s="1031">
        <v>0</v>
      </c>
      <c r="G1806" s="1031">
        <v>-124587.36</v>
      </c>
      <c r="H1806" s="1031">
        <v>-124587.36</v>
      </c>
      <c r="I1806" s="1032" t="s">
        <v>1255</v>
      </c>
    </row>
    <row r="1807" spans="1:9" x14ac:dyDescent="0.25">
      <c r="A1807" s="1033">
        <v>703826</v>
      </c>
      <c r="B1807" s="129">
        <v>23255</v>
      </c>
      <c r="C1807" s="130" t="s">
        <v>1252</v>
      </c>
      <c r="D1807" s="130">
        <v>16</v>
      </c>
      <c r="E1807" s="130" t="s">
        <v>1252</v>
      </c>
      <c r="F1807" s="1031">
        <v>0</v>
      </c>
      <c r="G1807" s="1031">
        <v>-156545.9</v>
      </c>
      <c r="H1807" s="1031">
        <v>-156545.9</v>
      </c>
      <c r="I1807" s="1032" t="s">
        <v>1253</v>
      </c>
    </row>
    <row r="1808" spans="1:9" x14ac:dyDescent="0.25">
      <c r="A1808" s="1033"/>
      <c r="C1808" s="130" t="s">
        <v>1254</v>
      </c>
      <c r="D1808" s="130">
        <v>16</v>
      </c>
      <c r="E1808" s="130" t="s">
        <v>1254</v>
      </c>
      <c r="F1808" s="1031">
        <v>0</v>
      </c>
      <c r="G1808" s="1031">
        <v>-124587.36</v>
      </c>
      <c r="H1808" s="1031">
        <v>-124587.36</v>
      </c>
      <c r="I1808" s="1032" t="s">
        <v>1255</v>
      </c>
    </row>
    <row r="1809" spans="1:9" x14ac:dyDescent="0.25">
      <c r="A1809" s="1033"/>
      <c r="C1809" s="130" t="s">
        <v>1256</v>
      </c>
      <c r="D1809" s="130">
        <v>16</v>
      </c>
      <c r="E1809" s="130" t="s">
        <v>1256</v>
      </c>
      <c r="F1809" s="1031">
        <v>0</v>
      </c>
      <c r="G1809" s="1031">
        <v>147238.17000000001</v>
      </c>
      <c r="H1809" s="1031">
        <v>147238.17000000001</v>
      </c>
      <c r="I1809" s="1032" t="s">
        <v>1257</v>
      </c>
    </row>
    <row r="1810" spans="1:9" x14ac:dyDescent="0.25">
      <c r="A1810" s="1033"/>
      <c r="C1810" s="130" t="s">
        <v>1258</v>
      </c>
      <c r="D1810" s="130">
        <v>16</v>
      </c>
      <c r="E1810" s="130" t="s">
        <v>1258</v>
      </c>
      <c r="F1810" s="1031">
        <v>0</v>
      </c>
      <c r="G1810" s="1031">
        <v>110639.33</v>
      </c>
      <c r="H1810" s="1031">
        <v>110639.33</v>
      </c>
      <c r="I1810" s="1032" t="s">
        <v>1259</v>
      </c>
    </row>
    <row r="1811" spans="1:9" x14ac:dyDescent="0.25">
      <c r="A1811" s="1033">
        <v>703828</v>
      </c>
      <c r="B1811" s="129">
        <v>3876</v>
      </c>
      <c r="E1811" s="130"/>
    </row>
    <row r="1812" spans="1:9" x14ac:dyDescent="0.25">
      <c r="A1812" s="1033">
        <v>703912</v>
      </c>
      <c r="E1812" s="130"/>
    </row>
    <row r="1813" spans="1:9" x14ac:dyDescent="0.25">
      <c r="A1813" s="1033">
        <v>703914</v>
      </c>
      <c r="E1813" s="130"/>
    </row>
    <row r="1814" spans="1:9" x14ac:dyDescent="0.25">
      <c r="A1814" s="1033">
        <v>703916</v>
      </c>
      <c r="B1814" s="129">
        <v>8156</v>
      </c>
      <c r="C1814" s="130" t="s">
        <v>1260</v>
      </c>
      <c r="D1814" s="130">
        <v>16</v>
      </c>
      <c r="E1814" s="130" t="s">
        <v>1260</v>
      </c>
      <c r="F1814" s="1031">
        <v>0</v>
      </c>
      <c r="G1814" s="1031">
        <v>2432.12</v>
      </c>
      <c r="H1814" s="1031">
        <v>2432.12</v>
      </c>
      <c r="I1814" s="1032" t="s">
        <v>1261</v>
      </c>
    </row>
    <row r="1815" spans="1:9" x14ac:dyDescent="0.25">
      <c r="A1815" s="1033"/>
      <c r="C1815" s="130" t="s">
        <v>1262</v>
      </c>
      <c r="D1815" s="130">
        <v>16</v>
      </c>
      <c r="E1815" s="130" t="s">
        <v>1262</v>
      </c>
      <c r="F1815" s="1031">
        <v>0</v>
      </c>
      <c r="G1815" s="1031">
        <v>5723.83</v>
      </c>
      <c r="H1815" s="1031">
        <v>5723.83</v>
      </c>
      <c r="I1815" s="1032" t="s">
        <v>1263</v>
      </c>
    </row>
    <row r="1816" spans="1:9" x14ac:dyDescent="0.25">
      <c r="A1816" s="1033">
        <v>703918</v>
      </c>
      <c r="B1816" s="129">
        <v>1359</v>
      </c>
      <c r="E1816" s="130"/>
    </row>
    <row r="1817" spans="1:9" x14ac:dyDescent="0.25">
      <c r="A1817" s="1033">
        <v>703922</v>
      </c>
      <c r="E1817" s="130"/>
    </row>
    <row r="1818" spans="1:9" x14ac:dyDescent="0.25">
      <c r="A1818" s="1033">
        <v>703924</v>
      </c>
      <c r="E1818" s="130"/>
    </row>
    <row r="1819" spans="1:9" x14ac:dyDescent="0.25">
      <c r="A1819" s="1033">
        <v>703926</v>
      </c>
      <c r="B1819" s="129">
        <v>8156</v>
      </c>
      <c r="C1819" s="130" t="s">
        <v>1260</v>
      </c>
      <c r="D1819" s="130">
        <v>16</v>
      </c>
      <c r="E1819" s="130" t="s">
        <v>1260</v>
      </c>
      <c r="F1819" s="1031">
        <v>0</v>
      </c>
      <c r="G1819" s="1031">
        <v>2432.12</v>
      </c>
      <c r="H1819" s="1031">
        <v>2432.12</v>
      </c>
      <c r="I1819" s="1032" t="s">
        <v>1261</v>
      </c>
    </row>
    <row r="1820" spans="1:9" x14ac:dyDescent="0.25">
      <c r="A1820" s="1033"/>
      <c r="C1820" s="130" t="s">
        <v>1262</v>
      </c>
      <c r="D1820" s="130">
        <v>16</v>
      </c>
      <c r="E1820" s="130" t="s">
        <v>1262</v>
      </c>
      <c r="F1820" s="1031">
        <v>0</v>
      </c>
      <c r="G1820" s="1031">
        <v>5723.83</v>
      </c>
      <c r="H1820" s="1031">
        <v>5723.83</v>
      </c>
      <c r="I1820" s="1032" t="s">
        <v>1263</v>
      </c>
    </row>
    <row r="1821" spans="1:9" x14ac:dyDescent="0.25">
      <c r="A1821" s="1033">
        <v>703928</v>
      </c>
      <c r="B1821" s="129">
        <v>1359</v>
      </c>
      <c r="E1821" s="130"/>
    </row>
    <row r="1822" spans="1:9" x14ac:dyDescent="0.25">
      <c r="A1822" s="1033">
        <v>704012</v>
      </c>
      <c r="B1822" s="129">
        <v>3</v>
      </c>
      <c r="C1822" s="130" t="s">
        <v>1264</v>
      </c>
      <c r="D1822" s="130">
        <v>16</v>
      </c>
      <c r="E1822" s="130" t="s">
        <v>1264</v>
      </c>
      <c r="F1822" s="1031">
        <v>0</v>
      </c>
      <c r="G1822" s="1031">
        <v>-0.01</v>
      </c>
      <c r="H1822" s="1031">
        <v>-0.01</v>
      </c>
      <c r="I1822" s="1032" t="s">
        <v>1265</v>
      </c>
    </row>
    <row r="1823" spans="1:9" x14ac:dyDescent="0.25">
      <c r="A1823" s="1033"/>
      <c r="C1823" s="130" t="s">
        <v>1266</v>
      </c>
      <c r="D1823" s="130">
        <v>16</v>
      </c>
      <c r="E1823" s="130" t="s">
        <v>1266</v>
      </c>
      <c r="F1823" s="1031">
        <v>0</v>
      </c>
      <c r="G1823" s="1031">
        <v>-0.02</v>
      </c>
      <c r="H1823" s="1031">
        <v>-0.02</v>
      </c>
      <c r="I1823" s="1032" t="s">
        <v>1267</v>
      </c>
    </row>
    <row r="1824" spans="1:9" x14ac:dyDescent="0.25">
      <c r="A1824" s="1033">
        <v>704014</v>
      </c>
      <c r="B1824" s="129">
        <v>66184</v>
      </c>
      <c r="C1824" s="130" t="s">
        <v>1268</v>
      </c>
      <c r="D1824" s="130">
        <v>16</v>
      </c>
      <c r="E1824" s="130" t="s">
        <v>1268</v>
      </c>
      <c r="F1824" s="1031">
        <v>0</v>
      </c>
      <c r="G1824" s="1031">
        <v>-23684</v>
      </c>
      <c r="H1824" s="1031">
        <v>-23684</v>
      </c>
      <c r="I1824" s="1032" t="s">
        <v>1269</v>
      </c>
    </row>
    <row r="1825" spans="1:9" x14ac:dyDescent="0.25">
      <c r="A1825" s="1033"/>
      <c r="C1825" s="130" t="s">
        <v>1270</v>
      </c>
      <c r="D1825" s="130">
        <v>16</v>
      </c>
      <c r="E1825" s="130" t="s">
        <v>1270</v>
      </c>
      <c r="F1825" s="1031">
        <v>0</v>
      </c>
      <c r="G1825" s="1031">
        <v>-42500</v>
      </c>
      <c r="H1825" s="1031">
        <v>-42500</v>
      </c>
      <c r="I1825" s="1032" t="s">
        <v>1271</v>
      </c>
    </row>
    <row r="1826" spans="1:9" x14ac:dyDescent="0.25">
      <c r="A1826" s="1033">
        <v>704016</v>
      </c>
      <c r="B1826" s="129">
        <v>7901</v>
      </c>
      <c r="C1826" s="130" t="s">
        <v>1268</v>
      </c>
      <c r="D1826" s="130">
        <v>16</v>
      </c>
      <c r="E1826" s="130" t="s">
        <v>1268</v>
      </c>
      <c r="F1826" s="1031">
        <v>0</v>
      </c>
      <c r="G1826" s="1031">
        <v>-23684</v>
      </c>
      <c r="H1826" s="1031">
        <v>-23684</v>
      </c>
      <c r="I1826" s="1032" t="s">
        <v>1269</v>
      </c>
    </row>
    <row r="1827" spans="1:9" x14ac:dyDescent="0.25">
      <c r="A1827" s="1033"/>
      <c r="C1827" s="130" t="s">
        <v>1270</v>
      </c>
      <c r="D1827" s="130">
        <v>16</v>
      </c>
      <c r="E1827" s="130" t="s">
        <v>1270</v>
      </c>
      <c r="F1827" s="1031">
        <v>0</v>
      </c>
      <c r="G1827" s="1031">
        <v>-42500</v>
      </c>
      <c r="H1827" s="1031">
        <v>-42500</v>
      </c>
      <c r="I1827" s="1032" t="s">
        <v>1271</v>
      </c>
    </row>
    <row r="1828" spans="1:9" x14ac:dyDescent="0.25">
      <c r="A1828" s="1033"/>
      <c r="C1828" s="130" t="s">
        <v>1272</v>
      </c>
      <c r="D1828" s="130">
        <v>16</v>
      </c>
      <c r="E1828" s="130" t="s">
        <v>1272</v>
      </c>
      <c r="F1828" s="1031">
        <v>0</v>
      </c>
      <c r="G1828" s="1031">
        <v>22351.67</v>
      </c>
      <c r="H1828" s="1031">
        <v>22351.67</v>
      </c>
      <c r="I1828" s="1032" t="s">
        <v>1273</v>
      </c>
    </row>
    <row r="1829" spans="1:9" x14ac:dyDescent="0.25">
      <c r="A1829" s="1033"/>
      <c r="C1829" s="130" t="s">
        <v>1274</v>
      </c>
      <c r="D1829" s="130">
        <v>16</v>
      </c>
      <c r="E1829" s="130" t="s">
        <v>1274</v>
      </c>
      <c r="F1829" s="1031">
        <v>0</v>
      </c>
      <c r="G1829" s="1031">
        <v>35931.440000000002</v>
      </c>
      <c r="H1829" s="1031">
        <v>35931.440000000002</v>
      </c>
      <c r="I1829" s="1032" t="s">
        <v>1275</v>
      </c>
    </row>
    <row r="1830" spans="1:9" x14ac:dyDescent="0.25">
      <c r="A1830" s="1033">
        <v>704018</v>
      </c>
      <c r="B1830" s="129">
        <v>2634</v>
      </c>
      <c r="E1830" s="130"/>
    </row>
    <row r="1831" spans="1:9" x14ac:dyDescent="0.25">
      <c r="A1831" s="1033">
        <v>704022</v>
      </c>
      <c r="B1831" s="129">
        <v>3</v>
      </c>
      <c r="C1831" s="130" t="s">
        <v>1264</v>
      </c>
      <c r="D1831" s="130">
        <v>16</v>
      </c>
      <c r="E1831" s="130" t="s">
        <v>1264</v>
      </c>
      <c r="F1831" s="1031">
        <v>0</v>
      </c>
      <c r="G1831" s="1031">
        <v>-0.01</v>
      </c>
      <c r="H1831" s="1031">
        <v>-0.01</v>
      </c>
      <c r="I1831" s="1032" t="s">
        <v>1265</v>
      </c>
    </row>
    <row r="1832" spans="1:9" x14ac:dyDescent="0.25">
      <c r="A1832" s="1033"/>
      <c r="C1832" s="130" t="s">
        <v>1266</v>
      </c>
      <c r="D1832" s="130">
        <v>16</v>
      </c>
      <c r="E1832" s="130" t="s">
        <v>1266</v>
      </c>
      <c r="F1832" s="1031">
        <v>0</v>
      </c>
      <c r="G1832" s="1031">
        <v>-0.02</v>
      </c>
      <c r="H1832" s="1031">
        <v>-0.02</v>
      </c>
      <c r="I1832" s="1032" t="s">
        <v>1267</v>
      </c>
    </row>
    <row r="1833" spans="1:9" x14ac:dyDescent="0.25">
      <c r="A1833" s="1033">
        <v>704024</v>
      </c>
      <c r="B1833" s="129">
        <v>66184</v>
      </c>
      <c r="C1833" s="130" t="s">
        <v>1268</v>
      </c>
      <c r="D1833" s="130">
        <v>16</v>
      </c>
      <c r="E1833" s="130" t="s">
        <v>1268</v>
      </c>
      <c r="F1833" s="1031">
        <v>0</v>
      </c>
      <c r="G1833" s="1031">
        <v>-23684</v>
      </c>
      <c r="H1833" s="1031">
        <v>-23684</v>
      </c>
      <c r="I1833" s="1032" t="s">
        <v>1269</v>
      </c>
    </row>
    <row r="1834" spans="1:9" x14ac:dyDescent="0.25">
      <c r="A1834" s="1033"/>
      <c r="C1834" s="130" t="s">
        <v>1270</v>
      </c>
      <c r="D1834" s="130">
        <v>16</v>
      </c>
      <c r="E1834" s="130" t="s">
        <v>1270</v>
      </c>
      <c r="F1834" s="1031">
        <v>0</v>
      </c>
      <c r="G1834" s="1031">
        <v>-42500</v>
      </c>
      <c r="H1834" s="1031">
        <v>-42500</v>
      </c>
      <c r="I1834" s="1032" t="s">
        <v>1271</v>
      </c>
    </row>
    <row r="1835" spans="1:9" x14ac:dyDescent="0.25">
      <c r="A1835" s="1033">
        <v>704026</v>
      </c>
      <c r="B1835" s="129">
        <v>7901</v>
      </c>
      <c r="C1835" s="130" t="s">
        <v>1268</v>
      </c>
      <c r="D1835" s="130">
        <v>16</v>
      </c>
      <c r="E1835" s="130" t="s">
        <v>1268</v>
      </c>
      <c r="F1835" s="1031">
        <v>0</v>
      </c>
      <c r="G1835" s="1031">
        <v>-23684</v>
      </c>
      <c r="H1835" s="1031">
        <v>-23684</v>
      </c>
      <c r="I1835" s="1032" t="s">
        <v>1269</v>
      </c>
    </row>
    <row r="1836" spans="1:9" x14ac:dyDescent="0.25">
      <c r="A1836" s="1033"/>
      <c r="C1836" s="130" t="s">
        <v>1270</v>
      </c>
      <c r="D1836" s="130">
        <v>16</v>
      </c>
      <c r="E1836" s="130" t="s">
        <v>1270</v>
      </c>
      <c r="F1836" s="1031">
        <v>0</v>
      </c>
      <c r="G1836" s="1031">
        <v>-42500</v>
      </c>
      <c r="H1836" s="1031">
        <v>-42500</v>
      </c>
      <c r="I1836" s="1032" t="s">
        <v>1271</v>
      </c>
    </row>
    <row r="1837" spans="1:9" x14ac:dyDescent="0.25">
      <c r="A1837" s="1033"/>
      <c r="C1837" s="130" t="s">
        <v>1272</v>
      </c>
      <c r="D1837" s="130">
        <v>16</v>
      </c>
      <c r="E1837" s="130" t="s">
        <v>1272</v>
      </c>
      <c r="F1837" s="1031">
        <v>0</v>
      </c>
      <c r="G1837" s="1031">
        <v>22351.67</v>
      </c>
      <c r="H1837" s="1031">
        <v>22351.67</v>
      </c>
      <c r="I1837" s="1032" t="s">
        <v>1273</v>
      </c>
    </row>
    <row r="1838" spans="1:9" x14ac:dyDescent="0.25">
      <c r="A1838" s="1033"/>
      <c r="C1838" s="130" t="s">
        <v>1274</v>
      </c>
      <c r="D1838" s="130">
        <v>16</v>
      </c>
      <c r="E1838" s="130" t="s">
        <v>1274</v>
      </c>
      <c r="F1838" s="1031">
        <v>0</v>
      </c>
      <c r="G1838" s="1031">
        <v>35931.440000000002</v>
      </c>
      <c r="H1838" s="1031">
        <v>35931.440000000002</v>
      </c>
      <c r="I1838" s="1032" t="s">
        <v>1275</v>
      </c>
    </row>
    <row r="1839" spans="1:9" x14ac:dyDescent="0.25">
      <c r="A1839" s="1033">
        <v>704028</v>
      </c>
      <c r="B1839" s="129">
        <v>2634</v>
      </c>
      <c r="E1839" s="130"/>
    </row>
    <row r="1840" spans="1:9" x14ac:dyDescent="0.25">
      <c r="A1840" s="1033">
        <v>704112</v>
      </c>
      <c r="E1840" s="130"/>
    </row>
    <row r="1841" spans="1:9" x14ac:dyDescent="0.25">
      <c r="A1841" s="1033">
        <v>704114</v>
      </c>
      <c r="E1841" s="130"/>
    </row>
    <row r="1842" spans="1:9" x14ac:dyDescent="0.25">
      <c r="A1842" s="1033">
        <v>704116</v>
      </c>
      <c r="B1842" s="129">
        <v>6506</v>
      </c>
      <c r="C1842" s="130" t="s">
        <v>1276</v>
      </c>
      <c r="D1842" s="130">
        <v>16</v>
      </c>
      <c r="E1842" s="130" t="s">
        <v>1276</v>
      </c>
      <c r="F1842" s="1031">
        <v>0</v>
      </c>
      <c r="G1842" s="1031">
        <v>1332.33</v>
      </c>
      <c r="H1842" s="1031">
        <v>1332.33</v>
      </c>
      <c r="I1842" s="1032" t="s">
        <v>1277</v>
      </c>
    </row>
    <row r="1843" spans="1:9" x14ac:dyDescent="0.25">
      <c r="A1843" s="1033"/>
      <c r="C1843" s="130" t="s">
        <v>1278</v>
      </c>
      <c r="D1843" s="130">
        <v>16</v>
      </c>
      <c r="E1843" s="130" t="s">
        <v>1278</v>
      </c>
      <c r="F1843" s="1031">
        <v>0</v>
      </c>
      <c r="G1843" s="1031">
        <v>5173.7700000000004</v>
      </c>
      <c r="H1843" s="1031">
        <v>5173.7700000000004</v>
      </c>
      <c r="I1843" s="1032" t="s">
        <v>1279</v>
      </c>
    </row>
    <row r="1844" spans="1:9" x14ac:dyDescent="0.25">
      <c r="A1844" s="1033">
        <v>704118</v>
      </c>
      <c r="B1844" s="129">
        <v>2169</v>
      </c>
      <c r="E1844" s="130"/>
    </row>
    <row r="1845" spans="1:9" x14ac:dyDescent="0.25">
      <c r="A1845" s="1033">
        <v>704122</v>
      </c>
      <c r="E1845" s="130"/>
    </row>
    <row r="1846" spans="1:9" x14ac:dyDescent="0.25">
      <c r="A1846" s="1033">
        <v>704124</v>
      </c>
      <c r="E1846" s="130"/>
    </row>
    <row r="1847" spans="1:9" x14ac:dyDescent="0.25">
      <c r="A1847" s="1033">
        <v>704126</v>
      </c>
      <c r="B1847" s="129">
        <v>6506</v>
      </c>
      <c r="C1847" s="130" t="s">
        <v>1276</v>
      </c>
      <c r="D1847" s="130">
        <v>16</v>
      </c>
      <c r="E1847" s="130" t="s">
        <v>1276</v>
      </c>
      <c r="F1847" s="1031">
        <v>0</v>
      </c>
      <c r="G1847" s="1031">
        <v>1332.33</v>
      </c>
      <c r="H1847" s="1031">
        <v>1332.33</v>
      </c>
      <c r="I1847" s="1032" t="s">
        <v>1277</v>
      </c>
    </row>
    <row r="1848" spans="1:9" x14ac:dyDescent="0.25">
      <c r="A1848" s="1033"/>
      <c r="C1848" s="130" t="s">
        <v>1278</v>
      </c>
      <c r="D1848" s="130">
        <v>16</v>
      </c>
      <c r="E1848" s="130" t="s">
        <v>1278</v>
      </c>
      <c r="F1848" s="1031">
        <v>0</v>
      </c>
      <c r="G1848" s="1031">
        <v>5173.7700000000004</v>
      </c>
      <c r="H1848" s="1031">
        <v>5173.7700000000004</v>
      </c>
      <c r="I1848" s="1032" t="s">
        <v>1279</v>
      </c>
    </row>
    <row r="1849" spans="1:9" x14ac:dyDescent="0.25">
      <c r="A1849" s="1033">
        <v>704128</v>
      </c>
      <c r="B1849" s="129">
        <v>2169</v>
      </c>
      <c r="E1849" s="130"/>
    </row>
    <row r="1850" spans="1:9" x14ac:dyDescent="0.25">
      <c r="A1850" s="1033">
        <v>704212</v>
      </c>
      <c r="B1850" s="129">
        <v>3</v>
      </c>
      <c r="C1850" s="130" t="s">
        <v>1280</v>
      </c>
      <c r="D1850" s="130">
        <v>16</v>
      </c>
      <c r="E1850" s="130" t="s">
        <v>1280</v>
      </c>
      <c r="F1850" s="1031">
        <v>0</v>
      </c>
      <c r="G1850" s="1031">
        <v>-0.03</v>
      </c>
      <c r="H1850" s="1031">
        <v>-0.03</v>
      </c>
      <c r="I1850" s="1032" t="s">
        <v>1281</v>
      </c>
    </row>
    <row r="1851" spans="1:9" x14ac:dyDescent="0.25">
      <c r="A1851" s="1033">
        <v>704214</v>
      </c>
      <c r="B1851" s="129">
        <v>123000</v>
      </c>
      <c r="C1851" s="130" t="s">
        <v>1282</v>
      </c>
      <c r="D1851" s="130">
        <v>16</v>
      </c>
      <c r="E1851" s="130" t="s">
        <v>1282</v>
      </c>
      <c r="F1851" s="1031">
        <v>0</v>
      </c>
      <c r="G1851" s="1031">
        <v>-123000</v>
      </c>
      <c r="H1851" s="1031">
        <v>-123000</v>
      </c>
      <c r="I1851" s="1032" t="s">
        <v>1283</v>
      </c>
    </row>
    <row r="1852" spans="1:9" x14ac:dyDescent="0.25">
      <c r="A1852" s="1033">
        <v>704216</v>
      </c>
      <c r="B1852" s="129">
        <v>947</v>
      </c>
      <c r="C1852" s="130" t="s">
        <v>1282</v>
      </c>
      <c r="D1852" s="130">
        <v>16</v>
      </c>
      <c r="E1852" s="130" t="s">
        <v>1282</v>
      </c>
      <c r="F1852" s="1031">
        <v>0</v>
      </c>
      <c r="G1852" s="1031">
        <v>-123000</v>
      </c>
      <c r="H1852" s="1031">
        <v>-123000</v>
      </c>
      <c r="I1852" s="1032" t="s">
        <v>1283</v>
      </c>
    </row>
    <row r="1853" spans="1:9" x14ac:dyDescent="0.25">
      <c r="A1853" s="1033"/>
      <c r="C1853" s="130" t="s">
        <v>1284</v>
      </c>
      <c r="D1853" s="130">
        <v>16</v>
      </c>
      <c r="E1853" s="130" t="s">
        <v>1284</v>
      </c>
      <c r="F1853" s="1031">
        <v>0</v>
      </c>
      <c r="G1853" s="1031">
        <v>90.83</v>
      </c>
      <c r="H1853" s="1031">
        <v>90.83</v>
      </c>
      <c r="I1853" s="1032" t="s">
        <v>1285</v>
      </c>
    </row>
    <row r="1854" spans="1:9" x14ac:dyDescent="0.25">
      <c r="A1854" s="1033"/>
      <c r="C1854" s="130" t="s">
        <v>1286</v>
      </c>
      <c r="D1854" s="130">
        <v>16</v>
      </c>
      <c r="E1854" s="130" t="s">
        <v>1286</v>
      </c>
      <c r="F1854" s="1031">
        <v>0</v>
      </c>
      <c r="G1854" s="1031">
        <v>121962.32</v>
      </c>
      <c r="H1854" s="1031">
        <v>121962.32</v>
      </c>
      <c r="I1854" s="1032" t="s">
        <v>1287</v>
      </c>
    </row>
    <row r="1855" spans="1:9" x14ac:dyDescent="0.25">
      <c r="A1855" s="1033">
        <v>704218</v>
      </c>
      <c r="B1855" s="129">
        <v>316</v>
      </c>
      <c r="E1855" s="130"/>
    </row>
    <row r="1856" spans="1:9" x14ac:dyDescent="0.25">
      <c r="A1856" s="1033">
        <v>704222</v>
      </c>
      <c r="B1856" s="129">
        <v>3</v>
      </c>
      <c r="C1856" s="130" t="s">
        <v>1280</v>
      </c>
      <c r="D1856" s="130">
        <v>16</v>
      </c>
      <c r="E1856" s="130" t="s">
        <v>1280</v>
      </c>
      <c r="F1856" s="1031">
        <v>0</v>
      </c>
      <c r="G1856" s="1031">
        <v>-0.03</v>
      </c>
      <c r="H1856" s="1031">
        <v>-0.03</v>
      </c>
      <c r="I1856" s="1032" t="s">
        <v>1281</v>
      </c>
    </row>
    <row r="1857" spans="1:9" x14ac:dyDescent="0.25">
      <c r="A1857" s="1033">
        <v>704224</v>
      </c>
      <c r="B1857" s="129">
        <v>123000</v>
      </c>
      <c r="C1857" s="130" t="s">
        <v>1282</v>
      </c>
      <c r="D1857" s="130">
        <v>16</v>
      </c>
      <c r="E1857" s="130" t="s">
        <v>1282</v>
      </c>
      <c r="F1857" s="1031">
        <v>0</v>
      </c>
      <c r="G1857" s="1031">
        <v>-123000</v>
      </c>
      <c r="H1857" s="1031">
        <v>-123000</v>
      </c>
      <c r="I1857" s="1032" t="s">
        <v>1283</v>
      </c>
    </row>
    <row r="1858" spans="1:9" x14ac:dyDescent="0.25">
      <c r="A1858" s="1033">
        <v>704226</v>
      </c>
      <c r="B1858" s="129">
        <v>947</v>
      </c>
      <c r="C1858" s="130" t="s">
        <v>1282</v>
      </c>
      <c r="D1858" s="130">
        <v>16</v>
      </c>
      <c r="E1858" s="130" t="s">
        <v>1282</v>
      </c>
      <c r="F1858" s="1031">
        <v>0</v>
      </c>
      <c r="G1858" s="1031">
        <v>-123000</v>
      </c>
      <c r="H1858" s="1031">
        <v>-123000</v>
      </c>
      <c r="I1858" s="1032" t="s">
        <v>1283</v>
      </c>
    </row>
    <row r="1859" spans="1:9" x14ac:dyDescent="0.25">
      <c r="A1859" s="1033"/>
      <c r="C1859" s="130" t="s">
        <v>1284</v>
      </c>
      <c r="D1859" s="130">
        <v>16</v>
      </c>
      <c r="E1859" s="130" t="s">
        <v>1284</v>
      </c>
      <c r="F1859" s="1031">
        <v>0</v>
      </c>
      <c r="G1859" s="1031">
        <v>90.83</v>
      </c>
      <c r="H1859" s="1031">
        <v>90.83</v>
      </c>
      <c r="I1859" s="1032" t="s">
        <v>1285</v>
      </c>
    </row>
    <row r="1860" spans="1:9" x14ac:dyDescent="0.25">
      <c r="A1860" s="1033"/>
      <c r="C1860" s="130" t="s">
        <v>1286</v>
      </c>
      <c r="D1860" s="130">
        <v>16</v>
      </c>
      <c r="E1860" s="130" t="s">
        <v>1286</v>
      </c>
      <c r="F1860" s="1031">
        <v>0</v>
      </c>
      <c r="G1860" s="1031">
        <v>121962.32</v>
      </c>
      <c r="H1860" s="1031">
        <v>121962.32</v>
      </c>
      <c r="I1860" s="1032" t="s">
        <v>1287</v>
      </c>
    </row>
    <row r="1861" spans="1:9" x14ac:dyDescent="0.25">
      <c r="A1861" s="1033">
        <v>704228</v>
      </c>
      <c r="B1861" s="129">
        <v>316</v>
      </c>
      <c r="E1861" s="130"/>
    </row>
    <row r="1862" spans="1:9" x14ac:dyDescent="0.25">
      <c r="A1862" s="1033">
        <v>704312</v>
      </c>
      <c r="B1862" s="129">
        <v>0</v>
      </c>
      <c r="E1862" s="130"/>
    </row>
    <row r="1863" spans="1:9" x14ac:dyDescent="0.25">
      <c r="A1863" s="1033">
        <v>704314</v>
      </c>
      <c r="B1863" s="129">
        <v>0</v>
      </c>
      <c r="E1863" s="130"/>
    </row>
    <row r="1864" spans="1:9" x14ac:dyDescent="0.25">
      <c r="A1864" s="1033">
        <v>704316</v>
      </c>
      <c r="B1864" s="129">
        <v>0</v>
      </c>
      <c r="E1864" s="130"/>
    </row>
    <row r="1865" spans="1:9" x14ac:dyDescent="0.25">
      <c r="A1865" s="1033">
        <v>704318</v>
      </c>
      <c r="B1865" s="129">
        <v>0</v>
      </c>
      <c r="E1865" s="130"/>
    </row>
    <row r="1866" spans="1:9" x14ac:dyDescent="0.25">
      <c r="A1866" s="1033">
        <v>704322</v>
      </c>
      <c r="B1866" s="129">
        <v>0</v>
      </c>
      <c r="E1866" s="130"/>
    </row>
    <row r="1867" spans="1:9" x14ac:dyDescent="0.25">
      <c r="A1867" s="1033">
        <v>704324</v>
      </c>
      <c r="B1867" s="129">
        <v>0</v>
      </c>
      <c r="E1867" s="130"/>
    </row>
    <row r="1868" spans="1:9" x14ac:dyDescent="0.25">
      <c r="A1868" s="1033">
        <v>704326</v>
      </c>
      <c r="B1868" s="129">
        <v>0</v>
      </c>
      <c r="E1868" s="130"/>
    </row>
    <row r="1869" spans="1:9" x14ac:dyDescent="0.25">
      <c r="A1869" s="1033">
        <v>704328</v>
      </c>
      <c r="B1869" s="129">
        <v>0</v>
      </c>
      <c r="E1869" s="130"/>
    </row>
    <row r="1870" spans="1:9" x14ac:dyDescent="0.25">
      <c r="A1870" s="1033">
        <v>704412</v>
      </c>
      <c r="E1870" s="130"/>
    </row>
    <row r="1871" spans="1:9" x14ac:dyDescent="0.25">
      <c r="A1871" s="1033">
        <v>704414</v>
      </c>
      <c r="E1871" s="130"/>
    </row>
    <row r="1872" spans="1:9" x14ac:dyDescent="0.25">
      <c r="A1872" s="1033">
        <v>704416</v>
      </c>
      <c r="B1872" s="129">
        <v>0</v>
      </c>
      <c r="E1872" s="130"/>
    </row>
    <row r="1873" spans="1:9" x14ac:dyDescent="0.25">
      <c r="A1873" s="1033">
        <v>704418</v>
      </c>
      <c r="E1873" s="130"/>
    </row>
    <row r="1874" spans="1:9" x14ac:dyDescent="0.25">
      <c r="A1874" s="1033">
        <v>704422</v>
      </c>
      <c r="E1874" s="130"/>
    </row>
    <row r="1875" spans="1:9" x14ac:dyDescent="0.25">
      <c r="A1875" s="1033">
        <v>704424</v>
      </c>
      <c r="E1875" s="130"/>
    </row>
    <row r="1876" spans="1:9" x14ac:dyDescent="0.25">
      <c r="A1876" s="1033">
        <v>704426</v>
      </c>
      <c r="B1876" s="129">
        <v>0</v>
      </c>
      <c r="E1876" s="130"/>
    </row>
    <row r="1877" spans="1:9" x14ac:dyDescent="0.25">
      <c r="A1877" s="1033">
        <v>704428</v>
      </c>
      <c r="E1877" s="130"/>
    </row>
    <row r="1878" spans="1:9" x14ac:dyDescent="0.25">
      <c r="A1878" s="1033">
        <v>704512</v>
      </c>
      <c r="E1878" s="130"/>
    </row>
    <row r="1879" spans="1:9" x14ac:dyDescent="0.25">
      <c r="A1879" s="1033">
        <v>704514</v>
      </c>
      <c r="E1879" s="130"/>
    </row>
    <row r="1880" spans="1:9" x14ac:dyDescent="0.25">
      <c r="A1880" s="1033">
        <v>704516</v>
      </c>
      <c r="E1880" s="130"/>
    </row>
    <row r="1881" spans="1:9" x14ac:dyDescent="0.25">
      <c r="A1881" s="1033">
        <v>704518</v>
      </c>
      <c r="E1881" s="130"/>
    </row>
    <row r="1882" spans="1:9" x14ac:dyDescent="0.25">
      <c r="A1882" s="1033">
        <v>704522</v>
      </c>
      <c r="E1882" s="130"/>
    </row>
    <row r="1883" spans="1:9" x14ac:dyDescent="0.25">
      <c r="A1883" s="1033">
        <v>704524</v>
      </c>
      <c r="E1883" s="130"/>
    </row>
    <row r="1884" spans="1:9" x14ac:dyDescent="0.25">
      <c r="A1884" s="1033">
        <v>704526</v>
      </c>
      <c r="E1884" s="130"/>
    </row>
    <row r="1885" spans="1:9" x14ac:dyDescent="0.25">
      <c r="A1885" s="1033">
        <v>704528</v>
      </c>
      <c r="E1885" s="130"/>
    </row>
    <row r="1886" spans="1:9" x14ac:dyDescent="0.25">
      <c r="A1886" s="1033">
        <v>704612</v>
      </c>
      <c r="B1886" s="129">
        <v>10</v>
      </c>
      <c r="C1886" s="130" t="s">
        <v>1288</v>
      </c>
      <c r="D1886" s="130">
        <v>16</v>
      </c>
      <c r="E1886" s="130" t="s">
        <v>1288</v>
      </c>
      <c r="F1886" s="1031">
        <v>0</v>
      </c>
      <c r="G1886" s="1031">
        <v>-0.06</v>
      </c>
      <c r="H1886" s="1031">
        <v>-0.06</v>
      </c>
      <c r="I1886" s="1032" t="s">
        <v>1289</v>
      </c>
    </row>
    <row r="1887" spans="1:9" x14ac:dyDescent="0.25">
      <c r="A1887" s="1033"/>
      <c r="C1887" s="130" t="s">
        <v>1288</v>
      </c>
      <c r="D1887" s="130">
        <v>16</v>
      </c>
      <c r="E1887" s="130" t="s">
        <v>1290</v>
      </c>
      <c r="F1887" s="1031">
        <v>0</v>
      </c>
      <c r="G1887" s="1031">
        <v>-0.04</v>
      </c>
      <c r="H1887" s="1031">
        <v>-0.04</v>
      </c>
      <c r="I1887" s="1032" t="s">
        <v>1291</v>
      </c>
    </row>
    <row r="1888" spans="1:9" x14ac:dyDescent="0.25">
      <c r="A1888" s="1033">
        <v>704614</v>
      </c>
      <c r="B1888" s="129">
        <v>11613</v>
      </c>
      <c r="C1888" s="130">
        <v>450</v>
      </c>
      <c r="D1888" s="130">
        <v>16</v>
      </c>
      <c r="E1888" s="130" t="s">
        <v>220</v>
      </c>
      <c r="F1888" s="1031">
        <v>0</v>
      </c>
      <c r="G1888" s="1031">
        <v>-4879.12</v>
      </c>
      <c r="H1888" s="1031">
        <v>-4879.12</v>
      </c>
      <c r="I1888" s="1032" t="s">
        <v>1292</v>
      </c>
    </row>
    <row r="1889" spans="1:9" x14ac:dyDescent="0.25">
      <c r="A1889" s="1033"/>
      <c r="C1889" s="130">
        <v>450</v>
      </c>
      <c r="D1889" s="130">
        <v>16</v>
      </c>
      <c r="E1889" s="130">
        <v>450</v>
      </c>
      <c r="F1889" s="1031">
        <v>0</v>
      </c>
      <c r="G1889" s="1031">
        <v>-2394</v>
      </c>
      <c r="H1889" s="1031">
        <v>-2394</v>
      </c>
      <c r="I1889" s="1032" t="s">
        <v>1293</v>
      </c>
    </row>
    <row r="1890" spans="1:9" x14ac:dyDescent="0.25">
      <c r="A1890" s="1033"/>
      <c r="C1890" s="130">
        <v>450</v>
      </c>
      <c r="D1890" s="130">
        <v>16</v>
      </c>
      <c r="E1890" s="130" t="s">
        <v>1294</v>
      </c>
      <c r="F1890" s="1031">
        <v>0</v>
      </c>
      <c r="G1890" s="1031">
        <v>-4760</v>
      </c>
      <c r="H1890" s="1031">
        <v>-4760</v>
      </c>
      <c r="I1890" s="1032" t="s">
        <v>1295</v>
      </c>
    </row>
    <row r="1891" spans="1:9" x14ac:dyDescent="0.25">
      <c r="A1891" s="1033"/>
      <c r="C1891" s="130">
        <v>450</v>
      </c>
      <c r="D1891" s="130">
        <v>16</v>
      </c>
      <c r="E1891" s="130">
        <v>650</v>
      </c>
      <c r="F1891" s="1031">
        <v>0</v>
      </c>
      <c r="G1891" s="1031">
        <v>420</v>
      </c>
      <c r="H1891" s="1031">
        <v>420</v>
      </c>
      <c r="I1891" s="1032" t="s">
        <v>1296</v>
      </c>
    </row>
    <row r="1892" spans="1:9" x14ac:dyDescent="0.25">
      <c r="A1892" s="1033">
        <v>704616</v>
      </c>
      <c r="B1892" s="129">
        <v>11613</v>
      </c>
      <c r="C1892" s="130">
        <v>450</v>
      </c>
      <c r="D1892" s="130">
        <v>16</v>
      </c>
      <c r="E1892" s="130" t="s">
        <v>220</v>
      </c>
      <c r="F1892" s="1031">
        <v>0</v>
      </c>
      <c r="G1892" s="1031">
        <v>-4879.12</v>
      </c>
      <c r="H1892" s="1031">
        <v>-4879.12</v>
      </c>
      <c r="I1892" s="1032" t="s">
        <v>1292</v>
      </c>
    </row>
    <row r="1893" spans="1:9" x14ac:dyDescent="0.25">
      <c r="A1893" s="1033"/>
      <c r="C1893" s="130">
        <v>450</v>
      </c>
      <c r="D1893" s="130">
        <v>16</v>
      </c>
      <c r="E1893" s="130">
        <v>450</v>
      </c>
      <c r="F1893" s="1031">
        <v>0</v>
      </c>
      <c r="G1893" s="1031">
        <v>-2394</v>
      </c>
      <c r="H1893" s="1031">
        <v>-2394</v>
      </c>
      <c r="I1893" s="1032" t="s">
        <v>1293</v>
      </c>
    </row>
    <row r="1894" spans="1:9" x14ac:dyDescent="0.25">
      <c r="A1894" s="1033"/>
      <c r="C1894" s="130">
        <v>450</v>
      </c>
      <c r="D1894" s="130">
        <v>16</v>
      </c>
      <c r="E1894" s="130" t="s">
        <v>1294</v>
      </c>
      <c r="F1894" s="1031">
        <v>0</v>
      </c>
      <c r="G1894" s="1031">
        <v>-4760</v>
      </c>
      <c r="H1894" s="1031">
        <v>-4760</v>
      </c>
      <c r="I1894" s="1032" t="s">
        <v>1295</v>
      </c>
    </row>
    <row r="1895" spans="1:9" x14ac:dyDescent="0.25">
      <c r="A1895" s="1033"/>
      <c r="C1895" s="130">
        <v>450</v>
      </c>
      <c r="D1895" s="130">
        <v>16</v>
      </c>
      <c r="E1895" s="130">
        <v>650</v>
      </c>
      <c r="F1895" s="1031">
        <v>0</v>
      </c>
      <c r="G1895" s="1031">
        <v>420</v>
      </c>
      <c r="H1895" s="1031">
        <v>420</v>
      </c>
      <c r="I1895" s="1032" t="s">
        <v>1296</v>
      </c>
    </row>
    <row r="1896" spans="1:9" x14ac:dyDescent="0.25">
      <c r="A1896" s="1033">
        <v>704618</v>
      </c>
      <c r="B1896" s="129">
        <v>1161</v>
      </c>
      <c r="E1896" s="130"/>
    </row>
    <row r="1897" spans="1:9" x14ac:dyDescent="0.25">
      <c r="A1897" s="1033">
        <v>704622</v>
      </c>
      <c r="B1897" s="129">
        <v>10</v>
      </c>
      <c r="C1897" s="130" t="s">
        <v>1288</v>
      </c>
      <c r="D1897" s="130">
        <v>16</v>
      </c>
      <c r="E1897" s="130" t="s">
        <v>1288</v>
      </c>
      <c r="F1897" s="1031">
        <v>0</v>
      </c>
      <c r="G1897" s="1031">
        <v>-0.06</v>
      </c>
      <c r="H1897" s="1031">
        <v>-0.06</v>
      </c>
      <c r="I1897" s="1032" t="s">
        <v>1289</v>
      </c>
    </row>
    <row r="1898" spans="1:9" x14ac:dyDescent="0.25">
      <c r="A1898" s="1033"/>
      <c r="C1898" s="130" t="s">
        <v>1288</v>
      </c>
      <c r="D1898" s="130">
        <v>16</v>
      </c>
      <c r="E1898" s="130" t="s">
        <v>1290</v>
      </c>
      <c r="F1898" s="1031">
        <v>0</v>
      </c>
      <c r="G1898" s="1031">
        <v>-0.04</v>
      </c>
      <c r="H1898" s="1031">
        <v>-0.04</v>
      </c>
      <c r="I1898" s="1032" t="s">
        <v>1291</v>
      </c>
    </row>
    <row r="1899" spans="1:9" x14ac:dyDescent="0.25">
      <c r="A1899" s="1033">
        <v>704624</v>
      </c>
      <c r="B1899" s="129">
        <v>11613</v>
      </c>
      <c r="C1899" s="130">
        <v>450</v>
      </c>
      <c r="D1899" s="130">
        <v>16</v>
      </c>
      <c r="E1899" s="130" t="s">
        <v>220</v>
      </c>
      <c r="F1899" s="1031">
        <v>0</v>
      </c>
      <c r="G1899" s="1031">
        <v>-4879.12</v>
      </c>
      <c r="H1899" s="1031">
        <v>-4879.12</v>
      </c>
      <c r="I1899" s="1032" t="s">
        <v>1292</v>
      </c>
    </row>
    <row r="1900" spans="1:9" x14ac:dyDescent="0.25">
      <c r="A1900" s="1033"/>
      <c r="C1900" s="130">
        <v>450</v>
      </c>
      <c r="D1900" s="130">
        <v>16</v>
      </c>
      <c r="E1900" s="130">
        <v>450</v>
      </c>
      <c r="F1900" s="1031">
        <v>0</v>
      </c>
      <c r="G1900" s="1031">
        <v>-2394</v>
      </c>
      <c r="H1900" s="1031">
        <v>-2394</v>
      </c>
      <c r="I1900" s="1032" t="s">
        <v>1293</v>
      </c>
    </row>
    <row r="1901" spans="1:9" x14ac:dyDescent="0.25">
      <c r="A1901" s="1033"/>
      <c r="C1901" s="130">
        <v>450</v>
      </c>
      <c r="D1901" s="130">
        <v>16</v>
      </c>
      <c r="E1901" s="130" t="s">
        <v>1294</v>
      </c>
      <c r="F1901" s="1031">
        <v>0</v>
      </c>
      <c r="G1901" s="1031">
        <v>-4760</v>
      </c>
      <c r="H1901" s="1031">
        <v>-4760</v>
      </c>
      <c r="I1901" s="1032" t="s">
        <v>1295</v>
      </c>
    </row>
    <row r="1902" spans="1:9" x14ac:dyDescent="0.25">
      <c r="A1902" s="1033"/>
      <c r="C1902" s="130">
        <v>450</v>
      </c>
      <c r="D1902" s="130">
        <v>16</v>
      </c>
      <c r="E1902" s="130">
        <v>650</v>
      </c>
      <c r="F1902" s="1031">
        <v>0</v>
      </c>
      <c r="G1902" s="1031">
        <v>420</v>
      </c>
      <c r="H1902" s="1031">
        <v>420</v>
      </c>
      <c r="I1902" s="1032" t="s">
        <v>1296</v>
      </c>
    </row>
    <row r="1903" spans="1:9" x14ac:dyDescent="0.25">
      <c r="A1903" s="1033">
        <v>704626</v>
      </c>
      <c r="B1903" s="129">
        <v>11613</v>
      </c>
      <c r="C1903" s="130">
        <v>450</v>
      </c>
      <c r="D1903" s="130">
        <v>16</v>
      </c>
      <c r="E1903" s="130" t="s">
        <v>220</v>
      </c>
      <c r="F1903" s="1031">
        <v>0</v>
      </c>
      <c r="G1903" s="1031">
        <v>-4879.12</v>
      </c>
      <c r="H1903" s="1031">
        <v>-4879.12</v>
      </c>
      <c r="I1903" s="1032" t="s">
        <v>1292</v>
      </c>
    </row>
    <row r="1904" spans="1:9" x14ac:dyDescent="0.25">
      <c r="A1904" s="1033"/>
      <c r="C1904" s="130">
        <v>450</v>
      </c>
      <c r="D1904" s="130">
        <v>16</v>
      </c>
      <c r="E1904" s="130">
        <v>450</v>
      </c>
      <c r="F1904" s="1031">
        <v>0</v>
      </c>
      <c r="G1904" s="1031">
        <v>-2394</v>
      </c>
      <c r="H1904" s="1031">
        <v>-2394</v>
      </c>
      <c r="I1904" s="1032" t="s">
        <v>1293</v>
      </c>
    </row>
    <row r="1905" spans="1:9" x14ac:dyDescent="0.25">
      <c r="A1905" s="1033"/>
      <c r="C1905" s="130">
        <v>450</v>
      </c>
      <c r="D1905" s="130">
        <v>16</v>
      </c>
      <c r="E1905" s="130" t="s">
        <v>1294</v>
      </c>
      <c r="F1905" s="1031">
        <v>0</v>
      </c>
      <c r="G1905" s="1031">
        <v>-4760</v>
      </c>
      <c r="H1905" s="1031">
        <v>-4760</v>
      </c>
      <c r="I1905" s="1032" t="s">
        <v>1295</v>
      </c>
    </row>
    <row r="1906" spans="1:9" x14ac:dyDescent="0.25">
      <c r="A1906" s="1033"/>
      <c r="C1906" s="130">
        <v>450</v>
      </c>
      <c r="D1906" s="130">
        <v>16</v>
      </c>
      <c r="E1906" s="130">
        <v>650</v>
      </c>
      <c r="F1906" s="1031">
        <v>0</v>
      </c>
      <c r="G1906" s="1031">
        <v>420</v>
      </c>
      <c r="H1906" s="1031">
        <v>420</v>
      </c>
      <c r="I1906" s="1032" t="s">
        <v>1296</v>
      </c>
    </row>
    <row r="1907" spans="1:9" x14ac:dyDescent="0.25">
      <c r="A1907" s="1033">
        <v>704628</v>
      </c>
      <c r="B1907" s="129">
        <v>1161</v>
      </c>
      <c r="E1907" s="130"/>
    </row>
    <row r="1908" spans="1:9" x14ac:dyDescent="0.25">
      <c r="A1908" s="1033">
        <v>704712</v>
      </c>
      <c r="B1908" s="129">
        <v>4</v>
      </c>
      <c r="C1908" s="130" t="s">
        <v>1297</v>
      </c>
      <c r="D1908" s="130">
        <v>16</v>
      </c>
      <c r="E1908" s="130" t="s">
        <v>1298</v>
      </c>
      <c r="F1908" s="1031">
        <v>0</v>
      </c>
      <c r="G1908" s="1031">
        <v>-0.02</v>
      </c>
      <c r="H1908" s="1031">
        <v>-0.02</v>
      </c>
      <c r="I1908" s="1032" t="s">
        <v>1299</v>
      </c>
    </row>
    <row r="1909" spans="1:9" x14ac:dyDescent="0.25">
      <c r="A1909" s="1033"/>
      <c r="C1909" s="130" t="s">
        <v>1297</v>
      </c>
      <c r="D1909" s="130">
        <v>16</v>
      </c>
      <c r="E1909" s="130" t="s">
        <v>1300</v>
      </c>
      <c r="F1909" s="1031">
        <v>0</v>
      </c>
      <c r="G1909" s="1031">
        <v>-0.02</v>
      </c>
      <c r="H1909" s="1031">
        <v>-0.02</v>
      </c>
      <c r="I1909" s="1032" t="s">
        <v>1301</v>
      </c>
    </row>
    <row r="1910" spans="1:9" x14ac:dyDescent="0.25">
      <c r="A1910" s="1033">
        <v>704714</v>
      </c>
      <c r="B1910" s="129">
        <v>2885</v>
      </c>
      <c r="C1910" s="130" t="s">
        <v>1302</v>
      </c>
      <c r="D1910" s="130">
        <v>16</v>
      </c>
      <c r="E1910" s="130" t="s">
        <v>1303</v>
      </c>
      <c r="F1910" s="1031">
        <v>0</v>
      </c>
      <c r="G1910" s="1031">
        <v>210</v>
      </c>
      <c r="H1910" s="1031">
        <v>210</v>
      </c>
      <c r="I1910" s="1032" t="s">
        <v>1304</v>
      </c>
    </row>
    <row r="1911" spans="1:9" x14ac:dyDescent="0.25">
      <c r="A1911" s="1033"/>
      <c r="C1911" s="130" t="s">
        <v>1302</v>
      </c>
      <c r="D1911" s="130">
        <v>16</v>
      </c>
      <c r="E1911" s="130" t="s">
        <v>1305</v>
      </c>
      <c r="F1911" s="1031">
        <v>0</v>
      </c>
      <c r="G1911" s="1031">
        <v>-1197</v>
      </c>
      <c r="H1911" s="1031">
        <v>-1197</v>
      </c>
      <c r="I1911" s="1032" t="s">
        <v>1306</v>
      </c>
    </row>
    <row r="1912" spans="1:9" x14ac:dyDescent="0.25">
      <c r="A1912" s="1033"/>
      <c r="C1912" s="130" t="s">
        <v>1302</v>
      </c>
      <c r="D1912" s="130">
        <v>16</v>
      </c>
      <c r="E1912" s="130" t="s">
        <v>1307</v>
      </c>
      <c r="F1912" s="1031">
        <v>0</v>
      </c>
      <c r="G1912" s="1031">
        <v>-1898.33</v>
      </c>
      <c r="H1912" s="1031">
        <v>-1898.33</v>
      </c>
      <c r="I1912" s="1032" t="s">
        <v>1308</v>
      </c>
    </row>
    <row r="1913" spans="1:9" x14ac:dyDescent="0.25">
      <c r="A1913" s="1033">
        <v>704716</v>
      </c>
      <c r="B1913" s="129">
        <v>2885</v>
      </c>
      <c r="C1913" s="130" t="s">
        <v>1302</v>
      </c>
      <c r="D1913" s="130">
        <v>16</v>
      </c>
      <c r="E1913" s="130" t="s">
        <v>1303</v>
      </c>
      <c r="F1913" s="1031">
        <v>0</v>
      </c>
      <c r="G1913" s="1031">
        <v>210</v>
      </c>
      <c r="H1913" s="1031">
        <v>210</v>
      </c>
      <c r="I1913" s="1032" t="s">
        <v>1304</v>
      </c>
    </row>
    <row r="1914" spans="1:9" x14ac:dyDescent="0.25">
      <c r="A1914" s="1033"/>
      <c r="C1914" s="130" t="s">
        <v>1302</v>
      </c>
      <c r="D1914" s="130">
        <v>16</v>
      </c>
      <c r="E1914" s="130" t="s">
        <v>1305</v>
      </c>
      <c r="F1914" s="1031">
        <v>0</v>
      </c>
      <c r="G1914" s="1031">
        <v>-1197</v>
      </c>
      <c r="H1914" s="1031">
        <v>-1197</v>
      </c>
      <c r="I1914" s="1032" t="s">
        <v>1306</v>
      </c>
    </row>
    <row r="1915" spans="1:9" x14ac:dyDescent="0.25">
      <c r="A1915" s="1033"/>
      <c r="C1915" s="130" t="s">
        <v>1302</v>
      </c>
      <c r="D1915" s="130">
        <v>16</v>
      </c>
      <c r="E1915" s="130" t="s">
        <v>1307</v>
      </c>
      <c r="F1915" s="1031">
        <v>0</v>
      </c>
      <c r="G1915" s="1031">
        <v>-1898.33</v>
      </c>
      <c r="H1915" s="1031">
        <v>-1898.33</v>
      </c>
      <c r="I1915" s="1032" t="s">
        <v>1308</v>
      </c>
    </row>
    <row r="1916" spans="1:9" x14ac:dyDescent="0.25">
      <c r="A1916" s="1033">
        <v>704718</v>
      </c>
      <c r="B1916" s="129">
        <v>721</v>
      </c>
      <c r="E1916" s="130"/>
    </row>
    <row r="1917" spans="1:9" x14ac:dyDescent="0.25">
      <c r="A1917" s="1033">
        <v>704722</v>
      </c>
      <c r="B1917" s="129">
        <v>4</v>
      </c>
      <c r="C1917" s="130" t="s">
        <v>1297</v>
      </c>
      <c r="D1917" s="130">
        <v>16</v>
      </c>
      <c r="E1917" s="130" t="s">
        <v>1298</v>
      </c>
      <c r="F1917" s="1031">
        <v>0</v>
      </c>
      <c r="G1917" s="1031">
        <v>-0.02</v>
      </c>
      <c r="H1917" s="1031">
        <v>-0.02</v>
      </c>
      <c r="I1917" s="1032" t="s">
        <v>1299</v>
      </c>
    </row>
    <row r="1918" spans="1:9" x14ac:dyDescent="0.25">
      <c r="A1918" s="1033"/>
      <c r="C1918" s="130" t="s">
        <v>1297</v>
      </c>
      <c r="D1918" s="130">
        <v>16</v>
      </c>
      <c r="E1918" s="130" t="s">
        <v>1300</v>
      </c>
      <c r="F1918" s="1031">
        <v>0</v>
      </c>
      <c r="G1918" s="1031">
        <v>-0.02</v>
      </c>
      <c r="H1918" s="1031">
        <v>-0.02</v>
      </c>
      <c r="I1918" s="1032" t="s">
        <v>1301</v>
      </c>
    </row>
    <row r="1919" spans="1:9" x14ac:dyDescent="0.25">
      <c r="A1919" s="1033">
        <v>704724</v>
      </c>
      <c r="B1919" s="129">
        <v>2885</v>
      </c>
      <c r="C1919" s="130" t="s">
        <v>1302</v>
      </c>
      <c r="D1919" s="130">
        <v>16</v>
      </c>
      <c r="E1919" s="130" t="s">
        <v>1303</v>
      </c>
      <c r="F1919" s="1031">
        <v>0</v>
      </c>
      <c r="G1919" s="1031">
        <v>210</v>
      </c>
      <c r="H1919" s="1031">
        <v>210</v>
      </c>
      <c r="I1919" s="1032" t="s">
        <v>1304</v>
      </c>
    </row>
    <row r="1920" spans="1:9" x14ac:dyDescent="0.25">
      <c r="A1920" s="1033"/>
      <c r="C1920" s="130" t="s">
        <v>1302</v>
      </c>
      <c r="D1920" s="130">
        <v>16</v>
      </c>
      <c r="E1920" s="130" t="s">
        <v>1305</v>
      </c>
      <c r="F1920" s="1031">
        <v>0</v>
      </c>
      <c r="G1920" s="1031">
        <v>-1197</v>
      </c>
      <c r="H1920" s="1031">
        <v>-1197</v>
      </c>
      <c r="I1920" s="1032" t="s">
        <v>1306</v>
      </c>
    </row>
    <row r="1921" spans="1:9" x14ac:dyDescent="0.25">
      <c r="A1921" s="1033"/>
      <c r="C1921" s="130" t="s">
        <v>1302</v>
      </c>
      <c r="D1921" s="130">
        <v>16</v>
      </c>
      <c r="E1921" s="130" t="s">
        <v>1307</v>
      </c>
      <c r="F1921" s="1031">
        <v>0</v>
      </c>
      <c r="G1921" s="1031">
        <v>-1898.33</v>
      </c>
      <c r="H1921" s="1031">
        <v>-1898.33</v>
      </c>
      <c r="I1921" s="1032" t="s">
        <v>1308</v>
      </c>
    </row>
    <row r="1922" spans="1:9" x14ac:dyDescent="0.25">
      <c r="A1922" s="1033">
        <v>704726</v>
      </c>
      <c r="B1922" s="129">
        <v>2885</v>
      </c>
      <c r="C1922" s="130" t="s">
        <v>1302</v>
      </c>
      <c r="D1922" s="130">
        <v>16</v>
      </c>
      <c r="E1922" s="130" t="s">
        <v>1303</v>
      </c>
      <c r="F1922" s="1031">
        <v>0</v>
      </c>
      <c r="G1922" s="1031">
        <v>210</v>
      </c>
      <c r="H1922" s="1031">
        <v>210</v>
      </c>
      <c r="I1922" s="1032" t="s">
        <v>1304</v>
      </c>
    </row>
    <row r="1923" spans="1:9" x14ac:dyDescent="0.25">
      <c r="A1923" s="1033"/>
      <c r="C1923" s="130" t="s">
        <v>1302</v>
      </c>
      <c r="D1923" s="130">
        <v>16</v>
      </c>
      <c r="E1923" s="130" t="s">
        <v>1305</v>
      </c>
      <c r="F1923" s="1031">
        <v>0</v>
      </c>
      <c r="G1923" s="1031">
        <v>-1197</v>
      </c>
      <c r="H1923" s="1031">
        <v>-1197</v>
      </c>
      <c r="I1923" s="1032" t="s">
        <v>1306</v>
      </c>
    </row>
    <row r="1924" spans="1:9" x14ac:dyDescent="0.25">
      <c r="A1924" s="1033"/>
      <c r="C1924" s="130" t="s">
        <v>1302</v>
      </c>
      <c r="D1924" s="130">
        <v>16</v>
      </c>
      <c r="E1924" s="130" t="s">
        <v>1307</v>
      </c>
      <c r="F1924" s="1031">
        <v>0</v>
      </c>
      <c r="G1924" s="1031">
        <v>-1898.33</v>
      </c>
      <c r="H1924" s="1031">
        <v>-1898.33</v>
      </c>
      <c r="I1924" s="1032" t="s">
        <v>1308</v>
      </c>
    </row>
    <row r="1925" spans="1:9" x14ac:dyDescent="0.25">
      <c r="A1925" s="1033">
        <v>704728</v>
      </c>
      <c r="B1925" s="129">
        <v>721</v>
      </c>
      <c r="E1925" s="130"/>
    </row>
    <row r="1926" spans="1:9" x14ac:dyDescent="0.25">
      <c r="A1926" s="1033">
        <v>704812</v>
      </c>
      <c r="B1926" s="129">
        <v>1</v>
      </c>
      <c r="C1926" s="130" t="s">
        <v>1309</v>
      </c>
      <c r="D1926" s="130">
        <v>16</v>
      </c>
      <c r="E1926" s="130" t="s">
        <v>1309</v>
      </c>
      <c r="F1926" s="1031">
        <v>0</v>
      </c>
      <c r="G1926" s="1031">
        <v>-0.01</v>
      </c>
      <c r="H1926" s="1031">
        <v>-0.01</v>
      </c>
      <c r="I1926" s="1032" t="s">
        <v>1310</v>
      </c>
    </row>
    <row r="1927" spans="1:9" x14ac:dyDescent="0.25">
      <c r="A1927" s="1033">
        <v>704814</v>
      </c>
      <c r="B1927" s="129">
        <v>6829</v>
      </c>
      <c r="C1927" s="130">
        <v>452</v>
      </c>
      <c r="D1927" s="130">
        <v>16</v>
      </c>
      <c r="E1927" s="130">
        <v>452</v>
      </c>
      <c r="F1927" s="1031">
        <v>0</v>
      </c>
      <c r="G1927" s="1031">
        <v>-6829</v>
      </c>
      <c r="H1927" s="1031">
        <v>-6829</v>
      </c>
      <c r="I1927" s="1032" t="s">
        <v>1311</v>
      </c>
    </row>
    <row r="1928" spans="1:9" x14ac:dyDescent="0.25">
      <c r="A1928" s="1033">
        <v>704816</v>
      </c>
      <c r="B1928" s="129">
        <v>2500</v>
      </c>
      <c r="C1928" s="130">
        <v>452</v>
      </c>
      <c r="D1928" s="130">
        <v>16</v>
      </c>
      <c r="E1928" s="130">
        <v>452</v>
      </c>
      <c r="F1928" s="1031">
        <v>0</v>
      </c>
      <c r="G1928" s="1031">
        <v>-6829</v>
      </c>
      <c r="H1928" s="1031">
        <v>-6829</v>
      </c>
      <c r="I1928" s="1032" t="s">
        <v>1311</v>
      </c>
    </row>
    <row r="1929" spans="1:9" x14ac:dyDescent="0.25">
      <c r="A1929" s="1033"/>
      <c r="C1929" s="130">
        <v>652</v>
      </c>
      <c r="D1929" s="130">
        <v>16</v>
      </c>
      <c r="E1929" s="130">
        <v>652</v>
      </c>
      <c r="F1929" s="1031">
        <v>0</v>
      </c>
      <c r="G1929" s="1031">
        <v>4329</v>
      </c>
      <c r="H1929" s="1031">
        <v>4329</v>
      </c>
      <c r="I1929" s="1032" t="s">
        <v>1312</v>
      </c>
    </row>
    <row r="1930" spans="1:9" x14ac:dyDescent="0.25">
      <c r="A1930" s="1033">
        <v>704818</v>
      </c>
      <c r="B1930" s="129">
        <v>2500</v>
      </c>
      <c r="E1930" s="130"/>
    </row>
    <row r="1931" spans="1:9" x14ac:dyDescent="0.25">
      <c r="A1931" s="1033">
        <v>704822</v>
      </c>
      <c r="B1931" s="129">
        <v>1</v>
      </c>
      <c r="C1931" s="130" t="s">
        <v>1309</v>
      </c>
      <c r="D1931" s="130">
        <v>16</v>
      </c>
      <c r="E1931" s="130" t="s">
        <v>1309</v>
      </c>
      <c r="F1931" s="1031">
        <v>0</v>
      </c>
      <c r="G1931" s="1031">
        <v>-0.01</v>
      </c>
      <c r="H1931" s="1031">
        <v>-0.01</v>
      </c>
      <c r="I1931" s="1032" t="s">
        <v>1310</v>
      </c>
    </row>
    <row r="1932" spans="1:9" x14ac:dyDescent="0.25">
      <c r="A1932" s="1033">
        <v>704824</v>
      </c>
      <c r="B1932" s="129">
        <v>6829</v>
      </c>
      <c r="C1932" s="130">
        <v>452</v>
      </c>
      <c r="D1932" s="130">
        <v>16</v>
      </c>
      <c r="E1932" s="130">
        <v>452</v>
      </c>
      <c r="F1932" s="1031">
        <v>0</v>
      </c>
      <c r="G1932" s="1031">
        <v>-6829</v>
      </c>
      <c r="H1932" s="1031">
        <v>-6829</v>
      </c>
      <c r="I1932" s="1032" t="s">
        <v>1311</v>
      </c>
    </row>
    <row r="1933" spans="1:9" x14ac:dyDescent="0.25">
      <c r="A1933" s="1033">
        <v>704826</v>
      </c>
      <c r="B1933" s="129">
        <v>2500</v>
      </c>
      <c r="C1933" s="130">
        <v>452</v>
      </c>
      <c r="D1933" s="130">
        <v>16</v>
      </c>
      <c r="E1933" s="130">
        <v>452</v>
      </c>
      <c r="F1933" s="1031">
        <v>0</v>
      </c>
      <c r="G1933" s="1031">
        <v>-6829</v>
      </c>
      <c r="H1933" s="1031">
        <v>-6829</v>
      </c>
      <c r="I1933" s="1032" t="s">
        <v>1311</v>
      </c>
    </row>
    <row r="1934" spans="1:9" x14ac:dyDescent="0.25">
      <c r="A1934" s="1033"/>
      <c r="C1934" s="130">
        <v>652</v>
      </c>
      <c r="D1934" s="130">
        <v>16</v>
      </c>
      <c r="E1934" s="130">
        <v>652</v>
      </c>
      <c r="F1934" s="1031">
        <v>0</v>
      </c>
      <c r="G1934" s="1031">
        <v>4329</v>
      </c>
      <c r="H1934" s="1031">
        <v>4329</v>
      </c>
      <c r="I1934" s="1032" t="s">
        <v>1312</v>
      </c>
    </row>
    <row r="1935" spans="1:9" x14ac:dyDescent="0.25">
      <c r="A1935" s="1033">
        <v>704828</v>
      </c>
      <c r="B1935" s="129">
        <v>2500</v>
      </c>
      <c r="E1935" s="130"/>
    </row>
    <row r="1936" spans="1:9" x14ac:dyDescent="0.25">
      <c r="A1936" s="1033">
        <v>704912</v>
      </c>
      <c r="B1936" s="129">
        <v>0</v>
      </c>
      <c r="E1936" s="130"/>
    </row>
    <row r="1937" spans="1:9" x14ac:dyDescent="0.25">
      <c r="A1937" s="1033">
        <v>704914</v>
      </c>
      <c r="B1937" s="129">
        <v>0</v>
      </c>
      <c r="E1937" s="130"/>
    </row>
    <row r="1938" spans="1:9" x14ac:dyDescent="0.25">
      <c r="A1938" s="1033">
        <v>704916</v>
      </c>
      <c r="B1938" s="129">
        <v>0</v>
      </c>
      <c r="E1938" s="130"/>
    </row>
    <row r="1939" spans="1:9" x14ac:dyDescent="0.25">
      <c r="A1939" s="1033">
        <v>704918</v>
      </c>
      <c r="B1939" s="129">
        <v>0</v>
      </c>
      <c r="E1939" s="130"/>
    </row>
    <row r="1940" spans="1:9" x14ac:dyDescent="0.25">
      <c r="A1940" s="1033">
        <v>704922</v>
      </c>
      <c r="B1940" s="129">
        <v>0</v>
      </c>
      <c r="E1940" s="130"/>
    </row>
    <row r="1941" spans="1:9" x14ac:dyDescent="0.25">
      <c r="A1941" s="1033">
        <v>704924</v>
      </c>
      <c r="B1941" s="129">
        <v>0</v>
      </c>
      <c r="E1941" s="130"/>
    </row>
    <row r="1942" spans="1:9" x14ac:dyDescent="0.25">
      <c r="A1942" s="1033">
        <v>704926</v>
      </c>
      <c r="B1942" s="129">
        <v>0</v>
      </c>
      <c r="E1942" s="130"/>
    </row>
    <row r="1943" spans="1:9" x14ac:dyDescent="0.25">
      <c r="A1943" s="1033">
        <v>704928</v>
      </c>
      <c r="B1943" s="129">
        <v>0</v>
      </c>
      <c r="E1943" s="130"/>
    </row>
    <row r="1944" spans="1:9" x14ac:dyDescent="0.25">
      <c r="A1944" s="1033">
        <v>705012</v>
      </c>
      <c r="B1944" s="129">
        <v>0</v>
      </c>
      <c r="E1944" s="130"/>
    </row>
    <row r="1945" spans="1:9" x14ac:dyDescent="0.25">
      <c r="A1945" s="1033">
        <v>705014</v>
      </c>
      <c r="B1945" s="129">
        <v>0</v>
      </c>
      <c r="E1945" s="130"/>
    </row>
    <row r="1946" spans="1:9" x14ac:dyDescent="0.25">
      <c r="A1946" s="1033">
        <v>705016</v>
      </c>
      <c r="B1946" s="129">
        <v>0</v>
      </c>
      <c r="E1946" s="130"/>
    </row>
    <row r="1947" spans="1:9" x14ac:dyDescent="0.25">
      <c r="A1947" s="1033">
        <v>705018</v>
      </c>
      <c r="B1947" s="129">
        <v>0</v>
      </c>
      <c r="E1947" s="130"/>
    </row>
    <row r="1948" spans="1:9" x14ac:dyDescent="0.25">
      <c r="A1948" s="1033">
        <v>705022</v>
      </c>
      <c r="B1948" s="129">
        <v>0</v>
      </c>
      <c r="E1948" s="130"/>
    </row>
    <row r="1949" spans="1:9" x14ac:dyDescent="0.25">
      <c r="A1949" s="1033">
        <v>705024</v>
      </c>
      <c r="B1949" s="129">
        <v>0</v>
      </c>
      <c r="E1949" s="130"/>
    </row>
    <row r="1950" spans="1:9" x14ac:dyDescent="0.25">
      <c r="A1950" s="1033">
        <v>705026</v>
      </c>
      <c r="B1950" s="129">
        <v>0</v>
      </c>
      <c r="E1950" s="130"/>
    </row>
    <row r="1951" spans="1:9" x14ac:dyDescent="0.25">
      <c r="A1951" s="1033">
        <v>705028</v>
      </c>
      <c r="B1951" s="129">
        <v>0</v>
      </c>
      <c r="E1951" s="130"/>
    </row>
    <row r="1952" spans="1:9" x14ac:dyDescent="0.25">
      <c r="A1952" s="1033">
        <v>705112</v>
      </c>
      <c r="B1952" s="129">
        <v>6</v>
      </c>
      <c r="C1952" s="130" t="s">
        <v>1313</v>
      </c>
      <c r="D1952" s="130">
        <v>16</v>
      </c>
      <c r="E1952" s="130" t="s">
        <v>1313</v>
      </c>
      <c r="F1952" s="1031">
        <v>0</v>
      </c>
      <c r="G1952" s="1031">
        <v>-0.06</v>
      </c>
      <c r="H1952" s="1031">
        <v>-0.06</v>
      </c>
      <c r="I1952" s="1032" t="s">
        <v>1314</v>
      </c>
    </row>
    <row r="1953" spans="1:9" x14ac:dyDescent="0.25">
      <c r="A1953" s="1033">
        <v>705114</v>
      </c>
      <c r="B1953" s="129">
        <v>7417</v>
      </c>
      <c r="C1953" s="130" t="s">
        <v>1315</v>
      </c>
      <c r="D1953" s="130">
        <v>16</v>
      </c>
      <c r="E1953" s="130" t="s">
        <v>1315</v>
      </c>
      <c r="F1953" s="1031">
        <v>0</v>
      </c>
      <c r="G1953" s="1031">
        <v>-7417.19</v>
      </c>
      <c r="H1953" s="1031">
        <v>-7417.19</v>
      </c>
      <c r="I1953" s="1032" t="s">
        <v>1316</v>
      </c>
    </row>
    <row r="1954" spans="1:9" x14ac:dyDescent="0.25">
      <c r="A1954" s="1033">
        <v>705116</v>
      </c>
      <c r="B1954" s="129">
        <v>1314</v>
      </c>
      <c r="C1954" s="130" t="s">
        <v>1315</v>
      </c>
      <c r="D1954" s="130">
        <v>16</v>
      </c>
      <c r="E1954" s="130" t="s">
        <v>1315</v>
      </c>
      <c r="F1954" s="1031">
        <v>0</v>
      </c>
      <c r="G1954" s="1031">
        <v>-7417.19</v>
      </c>
      <c r="H1954" s="1031">
        <v>-7417.19</v>
      </c>
      <c r="I1954" s="1032" t="s">
        <v>1316</v>
      </c>
    </row>
    <row r="1955" spans="1:9" x14ac:dyDescent="0.25">
      <c r="A1955" s="1033"/>
      <c r="C1955" s="130" t="s">
        <v>1317</v>
      </c>
      <c r="D1955" s="130">
        <v>16</v>
      </c>
      <c r="E1955" s="130" t="s">
        <v>1317</v>
      </c>
      <c r="F1955" s="1031">
        <v>0</v>
      </c>
      <c r="G1955" s="1031">
        <v>6103</v>
      </c>
      <c r="H1955" s="1031">
        <v>6103</v>
      </c>
      <c r="I1955" s="1032" t="s">
        <v>1318</v>
      </c>
    </row>
    <row r="1956" spans="1:9" x14ac:dyDescent="0.25">
      <c r="A1956" s="1033">
        <v>705118</v>
      </c>
      <c r="B1956" s="129">
        <v>219</v>
      </c>
      <c r="E1956" s="130"/>
    </row>
    <row r="1957" spans="1:9" x14ac:dyDescent="0.25">
      <c r="A1957" s="1033">
        <v>705122</v>
      </c>
      <c r="B1957" s="129">
        <v>6</v>
      </c>
      <c r="C1957" s="130" t="s">
        <v>1313</v>
      </c>
      <c r="D1957" s="130">
        <v>16</v>
      </c>
      <c r="E1957" s="130" t="s">
        <v>1313</v>
      </c>
      <c r="F1957" s="1031">
        <v>0</v>
      </c>
      <c r="G1957" s="1031">
        <v>-0.06</v>
      </c>
      <c r="H1957" s="1031">
        <v>-0.06</v>
      </c>
      <c r="I1957" s="1032" t="s">
        <v>1314</v>
      </c>
    </row>
    <row r="1958" spans="1:9" x14ac:dyDescent="0.25">
      <c r="A1958" s="1033">
        <v>705124</v>
      </c>
      <c r="B1958" s="129">
        <v>7417</v>
      </c>
      <c r="C1958" s="130" t="s">
        <v>1315</v>
      </c>
      <c r="D1958" s="130">
        <v>16</v>
      </c>
      <c r="E1958" s="130" t="s">
        <v>1315</v>
      </c>
      <c r="F1958" s="1031">
        <v>0</v>
      </c>
      <c r="G1958" s="1031">
        <v>-7417.19</v>
      </c>
      <c r="H1958" s="1031">
        <v>-7417.19</v>
      </c>
      <c r="I1958" s="1032" t="s">
        <v>1316</v>
      </c>
    </row>
    <row r="1959" spans="1:9" x14ac:dyDescent="0.25">
      <c r="A1959" s="1033">
        <v>705126</v>
      </c>
      <c r="B1959" s="129">
        <v>1314</v>
      </c>
      <c r="C1959" s="130" t="s">
        <v>1315</v>
      </c>
      <c r="D1959" s="130">
        <v>16</v>
      </c>
      <c r="E1959" s="130" t="s">
        <v>1315</v>
      </c>
      <c r="F1959" s="1031">
        <v>0</v>
      </c>
      <c r="G1959" s="1031">
        <v>-7417.19</v>
      </c>
      <c r="H1959" s="1031">
        <v>-7417.19</v>
      </c>
      <c r="I1959" s="1032" t="s">
        <v>1316</v>
      </c>
    </row>
    <row r="1960" spans="1:9" x14ac:dyDescent="0.25">
      <c r="A1960" s="1033"/>
      <c r="C1960" s="130" t="s">
        <v>1317</v>
      </c>
      <c r="D1960" s="130">
        <v>16</v>
      </c>
      <c r="E1960" s="130" t="s">
        <v>1317</v>
      </c>
      <c r="F1960" s="1031">
        <v>0</v>
      </c>
      <c r="G1960" s="1031">
        <v>6103</v>
      </c>
      <c r="H1960" s="1031">
        <v>6103</v>
      </c>
      <c r="I1960" s="1032" t="s">
        <v>1318</v>
      </c>
    </row>
    <row r="1961" spans="1:9" x14ac:dyDescent="0.25">
      <c r="A1961" s="1033">
        <v>705128</v>
      </c>
      <c r="B1961" s="129">
        <v>219</v>
      </c>
      <c r="E1961" s="130"/>
    </row>
    <row r="1962" spans="1:9" x14ac:dyDescent="0.25">
      <c r="A1962" s="1033">
        <v>705212</v>
      </c>
      <c r="B1962" s="129">
        <v>21</v>
      </c>
      <c r="E1962" s="130"/>
    </row>
    <row r="1963" spans="1:9" x14ac:dyDescent="0.25">
      <c r="A1963" s="1033">
        <v>705214</v>
      </c>
      <c r="B1963" s="129">
        <v>28744</v>
      </c>
      <c r="E1963" s="130"/>
    </row>
    <row r="1964" spans="1:9" x14ac:dyDescent="0.25">
      <c r="A1964" s="1033">
        <v>705216</v>
      </c>
      <c r="B1964" s="129">
        <v>18312</v>
      </c>
      <c r="C1964" s="130">
        <v>450</v>
      </c>
      <c r="D1964" s="130">
        <v>16</v>
      </c>
      <c r="E1964" s="130" t="s">
        <v>220</v>
      </c>
      <c r="F1964" s="1031">
        <v>0</v>
      </c>
      <c r="G1964" s="1031">
        <v>-4879.12</v>
      </c>
      <c r="H1964" s="1031">
        <v>-4879.12</v>
      </c>
      <c r="I1964" s="1032" t="s">
        <v>1292</v>
      </c>
    </row>
    <row r="1965" spans="1:9" x14ac:dyDescent="0.25">
      <c r="A1965" s="1033"/>
      <c r="C1965" s="130">
        <v>450</v>
      </c>
      <c r="D1965" s="130">
        <v>16</v>
      </c>
      <c r="E1965" s="130">
        <v>450</v>
      </c>
      <c r="F1965" s="1031">
        <v>0</v>
      </c>
      <c r="G1965" s="1031">
        <v>-2394</v>
      </c>
      <c r="H1965" s="1031">
        <v>-2394</v>
      </c>
      <c r="I1965" s="1032" t="s">
        <v>1293</v>
      </c>
    </row>
    <row r="1966" spans="1:9" x14ac:dyDescent="0.25">
      <c r="A1966" s="1033"/>
      <c r="C1966" s="130">
        <v>450</v>
      </c>
      <c r="D1966" s="130">
        <v>16</v>
      </c>
      <c r="E1966" s="130" t="s">
        <v>1294</v>
      </c>
      <c r="F1966" s="1031">
        <v>0</v>
      </c>
      <c r="G1966" s="1031">
        <v>-4760</v>
      </c>
      <c r="H1966" s="1031">
        <v>-4760</v>
      </c>
      <c r="I1966" s="1032" t="s">
        <v>1295</v>
      </c>
    </row>
    <row r="1967" spans="1:9" x14ac:dyDescent="0.25">
      <c r="A1967" s="1033"/>
      <c r="C1967" s="130">
        <v>450</v>
      </c>
      <c r="D1967" s="130">
        <v>16</v>
      </c>
      <c r="E1967" s="130">
        <v>650</v>
      </c>
      <c r="F1967" s="1031">
        <v>0</v>
      </c>
      <c r="G1967" s="1031">
        <v>420</v>
      </c>
      <c r="H1967" s="1031">
        <v>420</v>
      </c>
      <c r="I1967" s="1032" t="s">
        <v>1296</v>
      </c>
    </row>
    <row r="1968" spans="1:9" x14ac:dyDescent="0.25">
      <c r="A1968" s="1033"/>
      <c r="C1968" s="130" t="s">
        <v>1302</v>
      </c>
      <c r="D1968" s="130">
        <v>16</v>
      </c>
      <c r="E1968" s="130" t="s">
        <v>1303</v>
      </c>
      <c r="F1968" s="1031">
        <v>0</v>
      </c>
      <c r="G1968" s="1031">
        <v>210</v>
      </c>
      <c r="H1968" s="1031">
        <v>210</v>
      </c>
      <c r="I1968" s="1032" t="s">
        <v>1304</v>
      </c>
    </row>
    <row r="1969" spans="1:9" x14ac:dyDescent="0.25">
      <c r="A1969" s="1033"/>
      <c r="C1969" s="130" t="s">
        <v>1302</v>
      </c>
      <c r="D1969" s="130">
        <v>16</v>
      </c>
      <c r="E1969" s="130" t="s">
        <v>1305</v>
      </c>
      <c r="F1969" s="1031">
        <v>0</v>
      </c>
      <c r="G1969" s="1031">
        <v>-1197</v>
      </c>
      <c r="H1969" s="1031">
        <v>-1197</v>
      </c>
      <c r="I1969" s="1032" t="s">
        <v>1306</v>
      </c>
    </row>
    <row r="1970" spans="1:9" x14ac:dyDescent="0.25">
      <c r="A1970" s="1033"/>
      <c r="C1970" s="130" t="s">
        <v>1302</v>
      </c>
      <c r="D1970" s="130">
        <v>16</v>
      </c>
      <c r="E1970" s="130" t="s">
        <v>1307</v>
      </c>
      <c r="F1970" s="1031">
        <v>0</v>
      </c>
      <c r="G1970" s="1031">
        <v>-1898.33</v>
      </c>
      <c r="H1970" s="1031">
        <v>-1898.33</v>
      </c>
      <c r="I1970" s="1032" t="s">
        <v>1308</v>
      </c>
    </row>
    <row r="1971" spans="1:9" x14ac:dyDescent="0.25">
      <c r="A1971" s="1033"/>
      <c r="C1971" s="130">
        <v>452</v>
      </c>
      <c r="D1971" s="130">
        <v>16</v>
      </c>
      <c r="E1971" s="130">
        <v>452</v>
      </c>
      <c r="F1971" s="1031">
        <v>0</v>
      </c>
      <c r="G1971" s="1031">
        <v>-6829</v>
      </c>
      <c r="H1971" s="1031">
        <v>-6829</v>
      </c>
      <c r="I1971" s="1032" t="s">
        <v>1311</v>
      </c>
    </row>
    <row r="1972" spans="1:9" x14ac:dyDescent="0.25">
      <c r="A1972" s="1033"/>
      <c r="C1972" s="130">
        <v>652</v>
      </c>
      <c r="D1972" s="130">
        <v>16</v>
      </c>
      <c r="E1972" s="130">
        <v>652</v>
      </c>
      <c r="F1972" s="1031">
        <v>0</v>
      </c>
      <c r="G1972" s="1031">
        <v>4329</v>
      </c>
      <c r="H1972" s="1031">
        <v>4329</v>
      </c>
      <c r="I1972" s="1032" t="s">
        <v>1312</v>
      </c>
    </row>
    <row r="1973" spans="1:9" x14ac:dyDescent="0.25">
      <c r="A1973" s="1033"/>
      <c r="C1973" s="130" t="s">
        <v>1315</v>
      </c>
      <c r="D1973" s="130">
        <v>16</v>
      </c>
      <c r="E1973" s="130" t="s">
        <v>1315</v>
      </c>
      <c r="F1973" s="1031">
        <v>0</v>
      </c>
      <c r="G1973" s="1031">
        <v>-7417.19</v>
      </c>
      <c r="H1973" s="1031">
        <v>-7417.19</v>
      </c>
      <c r="I1973" s="1032" t="s">
        <v>1316</v>
      </c>
    </row>
    <row r="1974" spans="1:9" x14ac:dyDescent="0.25">
      <c r="A1974" s="1033"/>
      <c r="C1974" s="130" t="s">
        <v>1317</v>
      </c>
      <c r="D1974" s="130">
        <v>16</v>
      </c>
      <c r="E1974" s="130" t="s">
        <v>1317</v>
      </c>
      <c r="F1974" s="1031">
        <v>0</v>
      </c>
      <c r="G1974" s="1031">
        <v>6103</v>
      </c>
      <c r="H1974" s="1031">
        <v>6103</v>
      </c>
      <c r="I1974" s="1032" t="s">
        <v>1318</v>
      </c>
    </row>
    <row r="1975" spans="1:9" x14ac:dyDescent="0.25">
      <c r="A1975" s="1033">
        <v>705218</v>
      </c>
      <c r="B1975" s="129">
        <v>872</v>
      </c>
      <c r="E1975" s="130"/>
    </row>
    <row r="1976" spans="1:9" x14ac:dyDescent="0.25">
      <c r="A1976" s="1033">
        <v>705222</v>
      </c>
      <c r="B1976" s="129">
        <v>21</v>
      </c>
      <c r="E1976" s="130"/>
    </row>
    <row r="1977" spans="1:9" x14ac:dyDescent="0.25">
      <c r="A1977" s="1033">
        <v>705224</v>
      </c>
      <c r="B1977" s="129">
        <v>28744</v>
      </c>
      <c r="E1977" s="130"/>
    </row>
    <row r="1978" spans="1:9" x14ac:dyDescent="0.25">
      <c r="A1978" s="1033">
        <v>705226</v>
      </c>
      <c r="B1978" s="129">
        <v>18312</v>
      </c>
      <c r="C1978" s="130">
        <v>450</v>
      </c>
      <c r="D1978" s="130">
        <v>16</v>
      </c>
      <c r="E1978" s="130" t="s">
        <v>220</v>
      </c>
      <c r="F1978" s="1031">
        <v>0</v>
      </c>
      <c r="G1978" s="1031">
        <v>-4879.12</v>
      </c>
      <c r="H1978" s="1031">
        <v>-4879.12</v>
      </c>
      <c r="I1978" s="1032" t="s">
        <v>1292</v>
      </c>
    </row>
    <row r="1979" spans="1:9" x14ac:dyDescent="0.25">
      <c r="A1979" s="1033"/>
      <c r="C1979" s="130">
        <v>450</v>
      </c>
      <c r="D1979" s="130">
        <v>16</v>
      </c>
      <c r="E1979" s="130">
        <v>450</v>
      </c>
      <c r="F1979" s="1031">
        <v>0</v>
      </c>
      <c r="G1979" s="1031">
        <v>-2394</v>
      </c>
      <c r="H1979" s="1031">
        <v>-2394</v>
      </c>
      <c r="I1979" s="1032" t="s">
        <v>1293</v>
      </c>
    </row>
    <row r="1980" spans="1:9" x14ac:dyDescent="0.25">
      <c r="A1980" s="1033"/>
      <c r="C1980" s="130">
        <v>450</v>
      </c>
      <c r="D1980" s="130">
        <v>16</v>
      </c>
      <c r="E1980" s="130" t="s">
        <v>1294</v>
      </c>
      <c r="F1980" s="1031">
        <v>0</v>
      </c>
      <c r="G1980" s="1031">
        <v>-4760</v>
      </c>
      <c r="H1980" s="1031">
        <v>-4760</v>
      </c>
      <c r="I1980" s="1032" t="s">
        <v>1295</v>
      </c>
    </row>
    <row r="1981" spans="1:9" x14ac:dyDescent="0.25">
      <c r="A1981" s="1033"/>
      <c r="C1981" s="130">
        <v>450</v>
      </c>
      <c r="D1981" s="130">
        <v>16</v>
      </c>
      <c r="E1981" s="130">
        <v>650</v>
      </c>
      <c r="F1981" s="1031">
        <v>0</v>
      </c>
      <c r="G1981" s="1031">
        <v>420</v>
      </c>
      <c r="H1981" s="1031">
        <v>420</v>
      </c>
      <c r="I1981" s="1032" t="s">
        <v>1296</v>
      </c>
    </row>
    <row r="1982" spans="1:9" x14ac:dyDescent="0.25">
      <c r="A1982" s="1033"/>
      <c r="C1982" s="130" t="s">
        <v>1302</v>
      </c>
      <c r="D1982" s="130">
        <v>16</v>
      </c>
      <c r="E1982" s="130" t="s">
        <v>1303</v>
      </c>
      <c r="F1982" s="1031">
        <v>0</v>
      </c>
      <c r="G1982" s="1031">
        <v>210</v>
      </c>
      <c r="H1982" s="1031">
        <v>210</v>
      </c>
      <c r="I1982" s="1032" t="s">
        <v>1304</v>
      </c>
    </row>
    <row r="1983" spans="1:9" x14ac:dyDescent="0.25">
      <c r="A1983" s="1033"/>
      <c r="C1983" s="130" t="s">
        <v>1302</v>
      </c>
      <c r="D1983" s="130">
        <v>16</v>
      </c>
      <c r="E1983" s="130" t="s">
        <v>1305</v>
      </c>
      <c r="F1983" s="1031">
        <v>0</v>
      </c>
      <c r="G1983" s="1031">
        <v>-1197</v>
      </c>
      <c r="H1983" s="1031">
        <v>-1197</v>
      </c>
      <c r="I1983" s="1032" t="s">
        <v>1306</v>
      </c>
    </row>
    <row r="1984" spans="1:9" x14ac:dyDescent="0.25">
      <c r="A1984" s="1033"/>
      <c r="C1984" s="130" t="s">
        <v>1302</v>
      </c>
      <c r="D1984" s="130">
        <v>16</v>
      </c>
      <c r="E1984" s="130" t="s">
        <v>1307</v>
      </c>
      <c r="F1984" s="1031">
        <v>0</v>
      </c>
      <c r="G1984" s="1031">
        <v>-1898.33</v>
      </c>
      <c r="H1984" s="1031">
        <v>-1898.33</v>
      </c>
      <c r="I1984" s="1032" t="s">
        <v>1308</v>
      </c>
    </row>
    <row r="1985" spans="1:9" x14ac:dyDescent="0.25">
      <c r="A1985" s="1033"/>
      <c r="C1985" s="130">
        <v>452</v>
      </c>
      <c r="D1985" s="130">
        <v>16</v>
      </c>
      <c r="E1985" s="130">
        <v>452</v>
      </c>
      <c r="F1985" s="1031">
        <v>0</v>
      </c>
      <c r="G1985" s="1031">
        <v>-6829</v>
      </c>
      <c r="H1985" s="1031">
        <v>-6829</v>
      </c>
      <c r="I1985" s="1032" t="s">
        <v>1311</v>
      </c>
    </row>
    <row r="1986" spans="1:9" x14ac:dyDescent="0.25">
      <c r="A1986" s="1033"/>
      <c r="C1986" s="130">
        <v>652</v>
      </c>
      <c r="D1986" s="130">
        <v>16</v>
      </c>
      <c r="E1986" s="130">
        <v>652</v>
      </c>
      <c r="F1986" s="1031">
        <v>0</v>
      </c>
      <c r="G1986" s="1031">
        <v>4329</v>
      </c>
      <c r="H1986" s="1031">
        <v>4329</v>
      </c>
      <c r="I1986" s="1032" t="s">
        <v>1312</v>
      </c>
    </row>
    <row r="1987" spans="1:9" x14ac:dyDescent="0.25">
      <c r="A1987" s="1033"/>
      <c r="C1987" s="130" t="s">
        <v>1315</v>
      </c>
      <c r="D1987" s="130">
        <v>16</v>
      </c>
      <c r="E1987" s="130" t="s">
        <v>1315</v>
      </c>
      <c r="F1987" s="1031">
        <v>0</v>
      </c>
      <c r="G1987" s="1031">
        <v>-7417.19</v>
      </c>
      <c r="H1987" s="1031">
        <v>-7417.19</v>
      </c>
      <c r="I1987" s="1032" t="s">
        <v>1316</v>
      </c>
    </row>
    <row r="1988" spans="1:9" x14ac:dyDescent="0.25">
      <c r="A1988" s="1033"/>
      <c r="C1988" s="130" t="s">
        <v>1317</v>
      </c>
      <c r="D1988" s="130">
        <v>16</v>
      </c>
      <c r="E1988" s="130" t="s">
        <v>1317</v>
      </c>
      <c r="F1988" s="1031">
        <v>0</v>
      </c>
      <c r="G1988" s="1031">
        <v>6103</v>
      </c>
      <c r="H1988" s="1031">
        <v>6103</v>
      </c>
      <c r="I1988" s="1032" t="s">
        <v>1318</v>
      </c>
    </row>
    <row r="1989" spans="1:9" x14ac:dyDescent="0.25">
      <c r="A1989" s="1033">
        <v>705228</v>
      </c>
      <c r="B1989" s="129">
        <v>872</v>
      </c>
      <c r="E1989" s="130"/>
    </row>
    <row r="1990" spans="1:9" x14ac:dyDescent="0.25">
      <c r="A1990" s="1033">
        <v>705312</v>
      </c>
      <c r="E1990" s="130"/>
    </row>
    <row r="1991" spans="1:9" x14ac:dyDescent="0.25">
      <c r="A1991" s="1033">
        <v>705314</v>
      </c>
      <c r="E1991" s="130"/>
    </row>
    <row r="1992" spans="1:9" x14ac:dyDescent="0.25">
      <c r="A1992" s="1033">
        <v>705316</v>
      </c>
      <c r="E1992" s="130"/>
    </row>
    <row r="1993" spans="1:9" x14ac:dyDescent="0.25">
      <c r="A1993" s="1033">
        <v>705318</v>
      </c>
      <c r="E1993" s="130"/>
    </row>
    <row r="1994" spans="1:9" x14ac:dyDescent="0.25">
      <c r="A1994" s="1033">
        <v>705322</v>
      </c>
      <c r="E1994" s="130"/>
    </row>
    <row r="1995" spans="1:9" x14ac:dyDescent="0.25">
      <c r="A1995" s="1033">
        <v>705324</v>
      </c>
      <c r="E1995" s="130"/>
    </row>
    <row r="1996" spans="1:9" x14ac:dyDescent="0.25">
      <c r="A1996" s="1033">
        <v>705326</v>
      </c>
      <c r="E1996" s="130"/>
    </row>
    <row r="1997" spans="1:9" x14ac:dyDescent="0.25">
      <c r="A1997" s="1033">
        <v>705328</v>
      </c>
      <c r="E1997" s="130"/>
    </row>
    <row r="1998" spans="1:9" x14ac:dyDescent="0.25">
      <c r="A1998" s="1033">
        <v>705412</v>
      </c>
      <c r="B1998" s="129">
        <v>0</v>
      </c>
      <c r="E1998" s="130"/>
    </row>
    <row r="1999" spans="1:9" x14ac:dyDescent="0.25">
      <c r="A1999" s="1033">
        <v>705414</v>
      </c>
      <c r="B1999" s="129">
        <v>0</v>
      </c>
      <c r="E1999" s="130"/>
    </row>
    <row r="2000" spans="1:9" x14ac:dyDescent="0.25">
      <c r="A2000" s="1033">
        <v>705416</v>
      </c>
      <c r="B2000" s="129">
        <v>0</v>
      </c>
      <c r="E2000" s="130"/>
    </row>
    <row r="2001" spans="1:5" x14ac:dyDescent="0.25">
      <c r="A2001" s="1033">
        <v>705418</v>
      </c>
      <c r="B2001" s="129">
        <v>0</v>
      </c>
      <c r="E2001" s="130"/>
    </row>
    <row r="2002" spans="1:5" x14ac:dyDescent="0.25">
      <c r="A2002" s="1033">
        <v>705422</v>
      </c>
      <c r="B2002" s="129">
        <v>0</v>
      </c>
      <c r="E2002" s="130"/>
    </row>
    <row r="2003" spans="1:5" x14ac:dyDescent="0.25">
      <c r="A2003" s="1033">
        <v>705424</v>
      </c>
      <c r="B2003" s="129">
        <v>0</v>
      </c>
      <c r="E2003" s="130"/>
    </row>
    <row r="2004" spans="1:5" x14ac:dyDescent="0.25">
      <c r="A2004" s="1033">
        <v>705426</v>
      </c>
      <c r="B2004" s="129">
        <v>0</v>
      </c>
      <c r="E2004" s="130"/>
    </row>
    <row r="2005" spans="1:5" x14ac:dyDescent="0.25">
      <c r="A2005" s="1033">
        <v>705428</v>
      </c>
      <c r="B2005" s="129">
        <v>0</v>
      </c>
      <c r="E2005" s="130"/>
    </row>
    <row r="2006" spans="1:5" x14ac:dyDescent="0.25">
      <c r="A2006" s="1033">
        <v>705512</v>
      </c>
      <c r="E2006" s="130"/>
    </row>
    <row r="2007" spans="1:5" x14ac:dyDescent="0.25">
      <c r="A2007" s="1033">
        <v>705514</v>
      </c>
      <c r="E2007" s="130"/>
    </row>
    <row r="2008" spans="1:5" x14ac:dyDescent="0.25">
      <c r="A2008" s="1033">
        <v>705516</v>
      </c>
      <c r="B2008" s="129">
        <v>0</v>
      </c>
      <c r="E2008" s="130"/>
    </row>
    <row r="2009" spans="1:5" x14ac:dyDescent="0.25">
      <c r="A2009" s="1033">
        <v>705518</v>
      </c>
      <c r="B2009" s="129">
        <v>0</v>
      </c>
      <c r="E2009" s="130"/>
    </row>
    <row r="2010" spans="1:5" x14ac:dyDescent="0.25">
      <c r="A2010" s="1033">
        <v>705522</v>
      </c>
      <c r="E2010" s="130"/>
    </row>
    <row r="2011" spans="1:5" x14ac:dyDescent="0.25">
      <c r="A2011" s="1033">
        <v>705524</v>
      </c>
      <c r="E2011" s="130"/>
    </row>
    <row r="2012" spans="1:5" x14ac:dyDescent="0.25">
      <c r="A2012" s="1033">
        <v>705526</v>
      </c>
      <c r="B2012" s="129">
        <v>0</v>
      </c>
      <c r="E2012" s="130"/>
    </row>
    <row r="2013" spans="1:5" x14ac:dyDescent="0.25">
      <c r="A2013" s="1033">
        <v>705528</v>
      </c>
      <c r="B2013" s="129">
        <v>0</v>
      </c>
      <c r="E2013" s="130"/>
    </row>
    <row r="2014" spans="1:5" x14ac:dyDescent="0.25">
      <c r="A2014" s="1033">
        <v>705612</v>
      </c>
      <c r="B2014" s="129">
        <v>0</v>
      </c>
      <c r="E2014" s="130"/>
    </row>
    <row r="2015" spans="1:5" x14ac:dyDescent="0.25">
      <c r="A2015" s="1033">
        <v>705614</v>
      </c>
      <c r="B2015" s="129">
        <v>0</v>
      </c>
      <c r="E2015" s="130"/>
    </row>
    <row r="2016" spans="1:5" x14ac:dyDescent="0.25">
      <c r="A2016" s="1033">
        <v>705616</v>
      </c>
      <c r="B2016" s="129">
        <v>0</v>
      </c>
      <c r="E2016" s="130"/>
    </row>
    <row r="2017" spans="1:5" x14ac:dyDescent="0.25">
      <c r="A2017" s="1033">
        <v>705618</v>
      </c>
      <c r="B2017" s="129">
        <v>0</v>
      </c>
      <c r="E2017" s="130"/>
    </row>
    <row r="2018" spans="1:5" x14ac:dyDescent="0.25">
      <c r="A2018" s="1033">
        <v>705622</v>
      </c>
      <c r="B2018" s="129">
        <v>0</v>
      </c>
      <c r="E2018" s="130"/>
    </row>
    <row r="2019" spans="1:5" x14ac:dyDescent="0.25">
      <c r="A2019" s="1033">
        <v>705624</v>
      </c>
      <c r="B2019" s="129">
        <v>0</v>
      </c>
      <c r="E2019" s="130"/>
    </row>
    <row r="2020" spans="1:5" x14ac:dyDescent="0.25">
      <c r="A2020" s="1033">
        <v>705626</v>
      </c>
      <c r="B2020" s="129">
        <v>0</v>
      </c>
      <c r="E2020" s="130"/>
    </row>
    <row r="2021" spans="1:5" x14ac:dyDescent="0.25">
      <c r="A2021" s="1033">
        <v>705628</v>
      </c>
      <c r="B2021" s="129">
        <v>0</v>
      </c>
      <c r="E2021" s="130"/>
    </row>
    <row r="2022" spans="1:5" x14ac:dyDescent="0.25">
      <c r="A2022" s="1033">
        <v>705712</v>
      </c>
      <c r="E2022" s="130"/>
    </row>
    <row r="2023" spans="1:5" x14ac:dyDescent="0.25">
      <c r="A2023" s="1033">
        <v>705714</v>
      </c>
      <c r="E2023" s="130"/>
    </row>
    <row r="2024" spans="1:5" x14ac:dyDescent="0.25">
      <c r="A2024" s="1033">
        <v>705716</v>
      </c>
      <c r="B2024" s="129">
        <v>0</v>
      </c>
      <c r="E2024" s="130"/>
    </row>
    <row r="2025" spans="1:5" x14ac:dyDescent="0.25">
      <c r="A2025" s="1033">
        <v>705718</v>
      </c>
      <c r="B2025" s="129">
        <v>0</v>
      </c>
      <c r="E2025" s="130"/>
    </row>
    <row r="2026" spans="1:5" x14ac:dyDescent="0.25">
      <c r="A2026" s="1033">
        <v>705722</v>
      </c>
      <c r="E2026" s="130"/>
    </row>
    <row r="2027" spans="1:5" x14ac:dyDescent="0.25">
      <c r="A2027" s="1033">
        <v>705724</v>
      </c>
      <c r="E2027" s="130"/>
    </row>
    <row r="2028" spans="1:5" x14ac:dyDescent="0.25">
      <c r="A2028" s="1033">
        <v>705726</v>
      </c>
      <c r="B2028" s="129">
        <v>0</v>
      </c>
      <c r="E2028" s="130"/>
    </row>
    <row r="2029" spans="1:5" x14ac:dyDescent="0.25">
      <c r="A2029" s="1033">
        <v>705728</v>
      </c>
      <c r="B2029" s="129">
        <v>0</v>
      </c>
      <c r="E2029" s="130"/>
    </row>
    <row r="2030" spans="1:5" x14ac:dyDescent="0.25">
      <c r="A2030" s="1033">
        <v>705812</v>
      </c>
      <c r="B2030" s="129">
        <v>0</v>
      </c>
      <c r="E2030" s="130"/>
    </row>
    <row r="2031" spans="1:5" x14ac:dyDescent="0.25">
      <c r="A2031" s="1033">
        <v>705814</v>
      </c>
      <c r="B2031" s="129">
        <v>0</v>
      </c>
      <c r="E2031" s="130"/>
    </row>
    <row r="2032" spans="1:5" x14ac:dyDescent="0.25">
      <c r="A2032" s="1033">
        <v>705816</v>
      </c>
      <c r="B2032" s="129">
        <v>0</v>
      </c>
      <c r="E2032" s="130"/>
    </row>
    <row r="2033" spans="1:5" x14ac:dyDescent="0.25">
      <c r="A2033" s="1033">
        <v>705818</v>
      </c>
      <c r="B2033" s="129">
        <v>0</v>
      </c>
      <c r="E2033" s="130"/>
    </row>
    <row r="2034" spans="1:5" x14ac:dyDescent="0.25">
      <c r="A2034" s="1033">
        <v>705822</v>
      </c>
      <c r="B2034" s="129">
        <v>0</v>
      </c>
      <c r="E2034" s="130"/>
    </row>
    <row r="2035" spans="1:5" x14ac:dyDescent="0.25">
      <c r="A2035" s="1033">
        <v>705824</v>
      </c>
      <c r="B2035" s="129">
        <v>0</v>
      </c>
      <c r="E2035" s="130"/>
    </row>
    <row r="2036" spans="1:5" x14ac:dyDescent="0.25">
      <c r="A2036" s="1033">
        <v>705826</v>
      </c>
      <c r="B2036" s="129">
        <v>0</v>
      </c>
      <c r="E2036" s="130"/>
    </row>
    <row r="2037" spans="1:5" x14ac:dyDescent="0.25">
      <c r="A2037" s="1033">
        <v>705828</v>
      </c>
      <c r="B2037" s="129">
        <v>0</v>
      </c>
      <c r="E2037" s="130"/>
    </row>
    <row r="2038" spans="1:5" x14ac:dyDescent="0.25">
      <c r="A2038" s="1033">
        <v>705912</v>
      </c>
      <c r="B2038" s="129">
        <v>0</v>
      </c>
      <c r="E2038" s="130"/>
    </row>
    <row r="2039" spans="1:5" x14ac:dyDescent="0.25">
      <c r="A2039" s="1033">
        <v>705914</v>
      </c>
      <c r="B2039" s="129">
        <v>0</v>
      </c>
      <c r="E2039" s="130"/>
    </row>
    <row r="2040" spans="1:5" x14ac:dyDescent="0.25">
      <c r="A2040" s="1033">
        <v>705916</v>
      </c>
      <c r="B2040" s="129">
        <v>0</v>
      </c>
      <c r="E2040" s="130"/>
    </row>
    <row r="2041" spans="1:5" x14ac:dyDescent="0.25">
      <c r="A2041" s="1033">
        <v>705918</v>
      </c>
      <c r="B2041" s="129">
        <v>0</v>
      </c>
      <c r="E2041" s="130"/>
    </row>
    <row r="2042" spans="1:5" x14ac:dyDescent="0.25">
      <c r="A2042" s="1033">
        <v>705922</v>
      </c>
      <c r="B2042" s="129">
        <v>0</v>
      </c>
      <c r="E2042" s="130"/>
    </row>
    <row r="2043" spans="1:5" x14ac:dyDescent="0.25">
      <c r="A2043" s="1033">
        <v>705924</v>
      </c>
      <c r="B2043" s="129">
        <v>0</v>
      </c>
      <c r="E2043" s="130"/>
    </row>
    <row r="2044" spans="1:5" x14ac:dyDescent="0.25">
      <c r="A2044" s="1033">
        <v>705926</v>
      </c>
      <c r="B2044" s="129">
        <v>0</v>
      </c>
      <c r="E2044" s="130"/>
    </row>
    <row r="2045" spans="1:5" x14ac:dyDescent="0.25">
      <c r="A2045" s="1033">
        <v>705928</v>
      </c>
      <c r="B2045" s="129">
        <v>0</v>
      </c>
      <c r="E2045" s="130"/>
    </row>
    <row r="2046" spans="1:5" x14ac:dyDescent="0.25">
      <c r="A2046" s="1033">
        <v>706012</v>
      </c>
      <c r="E2046" s="130"/>
    </row>
    <row r="2047" spans="1:5" x14ac:dyDescent="0.25">
      <c r="A2047" s="1033">
        <v>706014</v>
      </c>
      <c r="E2047" s="130"/>
    </row>
    <row r="2048" spans="1:5" x14ac:dyDescent="0.25">
      <c r="A2048" s="1033">
        <v>706016</v>
      </c>
      <c r="B2048" s="129">
        <v>0</v>
      </c>
      <c r="E2048" s="130"/>
    </row>
    <row r="2049" spans="1:5" x14ac:dyDescent="0.25">
      <c r="A2049" s="1033">
        <v>706018</v>
      </c>
      <c r="E2049" s="130"/>
    </row>
    <row r="2050" spans="1:5" x14ac:dyDescent="0.25">
      <c r="A2050" s="1033">
        <v>706022</v>
      </c>
      <c r="E2050" s="130"/>
    </row>
    <row r="2051" spans="1:5" x14ac:dyDescent="0.25">
      <c r="A2051" s="1033">
        <v>706024</v>
      </c>
      <c r="E2051" s="130"/>
    </row>
    <row r="2052" spans="1:5" x14ac:dyDescent="0.25">
      <c r="A2052" s="1033">
        <v>706026</v>
      </c>
      <c r="B2052" s="129">
        <v>0</v>
      </c>
      <c r="E2052" s="130"/>
    </row>
    <row r="2053" spans="1:5" x14ac:dyDescent="0.25">
      <c r="A2053" s="1033">
        <v>706028</v>
      </c>
      <c r="E2053" s="130"/>
    </row>
    <row r="2054" spans="1:5" x14ac:dyDescent="0.25">
      <c r="A2054" s="1033">
        <v>706112</v>
      </c>
      <c r="E2054" s="130"/>
    </row>
    <row r="2055" spans="1:5" x14ac:dyDescent="0.25">
      <c r="A2055" s="1033">
        <v>706114</v>
      </c>
      <c r="E2055" s="130"/>
    </row>
    <row r="2056" spans="1:5" x14ac:dyDescent="0.25">
      <c r="A2056" s="1033">
        <v>706116</v>
      </c>
      <c r="E2056" s="130"/>
    </row>
    <row r="2057" spans="1:5" x14ac:dyDescent="0.25">
      <c r="A2057" s="1033">
        <v>706118</v>
      </c>
      <c r="E2057" s="130"/>
    </row>
    <row r="2058" spans="1:5" x14ac:dyDescent="0.25">
      <c r="A2058" s="1033">
        <v>706122</v>
      </c>
      <c r="E2058" s="130"/>
    </row>
    <row r="2059" spans="1:5" x14ac:dyDescent="0.25">
      <c r="A2059" s="1033">
        <v>706124</v>
      </c>
      <c r="E2059" s="130"/>
    </row>
    <row r="2060" spans="1:5" x14ac:dyDescent="0.25">
      <c r="A2060" s="1033">
        <v>706126</v>
      </c>
      <c r="E2060" s="130"/>
    </row>
    <row r="2061" spans="1:5" x14ac:dyDescent="0.25">
      <c r="A2061" s="1033">
        <v>706128</v>
      </c>
      <c r="E2061" s="130"/>
    </row>
    <row r="2062" spans="1:5" x14ac:dyDescent="0.25">
      <c r="A2062" s="1033">
        <v>706212</v>
      </c>
      <c r="B2062" s="129">
        <v>0</v>
      </c>
      <c r="E2062" s="130"/>
    </row>
    <row r="2063" spans="1:5" x14ac:dyDescent="0.25">
      <c r="A2063" s="1033">
        <v>706214</v>
      </c>
      <c r="B2063" s="129">
        <v>0</v>
      </c>
      <c r="E2063" s="130"/>
    </row>
    <row r="2064" spans="1:5" x14ac:dyDescent="0.25">
      <c r="A2064" s="1033">
        <v>706216</v>
      </c>
      <c r="B2064" s="129">
        <v>0</v>
      </c>
      <c r="E2064" s="130"/>
    </row>
    <row r="2065" spans="1:5" x14ac:dyDescent="0.25">
      <c r="A2065" s="1033">
        <v>706218</v>
      </c>
      <c r="B2065" s="129">
        <v>0</v>
      </c>
      <c r="E2065" s="130"/>
    </row>
    <row r="2066" spans="1:5" x14ac:dyDescent="0.25">
      <c r="A2066" s="1033">
        <v>706222</v>
      </c>
      <c r="B2066" s="129">
        <v>0</v>
      </c>
      <c r="E2066" s="130"/>
    </row>
    <row r="2067" spans="1:5" x14ac:dyDescent="0.25">
      <c r="A2067" s="1033">
        <v>706224</v>
      </c>
      <c r="B2067" s="129">
        <v>0</v>
      </c>
      <c r="E2067" s="130"/>
    </row>
    <row r="2068" spans="1:5" x14ac:dyDescent="0.25">
      <c r="A2068" s="1033">
        <v>706226</v>
      </c>
      <c r="B2068" s="129">
        <v>0</v>
      </c>
      <c r="E2068" s="130"/>
    </row>
    <row r="2069" spans="1:5" x14ac:dyDescent="0.25">
      <c r="A2069" s="1033">
        <v>706228</v>
      </c>
      <c r="B2069" s="129">
        <v>0</v>
      </c>
      <c r="E2069" s="130"/>
    </row>
    <row r="2070" spans="1:5" x14ac:dyDescent="0.25">
      <c r="A2070" s="1033">
        <v>706312</v>
      </c>
      <c r="B2070" s="129">
        <v>0</v>
      </c>
      <c r="E2070" s="130"/>
    </row>
    <row r="2071" spans="1:5" x14ac:dyDescent="0.25">
      <c r="A2071" s="1033">
        <v>706314</v>
      </c>
      <c r="B2071" s="129">
        <v>0</v>
      </c>
      <c r="E2071" s="130"/>
    </row>
    <row r="2072" spans="1:5" x14ac:dyDescent="0.25">
      <c r="A2072" s="1033">
        <v>706316</v>
      </c>
      <c r="B2072" s="129">
        <v>0</v>
      </c>
      <c r="E2072" s="130"/>
    </row>
    <row r="2073" spans="1:5" x14ac:dyDescent="0.25">
      <c r="A2073" s="1033">
        <v>706318</v>
      </c>
      <c r="B2073" s="129">
        <v>0</v>
      </c>
      <c r="E2073" s="130"/>
    </row>
    <row r="2074" spans="1:5" x14ac:dyDescent="0.25">
      <c r="A2074" s="1033">
        <v>706322</v>
      </c>
      <c r="B2074" s="129">
        <v>0</v>
      </c>
      <c r="E2074" s="130"/>
    </row>
    <row r="2075" spans="1:5" x14ac:dyDescent="0.25">
      <c r="A2075" s="1033">
        <v>706324</v>
      </c>
      <c r="B2075" s="129">
        <v>0</v>
      </c>
      <c r="E2075" s="130"/>
    </row>
    <row r="2076" spans="1:5" x14ac:dyDescent="0.25">
      <c r="A2076" s="1033">
        <v>706326</v>
      </c>
      <c r="B2076" s="129">
        <v>0</v>
      </c>
      <c r="E2076" s="130"/>
    </row>
    <row r="2077" spans="1:5" x14ac:dyDescent="0.25">
      <c r="A2077" s="1033">
        <v>706328</v>
      </c>
      <c r="B2077" s="129">
        <v>0</v>
      </c>
      <c r="E2077" s="130"/>
    </row>
    <row r="2078" spans="1:5" x14ac:dyDescent="0.25">
      <c r="A2078" s="1033">
        <v>706412</v>
      </c>
      <c r="B2078" s="129">
        <v>0</v>
      </c>
      <c r="E2078" s="130"/>
    </row>
    <row r="2079" spans="1:5" x14ac:dyDescent="0.25">
      <c r="A2079" s="1033">
        <v>706414</v>
      </c>
      <c r="B2079" s="129">
        <v>0</v>
      </c>
      <c r="E2079" s="130"/>
    </row>
    <row r="2080" spans="1:5" x14ac:dyDescent="0.25">
      <c r="A2080" s="1033">
        <v>706416</v>
      </c>
      <c r="B2080" s="129">
        <v>0</v>
      </c>
      <c r="E2080" s="130"/>
    </row>
    <row r="2081" spans="1:5" x14ac:dyDescent="0.25">
      <c r="A2081" s="1033">
        <v>706418</v>
      </c>
      <c r="B2081" s="129">
        <v>0</v>
      </c>
      <c r="E2081" s="130"/>
    </row>
    <row r="2082" spans="1:5" x14ac:dyDescent="0.25">
      <c r="A2082" s="1033">
        <v>706422</v>
      </c>
      <c r="B2082" s="129">
        <v>0</v>
      </c>
      <c r="E2082" s="130"/>
    </row>
    <row r="2083" spans="1:5" x14ac:dyDescent="0.25">
      <c r="A2083" s="1033">
        <v>706424</v>
      </c>
      <c r="B2083" s="129">
        <v>0</v>
      </c>
      <c r="E2083" s="130"/>
    </row>
    <row r="2084" spans="1:5" x14ac:dyDescent="0.25">
      <c r="A2084" s="1033">
        <v>706426</v>
      </c>
      <c r="B2084" s="129">
        <v>0</v>
      </c>
      <c r="E2084" s="130"/>
    </row>
    <row r="2085" spans="1:5" x14ac:dyDescent="0.25">
      <c r="A2085" s="1033">
        <v>706428</v>
      </c>
      <c r="B2085" s="129">
        <v>0</v>
      </c>
      <c r="E2085" s="130"/>
    </row>
    <row r="2086" spans="1:5" x14ac:dyDescent="0.25">
      <c r="A2086" s="1033">
        <v>706512</v>
      </c>
      <c r="B2086" s="129">
        <v>0</v>
      </c>
      <c r="E2086" s="130"/>
    </row>
    <row r="2087" spans="1:5" x14ac:dyDescent="0.25">
      <c r="A2087" s="1033">
        <v>706514</v>
      </c>
      <c r="B2087" s="129">
        <v>0</v>
      </c>
      <c r="E2087" s="130"/>
    </row>
    <row r="2088" spans="1:5" x14ac:dyDescent="0.25">
      <c r="A2088" s="1033">
        <v>706516</v>
      </c>
      <c r="B2088" s="129">
        <v>0</v>
      </c>
      <c r="E2088" s="130"/>
    </row>
    <row r="2089" spans="1:5" x14ac:dyDescent="0.25">
      <c r="A2089" s="1033">
        <v>706518</v>
      </c>
      <c r="B2089" s="129">
        <v>0</v>
      </c>
      <c r="E2089" s="130"/>
    </row>
    <row r="2090" spans="1:5" x14ac:dyDescent="0.25">
      <c r="A2090" s="1033">
        <v>706522</v>
      </c>
      <c r="B2090" s="129">
        <v>0</v>
      </c>
      <c r="E2090" s="130"/>
    </row>
    <row r="2091" spans="1:5" x14ac:dyDescent="0.25">
      <c r="A2091" s="1033">
        <v>706524</v>
      </c>
      <c r="B2091" s="129">
        <v>0</v>
      </c>
      <c r="E2091" s="130"/>
    </row>
    <row r="2092" spans="1:5" x14ac:dyDescent="0.25">
      <c r="A2092" s="1033">
        <v>706526</v>
      </c>
      <c r="B2092" s="129">
        <v>0</v>
      </c>
      <c r="E2092" s="130"/>
    </row>
    <row r="2093" spans="1:5" x14ac:dyDescent="0.25">
      <c r="A2093" s="1033">
        <v>706528</v>
      </c>
      <c r="B2093" s="129">
        <v>0</v>
      </c>
      <c r="E2093" s="130"/>
    </row>
    <row r="2094" spans="1:5" x14ac:dyDescent="0.25">
      <c r="A2094" s="1033">
        <v>706612</v>
      </c>
      <c r="B2094" s="129">
        <v>0</v>
      </c>
      <c r="E2094" s="130"/>
    </row>
    <row r="2095" spans="1:5" x14ac:dyDescent="0.25">
      <c r="A2095" s="1033">
        <v>706614</v>
      </c>
      <c r="B2095" s="129">
        <v>0</v>
      </c>
      <c r="E2095" s="130"/>
    </row>
    <row r="2096" spans="1:5" x14ac:dyDescent="0.25">
      <c r="A2096" s="1033">
        <v>706616</v>
      </c>
      <c r="B2096" s="129">
        <v>0</v>
      </c>
      <c r="E2096" s="130"/>
    </row>
    <row r="2097" spans="1:5" x14ac:dyDescent="0.25">
      <c r="A2097" s="1033">
        <v>706618</v>
      </c>
      <c r="B2097" s="129">
        <v>0</v>
      </c>
      <c r="E2097" s="130"/>
    </row>
    <row r="2098" spans="1:5" x14ac:dyDescent="0.25">
      <c r="A2098" s="1033">
        <v>706622</v>
      </c>
      <c r="B2098" s="129">
        <v>0</v>
      </c>
      <c r="E2098" s="130"/>
    </row>
    <row r="2099" spans="1:5" x14ac:dyDescent="0.25">
      <c r="A2099" s="1033">
        <v>706624</v>
      </c>
      <c r="B2099" s="129">
        <v>0</v>
      </c>
      <c r="E2099" s="130"/>
    </row>
    <row r="2100" spans="1:5" x14ac:dyDescent="0.25">
      <c r="A2100" s="1033">
        <v>706626</v>
      </c>
      <c r="B2100" s="129">
        <v>0</v>
      </c>
      <c r="E2100" s="130"/>
    </row>
    <row r="2101" spans="1:5" x14ac:dyDescent="0.25">
      <c r="A2101" s="1033">
        <v>706628</v>
      </c>
      <c r="B2101" s="129">
        <v>0</v>
      </c>
      <c r="E2101" s="130"/>
    </row>
    <row r="2102" spans="1:5" x14ac:dyDescent="0.25">
      <c r="A2102" s="1033">
        <v>706712</v>
      </c>
      <c r="B2102" s="129">
        <v>0</v>
      </c>
      <c r="E2102" s="130"/>
    </row>
    <row r="2103" spans="1:5" x14ac:dyDescent="0.25">
      <c r="A2103" s="1033">
        <v>706714</v>
      </c>
      <c r="B2103" s="129">
        <v>0</v>
      </c>
      <c r="E2103" s="130"/>
    </row>
    <row r="2104" spans="1:5" x14ac:dyDescent="0.25">
      <c r="A2104" s="1033">
        <v>706716</v>
      </c>
      <c r="B2104" s="129">
        <v>0</v>
      </c>
      <c r="E2104" s="130"/>
    </row>
    <row r="2105" spans="1:5" x14ac:dyDescent="0.25">
      <c r="A2105" s="1033">
        <v>706718</v>
      </c>
      <c r="B2105" s="129">
        <v>0</v>
      </c>
      <c r="E2105" s="130"/>
    </row>
    <row r="2106" spans="1:5" x14ac:dyDescent="0.25">
      <c r="A2106" s="1033">
        <v>706722</v>
      </c>
      <c r="B2106" s="129">
        <v>0</v>
      </c>
      <c r="E2106" s="130"/>
    </row>
    <row r="2107" spans="1:5" x14ac:dyDescent="0.25">
      <c r="A2107" s="1033">
        <v>706724</v>
      </c>
      <c r="B2107" s="129">
        <v>0</v>
      </c>
      <c r="E2107" s="130"/>
    </row>
    <row r="2108" spans="1:5" x14ac:dyDescent="0.25">
      <c r="A2108" s="1033">
        <v>706726</v>
      </c>
      <c r="B2108" s="129">
        <v>0</v>
      </c>
      <c r="E2108" s="130"/>
    </row>
    <row r="2109" spans="1:5" x14ac:dyDescent="0.25">
      <c r="A2109" s="1033">
        <v>706728</v>
      </c>
      <c r="B2109" s="129">
        <v>0</v>
      </c>
      <c r="E2109" s="130"/>
    </row>
    <row r="2110" spans="1:5" x14ac:dyDescent="0.25">
      <c r="A2110" s="1033">
        <v>706812</v>
      </c>
      <c r="B2110" s="129">
        <v>0</v>
      </c>
      <c r="E2110" s="130"/>
    </row>
    <row r="2111" spans="1:5" x14ac:dyDescent="0.25">
      <c r="A2111" s="1033">
        <v>706814</v>
      </c>
      <c r="B2111" s="129">
        <v>0</v>
      </c>
      <c r="E2111" s="130"/>
    </row>
    <row r="2112" spans="1:5" x14ac:dyDescent="0.25">
      <c r="A2112" s="1033">
        <v>706816</v>
      </c>
      <c r="B2112" s="129">
        <v>0</v>
      </c>
      <c r="E2112" s="130"/>
    </row>
    <row r="2113" spans="1:9" x14ac:dyDescent="0.25">
      <c r="A2113" s="1033">
        <v>706818</v>
      </c>
      <c r="B2113" s="129">
        <v>0</v>
      </c>
      <c r="E2113" s="130"/>
    </row>
    <row r="2114" spans="1:9" x14ac:dyDescent="0.25">
      <c r="A2114" s="1033">
        <v>706822</v>
      </c>
      <c r="B2114" s="129">
        <v>0</v>
      </c>
      <c r="E2114" s="130"/>
    </row>
    <row r="2115" spans="1:9" x14ac:dyDescent="0.25">
      <c r="A2115" s="1033">
        <v>706824</v>
      </c>
      <c r="B2115" s="129">
        <v>0</v>
      </c>
      <c r="E2115" s="130"/>
    </row>
    <row r="2116" spans="1:9" x14ac:dyDescent="0.25">
      <c r="A2116" s="1033">
        <v>706826</v>
      </c>
      <c r="B2116" s="129">
        <v>0</v>
      </c>
      <c r="E2116" s="130"/>
    </row>
    <row r="2117" spans="1:9" x14ac:dyDescent="0.25">
      <c r="A2117" s="1033">
        <v>706828</v>
      </c>
      <c r="B2117" s="129">
        <v>0</v>
      </c>
      <c r="E2117" s="130"/>
    </row>
    <row r="2118" spans="1:9" x14ac:dyDescent="0.25">
      <c r="A2118" s="1033">
        <v>706912</v>
      </c>
      <c r="E2118" s="130"/>
    </row>
    <row r="2119" spans="1:9" x14ac:dyDescent="0.25">
      <c r="A2119" s="1033">
        <v>706914</v>
      </c>
      <c r="E2119" s="130"/>
    </row>
    <row r="2120" spans="1:9" x14ac:dyDescent="0.25">
      <c r="A2120" s="1033">
        <v>706916</v>
      </c>
      <c r="E2120" s="130"/>
    </row>
    <row r="2121" spans="1:9" x14ac:dyDescent="0.25">
      <c r="A2121" s="1033">
        <v>706918</v>
      </c>
      <c r="E2121" s="130"/>
    </row>
    <row r="2122" spans="1:9" x14ac:dyDescent="0.25">
      <c r="A2122" s="1033">
        <v>706922</v>
      </c>
      <c r="E2122" s="130"/>
    </row>
    <row r="2123" spans="1:9" x14ac:dyDescent="0.25">
      <c r="A2123" s="1033">
        <v>706924</v>
      </c>
      <c r="E2123" s="130"/>
    </row>
    <row r="2124" spans="1:9" x14ac:dyDescent="0.25">
      <c r="A2124" s="1033">
        <v>706926</v>
      </c>
      <c r="E2124" s="130"/>
    </row>
    <row r="2125" spans="1:9" x14ac:dyDescent="0.25">
      <c r="A2125" s="1033">
        <v>706928</v>
      </c>
      <c r="E2125" s="130"/>
    </row>
    <row r="2126" spans="1:9" x14ac:dyDescent="0.25">
      <c r="A2126" s="1033">
        <v>707012</v>
      </c>
      <c r="B2126" s="129">
        <v>9</v>
      </c>
      <c r="E2126" s="130"/>
    </row>
    <row r="2127" spans="1:9" x14ac:dyDescent="0.25">
      <c r="A2127" s="1033">
        <v>707014</v>
      </c>
      <c r="B2127" s="129">
        <v>499061</v>
      </c>
      <c r="E2127" s="130"/>
    </row>
    <row r="2128" spans="1:9" x14ac:dyDescent="0.25">
      <c r="A2128" s="1033">
        <v>707016</v>
      </c>
      <c r="B2128" s="129">
        <v>35753</v>
      </c>
      <c r="C2128" s="130" t="s">
        <v>1252</v>
      </c>
      <c r="D2128" s="130">
        <v>16</v>
      </c>
      <c r="E2128" s="130" t="s">
        <v>1252</v>
      </c>
      <c r="F2128" s="1031">
        <v>0</v>
      </c>
      <c r="G2128" s="1031">
        <v>-156545.9</v>
      </c>
      <c r="H2128" s="1031">
        <v>-156545.9</v>
      </c>
      <c r="I2128" s="1032" t="s">
        <v>1253</v>
      </c>
    </row>
    <row r="2129" spans="1:9" x14ac:dyDescent="0.25">
      <c r="A2129" s="1033"/>
      <c r="C2129" s="130" t="s">
        <v>1254</v>
      </c>
      <c r="D2129" s="130">
        <v>16</v>
      </c>
      <c r="E2129" s="130" t="s">
        <v>1254</v>
      </c>
      <c r="F2129" s="1031">
        <v>0</v>
      </c>
      <c r="G2129" s="1031">
        <v>-124587.36</v>
      </c>
      <c r="H2129" s="1031">
        <v>-124587.36</v>
      </c>
      <c r="I2129" s="1032" t="s">
        <v>1255</v>
      </c>
    </row>
    <row r="2130" spans="1:9" x14ac:dyDescent="0.25">
      <c r="A2130" s="1033"/>
      <c r="C2130" s="130" t="s">
        <v>1256</v>
      </c>
      <c r="D2130" s="130">
        <v>16</v>
      </c>
      <c r="E2130" s="130" t="s">
        <v>1256</v>
      </c>
      <c r="F2130" s="1031">
        <v>0</v>
      </c>
      <c r="G2130" s="1031">
        <v>147238.17000000001</v>
      </c>
      <c r="H2130" s="1031">
        <v>147238.17000000001</v>
      </c>
      <c r="I2130" s="1032" t="s">
        <v>1257</v>
      </c>
    </row>
    <row r="2131" spans="1:9" x14ac:dyDescent="0.25">
      <c r="A2131" s="1033"/>
      <c r="C2131" s="130" t="s">
        <v>1258</v>
      </c>
      <c r="D2131" s="130">
        <v>16</v>
      </c>
      <c r="E2131" s="130" t="s">
        <v>1258</v>
      </c>
      <c r="F2131" s="1031">
        <v>0</v>
      </c>
      <c r="G2131" s="1031">
        <v>110639.33</v>
      </c>
      <c r="H2131" s="1031">
        <v>110639.33</v>
      </c>
      <c r="I2131" s="1032" t="s">
        <v>1259</v>
      </c>
    </row>
    <row r="2132" spans="1:9" x14ac:dyDescent="0.25">
      <c r="A2132" s="1033"/>
      <c r="C2132" s="130" t="s">
        <v>1260</v>
      </c>
      <c r="D2132" s="130">
        <v>16</v>
      </c>
      <c r="E2132" s="130" t="s">
        <v>1260</v>
      </c>
      <c r="F2132" s="1031">
        <v>0</v>
      </c>
      <c r="G2132" s="1031">
        <v>2432.12</v>
      </c>
      <c r="H2132" s="1031">
        <v>2432.12</v>
      </c>
      <c r="I2132" s="1032" t="s">
        <v>1261</v>
      </c>
    </row>
    <row r="2133" spans="1:9" x14ac:dyDescent="0.25">
      <c r="A2133" s="1033"/>
      <c r="C2133" s="130" t="s">
        <v>1262</v>
      </c>
      <c r="D2133" s="130">
        <v>16</v>
      </c>
      <c r="E2133" s="130" t="s">
        <v>1262</v>
      </c>
      <c r="F2133" s="1031">
        <v>0</v>
      </c>
      <c r="G2133" s="1031">
        <v>5723.83</v>
      </c>
      <c r="H2133" s="1031">
        <v>5723.83</v>
      </c>
      <c r="I2133" s="1032" t="s">
        <v>1263</v>
      </c>
    </row>
    <row r="2134" spans="1:9" x14ac:dyDescent="0.25">
      <c r="A2134" s="1033"/>
      <c r="C2134" s="130" t="s">
        <v>1268</v>
      </c>
      <c r="D2134" s="130">
        <v>16</v>
      </c>
      <c r="E2134" s="130" t="s">
        <v>1268</v>
      </c>
      <c r="F2134" s="1031">
        <v>0</v>
      </c>
      <c r="G2134" s="1031">
        <v>-23684</v>
      </c>
      <c r="H2134" s="1031">
        <v>-23684</v>
      </c>
      <c r="I2134" s="1032" t="s">
        <v>1269</v>
      </c>
    </row>
    <row r="2135" spans="1:9" x14ac:dyDescent="0.25">
      <c r="A2135" s="1033"/>
      <c r="C2135" s="130" t="s">
        <v>1270</v>
      </c>
      <c r="D2135" s="130">
        <v>16</v>
      </c>
      <c r="E2135" s="130" t="s">
        <v>1270</v>
      </c>
      <c r="F2135" s="1031">
        <v>0</v>
      </c>
      <c r="G2135" s="1031">
        <v>-42500</v>
      </c>
      <c r="H2135" s="1031">
        <v>-42500</v>
      </c>
      <c r="I2135" s="1032" t="s">
        <v>1271</v>
      </c>
    </row>
    <row r="2136" spans="1:9" x14ac:dyDescent="0.25">
      <c r="A2136" s="1033"/>
      <c r="C2136" s="130" t="s">
        <v>1272</v>
      </c>
      <c r="D2136" s="130">
        <v>16</v>
      </c>
      <c r="E2136" s="130" t="s">
        <v>1272</v>
      </c>
      <c r="F2136" s="1031">
        <v>0</v>
      </c>
      <c r="G2136" s="1031">
        <v>22351.67</v>
      </c>
      <c r="H2136" s="1031">
        <v>22351.67</v>
      </c>
      <c r="I2136" s="1032" t="s">
        <v>1273</v>
      </c>
    </row>
    <row r="2137" spans="1:9" x14ac:dyDescent="0.25">
      <c r="A2137" s="1033"/>
      <c r="C2137" s="130" t="s">
        <v>1274</v>
      </c>
      <c r="D2137" s="130">
        <v>16</v>
      </c>
      <c r="E2137" s="130" t="s">
        <v>1274</v>
      </c>
      <c r="F2137" s="1031">
        <v>0</v>
      </c>
      <c r="G2137" s="1031">
        <v>35931.440000000002</v>
      </c>
      <c r="H2137" s="1031">
        <v>35931.440000000002</v>
      </c>
      <c r="I2137" s="1032" t="s">
        <v>1275</v>
      </c>
    </row>
    <row r="2138" spans="1:9" x14ac:dyDescent="0.25">
      <c r="A2138" s="1033"/>
      <c r="C2138" s="130" t="s">
        <v>1276</v>
      </c>
      <c r="D2138" s="130">
        <v>16</v>
      </c>
      <c r="E2138" s="130" t="s">
        <v>1276</v>
      </c>
      <c r="F2138" s="1031">
        <v>0</v>
      </c>
      <c r="G2138" s="1031">
        <v>1332.33</v>
      </c>
      <c r="H2138" s="1031">
        <v>1332.33</v>
      </c>
      <c r="I2138" s="1032" t="s">
        <v>1277</v>
      </c>
    </row>
    <row r="2139" spans="1:9" x14ac:dyDescent="0.25">
      <c r="A2139" s="1033"/>
      <c r="C2139" s="130" t="s">
        <v>1278</v>
      </c>
      <c r="D2139" s="130">
        <v>16</v>
      </c>
      <c r="E2139" s="130" t="s">
        <v>1278</v>
      </c>
      <c r="F2139" s="1031">
        <v>0</v>
      </c>
      <c r="G2139" s="1031">
        <v>5173.7700000000004</v>
      </c>
      <c r="H2139" s="1031">
        <v>5173.7700000000004</v>
      </c>
      <c r="I2139" s="1032" t="s">
        <v>1279</v>
      </c>
    </row>
    <row r="2140" spans="1:9" x14ac:dyDescent="0.25">
      <c r="A2140" s="1033"/>
      <c r="C2140" s="130" t="s">
        <v>1282</v>
      </c>
      <c r="D2140" s="130">
        <v>16</v>
      </c>
      <c r="E2140" s="130" t="s">
        <v>1282</v>
      </c>
      <c r="F2140" s="1031">
        <v>0</v>
      </c>
      <c r="G2140" s="1031">
        <v>-123000</v>
      </c>
      <c r="H2140" s="1031">
        <v>-123000</v>
      </c>
      <c r="I2140" s="1032" t="s">
        <v>1283</v>
      </c>
    </row>
    <row r="2141" spans="1:9" x14ac:dyDescent="0.25">
      <c r="A2141" s="1033"/>
      <c r="C2141" s="130" t="s">
        <v>1284</v>
      </c>
      <c r="D2141" s="130">
        <v>16</v>
      </c>
      <c r="E2141" s="130" t="s">
        <v>1284</v>
      </c>
      <c r="F2141" s="1031">
        <v>0</v>
      </c>
      <c r="G2141" s="1031">
        <v>90.83</v>
      </c>
      <c r="H2141" s="1031">
        <v>90.83</v>
      </c>
      <c r="I2141" s="1032" t="s">
        <v>1285</v>
      </c>
    </row>
    <row r="2142" spans="1:9" x14ac:dyDescent="0.25">
      <c r="A2142" s="1033"/>
      <c r="C2142" s="130" t="s">
        <v>1286</v>
      </c>
      <c r="D2142" s="130">
        <v>16</v>
      </c>
      <c r="E2142" s="130" t="s">
        <v>1286</v>
      </c>
      <c r="F2142" s="1031">
        <v>0</v>
      </c>
      <c r="G2142" s="1031">
        <v>121962.32</v>
      </c>
      <c r="H2142" s="1031">
        <v>121962.32</v>
      </c>
      <c r="I2142" s="1032" t="s">
        <v>1287</v>
      </c>
    </row>
    <row r="2143" spans="1:9" x14ac:dyDescent="0.25">
      <c r="A2143" s="1033"/>
      <c r="C2143" s="130">
        <v>450</v>
      </c>
      <c r="D2143" s="130">
        <v>16</v>
      </c>
      <c r="E2143" s="130" t="s">
        <v>220</v>
      </c>
      <c r="F2143" s="1031">
        <v>0</v>
      </c>
      <c r="G2143" s="1031">
        <v>-4879.12</v>
      </c>
      <c r="H2143" s="1031">
        <v>-4879.12</v>
      </c>
      <c r="I2143" s="1032" t="s">
        <v>1292</v>
      </c>
    </row>
    <row r="2144" spans="1:9" x14ac:dyDescent="0.25">
      <c r="A2144" s="1033"/>
      <c r="C2144" s="130">
        <v>450</v>
      </c>
      <c r="D2144" s="130">
        <v>16</v>
      </c>
      <c r="E2144" s="130">
        <v>450</v>
      </c>
      <c r="F2144" s="1031">
        <v>0</v>
      </c>
      <c r="G2144" s="1031">
        <v>-2394</v>
      </c>
      <c r="H2144" s="1031">
        <v>-2394</v>
      </c>
      <c r="I2144" s="1032" t="s">
        <v>1293</v>
      </c>
    </row>
    <row r="2145" spans="1:9" x14ac:dyDescent="0.25">
      <c r="A2145" s="1033"/>
      <c r="C2145" s="130">
        <v>450</v>
      </c>
      <c r="D2145" s="130">
        <v>16</v>
      </c>
      <c r="E2145" s="130" t="s">
        <v>1294</v>
      </c>
      <c r="F2145" s="1031">
        <v>0</v>
      </c>
      <c r="G2145" s="1031">
        <v>-4760</v>
      </c>
      <c r="H2145" s="1031">
        <v>-4760</v>
      </c>
      <c r="I2145" s="1032" t="s">
        <v>1295</v>
      </c>
    </row>
    <row r="2146" spans="1:9" x14ac:dyDescent="0.25">
      <c r="A2146" s="1033"/>
      <c r="C2146" s="130">
        <v>450</v>
      </c>
      <c r="D2146" s="130">
        <v>16</v>
      </c>
      <c r="E2146" s="130">
        <v>650</v>
      </c>
      <c r="F2146" s="1031">
        <v>0</v>
      </c>
      <c r="G2146" s="1031">
        <v>420</v>
      </c>
      <c r="H2146" s="1031">
        <v>420</v>
      </c>
      <c r="I2146" s="1032" t="s">
        <v>1296</v>
      </c>
    </row>
    <row r="2147" spans="1:9" x14ac:dyDescent="0.25">
      <c r="A2147" s="1033"/>
      <c r="C2147" s="130" t="s">
        <v>1302</v>
      </c>
      <c r="D2147" s="130">
        <v>16</v>
      </c>
      <c r="E2147" s="130" t="s">
        <v>1303</v>
      </c>
      <c r="F2147" s="1031">
        <v>0</v>
      </c>
      <c r="G2147" s="1031">
        <v>210</v>
      </c>
      <c r="H2147" s="1031">
        <v>210</v>
      </c>
      <c r="I2147" s="1032" t="s">
        <v>1304</v>
      </c>
    </row>
    <row r="2148" spans="1:9" x14ac:dyDescent="0.25">
      <c r="A2148" s="1033"/>
      <c r="C2148" s="130" t="s">
        <v>1302</v>
      </c>
      <c r="D2148" s="130">
        <v>16</v>
      </c>
      <c r="E2148" s="130" t="s">
        <v>1305</v>
      </c>
      <c r="F2148" s="1031">
        <v>0</v>
      </c>
      <c r="G2148" s="1031">
        <v>-1197</v>
      </c>
      <c r="H2148" s="1031">
        <v>-1197</v>
      </c>
      <c r="I2148" s="1032" t="s">
        <v>1306</v>
      </c>
    </row>
    <row r="2149" spans="1:9" x14ac:dyDescent="0.25">
      <c r="A2149" s="1033"/>
      <c r="C2149" s="130" t="s">
        <v>1302</v>
      </c>
      <c r="D2149" s="130">
        <v>16</v>
      </c>
      <c r="E2149" s="130" t="s">
        <v>1307</v>
      </c>
      <c r="F2149" s="1031">
        <v>0</v>
      </c>
      <c r="G2149" s="1031">
        <v>-1898.33</v>
      </c>
      <c r="H2149" s="1031">
        <v>-1898.33</v>
      </c>
      <c r="I2149" s="1032" t="s">
        <v>1308</v>
      </c>
    </row>
    <row r="2150" spans="1:9" x14ac:dyDescent="0.25">
      <c r="A2150" s="1033"/>
      <c r="C2150" s="130">
        <v>452</v>
      </c>
      <c r="D2150" s="130">
        <v>16</v>
      </c>
      <c r="E2150" s="130">
        <v>452</v>
      </c>
      <c r="F2150" s="1031">
        <v>0</v>
      </c>
      <c r="G2150" s="1031">
        <v>-6829</v>
      </c>
      <c r="H2150" s="1031">
        <v>-6829</v>
      </c>
      <c r="I2150" s="1032" t="s">
        <v>1311</v>
      </c>
    </row>
    <row r="2151" spans="1:9" x14ac:dyDescent="0.25">
      <c r="A2151" s="1033"/>
      <c r="C2151" s="130">
        <v>652</v>
      </c>
      <c r="D2151" s="130">
        <v>16</v>
      </c>
      <c r="E2151" s="130">
        <v>652</v>
      </c>
      <c r="F2151" s="1031">
        <v>0</v>
      </c>
      <c r="G2151" s="1031">
        <v>4329</v>
      </c>
      <c r="H2151" s="1031">
        <v>4329</v>
      </c>
      <c r="I2151" s="1032" t="s">
        <v>1312</v>
      </c>
    </row>
    <row r="2152" spans="1:9" x14ac:dyDescent="0.25">
      <c r="A2152" s="1033"/>
      <c r="C2152" s="130" t="s">
        <v>1315</v>
      </c>
      <c r="D2152" s="130">
        <v>16</v>
      </c>
      <c r="E2152" s="130" t="s">
        <v>1315</v>
      </c>
      <c r="F2152" s="1031">
        <v>0</v>
      </c>
      <c r="G2152" s="1031">
        <v>-7417.19</v>
      </c>
      <c r="H2152" s="1031">
        <v>-7417.19</v>
      </c>
      <c r="I2152" s="1032" t="s">
        <v>1316</v>
      </c>
    </row>
    <row r="2153" spans="1:9" x14ac:dyDescent="0.25">
      <c r="A2153" s="1033"/>
      <c r="C2153" s="130" t="s">
        <v>1317</v>
      </c>
      <c r="D2153" s="130">
        <v>16</v>
      </c>
      <c r="E2153" s="130" t="s">
        <v>1317</v>
      </c>
      <c r="F2153" s="1031">
        <v>0</v>
      </c>
      <c r="G2153" s="1031">
        <v>6103</v>
      </c>
      <c r="H2153" s="1031">
        <v>6103</v>
      </c>
      <c r="I2153" s="1032" t="s">
        <v>1318</v>
      </c>
    </row>
    <row r="2154" spans="1:9" x14ac:dyDescent="0.25">
      <c r="A2154" s="1033">
        <v>707018</v>
      </c>
      <c r="B2154" s="129">
        <v>3973</v>
      </c>
      <c r="E2154" s="130"/>
    </row>
    <row r="2155" spans="1:9" x14ac:dyDescent="0.25">
      <c r="A2155" s="1033">
        <v>707022</v>
      </c>
      <c r="B2155" s="129">
        <v>9</v>
      </c>
      <c r="E2155" s="130"/>
    </row>
    <row r="2156" spans="1:9" x14ac:dyDescent="0.25">
      <c r="A2156" s="1033">
        <v>707024</v>
      </c>
      <c r="B2156" s="129">
        <v>499061</v>
      </c>
      <c r="E2156" s="130"/>
    </row>
    <row r="2157" spans="1:9" x14ac:dyDescent="0.25">
      <c r="A2157" s="1033">
        <v>707026</v>
      </c>
      <c r="B2157" s="129">
        <v>35753</v>
      </c>
      <c r="C2157" s="130" t="s">
        <v>1252</v>
      </c>
      <c r="D2157" s="130">
        <v>16</v>
      </c>
      <c r="E2157" s="130" t="s">
        <v>1252</v>
      </c>
      <c r="F2157" s="1031">
        <v>0</v>
      </c>
      <c r="G2157" s="1031">
        <v>-156545.9</v>
      </c>
      <c r="H2157" s="1031">
        <v>-156545.9</v>
      </c>
      <c r="I2157" s="1032" t="s">
        <v>1253</v>
      </c>
    </row>
    <row r="2158" spans="1:9" x14ac:dyDescent="0.25">
      <c r="A2158" s="1033"/>
      <c r="C2158" s="130" t="s">
        <v>1254</v>
      </c>
      <c r="D2158" s="130">
        <v>16</v>
      </c>
      <c r="E2158" s="130" t="s">
        <v>1254</v>
      </c>
      <c r="F2158" s="1031">
        <v>0</v>
      </c>
      <c r="G2158" s="1031">
        <v>-124587.36</v>
      </c>
      <c r="H2158" s="1031">
        <v>-124587.36</v>
      </c>
      <c r="I2158" s="1032" t="s">
        <v>1255</v>
      </c>
    </row>
    <row r="2159" spans="1:9" x14ac:dyDescent="0.25">
      <c r="A2159" s="1033"/>
      <c r="C2159" s="130" t="s">
        <v>1256</v>
      </c>
      <c r="D2159" s="130">
        <v>16</v>
      </c>
      <c r="E2159" s="130" t="s">
        <v>1256</v>
      </c>
      <c r="F2159" s="1031">
        <v>0</v>
      </c>
      <c r="G2159" s="1031">
        <v>147238.17000000001</v>
      </c>
      <c r="H2159" s="1031">
        <v>147238.17000000001</v>
      </c>
      <c r="I2159" s="1032" t="s">
        <v>1257</v>
      </c>
    </row>
    <row r="2160" spans="1:9" x14ac:dyDescent="0.25">
      <c r="A2160" s="1033"/>
      <c r="C2160" s="130" t="s">
        <v>1258</v>
      </c>
      <c r="D2160" s="130">
        <v>16</v>
      </c>
      <c r="E2160" s="130" t="s">
        <v>1258</v>
      </c>
      <c r="F2160" s="1031">
        <v>0</v>
      </c>
      <c r="G2160" s="1031">
        <v>110639.33</v>
      </c>
      <c r="H2160" s="1031">
        <v>110639.33</v>
      </c>
      <c r="I2160" s="1032" t="s">
        <v>1259</v>
      </c>
    </row>
    <row r="2161" spans="1:9" x14ac:dyDescent="0.25">
      <c r="A2161" s="1033"/>
      <c r="C2161" s="130" t="s">
        <v>1260</v>
      </c>
      <c r="D2161" s="130">
        <v>16</v>
      </c>
      <c r="E2161" s="130" t="s">
        <v>1260</v>
      </c>
      <c r="F2161" s="1031">
        <v>0</v>
      </c>
      <c r="G2161" s="1031">
        <v>2432.12</v>
      </c>
      <c r="H2161" s="1031">
        <v>2432.12</v>
      </c>
      <c r="I2161" s="1032" t="s">
        <v>1261</v>
      </c>
    </row>
    <row r="2162" spans="1:9" x14ac:dyDescent="0.25">
      <c r="A2162" s="1033"/>
      <c r="C2162" s="130" t="s">
        <v>1262</v>
      </c>
      <c r="D2162" s="130">
        <v>16</v>
      </c>
      <c r="E2162" s="130" t="s">
        <v>1262</v>
      </c>
      <c r="F2162" s="1031">
        <v>0</v>
      </c>
      <c r="G2162" s="1031">
        <v>5723.83</v>
      </c>
      <c r="H2162" s="1031">
        <v>5723.83</v>
      </c>
      <c r="I2162" s="1032" t="s">
        <v>1263</v>
      </c>
    </row>
    <row r="2163" spans="1:9" x14ac:dyDescent="0.25">
      <c r="A2163" s="1033"/>
      <c r="C2163" s="130" t="s">
        <v>1268</v>
      </c>
      <c r="D2163" s="130">
        <v>16</v>
      </c>
      <c r="E2163" s="130" t="s">
        <v>1268</v>
      </c>
      <c r="F2163" s="1031">
        <v>0</v>
      </c>
      <c r="G2163" s="1031">
        <v>-23684</v>
      </c>
      <c r="H2163" s="1031">
        <v>-23684</v>
      </c>
      <c r="I2163" s="1032" t="s">
        <v>1269</v>
      </c>
    </row>
    <row r="2164" spans="1:9" x14ac:dyDescent="0.25">
      <c r="A2164" s="1033"/>
      <c r="C2164" s="130" t="s">
        <v>1270</v>
      </c>
      <c r="D2164" s="130">
        <v>16</v>
      </c>
      <c r="E2164" s="130" t="s">
        <v>1270</v>
      </c>
      <c r="F2164" s="1031">
        <v>0</v>
      </c>
      <c r="G2164" s="1031">
        <v>-42500</v>
      </c>
      <c r="H2164" s="1031">
        <v>-42500</v>
      </c>
      <c r="I2164" s="1032" t="s">
        <v>1271</v>
      </c>
    </row>
    <row r="2165" spans="1:9" x14ac:dyDescent="0.25">
      <c r="A2165" s="1033"/>
      <c r="C2165" s="130" t="s">
        <v>1272</v>
      </c>
      <c r="D2165" s="130">
        <v>16</v>
      </c>
      <c r="E2165" s="130" t="s">
        <v>1272</v>
      </c>
      <c r="F2165" s="1031">
        <v>0</v>
      </c>
      <c r="G2165" s="1031">
        <v>22351.67</v>
      </c>
      <c r="H2165" s="1031">
        <v>22351.67</v>
      </c>
      <c r="I2165" s="1032" t="s">
        <v>1273</v>
      </c>
    </row>
    <row r="2166" spans="1:9" x14ac:dyDescent="0.25">
      <c r="A2166" s="1033"/>
      <c r="C2166" s="130" t="s">
        <v>1274</v>
      </c>
      <c r="D2166" s="130">
        <v>16</v>
      </c>
      <c r="E2166" s="130" t="s">
        <v>1274</v>
      </c>
      <c r="F2166" s="1031">
        <v>0</v>
      </c>
      <c r="G2166" s="1031">
        <v>35931.440000000002</v>
      </c>
      <c r="H2166" s="1031">
        <v>35931.440000000002</v>
      </c>
      <c r="I2166" s="1032" t="s">
        <v>1275</v>
      </c>
    </row>
    <row r="2167" spans="1:9" x14ac:dyDescent="0.25">
      <c r="A2167" s="1033"/>
      <c r="C2167" s="130" t="s">
        <v>1276</v>
      </c>
      <c r="D2167" s="130">
        <v>16</v>
      </c>
      <c r="E2167" s="130" t="s">
        <v>1276</v>
      </c>
      <c r="F2167" s="1031">
        <v>0</v>
      </c>
      <c r="G2167" s="1031">
        <v>1332.33</v>
      </c>
      <c r="H2167" s="1031">
        <v>1332.33</v>
      </c>
      <c r="I2167" s="1032" t="s">
        <v>1277</v>
      </c>
    </row>
    <row r="2168" spans="1:9" x14ac:dyDescent="0.25">
      <c r="A2168" s="1033"/>
      <c r="C2168" s="130" t="s">
        <v>1278</v>
      </c>
      <c r="D2168" s="130">
        <v>16</v>
      </c>
      <c r="E2168" s="130" t="s">
        <v>1278</v>
      </c>
      <c r="F2168" s="1031">
        <v>0</v>
      </c>
      <c r="G2168" s="1031">
        <v>5173.7700000000004</v>
      </c>
      <c r="H2168" s="1031">
        <v>5173.7700000000004</v>
      </c>
      <c r="I2168" s="1032" t="s">
        <v>1279</v>
      </c>
    </row>
    <row r="2169" spans="1:9" x14ac:dyDescent="0.25">
      <c r="A2169" s="1033"/>
      <c r="C2169" s="130" t="s">
        <v>1282</v>
      </c>
      <c r="D2169" s="130">
        <v>16</v>
      </c>
      <c r="E2169" s="130" t="s">
        <v>1282</v>
      </c>
      <c r="F2169" s="1031">
        <v>0</v>
      </c>
      <c r="G2169" s="1031">
        <v>-123000</v>
      </c>
      <c r="H2169" s="1031">
        <v>-123000</v>
      </c>
      <c r="I2169" s="1032" t="s">
        <v>1283</v>
      </c>
    </row>
    <row r="2170" spans="1:9" x14ac:dyDescent="0.25">
      <c r="A2170" s="1033"/>
      <c r="C2170" s="130" t="s">
        <v>1284</v>
      </c>
      <c r="D2170" s="130">
        <v>16</v>
      </c>
      <c r="E2170" s="130" t="s">
        <v>1284</v>
      </c>
      <c r="F2170" s="1031">
        <v>0</v>
      </c>
      <c r="G2170" s="1031">
        <v>90.83</v>
      </c>
      <c r="H2170" s="1031">
        <v>90.83</v>
      </c>
      <c r="I2170" s="1032" t="s">
        <v>1285</v>
      </c>
    </row>
    <row r="2171" spans="1:9" x14ac:dyDescent="0.25">
      <c r="A2171" s="1033"/>
      <c r="C2171" s="130" t="s">
        <v>1286</v>
      </c>
      <c r="D2171" s="130">
        <v>16</v>
      </c>
      <c r="E2171" s="130" t="s">
        <v>1286</v>
      </c>
      <c r="F2171" s="1031">
        <v>0</v>
      </c>
      <c r="G2171" s="1031">
        <v>121962.32</v>
      </c>
      <c r="H2171" s="1031">
        <v>121962.32</v>
      </c>
      <c r="I2171" s="1032" t="s">
        <v>1287</v>
      </c>
    </row>
    <row r="2172" spans="1:9" x14ac:dyDescent="0.25">
      <c r="A2172" s="1033"/>
      <c r="C2172" s="130">
        <v>450</v>
      </c>
      <c r="D2172" s="130">
        <v>16</v>
      </c>
      <c r="E2172" s="130" t="s">
        <v>220</v>
      </c>
      <c r="F2172" s="1031">
        <v>0</v>
      </c>
      <c r="G2172" s="1031">
        <v>-4879.12</v>
      </c>
      <c r="H2172" s="1031">
        <v>-4879.12</v>
      </c>
      <c r="I2172" s="1032" t="s">
        <v>1292</v>
      </c>
    </row>
    <row r="2173" spans="1:9" x14ac:dyDescent="0.25">
      <c r="A2173" s="1033"/>
      <c r="C2173" s="130">
        <v>450</v>
      </c>
      <c r="D2173" s="130">
        <v>16</v>
      </c>
      <c r="E2173" s="130">
        <v>450</v>
      </c>
      <c r="F2173" s="1031">
        <v>0</v>
      </c>
      <c r="G2173" s="1031">
        <v>-2394</v>
      </c>
      <c r="H2173" s="1031">
        <v>-2394</v>
      </c>
      <c r="I2173" s="1032" t="s">
        <v>1293</v>
      </c>
    </row>
    <row r="2174" spans="1:9" x14ac:dyDescent="0.25">
      <c r="A2174" s="1033"/>
      <c r="C2174" s="130">
        <v>450</v>
      </c>
      <c r="D2174" s="130">
        <v>16</v>
      </c>
      <c r="E2174" s="130" t="s">
        <v>1294</v>
      </c>
      <c r="F2174" s="1031">
        <v>0</v>
      </c>
      <c r="G2174" s="1031">
        <v>-4760</v>
      </c>
      <c r="H2174" s="1031">
        <v>-4760</v>
      </c>
      <c r="I2174" s="1032" t="s">
        <v>1295</v>
      </c>
    </row>
    <row r="2175" spans="1:9" x14ac:dyDescent="0.25">
      <c r="A2175" s="1033"/>
      <c r="C2175" s="130">
        <v>450</v>
      </c>
      <c r="D2175" s="130">
        <v>16</v>
      </c>
      <c r="E2175" s="130">
        <v>650</v>
      </c>
      <c r="F2175" s="1031">
        <v>0</v>
      </c>
      <c r="G2175" s="1031">
        <v>420</v>
      </c>
      <c r="H2175" s="1031">
        <v>420</v>
      </c>
      <c r="I2175" s="1032" t="s">
        <v>1296</v>
      </c>
    </row>
    <row r="2176" spans="1:9" x14ac:dyDescent="0.25">
      <c r="A2176" s="1033"/>
      <c r="C2176" s="130" t="s">
        <v>1302</v>
      </c>
      <c r="D2176" s="130">
        <v>16</v>
      </c>
      <c r="E2176" s="130" t="s">
        <v>1303</v>
      </c>
      <c r="F2176" s="1031">
        <v>0</v>
      </c>
      <c r="G2176" s="1031">
        <v>210</v>
      </c>
      <c r="H2176" s="1031">
        <v>210</v>
      </c>
      <c r="I2176" s="1032" t="s">
        <v>1304</v>
      </c>
    </row>
    <row r="2177" spans="1:9" x14ac:dyDescent="0.25">
      <c r="A2177" s="1033"/>
      <c r="C2177" s="130" t="s">
        <v>1302</v>
      </c>
      <c r="D2177" s="130">
        <v>16</v>
      </c>
      <c r="E2177" s="130" t="s">
        <v>1305</v>
      </c>
      <c r="F2177" s="1031">
        <v>0</v>
      </c>
      <c r="G2177" s="1031">
        <v>-1197</v>
      </c>
      <c r="H2177" s="1031">
        <v>-1197</v>
      </c>
      <c r="I2177" s="1032" t="s">
        <v>1306</v>
      </c>
    </row>
    <row r="2178" spans="1:9" x14ac:dyDescent="0.25">
      <c r="A2178" s="1033"/>
      <c r="C2178" s="130" t="s">
        <v>1302</v>
      </c>
      <c r="D2178" s="130">
        <v>16</v>
      </c>
      <c r="E2178" s="130" t="s">
        <v>1307</v>
      </c>
      <c r="F2178" s="1031">
        <v>0</v>
      </c>
      <c r="G2178" s="1031">
        <v>-1898.33</v>
      </c>
      <c r="H2178" s="1031">
        <v>-1898.33</v>
      </c>
      <c r="I2178" s="1032" t="s">
        <v>1308</v>
      </c>
    </row>
    <row r="2179" spans="1:9" x14ac:dyDescent="0.25">
      <c r="A2179" s="1033"/>
      <c r="C2179" s="130">
        <v>452</v>
      </c>
      <c r="D2179" s="130">
        <v>16</v>
      </c>
      <c r="E2179" s="130">
        <v>452</v>
      </c>
      <c r="F2179" s="1031">
        <v>0</v>
      </c>
      <c r="G2179" s="1031">
        <v>-6829</v>
      </c>
      <c r="H2179" s="1031">
        <v>-6829</v>
      </c>
      <c r="I2179" s="1032" t="s">
        <v>1311</v>
      </c>
    </row>
    <row r="2180" spans="1:9" x14ac:dyDescent="0.25">
      <c r="A2180" s="1033"/>
      <c r="C2180" s="130">
        <v>652</v>
      </c>
      <c r="D2180" s="130">
        <v>16</v>
      </c>
      <c r="E2180" s="130">
        <v>652</v>
      </c>
      <c r="F2180" s="1031">
        <v>0</v>
      </c>
      <c r="G2180" s="1031">
        <v>4329</v>
      </c>
      <c r="H2180" s="1031">
        <v>4329</v>
      </c>
      <c r="I2180" s="1032" t="s">
        <v>1312</v>
      </c>
    </row>
    <row r="2181" spans="1:9" x14ac:dyDescent="0.25">
      <c r="A2181" s="1033"/>
      <c r="C2181" s="130" t="s">
        <v>1315</v>
      </c>
      <c r="D2181" s="130">
        <v>16</v>
      </c>
      <c r="E2181" s="130" t="s">
        <v>1315</v>
      </c>
      <c r="F2181" s="1031">
        <v>0</v>
      </c>
      <c r="G2181" s="1031">
        <v>-7417.19</v>
      </c>
      <c r="H2181" s="1031">
        <v>-7417.19</v>
      </c>
      <c r="I2181" s="1032" t="s">
        <v>1316</v>
      </c>
    </row>
    <row r="2182" spans="1:9" x14ac:dyDescent="0.25">
      <c r="A2182" s="1033"/>
      <c r="C2182" s="130" t="s">
        <v>1317</v>
      </c>
      <c r="D2182" s="130">
        <v>16</v>
      </c>
      <c r="E2182" s="130" t="s">
        <v>1317</v>
      </c>
      <c r="F2182" s="1031">
        <v>0</v>
      </c>
      <c r="G2182" s="1031">
        <v>6103</v>
      </c>
      <c r="H2182" s="1031">
        <v>6103</v>
      </c>
      <c r="I2182" s="1032" t="s">
        <v>1318</v>
      </c>
    </row>
    <row r="2183" spans="1:9" x14ac:dyDescent="0.25">
      <c r="A2183" s="1033">
        <v>707028</v>
      </c>
      <c r="B2183" s="129">
        <v>3973</v>
      </c>
      <c r="E2183" s="130"/>
    </row>
    <row r="2184" spans="1:9" x14ac:dyDescent="0.25">
      <c r="A2184" s="1033">
        <v>707112</v>
      </c>
      <c r="B2184" s="129">
        <v>4</v>
      </c>
      <c r="C2184" s="130" t="s">
        <v>1319</v>
      </c>
      <c r="D2184" s="130">
        <v>16</v>
      </c>
      <c r="E2184" s="130" t="s">
        <v>1319</v>
      </c>
      <c r="F2184" s="1031">
        <v>0</v>
      </c>
      <c r="G2184" s="1031">
        <v>-0.04</v>
      </c>
      <c r="H2184" s="1031">
        <v>-0.04</v>
      </c>
      <c r="I2184" s="1032" t="s">
        <v>1320</v>
      </c>
    </row>
    <row r="2185" spans="1:9" x14ac:dyDescent="0.25">
      <c r="A2185" s="1033">
        <v>707114</v>
      </c>
      <c r="B2185" s="129">
        <v>108991</v>
      </c>
      <c r="C2185" s="130">
        <v>442</v>
      </c>
      <c r="D2185" s="130">
        <v>16</v>
      </c>
      <c r="E2185" s="130">
        <v>442</v>
      </c>
      <c r="F2185" s="1031">
        <v>0</v>
      </c>
      <c r="G2185" s="1031">
        <v>-108991</v>
      </c>
      <c r="H2185" s="1031">
        <v>-108991</v>
      </c>
      <c r="I2185" s="1032" t="s">
        <v>1321</v>
      </c>
    </row>
    <row r="2186" spans="1:9" x14ac:dyDescent="0.25">
      <c r="A2186" s="1033">
        <v>707116</v>
      </c>
      <c r="B2186" s="129">
        <v>10100</v>
      </c>
      <c r="C2186" s="130">
        <v>442</v>
      </c>
      <c r="D2186" s="130">
        <v>16</v>
      </c>
      <c r="E2186" s="130">
        <v>442</v>
      </c>
      <c r="F2186" s="1031">
        <v>0</v>
      </c>
      <c r="G2186" s="1031">
        <v>-108991</v>
      </c>
      <c r="H2186" s="1031">
        <v>-108991</v>
      </c>
      <c r="I2186" s="1032" t="s">
        <v>1321</v>
      </c>
    </row>
    <row r="2187" spans="1:9" x14ac:dyDescent="0.25">
      <c r="A2187" s="1033"/>
      <c r="C2187" s="130">
        <v>642</v>
      </c>
      <c r="D2187" s="130">
        <v>16</v>
      </c>
      <c r="E2187" s="130">
        <v>642</v>
      </c>
      <c r="F2187" s="1031">
        <v>0</v>
      </c>
      <c r="G2187" s="1031">
        <v>98891.09</v>
      </c>
      <c r="H2187" s="1031">
        <v>98891.09</v>
      </c>
      <c r="I2187" s="1032" t="s">
        <v>1322</v>
      </c>
    </row>
    <row r="2188" spans="1:9" x14ac:dyDescent="0.25">
      <c r="A2188" s="1033">
        <v>707118</v>
      </c>
      <c r="B2188" s="129">
        <v>2525</v>
      </c>
      <c r="E2188" s="130"/>
    </row>
    <row r="2189" spans="1:9" x14ac:dyDescent="0.25">
      <c r="A2189" s="1033">
        <v>707122</v>
      </c>
      <c r="B2189" s="129">
        <v>4</v>
      </c>
      <c r="C2189" s="130" t="s">
        <v>1319</v>
      </c>
      <c r="D2189" s="130">
        <v>16</v>
      </c>
      <c r="E2189" s="130" t="s">
        <v>1319</v>
      </c>
      <c r="F2189" s="1031">
        <v>0</v>
      </c>
      <c r="G2189" s="1031">
        <v>-0.04</v>
      </c>
      <c r="H2189" s="1031">
        <v>-0.04</v>
      </c>
      <c r="I2189" s="1032" t="s">
        <v>1320</v>
      </c>
    </row>
    <row r="2190" spans="1:9" x14ac:dyDescent="0.25">
      <c r="A2190" s="1033">
        <v>707124</v>
      </c>
      <c r="B2190" s="129">
        <v>108991</v>
      </c>
      <c r="C2190" s="130">
        <v>442</v>
      </c>
      <c r="D2190" s="130">
        <v>16</v>
      </c>
      <c r="E2190" s="130">
        <v>442</v>
      </c>
      <c r="F2190" s="1031">
        <v>0</v>
      </c>
      <c r="G2190" s="1031">
        <v>-108991</v>
      </c>
      <c r="H2190" s="1031">
        <v>-108991</v>
      </c>
      <c r="I2190" s="1032" t="s">
        <v>1321</v>
      </c>
    </row>
    <row r="2191" spans="1:9" x14ac:dyDescent="0.25">
      <c r="A2191" s="1033">
        <v>707126</v>
      </c>
      <c r="B2191" s="129">
        <v>10100</v>
      </c>
      <c r="C2191" s="130">
        <v>442</v>
      </c>
      <c r="D2191" s="130">
        <v>16</v>
      </c>
      <c r="E2191" s="130">
        <v>442</v>
      </c>
      <c r="F2191" s="1031">
        <v>0</v>
      </c>
      <c r="G2191" s="1031">
        <v>-108991</v>
      </c>
      <c r="H2191" s="1031">
        <v>-108991</v>
      </c>
      <c r="I2191" s="1032" t="s">
        <v>1321</v>
      </c>
    </row>
    <row r="2192" spans="1:9" x14ac:dyDescent="0.25">
      <c r="A2192" s="1033"/>
      <c r="C2192" s="130">
        <v>642</v>
      </c>
      <c r="D2192" s="130">
        <v>16</v>
      </c>
      <c r="E2192" s="130">
        <v>642</v>
      </c>
      <c r="F2192" s="1031">
        <v>0</v>
      </c>
      <c r="G2192" s="1031">
        <v>98891.09</v>
      </c>
      <c r="H2192" s="1031">
        <v>98891.09</v>
      </c>
      <c r="I2192" s="1032" t="s">
        <v>1322</v>
      </c>
    </row>
    <row r="2193" spans="1:9" x14ac:dyDescent="0.25">
      <c r="A2193" s="1033">
        <v>707128</v>
      </c>
      <c r="B2193" s="129">
        <v>2525</v>
      </c>
      <c r="E2193" s="130"/>
    </row>
    <row r="2194" spans="1:9" x14ac:dyDescent="0.25">
      <c r="A2194" s="1033">
        <v>707212</v>
      </c>
      <c r="E2194" s="130"/>
    </row>
    <row r="2195" spans="1:9" x14ac:dyDescent="0.25">
      <c r="A2195" s="1033">
        <v>707214</v>
      </c>
      <c r="E2195" s="130"/>
    </row>
    <row r="2196" spans="1:9" x14ac:dyDescent="0.25">
      <c r="A2196" s="1033">
        <v>707222</v>
      </c>
      <c r="E2196" s="130"/>
    </row>
    <row r="2197" spans="1:9" x14ac:dyDescent="0.25">
      <c r="A2197" s="1033">
        <v>707224</v>
      </c>
      <c r="E2197" s="130"/>
    </row>
    <row r="2198" spans="1:9" x14ac:dyDescent="0.25">
      <c r="A2198" s="1033">
        <v>707322</v>
      </c>
      <c r="B2198" s="129">
        <v>10</v>
      </c>
      <c r="C2198" s="130" t="s">
        <v>1323</v>
      </c>
      <c r="D2198" s="130">
        <v>16</v>
      </c>
      <c r="E2198" s="130" t="s">
        <v>1323</v>
      </c>
      <c r="F2198" s="1031">
        <v>0</v>
      </c>
      <c r="G2198" s="1031">
        <v>-0.1</v>
      </c>
      <c r="H2198" s="1031">
        <v>-0.1</v>
      </c>
      <c r="I2198" s="1032" t="s">
        <v>1324</v>
      </c>
    </row>
    <row r="2199" spans="1:9" x14ac:dyDescent="0.25">
      <c r="A2199" s="1033">
        <v>707412</v>
      </c>
      <c r="B2199" s="129">
        <v>3</v>
      </c>
      <c r="C2199" s="130" t="s">
        <v>1325</v>
      </c>
      <c r="D2199" s="130">
        <v>16</v>
      </c>
      <c r="E2199" s="130" t="s">
        <v>1325</v>
      </c>
      <c r="F2199" s="1031">
        <v>0</v>
      </c>
      <c r="G2199" s="1031">
        <v>-0.02</v>
      </c>
      <c r="H2199" s="1031">
        <v>-0.02</v>
      </c>
      <c r="I2199" s="1032" t="s">
        <v>1326</v>
      </c>
    </row>
    <row r="2200" spans="1:9" x14ac:dyDescent="0.25">
      <c r="A2200" s="1033"/>
      <c r="C2200" s="130" t="s">
        <v>1327</v>
      </c>
      <c r="D2200" s="130">
        <v>16</v>
      </c>
      <c r="E2200" s="130" t="s">
        <v>1327</v>
      </c>
      <c r="F2200" s="1031">
        <v>0</v>
      </c>
      <c r="G2200" s="1031">
        <v>-0.01</v>
      </c>
      <c r="H2200" s="1031">
        <v>-0.01</v>
      </c>
      <c r="I2200" s="1032" t="s">
        <v>1328</v>
      </c>
    </row>
    <row r="2201" spans="1:9" x14ac:dyDescent="0.25">
      <c r="A2201" s="1033">
        <v>707422</v>
      </c>
      <c r="B2201" s="129">
        <v>3</v>
      </c>
      <c r="C2201" s="130" t="s">
        <v>1325</v>
      </c>
      <c r="D2201" s="130">
        <v>16</v>
      </c>
      <c r="E2201" s="130" t="s">
        <v>1325</v>
      </c>
      <c r="F2201" s="1031">
        <v>0</v>
      </c>
      <c r="G2201" s="1031">
        <v>-0.02</v>
      </c>
      <c r="H2201" s="1031">
        <v>-0.02</v>
      </c>
      <c r="I2201" s="1032" t="s">
        <v>1326</v>
      </c>
    </row>
    <row r="2202" spans="1:9" x14ac:dyDescent="0.25">
      <c r="A2202" s="1033"/>
      <c r="C2202" s="130" t="s">
        <v>1327</v>
      </c>
      <c r="D2202" s="130">
        <v>16</v>
      </c>
      <c r="E2202" s="130" t="s">
        <v>1327</v>
      </c>
      <c r="F2202" s="1031">
        <v>0</v>
      </c>
      <c r="G2202" s="1031">
        <v>-0.01</v>
      </c>
      <c r="H2202" s="1031">
        <v>-0.01</v>
      </c>
      <c r="I2202" s="1032" t="s">
        <v>1328</v>
      </c>
    </row>
    <row r="2203" spans="1:9" x14ac:dyDescent="0.25">
      <c r="A2203" s="1033">
        <v>707512</v>
      </c>
      <c r="B2203" s="129">
        <v>0</v>
      </c>
      <c r="E2203" s="130"/>
    </row>
    <row r="2204" spans="1:9" x14ac:dyDescent="0.25">
      <c r="A2204" s="1033">
        <v>707514</v>
      </c>
      <c r="B2204" s="129">
        <v>0</v>
      </c>
      <c r="E2204" s="130"/>
    </row>
    <row r="2205" spans="1:9" x14ac:dyDescent="0.25">
      <c r="A2205" s="1033">
        <v>707516</v>
      </c>
      <c r="B2205" s="129">
        <v>0</v>
      </c>
      <c r="E2205" s="130"/>
    </row>
    <row r="2206" spans="1:9" x14ac:dyDescent="0.25">
      <c r="A2206" s="1033">
        <v>707518</v>
      </c>
      <c r="B2206" s="129">
        <v>0</v>
      </c>
      <c r="E2206" s="130"/>
    </row>
    <row r="2207" spans="1:9" x14ac:dyDescent="0.25">
      <c r="A2207" s="1033">
        <v>707522</v>
      </c>
      <c r="B2207" s="129">
        <v>0</v>
      </c>
      <c r="E2207" s="130"/>
    </row>
    <row r="2208" spans="1:9" x14ac:dyDescent="0.25">
      <c r="A2208" s="1033">
        <v>707524</v>
      </c>
      <c r="B2208" s="129">
        <v>0</v>
      </c>
      <c r="E2208" s="130"/>
    </row>
    <row r="2209" spans="1:5" x14ac:dyDescent="0.25">
      <c r="A2209" s="1033">
        <v>707526</v>
      </c>
      <c r="B2209" s="129">
        <v>0</v>
      </c>
      <c r="E2209" s="130"/>
    </row>
    <row r="2210" spans="1:5" x14ac:dyDescent="0.25">
      <c r="A2210" s="1033">
        <v>707528</v>
      </c>
      <c r="B2210" s="129">
        <v>0</v>
      </c>
      <c r="E2210" s="130"/>
    </row>
    <row r="2211" spans="1:5" x14ac:dyDescent="0.25">
      <c r="A2211" s="1033">
        <v>707612</v>
      </c>
      <c r="E2211" s="130"/>
    </row>
    <row r="2212" spans="1:5" x14ac:dyDescent="0.25">
      <c r="A2212" s="1033">
        <v>707614</v>
      </c>
      <c r="E2212" s="130"/>
    </row>
    <row r="2213" spans="1:5" x14ac:dyDescent="0.25">
      <c r="A2213" s="1033">
        <v>707616</v>
      </c>
      <c r="B2213" s="129">
        <v>0</v>
      </c>
      <c r="E2213" s="130"/>
    </row>
    <row r="2214" spans="1:5" x14ac:dyDescent="0.25">
      <c r="A2214" s="1033">
        <v>707618</v>
      </c>
      <c r="E2214" s="130"/>
    </row>
    <row r="2215" spans="1:5" x14ac:dyDescent="0.25">
      <c r="A2215" s="1033">
        <v>707622</v>
      </c>
      <c r="E2215" s="130"/>
    </row>
    <row r="2216" spans="1:5" x14ac:dyDescent="0.25">
      <c r="A2216" s="1033">
        <v>707624</v>
      </c>
      <c r="E2216" s="130"/>
    </row>
    <row r="2217" spans="1:5" x14ac:dyDescent="0.25">
      <c r="A2217" s="1033">
        <v>707626</v>
      </c>
      <c r="B2217" s="129">
        <v>0</v>
      </c>
      <c r="E2217" s="130"/>
    </row>
    <row r="2218" spans="1:5" x14ac:dyDescent="0.25">
      <c r="A2218" s="1033">
        <v>707628</v>
      </c>
      <c r="E2218" s="130"/>
    </row>
    <row r="2219" spans="1:5" x14ac:dyDescent="0.25">
      <c r="A2219" s="1033">
        <v>707712</v>
      </c>
      <c r="E2219" s="130"/>
    </row>
    <row r="2220" spans="1:5" x14ac:dyDescent="0.25">
      <c r="A2220" s="1033">
        <v>707714</v>
      </c>
      <c r="E2220" s="130"/>
    </row>
    <row r="2221" spans="1:5" x14ac:dyDescent="0.25">
      <c r="A2221" s="1033">
        <v>707716</v>
      </c>
      <c r="B2221" s="129">
        <v>0</v>
      </c>
      <c r="E2221" s="130"/>
    </row>
    <row r="2222" spans="1:5" x14ac:dyDescent="0.25">
      <c r="A2222" s="1033">
        <v>707718</v>
      </c>
      <c r="E2222" s="130"/>
    </row>
    <row r="2223" spans="1:5" x14ac:dyDescent="0.25">
      <c r="A2223" s="1033">
        <v>707722</v>
      </c>
      <c r="E2223" s="130"/>
    </row>
    <row r="2224" spans="1:5" x14ac:dyDescent="0.25">
      <c r="A2224" s="1033">
        <v>707724</v>
      </c>
      <c r="E2224" s="130"/>
    </row>
    <row r="2225" spans="1:9" x14ac:dyDescent="0.25">
      <c r="A2225" s="1033">
        <v>707726</v>
      </c>
      <c r="B2225" s="129">
        <v>0</v>
      </c>
      <c r="E2225" s="130"/>
    </row>
    <row r="2226" spans="1:9" x14ac:dyDescent="0.25">
      <c r="A2226" s="1033">
        <v>707728</v>
      </c>
      <c r="E2226" s="130"/>
    </row>
    <row r="2227" spans="1:9" x14ac:dyDescent="0.25">
      <c r="A2227" s="1033">
        <v>707812</v>
      </c>
      <c r="B2227" s="129">
        <v>4</v>
      </c>
      <c r="E2227" s="130"/>
    </row>
    <row r="2228" spans="1:9" x14ac:dyDescent="0.25">
      <c r="A2228" s="1033">
        <v>707822</v>
      </c>
      <c r="B2228" s="129">
        <v>4</v>
      </c>
      <c r="E2228" s="130"/>
    </row>
    <row r="2229" spans="1:9" x14ac:dyDescent="0.25">
      <c r="A2229" s="1033">
        <v>707912</v>
      </c>
      <c r="B2229" s="129">
        <v>13</v>
      </c>
      <c r="E2229" s="130"/>
    </row>
    <row r="2230" spans="1:9" x14ac:dyDescent="0.25">
      <c r="A2230" s="1033">
        <v>707922</v>
      </c>
      <c r="B2230" s="129">
        <v>13</v>
      </c>
      <c r="E2230" s="130"/>
    </row>
    <row r="2231" spans="1:9" x14ac:dyDescent="0.25">
      <c r="A2231" s="1033">
        <v>708012</v>
      </c>
      <c r="E2231" s="130"/>
    </row>
    <row r="2232" spans="1:9" x14ac:dyDescent="0.25">
      <c r="A2232" s="1033">
        <v>708018</v>
      </c>
      <c r="E2232" s="130"/>
    </row>
    <row r="2233" spans="1:9" x14ac:dyDescent="0.25">
      <c r="A2233" s="1033">
        <v>708022</v>
      </c>
      <c r="E2233" s="130"/>
    </row>
    <row r="2234" spans="1:9" x14ac:dyDescent="0.25">
      <c r="A2234" s="1033">
        <v>708028</v>
      </c>
      <c r="E2234" s="130"/>
    </row>
    <row r="2235" spans="1:9" x14ac:dyDescent="0.25">
      <c r="A2235" s="1033">
        <v>600112</v>
      </c>
      <c r="B2235" s="129">
        <v>3</v>
      </c>
      <c r="C2235" s="130" t="s">
        <v>1329</v>
      </c>
      <c r="D2235" s="130">
        <v>16</v>
      </c>
      <c r="E2235" s="130" t="s">
        <v>1329</v>
      </c>
      <c r="F2235" s="1031">
        <v>0</v>
      </c>
      <c r="G2235" s="1031">
        <v>-0.03</v>
      </c>
      <c r="H2235" s="1031">
        <v>-0.03</v>
      </c>
      <c r="I2235" s="1032" t="s">
        <v>1330</v>
      </c>
    </row>
    <row r="2236" spans="1:9" x14ac:dyDescent="0.25">
      <c r="A2236" s="1033">
        <v>600114</v>
      </c>
      <c r="B2236" s="129">
        <v>165737</v>
      </c>
      <c r="C2236" s="130">
        <v>416</v>
      </c>
      <c r="D2236" s="130">
        <v>16</v>
      </c>
      <c r="E2236" s="130">
        <v>416</v>
      </c>
      <c r="F2236" s="1031">
        <v>0</v>
      </c>
      <c r="G2236" s="1031">
        <v>-165736.57999999999</v>
      </c>
      <c r="H2236" s="1031">
        <v>-165736.57999999999</v>
      </c>
      <c r="I2236" s="1032" t="s">
        <v>1331</v>
      </c>
    </row>
    <row r="2237" spans="1:9" x14ac:dyDescent="0.25">
      <c r="A2237" s="1033">
        <v>600116</v>
      </c>
      <c r="B2237" s="129">
        <v>7318</v>
      </c>
      <c r="C2237" s="130">
        <v>416</v>
      </c>
      <c r="D2237" s="130">
        <v>16</v>
      </c>
      <c r="E2237" s="130">
        <v>416</v>
      </c>
      <c r="F2237" s="1031">
        <v>0</v>
      </c>
      <c r="G2237" s="1031">
        <v>-165736.57999999999</v>
      </c>
      <c r="H2237" s="1031">
        <v>-165736.57999999999</v>
      </c>
      <c r="I2237" s="1032" t="s">
        <v>1331</v>
      </c>
    </row>
    <row r="2238" spans="1:9" x14ac:dyDescent="0.25">
      <c r="A2238" s="1033"/>
      <c r="C2238" s="130">
        <v>616</v>
      </c>
      <c r="D2238" s="130">
        <v>16</v>
      </c>
      <c r="E2238" s="130">
        <v>616</v>
      </c>
      <c r="F2238" s="1031">
        <v>0</v>
      </c>
      <c r="G2238" s="1031">
        <v>158419.29</v>
      </c>
      <c r="H2238" s="1031">
        <v>158419.29</v>
      </c>
      <c r="I2238" s="1032" t="s">
        <v>1332</v>
      </c>
    </row>
    <row r="2239" spans="1:9" x14ac:dyDescent="0.25">
      <c r="A2239" s="1033">
        <v>600118</v>
      </c>
      <c r="B2239" s="129">
        <v>2439</v>
      </c>
      <c r="E2239" s="130"/>
    </row>
    <row r="2240" spans="1:9" x14ac:dyDescent="0.25">
      <c r="A2240" s="1033">
        <v>600122</v>
      </c>
      <c r="B2240" s="129">
        <v>3</v>
      </c>
      <c r="C2240" s="130" t="s">
        <v>1329</v>
      </c>
      <c r="D2240" s="130">
        <v>16</v>
      </c>
      <c r="E2240" s="130" t="s">
        <v>1329</v>
      </c>
      <c r="F2240" s="1031">
        <v>0</v>
      </c>
      <c r="G2240" s="1031">
        <v>-0.03</v>
      </c>
      <c r="H2240" s="1031">
        <v>-0.03</v>
      </c>
      <c r="I2240" s="1032" t="s">
        <v>1330</v>
      </c>
    </row>
    <row r="2241" spans="1:9" x14ac:dyDescent="0.25">
      <c r="A2241" s="1033">
        <v>600124</v>
      </c>
      <c r="B2241" s="129">
        <v>165737</v>
      </c>
      <c r="C2241" s="130">
        <v>416</v>
      </c>
      <c r="D2241" s="130">
        <v>16</v>
      </c>
      <c r="E2241" s="130">
        <v>416</v>
      </c>
      <c r="F2241" s="1031">
        <v>0</v>
      </c>
      <c r="G2241" s="1031">
        <v>-165736.57999999999</v>
      </c>
      <c r="H2241" s="1031">
        <v>-165736.57999999999</v>
      </c>
      <c r="I2241" s="1032" t="s">
        <v>1331</v>
      </c>
    </row>
    <row r="2242" spans="1:9" x14ac:dyDescent="0.25">
      <c r="A2242" s="1033">
        <v>600126</v>
      </c>
      <c r="B2242" s="129">
        <v>7318</v>
      </c>
      <c r="C2242" s="130">
        <v>416</v>
      </c>
      <c r="D2242" s="130">
        <v>16</v>
      </c>
      <c r="E2242" s="130">
        <v>416</v>
      </c>
      <c r="F2242" s="1031">
        <v>0</v>
      </c>
      <c r="G2242" s="1031">
        <v>-165736.57999999999</v>
      </c>
      <c r="H2242" s="1031">
        <v>-165736.57999999999</v>
      </c>
      <c r="I2242" s="1032" t="s">
        <v>1331</v>
      </c>
    </row>
    <row r="2243" spans="1:9" x14ac:dyDescent="0.25">
      <c r="A2243" s="1033"/>
      <c r="C2243" s="130">
        <v>616</v>
      </c>
      <c r="D2243" s="130">
        <v>16</v>
      </c>
      <c r="E2243" s="130">
        <v>616</v>
      </c>
      <c r="F2243" s="1031">
        <v>0</v>
      </c>
      <c r="G2243" s="1031">
        <v>158419.29</v>
      </c>
      <c r="H2243" s="1031">
        <v>158419.29</v>
      </c>
      <c r="I2243" s="1032" t="s">
        <v>1332</v>
      </c>
    </row>
    <row r="2244" spans="1:9" x14ac:dyDescent="0.25">
      <c r="A2244" s="1033">
        <v>600128</v>
      </c>
      <c r="B2244" s="129">
        <v>2439</v>
      </c>
      <c r="E2244" s="130"/>
    </row>
    <row r="2245" spans="1:9" x14ac:dyDescent="0.25">
      <c r="A2245" s="1033">
        <v>600212</v>
      </c>
      <c r="B2245" s="129">
        <v>0</v>
      </c>
      <c r="E2245" s="130"/>
    </row>
    <row r="2246" spans="1:9" x14ac:dyDescent="0.25">
      <c r="A2246" s="1033">
        <v>600214</v>
      </c>
      <c r="B2246" s="129">
        <v>0</v>
      </c>
      <c r="E2246" s="130"/>
    </row>
    <row r="2247" spans="1:9" x14ac:dyDescent="0.25">
      <c r="A2247" s="1033">
        <v>600216</v>
      </c>
      <c r="B2247" s="129">
        <v>0</v>
      </c>
      <c r="E2247" s="130"/>
    </row>
    <row r="2248" spans="1:9" x14ac:dyDescent="0.25">
      <c r="A2248" s="1033">
        <v>600218</v>
      </c>
      <c r="B2248" s="129">
        <v>0</v>
      </c>
      <c r="E2248" s="130"/>
    </row>
    <row r="2249" spans="1:9" x14ac:dyDescent="0.25">
      <c r="A2249" s="1033">
        <v>600222</v>
      </c>
      <c r="B2249" s="129">
        <v>0</v>
      </c>
      <c r="E2249" s="130"/>
    </row>
    <row r="2250" spans="1:9" x14ac:dyDescent="0.25">
      <c r="A2250" s="1033">
        <v>600224</v>
      </c>
      <c r="B2250" s="129">
        <v>0</v>
      </c>
      <c r="E2250" s="130"/>
    </row>
    <row r="2251" spans="1:9" x14ac:dyDescent="0.25">
      <c r="A2251" s="1033">
        <v>600226</v>
      </c>
      <c r="B2251" s="129">
        <v>0</v>
      </c>
      <c r="E2251" s="130"/>
    </row>
    <row r="2252" spans="1:9" x14ac:dyDescent="0.25">
      <c r="A2252" s="1033">
        <v>600228</v>
      </c>
      <c r="B2252" s="129">
        <v>0</v>
      </c>
      <c r="E2252" s="130"/>
    </row>
    <row r="2253" spans="1:9" x14ac:dyDescent="0.25">
      <c r="A2253" s="1033">
        <v>600312</v>
      </c>
      <c r="B2253" s="129">
        <v>3</v>
      </c>
      <c r="E2253" s="130"/>
    </row>
    <row r="2254" spans="1:9" x14ac:dyDescent="0.25">
      <c r="A2254" s="1033">
        <v>600314</v>
      </c>
      <c r="B2254" s="129">
        <v>165737</v>
      </c>
      <c r="E2254" s="130"/>
    </row>
    <row r="2255" spans="1:9" x14ac:dyDescent="0.25">
      <c r="A2255" s="1033">
        <v>600316</v>
      </c>
      <c r="B2255" s="129">
        <v>7318</v>
      </c>
      <c r="C2255" s="130">
        <v>416</v>
      </c>
      <c r="D2255" s="130">
        <v>16</v>
      </c>
      <c r="E2255" s="130">
        <v>416</v>
      </c>
      <c r="F2255" s="1031">
        <v>0</v>
      </c>
      <c r="G2255" s="1031">
        <v>-165736.57999999999</v>
      </c>
      <c r="H2255" s="1031">
        <v>-165736.57999999999</v>
      </c>
      <c r="I2255" s="1032" t="s">
        <v>1331</v>
      </c>
    </row>
    <row r="2256" spans="1:9" x14ac:dyDescent="0.25">
      <c r="A2256" s="1033"/>
      <c r="C2256" s="130">
        <v>616</v>
      </c>
      <c r="D2256" s="130">
        <v>16</v>
      </c>
      <c r="E2256" s="130">
        <v>616</v>
      </c>
      <c r="F2256" s="1031">
        <v>0</v>
      </c>
      <c r="G2256" s="1031">
        <v>158419.29</v>
      </c>
      <c r="H2256" s="1031">
        <v>158419.29</v>
      </c>
      <c r="I2256" s="1032" t="s">
        <v>1332</v>
      </c>
    </row>
    <row r="2257" spans="1:9" x14ac:dyDescent="0.25">
      <c r="A2257" s="1033">
        <v>600318</v>
      </c>
      <c r="B2257" s="129">
        <v>2439</v>
      </c>
      <c r="E2257" s="130"/>
    </row>
    <row r="2258" spans="1:9" x14ac:dyDescent="0.25">
      <c r="A2258" s="1033">
        <v>600322</v>
      </c>
      <c r="B2258" s="129">
        <v>3</v>
      </c>
      <c r="E2258" s="130"/>
    </row>
    <row r="2259" spans="1:9" x14ac:dyDescent="0.25">
      <c r="A2259" s="1033">
        <v>600324</v>
      </c>
      <c r="B2259" s="129">
        <v>165737</v>
      </c>
      <c r="E2259" s="130"/>
    </row>
    <row r="2260" spans="1:9" x14ac:dyDescent="0.25">
      <c r="A2260" s="1033">
        <v>600326</v>
      </c>
      <c r="B2260" s="129">
        <v>7318</v>
      </c>
      <c r="C2260" s="130">
        <v>416</v>
      </c>
      <c r="D2260" s="130">
        <v>16</v>
      </c>
      <c r="E2260" s="130">
        <v>416</v>
      </c>
      <c r="F2260" s="1031">
        <v>0</v>
      </c>
      <c r="G2260" s="1031">
        <v>-165736.57999999999</v>
      </c>
      <c r="H2260" s="1031">
        <v>-165736.57999999999</v>
      </c>
      <c r="I2260" s="1032" t="s">
        <v>1331</v>
      </c>
    </row>
    <row r="2261" spans="1:9" x14ac:dyDescent="0.25">
      <c r="A2261" s="1033"/>
      <c r="C2261" s="130">
        <v>616</v>
      </c>
      <c r="D2261" s="130">
        <v>16</v>
      </c>
      <c r="E2261" s="130">
        <v>616</v>
      </c>
      <c r="F2261" s="1031">
        <v>0</v>
      </c>
      <c r="G2261" s="1031">
        <v>158419.29</v>
      </c>
      <c r="H2261" s="1031">
        <v>158419.29</v>
      </c>
      <c r="I2261" s="1032" t="s">
        <v>1332</v>
      </c>
    </row>
    <row r="2262" spans="1:9" x14ac:dyDescent="0.25">
      <c r="A2262" s="1033">
        <v>600328</v>
      </c>
      <c r="B2262" s="129">
        <v>2439</v>
      </c>
      <c r="E2262" s="130"/>
    </row>
    <row r="2263" spans="1:9" x14ac:dyDescent="0.25">
      <c r="A2263" s="1033">
        <v>600412</v>
      </c>
      <c r="B2263" s="129">
        <v>0</v>
      </c>
      <c r="E2263" s="130"/>
    </row>
    <row r="2264" spans="1:9" x14ac:dyDescent="0.25">
      <c r="A2264" s="1033">
        <v>600414</v>
      </c>
      <c r="B2264" s="129">
        <v>0</v>
      </c>
      <c r="E2264" s="130"/>
    </row>
    <row r="2265" spans="1:9" x14ac:dyDescent="0.25">
      <c r="A2265" s="1033">
        <v>600416</v>
      </c>
      <c r="B2265" s="129">
        <v>0</v>
      </c>
      <c r="E2265" s="130"/>
    </row>
    <row r="2266" spans="1:9" x14ac:dyDescent="0.25">
      <c r="A2266" s="1033">
        <v>600418</v>
      </c>
      <c r="B2266" s="129">
        <v>0</v>
      </c>
      <c r="E2266" s="130"/>
    </row>
    <row r="2267" spans="1:9" x14ac:dyDescent="0.25">
      <c r="A2267" s="1033">
        <v>600422</v>
      </c>
      <c r="B2267" s="129">
        <v>0</v>
      </c>
      <c r="E2267" s="130"/>
    </row>
    <row r="2268" spans="1:9" x14ac:dyDescent="0.25">
      <c r="A2268" s="1033">
        <v>600424</v>
      </c>
      <c r="B2268" s="129">
        <v>0</v>
      </c>
      <c r="E2268" s="130"/>
    </row>
    <row r="2269" spans="1:9" x14ac:dyDescent="0.25">
      <c r="A2269" s="1033">
        <v>600426</v>
      </c>
      <c r="B2269" s="129">
        <v>0</v>
      </c>
      <c r="E2269" s="130"/>
    </row>
    <row r="2270" spans="1:9" x14ac:dyDescent="0.25">
      <c r="A2270" s="1033">
        <v>600428</v>
      </c>
      <c r="B2270" s="129">
        <v>0</v>
      </c>
      <c r="E2270" s="130"/>
    </row>
    <row r="2271" spans="1:9" x14ac:dyDescent="0.25">
      <c r="A2271" s="1033">
        <v>600512</v>
      </c>
      <c r="B2271" s="129">
        <v>0</v>
      </c>
      <c r="E2271" s="130"/>
    </row>
    <row r="2272" spans="1:9" x14ac:dyDescent="0.25">
      <c r="A2272" s="1033">
        <v>600514</v>
      </c>
      <c r="B2272" s="129">
        <v>0</v>
      </c>
      <c r="E2272" s="130"/>
    </row>
    <row r="2273" spans="1:5" x14ac:dyDescent="0.25">
      <c r="A2273" s="1033">
        <v>600516</v>
      </c>
      <c r="B2273" s="129">
        <v>0</v>
      </c>
      <c r="E2273" s="130"/>
    </row>
    <row r="2274" spans="1:5" x14ac:dyDescent="0.25">
      <c r="A2274" s="1033">
        <v>600518</v>
      </c>
      <c r="B2274" s="129">
        <v>0</v>
      </c>
      <c r="E2274" s="130"/>
    </row>
    <row r="2275" spans="1:5" x14ac:dyDescent="0.25">
      <c r="A2275" s="1033">
        <v>600522</v>
      </c>
      <c r="B2275" s="129">
        <v>0</v>
      </c>
      <c r="E2275" s="130"/>
    </row>
    <row r="2276" spans="1:5" x14ac:dyDescent="0.25">
      <c r="A2276" s="1033">
        <v>600524</v>
      </c>
      <c r="B2276" s="129">
        <v>0</v>
      </c>
      <c r="E2276" s="130"/>
    </row>
    <row r="2277" spans="1:5" x14ac:dyDescent="0.25">
      <c r="A2277" s="1033">
        <v>600526</v>
      </c>
      <c r="B2277" s="129">
        <v>0</v>
      </c>
      <c r="E2277" s="130"/>
    </row>
    <row r="2278" spans="1:5" x14ac:dyDescent="0.25">
      <c r="A2278" s="1033">
        <v>600528</v>
      </c>
      <c r="B2278" s="129">
        <v>0</v>
      </c>
      <c r="E2278" s="130"/>
    </row>
    <row r="2279" spans="1:5" x14ac:dyDescent="0.25">
      <c r="A2279" s="1033">
        <v>600612</v>
      </c>
      <c r="B2279" s="129">
        <v>0</v>
      </c>
      <c r="E2279" s="130"/>
    </row>
    <row r="2280" spans="1:5" x14ac:dyDescent="0.25">
      <c r="A2280" s="1033">
        <v>600614</v>
      </c>
      <c r="B2280" s="129">
        <v>0</v>
      </c>
      <c r="E2280" s="130"/>
    </row>
    <row r="2281" spans="1:5" x14ac:dyDescent="0.25">
      <c r="A2281" s="1033">
        <v>600616</v>
      </c>
      <c r="B2281" s="129">
        <v>0</v>
      </c>
      <c r="E2281" s="130"/>
    </row>
    <row r="2282" spans="1:5" x14ac:dyDescent="0.25">
      <c r="A2282" s="1033">
        <v>600618</v>
      </c>
      <c r="B2282" s="129">
        <v>0</v>
      </c>
      <c r="E2282" s="130"/>
    </row>
    <row r="2283" spans="1:5" x14ac:dyDescent="0.25">
      <c r="A2283" s="1033">
        <v>600622</v>
      </c>
      <c r="B2283" s="129">
        <v>0</v>
      </c>
      <c r="E2283" s="130"/>
    </row>
    <row r="2284" spans="1:5" x14ac:dyDescent="0.25">
      <c r="A2284" s="1033">
        <v>600624</v>
      </c>
      <c r="B2284" s="129">
        <v>0</v>
      </c>
      <c r="E2284" s="130"/>
    </row>
    <row r="2285" spans="1:5" x14ac:dyDescent="0.25">
      <c r="A2285" s="1033">
        <v>600626</v>
      </c>
      <c r="B2285" s="129">
        <v>0</v>
      </c>
      <c r="E2285" s="130"/>
    </row>
    <row r="2286" spans="1:5" x14ac:dyDescent="0.25">
      <c r="A2286" s="1033">
        <v>600628</v>
      </c>
      <c r="B2286" s="129">
        <v>0</v>
      </c>
      <c r="E2286" s="130"/>
    </row>
    <row r="2287" spans="1:5" x14ac:dyDescent="0.25">
      <c r="A2287" s="1033">
        <v>600712</v>
      </c>
      <c r="B2287" s="129">
        <v>0</v>
      </c>
      <c r="E2287" s="130"/>
    </row>
    <row r="2288" spans="1:5" x14ac:dyDescent="0.25">
      <c r="A2288" s="1033">
        <v>600714</v>
      </c>
      <c r="B2288" s="129">
        <v>0</v>
      </c>
      <c r="E2288" s="130"/>
    </row>
    <row r="2289" spans="1:5" x14ac:dyDescent="0.25">
      <c r="A2289" s="1033">
        <v>600716</v>
      </c>
      <c r="B2289" s="129">
        <v>0</v>
      </c>
      <c r="E2289" s="130"/>
    </row>
    <row r="2290" spans="1:5" x14ac:dyDescent="0.25">
      <c r="A2290" s="1033">
        <v>600718</v>
      </c>
      <c r="B2290" s="129">
        <v>0</v>
      </c>
      <c r="E2290" s="130"/>
    </row>
    <row r="2291" spans="1:5" x14ac:dyDescent="0.25">
      <c r="A2291" s="1033">
        <v>600722</v>
      </c>
      <c r="B2291" s="129">
        <v>0</v>
      </c>
      <c r="E2291" s="130"/>
    </row>
    <row r="2292" spans="1:5" x14ac:dyDescent="0.25">
      <c r="A2292" s="1033">
        <v>600724</v>
      </c>
      <c r="B2292" s="129">
        <v>0</v>
      </c>
      <c r="E2292" s="130"/>
    </row>
    <row r="2293" spans="1:5" x14ac:dyDescent="0.25">
      <c r="A2293" s="1033">
        <v>600726</v>
      </c>
      <c r="B2293" s="129">
        <v>0</v>
      </c>
      <c r="E2293" s="130"/>
    </row>
    <row r="2294" spans="1:5" x14ac:dyDescent="0.25">
      <c r="A2294" s="1033">
        <v>600728</v>
      </c>
      <c r="B2294" s="129">
        <v>0</v>
      </c>
      <c r="E2294" s="130"/>
    </row>
    <row r="2295" spans="1:5" x14ac:dyDescent="0.25">
      <c r="A2295" s="1033">
        <v>600812</v>
      </c>
      <c r="B2295" s="129">
        <v>0</v>
      </c>
      <c r="E2295" s="130"/>
    </row>
    <row r="2296" spans="1:5" x14ac:dyDescent="0.25">
      <c r="A2296" s="1033">
        <v>600814</v>
      </c>
      <c r="B2296" s="129">
        <v>0</v>
      </c>
      <c r="E2296" s="130"/>
    </row>
    <row r="2297" spans="1:5" x14ac:dyDescent="0.25">
      <c r="A2297" s="1033">
        <v>600816</v>
      </c>
      <c r="B2297" s="129">
        <v>0</v>
      </c>
      <c r="E2297" s="130"/>
    </row>
    <row r="2298" spans="1:5" x14ac:dyDescent="0.25">
      <c r="A2298" s="1033">
        <v>600818</v>
      </c>
      <c r="B2298" s="129">
        <v>0</v>
      </c>
      <c r="E2298" s="130"/>
    </row>
    <row r="2299" spans="1:5" x14ac:dyDescent="0.25">
      <c r="A2299" s="1033">
        <v>600822</v>
      </c>
      <c r="B2299" s="129">
        <v>0</v>
      </c>
      <c r="E2299" s="130"/>
    </row>
    <row r="2300" spans="1:5" x14ac:dyDescent="0.25">
      <c r="A2300" s="1033">
        <v>600824</v>
      </c>
      <c r="B2300" s="129">
        <v>0</v>
      </c>
      <c r="E2300" s="130"/>
    </row>
    <row r="2301" spans="1:5" x14ac:dyDescent="0.25">
      <c r="A2301" s="1033">
        <v>600826</v>
      </c>
      <c r="B2301" s="129">
        <v>0</v>
      </c>
      <c r="E2301" s="130"/>
    </row>
    <row r="2302" spans="1:5" x14ac:dyDescent="0.25">
      <c r="A2302" s="1033">
        <v>600828</v>
      </c>
      <c r="B2302" s="129">
        <v>0</v>
      </c>
      <c r="E2302" s="130"/>
    </row>
    <row r="2303" spans="1:5" x14ac:dyDescent="0.25">
      <c r="A2303" s="1033">
        <v>600912</v>
      </c>
      <c r="B2303" s="129">
        <v>0</v>
      </c>
      <c r="E2303" s="130"/>
    </row>
    <row r="2304" spans="1:5" x14ac:dyDescent="0.25">
      <c r="A2304" s="1033">
        <v>600914</v>
      </c>
      <c r="B2304" s="129">
        <v>0</v>
      </c>
      <c r="E2304" s="130"/>
    </row>
    <row r="2305" spans="1:5" x14ac:dyDescent="0.25">
      <c r="A2305" s="1033">
        <v>600916</v>
      </c>
      <c r="B2305" s="129">
        <v>0</v>
      </c>
      <c r="E2305" s="130"/>
    </row>
    <row r="2306" spans="1:5" x14ac:dyDescent="0.25">
      <c r="A2306" s="1033">
        <v>600918</v>
      </c>
      <c r="B2306" s="129">
        <v>0</v>
      </c>
      <c r="E2306" s="130"/>
    </row>
    <row r="2307" spans="1:5" x14ac:dyDescent="0.25">
      <c r="A2307" s="1033">
        <v>600922</v>
      </c>
      <c r="B2307" s="129">
        <v>0</v>
      </c>
      <c r="E2307" s="130"/>
    </row>
    <row r="2308" spans="1:5" x14ac:dyDescent="0.25">
      <c r="A2308" s="1033">
        <v>600924</v>
      </c>
      <c r="B2308" s="129">
        <v>0</v>
      </c>
      <c r="E2308" s="130"/>
    </row>
    <row r="2309" spans="1:5" x14ac:dyDescent="0.25">
      <c r="A2309" s="1033">
        <v>600926</v>
      </c>
      <c r="B2309" s="129">
        <v>0</v>
      </c>
      <c r="E2309" s="130"/>
    </row>
    <row r="2310" spans="1:5" x14ac:dyDescent="0.25">
      <c r="A2310" s="1033">
        <v>600928</v>
      </c>
      <c r="B2310" s="129">
        <v>0</v>
      </c>
      <c r="E2310" s="130"/>
    </row>
    <row r="2311" spans="1:5" x14ac:dyDescent="0.25">
      <c r="A2311" s="1033">
        <v>601012</v>
      </c>
      <c r="B2311" s="129">
        <v>0</v>
      </c>
      <c r="E2311" s="130"/>
    </row>
    <row r="2312" spans="1:5" x14ac:dyDescent="0.25">
      <c r="A2312" s="1033">
        <v>601014</v>
      </c>
      <c r="B2312" s="129">
        <v>0</v>
      </c>
      <c r="E2312" s="130"/>
    </row>
    <row r="2313" spans="1:5" x14ac:dyDescent="0.25">
      <c r="A2313" s="1033">
        <v>601016</v>
      </c>
      <c r="B2313" s="129">
        <v>0</v>
      </c>
      <c r="E2313" s="130"/>
    </row>
    <row r="2314" spans="1:5" x14ac:dyDescent="0.25">
      <c r="A2314" s="1033">
        <v>601018</v>
      </c>
      <c r="B2314" s="129">
        <v>0</v>
      </c>
      <c r="E2314" s="130"/>
    </row>
    <row r="2315" spans="1:5" x14ac:dyDescent="0.25">
      <c r="A2315" s="1033">
        <v>601022</v>
      </c>
      <c r="B2315" s="129">
        <v>0</v>
      </c>
      <c r="E2315" s="130"/>
    </row>
    <row r="2316" spans="1:5" x14ac:dyDescent="0.25">
      <c r="A2316" s="1033">
        <v>601024</v>
      </c>
      <c r="B2316" s="129">
        <v>0</v>
      </c>
      <c r="E2316" s="130"/>
    </row>
    <row r="2317" spans="1:5" x14ac:dyDescent="0.25">
      <c r="A2317" s="1033">
        <v>601026</v>
      </c>
      <c r="B2317" s="129">
        <v>0</v>
      </c>
      <c r="E2317" s="130"/>
    </row>
    <row r="2318" spans="1:5" x14ac:dyDescent="0.25">
      <c r="A2318" s="1033">
        <v>601028</v>
      </c>
      <c r="B2318" s="129">
        <v>0</v>
      </c>
      <c r="E2318" s="130"/>
    </row>
    <row r="2319" spans="1:5" x14ac:dyDescent="0.25">
      <c r="A2319" s="1033">
        <v>601112</v>
      </c>
      <c r="B2319" s="129">
        <v>0</v>
      </c>
      <c r="E2319" s="130"/>
    </row>
    <row r="2320" spans="1:5" x14ac:dyDescent="0.25">
      <c r="A2320" s="1033">
        <v>601114</v>
      </c>
      <c r="B2320" s="129">
        <v>0</v>
      </c>
      <c r="E2320" s="130"/>
    </row>
    <row r="2321" spans="1:5" x14ac:dyDescent="0.25">
      <c r="A2321" s="1033">
        <v>601116</v>
      </c>
      <c r="B2321" s="129">
        <v>0</v>
      </c>
      <c r="E2321" s="130"/>
    </row>
    <row r="2322" spans="1:5" x14ac:dyDescent="0.25">
      <c r="A2322" s="1033">
        <v>601118</v>
      </c>
      <c r="B2322" s="129">
        <v>0</v>
      </c>
      <c r="E2322" s="130"/>
    </row>
    <row r="2323" spans="1:5" x14ac:dyDescent="0.25">
      <c r="A2323" s="1033">
        <v>601122</v>
      </c>
      <c r="B2323" s="129">
        <v>0</v>
      </c>
      <c r="E2323" s="130"/>
    </row>
    <row r="2324" spans="1:5" x14ac:dyDescent="0.25">
      <c r="A2324" s="1033">
        <v>601124</v>
      </c>
      <c r="B2324" s="129">
        <v>0</v>
      </c>
      <c r="E2324" s="130"/>
    </row>
    <row r="2325" spans="1:5" x14ac:dyDescent="0.25">
      <c r="A2325" s="1033">
        <v>601126</v>
      </c>
      <c r="B2325" s="129">
        <v>0</v>
      </c>
      <c r="E2325" s="130"/>
    </row>
    <row r="2326" spans="1:5" x14ac:dyDescent="0.25">
      <c r="A2326" s="1033">
        <v>601128</v>
      </c>
      <c r="B2326" s="129">
        <v>0</v>
      </c>
      <c r="E2326" s="130"/>
    </row>
    <row r="2327" spans="1:5" x14ac:dyDescent="0.25">
      <c r="A2327" s="1033">
        <v>601212</v>
      </c>
      <c r="B2327" s="129">
        <v>0</v>
      </c>
      <c r="E2327" s="130"/>
    </row>
    <row r="2328" spans="1:5" x14ac:dyDescent="0.25">
      <c r="A2328" s="1033">
        <v>601214</v>
      </c>
      <c r="B2328" s="129">
        <v>0</v>
      </c>
      <c r="E2328" s="130"/>
    </row>
    <row r="2329" spans="1:5" x14ac:dyDescent="0.25">
      <c r="A2329" s="1033">
        <v>601216</v>
      </c>
      <c r="B2329" s="129">
        <v>0</v>
      </c>
      <c r="E2329" s="130"/>
    </row>
    <row r="2330" spans="1:5" x14ac:dyDescent="0.25">
      <c r="A2330" s="1033">
        <v>601218</v>
      </c>
      <c r="B2330" s="129">
        <v>0</v>
      </c>
      <c r="E2330" s="130"/>
    </row>
    <row r="2331" spans="1:5" x14ac:dyDescent="0.25">
      <c r="A2331" s="1033">
        <v>601222</v>
      </c>
      <c r="B2331" s="129">
        <v>0</v>
      </c>
      <c r="E2331" s="130"/>
    </row>
    <row r="2332" spans="1:5" x14ac:dyDescent="0.25">
      <c r="A2332" s="1033">
        <v>601224</v>
      </c>
      <c r="B2332" s="129">
        <v>0</v>
      </c>
      <c r="E2332" s="130"/>
    </row>
    <row r="2333" spans="1:5" x14ac:dyDescent="0.25">
      <c r="A2333" s="1033">
        <v>601226</v>
      </c>
      <c r="B2333" s="129">
        <v>0</v>
      </c>
      <c r="E2333" s="130"/>
    </row>
    <row r="2334" spans="1:5" x14ac:dyDescent="0.25">
      <c r="A2334" s="1033">
        <v>601228</v>
      </c>
      <c r="B2334" s="129">
        <v>0</v>
      </c>
      <c r="E2334" s="130"/>
    </row>
    <row r="2335" spans="1:5" x14ac:dyDescent="0.25">
      <c r="A2335" s="1033">
        <v>601312</v>
      </c>
      <c r="B2335" s="129">
        <v>0</v>
      </c>
      <c r="E2335" s="130"/>
    </row>
    <row r="2336" spans="1:5" x14ac:dyDescent="0.25">
      <c r="A2336" s="1033">
        <v>601314</v>
      </c>
      <c r="B2336" s="129">
        <v>0</v>
      </c>
      <c r="E2336" s="130"/>
    </row>
    <row r="2337" spans="1:5" x14ac:dyDescent="0.25">
      <c r="A2337" s="1033">
        <v>601316</v>
      </c>
      <c r="B2337" s="129">
        <v>0</v>
      </c>
      <c r="E2337" s="130"/>
    </row>
    <row r="2338" spans="1:5" x14ac:dyDescent="0.25">
      <c r="A2338" s="1033">
        <v>601318</v>
      </c>
      <c r="B2338" s="129">
        <v>0</v>
      </c>
      <c r="E2338" s="130"/>
    </row>
    <row r="2339" spans="1:5" x14ac:dyDescent="0.25">
      <c r="A2339" s="1033">
        <v>601322</v>
      </c>
      <c r="B2339" s="129">
        <v>0</v>
      </c>
      <c r="E2339" s="130"/>
    </row>
    <row r="2340" spans="1:5" x14ac:dyDescent="0.25">
      <c r="A2340" s="1033">
        <v>601324</v>
      </c>
      <c r="B2340" s="129">
        <v>0</v>
      </c>
      <c r="E2340" s="130"/>
    </row>
    <row r="2341" spans="1:5" x14ac:dyDescent="0.25">
      <c r="A2341" s="1033">
        <v>601326</v>
      </c>
      <c r="B2341" s="129">
        <v>0</v>
      </c>
      <c r="E2341" s="130"/>
    </row>
    <row r="2342" spans="1:5" x14ac:dyDescent="0.25">
      <c r="A2342" s="1033">
        <v>601328</v>
      </c>
      <c r="B2342" s="129">
        <v>0</v>
      </c>
      <c r="E2342" s="130"/>
    </row>
    <row r="2343" spans="1:5" x14ac:dyDescent="0.25">
      <c r="A2343" s="1033">
        <v>601412</v>
      </c>
      <c r="B2343" s="129">
        <v>0</v>
      </c>
      <c r="E2343" s="130"/>
    </row>
    <row r="2344" spans="1:5" x14ac:dyDescent="0.25">
      <c r="A2344" s="1033">
        <v>601414</v>
      </c>
      <c r="B2344" s="129">
        <v>0</v>
      </c>
      <c r="E2344" s="130"/>
    </row>
    <row r="2345" spans="1:5" x14ac:dyDescent="0.25">
      <c r="A2345" s="1033">
        <v>601416</v>
      </c>
      <c r="B2345" s="129">
        <v>0</v>
      </c>
      <c r="E2345" s="130"/>
    </row>
    <row r="2346" spans="1:5" x14ac:dyDescent="0.25">
      <c r="A2346" s="1033">
        <v>601418</v>
      </c>
      <c r="B2346" s="129">
        <v>0</v>
      </c>
      <c r="E2346" s="130"/>
    </row>
    <row r="2347" spans="1:5" x14ac:dyDescent="0.25">
      <c r="A2347" s="1033">
        <v>601422</v>
      </c>
      <c r="B2347" s="129">
        <v>0</v>
      </c>
      <c r="E2347" s="130"/>
    </row>
    <row r="2348" spans="1:5" x14ac:dyDescent="0.25">
      <c r="A2348" s="1033">
        <v>601424</v>
      </c>
      <c r="B2348" s="129">
        <v>0</v>
      </c>
      <c r="E2348" s="130"/>
    </row>
    <row r="2349" spans="1:5" x14ac:dyDescent="0.25">
      <c r="A2349" s="1033">
        <v>601426</v>
      </c>
      <c r="B2349" s="129">
        <v>0</v>
      </c>
      <c r="E2349" s="130"/>
    </row>
    <row r="2350" spans="1:5" x14ac:dyDescent="0.25">
      <c r="A2350" s="1033">
        <v>601428</v>
      </c>
      <c r="B2350" s="129">
        <v>0</v>
      </c>
      <c r="E2350" s="130"/>
    </row>
    <row r="2351" spans="1:5" x14ac:dyDescent="0.25">
      <c r="A2351" s="1033">
        <v>601512</v>
      </c>
      <c r="B2351" s="129">
        <v>0</v>
      </c>
      <c r="E2351" s="130"/>
    </row>
    <row r="2352" spans="1:5" x14ac:dyDescent="0.25">
      <c r="A2352" s="1033">
        <v>601514</v>
      </c>
      <c r="B2352" s="129">
        <v>0</v>
      </c>
      <c r="E2352" s="130"/>
    </row>
    <row r="2353" spans="1:5" x14ac:dyDescent="0.25">
      <c r="A2353" s="1033">
        <v>601516</v>
      </c>
      <c r="B2353" s="129">
        <v>0</v>
      </c>
      <c r="E2353" s="130"/>
    </row>
    <row r="2354" spans="1:5" x14ac:dyDescent="0.25">
      <c r="A2354" s="1033">
        <v>601518</v>
      </c>
      <c r="B2354" s="129">
        <v>0</v>
      </c>
      <c r="E2354" s="130"/>
    </row>
    <row r="2355" spans="1:5" x14ac:dyDescent="0.25">
      <c r="A2355" s="1033">
        <v>601522</v>
      </c>
      <c r="B2355" s="129">
        <v>0</v>
      </c>
      <c r="E2355" s="130"/>
    </row>
    <row r="2356" spans="1:5" x14ac:dyDescent="0.25">
      <c r="A2356" s="1033">
        <v>601524</v>
      </c>
      <c r="B2356" s="129">
        <v>0</v>
      </c>
      <c r="E2356" s="130"/>
    </row>
    <row r="2357" spans="1:5" x14ac:dyDescent="0.25">
      <c r="A2357" s="1033">
        <v>601526</v>
      </c>
      <c r="B2357" s="129">
        <v>0</v>
      </c>
      <c r="E2357" s="130"/>
    </row>
    <row r="2358" spans="1:5" x14ac:dyDescent="0.25">
      <c r="A2358" s="1033">
        <v>601528</v>
      </c>
      <c r="B2358" s="129">
        <v>0</v>
      </c>
      <c r="E2358" s="130"/>
    </row>
    <row r="2359" spans="1:5" x14ac:dyDescent="0.25">
      <c r="A2359" s="1033">
        <v>601612</v>
      </c>
      <c r="B2359" s="129">
        <v>0</v>
      </c>
      <c r="E2359" s="130"/>
    </row>
    <row r="2360" spans="1:5" x14ac:dyDescent="0.25">
      <c r="A2360" s="1033">
        <v>601614</v>
      </c>
      <c r="B2360" s="129">
        <v>0</v>
      </c>
      <c r="E2360" s="130"/>
    </row>
    <row r="2361" spans="1:5" x14ac:dyDescent="0.25">
      <c r="A2361" s="1033">
        <v>601616</v>
      </c>
      <c r="B2361" s="129">
        <v>0</v>
      </c>
      <c r="E2361" s="130"/>
    </row>
    <row r="2362" spans="1:5" x14ac:dyDescent="0.25">
      <c r="A2362" s="1033">
        <v>601618</v>
      </c>
      <c r="B2362" s="129">
        <v>0</v>
      </c>
      <c r="E2362" s="130"/>
    </row>
    <row r="2363" spans="1:5" x14ac:dyDescent="0.25">
      <c r="A2363" s="1033">
        <v>601622</v>
      </c>
      <c r="B2363" s="129">
        <v>0</v>
      </c>
      <c r="E2363" s="130"/>
    </row>
    <row r="2364" spans="1:5" x14ac:dyDescent="0.25">
      <c r="A2364" s="1033">
        <v>601624</v>
      </c>
      <c r="B2364" s="129">
        <v>0</v>
      </c>
      <c r="E2364" s="130"/>
    </row>
    <row r="2365" spans="1:5" x14ac:dyDescent="0.25">
      <c r="A2365" s="1033">
        <v>601626</v>
      </c>
      <c r="B2365" s="129">
        <v>0</v>
      </c>
      <c r="E2365" s="130"/>
    </row>
    <row r="2366" spans="1:5" x14ac:dyDescent="0.25">
      <c r="A2366" s="1033">
        <v>601628</v>
      </c>
      <c r="B2366" s="129">
        <v>0</v>
      </c>
      <c r="E2366" s="130"/>
    </row>
    <row r="2367" spans="1:5" x14ac:dyDescent="0.25">
      <c r="A2367" s="1033">
        <v>601712</v>
      </c>
      <c r="B2367" s="129">
        <v>0</v>
      </c>
      <c r="E2367" s="130"/>
    </row>
    <row r="2368" spans="1:5" x14ac:dyDescent="0.25">
      <c r="A2368" s="1033">
        <v>601714</v>
      </c>
      <c r="B2368" s="129">
        <v>0</v>
      </c>
      <c r="E2368" s="130"/>
    </row>
    <row r="2369" spans="1:9" x14ac:dyDescent="0.25">
      <c r="A2369" s="1033">
        <v>601716</v>
      </c>
      <c r="B2369" s="129">
        <v>0</v>
      </c>
      <c r="E2369" s="130"/>
    </row>
    <row r="2370" spans="1:9" x14ac:dyDescent="0.25">
      <c r="A2370" s="1033">
        <v>601718</v>
      </c>
      <c r="B2370" s="129">
        <v>0</v>
      </c>
      <c r="E2370" s="130"/>
    </row>
    <row r="2371" spans="1:9" x14ac:dyDescent="0.25">
      <c r="A2371" s="1033">
        <v>601722</v>
      </c>
      <c r="B2371" s="129">
        <v>0</v>
      </c>
      <c r="E2371" s="130"/>
    </row>
    <row r="2372" spans="1:9" x14ac:dyDescent="0.25">
      <c r="A2372" s="1033">
        <v>601724</v>
      </c>
      <c r="B2372" s="129">
        <v>0</v>
      </c>
      <c r="E2372" s="130"/>
    </row>
    <row r="2373" spans="1:9" x14ac:dyDescent="0.25">
      <c r="A2373" s="1033">
        <v>601726</v>
      </c>
      <c r="B2373" s="129">
        <v>0</v>
      </c>
      <c r="E2373" s="130"/>
    </row>
    <row r="2374" spans="1:9" x14ac:dyDescent="0.25">
      <c r="A2374" s="1033">
        <v>601728</v>
      </c>
      <c r="B2374" s="129">
        <v>0</v>
      </c>
      <c r="E2374" s="130"/>
    </row>
    <row r="2375" spans="1:9" x14ac:dyDescent="0.25">
      <c r="A2375" s="1033">
        <v>601812</v>
      </c>
      <c r="B2375" s="129">
        <v>2</v>
      </c>
      <c r="C2375" s="130" t="s">
        <v>1333</v>
      </c>
      <c r="D2375" s="130">
        <v>16</v>
      </c>
      <c r="E2375" s="130" t="s">
        <v>1333</v>
      </c>
      <c r="F2375" s="1031">
        <v>0</v>
      </c>
      <c r="G2375" s="1031">
        <v>-0.02</v>
      </c>
      <c r="H2375" s="1031">
        <v>-0.02</v>
      </c>
      <c r="I2375" s="1032" t="s">
        <v>1334</v>
      </c>
    </row>
    <row r="2376" spans="1:9" x14ac:dyDescent="0.25">
      <c r="A2376" s="1033">
        <v>601814</v>
      </c>
      <c r="B2376" s="129">
        <v>215783</v>
      </c>
      <c r="C2376" s="130" t="s">
        <v>61</v>
      </c>
      <c r="D2376" s="130">
        <v>16</v>
      </c>
      <c r="E2376" s="130" t="s">
        <v>61</v>
      </c>
      <c r="F2376" s="1031">
        <v>0</v>
      </c>
      <c r="G2376" s="1031">
        <v>-215782.6</v>
      </c>
      <c r="H2376" s="1031">
        <v>-215782.6</v>
      </c>
      <c r="I2376" s="1032" t="s">
        <v>1335</v>
      </c>
    </row>
    <row r="2377" spans="1:9" x14ac:dyDescent="0.25">
      <c r="A2377" s="1033">
        <v>601816</v>
      </c>
      <c r="B2377" s="129">
        <v>12107</v>
      </c>
      <c r="C2377" s="130" t="s">
        <v>61</v>
      </c>
      <c r="D2377" s="130">
        <v>16</v>
      </c>
      <c r="E2377" s="130" t="s">
        <v>61</v>
      </c>
      <c r="F2377" s="1031">
        <v>0</v>
      </c>
      <c r="G2377" s="1031">
        <v>-215782.6</v>
      </c>
      <c r="H2377" s="1031">
        <v>-215782.6</v>
      </c>
      <c r="I2377" s="1032" t="s">
        <v>1335</v>
      </c>
    </row>
    <row r="2378" spans="1:9" x14ac:dyDescent="0.25">
      <c r="A2378" s="1033"/>
      <c r="C2378" s="130" t="s">
        <v>1336</v>
      </c>
      <c r="D2378" s="130">
        <v>16</v>
      </c>
      <c r="E2378" s="130" t="s">
        <v>1336</v>
      </c>
      <c r="F2378" s="1031">
        <v>0</v>
      </c>
      <c r="G2378" s="1031">
        <v>203675.76</v>
      </c>
      <c r="H2378" s="1031">
        <v>203675.76</v>
      </c>
      <c r="I2378" s="1032" t="s">
        <v>1337</v>
      </c>
    </row>
    <row r="2379" spans="1:9" x14ac:dyDescent="0.25">
      <c r="A2379" s="1033">
        <v>601818</v>
      </c>
      <c r="B2379" s="129">
        <v>6054</v>
      </c>
      <c r="E2379" s="130"/>
    </row>
    <row r="2380" spans="1:9" x14ac:dyDescent="0.25">
      <c r="A2380" s="1033">
        <v>601822</v>
      </c>
      <c r="B2380" s="129">
        <v>2</v>
      </c>
      <c r="C2380" s="130" t="s">
        <v>1333</v>
      </c>
      <c r="D2380" s="130">
        <v>16</v>
      </c>
      <c r="E2380" s="130" t="s">
        <v>1333</v>
      </c>
      <c r="F2380" s="1031">
        <v>0</v>
      </c>
      <c r="G2380" s="1031">
        <v>-0.02</v>
      </c>
      <c r="H2380" s="1031">
        <v>-0.02</v>
      </c>
      <c r="I2380" s="1032" t="s">
        <v>1334</v>
      </c>
    </row>
    <row r="2381" spans="1:9" x14ac:dyDescent="0.25">
      <c r="A2381" s="1033">
        <v>601824</v>
      </c>
      <c r="B2381" s="129">
        <v>215783</v>
      </c>
      <c r="C2381" s="130" t="s">
        <v>61</v>
      </c>
      <c r="D2381" s="130">
        <v>16</v>
      </c>
      <c r="E2381" s="130" t="s">
        <v>61</v>
      </c>
      <c r="F2381" s="1031">
        <v>0</v>
      </c>
      <c r="G2381" s="1031">
        <v>-215782.6</v>
      </c>
      <c r="H2381" s="1031">
        <v>-215782.6</v>
      </c>
      <c r="I2381" s="1032" t="s">
        <v>1335</v>
      </c>
    </row>
    <row r="2382" spans="1:9" x14ac:dyDescent="0.25">
      <c r="A2382" s="1033">
        <v>601826</v>
      </c>
      <c r="B2382" s="129">
        <v>12107</v>
      </c>
      <c r="C2382" s="130" t="s">
        <v>61</v>
      </c>
      <c r="D2382" s="130">
        <v>16</v>
      </c>
      <c r="E2382" s="130" t="s">
        <v>61</v>
      </c>
      <c r="F2382" s="1031">
        <v>0</v>
      </c>
      <c r="G2382" s="1031">
        <v>-215782.6</v>
      </c>
      <c r="H2382" s="1031">
        <v>-215782.6</v>
      </c>
      <c r="I2382" s="1032" t="s">
        <v>1335</v>
      </c>
    </row>
    <row r="2383" spans="1:9" x14ac:dyDescent="0.25">
      <c r="A2383" s="1033"/>
      <c r="C2383" s="130" t="s">
        <v>1336</v>
      </c>
      <c r="D2383" s="130">
        <v>16</v>
      </c>
      <c r="E2383" s="130" t="s">
        <v>1336</v>
      </c>
      <c r="F2383" s="1031">
        <v>0</v>
      </c>
      <c r="G2383" s="1031">
        <v>203675.76</v>
      </c>
      <c r="H2383" s="1031">
        <v>203675.76</v>
      </c>
      <c r="I2383" s="1032" t="s">
        <v>1337</v>
      </c>
    </row>
    <row r="2384" spans="1:9" x14ac:dyDescent="0.25">
      <c r="A2384" s="1033">
        <v>601828</v>
      </c>
      <c r="B2384" s="129">
        <v>6054</v>
      </c>
      <c r="E2384" s="130"/>
    </row>
    <row r="2385" spans="1:5" x14ac:dyDescent="0.25">
      <c r="A2385" s="1033">
        <v>601912</v>
      </c>
      <c r="B2385" s="129">
        <v>0</v>
      </c>
      <c r="E2385" s="130"/>
    </row>
    <row r="2386" spans="1:5" x14ac:dyDescent="0.25">
      <c r="A2386" s="1033">
        <v>601914</v>
      </c>
      <c r="B2386" s="129">
        <v>0</v>
      </c>
      <c r="E2386" s="130"/>
    </row>
    <row r="2387" spans="1:5" x14ac:dyDescent="0.25">
      <c r="A2387" s="1033">
        <v>601916</v>
      </c>
      <c r="B2387" s="129">
        <v>0</v>
      </c>
      <c r="E2387" s="130"/>
    </row>
    <row r="2388" spans="1:5" x14ac:dyDescent="0.25">
      <c r="A2388" s="1033">
        <v>601918</v>
      </c>
      <c r="B2388" s="129">
        <v>0</v>
      </c>
      <c r="E2388" s="130"/>
    </row>
    <row r="2389" spans="1:5" x14ac:dyDescent="0.25">
      <c r="A2389" s="1033">
        <v>601922</v>
      </c>
      <c r="B2389" s="129">
        <v>0</v>
      </c>
      <c r="E2389" s="130"/>
    </row>
    <row r="2390" spans="1:5" x14ac:dyDescent="0.25">
      <c r="A2390" s="1033">
        <v>601924</v>
      </c>
      <c r="B2390" s="129">
        <v>0</v>
      </c>
      <c r="E2390" s="130"/>
    </row>
    <row r="2391" spans="1:5" x14ac:dyDescent="0.25">
      <c r="A2391" s="1033">
        <v>601926</v>
      </c>
      <c r="B2391" s="129">
        <v>0</v>
      </c>
      <c r="E2391" s="130"/>
    </row>
    <row r="2392" spans="1:5" x14ac:dyDescent="0.25">
      <c r="A2392" s="1033">
        <v>601928</v>
      </c>
      <c r="B2392" s="129">
        <v>0</v>
      </c>
      <c r="E2392" s="130"/>
    </row>
    <row r="2393" spans="1:5" x14ac:dyDescent="0.25">
      <c r="A2393" s="1033">
        <v>602012</v>
      </c>
      <c r="B2393" s="129">
        <v>0</v>
      </c>
      <c r="E2393" s="130"/>
    </row>
    <row r="2394" spans="1:5" x14ac:dyDescent="0.25">
      <c r="A2394" s="1033">
        <v>602014</v>
      </c>
      <c r="B2394" s="129">
        <v>0</v>
      </c>
      <c r="E2394" s="130"/>
    </row>
    <row r="2395" spans="1:5" x14ac:dyDescent="0.25">
      <c r="A2395" s="1033">
        <v>602016</v>
      </c>
      <c r="B2395" s="129">
        <v>0</v>
      </c>
      <c r="E2395" s="130"/>
    </row>
    <row r="2396" spans="1:5" x14ac:dyDescent="0.25">
      <c r="A2396" s="1033">
        <v>602018</v>
      </c>
      <c r="B2396" s="129">
        <v>0</v>
      </c>
      <c r="E2396" s="130"/>
    </row>
    <row r="2397" spans="1:5" x14ac:dyDescent="0.25">
      <c r="A2397" s="1033">
        <v>602022</v>
      </c>
      <c r="B2397" s="129">
        <v>0</v>
      </c>
      <c r="E2397" s="130"/>
    </row>
    <row r="2398" spans="1:5" x14ac:dyDescent="0.25">
      <c r="A2398" s="1033">
        <v>602024</v>
      </c>
      <c r="B2398" s="129">
        <v>0</v>
      </c>
      <c r="E2398" s="130"/>
    </row>
    <row r="2399" spans="1:5" x14ac:dyDescent="0.25">
      <c r="A2399" s="1033">
        <v>602026</v>
      </c>
      <c r="B2399" s="129">
        <v>0</v>
      </c>
      <c r="E2399" s="130"/>
    </row>
    <row r="2400" spans="1:5" x14ac:dyDescent="0.25">
      <c r="A2400" s="1033">
        <v>602028</v>
      </c>
      <c r="B2400" s="129">
        <v>0</v>
      </c>
      <c r="E2400" s="130"/>
    </row>
    <row r="2401" spans="1:5" x14ac:dyDescent="0.25">
      <c r="A2401" s="1033">
        <v>602112</v>
      </c>
      <c r="B2401" s="129">
        <v>0</v>
      </c>
      <c r="E2401" s="130"/>
    </row>
    <row r="2402" spans="1:5" x14ac:dyDescent="0.25">
      <c r="A2402" s="1033">
        <v>602114</v>
      </c>
      <c r="B2402" s="129">
        <v>0</v>
      </c>
      <c r="E2402" s="130"/>
    </row>
    <row r="2403" spans="1:5" x14ac:dyDescent="0.25">
      <c r="A2403" s="1033">
        <v>602116</v>
      </c>
      <c r="B2403" s="129">
        <v>0</v>
      </c>
      <c r="E2403" s="130"/>
    </row>
    <row r="2404" spans="1:5" x14ac:dyDescent="0.25">
      <c r="A2404" s="1033">
        <v>602118</v>
      </c>
      <c r="B2404" s="129">
        <v>0</v>
      </c>
      <c r="E2404" s="130"/>
    </row>
    <row r="2405" spans="1:5" x14ac:dyDescent="0.25">
      <c r="A2405" s="1033">
        <v>602122</v>
      </c>
      <c r="B2405" s="129">
        <v>0</v>
      </c>
      <c r="E2405" s="130"/>
    </row>
    <row r="2406" spans="1:5" x14ac:dyDescent="0.25">
      <c r="A2406" s="1033">
        <v>602124</v>
      </c>
      <c r="B2406" s="129">
        <v>0</v>
      </c>
      <c r="E2406" s="130"/>
    </row>
    <row r="2407" spans="1:5" x14ac:dyDescent="0.25">
      <c r="A2407" s="1033">
        <v>602126</v>
      </c>
      <c r="B2407" s="129">
        <v>0</v>
      </c>
      <c r="E2407" s="130"/>
    </row>
    <row r="2408" spans="1:5" x14ac:dyDescent="0.25">
      <c r="A2408" s="1033">
        <v>602128</v>
      </c>
      <c r="B2408" s="129">
        <v>0</v>
      </c>
      <c r="E2408" s="130"/>
    </row>
    <row r="2409" spans="1:5" x14ac:dyDescent="0.25">
      <c r="A2409" s="1033">
        <v>602212</v>
      </c>
      <c r="B2409" s="129">
        <v>0</v>
      </c>
      <c r="E2409" s="130"/>
    </row>
    <row r="2410" spans="1:5" x14ac:dyDescent="0.25">
      <c r="A2410" s="1033">
        <v>602214</v>
      </c>
      <c r="B2410" s="129">
        <v>0</v>
      </c>
      <c r="E2410" s="130"/>
    </row>
    <row r="2411" spans="1:5" x14ac:dyDescent="0.25">
      <c r="A2411" s="1033">
        <v>602216</v>
      </c>
      <c r="B2411" s="129">
        <v>0</v>
      </c>
      <c r="E2411" s="130"/>
    </row>
    <row r="2412" spans="1:5" x14ac:dyDescent="0.25">
      <c r="A2412" s="1033">
        <v>602218</v>
      </c>
      <c r="B2412" s="129">
        <v>0</v>
      </c>
      <c r="E2412" s="130"/>
    </row>
    <row r="2413" spans="1:5" x14ac:dyDescent="0.25">
      <c r="A2413" s="1033">
        <v>602222</v>
      </c>
      <c r="B2413" s="129">
        <v>0</v>
      </c>
      <c r="E2413" s="130"/>
    </row>
    <row r="2414" spans="1:5" x14ac:dyDescent="0.25">
      <c r="A2414" s="1033">
        <v>602224</v>
      </c>
      <c r="B2414" s="129">
        <v>0</v>
      </c>
      <c r="E2414" s="130"/>
    </row>
    <row r="2415" spans="1:5" x14ac:dyDescent="0.25">
      <c r="A2415" s="1033">
        <v>602226</v>
      </c>
      <c r="B2415" s="129">
        <v>0</v>
      </c>
      <c r="E2415" s="130"/>
    </row>
    <row r="2416" spans="1:5" x14ac:dyDescent="0.25">
      <c r="A2416" s="1033">
        <v>602228</v>
      </c>
      <c r="B2416" s="129">
        <v>0</v>
      </c>
      <c r="E2416" s="130"/>
    </row>
    <row r="2417" spans="1:9" x14ac:dyDescent="0.25">
      <c r="A2417" s="1033">
        <v>602312</v>
      </c>
      <c r="B2417" s="129">
        <v>0</v>
      </c>
      <c r="E2417" s="130"/>
    </row>
    <row r="2418" spans="1:9" x14ac:dyDescent="0.25">
      <c r="A2418" s="1033">
        <v>602314</v>
      </c>
      <c r="B2418" s="129">
        <v>0</v>
      </c>
      <c r="E2418" s="130"/>
    </row>
    <row r="2419" spans="1:9" x14ac:dyDescent="0.25">
      <c r="A2419" s="1033">
        <v>602316</v>
      </c>
      <c r="B2419" s="129">
        <v>0</v>
      </c>
      <c r="E2419" s="130"/>
    </row>
    <row r="2420" spans="1:9" x14ac:dyDescent="0.25">
      <c r="A2420" s="1033">
        <v>602318</v>
      </c>
      <c r="B2420" s="129">
        <v>0</v>
      </c>
      <c r="E2420" s="130"/>
    </row>
    <row r="2421" spans="1:9" x14ac:dyDescent="0.25">
      <c r="A2421" s="1033">
        <v>602322</v>
      </c>
      <c r="B2421" s="129">
        <v>0</v>
      </c>
      <c r="E2421" s="130"/>
    </row>
    <row r="2422" spans="1:9" x14ac:dyDescent="0.25">
      <c r="A2422" s="1033">
        <v>602324</v>
      </c>
      <c r="B2422" s="129">
        <v>0</v>
      </c>
      <c r="E2422" s="130"/>
    </row>
    <row r="2423" spans="1:9" x14ac:dyDescent="0.25">
      <c r="A2423" s="1033">
        <v>602326</v>
      </c>
      <c r="B2423" s="129">
        <v>0</v>
      </c>
      <c r="E2423" s="130"/>
    </row>
    <row r="2424" spans="1:9" x14ac:dyDescent="0.25">
      <c r="A2424" s="1033">
        <v>602328</v>
      </c>
      <c r="B2424" s="129">
        <v>0</v>
      </c>
      <c r="E2424" s="130"/>
    </row>
    <row r="2425" spans="1:9" x14ac:dyDescent="0.25">
      <c r="A2425" s="1033">
        <v>602412</v>
      </c>
      <c r="B2425" s="129">
        <v>2</v>
      </c>
      <c r="E2425" s="130"/>
    </row>
    <row r="2426" spans="1:9" x14ac:dyDescent="0.25">
      <c r="A2426" s="1033">
        <v>602414</v>
      </c>
      <c r="B2426" s="129">
        <v>215783</v>
      </c>
      <c r="E2426" s="130"/>
    </row>
    <row r="2427" spans="1:9" x14ac:dyDescent="0.25">
      <c r="A2427" s="1033">
        <v>602416</v>
      </c>
      <c r="B2427" s="129">
        <v>12107</v>
      </c>
      <c r="C2427" s="130" t="s">
        <v>61</v>
      </c>
      <c r="D2427" s="130">
        <v>16</v>
      </c>
      <c r="E2427" s="130" t="s">
        <v>61</v>
      </c>
      <c r="F2427" s="1031">
        <v>0</v>
      </c>
      <c r="G2427" s="1031">
        <v>-215782.6</v>
      </c>
      <c r="H2427" s="1031">
        <v>-215782.6</v>
      </c>
      <c r="I2427" s="1032" t="s">
        <v>1335</v>
      </c>
    </row>
    <row r="2428" spans="1:9" x14ac:dyDescent="0.25">
      <c r="A2428" s="1033"/>
      <c r="C2428" s="130" t="s">
        <v>1336</v>
      </c>
      <c r="D2428" s="130">
        <v>16</v>
      </c>
      <c r="E2428" s="130" t="s">
        <v>1336</v>
      </c>
      <c r="F2428" s="1031">
        <v>0</v>
      </c>
      <c r="G2428" s="1031">
        <v>203675.76</v>
      </c>
      <c r="H2428" s="1031">
        <v>203675.76</v>
      </c>
      <c r="I2428" s="1032" t="s">
        <v>1337</v>
      </c>
    </row>
    <row r="2429" spans="1:9" x14ac:dyDescent="0.25">
      <c r="A2429" s="1033">
        <v>602418</v>
      </c>
      <c r="B2429" s="129">
        <v>6054</v>
      </c>
      <c r="E2429" s="130"/>
    </row>
    <row r="2430" spans="1:9" x14ac:dyDescent="0.25">
      <c r="A2430" s="1033">
        <v>602422</v>
      </c>
      <c r="B2430" s="129">
        <v>2</v>
      </c>
      <c r="E2430" s="130"/>
    </row>
    <row r="2431" spans="1:9" x14ac:dyDescent="0.25">
      <c r="A2431" s="1033">
        <v>602424</v>
      </c>
      <c r="B2431" s="129">
        <v>215783</v>
      </c>
      <c r="E2431" s="130"/>
    </row>
    <row r="2432" spans="1:9" x14ac:dyDescent="0.25">
      <c r="A2432" s="1033">
        <v>602426</v>
      </c>
      <c r="B2432" s="129">
        <v>12107</v>
      </c>
      <c r="C2432" s="130" t="s">
        <v>61</v>
      </c>
      <c r="D2432" s="130">
        <v>16</v>
      </c>
      <c r="E2432" s="130" t="s">
        <v>61</v>
      </c>
      <c r="F2432" s="1031">
        <v>0</v>
      </c>
      <c r="G2432" s="1031">
        <v>-215782.6</v>
      </c>
      <c r="H2432" s="1031">
        <v>-215782.6</v>
      </c>
      <c r="I2432" s="1032" t="s">
        <v>1335</v>
      </c>
    </row>
    <row r="2433" spans="1:9" x14ac:dyDescent="0.25">
      <c r="A2433" s="1033"/>
      <c r="C2433" s="130" t="s">
        <v>1336</v>
      </c>
      <c r="D2433" s="130">
        <v>16</v>
      </c>
      <c r="E2433" s="130" t="s">
        <v>1336</v>
      </c>
      <c r="F2433" s="1031">
        <v>0</v>
      </c>
      <c r="G2433" s="1031">
        <v>203675.76</v>
      </c>
      <c r="H2433" s="1031">
        <v>203675.76</v>
      </c>
      <c r="I2433" s="1032" t="s">
        <v>1337</v>
      </c>
    </row>
    <row r="2434" spans="1:9" x14ac:dyDescent="0.25">
      <c r="A2434" s="1033">
        <v>602428</v>
      </c>
      <c r="B2434" s="129">
        <v>6054</v>
      </c>
      <c r="E2434" s="130"/>
    </row>
    <row r="2435" spans="1:9" x14ac:dyDescent="0.25">
      <c r="A2435" s="1033">
        <v>602512</v>
      </c>
      <c r="B2435" s="129">
        <v>0</v>
      </c>
      <c r="E2435" s="130"/>
    </row>
    <row r="2436" spans="1:9" x14ac:dyDescent="0.25">
      <c r="A2436" s="1033">
        <v>602514</v>
      </c>
      <c r="B2436" s="129">
        <v>0</v>
      </c>
      <c r="E2436" s="130"/>
    </row>
    <row r="2437" spans="1:9" x14ac:dyDescent="0.25">
      <c r="A2437" s="1033">
        <v>602516</v>
      </c>
      <c r="B2437" s="129">
        <v>0</v>
      </c>
      <c r="E2437" s="130"/>
    </row>
    <row r="2438" spans="1:9" x14ac:dyDescent="0.25">
      <c r="A2438" s="1033">
        <v>602518</v>
      </c>
      <c r="B2438" s="129">
        <v>0</v>
      </c>
      <c r="E2438" s="130"/>
    </row>
    <row r="2439" spans="1:9" x14ac:dyDescent="0.25">
      <c r="A2439" s="1033">
        <v>602522</v>
      </c>
      <c r="B2439" s="129">
        <v>0</v>
      </c>
      <c r="E2439" s="130"/>
    </row>
    <row r="2440" spans="1:9" x14ac:dyDescent="0.25">
      <c r="A2440" s="1033">
        <v>602524</v>
      </c>
      <c r="B2440" s="129">
        <v>0</v>
      </c>
      <c r="E2440" s="130"/>
    </row>
    <row r="2441" spans="1:9" x14ac:dyDescent="0.25">
      <c r="A2441" s="1033">
        <v>602526</v>
      </c>
      <c r="B2441" s="129">
        <v>0</v>
      </c>
      <c r="E2441" s="130"/>
    </row>
    <row r="2442" spans="1:9" x14ac:dyDescent="0.25">
      <c r="A2442" s="1033">
        <v>602528</v>
      </c>
      <c r="B2442" s="129">
        <v>0</v>
      </c>
      <c r="E2442" s="130"/>
    </row>
    <row r="2443" spans="1:9" x14ac:dyDescent="0.25">
      <c r="A2443" s="1033">
        <v>602612</v>
      </c>
      <c r="B2443" s="129">
        <v>0</v>
      </c>
      <c r="E2443" s="130"/>
    </row>
    <row r="2444" spans="1:9" x14ac:dyDescent="0.25">
      <c r="A2444" s="1033">
        <v>602614</v>
      </c>
      <c r="B2444" s="129">
        <v>0</v>
      </c>
      <c r="E2444" s="130"/>
    </row>
    <row r="2445" spans="1:9" x14ac:dyDescent="0.25">
      <c r="A2445" s="1033">
        <v>602616</v>
      </c>
      <c r="B2445" s="129">
        <v>0</v>
      </c>
      <c r="E2445" s="130"/>
    </row>
    <row r="2446" spans="1:9" x14ac:dyDescent="0.25">
      <c r="A2446" s="1033">
        <v>602618</v>
      </c>
      <c r="B2446" s="129">
        <v>0</v>
      </c>
      <c r="E2446" s="130"/>
    </row>
    <row r="2447" spans="1:9" x14ac:dyDescent="0.25">
      <c r="A2447" s="1033">
        <v>602622</v>
      </c>
      <c r="B2447" s="129">
        <v>0</v>
      </c>
      <c r="E2447" s="130"/>
    </row>
    <row r="2448" spans="1:9" x14ac:dyDescent="0.25">
      <c r="A2448" s="1033">
        <v>602624</v>
      </c>
      <c r="B2448" s="129">
        <v>0</v>
      </c>
      <c r="E2448" s="130"/>
    </row>
    <row r="2449" spans="1:5" x14ac:dyDescent="0.25">
      <c r="A2449" s="1033">
        <v>602626</v>
      </c>
      <c r="B2449" s="129">
        <v>0</v>
      </c>
      <c r="E2449" s="130"/>
    </row>
    <row r="2450" spans="1:5" x14ac:dyDescent="0.25">
      <c r="A2450" s="1033">
        <v>602628</v>
      </c>
      <c r="B2450" s="129">
        <v>0</v>
      </c>
      <c r="E2450" s="130"/>
    </row>
    <row r="2451" spans="1:5" x14ac:dyDescent="0.25">
      <c r="A2451" s="1033">
        <v>602712</v>
      </c>
      <c r="B2451" s="129">
        <v>0</v>
      </c>
      <c r="E2451" s="130"/>
    </row>
    <row r="2452" spans="1:5" x14ac:dyDescent="0.25">
      <c r="A2452" s="1033">
        <v>602714</v>
      </c>
      <c r="B2452" s="129">
        <v>0</v>
      </c>
      <c r="E2452" s="130"/>
    </row>
    <row r="2453" spans="1:5" x14ac:dyDescent="0.25">
      <c r="A2453" s="1033">
        <v>602716</v>
      </c>
      <c r="B2453" s="129">
        <v>0</v>
      </c>
      <c r="E2453" s="130"/>
    </row>
    <row r="2454" spans="1:5" x14ac:dyDescent="0.25">
      <c r="A2454" s="1033">
        <v>602718</v>
      </c>
      <c r="B2454" s="129">
        <v>0</v>
      </c>
      <c r="E2454" s="130"/>
    </row>
    <row r="2455" spans="1:5" x14ac:dyDescent="0.25">
      <c r="A2455" s="1033">
        <v>602722</v>
      </c>
      <c r="B2455" s="129">
        <v>0</v>
      </c>
      <c r="E2455" s="130"/>
    </row>
    <row r="2456" spans="1:5" x14ac:dyDescent="0.25">
      <c r="A2456" s="1033">
        <v>602724</v>
      </c>
      <c r="B2456" s="129">
        <v>0</v>
      </c>
      <c r="E2456" s="130"/>
    </row>
    <row r="2457" spans="1:5" x14ac:dyDescent="0.25">
      <c r="A2457" s="1033">
        <v>602726</v>
      </c>
      <c r="B2457" s="129">
        <v>0</v>
      </c>
      <c r="E2457" s="130"/>
    </row>
    <row r="2458" spans="1:5" x14ac:dyDescent="0.25">
      <c r="A2458" s="1033">
        <v>602728</v>
      </c>
      <c r="B2458" s="129">
        <v>0</v>
      </c>
      <c r="E2458" s="130"/>
    </row>
    <row r="2459" spans="1:5" x14ac:dyDescent="0.25">
      <c r="A2459" s="1033">
        <v>602812</v>
      </c>
      <c r="B2459" s="129">
        <v>0</v>
      </c>
      <c r="E2459" s="130"/>
    </row>
    <row r="2460" spans="1:5" x14ac:dyDescent="0.25">
      <c r="A2460" s="1033">
        <v>602814</v>
      </c>
      <c r="B2460" s="129">
        <v>0</v>
      </c>
      <c r="E2460" s="130"/>
    </row>
    <row r="2461" spans="1:5" x14ac:dyDescent="0.25">
      <c r="A2461" s="1033">
        <v>602816</v>
      </c>
      <c r="B2461" s="129">
        <v>0</v>
      </c>
      <c r="E2461" s="130"/>
    </row>
    <row r="2462" spans="1:5" x14ac:dyDescent="0.25">
      <c r="A2462" s="1033">
        <v>602818</v>
      </c>
      <c r="B2462" s="129">
        <v>0</v>
      </c>
      <c r="E2462" s="130"/>
    </row>
    <row r="2463" spans="1:5" x14ac:dyDescent="0.25">
      <c r="A2463" s="1033">
        <v>602822</v>
      </c>
      <c r="B2463" s="129">
        <v>0</v>
      </c>
      <c r="E2463" s="130"/>
    </row>
    <row r="2464" spans="1:5" x14ac:dyDescent="0.25">
      <c r="A2464" s="1033">
        <v>602824</v>
      </c>
      <c r="B2464" s="129">
        <v>0</v>
      </c>
      <c r="E2464" s="130"/>
    </row>
    <row r="2465" spans="1:5" x14ac:dyDescent="0.25">
      <c r="A2465" s="1033">
        <v>602826</v>
      </c>
      <c r="B2465" s="129">
        <v>0</v>
      </c>
      <c r="E2465" s="130"/>
    </row>
    <row r="2466" spans="1:5" x14ac:dyDescent="0.25">
      <c r="A2466" s="1033">
        <v>602828</v>
      </c>
      <c r="B2466" s="129">
        <v>0</v>
      </c>
      <c r="E2466" s="130"/>
    </row>
    <row r="2467" spans="1:5" x14ac:dyDescent="0.25">
      <c r="A2467" s="1033">
        <v>603012</v>
      </c>
      <c r="B2467" s="129">
        <v>0</v>
      </c>
      <c r="E2467" s="130"/>
    </row>
    <row r="2468" spans="1:5" x14ac:dyDescent="0.25">
      <c r="A2468" s="1033">
        <v>603014</v>
      </c>
      <c r="B2468" s="129">
        <v>0</v>
      </c>
      <c r="E2468" s="130"/>
    </row>
    <row r="2469" spans="1:5" x14ac:dyDescent="0.25">
      <c r="A2469" s="1033">
        <v>603016</v>
      </c>
      <c r="B2469" s="129">
        <v>0</v>
      </c>
      <c r="E2469" s="130"/>
    </row>
    <row r="2470" spans="1:5" x14ac:dyDescent="0.25">
      <c r="A2470" s="1033">
        <v>603018</v>
      </c>
      <c r="B2470" s="129">
        <v>0</v>
      </c>
      <c r="E2470" s="130"/>
    </row>
    <row r="2471" spans="1:5" x14ac:dyDescent="0.25">
      <c r="A2471" s="1033">
        <v>603022</v>
      </c>
      <c r="B2471" s="129">
        <v>0</v>
      </c>
      <c r="E2471" s="130"/>
    </row>
    <row r="2472" spans="1:5" x14ac:dyDescent="0.25">
      <c r="A2472" s="1033">
        <v>603024</v>
      </c>
      <c r="B2472" s="129">
        <v>0</v>
      </c>
      <c r="E2472" s="130"/>
    </row>
    <row r="2473" spans="1:5" x14ac:dyDescent="0.25">
      <c r="A2473" s="1033">
        <v>603026</v>
      </c>
      <c r="B2473" s="129">
        <v>0</v>
      </c>
      <c r="E2473" s="130"/>
    </row>
    <row r="2474" spans="1:5" x14ac:dyDescent="0.25">
      <c r="A2474" s="1033">
        <v>603028</v>
      </c>
      <c r="B2474" s="129">
        <v>0</v>
      </c>
      <c r="E2474" s="130"/>
    </row>
    <row r="2475" spans="1:5" x14ac:dyDescent="0.25">
      <c r="A2475" s="1033">
        <v>603112</v>
      </c>
      <c r="B2475" s="129">
        <v>0</v>
      </c>
      <c r="E2475" s="130"/>
    </row>
    <row r="2476" spans="1:5" x14ac:dyDescent="0.25">
      <c r="A2476" s="1033">
        <v>603114</v>
      </c>
      <c r="B2476" s="129">
        <v>0</v>
      </c>
      <c r="E2476" s="130"/>
    </row>
    <row r="2477" spans="1:5" x14ac:dyDescent="0.25">
      <c r="A2477" s="1033">
        <v>603116</v>
      </c>
      <c r="B2477" s="129">
        <v>0</v>
      </c>
      <c r="E2477" s="130"/>
    </row>
    <row r="2478" spans="1:5" x14ac:dyDescent="0.25">
      <c r="A2478" s="1033">
        <v>603118</v>
      </c>
      <c r="B2478" s="129">
        <v>0</v>
      </c>
      <c r="E2478" s="130"/>
    </row>
    <row r="2479" spans="1:5" x14ac:dyDescent="0.25">
      <c r="A2479" s="1033">
        <v>603122</v>
      </c>
      <c r="B2479" s="129">
        <v>0</v>
      </c>
      <c r="E2479" s="130"/>
    </row>
    <row r="2480" spans="1:5" x14ac:dyDescent="0.25">
      <c r="A2480" s="1033">
        <v>603124</v>
      </c>
      <c r="B2480" s="129">
        <v>0</v>
      </c>
      <c r="E2480" s="130"/>
    </row>
    <row r="2481" spans="1:5" x14ac:dyDescent="0.25">
      <c r="A2481" s="1033">
        <v>603126</v>
      </c>
      <c r="B2481" s="129">
        <v>0</v>
      </c>
      <c r="E2481" s="130"/>
    </row>
    <row r="2482" spans="1:5" x14ac:dyDescent="0.25">
      <c r="A2482" s="1033">
        <v>603128</v>
      </c>
      <c r="B2482" s="129">
        <v>0</v>
      </c>
      <c r="E2482" s="130"/>
    </row>
    <row r="2483" spans="1:5" x14ac:dyDescent="0.25">
      <c r="A2483" s="1033">
        <v>603212</v>
      </c>
      <c r="B2483" s="129">
        <v>0</v>
      </c>
      <c r="E2483" s="130"/>
    </row>
    <row r="2484" spans="1:5" x14ac:dyDescent="0.25">
      <c r="A2484" s="1033">
        <v>603214</v>
      </c>
      <c r="B2484" s="129">
        <v>0</v>
      </c>
      <c r="E2484" s="130"/>
    </row>
    <row r="2485" spans="1:5" x14ac:dyDescent="0.25">
      <c r="A2485" s="1033">
        <v>603216</v>
      </c>
      <c r="B2485" s="129">
        <v>0</v>
      </c>
      <c r="E2485" s="130"/>
    </row>
    <row r="2486" spans="1:5" x14ac:dyDescent="0.25">
      <c r="A2486" s="1033">
        <v>603218</v>
      </c>
      <c r="B2486" s="129">
        <v>0</v>
      </c>
      <c r="E2486" s="130"/>
    </row>
    <row r="2487" spans="1:5" x14ac:dyDescent="0.25">
      <c r="A2487" s="1033">
        <v>603222</v>
      </c>
      <c r="B2487" s="129">
        <v>0</v>
      </c>
      <c r="E2487" s="130"/>
    </row>
    <row r="2488" spans="1:5" x14ac:dyDescent="0.25">
      <c r="A2488" s="1033">
        <v>603224</v>
      </c>
      <c r="B2488" s="129">
        <v>0</v>
      </c>
      <c r="E2488" s="130"/>
    </row>
    <row r="2489" spans="1:5" x14ac:dyDescent="0.25">
      <c r="A2489" s="1033">
        <v>603226</v>
      </c>
      <c r="B2489" s="129">
        <v>0</v>
      </c>
      <c r="E2489" s="130"/>
    </row>
    <row r="2490" spans="1:5" x14ac:dyDescent="0.25">
      <c r="A2490" s="1033">
        <v>603228</v>
      </c>
      <c r="B2490" s="129">
        <v>0</v>
      </c>
      <c r="E2490" s="130"/>
    </row>
    <row r="2491" spans="1:5" x14ac:dyDescent="0.25">
      <c r="A2491" s="1033">
        <v>603312</v>
      </c>
      <c r="B2491" s="129">
        <v>0</v>
      </c>
      <c r="E2491" s="130"/>
    </row>
    <row r="2492" spans="1:5" x14ac:dyDescent="0.25">
      <c r="A2492" s="1033">
        <v>603314</v>
      </c>
      <c r="B2492" s="129">
        <v>0</v>
      </c>
      <c r="E2492" s="130"/>
    </row>
    <row r="2493" spans="1:5" x14ac:dyDescent="0.25">
      <c r="A2493" s="1033">
        <v>603316</v>
      </c>
      <c r="B2493" s="129">
        <v>0</v>
      </c>
      <c r="E2493" s="130"/>
    </row>
    <row r="2494" spans="1:5" x14ac:dyDescent="0.25">
      <c r="A2494" s="1033">
        <v>603318</v>
      </c>
      <c r="B2494" s="129">
        <v>0</v>
      </c>
      <c r="E2494" s="130"/>
    </row>
    <row r="2495" spans="1:5" x14ac:dyDescent="0.25">
      <c r="A2495" s="1033">
        <v>603322</v>
      </c>
      <c r="B2495" s="129">
        <v>0</v>
      </c>
      <c r="E2495" s="130"/>
    </row>
    <row r="2496" spans="1:5" x14ac:dyDescent="0.25">
      <c r="A2496" s="1033">
        <v>603324</v>
      </c>
      <c r="B2496" s="129">
        <v>0</v>
      </c>
      <c r="E2496" s="130"/>
    </row>
    <row r="2497" spans="1:5" x14ac:dyDescent="0.25">
      <c r="A2497" s="1033">
        <v>603326</v>
      </c>
      <c r="B2497" s="129">
        <v>0</v>
      </c>
      <c r="E2497" s="130"/>
    </row>
    <row r="2498" spans="1:5" x14ac:dyDescent="0.25">
      <c r="A2498" s="1033">
        <v>603328</v>
      </c>
      <c r="B2498" s="129">
        <v>0</v>
      </c>
      <c r="E2498" s="130"/>
    </row>
    <row r="2499" spans="1:5" x14ac:dyDescent="0.25">
      <c r="A2499" s="1033">
        <v>603412</v>
      </c>
      <c r="B2499" s="129">
        <v>0</v>
      </c>
      <c r="E2499" s="130"/>
    </row>
    <row r="2500" spans="1:5" x14ac:dyDescent="0.25">
      <c r="A2500" s="1033">
        <v>603414</v>
      </c>
      <c r="B2500" s="129">
        <v>0</v>
      </c>
      <c r="E2500" s="130"/>
    </row>
    <row r="2501" spans="1:5" x14ac:dyDescent="0.25">
      <c r="A2501" s="1033">
        <v>603416</v>
      </c>
      <c r="B2501" s="129">
        <v>0</v>
      </c>
      <c r="E2501" s="130"/>
    </row>
    <row r="2502" spans="1:5" x14ac:dyDescent="0.25">
      <c r="A2502" s="1033">
        <v>603418</v>
      </c>
      <c r="B2502" s="129">
        <v>0</v>
      </c>
      <c r="E2502" s="130"/>
    </row>
    <row r="2503" spans="1:5" x14ac:dyDescent="0.25">
      <c r="A2503" s="1033">
        <v>603422</v>
      </c>
      <c r="B2503" s="129">
        <v>0</v>
      </c>
      <c r="E2503" s="130"/>
    </row>
    <row r="2504" spans="1:5" x14ac:dyDescent="0.25">
      <c r="A2504" s="1033">
        <v>603424</v>
      </c>
      <c r="B2504" s="129">
        <v>0</v>
      </c>
      <c r="E2504" s="130"/>
    </row>
    <row r="2505" spans="1:5" x14ac:dyDescent="0.25">
      <c r="A2505" s="1033">
        <v>603426</v>
      </c>
      <c r="B2505" s="129">
        <v>0</v>
      </c>
      <c r="E2505" s="130"/>
    </row>
    <row r="2506" spans="1:5" x14ac:dyDescent="0.25">
      <c r="A2506" s="1033">
        <v>603428</v>
      </c>
      <c r="B2506" s="129">
        <v>0</v>
      </c>
      <c r="E2506" s="130"/>
    </row>
    <row r="2507" spans="1:5" x14ac:dyDescent="0.25">
      <c r="A2507" s="1033">
        <v>603612</v>
      </c>
      <c r="B2507" s="129">
        <v>0</v>
      </c>
      <c r="E2507" s="130"/>
    </row>
    <row r="2508" spans="1:5" x14ac:dyDescent="0.25">
      <c r="A2508" s="1033">
        <v>603614</v>
      </c>
      <c r="B2508" s="129">
        <v>0</v>
      </c>
      <c r="E2508" s="130"/>
    </row>
    <row r="2509" spans="1:5" x14ac:dyDescent="0.25">
      <c r="A2509" s="1033">
        <v>603616</v>
      </c>
      <c r="B2509" s="129">
        <v>0</v>
      </c>
      <c r="E2509" s="130"/>
    </row>
    <row r="2510" spans="1:5" x14ac:dyDescent="0.25">
      <c r="A2510" s="1033">
        <v>603618</v>
      </c>
      <c r="B2510" s="129">
        <v>0</v>
      </c>
      <c r="E2510" s="130"/>
    </row>
    <row r="2511" spans="1:5" x14ac:dyDescent="0.25">
      <c r="A2511" s="1033">
        <v>603622</v>
      </c>
      <c r="B2511" s="129">
        <v>0</v>
      </c>
      <c r="E2511" s="130"/>
    </row>
    <row r="2512" spans="1:5" x14ac:dyDescent="0.25">
      <c r="A2512" s="1033">
        <v>603624</v>
      </c>
      <c r="B2512" s="129">
        <v>0</v>
      </c>
      <c r="E2512" s="130"/>
    </row>
    <row r="2513" spans="1:5" x14ac:dyDescent="0.25">
      <c r="A2513" s="1033">
        <v>603626</v>
      </c>
      <c r="B2513" s="129">
        <v>0</v>
      </c>
      <c r="E2513" s="130"/>
    </row>
    <row r="2514" spans="1:5" x14ac:dyDescent="0.25">
      <c r="A2514" s="1033">
        <v>603628</v>
      </c>
      <c r="B2514" s="129">
        <v>0</v>
      </c>
      <c r="E2514" s="130"/>
    </row>
    <row r="2515" spans="1:5" x14ac:dyDescent="0.25">
      <c r="A2515" s="1033">
        <v>603712</v>
      </c>
      <c r="B2515" s="129">
        <v>0</v>
      </c>
      <c r="E2515" s="130"/>
    </row>
    <row r="2516" spans="1:5" x14ac:dyDescent="0.25">
      <c r="A2516" s="1033">
        <v>603714</v>
      </c>
      <c r="B2516" s="129">
        <v>0</v>
      </c>
      <c r="E2516" s="130"/>
    </row>
    <row r="2517" spans="1:5" x14ac:dyDescent="0.25">
      <c r="A2517" s="1033">
        <v>603716</v>
      </c>
      <c r="B2517" s="129">
        <v>0</v>
      </c>
      <c r="E2517" s="130"/>
    </row>
    <row r="2518" spans="1:5" x14ac:dyDescent="0.25">
      <c r="A2518" s="1033">
        <v>603718</v>
      </c>
      <c r="B2518" s="129">
        <v>0</v>
      </c>
      <c r="E2518" s="130"/>
    </row>
    <row r="2519" spans="1:5" x14ac:dyDescent="0.25">
      <c r="A2519" s="1033">
        <v>603722</v>
      </c>
      <c r="B2519" s="129">
        <v>0</v>
      </c>
      <c r="E2519" s="130"/>
    </row>
    <row r="2520" spans="1:5" x14ac:dyDescent="0.25">
      <c r="A2520" s="1033">
        <v>603724</v>
      </c>
      <c r="B2520" s="129">
        <v>0</v>
      </c>
      <c r="E2520" s="130"/>
    </row>
    <row r="2521" spans="1:5" x14ac:dyDescent="0.25">
      <c r="A2521" s="1033">
        <v>603726</v>
      </c>
      <c r="B2521" s="129">
        <v>0</v>
      </c>
      <c r="E2521" s="130"/>
    </row>
    <row r="2522" spans="1:5" x14ac:dyDescent="0.25">
      <c r="A2522" s="1033">
        <v>603728</v>
      </c>
      <c r="B2522" s="129">
        <v>0</v>
      </c>
      <c r="E2522" s="130"/>
    </row>
    <row r="2523" spans="1:5" x14ac:dyDescent="0.25">
      <c r="A2523" s="1033">
        <v>603812</v>
      </c>
      <c r="B2523" s="129">
        <v>0</v>
      </c>
      <c r="E2523" s="130"/>
    </row>
    <row r="2524" spans="1:5" x14ac:dyDescent="0.25">
      <c r="A2524" s="1033">
        <v>603814</v>
      </c>
      <c r="B2524" s="129">
        <v>0</v>
      </c>
      <c r="E2524" s="130"/>
    </row>
    <row r="2525" spans="1:5" x14ac:dyDescent="0.25">
      <c r="A2525" s="1033">
        <v>603816</v>
      </c>
      <c r="B2525" s="129">
        <v>0</v>
      </c>
      <c r="E2525" s="130"/>
    </row>
    <row r="2526" spans="1:5" x14ac:dyDescent="0.25">
      <c r="A2526" s="1033">
        <v>603818</v>
      </c>
      <c r="B2526" s="129">
        <v>0</v>
      </c>
      <c r="E2526" s="130"/>
    </row>
    <row r="2527" spans="1:5" x14ac:dyDescent="0.25">
      <c r="A2527" s="1033">
        <v>603822</v>
      </c>
      <c r="B2527" s="129">
        <v>0</v>
      </c>
      <c r="E2527" s="130"/>
    </row>
    <row r="2528" spans="1:5" x14ac:dyDescent="0.25">
      <c r="A2528" s="1033">
        <v>603824</v>
      </c>
      <c r="B2528" s="129">
        <v>0</v>
      </c>
      <c r="E2528" s="130"/>
    </row>
    <row r="2529" spans="1:5" x14ac:dyDescent="0.25">
      <c r="A2529" s="1033">
        <v>603826</v>
      </c>
      <c r="B2529" s="129">
        <v>0</v>
      </c>
      <c r="E2529" s="130"/>
    </row>
    <row r="2530" spans="1:5" x14ac:dyDescent="0.25">
      <c r="A2530" s="1033">
        <v>603828</v>
      </c>
      <c r="B2530" s="129">
        <v>0</v>
      </c>
      <c r="E2530" s="130"/>
    </row>
    <row r="2531" spans="1:5" x14ac:dyDescent="0.25">
      <c r="A2531" s="1033">
        <v>603912</v>
      </c>
      <c r="B2531" s="129">
        <v>0</v>
      </c>
      <c r="E2531" s="130"/>
    </row>
    <row r="2532" spans="1:5" x14ac:dyDescent="0.25">
      <c r="A2532" s="1033">
        <v>603914</v>
      </c>
      <c r="B2532" s="129">
        <v>0</v>
      </c>
      <c r="E2532" s="130"/>
    </row>
    <row r="2533" spans="1:5" x14ac:dyDescent="0.25">
      <c r="A2533" s="1033">
        <v>603916</v>
      </c>
      <c r="B2533" s="129">
        <v>0</v>
      </c>
      <c r="E2533" s="130"/>
    </row>
    <row r="2534" spans="1:5" x14ac:dyDescent="0.25">
      <c r="A2534" s="1033">
        <v>603918</v>
      </c>
      <c r="B2534" s="129">
        <v>0</v>
      </c>
      <c r="E2534" s="130"/>
    </row>
    <row r="2535" spans="1:5" x14ac:dyDescent="0.25">
      <c r="A2535" s="1033">
        <v>603922</v>
      </c>
      <c r="B2535" s="129">
        <v>0</v>
      </c>
      <c r="E2535" s="130"/>
    </row>
    <row r="2536" spans="1:5" x14ac:dyDescent="0.25">
      <c r="A2536" s="1033">
        <v>603924</v>
      </c>
      <c r="B2536" s="129">
        <v>0</v>
      </c>
      <c r="E2536" s="130"/>
    </row>
    <row r="2537" spans="1:5" x14ac:dyDescent="0.25">
      <c r="A2537" s="1033">
        <v>603926</v>
      </c>
      <c r="B2537" s="129">
        <v>0</v>
      </c>
      <c r="E2537" s="130"/>
    </row>
    <row r="2538" spans="1:5" x14ac:dyDescent="0.25">
      <c r="A2538" s="1033">
        <v>603928</v>
      </c>
      <c r="B2538" s="129">
        <v>0</v>
      </c>
      <c r="E2538" s="130"/>
    </row>
    <row r="2539" spans="1:5" x14ac:dyDescent="0.25">
      <c r="A2539" s="1033">
        <v>604012</v>
      </c>
      <c r="B2539" s="129">
        <v>0</v>
      </c>
      <c r="E2539" s="130"/>
    </row>
    <row r="2540" spans="1:5" x14ac:dyDescent="0.25">
      <c r="A2540" s="1033">
        <v>604014</v>
      </c>
      <c r="B2540" s="129">
        <v>0</v>
      </c>
      <c r="E2540" s="130"/>
    </row>
    <row r="2541" spans="1:5" x14ac:dyDescent="0.25">
      <c r="A2541" s="1033">
        <v>604016</v>
      </c>
      <c r="B2541" s="129">
        <v>0</v>
      </c>
      <c r="E2541" s="130"/>
    </row>
    <row r="2542" spans="1:5" x14ac:dyDescent="0.25">
      <c r="A2542" s="1033">
        <v>604018</v>
      </c>
      <c r="B2542" s="129">
        <v>0</v>
      </c>
      <c r="E2542" s="130"/>
    </row>
    <row r="2543" spans="1:5" x14ac:dyDescent="0.25">
      <c r="A2543" s="1033">
        <v>604022</v>
      </c>
      <c r="B2543" s="129">
        <v>0</v>
      </c>
      <c r="E2543" s="130"/>
    </row>
    <row r="2544" spans="1:5" x14ac:dyDescent="0.25">
      <c r="A2544" s="1033">
        <v>604024</v>
      </c>
      <c r="B2544" s="129">
        <v>0</v>
      </c>
      <c r="E2544" s="130"/>
    </row>
    <row r="2545" spans="1:5" x14ac:dyDescent="0.25">
      <c r="A2545" s="1033">
        <v>604026</v>
      </c>
      <c r="B2545" s="129">
        <v>0</v>
      </c>
      <c r="E2545" s="130"/>
    </row>
    <row r="2546" spans="1:5" x14ac:dyDescent="0.25">
      <c r="A2546" s="1033">
        <v>604028</v>
      </c>
      <c r="B2546" s="129">
        <v>0</v>
      </c>
      <c r="E2546" s="130"/>
    </row>
    <row r="2547" spans="1:5" x14ac:dyDescent="0.25">
      <c r="A2547" s="1033">
        <v>604112</v>
      </c>
      <c r="B2547" s="129">
        <v>0</v>
      </c>
      <c r="E2547" s="130"/>
    </row>
    <row r="2548" spans="1:5" x14ac:dyDescent="0.25">
      <c r="A2548" s="1033">
        <v>604114</v>
      </c>
      <c r="B2548" s="129">
        <v>0</v>
      </c>
      <c r="E2548" s="130"/>
    </row>
    <row r="2549" spans="1:5" x14ac:dyDescent="0.25">
      <c r="A2549" s="1033">
        <v>604116</v>
      </c>
      <c r="B2549" s="129">
        <v>0</v>
      </c>
      <c r="E2549" s="130"/>
    </row>
    <row r="2550" spans="1:5" x14ac:dyDescent="0.25">
      <c r="A2550" s="1033">
        <v>604118</v>
      </c>
      <c r="B2550" s="129">
        <v>0</v>
      </c>
      <c r="E2550" s="130"/>
    </row>
    <row r="2551" spans="1:5" x14ac:dyDescent="0.25">
      <c r="A2551" s="1033">
        <v>604122</v>
      </c>
      <c r="B2551" s="129">
        <v>0</v>
      </c>
      <c r="E2551" s="130"/>
    </row>
    <row r="2552" spans="1:5" x14ac:dyDescent="0.25">
      <c r="A2552" s="1033">
        <v>604124</v>
      </c>
      <c r="B2552" s="129">
        <v>0</v>
      </c>
      <c r="E2552" s="130"/>
    </row>
    <row r="2553" spans="1:5" x14ac:dyDescent="0.25">
      <c r="A2553" s="1033">
        <v>604126</v>
      </c>
      <c r="B2553" s="129">
        <v>0</v>
      </c>
      <c r="E2553" s="130"/>
    </row>
    <row r="2554" spans="1:5" x14ac:dyDescent="0.25">
      <c r="A2554" s="1033">
        <v>604128</v>
      </c>
      <c r="B2554" s="129">
        <v>0</v>
      </c>
      <c r="E2554" s="130"/>
    </row>
    <row r="2555" spans="1:5" x14ac:dyDescent="0.25">
      <c r="A2555" s="1033">
        <v>604212</v>
      </c>
      <c r="B2555" s="129">
        <v>0</v>
      </c>
      <c r="E2555" s="130"/>
    </row>
    <row r="2556" spans="1:5" x14ac:dyDescent="0.25">
      <c r="A2556" s="1033">
        <v>604214</v>
      </c>
      <c r="B2556" s="129">
        <v>0</v>
      </c>
      <c r="E2556" s="130"/>
    </row>
    <row r="2557" spans="1:5" x14ac:dyDescent="0.25">
      <c r="A2557" s="1033">
        <v>604216</v>
      </c>
      <c r="B2557" s="129">
        <v>0</v>
      </c>
      <c r="E2557" s="130"/>
    </row>
    <row r="2558" spans="1:5" x14ac:dyDescent="0.25">
      <c r="A2558" s="1033">
        <v>604218</v>
      </c>
      <c r="B2558" s="129">
        <v>0</v>
      </c>
      <c r="E2558" s="130"/>
    </row>
    <row r="2559" spans="1:5" x14ac:dyDescent="0.25">
      <c r="A2559" s="1033">
        <v>604222</v>
      </c>
      <c r="B2559" s="129">
        <v>0</v>
      </c>
      <c r="E2559" s="130"/>
    </row>
    <row r="2560" spans="1:5" x14ac:dyDescent="0.25">
      <c r="A2560" s="1033">
        <v>604224</v>
      </c>
      <c r="B2560" s="129">
        <v>0</v>
      </c>
      <c r="E2560" s="130"/>
    </row>
    <row r="2561" spans="1:9" x14ac:dyDescent="0.25">
      <c r="A2561" s="1033">
        <v>604226</v>
      </c>
      <c r="B2561" s="129">
        <v>0</v>
      </c>
      <c r="E2561" s="130"/>
    </row>
    <row r="2562" spans="1:9" x14ac:dyDescent="0.25">
      <c r="A2562" s="1033">
        <v>604228</v>
      </c>
      <c r="B2562" s="129">
        <v>0</v>
      </c>
      <c r="E2562" s="130"/>
    </row>
    <row r="2563" spans="1:9" x14ac:dyDescent="0.25">
      <c r="A2563" s="1033">
        <v>604412</v>
      </c>
      <c r="B2563" s="129">
        <v>2</v>
      </c>
      <c r="C2563" s="130" t="s">
        <v>1338</v>
      </c>
      <c r="D2563" s="130">
        <v>16</v>
      </c>
      <c r="E2563" s="130" t="s">
        <v>1338</v>
      </c>
      <c r="F2563" s="1031">
        <v>0</v>
      </c>
      <c r="G2563" s="1031">
        <v>-0.02</v>
      </c>
      <c r="H2563" s="1031">
        <v>-0.02</v>
      </c>
      <c r="I2563" s="1032" t="s">
        <v>1339</v>
      </c>
    </row>
    <row r="2564" spans="1:9" x14ac:dyDescent="0.25">
      <c r="A2564" s="1033">
        <v>604414</v>
      </c>
      <c r="B2564" s="129">
        <v>135962</v>
      </c>
      <c r="C2564" s="130">
        <v>418</v>
      </c>
      <c r="D2564" s="130">
        <v>16</v>
      </c>
      <c r="E2564" s="130">
        <v>418</v>
      </c>
      <c r="F2564" s="1031">
        <v>0</v>
      </c>
      <c r="G2564" s="1031">
        <v>-135962</v>
      </c>
      <c r="H2564" s="1031">
        <v>-135962</v>
      </c>
      <c r="I2564" s="1032" t="s">
        <v>1340</v>
      </c>
    </row>
    <row r="2565" spans="1:9" x14ac:dyDescent="0.25">
      <c r="A2565" s="1033">
        <v>604416</v>
      </c>
      <c r="B2565" s="129">
        <v>2500</v>
      </c>
      <c r="C2565" s="130">
        <v>418</v>
      </c>
      <c r="D2565" s="130">
        <v>16</v>
      </c>
      <c r="E2565" s="130">
        <v>418</v>
      </c>
      <c r="F2565" s="1031">
        <v>0</v>
      </c>
      <c r="G2565" s="1031">
        <v>-135962</v>
      </c>
      <c r="H2565" s="1031">
        <v>-135962</v>
      </c>
      <c r="I2565" s="1032" t="s">
        <v>1340</v>
      </c>
    </row>
    <row r="2566" spans="1:9" x14ac:dyDescent="0.25">
      <c r="A2566" s="1033"/>
      <c r="C2566" s="130">
        <v>618</v>
      </c>
      <c r="D2566" s="130">
        <v>16</v>
      </c>
      <c r="E2566" s="130">
        <v>618</v>
      </c>
      <c r="F2566" s="1031">
        <v>0</v>
      </c>
      <c r="G2566" s="1031">
        <v>133462</v>
      </c>
      <c r="H2566" s="1031">
        <v>133462</v>
      </c>
      <c r="I2566" s="1032" t="s">
        <v>1341</v>
      </c>
    </row>
    <row r="2567" spans="1:9" x14ac:dyDescent="0.25">
      <c r="A2567" s="1033">
        <v>604418</v>
      </c>
      <c r="B2567" s="129">
        <v>1250</v>
      </c>
      <c r="E2567" s="130"/>
    </row>
    <row r="2568" spans="1:9" x14ac:dyDescent="0.25">
      <c r="A2568" s="1033">
        <v>604422</v>
      </c>
      <c r="B2568" s="129">
        <v>2</v>
      </c>
      <c r="C2568" s="130" t="s">
        <v>1338</v>
      </c>
      <c r="D2568" s="130">
        <v>16</v>
      </c>
      <c r="E2568" s="130" t="s">
        <v>1338</v>
      </c>
      <c r="F2568" s="1031">
        <v>0</v>
      </c>
      <c r="G2568" s="1031">
        <v>-0.02</v>
      </c>
      <c r="H2568" s="1031">
        <v>-0.02</v>
      </c>
      <c r="I2568" s="1032" t="s">
        <v>1339</v>
      </c>
    </row>
    <row r="2569" spans="1:9" x14ac:dyDescent="0.25">
      <c r="A2569" s="1033">
        <v>604424</v>
      </c>
      <c r="B2569" s="129">
        <v>135962</v>
      </c>
      <c r="C2569" s="130">
        <v>418</v>
      </c>
      <c r="D2569" s="130">
        <v>16</v>
      </c>
      <c r="E2569" s="130">
        <v>418</v>
      </c>
      <c r="F2569" s="1031">
        <v>0</v>
      </c>
      <c r="G2569" s="1031">
        <v>-135962</v>
      </c>
      <c r="H2569" s="1031">
        <v>-135962</v>
      </c>
      <c r="I2569" s="1032" t="s">
        <v>1340</v>
      </c>
    </row>
    <row r="2570" spans="1:9" x14ac:dyDescent="0.25">
      <c r="A2570" s="1033">
        <v>604426</v>
      </c>
      <c r="B2570" s="129">
        <v>2500</v>
      </c>
      <c r="C2570" s="130">
        <v>418</v>
      </c>
      <c r="D2570" s="130">
        <v>16</v>
      </c>
      <c r="E2570" s="130">
        <v>418</v>
      </c>
      <c r="F2570" s="1031">
        <v>0</v>
      </c>
      <c r="G2570" s="1031">
        <v>-135962</v>
      </c>
      <c r="H2570" s="1031">
        <v>-135962</v>
      </c>
      <c r="I2570" s="1032" t="s">
        <v>1340</v>
      </c>
    </row>
    <row r="2571" spans="1:9" x14ac:dyDescent="0.25">
      <c r="A2571" s="1033"/>
      <c r="C2571" s="130">
        <v>618</v>
      </c>
      <c r="D2571" s="130">
        <v>16</v>
      </c>
      <c r="E2571" s="130">
        <v>618</v>
      </c>
      <c r="F2571" s="1031">
        <v>0</v>
      </c>
      <c r="G2571" s="1031">
        <v>133462</v>
      </c>
      <c r="H2571" s="1031">
        <v>133462</v>
      </c>
      <c r="I2571" s="1032" t="s">
        <v>1341</v>
      </c>
    </row>
    <row r="2572" spans="1:9" x14ac:dyDescent="0.25">
      <c r="A2572" s="1033">
        <v>604428</v>
      </c>
      <c r="B2572" s="129">
        <v>1250</v>
      </c>
      <c r="E2572" s="130"/>
    </row>
    <row r="2573" spans="1:9" x14ac:dyDescent="0.25">
      <c r="A2573" s="1033">
        <v>604512</v>
      </c>
      <c r="B2573" s="129">
        <v>0</v>
      </c>
      <c r="E2573" s="130"/>
    </row>
    <row r="2574" spans="1:9" x14ac:dyDescent="0.25">
      <c r="A2574" s="1033">
        <v>604514</v>
      </c>
      <c r="B2574" s="129">
        <v>0</v>
      </c>
      <c r="E2574" s="130"/>
    </row>
    <row r="2575" spans="1:9" x14ac:dyDescent="0.25">
      <c r="A2575" s="1033">
        <v>604516</v>
      </c>
      <c r="B2575" s="129">
        <v>0</v>
      </c>
      <c r="E2575" s="130"/>
    </row>
    <row r="2576" spans="1:9" x14ac:dyDescent="0.25">
      <c r="A2576" s="1033">
        <v>604518</v>
      </c>
      <c r="B2576" s="129">
        <v>0</v>
      </c>
      <c r="E2576" s="130"/>
    </row>
    <row r="2577" spans="1:9" x14ac:dyDescent="0.25">
      <c r="A2577" s="1033">
        <v>604522</v>
      </c>
      <c r="B2577" s="129">
        <v>0</v>
      </c>
      <c r="E2577" s="130"/>
    </row>
    <row r="2578" spans="1:9" x14ac:dyDescent="0.25">
      <c r="A2578" s="1033">
        <v>604524</v>
      </c>
      <c r="B2578" s="129">
        <v>0</v>
      </c>
      <c r="E2578" s="130"/>
    </row>
    <row r="2579" spans="1:9" x14ac:dyDescent="0.25">
      <c r="A2579" s="1033">
        <v>604526</v>
      </c>
      <c r="B2579" s="129">
        <v>0</v>
      </c>
      <c r="E2579" s="130"/>
    </row>
    <row r="2580" spans="1:9" x14ac:dyDescent="0.25">
      <c r="A2580" s="1033">
        <v>604528</v>
      </c>
      <c r="B2580" s="129">
        <v>0</v>
      </c>
      <c r="E2580" s="130"/>
    </row>
    <row r="2581" spans="1:9" x14ac:dyDescent="0.25">
      <c r="A2581" s="1033">
        <v>604612</v>
      </c>
      <c r="E2581" s="130"/>
    </row>
    <row r="2582" spans="1:9" x14ac:dyDescent="0.25">
      <c r="A2582" s="1033">
        <v>604616</v>
      </c>
      <c r="B2582" s="129">
        <v>0</v>
      </c>
      <c r="E2582" s="130"/>
    </row>
    <row r="2583" spans="1:9" x14ac:dyDescent="0.25">
      <c r="A2583" s="1033">
        <v>604622</v>
      </c>
      <c r="E2583" s="130"/>
    </row>
    <row r="2584" spans="1:9" x14ac:dyDescent="0.25">
      <c r="A2584" s="1033">
        <v>604626</v>
      </c>
      <c r="B2584" s="129">
        <v>0</v>
      </c>
      <c r="E2584" s="130"/>
    </row>
    <row r="2585" spans="1:9" x14ac:dyDescent="0.25">
      <c r="A2585" s="1033">
        <v>604712</v>
      </c>
      <c r="E2585" s="130"/>
    </row>
    <row r="2586" spans="1:9" x14ac:dyDescent="0.25">
      <c r="A2586" s="1033">
        <v>604716</v>
      </c>
      <c r="B2586" s="129">
        <v>26727</v>
      </c>
      <c r="C2586" s="130" t="s">
        <v>157</v>
      </c>
      <c r="D2586" s="130">
        <v>16</v>
      </c>
      <c r="E2586" s="130" t="s">
        <v>157</v>
      </c>
      <c r="F2586" s="1031">
        <v>0</v>
      </c>
      <c r="G2586" s="1031">
        <v>-26726.6</v>
      </c>
      <c r="H2586" s="1031">
        <v>-26726.6</v>
      </c>
      <c r="I2586" s="1032" t="s">
        <v>1342</v>
      </c>
    </row>
    <row r="2587" spans="1:9" x14ac:dyDescent="0.25">
      <c r="A2587" s="1033">
        <v>604722</v>
      </c>
      <c r="E2587" s="130"/>
    </row>
    <row r="2588" spans="1:9" x14ac:dyDescent="0.25">
      <c r="A2588" s="1033">
        <v>604726</v>
      </c>
      <c r="B2588" s="129">
        <v>26727</v>
      </c>
      <c r="C2588" s="130" t="s">
        <v>157</v>
      </c>
      <c r="D2588" s="130">
        <v>16</v>
      </c>
      <c r="E2588" s="130" t="s">
        <v>157</v>
      </c>
      <c r="F2588" s="1031">
        <v>0</v>
      </c>
      <c r="G2588" s="1031">
        <v>-26726.6</v>
      </c>
      <c r="H2588" s="1031">
        <v>-26726.6</v>
      </c>
      <c r="I2588" s="1032" t="s">
        <v>1342</v>
      </c>
    </row>
    <row r="2589" spans="1:9" x14ac:dyDescent="0.25">
      <c r="A2589" s="1033">
        <v>605012</v>
      </c>
      <c r="B2589" s="129">
        <v>34</v>
      </c>
      <c r="C2589" s="130" t="s">
        <v>1343</v>
      </c>
      <c r="D2589" s="130">
        <v>16</v>
      </c>
      <c r="E2589" s="130" t="s">
        <v>1343</v>
      </c>
      <c r="F2589" s="1031">
        <v>0</v>
      </c>
      <c r="G2589" s="1031">
        <v>-0.14000000000000001</v>
      </c>
      <c r="H2589" s="1031">
        <v>-0.14000000000000001</v>
      </c>
      <c r="I2589" s="1032" t="s">
        <v>1344</v>
      </c>
    </row>
    <row r="2590" spans="1:9" x14ac:dyDescent="0.25">
      <c r="A2590" s="1033"/>
      <c r="C2590" s="130" t="s">
        <v>1343</v>
      </c>
      <c r="D2590" s="130">
        <v>16</v>
      </c>
      <c r="E2590" s="130" t="s">
        <v>1345</v>
      </c>
      <c r="F2590" s="1031">
        <v>0</v>
      </c>
      <c r="G2590" s="1031">
        <v>-0.06</v>
      </c>
      <c r="H2590" s="1031">
        <v>-0.06</v>
      </c>
      <c r="I2590" s="1032" t="s">
        <v>1346</v>
      </c>
    </row>
    <row r="2591" spans="1:9" x14ac:dyDescent="0.25">
      <c r="A2591" s="1033"/>
      <c r="C2591" s="130" t="s">
        <v>1343</v>
      </c>
      <c r="D2591" s="130">
        <v>16</v>
      </c>
      <c r="E2591" s="130" t="s">
        <v>1347</v>
      </c>
      <c r="F2591" s="1031">
        <v>0</v>
      </c>
      <c r="G2591" s="1031">
        <v>-0.13</v>
      </c>
      <c r="H2591" s="1031">
        <v>-0.13</v>
      </c>
      <c r="I2591" s="1032" t="s">
        <v>1348</v>
      </c>
    </row>
    <row r="2592" spans="1:9" x14ac:dyDescent="0.25">
      <c r="A2592" s="1033"/>
      <c r="C2592" s="130" t="s">
        <v>1343</v>
      </c>
      <c r="D2592" s="130">
        <v>16</v>
      </c>
      <c r="E2592" s="130" t="s">
        <v>1349</v>
      </c>
      <c r="F2592" s="1031">
        <v>0</v>
      </c>
      <c r="G2592" s="1031">
        <v>-0.01</v>
      </c>
      <c r="H2592" s="1031">
        <v>-0.01</v>
      </c>
      <c r="I2592" s="1032" t="s">
        <v>1350</v>
      </c>
    </row>
    <row r="2593" spans="1:9" x14ac:dyDescent="0.25">
      <c r="A2593" s="1033">
        <v>605014</v>
      </c>
      <c r="B2593" s="129">
        <v>41093</v>
      </c>
      <c r="C2593" s="130" t="s">
        <v>1351</v>
      </c>
      <c r="D2593" s="130">
        <v>16</v>
      </c>
      <c r="E2593" s="130" t="s">
        <v>1351</v>
      </c>
      <c r="F2593" s="1031">
        <v>0</v>
      </c>
      <c r="G2593" s="1031">
        <v>-6580</v>
      </c>
      <c r="H2593" s="1031">
        <v>-6580</v>
      </c>
      <c r="I2593" s="1032" t="s">
        <v>1352</v>
      </c>
    </row>
    <row r="2594" spans="1:9" x14ac:dyDescent="0.25">
      <c r="A2594" s="1033"/>
      <c r="C2594" s="130" t="s">
        <v>1351</v>
      </c>
      <c r="D2594" s="130">
        <v>16</v>
      </c>
      <c r="E2594" s="130" t="s">
        <v>1353</v>
      </c>
      <c r="F2594" s="1031">
        <v>0</v>
      </c>
      <c r="G2594" s="1031">
        <v>-10494</v>
      </c>
      <c r="H2594" s="1031">
        <v>-10494</v>
      </c>
      <c r="I2594" s="1032" t="s">
        <v>1354</v>
      </c>
    </row>
    <row r="2595" spans="1:9" x14ac:dyDescent="0.25">
      <c r="A2595" s="1033"/>
      <c r="C2595" s="130" t="s">
        <v>1351</v>
      </c>
      <c r="D2595" s="130">
        <v>16</v>
      </c>
      <c r="E2595" s="130" t="s">
        <v>1355</v>
      </c>
      <c r="F2595" s="1031">
        <v>0</v>
      </c>
      <c r="G2595" s="1031">
        <v>-15190</v>
      </c>
      <c r="H2595" s="1031">
        <v>-15190</v>
      </c>
      <c r="I2595" s="1032" t="s">
        <v>1356</v>
      </c>
    </row>
    <row r="2596" spans="1:9" x14ac:dyDescent="0.25">
      <c r="A2596" s="1033"/>
      <c r="C2596" s="130" t="s">
        <v>1351</v>
      </c>
      <c r="D2596" s="130">
        <v>16</v>
      </c>
      <c r="E2596" s="130" t="s">
        <v>1357</v>
      </c>
      <c r="F2596" s="1031">
        <v>0</v>
      </c>
      <c r="G2596" s="1031">
        <v>-8330</v>
      </c>
      <c r="H2596" s="1031">
        <v>-8330</v>
      </c>
      <c r="I2596" s="1032" t="s">
        <v>1358</v>
      </c>
    </row>
    <row r="2597" spans="1:9" x14ac:dyDescent="0.25">
      <c r="A2597" s="1033"/>
      <c r="C2597" s="130" t="s">
        <v>1351</v>
      </c>
      <c r="D2597" s="130">
        <v>16</v>
      </c>
      <c r="E2597" s="130" t="s">
        <v>78</v>
      </c>
      <c r="F2597" s="1031">
        <v>0</v>
      </c>
      <c r="G2597" s="1031">
        <v>-499</v>
      </c>
      <c r="H2597" s="1031">
        <v>-499</v>
      </c>
      <c r="I2597" s="1032" t="s">
        <v>1359</v>
      </c>
    </row>
    <row r="2598" spans="1:9" x14ac:dyDescent="0.25">
      <c r="A2598" s="1033">
        <v>605016</v>
      </c>
      <c r="B2598" s="129">
        <v>26085</v>
      </c>
      <c r="C2598" s="130" t="s">
        <v>1351</v>
      </c>
      <c r="D2598" s="130">
        <v>16</v>
      </c>
      <c r="E2598" s="130" t="s">
        <v>1351</v>
      </c>
      <c r="F2598" s="1031">
        <v>0</v>
      </c>
      <c r="G2598" s="1031">
        <v>-6580</v>
      </c>
      <c r="H2598" s="1031">
        <v>-6580</v>
      </c>
      <c r="I2598" s="1032" t="s">
        <v>1352</v>
      </c>
    </row>
    <row r="2599" spans="1:9" x14ac:dyDescent="0.25">
      <c r="A2599" s="1033"/>
      <c r="C2599" s="130" t="s">
        <v>1351</v>
      </c>
      <c r="D2599" s="130">
        <v>16</v>
      </c>
      <c r="E2599" s="130" t="s">
        <v>1353</v>
      </c>
      <c r="F2599" s="1031">
        <v>0</v>
      </c>
      <c r="G2599" s="1031">
        <v>-10494</v>
      </c>
      <c r="H2599" s="1031">
        <v>-10494</v>
      </c>
      <c r="I2599" s="1032" t="s">
        <v>1354</v>
      </c>
    </row>
    <row r="2600" spans="1:9" x14ac:dyDescent="0.25">
      <c r="A2600" s="1033"/>
      <c r="C2600" s="130" t="s">
        <v>1351</v>
      </c>
      <c r="D2600" s="130">
        <v>16</v>
      </c>
      <c r="E2600" s="130" t="s">
        <v>1355</v>
      </c>
      <c r="F2600" s="1031">
        <v>0</v>
      </c>
      <c r="G2600" s="1031">
        <v>-15190</v>
      </c>
      <c r="H2600" s="1031">
        <v>-15190</v>
      </c>
      <c r="I2600" s="1032" t="s">
        <v>1356</v>
      </c>
    </row>
    <row r="2601" spans="1:9" x14ac:dyDescent="0.25">
      <c r="A2601" s="1033"/>
      <c r="C2601" s="130" t="s">
        <v>1351</v>
      </c>
      <c r="D2601" s="130">
        <v>16</v>
      </c>
      <c r="E2601" s="130" t="s">
        <v>1357</v>
      </c>
      <c r="F2601" s="1031">
        <v>0</v>
      </c>
      <c r="G2601" s="1031">
        <v>-8330</v>
      </c>
      <c r="H2601" s="1031">
        <v>-8330</v>
      </c>
      <c r="I2601" s="1032" t="s">
        <v>1358</v>
      </c>
    </row>
    <row r="2602" spans="1:9" x14ac:dyDescent="0.25">
      <c r="A2602" s="1033"/>
      <c r="C2602" s="130" t="s">
        <v>1351</v>
      </c>
      <c r="D2602" s="130">
        <v>16</v>
      </c>
      <c r="E2602" s="130" t="s">
        <v>78</v>
      </c>
      <c r="F2602" s="1031">
        <v>0</v>
      </c>
      <c r="G2602" s="1031">
        <v>-499</v>
      </c>
      <c r="H2602" s="1031">
        <v>-499</v>
      </c>
      <c r="I2602" s="1032" t="s">
        <v>1359</v>
      </c>
    </row>
    <row r="2603" spans="1:9" x14ac:dyDescent="0.25">
      <c r="A2603" s="1033"/>
      <c r="C2603" s="130" t="s">
        <v>1360</v>
      </c>
      <c r="D2603" s="130">
        <v>16</v>
      </c>
      <c r="E2603" s="130" t="s">
        <v>1360</v>
      </c>
      <c r="F2603" s="1031">
        <v>0</v>
      </c>
      <c r="G2603" s="1031">
        <v>980</v>
      </c>
      <c r="H2603" s="1031">
        <v>980</v>
      </c>
      <c r="I2603" s="1032" t="s">
        <v>1361</v>
      </c>
    </row>
    <row r="2604" spans="1:9" x14ac:dyDescent="0.25">
      <c r="A2604" s="1033"/>
      <c r="C2604" s="130" t="s">
        <v>1360</v>
      </c>
      <c r="D2604" s="130">
        <v>16</v>
      </c>
      <c r="E2604" s="130" t="s">
        <v>1362</v>
      </c>
      <c r="F2604" s="1031">
        <v>0</v>
      </c>
      <c r="G2604" s="1031">
        <v>7764</v>
      </c>
      <c r="H2604" s="1031">
        <v>7764</v>
      </c>
      <c r="I2604" s="1032" t="s">
        <v>1363</v>
      </c>
    </row>
    <row r="2605" spans="1:9" x14ac:dyDescent="0.25">
      <c r="A2605" s="1033"/>
      <c r="C2605" s="130" t="s">
        <v>1360</v>
      </c>
      <c r="D2605" s="130">
        <v>16</v>
      </c>
      <c r="E2605" s="130" t="s">
        <v>1364</v>
      </c>
      <c r="F2605" s="1031">
        <v>0</v>
      </c>
      <c r="G2605" s="1031">
        <v>6043.71</v>
      </c>
      <c r="H2605" s="1031">
        <v>6043.71</v>
      </c>
      <c r="I2605" s="1032" t="s">
        <v>1365</v>
      </c>
    </row>
    <row r="2606" spans="1:9" x14ac:dyDescent="0.25">
      <c r="A2606" s="1033"/>
      <c r="C2606" s="130" t="s">
        <v>1360</v>
      </c>
      <c r="D2606" s="130">
        <v>16</v>
      </c>
      <c r="E2606" s="130" t="s">
        <v>1366</v>
      </c>
      <c r="F2606" s="1031">
        <v>0</v>
      </c>
      <c r="G2606" s="1031">
        <v>220</v>
      </c>
      <c r="H2606" s="1031">
        <v>220</v>
      </c>
      <c r="I2606" s="1032" t="s">
        <v>1367</v>
      </c>
    </row>
    <row r="2607" spans="1:9" x14ac:dyDescent="0.25">
      <c r="A2607" s="1033">
        <v>605022</v>
      </c>
      <c r="B2607" s="129">
        <v>34</v>
      </c>
      <c r="C2607" s="130" t="s">
        <v>1343</v>
      </c>
      <c r="D2607" s="130">
        <v>16</v>
      </c>
      <c r="E2607" s="130" t="s">
        <v>1343</v>
      </c>
      <c r="F2607" s="1031">
        <v>0</v>
      </c>
      <c r="G2607" s="1031">
        <v>-0.14000000000000001</v>
      </c>
      <c r="H2607" s="1031">
        <v>-0.14000000000000001</v>
      </c>
      <c r="I2607" s="1032" t="s">
        <v>1344</v>
      </c>
    </row>
    <row r="2608" spans="1:9" x14ac:dyDescent="0.25">
      <c r="A2608" s="1033"/>
      <c r="C2608" s="130" t="s">
        <v>1343</v>
      </c>
      <c r="D2608" s="130">
        <v>16</v>
      </c>
      <c r="E2608" s="130" t="s">
        <v>1345</v>
      </c>
      <c r="F2608" s="1031">
        <v>0</v>
      </c>
      <c r="G2608" s="1031">
        <v>-0.06</v>
      </c>
      <c r="H2608" s="1031">
        <v>-0.06</v>
      </c>
      <c r="I2608" s="1032" t="s">
        <v>1346</v>
      </c>
    </row>
    <row r="2609" spans="1:9" x14ac:dyDescent="0.25">
      <c r="A2609" s="1033"/>
      <c r="C2609" s="130" t="s">
        <v>1343</v>
      </c>
      <c r="D2609" s="130">
        <v>16</v>
      </c>
      <c r="E2609" s="130" t="s">
        <v>1347</v>
      </c>
      <c r="F2609" s="1031">
        <v>0</v>
      </c>
      <c r="G2609" s="1031">
        <v>-0.13</v>
      </c>
      <c r="H2609" s="1031">
        <v>-0.13</v>
      </c>
      <c r="I2609" s="1032" t="s">
        <v>1348</v>
      </c>
    </row>
    <row r="2610" spans="1:9" x14ac:dyDescent="0.25">
      <c r="A2610" s="1033"/>
      <c r="C2610" s="130" t="s">
        <v>1343</v>
      </c>
      <c r="D2610" s="130">
        <v>16</v>
      </c>
      <c r="E2610" s="130" t="s">
        <v>1349</v>
      </c>
      <c r="F2610" s="1031">
        <v>0</v>
      </c>
      <c r="G2610" s="1031">
        <v>-0.01</v>
      </c>
      <c r="H2610" s="1031">
        <v>-0.01</v>
      </c>
      <c r="I2610" s="1032" t="s">
        <v>1350</v>
      </c>
    </row>
    <row r="2611" spans="1:9" x14ac:dyDescent="0.25">
      <c r="A2611" s="1033">
        <v>605024</v>
      </c>
      <c r="B2611" s="129">
        <v>41093</v>
      </c>
      <c r="C2611" s="130" t="s">
        <v>1351</v>
      </c>
      <c r="D2611" s="130">
        <v>16</v>
      </c>
      <c r="E2611" s="130" t="s">
        <v>1351</v>
      </c>
      <c r="F2611" s="1031">
        <v>0</v>
      </c>
      <c r="G2611" s="1031">
        <v>-6580</v>
      </c>
      <c r="H2611" s="1031">
        <v>-6580</v>
      </c>
      <c r="I2611" s="1032" t="s">
        <v>1352</v>
      </c>
    </row>
    <row r="2612" spans="1:9" x14ac:dyDescent="0.25">
      <c r="A2612" s="1033"/>
      <c r="C2612" s="130" t="s">
        <v>1351</v>
      </c>
      <c r="D2612" s="130">
        <v>16</v>
      </c>
      <c r="E2612" s="130" t="s">
        <v>1353</v>
      </c>
      <c r="F2612" s="1031">
        <v>0</v>
      </c>
      <c r="G2612" s="1031">
        <v>-10494</v>
      </c>
      <c r="H2612" s="1031">
        <v>-10494</v>
      </c>
      <c r="I2612" s="1032" t="s">
        <v>1354</v>
      </c>
    </row>
    <row r="2613" spans="1:9" x14ac:dyDescent="0.25">
      <c r="A2613" s="1033"/>
      <c r="C2613" s="130" t="s">
        <v>1351</v>
      </c>
      <c r="D2613" s="130">
        <v>16</v>
      </c>
      <c r="E2613" s="130" t="s">
        <v>1355</v>
      </c>
      <c r="F2613" s="1031">
        <v>0</v>
      </c>
      <c r="G2613" s="1031">
        <v>-15190</v>
      </c>
      <c r="H2613" s="1031">
        <v>-15190</v>
      </c>
      <c r="I2613" s="1032" t="s">
        <v>1356</v>
      </c>
    </row>
    <row r="2614" spans="1:9" x14ac:dyDescent="0.25">
      <c r="A2614" s="1033"/>
      <c r="C2614" s="130" t="s">
        <v>1351</v>
      </c>
      <c r="D2614" s="130">
        <v>16</v>
      </c>
      <c r="E2614" s="130" t="s">
        <v>1357</v>
      </c>
      <c r="F2614" s="1031">
        <v>0</v>
      </c>
      <c r="G2614" s="1031">
        <v>-8330</v>
      </c>
      <c r="H2614" s="1031">
        <v>-8330</v>
      </c>
      <c r="I2614" s="1032" t="s">
        <v>1358</v>
      </c>
    </row>
    <row r="2615" spans="1:9" x14ac:dyDescent="0.25">
      <c r="A2615" s="1033"/>
      <c r="C2615" s="130" t="s">
        <v>1351</v>
      </c>
      <c r="D2615" s="130">
        <v>16</v>
      </c>
      <c r="E2615" s="130" t="s">
        <v>78</v>
      </c>
      <c r="F2615" s="1031">
        <v>0</v>
      </c>
      <c r="G2615" s="1031">
        <v>-499</v>
      </c>
      <c r="H2615" s="1031">
        <v>-499</v>
      </c>
      <c r="I2615" s="1032" t="s">
        <v>1359</v>
      </c>
    </row>
    <row r="2616" spans="1:9" x14ac:dyDescent="0.25">
      <c r="A2616" s="1033">
        <v>605026</v>
      </c>
      <c r="B2616" s="129">
        <v>26085</v>
      </c>
      <c r="C2616" s="130" t="s">
        <v>1351</v>
      </c>
      <c r="D2616" s="130">
        <v>16</v>
      </c>
      <c r="E2616" s="130" t="s">
        <v>1351</v>
      </c>
      <c r="F2616" s="1031">
        <v>0</v>
      </c>
      <c r="G2616" s="1031">
        <v>-6580</v>
      </c>
      <c r="H2616" s="1031">
        <v>-6580</v>
      </c>
      <c r="I2616" s="1032" t="s">
        <v>1352</v>
      </c>
    </row>
    <row r="2617" spans="1:9" x14ac:dyDescent="0.25">
      <c r="A2617" s="1033"/>
      <c r="C2617" s="130" t="s">
        <v>1351</v>
      </c>
      <c r="D2617" s="130">
        <v>16</v>
      </c>
      <c r="E2617" s="130" t="s">
        <v>1353</v>
      </c>
      <c r="F2617" s="1031">
        <v>0</v>
      </c>
      <c r="G2617" s="1031">
        <v>-10494</v>
      </c>
      <c r="H2617" s="1031">
        <v>-10494</v>
      </c>
      <c r="I2617" s="1032" t="s">
        <v>1354</v>
      </c>
    </row>
    <row r="2618" spans="1:9" x14ac:dyDescent="0.25">
      <c r="A2618" s="1033"/>
      <c r="C2618" s="130" t="s">
        <v>1351</v>
      </c>
      <c r="D2618" s="130">
        <v>16</v>
      </c>
      <c r="E2618" s="130" t="s">
        <v>1355</v>
      </c>
      <c r="F2618" s="1031">
        <v>0</v>
      </c>
      <c r="G2618" s="1031">
        <v>-15190</v>
      </c>
      <c r="H2618" s="1031">
        <v>-15190</v>
      </c>
      <c r="I2618" s="1032" t="s">
        <v>1356</v>
      </c>
    </row>
    <row r="2619" spans="1:9" x14ac:dyDescent="0.25">
      <c r="A2619" s="1033"/>
      <c r="C2619" s="130" t="s">
        <v>1351</v>
      </c>
      <c r="D2619" s="130">
        <v>16</v>
      </c>
      <c r="E2619" s="130" t="s">
        <v>1357</v>
      </c>
      <c r="F2619" s="1031">
        <v>0</v>
      </c>
      <c r="G2619" s="1031">
        <v>-8330</v>
      </c>
      <c r="H2619" s="1031">
        <v>-8330</v>
      </c>
      <c r="I2619" s="1032" t="s">
        <v>1358</v>
      </c>
    </row>
    <row r="2620" spans="1:9" x14ac:dyDescent="0.25">
      <c r="A2620" s="1033"/>
      <c r="C2620" s="130" t="s">
        <v>1351</v>
      </c>
      <c r="D2620" s="130">
        <v>16</v>
      </c>
      <c r="E2620" s="130" t="s">
        <v>78</v>
      </c>
      <c r="F2620" s="1031">
        <v>0</v>
      </c>
      <c r="G2620" s="1031">
        <v>-499</v>
      </c>
      <c r="H2620" s="1031">
        <v>-499</v>
      </c>
      <c r="I2620" s="1032" t="s">
        <v>1359</v>
      </c>
    </row>
    <row r="2621" spans="1:9" x14ac:dyDescent="0.25">
      <c r="A2621" s="1033"/>
      <c r="C2621" s="130" t="s">
        <v>1360</v>
      </c>
      <c r="D2621" s="130">
        <v>16</v>
      </c>
      <c r="E2621" s="130" t="s">
        <v>1360</v>
      </c>
      <c r="F2621" s="1031">
        <v>0</v>
      </c>
      <c r="G2621" s="1031">
        <v>980</v>
      </c>
      <c r="H2621" s="1031">
        <v>980</v>
      </c>
      <c r="I2621" s="1032" t="s">
        <v>1361</v>
      </c>
    </row>
    <row r="2622" spans="1:9" x14ac:dyDescent="0.25">
      <c r="A2622" s="1033"/>
      <c r="C2622" s="130" t="s">
        <v>1360</v>
      </c>
      <c r="D2622" s="130">
        <v>16</v>
      </c>
      <c r="E2622" s="130" t="s">
        <v>1362</v>
      </c>
      <c r="F2622" s="1031">
        <v>0</v>
      </c>
      <c r="G2622" s="1031">
        <v>7764</v>
      </c>
      <c r="H2622" s="1031">
        <v>7764</v>
      </c>
      <c r="I2622" s="1032" t="s">
        <v>1363</v>
      </c>
    </row>
    <row r="2623" spans="1:9" x14ac:dyDescent="0.25">
      <c r="A2623" s="1033"/>
      <c r="C2623" s="130" t="s">
        <v>1360</v>
      </c>
      <c r="D2623" s="130">
        <v>16</v>
      </c>
      <c r="E2623" s="130" t="s">
        <v>1364</v>
      </c>
      <c r="F2623" s="1031">
        <v>0</v>
      </c>
      <c r="G2623" s="1031">
        <v>6043.71</v>
      </c>
      <c r="H2623" s="1031">
        <v>6043.71</v>
      </c>
      <c r="I2623" s="1032" t="s">
        <v>1365</v>
      </c>
    </row>
    <row r="2624" spans="1:9" x14ac:dyDescent="0.25">
      <c r="A2624" s="1033"/>
      <c r="C2624" s="130" t="s">
        <v>1360</v>
      </c>
      <c r="D2624" s="130">
        <v>16</v>
      </c>
      <c r="E2624" s="130" t="s">
        <v>1366</v>
      </c>
      <c r="F2624" s="1031">
        <v>0</v>
      </c>
      <c r="G2624" s="1031">
        <v>220</v>
      </c>
      <c r="H2624" s="1031">
        <v>220</v>
      </c>
      <c r="I2624" s="1032" t="s">
        <v>1367</v>
      </c>
    </row>
    <row r="2625" spans="1:9" x14ac:dyDescent="0.25">
      <c r="A2625" s="1033">
        <v>605112</v>
      </c>
      <c r="B2625" s="129">
        <v>0</v>
      </c>
      <c r="E2625" s="130"/>
    </row>
    <row r="2626" spans="1:9" x14ac:dyDescent="0.25">
      <c r="A2626" s="1033">
        <v>605114</v>
      </c>
      <c r="B2626" s="129">
        <v>0</v>
      </c>
      <c r="E2626" s="130"/>
    </row>
    <row r="2627" spans="1:9" x14ac:dyDescent="0.25">
      <c r="A2627" s="1033">
        <v>605116</v>
      </c>
      <c r="B2627" s="129">
        <v>0</v>
      </c>
      <c r="E2627" s="130"/>
    </row>
    <row r="2628" spans="1:9" x14ac:dyDescent="0.25">
      <c r="A2628" s="1033">
        <v>605122</v>
      </c>
      <c r="B2628" s="129">
        <v>0</v>
      </c>
      <c r="E2628" s="130"/>
    </row>
    <row r="2629" spans="1:9" x14ac:dyDescent="0.25">
      <c r="A2629" s="1033">
        <v>605124</v>
      </c>
      <c r="B2629" s="129">
        <v>0</v>
      </c>
      <c r="E2629" s="130"/>
    </row>
    <row r="2630" spans="1:9" x14ac:dyDescent="0.25">
      <c r="A2630" s="1033">
        <v>605126</v>
      </c>
      <c r="B2630" s="129">
        <v>0</v>
      </c>
      <c r="E2630" s="130"/>
    </row>
    <row r="2631" spans="1:9" x14ac:dyDescent="0.25">
      <c r="A2631" s="1033">
        <v>605212</v>
      </c>
      <c r="B2631" s="129">
        <v>3</v>
      </c>
      <c r="C2631" s="130" t="s">
        <v>1368</v>
      </c>
      <c r="D2631" s="130">
        <v>16</v>
      </c>
      <c r="E2631" s="130" t="s">
        <v>1368</v>
      </c>
      <c r="F2631" s="1031">
        <v>0</v>
      </c>
      <c r="G2631" s="1031">
        <v>-0.03</v>
      </c>
      <c r="H2631" s="1031">
        <v>-0.03</v>
      </c>
      <c r="I2631" s="1032" t="s">
        <v>1369</v>
      </c>
    </row>
    <row r="2632" spans="1:9" x14ac:dyDescent="0.25">
      <c r="A2632" s="1033">
        <v>605214</v>
      </c>
      <c r="B2632" s="129">
        <v>1720</v>
      </c>
      <c r="C2632" s="130" t="s">
        <v>1370</v>
      </c>
      <c r="D2632" s="130">
        <v>16</v>
      </c>
      <c r="E2632" s="130" t="s">
        <v>1370</v>
      </c>
      <c r="F2632" s="1031">
        <v>0</v>
      </c>
      <c r="G2632" s="1031">
        <v>-1720</v>
      </c>
      <c r="H2632" s="1031">
        <v>-1720</v>
      </c>
      <c r="I2632" s="1032" t="s">
        <v>1371</v>
      </c>
    </row>
    <row r="2633" spans="1:9" x14ac:dyDescent="0.25">
      <c r="A2633" s="1033">
        <v>605216</v>
      </c>
      <c r="B2633" s="129">
        <v>607</v>
      </c>
      <c r="C2633" s="130" t="s">
        <v>1370</v>
      </c>
      <c r="D2633" s="130">
        <v>16</v>
      </c>
      <c r="E2633" s="130" t="s">
        <v>1370</v>
      </c>
      <c r="F2633" s="1031">
        <v>0</v>
      </c>
      <c r="G2633" s="1031">
        <v>-1720</v>
      </c>
      <c r="H2633" s="1031">
        <v>-1720</v>
      </c>
      <c r="I2633" s="1032" t="s">
        <v>1371</v>
      </c>
    </row>
    <row r="2634" spans="1:9" x14ac:dyDescent="0.25">
      <c r="A2634" s="1033"/>
      <c r="C2634" s="130" t="s">
        <v>1372</v>
      </c>
      <c r="D2634" s="130">
        <v>16</v>
      </c>
      <c r="E2634" s="130" t="s">
        <v>1372</v>
      </c>
      <c r="F2634" s="1031">
        <v>0</v>
      </c>
      <c r="G2634" s="1031">
        <v>1113</v>
      </c>
      <c r="H2634" s="1031">
        <v>1113</v>
      </c>
      <c r="I2634" s="1032" t="s">
        <v>1373</v>
      </c>
    </row>
    <row r="2635" spans="1:9" x14ac:dyDescent="0.25">
      <c r="A2635" s="1033">
        <v>605222</v>
      </c>
      <c r="B2635" s="129">
        <v>3</v>
      </c>
      <c r="C2635" s="130" t="s">
        <v>1368</v>
      </c>
      <c r="D2635" s="130">
        <v>16</v>
      </c>
      <c r="E2635" s="130" t="s">
        <v>1368</v>
      </c>
      <c r="F2635" s="1031">
        <v>0</v>
      </c>
      <c r="G2635" s="1031">
        <v>-0.03</v>
      </c>
      <c r="H2635" s="1031">
        <v>-0.03</v>
      </c>
      <c r="I2635" s="1032" t="s">
        <v>1369</v>
      </c>
    </row>
    <row r="2636" spans="1:9" x14ac:dyDescent="0.25">
      <c r="A2636" s="1033">
        <v>605224</v>
      </c>
      <c r="B2636" s="129">
        <v>1720</v>
      </c>
      <c r="C2636" s="130" t="s">
        <v>1370</v>
      </c>
      <c r="D2636" s="130">
        <v>16</v>
      </c>
      <c r="E2636" s="130" t="s">
        <v>1370</v>
      </c>
      <c r="F2636" s="1031">
        <v>0</v>
      </c>
      <c r="G2636" s="1031">
        <v>-1720</v>
      </c>
      <c r="H2636" s="1031">
        <v>-1720</v>
      </c>
      <c r="I2636" s="1032" t="s">
        <v>1371</v>
      </c>
    </row>
    <row r="2637" spans="1:9" x14ac:dyDescent="0.25">
      <c r="A2637" s="1033">
        <v>605226</v>
      </c>
      <c r="B2637" s="129">
        <v>607</v>
      </c>
      <c r="C2637" s="130" t="s">
        <v>1370</v>
      </c>
      <c r="D2637" s="130">
        <v>16</v>
      </c>
      <c r="E2637" s="130" t="s">
        <v>1370</v>
      </c>
      <c r="F2637" s="1031">
        <v>0</v>
      </c>
      <c r="G2637" s="1031">
        <v>-1720</v>
      </c>
      <c r="H2637" s="1031">
        <v>-1720</v>
      </c>
      <c r="I2637" s="1032" t="s">
        <v>1371</v>
      </c>
    </row>
    <row r="2638" spans="1:9" x14ac:dyDescent="0.25">
      <c r="A2638" s="1033"/>
      <c r="C2638" s="130" t="s">
        <v>1372</v>
      </c>
      <c r="D2638" s="130">
        <v>16</v>
      </c>
      <c r="E2638" s="130" t="s">
        <v>1372</v>
      </c>
      <c r="F2638" s="1031">
        <v>0</v>
      </c>
      <c r="G2638" s="1031">
        <v>1113</v>
      </c>
      <c r="H2638" s="1031">
        <v>1113</v>
      </c>
      <c r="I2638" s="1032" t="s">
        <v>1373</v>
      </c>
    </row>
    <row r="2639" spans="1:9" x14ac:dyDescent="0.25">
      <c r="A2639" s="1033">
        <v>605312</v>
      </c>
      <c r="B2639" s="129">
        <v>37</v>
      </c>
      <c r="E2639" s="130"/>
    </row>
    <row r="2640" spans="1:9" x14ac:dyDescent="0.25">
      <c r="A2640" s="1033">
        <v>605314</v>
      </c>
      <c r="B2640" s="129">
        <v>42813</v>
      </c>
      <c r="E2640" s="130"/>
    </row>
    <row r="2641" spans="1:9" x14ac:dyDescent="0.25">
      <c r="A2641" s="1033">
        <v>605316</v>
      </c>
      <c r="B2641" s="129">
        <v>26692</v>
      </c>
      <c r="C2641" s="130" t="s">
        <v>1351</v>
      </c>
      <c r="D2641" s="130">
        <v>16</v>
      </c>
      <c r="E2641" s="130" t="s">
        <v>1351</v>
      </c>
      <c r="F2641" s="1031">
        <v>0</v>
      </c>
      <c r="G2641" s="1031">
        <v>-6580</v>
      </c>
      <c r="H2641" s="1031">
        <v>-6580</v>
      </c>
      <c r="I2641" s="1032" t="s">
        <v>1352</v>
      </c>
    </row>
    <row r="2642" spans="1:9" x14ac:dyDescent="0.25">
      <c r="A2642" s="1033"/>
      <c r="C2642" s="130" t="s">
        <v>1351</v>
      </c>
      <c r="D2642" s="130">
        <v>16</v>
      </c>
      <c r="E2642" s="130" t="s">
        <v>1353</v>
      </c>
      <c r="F2642" s="1031">
        <v>0</v>
      </c>
      <c r="G2642" s="1031">
        <v>-10494</v>
      </c>
      <c r="H2642" s="1031">
        <v>-10494</v>
      </c>
      <c r="I2642" s="1032" t="s">
        <v>1354</v>
      </c>
    </row>
    <row r="2643" spans="1:9" x14ac:dyDescent="0.25">
      <c r="A2643" s="1033"/>
      <c r="C2643" s="130" t="s">
        <v>1351</v>
      </c>
      <c r="D2643" s="130">
        <v>16</v>
      </c>
      <c r="E2643" s="130" t="s">
        <v>1355</v>
      </c>
      <c r="F2643" s="1031">
        <v>0</v>
      </c>
      <c r="G2643" s="1031">
        <v>-15190</v>
      </c>
      <c r="H2643" s="1031">
        <v>-15190</v>
      </c>
      <c r="I2643" s="1032" t="s">
        <v>1356</v>
      </c>
    </row>
    <row r="2644" spans="1:9" x14ac:dyDescent="0.25">
      <c r="A2644" s="1033"/>
      <c r="C2644" s="130" t="s">
        <v>1351</v>
      </c>
      <c r="D2644" s="130">
        <v>16</v>
      </c>
      <c r="E2644" s="130" t="s">
        <v>1357</v>
      </c>
      <c r="F2644" s="1031">
        <v>0</v>
      </c>
      <c r="G2644" s="1031">
        <v>-8330</v>
      </c>
      <c r="H2644" s="1031">
        <v>-8330</v>
      </c>
      <c r="I2644" s="1032" t="s">
        <v>1358</v>
      </c>
    </row>
    <row r="2645" spans="1:9" x14ac:dyDescent="0.25">
      <c r="A2645" s="1033"/>
      <c r="C2645" s="130" t="s">
        <v>1351</v>
      </c>
      <c r="D2645" s="130">
        <v>16</v>
      </c>
      <c r="E2645" s="130" t="s">
        <v>78</v>
      </c>
      <c r="F2645" s="1031">
        <v>0</v>
      </c>
      <c r="G2645" s="1031">
        <v>-499</v>
      </c>
      <c r="H2645" s="1031">
        <v>-499</v>
      </c>
      <c r="I2645" s="1032" t="s">
        <v>1359</v>
      </c>
    </row>
    <row r="2646" spans="1:9" x14ac:dyDescent="0.25">
      <c r="A2646" s="1033"/>
      <c r="C2646" s="130" t="s">
        <v>1360</v>
      </c>
      <c r="D2646" s="130">
        <v>16</v>
      </c>
      <c r="E2646" s="130" t="s">
        <v>1360</v>
      </c>
      <c r="F2646" s="1031">
        <v>0</v>
      </c>
      <c r="G2646" s="1031">
        <v>980</v>
      </c>
      <c r="H2646" s="1031">
        <v>980</v>
      </c>
      <c r="I2646" s="1032" t="s">
        <v>1361</v>
      </c>
    </row>
    <row r="2647" spans="1:9" x14ac:dyDescent="0.25">
      <c r="A2647" s="1033"/>
      <c r="C2647" s="130" t="s">
        <v>1360</v>
      </c>
      <c r="D2647" s="130">
        <v>16</v>
      </c>
      <c r="E2647" s="130" t="s">
        <v>1362</v>
      </c>
      <c r="F2647" s="1031">
        <v>0</v>
      </c>
      <c r="G2647" s="1031">
        <v>7764</v>
      </c>
      <c r="H2647" s="1031">
        <v>7764</v>
      </c>
      <c r="I2647" s="1032" t="s">
        <v>1363</v>
      </c>
    </row>
    <row r="2648" spans="1:9" x14ac:dyDescent="0.25">
      <c r="A2648" s="1033"/>
      <c r="C2648" s="130" t="s">
        <v>1360</v>
      </c>
      <c r="D2648" s="130">
        <v>16</v>
      </c>
      <c r="E2648" s="130" t="s">
        <v>1364</v>
      </c>
      <c r="F2648" s="1031">
        <v>0</v>
      </c>
      <c r="G2648" s="1031">
        <v>6043.71</v>
      </c>
      <c r="H2648" s="1031">
        <v>6043.71</v>
      </c>
      <c r="I2648" s="1032" t="s">
        <v>1365</v>
      </c>
    </row>
    <row r="2649" spans="1:9" x14ac:dyDescent="0.25">
      <c r="A2649" s="1033"/>
      <c r="C2649" s="130" t="s">
        <v>1360</v>
      </c>
      <c r="D2649" s="130">
        <v>16</v>
      </c>
      <c r="E2649" s="130" t="s">
        <v>1366</v>
      </c>
      <c r="F2649" s="1031">
        <v>0</v>
      </c>
      <c r="G2649" s="1031">
        <v>220</v>
      </c>
      <c r="H2649" s="1031">
        <v>220</v>
      </c>
      <c r="I2649" s="1032" t="s">
        <v>1367</v>
      </c>
    </row>
    <row r="2650" spans="1:9" x14ac:dyDescent="0.25">
      <c r="A2650" s="1033"/>
      <c r="C2650" s="130" t="s">
        <v>1370</v>
      </c>
      <c r="D2650" s="130">
        <v>16</v>
      </c>
      <c r="E2650" s="130" t="s">
        <v>1370</v>
      </c>
      <c r="F2650" s="1031">
        <v>0</v>
      </c>
      <c r="G2650" s="1031">
        <v>-1720</v>
      </c>
      <c r="H2650" s="1031">
        <v>-1720</v>
      </c>
      <c r="I2650" s="1032" t="s">
        <v>1371</v>
      </c>
    </row>
    <row r="2651" spans="1:9" x14ac:dyDescent="0.25">
      <c r="A2651" s="1033"/>
      <c r="C2651" s="130" t="s">
        <v>1372</v>
      </c>
      <c r="D2651" s="130">
        <v>16</v>
      </c>
      <c r="E2651" s="130" t="s">
        <v>1372</v>
      </c>
      <c r="F2651" s="1031">
        <v>0</v>
      </c>
      <c r="G2651" s="1031">
        <v>1113</v>
      </c>
      <c r="H2651" s="1031">
        <v>1113</v>
      </c>
      <c r="I2651" s="1032" t="s">
        <v>1373</v>
      </c>
    </row>
    <row r="2652" spans="1:9" x14ac:dyDescent="0.25">
      <c r="A2652" s="1033">
        <v>605322</v>
      </c>
      <c r="B2652" s="129">
        <v>37</v>
      </c>
      <c r="E2652" s="130"/>
    </row>
    <row r="2653" spans="1:9" x14ac:dyDescent="0.25">
      <c r="A2653" s="1033">
        <v>605324</v>
      </c>
      <c r="B2653" s="129">
        <v>42813</v>
      </c>
      <c r="E2653" s="130"/>
    </row>
    <row r="2654" spans="1:9" x14ac:dyDescent="0.25">
      <c r="A2654" s="1033">
        <v>605326</v>
      </c>
      <c r="B2654" s="129">
        <v>26692</v>
      </c>
      <c r="C2654" s="130" t="s">
        <v>1351</v>
      </c>
      <c r="D2654" s="130">
        <v>16</v>
      </c>
      <c r="E2654" s="130" t="s">
        <v>1351</v>
      </c>
      <c r="F2654" s="1031">
        <v>0</v>
      </c>
      <c r="G2654" s="1031">
        <v>-6580</v>
      </c>
      <c r="H2654" s="1031">
        <v>-6580</v>
      </c>
      <c r="I2654" s="1032" t="s">
        <v>1352</v>
      </c>
    </row>
    <row r="2655" spans="1:9" x14ac:dyDescent="0.25">
      <c r="A2655" s="1033"/>
      <c r="C2655" s="130" t="s">
        <v>1351</v>
      </c>
      <c r="D2655" s="130">
        <v>16</v>
      </c>
      <c r="E2655" s="130" t="s">
        <v>1353</v>
      </c>
      <c r="F2655" s="1031">
        <v>0</v>
      </c>
      <c r="G2655" s="1031">
        <v>-10494</v>
      </c>
      <c r="H2655" s="1031">
        <v>-10494</v>
      </c>
      <c r="I2655" s="1032" t="s">
        <v>1354</v>
      </c>
    </row>
    <row r="2656" spans="1:9" x14ac:dyDescent="0.25">
      <c r="A2656" s="1033"/>
      <c r="C2656" s="130" t="s">
        <v>1351</v>
      </c>
      <c r="D2656" s="130">
        <v>16</v>
      </c>
      <c r="E2656" s="130" t="s">
        <v>1355</v>
      </c>
      <c r="F2656" s="1031">
        <v>0</v>
      </c>
      <c r="G2656" s="1031">
        <v>-15190</v>
      </c>
      <c r="H2656" s="1031">
        <v>-15190</v>
      </c>
      <c r="I2656" s="1032" t="s">
        <v>1356</v>
      </c>
    </row>
    <row r="2657" spans="1:9" x14ac:dyDescent="0.25">
      <c r="A2657" s="1033"/>
      <c r="C2657" s="130" t="s">
        <v>1351</v>
      </c>
      <c r="D2657" s="130">
        <v>16</v>
      </c>
      <c r="E2657" s="130" t="s">
        <v>1357</v>
      </c>
      <c r="F2657" s="1031">
        <v>0</v>
      </c>
      <c r="G2657" s="1031">
        <v>-8330</v>
      </c>
      <c r="H2657" s="1031">
        <v>-8330</v>
      </c>
      <c r="I2657" s="1032" t="s">
        <v>1358</v>
      </c>
    </row>
    <row r="2658" spans="1:9" x14ac:dyDescent="0.25">
      <c r="A2658" s="1033"/>
      <c r="C2658" s="130" t="s">
        <v>1351</v>
      </c>
      <c r="D2658" s="130">
        <v>16</v>
      </c>
      <c r="E2658" s="130" t="s">
        <v>78</v>
      </c>
      <c r="F2658" s="1031">
        <v>0</v>
      </c>
      <c r="G2658" s="1031">
        <v>-499</v>
      </c>
      <c r="H2658" s="1031">
        <v>-499</v>
      </c>
      <c r="I2658" s="1032" t="s">
        <v>1359</v>
      </c>
    </row>
    <row r="2659" spans="1:9" x14ac:dyDescent="0.25">
      <c r="A2659" s="1033"/>
      <c r="C2659" s="130" t="s">
        <v>1360</v>
      </c>
      <c r="D2659" s="130">
        <v>16</v>
      </c>
      <c r="E2659" s="130" t="s">
        <v>1360</v>
      </c>
      <c r="F2659" s="1031">
        <v>0</v>
      </c>
      <c r="G2659" s="1031">
        <v>980</v>
      </c>
      <c r="H2659" s="1031">
        <v>980</v>
      </c>
      <c r="I2659" s="1032" t="s">
        <v>1361</v>
      </c>
    </row>
    <row r="2660" spans="1:9" x14ac:dyDescent="0.25">
      <c r="A2660" s="1033"/>
      <c r="C2660" s="130" t="s">
        <v>1360</v>
      </c>
      <c r="D2660" s="130">
        <v>16</v>
      </c>
      <c r="E2660" s="130" t="s">
        <v>1362</v>
      </c>
      <c r="F2660" s="1031">
        <v>0</v>
      </c>
      <c r="G2660" s="1031">
        <v>7764</v>
      </c>
      <c r="H2660" s="1031">
        <v>7764</v>
      </c>
      <c r="I2660" s="1032" t="s">
        <v>1363</v>
      </c>
    </row>
    <row r="2661" spans="1:9" x14ac:dyDescent="0.25">
      <c r="A2661" s="1033"/>
      <c r="C2661" s="130" t="s">
        <v>1360</v>
      </c>
      <c r="D2661" s="130">
        <v>16</v>
      </c>
      <c r="E2661" s="130" t="s">
        <v>1364</v>
      </c>
      <c r="F2661" s="1031">
        <v>0</v>
      </c>
      <c r="G2661" s="1031">
        <v>6043.71</v>
      </c>
      <c r="H2661" s="1031">
        <v>6043.71</v>
      </c>
      <c r="I2661" s="1032" t="s">
        <v>1365</v>
      </c>
    </row>
    <row r="2662" spans="1:9" x14ac:dyDescent="0.25">
      <c r="A2662" s="1033"/>
      <c r="C2662" s="130" t="s">
        <v>1360</v>
      </c>
      <c r="D2662" s="130">
        <v>16</v>
      </c>
      <c r="E2662" s="130" t="s">
        <v>1366</v>
      </c>
      <c r="F2662" s="1031">
        <v>0</v>
      </c>
      <c r="G2662" s="1031">
        <v>220</v>
      </c>
      <c r="H2662" s="1031">
        <v>220</v>
      </c>
      <c r="I2662" s="1032" t="s">
        <v>1367</v>
      </c>
    </row>
    <row r="2663" spans="1:9" x14ac:dyDescent="0.25">
      <c r="A2663" s="1033"/>
      <c r="C2663" s="130" t="s">
        <v>1370</v>
      </c>
      <c r="D2663" s="130">
        <v>16</v>
      </c>
      <c r="E2663" s="130" t="s">
        <v>1370</v>
      </c>
      <c r="F2663" s="1031">
        <v>0</v>
      </c>
      <c r="G2663" s="1031">
        <v>-1720</v>
      </c>
      <c r="H2663" s="1031">
        <v>-1720</v>
      </c>
      <c r="I2663" s="1032" t="s">
        <v>1371</v>
      </c>
    </row>
    <row r="2664" spans="1:9" x14ac:dyDescent="0.25">
      <c r="A2664" s="1033"/>
      <c r="C2664" s="130" t="s">
        <v>1372</v>
      </c>
      <c r="D2664" s="130">
        <v>16</v>
      </c>
      <c r="E2664" s="130" t="s">
        <v>1372</v>
      </c>
      <c r="F2664" s="1031">
        <v>0</v>
      </c>
      <c r="G2664" s="1031">
        <v>1113</v>
      </c>
      <c r="H2664" s="1031">
        <v>1113</v>
      </c>
      <c r="I2664" s="1032" t="s">
        <v>1373</v>
      </c>
    </row>
    <row r="2665" spans="1:9" x14ac:dyDescent="0.25">
      <c r="A2665" s="1033">
        <v>605412</v>
      </c>
      <c r="B2665" s="129">
        <v>0</v>
      </c>
      <c r="E2665" s="130"/>
    </row>
    <row r="2666" spans="1:9" x14ac:dyDescent="0.25">
      <c r="A2666" s="1033">
        <v>605414</v>
      </c>
      <c r="B2666" s="129">
        <v>0</v>
      </c>
      <c r="E2666" s="130"/>
    </row>
    <row r="2667" spans="1:9" x14ac:dyDescent="0.25">
      <c r="A2667" s="1033">
        <v>605416</v>
      </c>
      <c r="B2667" s="129">
        <v>0</v>
      </c>
      <c r="E2667" s="130"/>
    </row>
    <row r="2668" spans="1:9" x14ac:dyDescent="0.25">
      <c r="A2668" s="1033">
        <v>605422</v>
      </c>
      <c r="B2668" s="129">
        <v>0</v>
      </c>
      <c r="E2668" s="130"/>
    </row>
    <row r="2669" spans="1:9" x14ac:dyDescent="0.25">
      <c r="A2669" s="1033">
        <v>605424</v>
      </c>
      <c r="B2669" s="129">
        <v>0</v>
      </c>
      <c r="E2669" s="130"/>
    </row>
    <row r="2670" spans="1:9" x14ac:dyDescent="0.25">
      <c r="A2670" s="1033">
        <v>605426</v>
      </c>
      <c r="B2670" s="129">
        <v>0</v>
      </c>
      <c r="E2670" s="130"/>
    </row>
    <row r="2671" spans="1:9" x14ac:dyDescent="0.25">
      <c r="A2671" s="1033">
        <v>605512</v>
      </c>
      <c r="B2671" s="129">
        <v>0</v>
      </c>
      <c r="E2671" s="130"/>
    </row>
    <row r="2672" spans="1:9" x14ac:dyDescent="0.25">
      <c r="A2672" s="1033">
        <v>605514</v>
      </c>
      <c r="B2672" s="129">
        <v>0</v>
      </c>
      <c r="E2672" s="130"/>
    </row>
    <row r="2673" spans="1:5" x14ac:dyDescent="0.25">
      <c r="A2673" s="1033">
        <v>605516</v>
      </c>
      <c r="B2673" s="129">
        <v>0</v>
      </c>
      <c r="E2673" s="130"/>
    </row>
    <row r="2674" spans="1:5" x14ac:dyDescent="0.25">
      <c r="A2674" s="1033">
        <v>605522</v>
      </c>
      <c r="B2674" s="129">
        <v>0</v>
      </c>
      <c r="E2674" s="130"/>
    </row>
    <row r="2675" spans="1:5" x14ac:dyDescent="0.25">
      <c r="A2675" s="1033">
        <v>605524</v>
      </c>
      <c r="B2675" s="129">
        <v>0</v>
      </c>
      <c r="E2675" s="130"/>
    </row>
    <row r="2676" spans="1:5" x14ac:dyDescent="0.25">
      <c r="A2676" s="1033">
        <v>605526</v>
      </c>
      <c r="B2676" s="129">
        <v>0</v>
      </c>
      <c r="E2676" s="130"/>
    </row>
    <row r="2677" spans="1:5" x14ac:dyDescent="0.25">
      <c r="A2677" s="1033">
        <v>605612</v>
      </c>
      <c r="B2677" s="129">
        <v>0</v>
      </c>
      <c r="E2677" s="130"/>
    </row>
    <row r="2678" spans="1:5" x14ac:dyDescent="0.25">
      <c r="A2678" s="1033">
        <v>605614</v>
      </c>
      <c r="B2678" s="129">
        <v>0</v>
      </c>
      <c r="E2678" s="130"/>
    </row>
    <row r="2679" spans="1:5" x14ac:dyDescent="0.25">
      <c r="A2679" s="1033">
        <v>605616</v>
      </c>
      <c r="B2679" s="129">
        <v>0</v>
      </c>
      <c r="E2679" s="130"/>
    </row>
    <row r="2680" spans="1:5" x14ac:dyDescent="0.25">
      <c r="A2680" s="1033">
        <v>605622</v>
      </c>
      <c r="B2680" s="129">
        <v>0</v>
      </c>
      <c r="E2680" s="130"/>
    </row>
    <row r="2681" spans="1:5" x14ac:dyDescent="0.25">
      <c r="A2681" s="1033">
        <v>605624</v>
      </c>
      <c r="B2681" s="129">
        <v>0</v>
      </c>
      <c r="E2681" s="130"/>
    </row>
    <row r="2682" spans="1:5" x14ac:dyDescent="0.25">
      <c r="A2682" s="1033">
        <v>605626</v>
      </c>
      <c r="B2682" s="129">
        <v>0</v>
      </c>
      <c r="E2682" s="130"/>
    </row>
    <row r="2683" spans="1:5" x14ac:dyDescent="0.25">
      <c r="A2683" s="1033">
        <v>500112</v>
      </c>
      <c r="B2683" s="129">
        <v>0</v>
      </c>
      <c r="E2683" s="130"/>
    </row>
    <row r="2684" spans="1:5" x14ac:dyDescent="0.25">
      <c r="A2684" s="1033">
        <v>500114</v>
      </c>
      <c r="B2684" s="129">
        <v>0</v>
      </c>
      <c r="E2684" s="130"/>
    </row>
    <row r="2685" spans="1:5" x14ac:dyDescent="0.25">
      <c r="A2685" s="1033">
        <v>500116</v>
      </c>
      <c r="B2685" s="129">
        <v>0</v>
      </c>
      <c r="E2685" s="130"/>
    </row>
    <row r="2686" spans="1:5" x14ac:dyDescent="0.25">
      <c r="A2686" s="1033">
        <v>500118</v>
      </c>
      <c r="B2686" s="129">
        <v>0</v>
      </c>
      <c r="E2686" s="130"/>
    </row>
    <row r="2687" spans="1:5" x14ac:dyDescent="0.25">
      <c r="A2687" s="1033">
        <v>500122</v>
      </c>
      <c r="B2687" s="129">
        <v>0</v>
      </c>
      <c r="E2687" s="130"/>
    </row>
    <row r="2688" spans="1:5" x14ac:dyDescent="0.25">
      <c r="A2688" s="1033">
        <v>500124</v>
      </c>
      <c r="B2688" s="129">
        <v>0</v>
      </c>
      <c r="E2688" s="130"/>
    </row>
    <row r="2689" spans="1:5" x14ac:dyDescent="0.25">
      <c r="A2689" s="1033">
        <v>500126</v>
      </c>
      <c r="B2689" s="129">
        <v>0</v>
      </c>
      <c r="E2689" s="130"/>
    </row>
    <row r="2690" spans="1:5" x14ac:dyDescent="0.25">
      <c r="A2690" s="1033">
        <v>500128</v>
      </c>
      <c r="B2690" s="129">
        <v>0</v>
      </c>
      <c r="E2690" s="130"/>
    </row>
    <row r="2691" spans="1:5" x14ac:dyDescent="0.25">
      <c r="A2691" s="1033">
        <v>500212</v>
      </c>
      <c r="B2691" s="129">
        <v>0</v>
      </c>
      <c r="E2691" s="130"/>
    </row>
    <row r="2692" spans="1:5" x14ac:dyDescent="0.25">
      <c r="A2692" s="1033">
        <v>500214</v>
      </c>
      <c r="B2692" s="129">
        <v>0</v>
      </c>
      <c r="E2692" s="130"/>
    </row>
    <row r="2693" spans="1:5" x14ac:dyDescent="0.25">
      <c r="A2693" s="1033">
        <v>500216</v>
      </c>
      <c r="B2693" s="129">
        <v>0</v>
      </c>
      <c r="E2693" s="130"/>
    </row>
    <row r="2694" spans="1:5" x14ac:dyDescent="0.25">
      <c r="A2694" s="1033">
        <v>500218</v>
      </c>
      <c r="B2694" s="129">
        <v>0</v>
      </c>
      <c r="E2694" s="130"/>
    </row>
    <row r="2695" spans="1:5" x14ac:dyDescent="0.25">
      <c r="A2695" s="1033">
        <v>500222</v>
      </c>
      <c r="B2695" s="129">
        <v>0</v>
      </c>
      <c r="E2695" s="130"/>
    </row>
    <row r="2696" spans="1:5" x14ac:dyDescent="0.25">
      <c r="A2696" s="1033">
        <v>500224</v>
      </c>
      <c r="B2696" s="129">
        <v>0</v>
      </c>
      <c r="E2696" s="130"/>
    </row>
    <row r="2697" spans="1:5" x14ac:dyDescent="0.25">
      <c r="A2697" s="1033">
        <v>500226</v>
      </c>
      <c r="B2697" s="129">
        <v>0</v>
      </c>
      <c r="E2697" s="130"/>
    </row>
    <row r="2698" spans="1:5" x14ac:dyDescent="0.25">
      <c r="A2698" s="1033">
        <v>500228</v>
      </c>
      <c r="B2698" s="129">
        <v>0</v>
      </c>
      <c r="E2698" s="130"/>
    </row>
    <row r="2699" spans="1:5" x14ac:dyDescent="0.25">
      <c r="A2699" s="1033">
        <v>500312</v>
      </c>
      <c r="B2699" s="129">
        <v>0</v>
      </c>
      <c r="E2699" s="130"/>
    </row>
    <row r="2700" spans="1:5" x14ac:dyDescent="0.25">
      <c r="A2700" s="1033">
        <v>500314</v>
      </c>
      <c r="B2700" s="129">
        <v>0</v>
      </c>
      <c r="E2700" s="130"/>
    </row>
    <row r="2701" spans="1:5" x14ac:dyDescent="0.25">
      <c r="A2701" s="1033">
        <v>500316</v>
      </c>
      <c r="B2701" s="129">
        <v>0</v>
      </c>
      <c r="E2701" s="130"/>
    </row>
    <row r="2702" spans="1:5" x14ac:dyDescent="0.25">
      <c r="A2702" s="1033">
        <v>500318</v>
      </c>
      <c r="B2702" s="129">
        <v>0</v>
      </c>
      <c r="E2702" s="130"/>
    </row>
    <row r="2703" spans="1:5" x14ac:dyDescent="0.25">
      <c r="A2703" s="1033">
        <v>500322</v>
      </c>
      <c r="B2703" s="129">
        <v>0</v>
      </c>
      <c r="E2703" s="130"/>
    </row>
    <row r="2704" spans="1:5" x14ac:dyDescent="0.25">
      <c r="A2704" s="1033">
        <v>500324</v>
      </c>
      <c r="B2704" s="129">
        <v>0</v>
      </c>
      <c r="E2704" s="130"/>
    </row>
    <row r="2705" spans="1:5" x14ac:dyDescent="0.25">
      <c r="A2705" s="1033">
        <v>500326</v>
      </c>
      <c r="B2705" s="129">
        <v>0</v>
      </c>
      <c r="E2705" s="130"/>
    </row>
    <row r="2706" spans="1:5" x14ac:dyDescent="0.25">
      <c r="A2706" s="1033">
        <v>500328</v>
      </c>
      <c r="B2706" s="129">
        <v>0</v>
      </c>
      <c r="E2706" s="130"/>
    </row>
    <row r="2707" spans="1:5" x14ac:dyDescent="0.25">
      <c r="A2707" s="1033">
        <v>500412</v>
      </c>
      <c r="B2707" s="129">
        <v>0</v>
      </c>
      <c r="E2707" s="130"/>
    </row>
    <row r="2708" spans="1:5" x14ac:dyDescent="0.25">
      <c r="A2708" s="1033">
        <v>500414</v>
      </c>
      <c r="B2708" s="129">
        <v>0</v>
      </c>
      <c r="E2708" s="130"/>
    </row>
    <row r="2709" spans="1:5" x14ac:dyDescent="0.25">
      <c r="A2709" s="1033">
        <v>500416</v>
      </c>
      <c r="B2709" s="129">
        <v>0</v>
      </c>
      <c r="E2709" s="130"/>
    </row>
    <row r="2710" spans="1:5" x14ac:dyDescent="0.25">
      <c r="A2710" s="1033">
        <v>500418</v>
      </c>
      <c r="B2710" s="129">
        <v>0</v>
      </c>
      <c r="E2710" s="130"/>
    </row>
    <row r="2711" spans="1:5" x14ac:dyDescent="0.25">
      <c r="A2711" s="1033">
        <v>500422</v>
      </c>
      <c r="B2711" s="129">
        <v>0</v>
      </c>
      <c r="E2711" s="130"/>
    </row>
    <row r="2712" spans="1:5" x14ac:dyDescent="0.25">
      <c r="A2712" s="1033">
        <v>500424</v>
      </c>
      <c r="B2712" s="129">
        <v>0</v>
      </c>
      <c r="E2712" s="130"/>
    </row>
    <row r="2713" spans="1:5" x14ac:dyDescent="0.25">
      <c r="A2713" s="1033">
        <v>500426</v>
      </c>
      <c r="B2713" s="129">
        <v>0</v>
      </c>
      <c r="E2713" s="130"/>
    </row>
    <row r="2714" spans="1:5" x14ac:dyDescent="0.25">
      <c r="A2714" s="1033">
        <v>500428</v>
      </c>
      <c r="B2714" s="129">
        <v>0</v>
      </c>
      <c r="E2714" s="130"/>
    </row>
    <row r="2715" spans="1:5" x14ac:dyDescent="0.25">
      <c r="A2715" s="1033">
        <v>500512</v>
      </c>
      <c r="B2715" s="129">
        <v>0</v>
      </c>
      <c r="E2715" s="130"/>
    </row>
    <row r="2716" spans="1:5" x14ac:dyDescent="0.25">
      <c r="A2716" s="1033">
        <v>500514</v>
      </c>
      <c r="B2716" s="129">
        <v>0</v>
      </c>
      <c r="E2716" s="130"/>
    </row>
    <row r="2717" spans="1:5" x14ac:dyDescent="0.25">
      <c r="A2717" s="1033">
        <v>500516</v>
      </c>
      <c r="B2717" s="129">
        <v>0</v>
      </c>
      <c r="E2717" s="130"/>
    </row>
    <row r="2718" spans="1:5" x14ac:dyDescent="0.25">
      <c r="A2718" s="1033">
        <v>500518</v>
      </c>
      <c r="B2718" s="129">
        <v>0</v>
      </c>
      <c r="E2718" s="130"/>
    </row>
    <row r="2719" spans="1:5" x14ac:dyDescent="0.25">
      <c r="A2719" s="1033">
        <v>500522</v>
      </c>
      <c r="B2719" s="129">
        <v>0</v>
      </c>
      <c r="E2719" s="130"/>
    </row>
    <row r="2720" spans="1:5" x14ac:dyDescent="0.25">
      <c r="A2720" s="1033">
        <v>500524</v>
      </c>
      <c r="B2720" s="129">
        <v>0</v>
      </c>
      <c r="E2720" s="130"/>
    </row>
    <row r="2721" spans="1:9" x14ac:dyDescent="0.25">
      <c r="A2721" s="1033">
        <v>500526</v>
      </c>
      <c r="B2721" s="129">
        <v>0</v>
      </c>
      <c r="E2721" s="130"/>
    </row>
    <row r="2722" spans="1:9" x14ac:dyDescent="0.25">
      <c r="A2722" s="1033">
        <v>500528</v>
      </c>
      <c r="B2722" s="129">
        <v>0</v>
      </c>
      <c r="E2722" s="130"/>
    </row>
    <row r="2723" spans="1:9" x14ac:dyDescent="0.25">
      <c r="A2723" s="1033">
        <v>500612</v>
      </c>
      <c r="B2723" s="129">
        <v>1</v>
      </c>
      <c r="C2723" s="130" t="s">
        <v>1374</v>
      </c>
      <c r="D2723" s="130">
        <v>16</v>
      </c>
      <c r="E2723" s="130" t="s">
        <v>1374</v>
      </c>
      <c r="F2723" s="1031">
        <v>0</v>
      </c>
      <c r="G2723" s="1031">
        <v>-0.01</v>
      </c>
      <c r="H2723" s="1031">
        <v>-0.01</v>
      </c>
      <c r="I2723" s="1032" t="s">
        <v>1375</v>
      </c>
    </row>
    <row r="2724" spans="1:9" x14ac:dyDescent="0.25">
      <c r="A2724" s="1033">
        <v>500614</v>
      </c>
      <c r="B2724" s="129">
        <v>71131</v>
      </c>
      <c r="C2724" s="130" t="s">
        <v>165</v>
      </c>
      <c r="D2724" s="130">
        <v>16</v>
      </c>
      <c r="E2724" s="130" t="s">
        <v>165</v>
      </c>
      <c r="F2724" s="1031">
        <v>0</v>
      </c>
      <c r="G2724" s="1031">
        <v>-71130.86</v>
      </c>
      <c r="H2724" s="1031">
        <v>-71130.86</v>
      </c>
      <c r="I2724" s="1032" t="s">
        <v>1376</v>
      </c>
    </row>
    <row r="2725" spans="1:9" x14ac:dyDescent="0.25">
      <c r="A2725" s="1033">
        <v>500616</v>
      </c>
      <c r="B2725" s="129">
        <v>987</v>
      </c>
      <c r="C2725" s="130" t="s">
        <v>165</v>
      </c>
      <c r="D2725" s="130">
        <v>16</v>
      </c>
      <c r="E2725" s="130" t="s">
        <v>165</v>
      </c>
      <c r="F2725" s="1031">
        <v>0</v>
      </c>
      <c r="G2725" s="1031">
        <v>-71130.86</v>
      </c>
      <c r="H2725" s="1031">
        <v>-71130.86</v>
      </c>
      <c r="I2725" s="1032" t="s">
        <v>1376</v>
      </c>
    </row>
    <row r="2726" spans="1:9" x14ac:dyDescent="0.25">
      <c r="A2726" s="1033"/>
      <c r="C2726" s="130" t="s">
        <v>1377</v>
      </c>
      <c r="D2726" s="130">
        <v>16</v>
      </c>
      <c r="E2726" s="130" t="s">
        <v>1377</v>
      </c>
      <c r="F2726" s="1031">
        <v>0</v>
      </c>
      <c r="G2726" s="1031">
        <v>70143.81</v>
      </c>
      <c r="H2726" s="1031">
        <v>70143.81</v>
      </c>
      <c r="I2726" s="1032" t="s">
        <v>1378</v>
      </c>
    </row>
    <row r="2727" spans="1:9" x14ac:dyDescent="0.25">
      <c r="A2727" s="1033">
        <v>500618</v>
      </c>
      <c r="B2727" s="129">
        <v>987</v>
      </c>
      <c r="E2727" s="130"/>
    </row>
    <row r="2728" spans="1:9" x14ac:dyDescent="0.25">
      <c r="A2728" s="1033">
        <v>500622</v>
      </c>
      <c r="B2728" s="129">
        <v>1</v>
      </c>
      <c r="C2728" s="130" t="s">
        <v>1374</v>
      </c>
      <c r="D2728" s="130">
        <v>16</v>
      </c>
      <c r="E2728" s="130" t="s">
        <v>1374</v>
      </c>
      <c r="F2728" s="1031">
        <v>0</v>
      </c>
      <c r="G2728" s="1031">
        <v>-0.01</v>
      </c>
      <c r="H2728" s="1031">
        <v>-0.01</v>
      </c>
      <c r="I2728" s="1032" t="s">
        <v>1375</v>
      </c>
    </row>
    <row r="2729" spans="1:9" x14ac:dyDescent="0.25">
      <c r="A2729" s="1033">
        <v>500624</v>
      </c>
      <c r="B2729" s="129">
        <v>71131</v>
      </c>
      <c r="C2729" s="130" t="s">
        <v>165</v>
      </c>
      <c r="D2729" s="130">
        <v>16</v>
      </c>
      <c r="E2729" s="130" t="s">
        <v>165</v>
      </c>
      <c r="F2729" s="1031">
        <v>0</v>
      </c>
      <c r="G2729" s="1031">
        <v>-71130.86</v>
      </c>
      <c r="H2729" s="1031">
        <v>-71130.86</v>
      </c>
      <c r="I2729" s="1032" t="s">
        <v>1376</v>
      </c>
    </row>
    <row r="2730" spans="1:9" x14ac:dyDescent="0.25">
      <c r="A2730" s="1033">
        <v>500626</v>
      </c>
      <c r="B2730" s="129">
        <v>987</v>
      </c>
      <c r="C2730" s="130" t="s">
        <v>165</v>
      </c>
      <c r="D2730" s="130">
        <v>16</v>
      </c>
      <c r="E2730" s="130" t="s">
        <v>165</v>
      </c>
      <c r="F2730" s="1031">
        <v>0</v>
      </c>
      <c r="G2730" s="1031">
        <v>-71130.86</v>
      </c>
      <c r="H2730" s="1031">
        <v>-71130.86</v>
      </c>
      <c r="I2730" s="1032" t="s">
        <v>1376</v>
      </c>
    </row>
    <row r="2731" spans="1:9" x14ac:dyDescent="0.25">
      <c r="A2731" s="1033"/>
      <c r="C2731" s="130" t="s">
        <v>1377</v>
      </c>
      <c r="D2731" s="130">
        <v>16</v>
      </c>
      <c r="E2731" s="130" t="s">
        <v>1377</v>
      </c>
      <c r="F2731" s="1031">
        <v>0</v>
      </c>
      <c r="G2731" s="1031">
        <v>70143.81</v>
      </c>
      <c r="H2731" s="1031">
        <v>70143.81</v>
      </c>
      <c r="I2731" s="1032" t="s">
        <v>1378</v>
      </c>
    </row>
    <row r="2732" spans="1:9" x14ac:dyDescent="0.25">
      <c r="A2732" s="1033">
        <v>500628</v>
      </c>
      <c r="B2732" s="129">
        <v>987</v>
      </c>
      <c r="E2732" s="130"/>
    </row>
    <row r="2733" spans="1:9" x14ac:dyDescent="0.25">
      <c r="A2733" s="1033">
        <v>500712</v>
      </c>
      <c r="B2733" s="129">
        <v>0</v>
      </c>
      <c r="E2733" s="130"/>
    </row>
    <row r="2734" spans="1:9" x14ac:dyDescent="0.25">
      <c r="A2734" s="1033">
        <v>500714</v>
      </c>
      <c r="B2734" s="129">
        <v>0</v>
      </c>
      <c r="E2734" s="130"/>
    </row>
    <row r="2735" spans="1:9" x14ac:dyDescent="0.25">
      <c r="A2735" s="1033">
        <v>500716</v>
      </c>
      <c r="B2735" s="129">
        <v>0</v>
      </c>
      <c r="E2735" s="130"/>
    </row>
    <row r="2736" spans="1:9" x14ac:dyDescent="0.25">
      <c r="A2736" s="1033">
        <v>500718</v>
      </c>
      <c r="B2736" s="129">
        <v>0</v>
      </c>
      <c r="E2736" s="130"/>
    </row>
    <row r="2737" spans="1:9" x14ac:dyDescent="0.25">
      <c r="A2737" s="1033">
        <v>500722</v>
      </c>
      <c r="B2737" s="129">
        <v>0</v>
      </c>
      <c r="E2737" s="130"/>
    </row>
    <row r="2738" spans="1:9" x14ac:dyDescent="0.25">
      <c r="A2738" s="1033">
        <v>500724</v>
      </c>
      <c r="B2738" s="129">
        <v>0</v>
      </c>
      <c r="E2738" s="130"/>
    </row>
    <row r="2739" spans="1:9" x14ac:dyDescent="0.25">
      <c r="A2739" s="1033">
        <v>500726</v>
      </c>
      <c r="B2739" s="129">
        <v>0</v>
      </c>
      <c r="E2739" s="130"/>
    </row>
    <row r="2740" spans="1:9" x14ac:dyDescent="0.25">
      <c r="A2740" s="1033">
        <v>500728</v>
      </c>
      <c r="B2740" s="129">
        <v>0</v>
      </c>
      <c r="E2740" s="130"/>
    </row>
    <row r="2741" spans="1:9" x14ac:dyDescent="0.25">
      <c r="A2741" s="1033">
        <v>500812</v>
      </c>
      <c r="B2741" s="129">
        <v>0</v>
      </c>
      <c r="E2741" s="130"/>
    </row>
    <row r="2742" spans="1:9" x14ac:dyDescent="0.25">
      <c r="A2742" s="1033">
        <v>500814</v>
      </c>
      <c r="B2742" s="129">
        <v>0</v>
      </c>
      <c r="E2742" s="130"/>
    </row>
    <row r="2743" spans="1:9" x14ac:dyDescent="0.25">
      <c r="A2743" s="1033">
        <v>500816</v>
      </c>
      <c r="B2743" s="129">
        <v>0</v>
      </c>
      <c r="E2743" s="130"/>
    </row>
    <row r="2744" spans="1:9" x14ac:dyDescent="0.25">
      <c r="A2744" s="1033">
        <v>500818</v>
      </c>
      <c r="B2744" s="129">
        <v>0</v>
      </c>
      <c r="E2744" s="130"/>
    </row>
    <row r="2745" spans="1:9" x14ac:dyDescent="0.25">
      <c r="A2745" s="1033">
        <v>500822</v>
      </c>
      <c r="B2745" s="129">
        <v>0</v>
      </c>
      <c r="E2745" s="130"/>
    </row>
    <row r="2746" spans="1:9" x14ac:dyDescent="0.25">
      <c r="A2746" s="1033">
        <v>500824</v>
      </c>
      <c r="B2746" s="129">
        <v>0</v>
      </c>
      <c r="E2746" s="130"/>
    </row>
    <row r="2747" spans="1:9" x14ac:dyDescent="0.25">
      <c r="A2747" s="1033">
        <v>500826</v>
      </c>
      <c r="B2747" s="129">
        <v>0</v>
      </c>
      <c r="E2747" s="130"/>
    </row>
    <row r="2748" spans="1:9" x14ac:dyDescent="0.25">
      <c r="A2748" s="1033">
        <v>500828</v>
      </c>
      <c r="B2748" s="129">
        <v>0</v>
      </c>
      <c r="E2748" s="130"/>
    </row>
    <row r="2749" spans="1:9" x14ac:dyDescent="0.25">
      <c r="A2749" s="1033">
        <v>500912</v>
      </c>
      <c r="B2749" s="129">
        <v>1</v>
      </c>
      <c r="E2749" s="130"/>
    </row>
    <row r="2750" spans="1:9" x14ac:dyDescent="0.25">
      <c r="A2750" s="1033">
        <v>500914</v>
      </c>
      <c r="B2750" s="129">
        <v>71131</v>
      </c>
      <c r="E2750" s="130"/>
    </row>
    <row r="2751" spans="1:9" x14ac:dyDescent="0.25">
      <c r="A2751" s="1033">
        <v>500916</v>
      </c>
      <c r="B2751" s="129">
        <v>987</v>
      </c>
      <c r="C2751" s="130" t="s">
        <v>165</v>
      </c>
      <c r="D2751" s="130">
        <v>16</v>
      </c>
      <c r="E2751" s="130" t="s">
        <v>165</v>
      </c>
      <c r="F2751" s="1031">
        <v>0</v>
      </c>
      <c r="G2751" s="1031">
        <v>-71130.86</v>
      </c>
      <c r="H2751" s="1031">
        <v>-71130.86</v>
      </c>
      <c r="I2751" s="1032" t="s">
        <v>1376</v>
      </c>
    </row>
    <row r="2752" spans="1:9" x14ac:dyDescent="0.25">
      <c r="A2752" s="1033"/>
      <c r="C2752" s="130" t="s">
        <v>1377</v>
      </c>
      <c r="D2752" s="130">
        <v>16</v>
      </c>
      <c r="E2752" s="130" t="s">
        <v>1377</v>
      </c>
      <c r="F2752" s="1031">
        <v>0</v>
      </c>
      <c r="G2752" s="1031">
        <v>70143.81</v>
      </c>
      <c r="H2752" s="1031">
        <v>70143.81</v>
      </c>
      <c r="I2752" s="1032" t="s">
        <v>1378</v>
      </c>
    </row>
    <row r="2753" spans="1:9" x14ac:dyDescent="0.25">
      <c r="A2753" s="1033">
        <v>500918</v>
      </c>
      <c r="B2753" s="129">
        <v>987</v>
      </c>
      <c r="E2753" s="130"/>
    </row>
    <row r="2754" spans="1:9" x14ac:dyDescent="0.25">
      <c r="A2754" s="1033">
        <v>500922</v>
      </c>
      <c r="B2754" s="129">
        <v>1</v>
      </c>
      <c r="E2754" s="130"/>
    </row>
    <row r="2755" spans="1:9" x14ac:dyDescent="0.25">
      <c r="A2755" s="1033">
        <v>500924</v>
      </c>
      <c r="B2755" s="129">
        <v>71131</v>
      </c>
      <c r="E2755" s="130"/>
    </row>
    <row r="2756" spans="1:9" x14ac:dyDescent="0.25">
      <c r="A2756" s="1033">
        <v>500926</v>
      </c>
      <c r="B2756" s="129">
        <v>987</v>
      </c>
      <c r="C2756" s="130" t="s">
        <v>165</v>
      </c>
      <c r="D2756" s="130">
        <v>16</v>
      </c>
      <c r="E2756" s="130" t="s">
        <v>165</v>
      </c>
      <c r="F2756" s="1031">
        <v>0</v>
      </c>
      <c r="G2756" s="1031">
        <v>-71130.86</v>
      </c>
      <c r="H2756" s="1031">
        <v>-71130.86</v>
      </c>
      <c r="I2756" s="1032" t="s">
        <v>1376</v>
      </c>
    </row>
    <row r="2757" spans="1:9" x14ac:dyDescent="0.25">
      <c r="A2757" s="1033"/>
      <c r="C2757" s="130" t="s">
        <v>1377</v>
      </c>
      <c r="D2757" s="130">
        <v>16</v>
      </c>
      <c r="E2757" s="130" t="s">
        <v>1377</v>
      </c>
      <c r="F2757" s="1031">
        <v>0</v>
      </c>
      <c r="G2757" s="1031">
        <v>70143.81</v>
      </c>
      <c r="H2757" s="1031">
        <v>70143.81</v>
      </c>
      <c r="I2757" s="1032" t="s">
        <v>1378</v>
      </c>
    </row>
    <row r="2758" spans="1:9" x14ac:dyDescent="0.25">
      <c r="A2758" s="1033">
        <v>500928</v>
      </c>
      <c r="B2758" s="129">
        <v>987</v>
      </c>
      <c r="E2758" s="130"/>
    </row>
    <row r="2759" spans="1:9" x14ac:dyDescent="0.25">
      <c r="A2759" s="1033">
        <v>501012</v>
      </c>
      <c r="B2759" s="129">
        <v>0</v>
      </c>
      <c r="E2759" s="130"/>
    </row>
    <row r="2760" spans="1:9" x14ac:dyDescent="0.25">
      <c r="A2760" s="1033">
        <v>501014</v>
      </c>
      <c r="B2760" s="129">
        <v>0</v>
      </c>
      <c r="E2760" s="130"/>
    </row>
    <row r="2761" spans="1:9" x14ac:dyDescent="0.25">
      <c r="A2761" s="1033">
        <v>501016</v>
      </c>
      <c r="B2761" s="129">
        <v>0</v>
      </c>
      <c r="E2761" s="130"/>
    </row>
    <row r="2762" spans="1:9" x14ac:dyDescent="0.25">
      <c r="A2762" s="1033">
        <v>501018</v>
      </c>
      <c r="B2762" s="129">
        <v>0</v>
      </c>
      <c r="E2762" s="130"/>
    </row>
    <row r="2763" spans="1:9" x14ac:dyDescent="0.25">
      <c r="A2763" s="1033">
        <v>501022</v>
      </c>
      <c r="B2763" s="129">
        <v>0</v>
      </c>
      <c r="E2763" s="130"/>
    </row>
    <row r="2764" spans="1:9" x14ac:dyDescent="0.25">
      <c r="A2764" s="1033">
        <v>501024</v>
      </c>
      <c r="B2764" s="129">
        <v>0</v>
      </c>
      <c r="E2764" s="130"/>
    </row>
    <row r="2765" spans="1:9" x14ac:dyDescent="0.25">
      <c r="A2765" s="1033">
        <v>501026</v>
      </c>
      <c r="B2765" s="129">
        <v>0</v>
      </c>
      <c r="E2765" s="130"/>
    </row>
    <row r="2766" spans="1:9" x14ac:dyDescent="0.25">
      <c r="A2766" s="1033">
        <v>501028</v>
      </c>
      <c r="B2766" s="129">
        <v>0</v>
      </c>
      <c r="E2766" s="130"/>
    </row>
    <row r="2767" spans="1:9" x14ac:dyDescent="0.25">
      <c r="A2767" s="1033">
        <v>501112</v>
      </c>
      <c r="B2767" s="129">
        <v>0</v>
      </c>
      <c r="E2767" s="130"/>
    </row>
    <row r="2768" spans="1:9" x14ac:dyDescent="0.25">
      <c r="A2768" s="1033">
        <v>501114</v>
      </c>
      <c r="B2768" s="129">
        <v>0</v>
      </c>
      <c r="E2768" s="130"/>
    </row>
    <row r="2769" spans="1:9" x14ac:dyDescent="0.25">
      <c r="A2769" s="1033">
        <v>501116</v>
      </c>
      <c r="B2769" s="129">
        <v>0</v>
      </c>
      <c r="E2769" s="130"/>
    </row>
    <row r="2770" spans="1:9" x14ac:dyDescent="0.25">
      <c r="A2770" s="1033">
        <v>501118</v>
      </c>
      <c r="B2770" s="129">
        <v>0</v>
      </c>
      <c r="E2770" s="130"/>
    </row>
    <row r="2771" spans="1:9" x14ac:dyDescent="0.25">
      <c r="A2771" s="1033">
        <v>501122</v>
      </c>
      <c r="B2771" s="129">
        <v>0</v>
      </c>
      <c r="E2771" s="130"/>
    </row>
    <row r="2772" spans="1:9" x14ac:dyDescent="0.25">
      <c r="A2772" s="1033">
        <v>501124</v>
      </c>
      <c r="B2772" s="129">
        <v>0</v>
      </c>
      <c r="E2772" s="130"/>
    </row>
    <row r="2773" spans="1:9" x14ac:dyDescent="0.25">
      <c r="A2773" s="1033">
        <v>501126</v>
      </c>
      <c r="B2773" s="129">
        <v>0</v>
      </c>
      <c r="E2773" s="130"/>
    </row>
    <row r="2774" spans="1:9" x14ac:dyDescent="0.25">
      <c r="A2774" s="1033">
        <v>501128</v>
      </c>
      <c r="B2774" s="129">
        <v>0</v>
      </c>
      <c r="E2774" s="130"/>
    </row>
    <row r="2775" spans="1:9" x14ac:dyDescent="0.25">
      <c r="A2775" s="1033">
        <v>501212</v>
      </c>
      <c r="B2775" s="129">
        <v>0</v>
      </c>
      <c r="E2775" s="130"/>
    </row>
    <row r="2776" spans="1:9" x14ac:dyDescent="0.25">
      <c r="A2776" s="1033">
        <v>501214</v>
      </c>
      <c r="B2776" s="129">
        <v>0</v>
      </c>
      <c r="E2776" s="130"/>
    </row>
    <row r="2777" spans="1:9" x14ac:dyDescent="0.25">
      <c r="A2777" s="1033">
        <v>501216</v>
      </c>
      <c r="B2777" s="129">
        <v>0</v>
      </c>
      <c r="E2777" s="130"/>
    </row>
    <row r="2778" spans="1:9" x14ac:dyDescent="0.25">
      <c r="A2778" s="1033">
        <v>501218</v>
      </c>
      <c r="B2778" s="129">
        <v>0</v>
      </c>
      <c r="E2778" s="130"/>
    </row>
    <row r="2779" spans="1:9" x14ac:dyDescent="0.25">
      <c r="A2779" s="1033">
        <v>501222</v>
      </c>
      <c r="B2779" s="129">
        <v>0</v>
      </c>
      <c r="E2779" s="130"/>
    </row>
    <row r="2780" spans="1:9" x14ac:dyDescent="0.25">
      <c r="A2780" s="1033">
        <v>501224</v>
      </c>
      <c r="B2780" s="129">
        <v>0</v>
      </c>
      <c r="E2780" s="130"/>
    </row>
    <row r="2781" spans="1:9" x14ac:dyDescent="0.25">
      <c r="A2781" s="1033">
        <v>501226</v>
      </c>
      <c r="B2781" s="129">
        <v>0</v>
      </c>
      <c r="E2781" s="130"/>
    </row>
    <row r="2782" spans="1:9" x14ac:dyDescent="0.25">
      <c r="A2782" s="1033">
        <v>501228</v>
      </c>
      <c r="B2782" s="129">
        <v>0</v>
      </c>
      <c r="E2782" s="130"/>
    </row>
    <row r="2783" spans="1:9" x14ac:dyDescent="0.25">
      <c r="A2783" s="1033">
        <v>501312</v>
      </c>
      <c r="B2783" s="129">
        <v>1</v>
      </c>
      <c r="C2783" s="130" t="s">
        <v>1379</v>
      </c>
      <c r="D2783" s="130">
        <v>16</v>
      </c>
      <c r="E2783" s="130" t="s">
        <v>1379</v>
      </c>
      <c r="F2783" s="1031">
        <v>0</v>
      </c>
      <c r="G2783" s="1031">
        <v>-0.01</v>
      </c>
      <c r="H2783" s="1031">
        <v>-0.01</v>
      </c>
      <c r="I2783" s="1032" t="s">
        <v>1380</v>
      </c>
    </row>
    <row r="2784" spans="1:9" x14ac:dyDescent="0.25">
      <c r="A2784" s="1033">
        <v>501314</v>
      </c>
      <c r="B2784" s="129">
        <v>86374</v>
      </c>
      <c r="C2784" s="130" t="s">
        <v>57</v>
      </c>
      <c r="D2784" s="130">
        <v>16</v>
      </c>
      <c r="E2784" s="130" t="s">
        <v>57</v>
      </c>
      <c r="F2784" s="1031">
        <v>0</v>
      </c>
      <c r="G2784" s="1031">
        <v>-86373.5</v>
      </c>
      <c r="H2784" s="1031">
        <v>-86373.5</v>
      </c>
      <c r="I2784" s="1032" t="s">
        <v>1380</v>
      </c>
    </row>
    <row r="2785" spans="1:9" x14ac:dyDescent="0.25">
      <c r="A2785" s="1033">
        <v>501316</v>
      </c>
      <c r="B2785" s="129">
        <v>4038</v>
      </c>
      <c r="C2785" s="130" t="s">
        <v>57</v>
      </c>
      <c r="D2785" s="130">
        <v>16</v>
      </c>
      <c r="E2785" s="130" t="s">
        <v>57</v>
      </c>
      <c r="F2785" s="1031">
        <v>0</v>
      </c>
      <c r="G2785" s="1031">
        <v>-86373.5</v>
      </c>
      <c r="H2785" s="1031">
        <v>-86373.5</v>
      </c>
      <c r="I2785" s="1032" t="s">
        <v>1380</v>
      </c>
    </row>
    <row r="2786" spans="1:9" x14ac:dyDescent="0.25">
      <c r="A2786" s="1033"/>
      <c r="C2786" s="130" t="s">
        <v>1381</v>
      </c>
      <c r="D2786" s="130">
        <v>16</v>
      </c>
      <c r="E2786" s="130" t="s">
        <v>1381</v>
      </c>
      <c r="F2786" s="1031">
        <v>0</v>
      </c>
      <c r="G2786" s="1031">
        <v>82336.14</v>
      </c>
      <c r="H2786" s="1031">
        <v>82336.14</v>
      </c>
      <c r="I2786" s="1032" t="s">
        <v>1380</v>
      </c>
    </row>
    <row r="2787" spans="1:9" x14ac:dyDescent="0.25">
      <c r="A2787" s="1033">
        <v>501318</v>
      </c>
      <c r="B2787" s="129">
        <v>4038</v>
      </c>
      <c r="E2787" s="130"/>
    </row>
    <row r="2788" spans="1:9" x14ac:dyDescent="0.25">
      <c r="A2788" s="1033">
        <v>501322</v>
      </c>
      <c r="B2788" s="129">
        <v>1</v>
      </c>
      <c r="C2788" s="130" t="s">
        <v>1379</v>
      </c>
      <c r="D2788" s="130">
        <v>16</v>
      </c>
      <c r="E2788" s="130" t="s">
        <v>1379</v>
      </c>
      <c r="F2788" s="1031">
        <v>0</v>
      </c>
      <c r="G2788" s="1031">
        <v>-0.01</v>
      </c>
      <c r="H2788" s="1031">
        <v>-0.01</v>
      </c>
      <c r="I2788" s="1032" t="s">
        <v>1380</v>
      </c>
    </row>
    <row r="2789" spans="1:9" x14ac:dyDescent="0.25">
      <c r="A2789" s="1033">
        <v>501324</v>
      </c>
      <c r="B2789" s="129">
        <v>86374</v>
      </c>
      <c r="C2789" s="130" t="s">
        <v>57</v>
      </c>
      <c r="D2789" s="130">
        <v>16</v>
      </c>
      <c r="E2789" s="130" t="s">
        <v>57</v>
      </c>
      <c r="F2789" s="1031">
        <v>0</v>
      </c>
      <c r="G2789" s="1031">
        <v>-86373.5</v>
      </c>
      <c r="H2789" s="1031">
        <v>-86373.5</v>
      </c>
      <c r="I2789" s="1032" t="s">
        <v>1380</v>
      </c>
    </row>
    <row r="2790" spans="1:9" x14ac:dyDescent="0.25">
      <c r="A2790" s="1033">
        <v>501326</v>
      </c>
      <c r="B2790" s="129">
        <v>4038</v>
      </c>
      <c r="C2790" s="130" t="s">
        <v>57</v>
      </c>
      <c r="D2790" s="130">
        <v>16</v>
      </c>
      <c r="E2790" s="130" t="s">
        <v>57</v>
      </c>
      <c r="F2790" s="1031">
        <v>0</v>
      </c>
      <c r="G2790" s="1031">
        <v>-86373.5</v>
      </c>
      <c r="H2790" s="1031">
        <v>-86373.5</v>
      </c>
      <c r="I2790" s="1032" t="s">
        <v>1380</v>
      </c>
    </row>
    <row r="2791" spans="1:9" x14ac:dyDescent="0.25">
      <c r="A2791" s="1033"/>
      <c r="C2791" s="130" t="s">
        <v>1381</v>
      </c>
      <c r="D2791" s="130">
        <v>16</v>
      </c>
      <c r="E2791" s="130" t="s">
        <v>1381</v>
      </c>
      <c r="F2791" s="1031">
        <v>0</v>
      </c>
      <c r="G2791" s="1031">
        <v>82336.14</v>
      </c>
      <c r="H2791" s="1031">
        <v>82336.14</v>
      </c>
      <c r="I2791" s="1032" t="s">
        <v>1380</v>
      </c>
    </row>
    <row r="2792" spans="1:9" x14ac:dyDescent="0.25">
      <c r="A2792" s="1033">
        <v>501328</v>
      </c>
      <c r="B2792" s="129">
        <v>4038</v>
      </c>
      <c r="E2792" s="130"/>
    </row>
    <row r="2793" spans="1:9" x14ac:dyDescent="0.25">
      <c r="A2793" s="1033">
        <v>501412</v>
      </c>
      <c r="B2793" s="129">
        <v>0</v>
      </c>
      <c r="E2793" s="130"/>
    </row>
    <row r="2794" spans="1:9" x14ac:dyDescent="0.25">
      <c r="A2794" s="1033">
        <v>501414</v>
      </c>
      <c r="B2794" s="129">
        <v>0</v>
      </c>
      <c r="E2794" s="130"/>
    </row>
    <row r="2795" spans="1:9" x14ac:dyDescent="0.25">
      <c r="A2795" s="1033">
        <v>501416</v>
      </c>
      <c r="B2795" s="129">
        <v>0</v>
      </c>
      <c r="E2795" s="130"/>
    </row>
    <row r="2796" spans="1:9" x14ac:dyDescent="0.25">
      <c r="A2796" s="1033">
        <v>501418</v>
      </c>
      <c r="B2796" s="129">
        <v>0</v>
      </c>
      <c r="E2796" s="130"/>
    </row>
    <row r="2797" spans="1:9" x14ac:dyDescent="0.25">
      <c r="A2797" s="1033">
        <v>501422</v>
      </c>
      <c r="B2797" s="129">
        <v>0</v>
      </c>
      <c r="E2797" s="130"/>
    </row>
    <row r="2798" spans="1:9" x14ac:dyDescent="0.25">
      <c r="A2798" s="1033">
        <v>501424</v>
      </c>
      <c r="B2798" s="129">
        <v>0</v>
      </c>
      <c r="E2798" s="130"/>
    </row>
    <row r="2799" spans="1:9" x14ac:dyDescent="0.25">
      <c r="A2799" s="1033">
        <v>501426</v>
      </c>
      <c r="B2799" s="129">
        <v>0</v>
      </c>
      <c r="E2799" s="130"/>
    </row>
    <row r="2800" spans="1:9" x14ac:dyDescent="0.25">
      <c r="A2800" s="1033">
        <v>501428</v>
      </c>
      <c r="B2800" s="129">
        <v>0</v>
      </c>
      <c r="E2800" s="130"/>
    </row>
    <row r="2801" spans="1:5" x14ac:dyDescent="0.25">
      <c r="A2801" s="1033">
        <v>501512</v>
      </c>
      <c r="B2801" s="129">
        <v>0</v>
      </c>
      <c r="E2801" s="130"/>
    </row>
    <row r="2802" spans="1:5" x14ac:dyDescent="0.25">
      <c r="A2802" s="1033">
        <v>501514</v>
      </c>
      <c r="B2802" s="129">
        <v>0</v>
      </c>
      <c r="E2802" s="130"/>
    </row>
    <row r="2803" spans="1:5" x14ac:dyDescent="0.25">
      <c r="A2803" s="1033">
        <v>501516</v>
      </c>
      <c r="B2803" s="129">
        <v>0</v>
      </c>
      <c r="E2803" s="130"/>
    </row>
    <row r="2804" spans="1:5" x14ac:dyDescent="0.25">
      <c r="A2804" s="1033">
        <v>501518</v>
      </c>
      <c r="B2804" s="129">
        <v>0</v>
      </c>
      <c r="E2804" s="130"/>
    </row>
    <row r="2805" spans="1:5" x14ac:dyDescent="0.25">
      <c r="A2805" s="1033">
        <v>501522</v>
      </c>
      <c r="B2805" s="129">
        <v>0</v>
      </c>
      <c r="E2805" s="130"/>
    </row>
    <row r="2806" spans="1:5" x14ac:dyDescent="0.25">
      <c r="A2806" s="1033">
        <v>501524</v>
      </c>
      <c r="B2806" s="129">
        <v>0</v>
      </c>
      <c r="E2806" s="130"/>
    </row>
    <row r="2807" spans="1:5" x14ac:dyDescent="0.25">
      <c r="A2807" s="1033">
        <v>501526</v>
      </c>
      <c r="B2807" s="129">
        <v>0</v>
      </c>
      <c r="E2807" s="130"/>
    </row>
    <row r="2808" spans="1:5" x14ac:dyDescent="0.25">
      <c r="A2808" s="1033">
        <v>501528</v>
      </c>
      <c r="B2808" s="129">
        <v>0</v>
      </c>
      <c r="E2808" s="130"/>
    </row>
    <row r="2809" spans="1:5" x14ac:dyDescent="0.25">
      <c r="A2809" s="1033">
        <v>501612</v>
      </c>
      <c r="B2809" s="129">
        <v>0</v>
      </c>
      <c r="E2809" s="130"/>
    </row>
    <row r="2810" spans="1:5" x14ac:dyDescent="0.25">
      <c r="A2810" s="1033">
        <v>501614</v>
      </c>
      <c r="B2810" s="129">
        <v>0</v>
      </c>
      <c r="E2810" s="130"/>
    </row>
    <row r="2811" spans="1:5" x14ac:dyDescent="0.25">
      <c r="A2811" s="1033">
        <v>501616</v>
      </c>
      <c r="B2811" s="129">
        <v>0</v>
      </c>
      <c r="E2811" s="130"/>
    </row>
    <row r="2812" spans="1:5" x14ac:dyDescent="0.25">
      <c r="A2812" s="1033">
        <v>501618</v>
      </c>
      <c r="B2812" s="129">
        <v>0</v>
      </c>
      <c r="E2812" s="130"/>
    </row>
    <row r="2813" spans="1:5" x14ac:dyDescent="0.25">
      <c r="A2813" s="1033">
        <v>501622</v>
      </c>
      <c r="B2813" s="129">
        <v>0</v>
      </c>
      <c r="E2813" s="130"/>
    </row>
    <row r="2814" spans="1:5" x14ac:dyDescent="0.25">
      <c r="A2814" s="1033">
        <v>501624</v>
      </c>
      <c r="B2814" s="129">
        <v>0</v>
      </c>
      <c r="E2814" s="130"/>
    </row>
    <row r="2815" spans="1:5" x14ac:dyDescent="0.25">
      <c r="A2815" s="1033">
        <v>501626</v>
      </c>
      <c r="B2815" s="129">
        <v>0</v>
      </c>
      <c r="E2815" s="130"/>
    </row>
    <row r="2816" spans="1:5" x14ac:dyDescent="0.25">
      <c r="A2816" s="1033">
        <v>501628</v>
      </c>
      <c r="B2816" s="129">
        <v>0</v>
      </c>
      <c r="E2816" s="130"/>
    </row>
    <row r="2817" spans="1:9" x14ac:dyDescent="0.25">
      <c r="A2817" s="1033">
        <v>501712</v>
      </c>
      <c r="B2817" s="129">
        <v>0</v>
      </c>
      <c r="E2817" s="130"/>
    </row>
    <row r="2818" spans="1:9" x14ac:dyDescent="0.25">
      <c r="A2818" s="1033">
        <v>501714</v>
      </c>
      <c r="B2818" s="129">
        <v>0</v>
      </c>
      <c r="E2818" s="130"/>
    </row>
    <row r="2819" spans="1:9" x14ac:dyDescent="0.25">
      <c r="A2819" s="1033">
        <v>501716</v>
      </c>
      <c r="B2819" s="129">
        <v>0</v>
      </c>
      <c r="E2819" s="130"/>
    </row>
    <row r="2820" spans="1:9" x14ac:dyDescent="0.25">
      <c r="A2820" s="1033">
        <v>501718</v>
      </c>
      <c r="B2820" s="129">
        <v>0</v>
      </c>
      <c r="E2820" s="130"/>
    </row>
    <row r="2821" spans="1:9" x14ac:dyDescent="0.25">
      <c r="A2821" s="1033">
        <v>501722</v>
      </c>
      <c r="B2821" s="129">
        <v>0</v>
      </c>
      <c r="E2821" s="130"/>
    </row>
    <row r="2822" spans="1:9" x14ac:dyDescent="0.25">
      <c r="A2822" s="1033">
        <v>501724</v>
      </c>
      <c r="B2822" s="129">
        <v>0</v>
      </c>
      <c r="E2822" s="130"/>
    </row>
    <row r="2823" spans="1:9" x14ac:dyDescent="0.25">
      <c r="A2823" s="1033">
        <v>501726</v>
      </c>
      <c r="B2823" s="129">
        <v>0</v>
      </c>
      <c r="E2823" s="130"/>
    </row>
    <row r="2824" spans="1:9" x14ac:dyDescent="0.25">
      <c r="A2824" s="1033">
        <v>501728</v>
      </c>
      <c r="B2824" s="129">
        <v>0</v>
      </c>
      <c r="E2824" s="130"/>
    </row>
    <row r="2825" spans="1:9" x14ac:dyDescent="0.25">
      <c r="A2825" s="1033">
        <v>501812</v>
      </c>
      <c r="B2825" s="129">
        <v>1</v>
      </c>
      <c r="E2825" s="130"/>
    </row>
    <row r="2826" spans="1:9" x14ac:dyDescent="0.25">
      <c r="A2826" s="1033">
        <v>501814</v>
      </c>
      <c r="B2826" s="129">
        <v>86374</v>
      </c>
      <c r="E2826" s="130"/>
    </row>
    <row r="2827" spans="1:9" x14ac:dyDescent="0.25">
      <c r="A2827" s="1033">
        <v>501816</v>
      </c>
      <c r="B2827" s="129">
        <v>4038</v>
      </c>
      <c r="C2827" s="130" t="s">
        <v>57</v>
      </c>
      <c r="D2827" s="130">
        <v>16</v>
      </c>
      <c r="E2827" s="130" t="s">
        <v>57</v>
      </c>
      <c r="F2827" s="1031">
        <v>0</v>
      </c>
      <c r="G2827" s="1031">
        <v>-86373.5</v>
      </c>
      <c r="H2827" s="1031">
        <v>-86373.5</v>
      </c>
      <c r="I2827" s="1032" t="s">
        <v>1380</v>
      </c>
    </row>
    <row r="2828" spans="1:9" x14ac:dyDescent="0.25">
      <c r="A2828" s="1033"/>
      <c r="C2828" s="130" t="s">
        <v>1381</v>
      </c>
      <c r="D2828" s="130">
        <v>16</v>
      </c>
      <c r="E2828" s="130" t="s">
        <v>1381</v>
      </c>
      <c r="F2828" s="1031">
        <v>0</v>
      </c>
      <c r="G2828" s="1031">
        <v>82336.14</v>
      </c>
      <c r="H2828" s="1031">
        <v>82336.14</v>
      </c>
      <c r="I2828" s="1032" t="s">
        <v>1380</v>
      </c>
    </row>
    <row r="2829" spans="1:9" x14ac:dyDescent="0.25">
      <c r="A2829" s="1033">
        <v>501818</v>
      </c>
      <c r="B2829" s="129">
        <v>4038</v>
      </c>
      <c r="E2829" s="130"/>
    </row>
    <row r="2830" spans="1:9" x14ac:dyDescent="0.25">
      <c r="A2830" s="1033">
        <v>501822</v>
      </c>
      <c r="B2830" s="129">
        <v>1</v>
      </c>
      <c r="E2830" s="130"/>
    </row>
    <row r="2831" spans="1:9" x14ac:dyDescent="0.25">
      <c r="A2831" s="1033">
        <v>501824</v>
      </c>
      <c r="B2831" s="129">
        <v>86374</v>
      </c>
      <c r="E2831" s="130"/>
    </row>
    <row r="2832" spans="1:9" x14ac:dyDescent="0.25">
      <c r="A2832" s="1033">
        <v>501826</v>
      </c>
      <c r="B2832" s="129">
        <v>4038</v>
      </c>
      <c r="C2832" s="130" t="s">
        <v>57</v>
      </c>
      <c r="D2832" s="130">
        <v>16</v>
      </c>
      <c r="E2832" s="130" t="s">
        <v>57</v>
      </c>
      <c r="F2832" s="1031">
        <v>0</v>
      </c>
      <c r="G2832" s="1031">
        <v>-86373.5</v>
      </c>
      <c r="H2832" s="1031">
        <v>-86373.5</v>
      </c>
      <c r="I2832" s="1032" t="s">
        <v>1380</v>
      </c>
    </row>
    <row r="2833" spans="1:9" x14ac:dyDescent="0.25">
      <c r="A2833" s="1033"/>
      <c r="C2833" s="130" t="s">
        <v>1381</v>
      </c>
      <c r="D2833" s="130">
        <v>16</v>
      </c>
      <c r="E2833" s="130" t="s">
        <v>1381</v>
      </c>
      <c r="F2833" s="1031">
        <v>0</v>
      </c>
      <c r="G2833" s="1031">
        <v>82336.14</v>
      </c>
      <c r="H2833" s="1031">
        <v>82336.14</v>
      </c>
      <c r="I2833" s="1032" t="s">
        <v>1380</v>
      </c>
    </row>
    <row r="2834" spans="1:9" x14ac:dyDescent="0.25">
      <c r="A2834" s="1033">
        <v>501828</v>
      </c>
      <c r="B2834" s="129">
        <v>4038</v>
      </c>
      <c r="E2834" s="130"/>
    </row>
    <row r="2835" spans="1:9" x14ac:dyDescent="0.25">
      <c r="A2835" s="1033">
        <v>501912</v>
      </c>
      <c r="B2835" s="129">
        <v>0</v>
      </c>
      <c r="E2835" s="130"/>
    </row>
    <row r="2836" spans="1:9" x14ac:dyDescent="0.25">
      <c r="A2836" s="1033">
        <v>501914</v>
      </c>
      <c r="B2836" s="129">
        <v>0</v>
      </c>
      <c r="E2836" s="130"/>
    </row>
    <row r="2837" spans="1:9" x14ac:dyDescent="0.25">
      <c r="A2837" s="1033">
        <v>501916</v>
      </c>
      <c r="B2837" s="129">
        <v>0</v>
      </c>
      <c r="E2837" s="130"/>
    </row>
    <row r="2838" spans="1:9" x14ac:dyDescent="0.25">
      <c r="A2838" s="1033">
        <v>501918</v>
      </c>
      <c r="B2838" s="129">
        <v>0</v>
      </c>
      <c r="E2838" s="130"/>
    </row>
    <row r="2839" spans="1:9" x14ac:dyDescent="0.25">
      <c r="A2839" s="1033">
        <v>501922</v>
      </c>
      <c r="B2839" s="129">
        <v>0</v>
      </c>
      <c r="E2839" s="130"/>
    </row>
    <row r="2840" spans="1:9" x14ac:dyDescent="0.25">
      <c r="A2840" s="1033">
        <v>501924</v>
      </c>
      <c r="B2840" s="129">
        <v>0</v>
      </c>
      <c r="E2840" s="130"/>
    </row>
    <row r="2841" spans="1:9" x14ac:dyDescent="0.25">
      <c r="A2841" s="1033">
        <v>501926</v>
      </c>
      <c r="B2841" s="129">
        <v>0</v>
      </c>
      <c r="E2841" s="130"/>
    </row>
    <row r="2842" spans="1:9" x14ac:dyDescent="0.25">
      <c r="A2842" s="1033">
        <v>501928</v>
      </c>
      <c r="B2842" s="129">
        <v>0</v>
      </c>
      <c r="E2842" s="130"/>
    </row>
    <row r="2843" spans="1:9" x14ac:dyDescent="0.25">
      <c r="A2843" s="1033">
        <v>502012</v>
      </c>
      <c r="B2843" s="129">
        <v>0</v>
      </c>
      <c r="E2843" s="130"/>
    </row>
    <row r="2844" spans="1:9" x14ac:dyDescent="0.25">
      <c r="A2844" s="1033">
        <v>502014</v>
      </c>
      <c r="B2844" s="129">
        <v>0</v>
      </c>
      <c r="E2844" s="130"/>
    </row>
    <row r="2845" spans="1:9" x14ac:dyDescent="0.25">
      <c r="A2845" s="1033">
        <v>502016</v>
      </c>
      <c r="B2845" s="129">
        <v>0</v>
      </c>
      <c r="E2845" s="130"/>
    </row>
    <row r="2846" spans="1:9" x14ac:dyDescent="0.25">
      <c r="A2846" s="1033">
        <v>502018</v>
      </c>
      <c r="B2846" s="129">
        <v>0</v>
      </c>
      <c r="E2846" s="130"/>
    </row>
    <row r="2847" spans="1:9" x14ac:dyDescent="0.25">
      <c r="A2847" s="1033">
        <v>502022</v>
      </c>
      <c r="B2847" s="129">
        <v>0</v>
      </c>
      <c r="E2847" s="130"/>
    </row>
    <row r="2848" spans="1:9" x14ac:dyDescent="0.25">
      <c r="A2848" s="1033">
        <v>502024</v>
      </c>
      <c r="B2848" s="129">
        <v>0</v>
      </c>
      <c r="E2848" s="130"/>
    </row>
    <row r="2849" spans="1:5" x14ac:dyDescent="0.25">
      <c r="A2849" s="1033">
        <v>502026</v>
      </c>
      <c r="B2849" s="129">
        <v>0</v>
      </c>
      <c r="E2849" s="130"/>
    </row>
    <row r="2850" spans="1:5" x14ac:dyDescent="0.25">
      <c r="A2850" s="1033">
        <v>502028</v>
      </c>
      <c r="B2850" s="129">
        <v>0</v>
      </c>
      <c r="E2850" s="130"/>
    </row>
    <row r="2851" spans="1:5" x14ac:dyDescent="0.25">
      <c r="A2851" s="1033">
        <v>502112</v>
      </c>
      <c r="B2851" s="129">
        <v>0</v>
      </c>
      <c r="E2851" s="130"/>
    </row>
    <row r="2852" spans="1:5" x14ac:dyDescent="0.25">
      <c r="A2852" s="1033">
        <v>502114</v>
      </c>
      <c r="B2852" s="129">
        <v>0</v>
      </c>
      <c r="E2852" s="130"/>
    </row>
    <row r="2853" spans="1:5" x14ac:dyDescent="0.25">
      <c r="A2853" s="1033">
        <v>502116</v>
      </c>
      <c r="B2853" s="129">
        <v>0</v>
      </c>
      <c r="E2853" s="130"/>
    </row>
    <row r="2854" spans="1:5" x14ac:dyDescent="0.25">
      <c r="A2854" s="1033">
        <v>502118</v>
      </c>
      <c r="B2854" s="129">
        <v>0</v>
      </c>
      <c r="E2854" s="130"/>
    </row>
    <row r="2855" spans="1:5" x14ac:dyDescent="0.25">
      <c r="A2855" s="1033">
        <v>502122</v>
      </c>
      <c r="B2855" s="129">
        <v>0</v>
      </c>
      <c r="E2855" s="130"/>
    </row>
    <row r="2856" spans="1:5" x14ac:dyDescent="0.25">
      <c r="A2856" s="1033">
        <v>502124</v>
      </c>
      <c r="B2856" s="129">
        <v>0</v>
      </c>
      <c r="E2856" s="130"/>
    </row>
    <row r="2857" spans="1:5" x14ac:dyDescent="0.25">
      <c r="A2857" s="1033">
        <v>502126</v>
      </c>
      <c r="B2857" s="129">
        <v>0</v>
      </c>
      <c r="E2857" s="130"/>
    </row>
    <row r="2858" spans="1:5" x14ac:dyDescent="0.25">
      <c r="A2858" s="1033">
        <v>502128</v>
      </c>
      <c r="B2858" s="129">
        <v>0</v>
      </c>
      <c r="E2858" s="130"/>
    </row>
    <row r="2859" spans="1:5" x14ac:dyDescent="0.25">
      <c r="A2859" s="1033">
        <v>502212</v>
      </c>
      <c r="B2859" s="129">
        <v>0</v>
      </c>
      <c r="E2859" s="130"/>
    </row>
    <row r="2860" spans="1:5" x14ac:dyDescent="0.25">
      <c r="A2860" s="1033">
        <v>502214</v>
      </c>
      <c r="B2860" s="129">
        <v>0</v>
      </c>
      <c r="E2860" s="130"/>
    </row>
    <row r="2861" spans="1:5" x14ac:dyDescent="0.25">
      <c r="A2861" s="1033">
        <v>502216</v>
      </c>
      <c r="B2861" s="129">
        <v>0</v>
      </c>
      <c r="E2861" s="130"/>
    </row>
    <row r="2862" spans="1:5" x14ac:dyDescent="0.25">
      <c r="A2862" s="1033">
        <v>502218</v>
      </c>
      <c r="B2862" s="129">
        <v>0</v>
      </c>
      <c r="E2862" s="130"/>
    </row>
    <row r="2863" spans="1:5" x14ac:dyDescent="0.25">
      <c r="A2863" s="1033">
        <v>502222</v>
      </c>
      <c r="B2863" s="129">
        <v>0</v>
      </c>
      <c r="E2863" s="130"/>
    </row>
    <row r="2864" spans="1:5" x14ac:dyDescent="0.25">
      <c r="A2864" s="1033">
        <v>502224</v>
      </c>
      <c r="B2864" s="129">
        <v>0</v>
      </c>
      <c r="E2864" s="130"/>
    </row>
    <row r="2865" spans="1:9" x14ac:dyDescent="0.25">
      <c r="A2865" s="1033">
        <v>502226</v>
      </c>
      <c r="B2865" s="129">
        <v>0</v>
      </c>
      <c r="E2865" s="130"/>
    </row>
    <row r="2866" spans="1:9" x14ac:dyDescent="0.25">
      <c r="A2866" s="1033">
        <v>502228</v>
      </c>
      <c r="B2866" s="129">
        <v>0</v>
      </c>
      <c r="E2866" s="130"/>
    </row>
    <row r="2867" spans="1:9" x14ac:dyDescent="0.25">
      <c r="A2867" s="1033">
        <v>502312</v>
      </c>
      <c r="B2867" s="129">
        <v>1</v>
      </c>
      <c r="C2867" s="130" t="s">
        <v>1382</v>
      </c>
      <c r="D2867" s="130">
        <v>16</v>
      </c>
      <c r="E2867" s="130" t="s">
        <v>1382</v>
      </c>
      <c r="F2867" s="1031">
        <v>0</v>
      </c>
      <c r="G2867" s="1031">
        <v>-0.01</v>
      </c>
      <c r="H2867" s="1031">
        <v>-0.01</v>
      </c>
      <c r="I2867" s="1032" t="s">
        <v>1383</v>
      </c>
    </row>
    <row r="2868" spans="1:9" x14ac:dyDescent="0.25">
      <c r="A2868" s="1033">
        <v>502314</v>
      </c>
      <c r="B2868" s="129">
        <v>63351</v>
      </c>
      <c r="C2868" s="130" t="s">
        <v>267</v>
      </c>
      <c r="D2868" s="130">
        <v>16</v>
      </c>
      <c r="E2868" s="130" t="s">
        <v>267</v>
      </c>
      <c r="F2868" s="1031">
        <v>0</v>
      </c>
      <c r="G2868" s="1031">
        <v>-63350.5</v>
      </c>
      <c r="H2868" s="1031">
        <v>-63350.5</v>
      </c>
      <c r="I2868" s="1032" t="s">
        <v>1384</v>
      </c>
    </row>
    <row r="2869" spans="1:9" x14ac:dyDescent="0.25">
      <c r="A2869" s="1033">
        <v>502316</v>
      </c>
      <c r="B2869" s="129">
        <v>1250</v>
      </c>
      <c r="C2869" s="130" t="s">
        <v>267</v>
      </c>
      <c r="D2869" s="130">
        <v>16</v>
      </c>
      <c r="E2869" s="130" t="s">
        <v>267</v>
      </c>
      <c r="F2869" s="1031">
        <v>0</v>
      </c>
      <c r="G2869" s="1031">
        <v>-63350.5</v>
      </c>
      <c r="H2869" s="1031">
        <v>-63350.5</v>
      </c>
      <c r="I2869" s="1032" t="s">
        <v>1384</v>
      </c>
    </row>
    <row r="2870" spans="1:9" x14ac:dyDescent="0.25">
      <c r="A2870" s="1033"/>
      <c r="C2870" s="130" t="s">
        <v>1385</v>
      </c>
      <c r="D2870" s="130">
        <v>16</v>
      </c>
      <c r="E2870" s="130" t="s">
        <v>1385</v>
      </c>
      <c r="F2870" s="1031">
        <v>0</v>
      </c>
      <c r="G2870" s="1031">
        <v>62100.5</v>
      </c>
      <c r="H2870" s="1031">
        <v>62100.5</v>
      </c>
      <c r="I2870" s="1032" t="s">
        <v>1386</v>
      </c>
    </row>
    <row r="2871" spans="1:9" x14ac:dyDescent="0.25">
      <c r="A2871" s="1033">
        <v>502318</v>
      </c>
      <c r="B2871" s="129">
        <v>1250</v>
      </c>
      <c r="E2871" s="130"/>
    </row>
    <row r="2872" spans="1:9" x14ac:dyDescent="0.25">
      <c r="A2872" s="1033">
        <v>502322</v>
      </c>
      <c r="B2872" s="129">
        <v>1</v>
      </c>
      <c r="C2872" s="130" t="s">
        <v>1382</v>
      </c>
      <c r="D2872" s="130">
        <v>16</v>
      </c>
      <c r="E2872" s="130" t="s">
        <v>1382</v>
      </c>
      <c r="F2872" s="1031">
        <v>0</v>
      </c>
      <c r="G2872" s="1031">
        <v>-0.01</v>
      </c>
      <c r="H2872" s="1031">
        <v>-0.01</v>
      </c>
      <c r="I2872" s="1032" t="s">
        <v>1383</v>
      </c>
    </row>
    <row r="2873" spans="1:9" x14ac:dyDescent="0.25">
      <c r="A2873" s="1033">
        <v>502324</v>
      </c>
      <c r="B2873" s="129">
        <v>63351</v>
      </c>
      <c r="C2873" s="130" t="s">
        <v>267</v>
      </c>
      <c r="D2873" s="130">
        <v>16</v>
      </c>
      <c r="E2873" s="130" t="s">
        <v>267</v>
      </c>
      <c r="F2873" s="1031">
        <v>0</v>
      </c>
      <c r="G2873" s="1031">
        <v>-63350.5</v>
      </c>
      <c r="H2873" s="1031">
        <v>-63350.5</v>
      </c>
      <c r="I2873" s="1032" t="s">
        <v>1384</v>
      </c>
    </row>
    <row r="2874" spans="1:9" x14ac:dyDescent="0.25">
      <c r="A2874" s="1033">
        <v>502326</v>
      </c>
      <c r="B2874" s="129">
        <v>1250</v>
      </c>
      <c r="C2874" s="130" t="s">
        <v>267</v>
      </c>
      <c r="D2874" s="130">
        <v>16</v>
      </c>
      <c r="E2874" s="130" t="s">
        <v>267</v>
      </c>
      <c r="F2874" s="1031">
        <v>0</v>
      </c>
      <c r="G2874" s="1031">
        <v>-63350.5</v>
      </c>
      <c r="H2874" s="1031">
        <v>-63350.5</v>
      </c>
      <c r="I2874" s="1032" t="s">
        <v>1384</v>
      </c>
    </row>
    <row r="2875" spans="1:9" x14ac:dyDescent="0.25">
      <c r="A2875" s="1033"/>
      <c r="C2875" s="130" t="s">
        <v>1385</v>
      </c>
      <c r="D2875" s="130">
        <v>16</v>
      </c>
      <c r="E2875" s="130" t="s">
        <v>1385</v>
      </c>
      <c r="F2875" s="1031">
        <v>0</v>
      </c>
      <c r="G2875" s="1031">
        <v>62100.5</v>
      </c>
      <c r="H2875" s="1031">
        <v>62100.5</v>
      </c>
      <c r="I2875" s="1032" t="s">
        <v>1386</v>
      </c>
    </row>
    <row r="2876" spans="1:9" x14ac:dyDescent="0.25">
      <c r="A2876" s="1033">
        <v>502328</v>
      </c>
      <c r="B2876" s="129">
        <v>1250</v>
      </c>
      <c r="E2876" s="130"/>
    </row>
    <row r="2877" spans="1:9" x14ac:dyDescent="0.25">
      <c r="A2877" s="1033">
        <v>502412</v>
      </c>
      <c r="B2877" s="129">
        <v>1</v>
      </c>
      <c r="C2877" s="130" t="s">
        <v>1387</v>
      </c>
      <c r="D2877" s="130">
        <v>16</v>
      </c>
      <c r="E2877" s="130" t="s">
        <v>1387</v>
      </c>
      <c r="F2877" s="1031">
        <v>0</v>
      </c>
      <c r="G2877" s="1031">
        <v>-0.01</v>
      </c>
      <c r="H2877" s="1031">
        <v>-0.01</v>
      </c>
      <c r="I2877" s="1032" t="s">
        <v>1388</v>
      </c>
    </row>
    <row r="2878" spans="1:9" x14ac:dyDescent="0.25">
      <c r="A2878" s="1033">
        <v>502414</v>
      </c>
      <c r="B2878" s="129">
        <v>73322</v>
      </c>
      <c r="C2878" s="130" t="s">
        <v>283</v>
      </c>
      <c r="D2878" s="130">
        <v>16</v>
      </c>
      <c r="E2878" s="130" t="s">
        <v>283</v>
      </c>
      <c r="F2878" s="1031">
        <v>0</v>
      </c>
      <c r="G2878" s="1031">
        <v>-73322</v>
      </c>
      <c r="H2878" s="1031">
        <v>-73322</v>
      </c>
      <c r="I2878" s="1032" t="s">
        <v>1389</v>
      </c>
    </row>
    <row r="2879" spans="1:9" x14ac:dyDescent="0.25">
      <c r="A2879" s="1033">
        <v>502416</v>
      </c>
      <c r="B2879" s="129">
        <v>1909</v>
      </c>
      <c r="C2879" s="130" t="s">
        <v>283</v>
      </c>
      <c r="D2879" s="130">
        <v>16</v>
      </c>
      <c r="E2879" s="130" t="s">
        <v>283</v>
      </c>
      <c r="F2879" s="1031">
        <v>0</v>
      </c>
      <c r="G2879" s="1031">
        <v>-73322</v>
      </c>
      <c r="H2879" s="1031">
        <v>-73322</v>
      </c>
      <c r="I2879" s="1032" t="s">
        <v>1389</v>
      </c>
    </row>
    <row r="2880" spans="1:9" x14ac:dyDescent="0.25">
      <c r="A2880" s="1033"/>
      <c r="C2880" s="130" t="s">
        <v>1390</v>
      </c>
      <c r="D2880" s="130">
        <v>16</v>
      </c>
      <c r="E2880" s="130" t="s">
        <v>1390</v>
      </c>
      <c r="F2880" s="1031">
        <v>0</v>
      </c>
      <c r="G2880" s="1031">
        <v>71413.2</v>
      </c>
      <c r="H2880" s="1031">
        <v>71413.2</v>
      </c>
      <c r="I2880" s="1032" t="s">
        <v>1391</v>
      </c>
    </row>
    <row r="2881" spans="1:9" x14ac:dyDescent="0.25">
      <c r="A2881" s="1033">
        <v>502418</v>
      </c>
      <c r="B2881" s="129">
        <v>1909</v>
      </c>
      <c r="E2881" s="130"/>
    </row>
    <row r="2882" spans="1:9" x14ac:dyDescent="0.25">
      <c r="A2882" s="1033">
        <v>502422</v>
      </c>
      <c r="B2882" s="129">
        <v>1</v>
      </c>
      <c r="C2882" s="130" t="s">
        <v>1387</v>
      </c>
      <c r="D2882" s="130">
        <v>16</v>
      </c>
      <c r="E2882" s="130" t="s">
        <v>1387</v>
      </c>
      <c r="F2882" s="1031">
        <v>0</v>
      </c>
      <c r="G2882" s="1031">
        <v>-0.01</v>
      </c>
      <c r="H2882" s="1031">
        <v>-0.01</v>
      </c>
      <c r="I2882" s="1032" t="s">
        <v>1388</v>
      </c>
    </row>
    <row r="2883" spans="1:9" x14ac:dyDescent="0.25">
      <c r="A2883" s="1033">
        <v>502424</v>
      </c>
      <c r="B2883" s="129">
        <v>73322</v>
      </c>
      <c r="C2883" s="130" t="s">
        <v>283</v>
      </c>
      <c r="D2883" s="130">
        <v>16</v>
      </c>
      <c r="E2883" s="130" t="s">
        <v>283</v>
      </c>
      <c r="F2883" s="1031">
        <v>0</v>
      </c>
      <c r="G2883" s="1031">
        <v>-73322</v>
      </c>
      <c r="H2883" s="1031">
        <v>-73322</v>
      </c>
      <c r="I2883" s="1032" t="s">
        <v>1389</v>
      </c>
    </row>
    <row r="2884" spans="1:9" x14ac:dyDescent="0.25">
      <c r="A2884" s="1033">
        <v>502426</v>
      </c>
      <c r="B2884" s="129">
        <v>1909</v>
      </c>
      <c r="C2884" s="130" t="s">
        <v>283</v>
      </c>
      <c r="D2884" s="130">
        <v>16</v>
      </c>
      <c r="E2884" s="130" t="s">
        <v>283</v>
      </c>
      <c r="F2884" s="1031">
        <v>0</v>
      </c>
      <c r="G2884" s="1031">
        <v>-73322</v>
      </c>
      <c r="H2884" s="1031">
        <v>-73322</v>
      </c>
      <c r="I2884" s="1032" t="s">
        <v>1389</v>
      </c>
    </row>
    <row r="2885" spans="1:9" x14ac:dyDescent="0.25">
      <c r="A2885" s="1033"/>
      <c r="C2885" s="130" t="s">
        <v>1390</v>
      </c>
      <c r="D2885" s="130">
        <v>16</v>
      </c>
      <c r="E2885" s="130" t="s">
        <v>1390</v>
      </c>
      <c r="F2885" s="1031">
        <v>0</v>
      </c>
      <c r="G2885" s="1031">
        <v>71413.2</v>
      </c>
      <c r="H2885" s="1031">
        <v>71413.2</v>
      </c>
      <c r="I2885" s="1032" t="s">
        <v>1391</v>
      </c>
    </row>
    <row r="2886" spans="1:9" x14ac:dyDescent="0.25">
      <c r="A2886" s="1033">
        <v>502428</v>
      </c>
      <c r="B2886" s="129">
        <v>1909</v>
      </c>
      <c r="E2886" s="130"/>
    </row>
    <row r="2887" spans="1:9" x14ac:dyDescent="0.25">
      <c r="A2887" s="1033">
        <v>502512</v>
      </c>
      <c r="B2887" s="129">
        <v>1</v>
      </c>
      <c r="C2887" s="130" t="s">
        <v>1392</v>
      </c>
      <c r="D2887" s="130">
        <v>16</v>
      </c>
      <c r="E2887" s="130" t="s">
        <v>1392</v>
      </c>
      <c r="F2887" s="1031">
        <v>0</v>
      </c>
      <c r="G2887" s="1031">
        <v>-0.01</v>
      </c>
      <c r="H2887" s="1031">
        <v>-0.01</v>
      </c>
      <c r="I2887" s="1032" t="s">
        <v>1393</v>
      </c>
    </row>
    <row r="2888" spans="1:9" x14ac:dyDescent="0.25">
      <c r="A2888" s="1033">
        <v>502514</v>
      </c>
      <c r="B2888" s="129">
        <v>84887</v>
      </c>
      <c r="C2888" s="130" t="s">
        <v>268</v>
      </c>
      <c r="D2888" s="130">
        <v>16</v>
      </c>
      <c r="E2888" s="130" t="s">
        <v>268</v>
      </c>
      <c r="F2888" s="1031">
        <v>0</v>
      </c>
      <c r="G2888" s="1031">
        <v>-84886.5</v>
      </c>
      <c r="H2888" s="1031">
        <v>-84886.5</v>
      </c>
      <c r="I2888" s="1032" t="s">
        <v>1394</v>
      </c>
    </row>
    <row r="2889" spans="1:9" x14ac:dyDescent="0.25">
      <c r="A2889" s="1033">
        <v>502516</v>
      </c>
      <c r="B2889" s="129">
        <v>6615</v>
      </c>
      <c r="C2889" s="130" t="s">
        <v>268</v>
      </c>
      <c r="D2889" s="130">
        <v>16</v>
      </c>
      <c r="E2889" s="130" t="s">
        <v>268</v>
      </c>
      <c r="F2889" s="1031">
        <v>0</v>
      </c>
      <c r="G2889" s="1031">
        <v>-84886.5</v>
      </c>
      <c r="H2889" s="1031">
        <v>-84886.5</v>
      </c>
      <c r="I2889" s="1032" t="s">
        <v>1394</v>
      </c>
    </row>
    <row r="2890" spans="1:9" x14ac:dyDescent="0.25">
      <c r="A2890" s="1033"/>
      <c r="C2890" s="130" t="s">
        <v>1395</v>
      </c>
      <c r="D2890" s="130">
        <v>16</v>
      </c>
      <c r="E2890" s="130" t="s">
        <v>1395</v>
      </c>
      <c r="F2890" s="1031">
        <v>0</v>
      </c>
      <c r="G2890" s="1031">
        <v>78271.8</v>
      </c>
      <c r="H2890" s="1031">
        <v>78271.8</v>
      </c>
      <c r="I2890" s="1032" t="s">
        <v>1396</v>
      </c>
    </row>
    <row r="2891" spans="1:9" x14ac:dyDescent="0.25">
      <c r="A2891" s="1033">
        <v>502518</v>
      </c>
      <c r="B2891" s="129">
        <v>6615</v>
      </c>
      <c r="E2891" s="130"/>
    </row>
    <row r="2892" spans="1:9" x14ac:dyDescent="0.25">
      <c r="A2892" s="1033">
        <v>502522</v>
      </c>
      <c r="B2892" s="129">
        <v>1</v>
      </c>
      <c r="C2892" s="130" t="s">
        <v>1392</v>
      </c>
      <c r="D2892" s="130">
        <v>16</v>
      </c>
      <c r="E2892" s="130" t="s">
        <v>1392</v>
      </c>
      <c r="F2892" s="1031">
        <v>0</v>
      </c>
      <c r="G2892" s="1031">
        <v>-0.01</v>
      </c>
      <c r="H2892" s="1031">
        <v>-0.01</v>
      </c>
      <c r="I2892" s="1032" t="s">
        <v>1393</v>
      </c>
    </row>
    <row r="2893" spans="1:9" x14ac:dyDescent="0.25">
      <c r="A2893" s="1033">
        <v>502524</v>
      </c>
      <c r="B2893" s="129">
        <v>84887</v>
      </c>
      <c r="C2893" s="130" t="s">
        <v>268</v>
      </c>
      <c r="D2893" s="130">
        <v>16</v>
      </c>
      <c r="E2893" s="130" t="s">
        <v>268</v>
      </c>
      <c r="F2893" s="1031">
        <v>0</v>
      </c>
      <c r="G2893" s="1031">
        <v>-84886.5</v>
      </c>
      <c r="H2893" s="1031">
        <v>-84886.5</v>
      </c>
      <c r="I2893" s="1032" t="s">
        <v>1394</v>
      </c>
    </row>
    <row r="2894" spans="1:9" x14ac:dyDescent="0.25">
      <c r="A2894" s="1033">
        <v>502526</v>
      </c>
      <c r="B2894" s="129">
        <v>6615</v>
      </c>
      <c r="C2894" s="130" t="s">
        <v>268</v>
      </c>
      <c r="D2894" s="130">
        <v>16</v>
      </c>
      <c r="E2894" s="130" t="s">
        <v>268</v>
      </c>
      <c r="F2894" s="1031">
        <v>0</v>
      </c>
      <c r="G2894" s="1031">
        <v>-84886.5</v>
      </c>
      <c r="H2894" s="1031">
        <v>-84886.5</v>
      </c>
      <c r="I2894" s="1032" t="s">
        <v>1394</v>
      </c>
    </row>
    <row r="2895" spans="1:9" x14ac:dyDescent="0.25">
      <c r="A2895" s="1033"/>
      <c r="C2895" s="130" t="s">
        <v>1395</v>
      </c>
      <c r="D2895" s="130">
        <v>16</v>
      </c>
      <c r="E2895" s="130" t="s">
        <v>1395</v>
      </c>
      <c r="F2895" s="1031">
        <v>0</v>
      </c>
      <c r="G2895" s="1031">
        <v>78271.8</v>
      </c>
      <c r="H2895" s="1031">
        <v>78271.8</v>
      </c>
      <c r="I2895" s="1032" t="s">
        <v>1396</v>
      </c>
    </row>
    <row r="2896" spans="1:9" x14ac:dyDescent="0.25">
      <c r="A2896" s="1033">
        <v>502528</v>
      </c>
      <c r="B2896" s="129">
        <v>6615</v>
      </c>
      <c r="E2896" s="130"/>
    </row>
    <row r="2897" spans="1:5" x14ac:dyDescent="0.25">
      <c r="A2897" s="1033">
        <v>502612</v>
      </c>
      <c r="B2897" s="129">
        <v>0</v>
      </c>
      <c r="E2897" s="130"/>
    </row>
    <row r="2898" spans="1:5" x14ac:dyDescent="0.25">
      <c r="A2898" s="1033">
        <v>502614</v>
      </c>
      <c r="B2898" s="129">
        <v>0</v>
      </c>
      <c r="E2898" s="130"/>
    </row>
    <row r="2899" spans="1:5" x14ac:dyDescent="0.25">
      <c r="A2899" s="1033">
        <v>502616</v>
      </c>
      <c r="B2899" s="129">
        <v>0</v>
      </c>
      <c r="E2899" s="130"/>
    </row>
    <row r="2900" spans="1:5" x14ac:dyDescent="0.25">
      <c r="A2900" s="1033">
        <v>502618</v>
      </c>
      <c r="B2900" s="129">
        <v>0</v>
      </c>
      <c r="E2900" s="130"/>
    </row>
    <row r="2901" spans="1:5" x14ac:dyDescent="0.25">
      <c r="A2901" s="1033">
        <v>502622</v>
      </c>
      <c r="B2901" s="129">
        <v>0</v>
      </c>
      <c r="E2901" s="130"/>
    </row>
    <row r="2902" spans="1:5" x14ac:dyDescent="0.25">
      <c r="A2902" s="1033">
        <v>502624</v>
      </c>
      <c r="B2902" s="129">
        <v>0</v>
      </c>
      <c r="E2902" s="130"/>
    </row>
    <row r="2903" spans="1:5" x14ac:dyDescent="0.25">
      <c r="A2903" s="1033">
        <v>502626</v>
      </c>
      <c r="B2903" s="129">
        <v>0</v>
      </c>
      <c r="E2903" s="130"/>
    </row>
    <row r="2904" spans="1:5" x14ac:dyDescent="0.25">
      <c r="A2904" s="1033">
        <v>502628</v>
      </c>
      <c r="B2904" s="129">
        <v>0</v>
      </c>
      <c r="E2904" s="130"/>
    </row>
    <row r="2905" spans="1:5" x14ac:dyDescent="0.25">
      <c r="A2905" s="1033">
        <v>502712</v>
      </c>
      <c r="B2905" s="129">
        <v>0</v>
      </c>
      <c r="E2905" s="130"/>
    </row>
    <row r="2906" spans="1:5" x14ac:dyDescent="0.25">
      <c r="A2906" s="1033">
        <v>502714</v>
      </c>
      <c r="B2906" s="129">
        <v>0</v>
      </c>
      <c r="E2906" s="130"/>
    </row>
    <row r="2907" spans="1:5" x14ac:dyDescent="0.25">
      <c r="A2907" s="1033">
        <v>502716</v>
      </c>
      <c r="B2907" s="129">
        <v>0</v>
      </c>
      <c r="E2907" s="130"/>
    </row>
    <row r="2908" spans="1:5" x14ac:dyDescent="0.25">
      <c r="A2908" s="1033">
        <v>502718</v>
      </c>
      <c r="B2908" s="129">
        <v>0</v>
      </c>
      <c r="E2908" s="130"/>
    </row>
    <row r="2909" spans="1:5" x14ac:dyDescent="0.25">
      <c r="A2909" s="1033">
        <v>502722</v>
      </c>
      <c r="B2909" s="129">
        <v>0</v>
      </c>
      <c r="E2909" s="130"/>
    </row>
    <row r="2910" spans="1:5" x14ac:dyDescent="0.25">
      <c r="A2910" s="1033">
        <v>502724</v>
      </c>
      <c r="B2910" s="129">
        <v>0</v>
      </c>
      <c r="E2910" s="130"/>
    </row>
    <row r="2911" spans="1:5" x14ac:dyDescent="0.25">
      <c r="A2911" s="1033">
        <v>502726</v>
      </c>
      <c r="B2911" s="129">
        <v>0</v>
      </c>
      <c r="E2911" s="130"/>
    </row>
    <row r="2912" spans="1:5" x14ac:dyDescent="0.25">
      <c r="A2912" s="1033">
        <v>502728</v>
      </c>
      <c r="B2912" s="129">
        <v>0</v>
      </c>
      <c r="E2912" s="130"/>
    </row>
    <row r="2913" spans="1:5" x14ac:dyDescent="0.25">
      <c r="A2913" s="1033">
        <v>502812</v>
      </c>
      <c r="B2913" s="129">
        <v>0</v>
      </c>
      <c r="E2913" s="130"/>
    </row>
    <row r="2914" spans="1:5" x14ac:dyDescent="0.25">
      <c r="A2914" s="1033">
        <v>502814</v>
      </c>
      <c r="B2914" s="129">
        <v>0</v>
      </c>
      <c r="E2914" s="130"/>
    </row>
    <row r="2915" spans="1:5" x14ac:dyDescent="0.25">
      <c r="A2915" s="1033">
        <v>502816</v>
      </c>
      <c r="B2915" s="129">
        <v>0</v>
      </c>
      <c r="E2915" s="130"/>
    </row>
    <row r="2916" spans="1:5" x14ac:dyDescent="0.25">
      <c r="A2916" s="1033">
        <v>502818</v>
      </c>
      <c r="B2916" s="129">
        <v>0</v>
      </c>
      <c r="E2916" s="130"/>
    </row>
    <row r="2917" spans="1:5" x14ac:dyDescent="0.25">
      <c r="A2917" s="1033">
        <v>502822</v>
      </c>
      <c r="B2917" s="129">
        <v>0</v>
      </c>
      <c r="E2917" s="130"/>
    </row>
    <row r="2918" spans="1:5" x14ac:dyDescent="0.25">
      <c r="A2918" s="1033">
        <v>502824</v>
      </c>
      <c r="B2918" s="129">
        <v>0</v>
      </c>
      <c r="E2918" s="130"/>
    </row>
    <row r="2919" spans="1:5" x14ac:dyDescent="0.25">
      <c r="A2919" s="1033">
        <v>502826</v>
      </c>
      <c r="B2919" s="129">
        <v>0</v>
      </c>
      <c r="E2919" s="130"/>
    </row>
    <row r="2920" spans="1:5" x14ac:dyDescent="0.25">
      <c r="A2920" s="1033">
        <v>502828</v>
      </c>
      <c r="B2920" s="129">
        <v>0</v>
      </c>
      <c r="E2920" s="130"/>
    </row>
    <row r="2921" spans="1:5" x14ac:dyDescent="0.25">
      <c r="A2921" s="1033">
        <v>502912</v>
      </c>
      <c r="B2921" s="129">
        <v>0</v>
      </c>
      <c r="E2921" s="130"/>
    </row>
    <row r="2922" spans="1:5" x14ac:dyDescent="0.25">
      <c r="A2922" s="1033">
        <v>502914</v>
      </c>
      <c r="B2922" s="129">
        <v>0</v>
      </c>
      <c r="E2922" s="130"/>
    </row>
    <row r="2923" spans="1:5" x14ac:dyDescent="0.25">
      <c r="A2923" s="1033">
        <v>502916</v>
      </c>
      <c r="B2923" s="129">
        <v>0</v>
      </c>
      <c r="E2923" s="130"/>
    </row>
    <row r="2924" spans="1:5" x14ac:dyDescent="0.25">
      <c r="A2924" s="1033">
        <v>502918</v>
      </c>
      <c r="B2924" s="129">
        <v>0</v>
      </c>
      <c r="E2924" s="130"/>
    </row>
    <row r="2925" spans="1:5" x14ac:dyDescent="0.25">
      <c r="A2925" s="1033">
        <v>502922</v>
      </c>
      <c r="B2925" s="129">
        <v>0</v>
      </c>
      <c r="E2925" s="130"/>
    </row>
    <row r="2926" spans="1:5" x14ac:dyDescent="0.25">
      <c r="A2926" s="1033">
        <v>502924</v>
      </c>
      <c r="B2926" s="129">
        <v>0</v>
      </c>
      <c r="E2926" s="130"/>
    </row>
    <row r="2927" spans="1:5" x14ac:dyDescent="0.25">
      <c r="A2927" s="1033">
        <v>502926</v>
      </c>
      <c r="B2927" s="129">
        <v>0</v>
      </c>
      <c r="E2927" s="130"/>
    </row>
    <row r="2928" spans="1:5" x14ac:dyDescent="0.25">
      <c r="A2928" s="1033">
        <v>502928</v>
      </c>
      <c r="B2928" s="129">
        <v>0</v>
      </c>
      <c r="E2928" s="130"/>
    </row>
    <row r="2929" spans="1:5" x14ac:dyDescent="0.25">
      <c r="A2929" s="1033">
        <v>503012</v>
      </c>
      <c r="B2929" s="129">
        <v>0</v>
      </c>
      <c r="E2929" s="130"/>
    </row>
    <row r="2930" spans="1:5" x14ac:dyDescent="0.25">
      <c r="A2930" s="1033">
        <v>503014</v>
      </c>
      <c r="B2930" s="129">
        <v>0</v>
      </c>
      <c r="E2930" s="130"/>
    </row>
    <row r="2931" spans="1:5" x14ac:dyDescent="0.25">
      <c r="A2931" s="1033">
        <v>503016</v>
      </c>
      <c r="B2931" s="129">
        <v>0</v>
      </c>
      <c r="E2931" s="130"/>
    </row>
    <row r="2932" spans="1:5" x14ac:dyDescent="0.25">
      <c r="A2932" s="1033">
        <v>503018</v>
      </c>
      <c r="B2932" s="129">
        <v>0</v>
      </c>
      <c r="E2932" s="130"/>
    </row>
    <row r="2933" spans="1:5" x14ac:dyDescent="0.25">
      <c r="A2933" s="1033">
        <v>503022</v>
      </c>
      <c r="B2933" s="129">
        <v>0</v>
      </c>
      <c r="E2933" s="130"/>
    </row>
    <row r="2934" spans="1:5" x14ac:dyDescent="0.25">
      <c r="A2934" s="1033">
        <v>503024</v>
      </c>
      <c r="B2934" s="129">
        <v>0</v>
      </c>
      <c r="E2934" s="130"/>
    </row>
    <row r="2935" spans="1:5" x14ac:dyDescent="0.25">
      <c r="A2935" s="1033">
        <v>503026</v>
      </c>
      <c r="B2935" s="129">
        <v>0</v>
      </c>
      <c r="E2935" s="130"/>
    </row>
    <row r="2936" spans="1:5" x14ac:dyDescent="0.25">
      <c r="A2936" s="1033">
        <v>503028</v>
      </c>
      <c r="B2936" s="129">
        <v>0</v>
      </c>
      <c r="E2936" s="130"/>
    </row>
    <row r="2937" spans="1:5" x14ac:dyDescent="0.25">
      <c r="A2937" s="1033">
        <v>503112</v>
      </c>
      <c r="B2937" s="129">
        <v>0</v>
      </c>
      <c r="E2937" s="130"/>
    </row>
    <row r="2938" spans="1:5" x14ac:dyDescent="0.25">
      <c r="A2938" s="1033">
        <v>503114</v>
      </c>
      <c r="B2938" s="129">
        <v>0</v>
      </c>
      <c r="E2938" s="130"/>
    </row>
    <row r="2939" spans="1:5" x14ac:dyDescent="0.25">
      <c r="A2939" s="1033">
        <v>503116</v>
      </c>
      <c r="B2939" s="129">
        <v>0</v>
      </c>
      <c r="E2939" s="130"/>
    </row>
    <row r="2940" spans="1:5" x14ac:dyDescent="0.25">
      <c r="A2940" s="1033">
        <v>503118</v>
      </c>
      <c r="B2940" s="129">
        <v>0</v>
      </c>
      <c r="E2940" s="130"/>
    </row>
    <row r="2941" spans="1:5" x14ac:dyDescent="0.25">
      <c r="A2941" s="1033">
        <v>503122</v>
      </c>
      <c r="B2941" s="129">
        <v>0</v>
      </c>
      <c r="E2941" s="130"/>
    </row>
    <row r="2942" spans="1:5" x14ac:dyDescent="0.25">
      <c r="A2942" s="1033">
        <v>503124</v>
      </c>
      <c r="B2942" s="129">
        <v>0</v>
      </c>
      <c r="E2942" s="130"/>
    </row>
    <row r="2943" spans="1:5" x14ac:dyDescent="0.25">
      <c r="A2943" s="1033">
        <v>503126</v>
      </c>
      <c r="B2943" s="129">
        <v>0</v>
      </c>
      <c r="E2943" s="130"/>
    </row>
    <row r="2944" spans="1:5" x14ac:dyDescent="0.25">
      <c r="A2944" s="1033">
        <v>503128</v>
      </c>
      <c r="B2944" s="129">
        <v>0</v>
      </c>
      <c r="E2944" s="130"/>
    </row>
    <row r="2945" spans="1:5" x14ac:dyDescent="0.25">
      <c r="A2945" s="1033">
        <v>503212</v>
      </c>
      <c r="B2945" s="129">
        <v>0</v>
      </c>
      <c r="E2945" s="130"/>
    </row>
    <row r="2946" spans="1:5" x14ac:dyDescent="0.25">
      <c r="A2946" s="1033">
        <v>503214</v>
      </c>
      <c r="B2946" s="129">
        <v>0</v>
      </c>
      <c r="E2946" s="130"/>
    </row>
    <row r="2947" spans="1:5" x14ac:dyDescent="0.25">
      <c r="A2947" s="1033">
        <v>503216</v>
      </c>
      <c r="B2947" s="129">
        <v>0</v>
      </c>
      <c r="E2947" s="130"/>
    </row>
    <row r="2948" spans="1:5" x14ac:dyDescent="0.25">
      <c r="A2948" s="1033">
        <v>503218</v>
      </c>
      <c r="B2948" s="129">
        <v>0</v>
      </c>
      <c r="E2948" s="130"/>
    </row>
    <row r="2949" spans="1:5" x14ac:dyDescent="0.25">
      <c r="A2949" s="1033">
        <v>503222</v>
      </c>
      <c r="B2949" s="129">
        <v>0</v>
      </c>
      <c r="E2949" s="130"/>
    </row>
    <row r="2950" spans="1:5" x14ac:dyDescent="0.25">
      <c r="A2950" s="1033">
        <v>503224</v>
      </c>
      <c r="B2950" s="129">
        <v>0</v>
      </c>
      <c r="E2950" s="130"/>
    </row>
    <row r="2951" spans="1:5" x14ac:dyDescent="0.25">
      <c r="A2951" s="1033">
        <v>503226</v>
      </c>
      <c r="B2951" s="129">
        <v>0</v>
      </c>
      <c r="E2951" s="130"/>
    </row>
    <row r="2952" spans="1:5" x14ac:dyDescent="0.25">
      <c r="A2952" s="1033">
        <v>503228</v>
      </c>
      <c r="B2952" s="129">
        <v>0</v>
      </c>
      <c r="E2952" s="130"/>
    </row>
    <row r="2953" spans="1:5" x14ac:dyDescent="0.25">
      <c r="A2953" s="1033">
        <v>503312</v>
      </c>
      <c r="B2953" s="129">
        <v>0</v>
      </c>
      <c r="E2953" s="130"/>
    </row>
    <row r="2954" spans="1:5" x14ac:dyDescent="0.25">
      <c r="A2954" s="1033">
        <v>503314</v>
      </c>
      <c r="B2954" s="129">
        <v>0</v>
      </c>
      <c r="E2954" s="130"/>
    </row>
    <row r="2955" spans="1:5" x14ac:dyDescent="0.25">
      <c r="A2955" s="1033">
        <v>503316</v>
      </c>
      <c r="B2955" s="129">
        <v>0</v>
      </c>
      <c r="E2955" s="130"/>
    </row>
    <row r="2956" spans="1:5" x14ac:dyDescent="0.25">
      <c r="A2956" s="1033">
        <v>503318</v>
      </c>
      <c r="B2956" s="129">
        <v>0</v>
      </c>
      <c r="E2956" s="130"/>
    </row>
    <row r="2957" spans="1:5" x14ac:dyDescent="0.25">
      <c r="A2957" s="1033">
        <v>503322</v>
      </c>
      <c r="B2957" s="129">
        <v>0</v>
      </c>
      <c r="E2957" s="130"/>
    </row>
    <row r="2958" spans="1:5" x14ac:dyDescent="0.25">
      <c r="A2958" s="1033">
        <v>503324</v>
      </c>
      <c r="B2958" s="129">
        <v>0</v>
      </c>
      <c r="E2958" s="130"/>
    </row>
    <row r="2959" spans="1:5" x14ac:dyDescent="0.25">
      <c r="A2959" s="1033">
        <v>503326</v>
      </c>
      <c r="B2959" s="129">
        <v>0</v>
      </c>
      <c r="E2959" s="130"/>
    </row>
    <row r="2960" spans="1:5" x14ac:dyDescent="0.25">
      <c r="A2960" s="1033">
        <v>503328</v>
      </c>
      <c r="B2960" s="129">
        <v>0</v>
      </c>
      <c r="E2960" s="130"/>
    </row>
    <row r="2961" spans="1:9" x14ac:dyDescent="0.25">
      <c r="A2961" s="1033">
        <v>503412</v>
      </c>
      <c r="B2961" s="129">
        <v>3</v>
      </c>
      <c r="E2961" s="130"/>
    </row>
    <row r="2962" spans="1:9" x14ac:dyDescent="0.25">
      <c r="A2962" s="1033">
        <v>503414</v>
      </c>
      <c r="B2962" s="129">
        <v>221560</v>
      </c>
      <c r="E2962" s="130"/>
    </row>
    <row r="2963" spans="1:9" x14ac:dyDescent="0.25">
      <c r="A2963" s="1033">
        <v>503416</v>
      </c>
      <c r="B2963" s="129">
        <v>9774</v>
      </c>
      <c r="C2963" s="130" t="s">
        <v>267</v>
      </c>
      <c r="D2963" s="130">
        <v>16</v>
      </c>
      <c r="E2963" s="130" t="s">
        <v>267</v>
      </c>
      <c r="F2963" s="1031">
        <v>0</v>
      </c>
      <c r="G2963" s="1031">
        <v>-63350.5</v>
      </c>
      <c r="H2963" s="1031">
        <v>-63350.5</v>
      </c>
      <c r="I2963" s="1032" t="s">
        <v>1384</v>
      </c>
    </row>
    <row r="2964" spans="1:9" x14ac:dyDescent="0.25">
      <c r="A2964" s="1033"/>
      <c r="C2964" s="130" t="s">
        <v>1385</v>
      </c>
      <c r="D2964" s="130">
        <v>16</v>
      </c>
      <c r="E2964" s="130" t="s">
        <v>1385</v>
      </c>
      <c r="F2964" s="1031">
        <v>0</v>
      </c>
      <c r="G2964" s="1031">
        <v>62100.5</v>
      </c>
      <c r="H2964" s="1031">
        <v>62100.5</v>
      </c>
      <c r="I2964" s="1032" t="s">
        <v>1386</v>
      </c>
    </row>
    <row r="2965" spans="1:9" x14ac:dyDescent="0.25">
      <c r="A2965" s="1033"/>
      <c r="C2965" s="130" t="s">
        <v>283</v>
      </c>
      <c r="D2965" s="130">
        <v>16</v>
      </c>
      <c r="E2965" s="130" t="s">
        <v>283</v>
      </c>
      <c r="F2965" s="1031">
        <v>0</v>
      </c>
      <c r="G2965" s="1031">
        <v>-73322</v>
      </c>
      <c r="H2965" s="1031">
        <v>-73322</v>
      </c>
      <c r="I2965" s="1032" t="s">
        <v>1389</v>
      </c>
    </row>
    <row r="2966" spans="1:9" x14ac:dyDescent="0.25">
      <c r="A2966" s="1033"/>
      <c r="C2966" s="130" t="s">
        <v>1390</v>
      </c>
      <c r="D2966" s="130">
        <v>16</v>
      </c>
      <c r="E2966" s="130" t="s">
        <v>1390</v>
      </c>
      <c r="F2966" s="1031">
        <v>0</v>
      </c>
      <c r="G2966" s="1031">
        <v>71413.2</v>
      </c>
      <c r="H2966" s="1031">
        <v>71413.2</v>
      </c>
      <c r="I2966" s="1032" t="s">
        <v>1391</v>
      </c>
    </row>
    <row r="2967" spans="1:9" x14ac:dyDescent="0.25">
      <c r="A2967" s="1033"/>
      <c r="C2967" s="130" t="s">
        <v>268</v>
      </c>
      <c r="D2967" s="130">
        <v>16</v>
      </c>
      <c r="E2967" s="130" t="s">
        <v>268</v>
      </c>
      <c r="F2967" s="1031">
        <v>0</v>
      </c>
      <c r="G2967" s="1031">
        <v>-84886.5</v>
      </c>
      <c r="H2967" s="1031">
        <v>-84886.5</v>
      </c>
      <c r="I2967" s="1032" t="s">
        <v>1394</v>
      </c>
    </row>
    <row r="2968" spans="1:9" x14ac:dyDescent="0.25">
      <c r="A2968" s="1033"/>
      <c r="C2968" s="130" t="s">
        <v>1395</v>
      </c>
      <c r="D2968" s="130">
        <v>16</v>
      </c>
      <c r="E2968" s="130" t="s">
        <v>1395</v>
      </c>
      <c r="F2968" s="1031">
        <v>0</v>
      </c>
      <c r="G2968" s="1031">
        <v>78271.8</v>
      </c>
      <c r="H2968" s="1031">
        <v>78271.8</v>
      </c>
      <c r="I2968" s="1032" t="s">
        <v>1396</v>
      </c>
    </row>
    <row r="2969" spans="1:9" x14ac:dyDescent="0.25">
      <c r="A2969" s="1033">
        <v>503418</v>
      </c>
      <c r="B2969" s="129">
        <v>3258</v>
      </c>
      <c r="E2969" s="130"/>
    </row>
    <row r="2970" spans="1:9" x14ac:dyDescent="0.25">
      <c r="A2970" s="1033">
        <v>503422</v>
      </c>
      <c r="B2970" s="129">
        <v>3</v>
      </c>
      <c r="E2970" s="130"/>
    </row>
    <row r="2971" spans="1:9" x14ac:dyDescent="0.25">
      <c r="A2971" s="1033">
        <v>503424</v>
      </c>
      <c r="B2971" s="129">
        <v>221560</v>
      </c>
      <c r="E2971" s="130"/>
    </row>
    <row r="2972" spans="1:9" x14ac:dyDescent="0.25">
      <c r="A2972" s="1033">
        <v>503426</v>
      </c>
      <c r="B2972" s="129">
        <v>9774</v>
      </c>
      <c r="C2972" s="130" t="s">
        <v>267</v>
      </c>
      <c r="D2972" s="130">
        <v>16</v>
      </c>
      <c r="E2972" s="130" t="s">
        <v>267</v>
      </c>
      <c r="F2972" s="1031">
        <v>0</v>
      </c>
      <c r="G2972" s="1031">
        <v>-63350.5</v>
      </c>
      <c r="H2972" s="1031">
        <v>-63350.5</v>
      </c>
      <c r="I2972" s="1032" t="s">
        <v>1384</v>
      </c>
    </row>
    <row r="2973" spans="1:9" x14ac:dyDescent="0.25">
      <c r="A2973" s="1033"/>
      <c r="C2973" s="130" t="s">
        <v>1385</v>
      </c>
      <c r="D2973" s="130">
        <v>16</v>
      </c>
      <c r="E2973" s="130" t="s">
        <v>1385</v>
      </c>
      <c r="F2973" s="1031">
        <v>0</v>
      </c>
      <c r="G2973" s="1031">
        <v>62100.5</v>
      </c>
      <c r="H2973" s="1031">
        <v>62100.5</v>
      </c>
      <c r="I2973" s="1032" t="s">
        <v>1386</v>
      </c>
    </row>
    <row r="2974" spans="1:9" x14ac:dyDescent="0.25">
      <c r="A2974" s="1033"/>
      <c r="C2974" s="130" t="s">
        <v>283</v>
      </c>
      <c r="D2974" s="130">
        <v>16</v>
      </c>
      <c r="E2974" s="130" t="s">
        <v>283</v>
      </c>
      <c r="F2974" s="1031">
        <v>0</v>
      </c>
      <c r="G2974" s="1031">
        <v>-73322</v>
      </c>
      <c r="H2974" s="1031">
        <v>-73322</v>
      </c>
      <c r="I2974" s="1032" t="s">
        <v>1389</v>
      </c>
    </row>
    <row r="2975" spans="1:9" x14ac:dyDescent="0.25">
      <c r="A2975" s="1033"/>
      <c r="C2975" s="130" t="s">
        <v>1390</v>
      </c>
      <c r="D2975" s="130">
        <v>16</v>
      </c>
      <c r="E2975" s="130" t="s">
        <v>1390</v>
      </c>
      <c r="F2975" s="1031">
        <v>0</v>
      </c>
      <c r="G2975" s="1031">
        <v>71413.2</v>
      </c>
      <c r="H2975" s="1031">
        <v>71413.2</v>
      </c>
      <c r="I2975" s="1032" t="s">
        <v>1391</v>
      </c>
    </row>
    <row r="2976" spans="1:9" x14ac:dyDescent="0.25">
      <c r="A2976" s="1033"/>
      <c r="C2976" s="130" t="s">
        <v>268</v>
      </c>
      <c r="D2976" s="130">
        <v>16</v>
      </c>
      <c r="E2976" s="130" t="s">
        <v>268</v>
      </c>
      <c r="F2976" s="1031">
        <v>0</v>
      </c>
      <c r="G2976" s="1031">
        <v>-84886.5</v>
      </c>
      <c r="H2976" s="1031">
        <v>-84886.5</v>
      </c>
      <c r="I2976" s="1032" t="s">
        <v>1394</v>
      </c>
    </row>
    <row r="2977" spans="1:9" x14ac:dyDescent="0.25">
      <c r="A2977" s="1033"/>
      <c r="C2977" s="130" t="s">
        <v>1395</v>
      </c>
      <c r="D2977" s="130">
        <v>16</v>
      </c>
      <c r="E2977" s="130" t="s">
        <v>1395</v>
      </c>
      <c r="F2977" s="1031">
        <v>0</v>
      </c>
      <c r="G2977" s="1031">
        <v>78271.8</v>
      </c>
      <c r="H2977" s="1031">
        <v>78271.8</v>
      </c>
      <c r="I2977" s="1032" t="s">
        <v>1396</v>
      </c>
    </row>
    <row r="2978" spans="1:9" x14ac:dyDescent="0.25">
      <c r="A2978" s="1033">
        <v>503428</v>
      </c>
      <c r="B2978" s="129">
        <v>3258</v>
      </c>
      <c r="E2978" s="130"/>
    </row>
    <row r="2979" spans="1:9" x14ac:dyDescent="0.25">
      <c r="A2979" s="1033">
        <v>503512</v>
      </c>
      <c r="B2979" s="129">
        <v>0</v>
      </c>
      <c r="E2979" s="130"/>
    </row>
    <row r="2980" spans="1:9" x14ac:dyDescent="0.25">
      <c r="A2980" s="1033">
        <v>503514</v>
      </c>
      <c r="B2980" s="129">
        <v>0</v>
      </c>
      <c r="E2980" s="130"/>
    </row>
    <row r="2981" spans="1:9" x14ac:dyDescent="0.25">
      <c r="A2981" s="1033">
        <v>503516</v>
      </c>
      <c r="B2981" s="129">
        <v>0</v>
      </c>
      <c r="E2981" s="130"/>
    </row>
    <row r="2982" spans="1:9" x14ac:dyDescent="0.25">
      <c r="A2982" s="1033">
        <v>503518</v>
      </c>
      <c r="B2982" s="129">
        <v>0</v>
      </c>
      <c r="E2982" s="130"/>
    </row>
    <row r="2983" spans="1:9" x14ac:dyDescent="0.25">
      <c r="A2983" s="1033">
        <v>503522</v>
      </c>
      <c r="B2983" s="129">
        <v>0</v>
      </c>
      <c r="E2983" s="130"/>
    </row>
    <row r="2984" spans="1:9" x14ac:dyDescent="0.25">
      <c r="A2984" s="1033">
        <v>503524</v>
      </c>
      <c r="B2984" s="129">
        <v>0</v>
      </c>
      <c r="E2984" s="130"/>
    </row>
    <row r="2985" spans="1:9" x14ac:dyDescent="0.25">
      <c r="A2985" s="1033">
        <v>503526</v>
      </c>
      <c r="B2985" s="129">
        <v>0</v>
      </c>
      <c r="E2985" s="130"/>
    </row>
    <row r="2986" spans="1:9" x14ac:dyDescent="0.25">
      <c r="A2986" s="1033">
        <v>503528</v>
      </c>
      <c r="B2986" s="129">
        <v>0</v>
      </c>
      <c r="E2986" s="130"/>
    </row>
    <row r="2987" spans="1:9" x14ac:dyDescent="0.25">
      <c r="A2987" s="1033">
        <v>503612</v>
      </c>
      <c r="B2987" s="129">
        <v>1</v>
      </c>
      <c r="C2987" s="130" t="s">
        <v>1397</v>
      </c>
      <c r="D2987" s="130">
        <v>16</v>
      </c>
      <c r="E2987" s="130" t="s">
        <v>1397</v>
      </c>
      <c r="F2987" s="1031">
        <v>0</v>
      </c>
      <c r="G2987" s="1031">
        <v>-0.01</v>
      </c>
      <c r="H2987" s="1031">
        <v>-0.01</v>
      </c>
      <c r="I2987" s="1032" t="s">
        <v>1398</v>
      </c>
    </row>
    <row r="2988" spans="1:9" x14ac:dyDescent="0.25">
      <c r="A2988" s="1033">
        <v>503614</v>
      </c>
      <c r="B2988" s="129">
        <v>100924</v>
      </c>
      <c r="C2988" s="130">
        <v>432</v>
      </c>
      <c r="D2988" s="130">
        <v>16</v>
      </c>
      <c r="E2988" s="130">
        <v>432</v>
      </c>
      <c r="F2988" s="1031">
        <v>0</v>
      </c>
      <c r="G2988" s="1031">
        <v>-100923.5</v>
      </c>
      <c r="H2988" s="1031">
        <v>-100923.5</v>
      </c>
      <c r="I2988" s="1032" t="s">
        <v>1399</v>
      </c>
    </row>
    <row r="2989" spans="1:9" x14ac:dyDescent="0.25">
      <c r="A2989" s="1033">
        <v>503616</v>
      </c>
      <c r="B2989" s="129">
        <v>4884</v>
      </c>
      <c r="C2989" s="130">
        <v>432</v>
      </c>
      <c r="D2989" s="130">
        <v>16</v>
      </c>
      <c r="E2989" s="130">
        <v>432</v>
      </c>
      <c r="F2989" s="1031">
        <v>0</v>
      </c>
      <c r="G2989" s="1031">
        <v>-100923.5</v>
      </c>
      <c r="H2989" s="1031">
        <v>-100923.5</v>
      </c>
      <c r="I2989" s="1032" t="s">
        <v>1399</v>
      </c>
    </row>
    <row r="2990" spans="1:9" x14ac:dyDescent="0.25">
      <c r="A2990" s="1033"/>
      <c r="C2990" s="130">
        <v>632</v>
      </c>
      <c r="D2990" s="130">
        <v>16</v>
      </c>
      <c r="E2990" s="130">
        <v>632</v>
      </c>
      <c r="F2990" s="1031">
        <v>0</v>
      </c>
      <c r="G2990" s="1031">
        <v>96040.18</v>
      </c>
      <c r="H2990" s="1031">
        <v>96040.18</v>
      </c>
      <c r="I2990" s="1032" t="s">
        <v>1400</v>
      </c>
    </row>
    <row r="2991" spans="1:9" x14ac:dyDescent="0.25">
      <c r="A2991" s="1033">
        <v>503618</v>
      </c>
      <c r="B2991" s="129">
        <v>4884</v>
      </c>
      <c r="E2991" s="130"/>
    </row>
    <row r="2992" spans="1:9" x14ac:dyDescent="0.25">
      <c r="A2992" s="1033">
        <v>503622</v>
      </c>
      <c r="B2992" s="129">
        <v>1</v>
      </c>
      <c r="C2992" s="130" t="s">
        <v>1397</v>
      </c>
      <c r="D2992" s="130">
        <v>16</v>
      </c>
      <c r="E2992" s="130" t="s">
        <v>1397</v>
      </c>
      <c r="F2992" s="1031">
        <v>0</v>
      </c>
      <c r="G2992" s="1031">
        <v>-0.01</v>
      </c>
      <c r="H2992" s="1031">
        <v>-0.01</v>
      </c>
      <c r="I2992" s="1032" t="s">
        <v>1398</v>
      </c>
    </row>
    <row r="2993" spans="1:9" x14ac:dyDescent="0.25">
      <c r="A2993" s="1033">
        <v>503624</v>
      </c>
      <c r="B2993" s="129">
        <v>100924</v>
      </c>
      <c r="C2993" s="130">
        <v>432</v>
      </c>
      <c r="D2993" s="130">
        <v>16</v>
      </c>
      <c r="E2993" s="130">
        <v>432</v>
      </c>
      <c r="F2993" s="1031">
        <v>0</v>
      </c>
      <c r="G2993" s="1031">
        <v>-100923.5</v>
      </c>
      <c r="H2993" s="1031">
        <v>-100923.5</v>
      </c>
      <c r="I2993" s="1032" t="s">
        <v>1399</v>
      </c>
    </row>
    <row r="2994" spans="1:9" x14ac:dyDescent="0.25">
      <c r="A2994" s="1033">
        <v>503626</v>
      </c>
      <c r="B2994" s="129">
        <v>4884</v>
      </c>
      <c r="C2994" s="130">
        <v>432</v>
      </c>
      <c r="D2994" s="130">
        <v>16</v>
      </c>
      <c r="E2994" s="130">
        <v>432</v>
      </c>
      <c r="F2994" s="1031">
        <v>0</v>
      </c>
      <c r="G2994" s="1031">
        <v>-100923.5</v>
      </c>
      <c r="H2994" s="1031">
        <v>-100923.5</v>
      </c>
      <c r="I2994" s="1032" t="s">
        <v>1399</v>
      </c>
    </row>
    <row r="2995" spans="1:9" x14ac:dyDescent="0.25">
      <c r="A2995" s="1033"/>
      <c r="C2995" s="130">
        <v>632</v>
      </c>
      <c r="D2995" s="130">
        <v>16</v>
      </c>
      <c r="E2995" s="130">
        <v>632</v>
      </c>
      <c r="F2995" s="1031">
        <v>0</v>
      </c>
      <c r="G2995" s="1031">
        <v>96040.18</v>
      </c>
      <c r="H2995" s="1031">
        <v>96040.18</v>
      </c>
      <c r="I2995" s="1032" t="s">
        <v>1400</v>
      </c>
    </row>
    <row r="2996" spans="1:9" x14ac:dyDescent="0.25">
      <c r="A2996" s="1033">
        <v>503628</v>
      </c>
      <c r="B2996" s="129">
        <v>4884</v>
      </c>
      <c r="E2996" s="130"/>
    </row>
    <row r="2997" spans="1:9" x14ac:dyDescent="0.25">
      <c r="A2997" s="1033">
        <v>503712</v>
      </c>
      <c r="B2997" s="129">
        <v>0</v>
      </c>
      <c r="E2997" s="130"/>
    </row>
    <row r="2998" spans="1:9" x14ac:dyDescent="0.25">
      <c r="A2998" s="1033">
        <v>503714</v>
      </c>
      <c r="B2998" s="129">
        <v>0</v>
      </c>
      <c r="E2998" s="130"/>
    </row>
    <row r="2999" spans="1:9" x14ac:dyDescent="0.25">
      <c r="A2999" s="1033">
        <v>503716</v>
      </c>
      <c r="B2999" s="129">
        <v>0</v>
      </c>
      <c r="E2999" s="130"/>
    </row>
    <row r="3000" spans="1:9" x14ac:dyDescent="0.25">
      <c r="A3000" s="1033">
        <v>503718</v>
      </c>
      <c r="B3000" s="129">
        <v>0</v>
      </c>
      <c r="E3000" s="130"/>
    </row>
    <row r="3001" spans="1:9" x14ac:dyDescent="0.25">
      <c r="A3001" s="1033">
        <v>503722</v>
      </c>
      <c r="B3001" s="129">
        <v>0</v>
      </c>
      <c r="E3001" s="130"/>
    </row>
    <row r="3002" spans="1:9" x14ac:dyDescent="0.25">
      <c r="A3002" s="1033">
        <v>503724</v>
      </c>
      <c r="B3002" s="129">
        <v>0</v>
      </c>
      <c r="E3002" s="130"/>
    </row>
    <row r="3003" spans="1:9" x14ac:dyDescent="0.25">
      <c r="A3003" s="1033">
        <v>503726</v>
      </c>
      <c r="B3003" s="129">
        <v>0</v>
      </c>
      <c r="E3003" s="130"/>
    </row>
    <row r="3004" spans="1:9" x14ac:dyDescent="0.25">
      <c r="A3004" s="1033">
        <v>503728</v>
      </c>
      <c r="B3004" s="129">
        <v>0</v>
      </c>
      <c r="E3004" s="130"/>
    </row>
    <row r="3005" spans="1:9" x14ac:dyDescent="0.25">
      <c r="A3005" s="1033">
        <v>503812</v>
      </c>
      <c r="B3005" s="129">
        <v>0</v>
      </c>
      <c r="E3005" s="130"/>
    </row>
    <row r="3006" spans="1:9" x14ac:dyDescent="0.25">
      <c r="A3006" s="1033">
        <v>503814</v>
      </c>
      <c r="B3006" s="129">
        <v>0</v>
      </c>
      <c r="E3006" s="130"/>
    </row>
    <row r="3007" spans="1:9" x14ac:dyDescent="0.25">
      <c r="A3007" s="1033">
        <v>503816</v>
      </c>
      <c r="B3007" s="129">
        <v>0</v>
      </c>
      <c r="E3007" s="130"/>
    </row>
    <row r="3008" spans="1:9" x14ac:dyDescent="0.25">
      <c r="A3008" s="1033">
        <v>503818</v>
      </c>
      <c r="B3008" s="129">
        <v>0</v>
      </c>
      <c r="E3008" s="130"/>
    </row>
    <row r="3009" spans="1:5" x14ac:dyDescent="0.25">
      <c r="A3009" s="1033">
        <v>503822</v>
      </c>
      <c r="B3009" s="129">
        <v>0</v>
      </c>
      <c r="E3009" s="130"/>
    </row>
    <row r="3010" spans="1:5" x14ac:dyDescent="0.25">
      <c r="A3010" s="1033">
        <v>503824</v>
      </c>
      <c r="B3010" s="129">
        <v>0</v>
      </c>
      <c r="E3010" s="130"/>
    </row>
    <row r="3011" spans="1:5" x14ac:dyDescent="0.25">
      <c r="A3011" s="1033">
        <v>503826</v>
      </c>
      <c r="B3011" s="129">
        <v>0</v>
      </c>
      <c r="E3011" s="130"/>
    </row>
    <row r="3012" spans="1:5" x14ac:dyDescent="0.25">
      <c r="A3012" s="1033">
        <v>503828</v>
      </c>
      <c r="B3012" s="129">
        <v>0</v>
      </c>
      <c r="E3012" s="130"/>
    </row>
    <row r="3013" spans="1:5" x14ac:dyDescent="0.25">
      <c r="A3013" s="1033">
        <v>503912</v>
      </c>
      <c r="B3013" s="129">
        <v>0</v>
      </c>
      <c r="E3013" s="130"/>
    </row>
    <row r="3014" spans="1:5" x14ac:dyDescent="0.25">
      <c r="A3014" s="1033">
        <v>503914</v>
      </c>
      <c r="B3014" s="129">
        <v>0</v>
      </c>
      <c r="E3014" s="130"/>
    </row>
    <row r="3015" spans="1:5" x14ac:dyDescent="0.25">
      <c r="A3015" s="1033">
        <v>503916</v>
      </c>
      <c r="B3015" s="129">
        <v>0</v>
      </c>
      <c r="E3015" s="130"/>
    </row>
    <row r="3016" spans="1:5" x14ac:dyDescent="0.25">
      <c r="A3016" s="1033">
        <v>503918</v>
      </c>
      <c r="B3016" s="129">
        <v>0</v>
      </c>
      <c r="E3016" s="130"/>
    </row>
    <row r="3017" spans="1:5" x14ac:dyDescent="0.25">
      <c r="A3017" s="1033">
        <v>503922</v>
      </c>
      <c r="B3017" s="129">
        <v>0</v>
      </c>
      <c r="E3017" s="130"/>
    </row>
    <row r="3018" spans="1:5" x14ac:dyDescent="0.25">
      <c r="A3018" s="1033">
        <v>503924</v>
      </c>
      <c r="B3018" s="129">
        <v>0</v>
      </c>
      <c r="E3018" s="130"/>
    </row>
    <row r="3019" spans="1:5" x14ac:dyDescent="0.25">
      <c r="A3019" s="1033">
        <v>503926</v>
      </c>
      <c r="B3019" s="129">
        <v>0</v>
      </c>
      <c r="E3019" s="130"/>
    </row>
    <row r="3020" spans="1:5" x14ac:dyDescent="0.25">
      <c r="A3020" s="1033">
        <v>503928</v>
      </c>
      <c r="B3020" s="129">
        <v>0</v>
      </c>
      <c r="E3020" s="130"/>
    </row>
    <row r="3021" spans="1:5" x14ac:dyDescent="0.25">
      <c r="A3021" s="1033">
        <v>504012</v>
      </c>
      <c r="B3021" s="129">
        <v>0</v>
      </c>
      <c r="E3021" s="130"/>
    </row>
    <row r="3022" spans="1:5" x14ac:dyDescent="0.25">
      <c r="A3022" s="1033">
        <v>504014</v>
      </c>
      <c r="B3022" s="129">
        <v>0</v>
      </c>
      <c r="E3022" s="130"/>
    </row>
    <row r="3023" spans="1:5" x14ac:dyDescent="0.25">
      <c r="A3023" s="1033">
        <v>504016</v>
      </c>
      <c r="B3023" s="129">
        <v>0</v>
      </c>
      <c r="E3023" s="130"/>
    </row>
    <row r="3024" spans="1:5" x14ac:dyDescent="0.25">
      <c r="A3024" s="1033">
        <v>504018</v>
      </c>
      <c r="B3024" s="129">
        <v>0</v>
      </c>
      <c r="E3024" s="130"/>
    </row>
    <row r="3025" spans="1:5" x14ac:dyDescent="0.25">
      <c r="A3025" s="1033">
        <v>504022</v>
      </c>
      <c r="B3025" s="129">
        <v>0</v>
      </c>
      <c r="E3025" s="130"/>
    </row>
    <row r="3026" spans="1:5" x14ac:dyDescent="0.25">
      <c r="A3026" s="1033">
        <v>504024</v>
      </c>
      <c r="B3026" s="129">
        <v>0</v>
      </c>
      <c r="E3026" s="130"/>
    </row>
    <row r="3027" spans="1:5" x14ac:dyDescent="0.25">
      <c r="A3027" s="1033">
        <v>504026</v>
      </c>
      <c r="B3027" s="129">
        <v>0</v>
      </c>
      <c r="E3027" s="130"/>
    </row>
    <row r="3028" spans="1:5" x14ac:dyDescent="0.25">
      <c r="A3028" s="1033">
        <v>504028</v>
      </c>
      <c r="B3028" s="129">
        <v>0</v>
      </c>
      <c r="E3028" s="130"/>
    </row>
    <row r="3029" spans="1:5" x14ac:dyDescent="0.25">
      <c r="A3029" s="1033">
        <v>504112</v>
      </c>
      <c r="B3029" s="129">
        <v>0</v>
      </c>
      <c r="E3029" s="130"/>
    </row>
    <row r="3030" spans="1:5" x14ac:dyDescent="0.25">
      <c r="A3030" s="1033">
        <v>504114</v>
      </c>
      <c r="B3030" s="129">
        <v>0</v>
      </c>
      <c r="E3030" s="130"/>
    </row>
    <row r="3031" spans="1:5" x14ac:dyDescent="0.25">
      <c r="A3031" s="1033">
        <v>504116</v>
      </c>
      <c r="B3031" s="129">
        <v>0</v>
      </c>
      <c r="E3031" s="130"/>
    </row>
    <row r="3032" spans="1:5" x14ac:dyDescent="0.25">
      <c r="A3032" s="1033">
        <v>504118</v>
      </c>
      <c r="B3032" s="129">
        <v>0</v>
      </c>
      <c r="E3032" s="130"/>
    </row>
    <row r="3033" spans="1:5" x14ac:dyDescent="0.25">
      <c r="A3033" s="1033">
        <v>504122</v>
      </c>
      <c r="B3033" s="129">
        <v>0</v>
      </c>
      <c r="E3033" s="130"/>
    </row>
    <row r="3034" spans="1:5" x14ac:dyDescent="0.25">
      <c r="A3034" s="1033">
        <v>504124</v>
      </c>
      <c r="B3034" s="129">
        <v>0</v>
      </c>
      <c r="E3034" s="130"/>
    </row>
    <row r="3035" spans="1:5" x14ac:dyDescent="0.25">
      <c r="A3035" s="1033">
        <v>504126</v>
      </c>
      <c r="B3035" s="129">
        <v>0</v>
      </c>
      <c r="E3035" s="130"/>
    </row>
    <row r="3036" spans="1:5" x14ac:dyDescent="0.25">
      <c r="A3036" s="1033">
        <v>504128</v>
      </c>
      <c r="B3036" s="129">
        <v>0</v>
      </c>
      <c r="E3036" s="130"/>
    </row>
    <row r="3037" spans="1:5" x14ac:dyDescent="0.25">
      <c r="A3037" s="1033">
        <v>504212</v>
      </c>
      <c r="B3037" s="129">
        <v>0</v>
      </c>
      <c r="E3037" s="130"/>
    </row>
    <row r="3038" spans="1:5" x14ac:dyDescent="0.25">
      <c r="A3038" s="1033">
        <v>504214</v>
      </c>
      <c r="B3038" s="129">
        <v>0</v>
      </c>
      <c r="E3038" s="130"/>
    </row>
    <row r="3039" spans="1:5" x14ac:dyDescent="0.25">
      <c r="A3039" s="1033">
        <v>504216</v>
      </c>
      <c r="B3039" s="129">
        <v>0</v>
      </c>
      <c r="E3039" s="130"/>
    </row>
    <row r="3040" spans="1:5" x14ac:dyDescent="0.25">
      <c r="A3040" s="1033">
        <v>504218</v>
      </c>
      <c r="B3040" s="129">
        <v>0</v>
      </c>
      <c r="E3040" s="130"/>
    </row>
    <row r="3041" spans="1:5" x14ac:dyDescent="0.25">
      <c r="A3041" s="1033">
        <v>504222</v>
      </c>
      <c r="B3041" s="129">
        <v>0</v>
      </c>
      <c r="E3041" s="130"/>
    </row>
    <row r="3042" spans="1:5" x14ac:dyDescent="0.25">
      <c r="A3042" s="1033">
        <v>504224</v>
      </c>
      <c r="B3042" s="129">
        <v>0</v>
      </c>
      <c r="E3042" s="130"/>
    </row>
    <row r="3043" spans="1:5" x14ac:dyDescent="0.25">
      <c r="A3043" s="1033">
        <v>504226</v>
      </c>
      <c r="B3043" s="129">
        <v>0</v>
      </c>
      <c r="E3043" s="130"/>
    </row>
    <row r="3044" spans="1:5" x14ac:dyDescent="0.25">
      <c r="A3044" s="1033">
        <v>504228</v>
      </c>
      <c r="B3044" s="129">
        <v>0</v>
      </c>
      <c r="E3044" s="130"/>
    </row>
    <row r="3045" spans="1:5" x14ac:dyDescent="0.25">
      <c r="A3045" s="1033">
        <v>504312</v>
      </c>
      <c r="B3045" s="129">
        <v>0</v>
      </c>
      <c r="E3045" s="130"/>
    </row>
    <row r="3046" spans="1:5" x14ac:dyDescent="0.25">
      <c r="A3046" s="1033">
        <v>504314</v>
      </c>
      <c r="B3046" s="129">
        <v>0</v>
      </c>
      <c r="E3046" s="130"/>
    </row>
    <row r="3047" spans="1:5" x14ac:dyDescent="0.25">
      <c r="A3047" s="1033">
        <v>504316</v>
      </c>
      <c r="B3047" s="129">
        <v>0</v>
      </c>
      <c r="E3047" s="130"/>
    </row>
    <row r="3048" spans="1:5" x14ac:dyDescent="0.25">
      <c r="A3048" s="1033">
        <v>504318</v>
      </c>
      <c r="B3048" s="129">
        <v>0</v>
      </c>
      <c r="E3048" s="130"/>
    </row>
    <row r="3049" spans="1:5" x14ac:dyDescent="0.25">
      <c r="A3049" s="1033">
        <v>504322</v>
      </c>
      <c r="B3049" s="129">
        <v>0</v>
      </c>
      <c r="E3049" s="130"/>
    </row>
    <row r="3050" spans="1:5" x14ac:dyDescent="0.25">
      <c r="A3050" s="1033">
        <v>504324</v>
      </c>
      <c r="B3050" s="129">
        <v>0</v>
      </c>
      <c r="E3050" s="130"/>
    </row>
    <row r="3051" spans="1:5" x14ac:dyDescent="0.25">
      <c r="A3051" s="1033">
        <v>504326</v>
      </c>
      <c r="B3051" s="129">
        <v>0</v>
      </c>
      <c r="E3051" s="130"/>
    </row>
    <row r="3052" spans="1:5" x14ac:dyDescent="0.25">
      <c r="A3052" s="1033">
        <v>504328</v>
      </c>
      <c r="B3052" s="129">
        <v>0</v>
      </c>
      <c r="E3052" s="130"/>
    </row>
    <row r="3053" spans="1:5" x14ac:dyDescent="0.25">
      <c r="A3053" s="1033">
        <v>504412</v>
      </c>
      <c r="B3053" s="129">
        <v>0</v>
      </c>
      <c r="E3053" s="130"/>
    </row>
    <row r="3054" spans="1:5" x14ac:dyDescent="0.25">
      <c r="A3054" s="1033">
        <v>504414</v>
      </c>
      <c r="B3054" s="129">
        <v>0</v>
      </c>
      <c r="E3054" s="130"/>
    </row>
    <row r="3055" spans="1:5" x14ac:dyDescent="0.25">
      <c r="A3055" s="1033">
        <v>504416</v>
      </c>
      <c r="B3055" s="129">
        <v>0</v>
      </c>
      <c r="E3055" s="130"/>
    </row>
    <row r="3056" spans="1:5" x14ac:dyDescent="0.25">
      <c r="A3056" s="1033">
        <v>504418</v>
      </c>
      <c r="B3056" s="129">
        <v>0</v>
      </c>
      <c r="E3056" s="130"/>
    </row>
    <row r="3057" spans="1:9" x14ac:dyDescent="0.25">
      <c r="A3057" s="1033">
        <v>504422</v>
      </c>
      <c r="B3057" s="129">
        <v>0</v>
      </c>
      <c r="E3057" s="130"/>
    </row>
    <row r="3058" spans="1:9" x14ac:dyDescent="0.25">
      <c r="A3058" s="1033">
        <v>504424</v>
      </c>
      <c r="B3058" s="129">
        <v>0</v>
      </c>
      <c r="E3058" s="130"/>
    </row>
    <row r="3059" spans="1:9" x14ac:dyDescent="0.25">
      <c r="A3059" s="1033">
        <v>504426</v>
      </c>
      <c r="B3059" s="129">
        <v>0</v>
      </c>
      <c r="E3059" s="130"/>
    </row>
    <row r="3060" spans="1:9" x14ac:dyDescent="0.25">
      <c r="A3060" s="1033">
        <v>504428</v>
      </c>
      <c r="B3060" s="129">
        <v>0</v>
      </c>
      <c r="E3060" s="130"/>
    </row>
    <row r="3061" spans="1:9" x14ac:dyDescent="0.25">
      <c r="A3061" s="1033">
        <v>504512</v>
      </c>
      <c r="B3061" s="129">
        <v>1</v>
      </c>
      <c r="E3061" s="130"/>
    </row>
    <row r="3062" spans="1:9" x14ac:dyDescent="0.25">
      <c r="A3062" s="1033">
        <v>504514</v>
      </c>
      <c r="B3062" s="129">
        <v>100924</v>
      </c>
      <c r="E3062" s="130"/>
    </row>
    <row r="3063" spans="1:9" x14ac:dyDescent="0.25">
      <c r="A3063" s="1033">
        <v>504516</v>
      </c>
      <c r="B3063" s="129">
        <v>4884</v>
      </c>
      <c r="C3063" s="130">
        <v>432</v>
      </c>
      <c r="D3063" s="130">
        <v>16</v>
      </c>
      <c r="E3063" s="130">
        <v>432</v>
      </c>
      <c r="F3063" s="1031">
        <v>0</v>
      </c>
      <c r="G3063" s="1031">
        <v>-100923.5</v>
      </c>
      <c r="H3063" s="1031">
        <v>-100923.5</v>
      </c>
      <c r="I3063" s="1032" t="s">
        <v>1399</v>
      </c>
    </row>
    <row r="3064" spans="1:9" x14ac:dyDescent="0.25">
      <c r="A3064" s="1033"/>
      <c r="C3064" s="130">
        <v>632</v>
      </c>
      <c r="D3064" s="130">
        <v>16</v>
      </c>
      <c r="E3064" s="130">
        <v>632</v>
      </c>
      <c r="F3064" s="1031">
        <v>0</v>
      </c>
      <c r="G3064" s="1031">
        <v>96040.18</v>
      </c>
      <c r="H3064" s="1031">
        <v>96040.18</v>
      </c>
      <c r="I3064" s="1032" t="s">
        <v>1400</v>
      </c>
    </row>
    <row r="3065" spans="1:9" x14ac:dyDescent="0.25">
      <c r="A3065" s="1033">
        <v>504518</v>
      </c>
      <c r="B3065" s="129">
        <v>4884</v>
      </c>
      <c r="E3065" s="130"/>
    </row>
    <row r="3066" spans="1:9" x14ac:dyDescent="0.25">
      <c r="A3066" s="1033">
        <v>504522</v>
      </c>
      <c r="B3066" s="129">
        <v>1</v>
      </c>
      <c r="E3066" s="130"/>
    </row>
    <row r="3067" spans="1:9" x14ac:dyDescent="0.25">
      <c r="A3067" s="1033">
        <v>504524</v>
      </c>
      <c r="B3067" s="129">
        <v>100924</v>
      </c>
      <c r="E3067" s="130"/>
    </row>
    <row r="3068" spans="1:9" x14ac:dyDescent="0.25">
      <c r="A3068" s="1033">
        <v>504526</v>
      </c>
      <c r="B3068" s="129">
        <v>4884</v>
      </c>
      <c r="C3068" s="130">
        <v>432</v>
      </c>
      <c r="D3068" s="130">
        <v>16</v>
      </c>
      <c r="E3068" s="130">
        <v>432</v>
      </c>
      <c r="F3068" s="1031">
        <v>0</v>
      </c>
      <c r="G3068" s="1031">
        <v>-100923.5</v>
      </c>
      <c r="H3068" s="1031">
        <v>-100923.5</v>
      </c>
      <c r="I3068" s="1032" t="s">
        <v>1399</v>
      </c>
    </row>
    <row r="3069" spans="1:9" x14ac:dyDescent="0.25">
      <c r="A3069" s="1033"/>
      <c r="C3069" s="130">
        <v>632</v>
      </c>
      <c r="D3069" s="130">
        <v>16</v>
      </c>
      <c r="E3069" s="130">
        <v>632</v>
      </c>
      <c r="F3069" s="1031">
        <v>0</v>
      </c>
      <c r="G3069" s="1031">
        <v>96040.18</v>
      </c>
      <c r="H3069" s="1031">
        <v>96040.18</v>
      </c>
      <c r="I3069" s="1032" t="s">
        <v>1400</v>
      </c>
    </row>
    <row r="3070" spans="1:9" x14ac:dyDescent="0.25">
      <c r="A3070" s="1033">
        <v>504528</v>
      </c>
      <c r="B3070" s="129">
        <v>4884</v>
      </c>
      <c r="E3070" s="130"/>
    </row>
    <row r="3071" spans="1:9" x14ac:dyDescent="0.25">
      <c r="A3071" s="1033">
        <v>504612</v>
      </c>
      <c r="B3071" s="129">
        <v>0</v>
      </c>
      <c r="E3071" s="130"/>
    </row>
    <row r="3072" spans="1:9" x14ac:dyDescent="0.25">
      <c r="A3072" s="1033">
        <v>504614</v>
      </c>
      <c r="B3072" s="129">
        <v>0</v>
      </c>
      <c r="E3072" s="130"/>
    </row>
    <row r="3073" spans="1:9" x14ac:dyDescent="0.25">
      <c r="A3073" s="1033">
        <v>504616</v>
      </c>
      <c r="B3073" s="129">
        <v>0</v>
      </c>
      <c r="E3073" s="130"/>
    </row>
    <row r="3074" spans="1:9" x14ac:dyDescent="0.25">
      <c r="A3074" s="1033">
        <v>504618</v>
      </c>
      <c r="B3074" s="129">
        <v>0</v>
      </c>
      <c r="E3074" s="130"/>
    </row>
    <row r="3075" spans="1:9" x14ac:dyDescent="0.25">
      <c r="A3075" s="1033">
        <v>504622</v>
      </c>
      <c r="B3075" s="129">
        <v>0</v>
      </c>
      <c r="E3075" s="130"/>
    </row>
    <row r="3076" spans="1:9" x14ac:dyDescent="0.25">
      <c r="A3076" s="1033">
        <v>504624</v>
      </c>
      <c r="B3076" s="129">
        <v>0</v>
      </c>
      <c r="E3076" s="130"/>
    </row>
    <row r="3077" spans="1:9" x14ac:dyDescent="0.25">
      <c r="A3077" s="1033">
        <v>504626</v>
      </c>
      <c r="B3077" s="129">
        <v>0</v>
      </c>
      <c r="E3077" s="130"/>
    </row>
    <row r="3078" spans="1:9" x14ac:dyDescent="0.25">
      <c r="A3078" s="1033">
        <v>504628</v>
      </c>
      <c r="B3078" s="129">
        <v>0</v>
      </c>
      <c r="E3078" s="130"/>
    </row>
    <row r="3079" spans="1:9" x14ac:dyDescent="0.25">
      <c r="A3079" s="1033">
        <v>504712</v>
      </c>
      <c r="B3079" s="129">
        <v>0</v>
      </c>
      <c r="E3079" s="130"/>
    </row>
    <row r="3080" spans="1:9" x14ac:dyDescent="0.25">
      <c r="A3080" s="1033">
        <v>504714</v>
      </c>
      <c r="B3080" s="129">
        <v>0</v>
      </c>
      <c r="E3080" s="130"/>
    </row>
    <row r="3081" spans="1:9" x14ac:dyDescent="0.25">
      <c r="A3081" s="1033">
        <v>504716</v>
      </c>
      <c r="B3081" s="129">
        <v>0</v>
      </c>
      <c r="E3081" s="130"/>
    </row>
    <row r="3082" spans="1:9" x14ac:dyDescent="0.25">
      <c r="A3082" s="1033">
        <v>504718</v>
      </c>
      <c r="B3082" s="129">
        <v>0</v>
      </c>
      <c r="E3082" s="130"/>
    </row>
    <row r="3083" spans="1:9" x14ac:dyDescent="0.25">
      <c r="A3083" s="1033">
        <v>504722</v>
      </c>
      <c r="B3083" s="129">
        <v>0</v>
      </c>
      <c r="E3083" s="130"/>
    </row>
    <row r="3084" spans="1:9" x14ac:dyDescent="0.25">
      <c r="A3084" s="1033">
        <v>504724</v>
      </c>
      <c r="B3084" s="129">
        <v>0</v>
      </c>
      <c r="E3084" s="130"/>
    </row>
    <row r="3085" spans="1:9" x14ac:dyDescent="0.25">
      <c r="A3085" s="1033">
        <v>504726</v>
      </c>
      <c r="B3085" s="129">
        <v>0</v>
      </c>
      <c r="E3085" s="130"/>
    </row>
    <row r="3086" spans="1:9" x14ac:dyDescent="0.25">
      <c r="A3086" s="1033">
        <v>504728</v>
      </c>
      <c r="B3086" s="129">
        <v>0</v>
      </c>
      <c r="E3086" s="130"/>
    </row>
    <row r="3087" spans="1:9" x14ac:dyDescent="0.25">
      <c r="A3087" s="1033">
        <v>504812</v>
      </c>
      <c r="B3087" s="129">
        <v>1</v>
      </c>
      <c r="C3087" s="130" t="s">
        <v>1401</v>
      </c>
      <c r="D3087" s="130">
        <v>16</v>
      </c>
      <c r="E3087" s="130" t="s">
        <v>1401</v>
      </c>
      <c r="F3087" s="1031">
        <v>0</v>
      </c>
      <c r="G3087" s="1031">
        <v>-0.01</v>
      </c>
      <c r="H3087" s="1031">
        <v>-0.01</v>
      </c>
      <c r="I3087" s="1032" t="s">
        <v>1402</v>
      </c>
    </row>
    <row r="3088" spans="1:9" x14ac:dyDescent="0.25">
      <c r="A3088" s="1033">
        <v>504814</v>
      </c>
      <c r="B3088" s="129">
        <v>122189</v>
      </c>
      <c r="C3088" s="130" t="s">
        <v>291</v>
      </c>
      <c r="D3088" s="130">
        <v>16</v>
      </c>
      <c r="E3088" s="130" t="s">
        <v>291</v>
      </c>
      <c r="F3088" s="1031">
        <v>0</v>
      </c>
      <c r="G3088" s="1031">
        <v>-122189.22</v>
      </c>
      <c r="H3088" s="1031">
        <v>-122189.22</v>
      </c>
      <c r="I3088" s="1032" t="s">
        <v>1403</v>
      </c>
    </row>
    <row r="3089" spans="1:9" x14ac:dyDescent="0.25">
      <c r="A3089" s="1033">
        <v>504816</v>
      </c>
      <c r="B3089" s="129">
        <v>1250</v>
      </c>
      <c r="C3089" s="130" t="s">
        <v>291</v>
      </c>
      <c r="D3089" s="130">
        <v>16</v>
      </c>
      <c r="E3089" s="130" t="s">
        <v>291</v>
      </c>
      <c r="F3089" s="1031">
        <v>0</v>
      </c>
      <c r="G3089" s="1031">
        <v>-122189.22</v>
      </c>
      <c r="H3089" s="1031">
        <v>-122189.22</v>
      </c>
      <c r="I3089" s="1032" t="s">
        <v>1403</v>
      </c>
    </row>
    <row r="3090" spans="1:9" x14ac:dyDescent="0.25">
      <c r="A3090" s="1033"/>
      <c r="C3090" s="130" t="s">
        <v>1404</v>
      </c>
      <c r="D3090" s="130">
        <v>16</v>
      </c>
      <c r="E3090" s="130" t="s">
        <v>1404</v>
      </c>
      <c r="F3090" s="1031">
        <v>0</v>
      </c>
      <c r="G3090" s="1031">
        <v>120939.22</v>
      </c>
      <c r="H3090" s="1031">
        <v>120939.22</v>
      </c>
      <c r="I3090" s="1032" t="s">
        <v>1405</v>
      </c>
    </row>
    <row r="3091" spans="1:9" x14ac:dyDescent="0.25">
      <c r="A3091" s="1033">
        <v>504818</v>
      </c>
      <c r="B3091" s="129">
        <v>1250</v>
      </c>
      <c r="E3091" s="130"/>
    </row>
    <row r="3092" spans="1:9" x14ac:dyDescent="0.25">
      <c r="A3092" s="1033">
        <v>504822</v>
      </c>
      <c r="B3092" s="129">
        <v>1</v>
      </c>
      <c r="C3092" s="130" t="s">
        <v>1401</v>
      </c>
      <c r="D3092" s="130">
        <v>16</v>
      </c>
      <c r="E3092" s="130" t="s">
        <v>1401</v>
      </c>
      <c r="F3092" s="1031">
        <v>0</v>
      </c>
      <c r="G3092" s="1031">
        <v>-0.01</v>
      </c>
      <c r="H3092" s="1031">
        <v>-0.01</v>
      </c>
      <c r="I3092" s="1032" t="s">
        <v>1402</v>
      </c>
    </row>
    <row r="3093" spans="1:9" x14ac:dyDescent="0.25">
      <c r="A3093" s="1033">
        <v>504824</v>
      </c>
      <c r="B3093" s="129">
        <v>122189</v>
      </c>
      <c r="C3093" s="130" t="s">
        <v>291</v>
      </c>
      <c r="D3093" s="130">
        <v>16</v>
      </c>
      <c r="E3093" s="130" t="s">
        <v>291</v>
      </c>
      <c r="F3093" s="1031">
        <v>0</v>
      </c>
      <c r="G3093" s="1031">
        <v>-122189.22</v>
      </c>
      <c r="H3093" s="1031">
        <v>-122189.22</v>
      </c>
      <c r="I3093" s="1032" t="s">
        <v>1403</v>
      </c>
    </row>
    <row r="3094" spans="1:9" x14ac:dyDescent="0.25">
      <c r="A3094" s="1033">
        <v>504826</v>
      </c>
      <c r="B3094" s="129">
        <v>1250</v>
      </c>
      <c r="C3094" s="130" t="s">
        <v>291</v>
      </c>
      <c r="D3094" s="130">
        <v>16</v>
      </c>
      <c r="E3094" s="130" t="s">
        <v>291</v>
      </c>
      <c r="F3094" s="1031">
        <v>0</v>
      </c>
      <c r="G3094" s="1031">
        <v>-122189.22</v>
      </c>
      <c r="H3094" s="1031">
        <v>-122189.22</v>
      </c>
      <c r="I3094" s="1032" t="s">
        <v>1403</v>
      </c>
    </row>
    <row r="3095" spans="1:9" x14ac:dyDescent="0.25">
      <c r="A3095" s="1033"/>
      <c r="C3095" s="130" t="s">
        <v>1404</v>
      </c>
      <c r="D3095" s="130">
        <v>16</v>
      </c>
      <c r="E3095" s="130" t="s">
        <v>1404</v>
      </c>
      <c r="F3095" s="1031">
        <v>0</v>
      </c>
      <c r="G3095" s="1031">
        <v>120939.22</v>
      </c>
      <c r="H3095" s="1031">
        <v>120939.22</v>
      </c>
      <c r="I3095" s="1032" t="s">
        <v>1405</v>
      </c>
    </row>
    <row r="3096" spans="1:9" x14ac:dyDescent="0.25">
      <c r="A3096" s="1033">
        <v>504828</v>
      </c>
      <c r="B3096" s="129">
        <v>1250</v>
      </c>
      <c r="E3096" s="130"/>
    </row>
    <row r="3097" spans="1:9" x14ac:dyDescent="0.25">
      <c r="A3097" s="1033">
        <v>504912</v>
      </c>
      <c r="B3097" s="129">
        <v>0</v>
      </c>
      <c r="E3097" s="130"/>
    </row>
    <row r="3098" spans="1:9" x14ac:dyDescent="0.25">
      <c r="A3098" s="1033">
        <v>504914</v>
      </c>
      <c r="B3098" s="129">
        <v>0</v>
      </c>
      <c r="E3098" s="130"/>
    </row>
    <row r="3099" spans="1:9" x14ac:dyDescent="0.25">
      <c r="A3099" s="1033">
        <v>504916</v>
      </c>
      <c r="B3099" s="129">
        <v>0</v>
      </c>
      <c r="E3099" s="130"/>
    </row>
    <row r="3100" spans="1:9" x14ac:dyDescent="0.25">
      <c r="A3100" s="1033">
        <v>504918</v>
      </c>
      <c r="B3100" s="129">
        <v>0</v>
      </c>
      <c r="E3100" s="130"/>
    </row>
    <row r="3101" spans="1:9" x14ac:dyDescent="0.25">
      <c r="A3101" s="1033">
        <v>504922</v>
      </c>
      <c r="B3101" s="129">
        <v>0</v>
      </c>
      <c r="E3101" s="130"/>
    </row>
    <row r="3102" spans="1:9" x14ac:dyDescent="0.25">
      <c r="A3102" s="1033">
        <v>504924</v>
      </c>
      <c r="B3102" s="129">
        <v>0</v>
      </c>
      <c r="E3102" s="130"/>
    </row>
    <row r="3103" spans="1:9" x14ac:dyDescent="0.25">
      <c r="A3103" s="1033">
        <v>504926</v>
      </c>
      <c r="B3103" s="129">
        <v>0</v>
      </c>
      <c r="E3103" s="130"/>
    </row>
    <row r="3104" spans="1:9" x14ac:dyDescent="0.25">
      <c r="A3104" s="1033">
        <v>504928</v>
      </c>
      <c r="B3104" s="129">
        <v>0</v>
      </c>
      <c r="E3104" s="130"/>
    </row>
    <row r="3105" spans="1:9" x14ac:dyDescent="0.25">
      <c r="A3105" s="1033">
        <v>505012</v>
      </c>
      <c r="B3105" s="129">
        <v>1</v>
      </c>
      <c r="E3105" s="130"/>
    </row>
    <row r="3106" spans="1:9" x14ac:dyDescent="0.25">
      <c r="A3106" s="1033">
        <v>505014</v>
      </c>
      <c r="B3106" s="129">
        <v>122189</v>
      </c>
      <c r="E3106" s="130"/>
    </row>
    <row r="3107" spans="1:9" x14ac:dyDescent="0.25">
      <c r="A3107" s="1033">
        <v>505016</v>
      </c>
      <c r="B3107" s="129">
        <v>1250</v>
      </c>
      <c r="C3107" s="130" t="s">
        <v>291</v>
      </c>
      <c r="D3107" s="130">
        <v>16</v>
      </c>
      <c r="E3107" s="130" t="s">
        <v>291</v>
      </c>
      <c r="F3107" s="1031">
        <v>0</v>
      </c>
      <c r="G3107" s="1031">
        <v>-122189.22</v>
      </c>
      <c r="H3107" s="1031">
        <v>-122189.22</v>
      </c>
      <c r="I3107" s="1032" t="s">
        <v>1403</v>
      </c>
    </row>
    <row r="3108" spans="1:9" x14ac:dyDescent="0.25">
      <c r="A3108" s="1033"/>
      <c r="C3108" s="130" t="s">
        <v>1404</v>
      </c>
      <c r="D3108" s="130">
        <v>16</v>
      </c>
      <c r="E3108" s="130" t="s">
        <v>1404</v>
      </c>
      <c r="F3108" s="1031">
        <v>0</v>
      </c>
      <c r="G3108" s="1031">
        <v>120939.22</v>
      </c>
      <c r="H3108" s="1031">
        <v>120939.22</v>
      </c>
      <c r="I3108" s="1032" t="s">
        <v>1405</v>
      </c>
    </row>
    <row r="3109" spans="1:9" x14ac:dyDescent="0.25">
      <c r="A3109" s="1033">
        <v>505018</v>
      </c>
      <c r="B3109" s="129">
        <v>1250</v>
      </c>
      <c r="E3109" s="130"/>
    </row>
    <row r="3110" spans="1:9" x14ac:dyDescent="0.25">
      <c r="A3110" s="1033">
        <v>505022</v>
      </c>
      <c r="B3110" s="129">
        <v>1</v>
      </c>
      <c r="E3110" s="130"/>
    </row>
    <row r="3111" spans="1:9" x14ac:dyDescent="0.25">
      <c r="A3111" s="1033">
        <v>505024</v>
      </c>
      <c r="B3111" s="129">
        <v>122189</v>
      </c>
      <c r="E3111" s="130"/>
    </row>
    <row r="3112" spans="1:9" x14ac:dyDescent="0.25">
      <c r="A3112" s="1033">
        <v>505026</v>
      </c>
      <c r="B3112" s="129">
        <v>1250</v>
      </c>
      <c r="C3112" s="130" t="s">
        <v>291</v>
      </c>
      <c r="D3112" s="130">
        <v>16</v>
      </c>
      <c r="E3112" s="130" t="s">
        <v>291</v>
      </c>
      <c r="F3112" s="1031">
        <v>0</v>
      </c>
      <c r="G3112" s="1031">
        <v>-122189.22</v>
      </c>
      <c r="H3112" s="1031">
        <v>-122189.22</v>
      </c>
      <c r="I3112" s="1032" t="s">
        <v>1403</v>
      </c>
    </row>
    <row r="3113" spans="1:9" x14ac:dyDescent="0.25">
      <c r="A3113" s="1033"/>
      <c r="C3113" s="130" t="s">
        <v>1404</v>
      </c>
      <c r="D3113" s="130">
        <v>16</v>
      </c>
      <c r="E3113" s="130" t="s">
        <v>1404</v>
      </c>
      <c r="F3113" s="1031">
        <v>0</v>
      </c>
      <c r="G3113" s="1031">
        <v>120939.22</v>
      </c>
      <c r="H3113" s="1031">
        <v>120939.22</v>
      </c>
      <c r="I3113" s="1032" t="s">
        <v>1405</v>
      </c>
    </row>
    <row r="3114" spans="1:9" x14ac:dyDescent="0.25">
      <c r="A3114" s="1033">
        <v>505028</v>
      </c>
      <c r="B3114" s="129">
        <v>1250</v>
      </c>
      <c r="E3114" s="130"/>
    </row>
    <row r="3115" spans="1:9" x14ac:dyDescent="0.25">
      <c r="A3115" s="1033">
        <v>505112</v>
      </c>
      <c r="B3115" s="129">
        <v>0</v>
      </c>
      <c r="E3115" s="130"/>
    </row>
    <row r="3116" spans="1:9" x14ac:dyDescent="0.25">
      <c r="A3116" s="1033">
        <v>505114</v>
      </c>
      <c r="B3116" s="129">
        <v>0</v>
      </c>
      <c r="E3116" s="130"/>
    </row>
    <row r="3117" spans="1:9" x14ac:dyDescent="0.25">
      <c r="A3117" s="1033">
        <v>505116</v>
      </c>
      <c r="B3117" s="129">
        <v>0</v>
      </c>
      <c r="E3117" s="130"/>
    </row>
    <row r="3118" spans="1:9" x14ac:dyDescent="0.25">
      <c r="A3118" s="1033">
        <v>505118</v>
      </c>
      <c r="B3118" s="129">
        <v>0</v>
      </c>
      <c r="E3118" s="130"/>
    </row>
    <row r="3119" spans="1:9" x14ac:dyDescent="0.25">
      <c r="A3119" s="1033">
        <v>505122</v>
      </c>
      <c r="B3119" s="129">
        <v>0</v>
      </c>
      <c r="E3119" s="130"/>
    </row>
    <row r="3120" spans="1:9" x14ac:dyDescent="0.25">
      <c r="A3120" s="1033">
        <v>505124</v>
      </c>
      <c r="B3120" s="129">
        <v>0</v>
      </c>
      <c r="E3120" s="130"/>
    </row>
    <row r="3121" spans="1:5" x14ac:dyDescent="0.25">
      <c r="A3121" s="1033">
        <v>505126</v>
      </c>
      <c r="B3121" s="129">
        <v>0</v>
      </c>
      <c r="E3121" s="130"/>
    </row>
    <row r="3122" spans="1:5" x14ac:dyDescent="0.25">
      <c r="A3122" s="1033">
        <v>505128</v>
      </c>
      <c r="B3122" s="129">
        <v>0</v>
      </c>
      <c r="E3122" s="130"/>
    </row>
    <row r="3123" spans="1:5" x14ac:dyDescent="0.25">
      <c r="A3123" s="1033">
        <v>505212</v>
      </c>
      <c r="B3123" s="129">
        <v>0</v>
      </c>
      <c r="E3123" s="130"/>
    </row>
    <row r="3124" spans="1:5" x14ac:dyDescent="0.25">
      <c r="A3124" s="1033">
        <v>505214</v>
      </c>
      <c r="B3124" s="129">
        <v>0</v>
      </c>
      <c r="E3124" s="130"/>
    </row>
    <row r="3125" spans="1:5" x14ac:dyDescent="0.25">
      <c r="A3125" s="1033">
        <v>505216</v>
      </c>
      <c r="B3125" s="129">
        <v>0</v>
      </c>
      <c r="E3125" s="130"/>
    </row>
    <row r="3126" spans="1:5" x14ac:dyDescent="0.25">
      <c r="A3126" s="1033">
        <v>505218</v>
      </c>
      <c r="B3126" s="129">
        <v>0</v>
      </c>
      <c r="E3126" s="130"/>
    </row>
    <row r="3127" spans="1:5" x14ac:dyDescent="0.25">
      <c r="A3127" s="1033">
        <v>505222</v>
      </c>
      <c r="B3127" s="129">
        <v>0</v>
      </c>
      <c r="E3127" s="130"/>
    </row>
    <row r="3128" spans="1:5" x14ac:dyDescent="0.25">
      <c r="A3128" s="1033">
        <v>505224</v>
      </c>
      <c r="B3128" s="129">
        <v>0</v>
      </c>
      <c r="E3128" s="130"/>
    </row>
    <row r="3129" spans="1:5" x14ac:dyDescent="0.25">
      <c r="A3129" s="1033">
        <v>505226</v>
      </c>
      <c r="B3129" s="129">
        <v>0</v>
      </c>
      <c r="E3129" s="130"/>
    </row>
    <row r="3130" spans="1:5" x14ac:dyDescent="0.25">
      <c r="A3130" s="1033">
        <v>505228</v>
      </c>
      <c r="B3130" s="129">
        <v>0</v>
      </c>
      <c r="E3130" s="130"/>
    </row>
    <row r="3131" spans="1:5" x14ac:dyDescent="0.25">
      <c r="A3131" s="1033">
        <v>505312</v>
      </c>
      <c r="B3131" s="129">
        <v>0</v>
      </c>
      <c r="E3131" s="130"/>
    </row>
    <row r="3132" spans="1:5" x14ac:dyDescent="0.25">
      <c r="A3132" s="1033">
        <v>505314</v>
      </c>
      <c r="B3132" s="129">
        <v>0</v>
      </c>
      <c r="E3132" s="130"/>
    </row>
    <row r="3133" spans="1:5" x14ac:dyDescent="0.25">
      <c r="A3133" s="1033">
        <v>505316</v>
      </c>
      <c r="B3133" s="129">
        <v>0</v>
      </c>
      <c r="E3133" s="130"/>
    </row>
    <row r="3134" spans="1:5" x14ac:dyDescent="0.25">
      <c r="A3134" s="1033">
        <v>505318</v>
      </c>
      <c r="B3134" s="129">
        <v>0</v>
      </c>
      <c r="E3134" s="130"/>
    </row>
    <row r="3135" spans="1:5" x14ac:dyDescent="0.25">
      <c r="A3135" s="1033">
        <v>505322</v>
      </c>
      <c r="B3135" s="129">
        <v>0</v>
      </c>
      <c r="E3135" s="130"/>
    </row>
    <row r="3136" spans="1:5" x14ac:dyDescent="0.25">
      <c r="A3136" s="1033">
        <v>505324</v>
      </c>
      <c r="B3136" s="129">
        <v>0</v>
      </c>
      <c r="E3136" s="130"/>
    </row>
    <row r="3137" spans="1:5" x14ac:dyDescent="0.25">
      <c r="A3137" s="1033">
        <v>505326</v>
      </c>
      <c r="B3137" s="129">
        <v>0</v>
      </c>
      <c r="E3137" s="130"/>
    </row>
    <row r="3138" spans="1:5" x14ac:dyDescent="0.25">
      <c r="A3138" s="1033">
        <v>505328</v>
      </c>
      <c r="B3138" s="129">
        <v>0</v>
      </c>
      <c r="E3138" s="130"/>
    </row>
    <row r="3139" spans="1:5" x14ac:dyDescent="0.25">
      <c r="A3139" s="1033">
        <v>505412</v>
      </c>
      <c r="B3139" s="129">
        <v>0</v>
      </c>
      <c r="E3139" s="130"/>
    </row>
    <row r="3140" spans="1:5" x14ac:dyDescent="0.25">
      <c r="A3140" s="1033">
        <v>505414</v>
      </c>
      <c r="B3140" s="129">
        <v>0</v>
      </c>
      <c r="E3140" s="130"/>
    </row>
    <row r="3141" spans="1:5" x14ac:dyDescent="0.25">
      <c r="A3141" s="1033">
        <v>505416</v>
      </c>
      <c r="B3141" s="129">
        <v>0</v>
      </c>
      <c r="E3141" s="130"/>
    </row>
    <row r="3142" spans="1:5" x14ac:dyDescent="0.25">
      <c r="A3142" s="1033">
        <v>505418</v>
      </c>
      <c r="B3142" s="129">
        <v>0</v>
      </c>
      <c r="E3142" s="130"/>
    </row>
    <row r="3143" spans="1:5" x14ac:dyDescent="0.25">
      <c r="A3143" s="1033">
        <v>505422</v>
      </c>
      <c r="B3143" s="129">
        <v>0</v>
      </c>
      <c r="E3143" s="130"/>
    </row>
    <row r="3144" spans="1:5" x14ac:dyDescent="0.25">
      <c r="A3144" s="1033">
        <v>505424</v>
      </c>
      <c r="B3144" s="129">
        <v>0</v>
      </c>
      <c r="E3144" s="130"/>
    </row>
    <row r="3145" spans="1:5" x14ac:dyDescent="0.25">
      <c r="A3145" s="1033">
        <v>505426</v>
      </c>
      <c r="B3145" s="129">
        <v>0</v>
      </c>
      <c r="E3145" s="130"/>
    </row>
    <row r="3146" spans="1:5" x14ac:dyDescent="0.25">
      <c r="A3146" s="1033">
        <v>505428</v>
      </c>
      <c r="B3146" s="129">
        <v>0</v>
      </c>
      <c r="E3146" s="130"/>
    </row>
    <row r="3147" spans="1:5" x14ac:dyDescent="0.25">
      <c r="A3147" s="1033">
        <v>505512</v>
      </c>
      <c r="B3147" s="129">
        <v>0</v>
      </c>
      <c r="E3147" s="130"/>
    </row>
    <row r="3148" spans="1:5" x14ac:dyDescent="0.25">
      <c r="A3148" s="1033">
        <v>505514</v>
      </c>
      <c r="B3148" s="129">
        <v>0</v>
      </c>
      <c r="E3148" s="130"/>
    </row>
    <row r="3149" spans="1:5" x14ac:dyDescent="0.25">
      <c r="A3149" s="1033">
        <v>505516</v>
      </c>
      <c r="B3149" s="129">
        <v>0</v>
      </c>
      <c r="E3149" s="130"/>
    </row>
    <row r="3150" spans="1:5" x14ac:dyDescent="0.25">
      <c r="A3150" s="1033">
        <v>505518</v>
      </c>
      <c r="B3150" s="129">
        <v>0</v>
      </c>
      <c r="E3150" s="130"/>
    </row>
    <row r="3151" spans="1:5" x14ac:dyDescent="0.25">
      <c r="A3151" s="1033">
        <v>505522</v>
      </c>
      <c r="B3151" s="129">
        <v>0</v>
      </c>
      <c r="E3151" s="130"/>
    </row>
    <row r="3152" spans="1:5" x14ac:dyDescent="0.25">
      <c r="A3152" s="1033">
        <v>505524</v>
      </c>
      <c r="B3152" s="129">
        <v>0</v>
      </c>
      <c r="E3152" s="130"/>
    </row>
    <row r="3153" spans="1:5" x14ac:dyDescent="0.25">
      <c r="A3153" s="1033">
        <v>505526</v>
      </c>
      <c r="B3153" s="129">
        <v>0</v>
      </c>
      <c r="E3153" s="130"/>
    </row>
    <row r="3154" spans="1:5" x14ac:dyDescent="0.25">
      <c r="A3154" s="1033">
        <v>505528</v>
      </c>
      <c r="B3154" s="129">
        <v>0</v>
      </c>
      <c r="E3154" s="130"/>
    </row>
    <row r="3155" spans="1:5" x14ac:dyDescent="0.25">
      <c r="A3155" s="1033">
        <v>505612</v>
      </c>
      <c r="B3155" s="129">
        <v>0</v>
      </c>
      <c r="E3155" s="130"/>
    </row>
    <row r="3156" spans="1:5" x14ac:dyDescent="0.25">
      <c r="A3156" s="1033">
        <v>505614</v>
      </c>
      <c r="B3156" s="129">
        <v>0</v>
      </c>
      <c r="E3156" s="130"/>
    </row>
    <row r="3157" spans="1:5" x14ac:dyDescent="0.25">
      <c r="A3157" s="1033">
        <v>505616</v>
      </c>
      <c r="B3157" s="129">
        <v>0</v>
      </c>
      <c r="E3157" s="130"/>
    </row>
    <row r="3158" spans="1:5" x14ac:dyDescent="0.25">
      <c r="A3158" s="1033">
        <v>505618</v>
      </c>
      <c r="B3158" s="129">
        <v>0</v>
      </c>
      <c r="E3158" s="130"/>
    </row>
    <row r="3159" spans="1:5" x14ac:dyDescent="0.25">
      <c r="A3159" s="1033">
        <v>505622</v>
      </c>
      <c r="B3159" s="129">
        <v>0</v>
      </c>
      <c r="E3159" s="130"/>
    </row>
    <row r="3160" spans="1:5" x14ac:dyDescent="0.25">
      <c r="A3160" s="1033">
        <v>505624</v>
      </c>
      <c r="B3160" s="129">
        <v>0</v>
      </c>
      <c r="E3160" s="130"/>
    </row>
    <row r="3161" spans="1:5" x14ac:dyDescent="0.25">
      <c r="A3161" s="1033">
        <v>505626</v>
      </c>
      <c r="B3161" s="129">
        <v>0</v>
      </c>
      <c r="E3161" s="130"/>
    </row>
    <row r="3162" spans="1:5" x14ac:dyDescent="0.25">
      <c r="A3162" s="1033">
        <v>505628</v>
      </c>
      <c r="B3162" s="129">
        <v>0</v>
      </c>
      <c r="E3162" s="130"/>
    </row>
    <row r="3163" spans="1:5" x14ac:dyDescent="0.25">
      <c r="A3163" s="1033">
        <v>505712</v>
      </c>
      <c r="B3163" s="129">
        <v>0</v>
      </c>
      <c r="E3163" s="130"/>
    </row>
    <row r="3164" spans="1:5" x14ac:dyDescent="0.25">
      <c r="A3164" s="1033">
        <v>505714</v>
      </c>
      <c r="B3164" s="129">
        <v>0</v>
      </c>
      <c r="E3164" s="130"/>
    </row>
    <row r="3165" spans="1:5" x14ac:dyDescent="0.25">
      <c r="A3165" s="1033">
        <v>505716</v>
      </c>
      <c r="B3165" s="129">
        <v>0</v>
      </c>
      <c r="E3165" s="130"/>
    </row>
    <row r="3166" spans="1:5" x14ac:dyDescent="0.25">
      <c r="A3166" s="1033">
        <v>505718</v>
      </c>
      <c r="B3166" s="129">
        <v>0</v>
      </c>
      <c r="E3166" s="130"/>
    </row>
    <row r="3167" spans="1:5" x14ac:dyDescent="0.25">
      <c r="A3167" s="1033">
        <v>505722</v>
      </c>
      <c r="B3167" s="129">
        <v>0</v>
      </c>
      <c r="E3167" s="130"/>
    </row>
    <row r="3168" spans="1:5" x14ac:dyDescent="0.25">
      <c r="A3168" s="1033">
        <v>505724</v>
      </c>
      <c r="B3168" s="129">
        <v>0</v>
      </c>
      <c r="E3168" s="130"/>
    </row>
    <row r="3169" spans="1:5" x14ac:dyDescent="0.25">
      <c r="A3169" s="1033">
        <v>505726</v>
      </c>
      <c r="B3169" s="129">
        <v>0</v>
      </c>
      <c r="E3169" s="130"/>
    </row>
    <row r="3170" spans="1:5" x14ac:dyDescent="0.25">
      <c r="A3170" s="1033">
        <v>505728</v>
      </c>
      <c r="B3170" s="129">
        <v>0</v>
      </c>
      <c r="E3170" s="130"/>
    </row>
    <row r="3171" spans="1:5" x14ac:dyDescent="0.25">
      <c r="A3171" s="1033">
        <v>505812</v>
      </c>
      <c r="B3171" s="129">
        <v>0</v>
      </c>
      <c r="E3171" s="130"/>
    </row>
    <row r="3172" spans="1:5" x14ac:dyDescent="0.25">
      <c r="A3172" s="1033">
        <v>505814</v>
      </c>
      <c r="B3172" s="129">
        <v>0</v>
      </c>
      <c r="E3172" s="130"/>
    </row>
    <row r="3173" spans="1:5" x14ac:dyDescent="0.25">
      <c r="A3173" s="1033">
        <v>505816</v>
      </c>
      <c r="B3173" s="129">
        <v>0</v>
      </c>
      <c r="E3173" s="130"/>
    </row>
    <row r="3174" spans="1:5" x14ac:dyDescent="0.25">
      <c r="A3174" s="1033">
        <v>505818</v>
      </c>
      <c r="B3174" s="129">
        <v>0</v>
      </c>
      <c r="E3174" s="130"/>
    </row>
    <row r="3175" spans="1:5" x14ac:dyDescent="0.25">
      <c r="A3175" s="1033">
        <v>505822</v>
      </c>
      <c r="B3175" s="129">
        <v>0</v>
      </c>
      <c r="E3175" s="130"/>
    </row>
    <row r="3176" spans="1:5" x14ac:dyDescent="0.25">
      <c r="A3176" s="1033">
        <v>505824</v>
      </c>
      <c r="B3176" s="129">
        <v>0</v>
      </c>
      <c r="E3176" s="130"/>
    </row>
    <row r="3177" spans="1:5" x14ac:dyDescent="0.25">
      <c r="A3177" s="1033">
        <v>505826</v>
      </c>
      <c r="B3177" s="129">
        <v>0</v>
      </c>
      <c r="E3177" s="130"/>
    </row>
    <row r="3178" spans="1:5" x14ac:dyDescent="0.25">
      <c r="A3178" s="1033">
        <v>505828</v>
      </c>
      <c r="B3178" s="129">
        <v>0</v>
      </c>
      <c r="E3178" s="130"/>
    </row>
    <row r="3179" spans="1:5" x14ac:dyDescent="0.25">
      <c r="A3179" s="1033">
        <v>505912</v>
      </c>
      <c r="B3179" s="129">
        <v>0</v>
      </c>
      <c r="E3179" s="130"/>
    </row>
    <row r="3180" spans="1:5" x14ac:dyDescent="0.25">
      <c r="A3180" s="1033">
        <v>505914</v>
      </c>
      <c r="B3180" s="129">
        <v>0</v>
      </c>
      <c r="E3180" s="130"/>
    </row>
    <row r="3181" spans="1:5" x14ac:dyDescent="0.25">
      <c r="A3181" s="1033">
        <v>505916</v>
      </c>
      <c r="B3181" s="129">
        <v>0</v>
      </c>
      <c r="E3181" s="130"/>
    </row>
    <row r="3182" spans="1:5" x14ac:dyDescent="0.25">
      <c r="A3182" s="1033">
        <v>505918</v>
      </c>
      <c r="B3182" s="129">
        <v>0</v>
      </c>
      <c r="E3182" s="130"/>
    </row>
    <row r="3183" spans="1:5" x14ac:dyDescent="0.25">
      <c r="A3183" s="1033">
        <v>505922</v>
      </c>
      <c r="B3183" s="129">
        <v>0</v>
      </c>
      <c r="E3183" s="130"/>
    </row>
    <row r="3184" spans="1:5" x14ac:dyDescent="0.25">
      <c r="A3184" s="1033">
        <v>505924</v>
      </c>
      <c r="B3184" s="129">
        <v>0</v>
      </c>
      <c r="E3184" s="130"/>
    </row>
    <row r="3185" spans="1:5" x14ac:dyDescent="0.25">
      <c r="A3185" s="1033">
        <v>505926</v>
      </c>
      <c r="B3185" s="129">
        <v>0</v>
      </c>
      <c r="E3185" s="130"/>
    </row>
    <row r="3186" spans="1:5" x14ac:dyDescent="0.25">
      <c r="A3186" s="1033">
        <v>505928</v>
      </c>
      <c r="B3186" s="129">
        <v>0</v>
      </c>
      <c r="E3186" s="130"/>
    </row>
    <row r="3187" spans="1:5" x14ac:dyDescent="0.25">
      <c r="A3187" s="1033">
        <v>506012</v>
      </c>
      <c r="B3187" s="129">
        <v>0</v>
      </c>
      <c r="E3187" s="130"/>
    </row>
    <row r="3188" spans="1:5" x14ac:dyDescent="0.25">
      <c r="A3188" s="1033">
        <v>506014</v>
      </c>
      <c r="B3188" s="129">
        <v>0</v>
      </c>
      <c r="E3188" s="130"/>
    </row>
    <row r="3189" spans="1:5" x14ac:dyDescent="0.25">
      <c r="A3189" s="1033">
        <v>506016</v>
      </c>
      <c r="B3189" s="129">
        <v>0</v>
      </c>
      <c r="E3189" s="130"/>
    </row>
    <row r="3190" spans="1:5" x14ac:dyDescent="0.25">
      <c r="A3190" s="1033">
        <v>506018</v>
      </c>
      <c r="B3190" s="129">
        <v>0</v>
      </c>
      <c r="E3190" s="130"/>
    </row>
    <row r="3191" spans="1:5" x14ac:dyDescent="0.25">
      <c r="A3191" s="1033">
        <v>506022</v>
      </c>
      <c r="B3191" s="129">
        <v>0</v>
      </c>
      <c r="E3191" s="130"/>
    </row>
    <row r="3192" spans="1:5" x14ac:dyDescent="0.25">
      <c r="A3192" s="1033">
        <v>506024</v>
      </c>
      <c r="B3192" s="129">
        <v>0</v>
      </c>
      <c r="E3192" s="130"/>
    </row>
    <row r="3193" spans="1:5" x14ac:dyDescent="0.25">
      <c r="A3193" s="1033">
        <v>506026</v>
      </c>
      <c r="B3193" s="129">
        <v>0</v>
      </c>
      <c r="E3193" s="130"/>
    </row>
    <row r="3194" spans="1:5" x14ac:dyDescent="0.25">
      <c r="A3194" s="1033">
        <v>506028</v>
      </c>
      <c r="B3194" s="129">
        <v>0</v>
      </c>
      <c r="E3194" s="130"/>
    </row>
    <row r="3195" spans="1:5" x14ac:dyDescent="0.25">
      <c r="A3195" s="1033">
        <v>506112</v>
      </c>
      <c r="B3195" s="129">
        <v>0</v>
      </c>
      <c r="E3195" s="130"/>
    </row>
    <row r="3196" spans="1:5" x14ac:dyDescent="0.25">
      <c r="A3196" s="1033">
        <v>506114</v>
      </c>
      <c r="B3196" s="129">
        <v>0</v>
      </c>
      <c r="E3196" s="130"/>
    </row>
    <row r="3197" spans="1:5" x14ac:dyDescent="0.25">
      <c r="A3197" s="1033">
        <v>506116</v>
      </c>
      <c r="B3197" s="129">
        <v>0</v>
      </c>
      <c r="E3197" s="130"/>
    </row>
    <row r="3198" spans="1:5" x14ac:dyDescent="0.25">
      <c r="A3198" s="1033">
        <v>506118</v>
      </c>
      <c r="B3198" s="129">
        <v>0</v>
      </c>
      <c r="E3198" s="130"/>
    </row>
    <row r="3199" spans="1:5" x14ac:dyDescent="0.25">
      <c r="A3199" s="1033">
        <v>506122</v>
      </c>
      <c r="B3199" s="129">
        <v>0</v>
      </c>
      <c r="E3199" s="130"/>
    </row>
    <row r="3200" spans="1:5" x14ac:dyDescent="0.25">
      <c r="A3200" s="1033">
        <v>506124</v>
      </c>
      <c r="B3200" s="129">
        <v>0</v>
      </c>
      <c r="E3200" s="130"/>
    </row>
    <row r="3201" spans="1:9" x14ac:dyDescent="0.25">
      <c r="A3201" s="1033">
        <v>506126</v>
      </c>
      <c r="B3201" s="129">
        <v>0</v>
      </c>
      <c r="E3201" s="130"/>
    </row>
    <row r="3202" spans="1:9" x14ac:dyDescent="0.25">
      <c r="A3202" s="1033">
        <v>506128</v>
      </c>
      <c r="B3202" s="129">
        <v>0</v>
      </c>
      <c r="E3202" s="130"/>
    </row>
    <row r="3203" spans="1:9" x14ac:dyDescent="0.25">
      <c r="A3203" s="1033">
        <v>400404</v>
      </c>
      <c r="B3203" s="129">
        <v>4804</v>
      </c>
      <c r="C3203" s="130" t="s">
        <v>1406</v>
      </c>
      <c r="D3203" s="130">
        <v>16</v>
      </c>
      <c r="E3203" s="130" t="s">
        <v>1406</v>
      </c>
      <c r="F3203" s="1031">
        <v>0</v>
      </c>
      <c r="G3203" s="1031">
        <v>4804.29</v>
      </c>
      <c r="H3203" s="1031">
        <v>4804.29</v>
      </c>
      <c r="I3203" s="1032" t="s">
        <v>1407</v>
      </c>
    </row>
    <row r="3204" spans="1:9" x14ac:dyDescent="0.25">
      <c r="A3204" s="1033">
        <v>400406</v>
      </c>
      <c r="B3204" s="129">
        <v>4804</v>
      </c>
      <c r="C3204" s="130" t="s">
        <v>1406</v>
      </c>
      <c r="D3204" s="130">
        <v>16</v>
      </c>
      <c r="E3204" s="130" t="s">
        <v>1406</v>
      </c>
      <c r="F3204" s="1031">
        <v>0</v>
      </c>
      <c r="G3204" s="1031">
        <v>4804.29</v>
      </c>
      <c r="H3204" s="1031">
        <v>4804.29</v>
      </c>
      <c r="I3204" s="1032" t="s">
        <v>1407</v>
      </c>
    </row>
    <row r="3205" spans="1:9" x14ac:dyDescent="0.25">
      <c r="A3205" s="1033">
        <v>400408</v>
      </c>
      <c r="B3205" s="129">
        <v>2483</v>
      </c>
      <c r="C3205" s="130" t="s">
        <v>1408</v>
      </c>
      <c r="D3205" s="130">
        <v>16</v>
      </c>
      <c r="E3205" s="130" t="s">
        <v>1408</v>
      </c>
      <c r="F3205" s="1031">
        <v>0</v>
      </c>
      <c r="G3205" s="1031">
        <v>2482.8000000000002</v>
      </c>
      <c r="H3205" s="1031">
        <v>2482.8000000000002</v>
      </c>
      <c r="I3205" s="1032" t="s">
        <v>1409</v>
      </c>
    </row>
    <row r="3206" spans="1:9" x14ac:dyDescent="0.25">
      <c r="A3206" s="1033">
        <v>400410</v>
      </c>
      <c r="B3206" s="129">
        <v>2483</v>
      </c>
      <c r="C3206" s="130" t="s">
        <v>1408</v>
      </c>
      <c r="D3206" s="130">
        <v>16</v>
      </c>
      <c r="E3206" s="130" t="s">
        <v>1408</v>
      </c>
      <c r="F3206" s="1031">
        <v>0</v>
      </c>
      <c r="G3206" s="1031">
        <v>2482.8000000000002</v>
      </c>
      <c r="H3206" s="1031">
        <v>2482.8000000000002</v>
      </c>
      <c r="I3206" s="1032" t="s">
        <v>1409</v>
      </c>
    </row>
    <row r="3207" spans="1:9" x14ac:dyDescent="0.25">
      <c r="A3207" s="1033">
        <v>400412</v>
      </c>
      <c r="B3207" s="129">
        <v>0</v>
      </c>
      <c r="E3207" s="130"/>
    </row>
    <row r="3208" spans="1:9" x14ac:dyDescent="0.25">
      <c r="A3208" s="1033">
        <v>400414</v>
      </c>
      <c r="B3208" s="129">
        <v>0</v>
      </c>
      <c r="E3208" s="130"/>
    </row>
    <row r="3209" spans="1:9" x14ac:dyDescent="0.25">
      <c r="A3209" s="1033">
        <v>400416</v>
      </c>
      <c r="B3209" s="129">
        <v>0</v>
      </c>
      <c r="E3209" s="130"/>
    </row>
    <row r="3210" spans="1:9" x14ac:dyDescent="0.25">
      <c r="A3210" s="1033">
        <v>400418</v>
      </c>
      <c r="B3210" s="129">
        <v>0</v>
      </c>
      <c r="E3210" s="130"/>
    </row>
    <row r="3211" spans="1:9" x14ac:dyDescent="0.25">
      <c r="A3211" s="1033">
        <v>400420</v>
      </c>
      <c r="B3211" s="129">
        <v>0</v>
      </c>
      <c r="E3211" s="130"/>
    </row>
    <row r="3212" spans="1:9" x14ac:dyDescent="0.25">
      <c r="A3212" s="1033">
        <v>400422</v>
      </c>
      <c r="B3212" s="129">
        <v>0</v>
      </c>
      <c r="E3212" s="130"/>
    </row>
    <row r="3213" spans="1:9" x14ac:dyDescent="0.25">
      <c r="A3213" s="1033">
        <v>400504</v>
      </c>
      <c r="B3213" s="129">
        <v>0</v>
      </c>
      <c r="E3213" s="130"/>
    </row>
    <row r="3214" spans="1:9" x14ac:dyDescent="0.25">
      <c r="A3214" s="1033">
        <v>400506</v>
      </c>
      <c r="B3214" s="129">
        <v>0</v>
      </c>
      <c r="E3214" s="130"/>
    </row>
    <row r="3215" spans="1:9" x14ac:dyDescent="0.25">
      <c r="A3215" s="1033">
        <v>400508</v>
      </c>
      <c r="B3215" s="129">
        <v>0</v>
      </c>
      <c r="E3215" s="130"/>
    </row>
    <row r="3216" spans="1:9" x14ac:dyDescent="0.25">
      <c r="A3216" s="1033">
        <v>400510</v>
      </c>
      <c r="B3216" s="129">
        <v>0</v>
      </c>
      <c r="E3216" s="130"/>
    </row>
    <row r="3217" spans="1:5" x14ac:dyDescent="0.25">
      <c r="A3217" s="1033">
        <v>400512</v>
      </c>
      <c r="B3217" s="129">
        <v>0</v>
      </c>
      <c r="E3217" s="130"/>
    </row>
    <row r="3218" spans="1:5" x14ac:dyDescent="0.25">
      <c r="A3218" s="1033">
        <v>400514</v>
      </c>
      <c r="B3218" s="129">
        <v>0</v>
      </c>
      <c r="E3218" s="130"/>
    </row>
    <row r="3219" spans="1:5" x14ac:dyDescent="0.25">
      <c r="A3219" s="1033">
        <v>400516</v>
      </c>
      <c r="B3219" s="129">
        <v>0</v>
      </c>
      <c r="E3219" s="130"/>
    </row>
    <row r="3220" spans="1:5" x14ac:dyDescent="0.25">
      <c r="A3220" s="1033">
        <v>400518</v>
      </c>
      <c r="B3220" s="129">
        <v>0</v>
      </c>
      <c r="E3220" s="130"/>
    </row>
    <row r="3221" spans="1:5" x14ac:dyDescent="0.25">
      <c r="A3221" s="1033">
        <v>400520</v>
      </c>
      <c r="B3221" s="129">
        <v>0</v>
      </c>
      <c r="E3221" s="130"/>
    </row>
    <row r="3222" spans="1:5" x14ac:dyDescent="0.25">
      <c r="A3222" s="1033">
        <v>400522</v>
      </c>
      <c r="B3222" s="129">
        <v>0</v>
      </c>
      <c r="E3222" s="130"/>
    </row>
    <row r="3223" spans="1:5" x14ac:dyDescent="0.25">
      <c r="A3223" s="1033">
        <v>400604</v>
      </c>
      <c r="B3223" s="129">
        <v>4804</v>
      </c>
      <c r="E3223" s="130"/>
    </row>
    <row r="3224" spans="1:5" x14ac:dyDescent="0.25">
      <c r="A3224" s="1033">
        <v>400606</v>
      </c>
      <c r="B3224" s="129">
        <v>4804</v>
      </c>
      <c r="E3224" s="130"/>
    </row>
    <row r="3225" spans="1:5" x14ac:dyDescent="0.25">
      <c r="A3225" s="1033">
        <v>400608</v>
      </c>
      <c r="B3225" s="129">
        <v>2483</v>
      </c>
      <c r="E3225" s="130"/>
    </row>
    <row r="3226" spans="1:5" x14ac:dyDescent="0.25">
      <c r="A3226" s="1033">
        <v>400610</v>
      </c>
      <c r="B3226" s="129">
        <v>2483</v>
      </c>
      <c r="E3226" s="130"/>
    </row>
    <row r="3227" spans="1:5" x14ac:dyDescent="0.25">
      <c r="A3227" s="1033">
        <v>400612</v>
      </c>
      <c r="B3227" s="129">
        <v>0</v>
      </c>
      <c r="E3227" s="130"/>
    </row>
    <row r="3228" spans="1:5" x14ac:dyDescent="0.25">
      <c r="A3228" s="1033">
        <v>400614</v>
      </c>
      <c r="B3228" s="129">
        <v>0</v>
      </c>
      <c r="E3228" s="130"/>
    </row>
    <row r="3229" spans="1:5" x14ac:dyDescent="0.25">
      <c r="A3229" s="1033">
        <v>400616</v>
      </c>
      <c r="B3229" s="129">
        <v>0</v>
      </c>
      <c r="E3229" s="130"/>
    </row>
    <row r="3230" spans="1:5" x14ac:dyDescent="0.25">
      <c r="A3230" s="1033">
        <v>400618</v>
      </c>
      <c r="B3230" s="129">
        <v>0</v>
      </c>
      <c r="E3230" s="130"/>
    </row>
    <row r="3231" spans="1:5" x14ac:dyDescent="0.25">
      <c r="A3231" s="1033">
        <v>400620</v>
      </c>
      <c r="B3231" s="129">
        <v>0</v>
      </c>
      <c r="E3231" s="130"/>
    </row>
    <row r="3232" spans="1:5" x14ac:dyDescent="0.25">
      <c r="A3232" s="1033">
        <v>400622</v>
      </c>
      <c r="B3232" s="129">
        <v>0</v>
      </c>
      <c r="E3232" s="130"/>
    </row>
    <row r="3233" spans="1:9" x14ac:dyDescent="0.25">
      <c r="A3233" s="1033">
        <v>400704</v>
      </c>
      <c r="B3233" s="129">
        <v>3735</v>
      </c>
      <c r="C3233" s="130" t="s">
        <v>1410</v>
      </c>
      <c r="D3233" s="130">
        <v>16</v>
      </c>
      <c r="E3233" s="130" t="s">
        <v>1410</v>
      </c>
      <c r="F3233" s="1031">
        <v>0</v>
      </c>
      <c r="G3233" s="1031">
        <v>3735.02</v>
      </c>
      <c r="H3233" s="1031">
        <v>3735.02</v>
      </c>
      <c r="I3233" s="1032" t="s">
        <v>1411</v>
      </c>
    </row>
    <row r="3234" spans="1:9" x14ac:dyDescent="0.25">
      <c r="A3234" s="1033">
        <v>400706</v>
      </c>
      <c r="B3234" s="129">
        <v>3735</v>
      </c>
      <c r="C3234" s="130" t="s">
        <v>1410</v>
      </c>
      <c r="D3234" s="130">
        <v>16</v>
      </c>
      <c r="E3234" s="130" t="s">
        <v>1410</v>
      </c>
      <c r="F3234" s="1031">
        <v>0</v>
      </c>
      <c r="G3234" s="1031">
        <v>3735.02</v>
      </c>
      <c r="H3234" s="1031">
        <v>3735.02</v>
      </c>
      <c r="I3234" s="1032" t="s">
        <v>1411</v>
      </c>
    </row>
    <row r="3235" spans="1:9" x14ac:dyDescent="0.25">
      <c r="A3235" s="1033">
        <v>400708</v>
      </c>
      <c r="B3235" s="129">
        <v>2988</v>
      </c>
      <c r="C3235" s="130" t="s">
        <v>1412</v>
      </c>
      <c r="D3235" s="130">
        <v>16</v>
      </c>
      <c r="E3235" s="130" t="s">
        <v>1412</v>
      </c>
      <c r="F3235" s="1031">
        <v>0</v>
      </c>
      <c r="G3235" s="1031">
        <v>2987.97</v>
      </c>
      <c r="H3235" s="1031">
        <v>2987.97</v>
      </c>
      <c r="I3235" s="1032" t="s">
        <v>1413</v>
      </c>
    </row>
    <row r="3236" spans="1:9" x14ac:dyDescent="0.25">
      <c r="A3236" s="1033">
        <v>400710</v>
      </c>
      <c r="B3236" s="129">
        <v>2988</v>
      </c>
      <c r="C3236" s="130" t="s">
        <v>1412</v>
      </c>
      <c r="D3236" s="130">
        <v>16</v>
      </c>
      <c r="E3236" s="130" t="s">
        <v>1412</v>
      </c>
      <c r="F3236" s="1031">
        <v>0</v>
      </c>
      <c r="G3236" s="1031">
        <v>2987.97</v>
      </c>
      <c r="H3236" s="1031">
        <v>2987.97</v>
      </c>
      <c r="I3236" s="1032" t="s">
        <v>1413</v>
      </c>
    </row>
    <row r="3237" spans="1:9" x14ac:dyDescent="0.25">
      <c r="A3237" s="1033">
        <v>400712</v>
      </c>
      <c r="B3237" s="129">
        <v>0</v>
      </c>
      <c r="E3237" s="130"/>
    </row>
    <row r="3238" spans="1:9" x14ac:dyDescent="0.25">
      <c r="A3238" s="1033">
        <v>400714</v>
      </c>
      <c r="B3238" s="129">
        <v>0</v>
      </c>
      <c r="E3238" s="130"/>
    </row>
    <row r="3239" spans="1:9" x14ac:dyDescent="0.25">
      <c r="A3239" s="1033">
        <v>400716</v>
      </c>
      <c r="B3239" s="129">
        <v>0</v>
      </c>
      <c r="E3239" s="130"/>
    </row>
    <row r="3240" spans="1:9" x14ac:dyDescent="0.25">
      <c r="A3240" s="1033">
        <v>400718</v>
      </c>
      <c r="B3240" s="129">
        <v>0</v>
      </c>
      <c r="E3240" s="130"/>
    </row>
    <row r="3241" spans="1:9" x14ac:dyDescent="0.25">
      <c r="A3241" s="1033">
        <v>400720</v>
      </c>
      <c r="B3241" s="129">
        <v>0</v>
      </c>
      <c r="E3241" s="130"/>
    </row>
    <row r="3242" spans="1:9" x14ac:dyDescent="0.25">
      <c r="A3242" s="1033">
        <v>400722</v>
      </c>
      <c r="B3242" s="129">
        <v>0</v>
      </c>
      <c r="E3242" s="130"/>
    </row>
    <row r="3243" spans="1:9" x14ac:dyDescent="0.25">
      <c r="A3243" s="1033">
        <v>400804</v>
      </c>
      <c r="B3243" s="129">
        <v>12758</v>
      </c>
      <c r="C3243" s="130" t="s">
        <v>1414</v>
      </c>
      <c r="D3243" s="130">
        <v>16</v>
      </c>
      <c r="E3243" s="130" t="s">
        <v>1414</v>
      </c>
      <c r="F3243" s="1031">
        <v>0</v>
      </c>
      <c r="G3243" s="1031">
        <v>12757.77</v>
      </c>
      <c r="H3243" s="1031">
        <v>12757.77</v>
      </c>
      <c r="I3243" s="1032" t="s">
        <v>1415</v>
      </c>
    </row>
    <row r="3244" spans="1:9" x14ac:dyDescent="0.25">
      <c r="A3244" s="1033">
        <v>400806</v>
      </c>
      <c r="B3244" s="129">
        <v>12758</v>
      </c>
      <c r="C3244" s="130" t="s">
        <v>1414</v>
      </c>
      <c r="D3244" s="130">
        <v>16</v>
      </c>
      <c r="E3244" s="130" t="s">
        <v>1414</v>
      </c>
      <c r="F3244" s="1031">
        <v>0</v>
      </c>
      <c r="G3244" s="1031">
        <v>12757.77</v>
      </c>
      <c r="H3244" s="1031">
        <v>12757.77</v>
      </c>
      <c r="I3244" s="1032" t="s">
        <v>1415</v>
      </c>
    </row>
    <row r="3245" spans="1:9" x14ac:dyDescent="0.25">
      <c r="A3245" s="1033">
        <v>400808</v>
      </c>
      <c r="B3245" s="129">
        <v>3079</v>
      </c>
      <c r="C3245" s="130" t="s">
        <v>1416</v>
      </c>
      <c r="D3245" s="130">
        <v>16</v>
      </c>
      <c r="E3245" s="130" t="s">
        <v>1416</v>
      </c>
      <c r="F3245" s="1031">
        <v>0</v>
      </c>
      <c r="G3245" s="1031">
        <v>3078.55</v>
      </c>
      <c r="H3245" s="1031">
        <v>3078.55</v>
      </c>
      <c r="I3245" s="1032" t="s">
        <v>1417</v>
      </c>
    </row>
    <row r="3246" spans="1:9" x14ac:dyDescent="0.25">
      <c r="A3246" s="1033">
        <v>400810</v>
      </c>
      <c r="B3246" s="129">
        <v>3079</v>
      </c>
      <c r="C3246" s="130" t="s">
        <v>1416</v>
      </c>
      <c r="D3246" s="130">
        <v>16</v>
      </c>
      <c r="E3246" s="130" t="s">
        <v>1416</v>
      </c>
      <c r="F3246" s="1031">
        <v>0</v>
      </c>
      <c r="G3246" s="1031">
        <v>3078.55</v>
      </c>
      <c r="H3246" s="1031">
        <v>3078.55</v>
      </c>
      <c r="I3246" s="1032" t="s">
        <v>1417</v>
      </c>
    </row>
    <row r="3247" spans="1:9" x14ac:dyDescent="0.25">
      <c r="A3247" s="1033">
        <v>400812</v>
      </c>
      <c r="B3247" s="129">
        <v>0</v>
      </c>
      <c r="E3247" s="130"/>
    </row>
    <row r="3248" spans="1:9" x14ac:dyDescent="0.25">
      <c r="A3248" s="1033">
        <v>400814</v>
      </c>
      <c r="B3248" s="129">
        <v>0</v>
      </c>
      <c r="E3248" s="130"/>
    </row>
    <row r="3249" spans="1:9" x14ac:dyDescent="0.25">
      <c r="A3249" s="1033">
        <v>400816</v>
      </c>
      <c r="B3249" s="129">
        <v>0</v>
      </c>
      <c r="E3249" s="130"/>
    </row>
    <row r="3250" spans="1:9" x14ac:dyDescent="0.25">
      <c r="A3250" s="1033">
        <v>400818</v>
      </c>
      <c r="B3250" s="129">
        <v>0</v>
      </c>
      <c r="E3250" s="130"/>
    </row>
    <row r="3251" spans="1:9" x14ac:dyDescent="0.25">
      <c r="A3251" s="1033">
        <v>400820</v>
      </c>
      <c r="B3251" s="129">
        <v>0</v>
      </c>
      <c r="E3251" s="130"/>
    </row>
    <row r="3252" spans="1:9" x14ac:dyDescent="0.25">
      <c r="A3252" s="1033">
        <v>400822</v>
      </c>
      <c r="B3252" s="129">
        <v>0</v>
      </c>
      <c r="E3252" s="130"/>
    </row>
    <row r="3253" spans="1:9" x14ac:dyDescent="0.25">
      <c r="A3253" s="1033">
        <v>400904</v>
      </c>
      <c r="B3253" s="129">
        <v>5753</v>
      </c>
      <c r="C3253" s="130" t="s">
        <v>1418</v>
      </c>
      <c r="D3253" s="130">
        <v>16</v>
      </c>
      <c r="E3253" s="130" t="s">
        <v>1418</v>
      </c>
      <c r="F3253" s="1031">
        <v>0</v>
      </c>
      <c r="G3253" s="1031">
        <v>5752.69</v>
      </c>
      <c r="H3253" s="1031">
        <v>5752.69</v>
      </c>
      <c r="I3253" s="1032" t="s">
        <v>1419</v>
      </c>
    </row>
    <row r="3254" spans="1:9" x14ac:dyDescent="0.25">
      <c r="A3254" s="1033">
        <v>400906</v>
      </c>
      <c r="B3254" s="129">
        <v>5753</v>
      </c>
      <c r="C3254" s="130" t="s">
        <v>1418</v>
      </c>
      <c r="D3254" s="130">
        <v>16</v>
      </c>
      <c r="E3254" s="130" t="s">
        <v>1418</v>
      </c>
      <c r="F3254" s="1031">
        <v>0</v>
      </c>
      <c r="G3254" s="1031">
        <v>5752.69</v>
      </c>
      <c r="H3254" s="1031">
        <v>5752.69</v>
      </c>
      <c r="I3254" s="1032" t="s">
        <v>1419</v>
      </c>
    </row>
    <row r="3255" spans="1:9" x14ac:dyDescent="0.25">
      <c r="A3255" s="1033">
        <v>400908</v>
      </c>
      <c r="B3255" s="129">
        <v>2905</v>
      </c>
      <c r="C3255" s="130" t="s">
        <v>1420</v>
      </c>
      <c r="D3255" s="130">
        <v>16</v>
      </c>
      <c r="E3255" s="130" t="s">
        <v>1420</v>
      </c>
      <c r="F3255" s="1031">
        <v>0</v>
      </c>
      <c r="G3255" s="1031">
        <v>2904.69</v>
      </c>
      <c r="H3255" s="1031">
        <v>2904.69</v>
      </c>
      <c r="I3255" s="1032" t="s">
        <v>1421</v>
      </c>
    </row>
    <row r="3256" spans="1:9" x14ac:dyDescent="0.25">
      <c r="A3256" s="1033">
        <v>400910</v>
      </c>
      <c r="B3256" s="129">
        <v>2905</v>
      </c>
      <c r="C3256" s="130" t="s">
        <v>1420</v>
      </c>
      <c r="D3256" s="130">
        <v>16</v>
      </c>
      <c r="E3256" s="130" t="s">
        <v>1420</v>
      </c>
      <c r="F3256" s="1031">
        <v>0</v>
      </c>
      <c r="G3256" s="1031">
        <v>2904.69</v>
      </c>
      <c r="H3256" s="1031">
        <v>2904.69</v>
      </c>
      <c r="I3256" s="1032" t="s">
        <v>1421</v>
      </c>
    </row>
    <row r="3257" spans="1:9" x14ac:dyDescent="0.25">
      <c r="A3257" s="1033">
        <v>400912</v>
      </c>
      <c r="B3257" s="129">
        <v>0</v>
      </c>
      <c r="E3257" s="130"/>
    </row>
    <row r="3258" spans="1:9" x14ac:dyDescent="0.25">
      <c r="A3258" s="1033">
        <v>400914</v>
      </c>
      <c r="B3258" s="129">
        <v>0</v>
      </c>
      <c r="E3258" s="130"/>
    </row>
    <row r="3259" spans="1:9" x14ac:dyDescent="0.25">
      <c r="A3259" s="1033">
        <v>400916</v>
      </c>
      <c r="B3259" s="129">
        <v>0</v>
      </c>
      <c r="E3259" s="130"/>
    </row>
    <row r="3260" spans="1:9" x14ac:dyDescent="0.25">
      <c r="A3260" s="1033">
        <v>400918</v>
      </c>
      <c r="B3260" s="129">
        <v>0</v>
      </c>
      <c r="E3260" s="130"/>
    </row>
    <row r="3261" spans="1:9" x14ac:dyDescent="0.25">
      <c r="A3261" s="1033">
        <v>400920</v>
      </c>
      <c r="B3261" s="129">
        <v>0</v>
      </c>
      <c r="E3261" s="130"/>
    </row>
    <row r="3262" spans="1:9" x14ac:dyDescent="0.25">
      <c r="A3262" s="1033">
        <v>400922</v>
      </c>
      <c r="B3262" s="129">
        <v>0</v>
      </c>
      <c r="E3262" s="130"/>
    </row>
    <row r="3263" spans="1:9" x14ac:dyDescent="0.25">
      <c r="A3263" s="1033">
        <v>401004</v>
      </c>
      <c r="B3263" s="129">
        <v>10355</v>
      </c>
      <c r="C3263" s="130" t="s">
        <v>1422</v>
      </c>
      <c r="D3263" s="130">
        <v>16</v>
      </c>
      <c r="E3263" s="130" t="s">
        <v>1422</v>
      </c>
      <c r="F3263" s="1031">
        <v>0</v>
      </c>
      <c r="G3263" s="1031">
        <v>10355.39</v>
      </c>
      <c r="H3263" s="1031">
        <v>10355.39</v>
      </c>
      <c r="I3263" s="1032" t="s">
        <v>1423</v>
      </c>
    </row>
    <row r="3264" spans="1:9" x14ac:dyDescent="0.25">
      <c r="A3264" s="1033">
        <v>401006</v>
      </c>
      <c r="B3264" s="129">
        <v>10355</v>
      </c>
      <c r="C3264" s="130" t="s">
        <v>1422</v>
      </c>
      <c r="D3264" s="130">
        <v>16</v>
      </c>
      <c r="E3264" s="130" t="s">
        <v>1422</v>
      </c>
      <c r="F3264" s="1031">
        <v>0</v>
      </c>
      <c r="G3264" s="1031">
        <v>10355.39</v>
      </c>
      <c r="H3264" s="1031">
        <v>10355.39</v>
      </c>
      <c r="I3264" s="1032" t="s">
        <v>1423</v>
      </c>
    </row>
    <row r="3265" spans="1:9" x14ac:dyDescent="0.25">
      <c r="A3265" s="1033">
        <v>401008</v>
      </c>
      <c r="B3265" s="129">
        <v>0</v>
      </c>
      <c r="E3265" s="130"/>
    </row>
    <row r="3266" spans="1:9" x14ac:dyDescent="0.25">
      <c r="A3266" s="1033">
        <v>401010</v>
      </c>
      <c r="B3266" s="129">
        <v>0</v>
      </c>
      <c r="E3266" s="130"/>
    </row>
    <row r="3267" spans="1:9" x14ac:dyDescent="0.25">
      <c r="A3267" s="1033">
        <v>401012</v>
      </c>
      <c r="B3267" s="129">
        <v>0</v>
      </c>
      <c r="E3267" s="130"/>
    </row>
    <row r="3268" spans="1:9" x14ac:dyDescent="0.25">
      <c r="A3268" s="1033">
        <v>401014</v>
      </c>
      <c r="B3268" s="129">
        <v>0</v>
      </c>
      <c r="E3268" s="130"/>
    </row>
    <row r="3269" spans="1:9" x14ac:dyDescent="0.25">
      <c r="A3269" s="1033">
        <v>401016</v>
      </c>
      <c r="B3269" s="129">
        <v>0</v>
      </c>
      <c r="E3269" s="130"/>
    </row>
    <row r="3270" spans="1:9" x14ac:dyDescent="0.25">
      <c r="A3270" s="1033">
        <v>401018</v>
      </c>
      <c r="B3270" s="129">
        <v>0</v>
      </c>
      <c r="E3270" s="130"/>
    </row>
    <row r="3271" spans="1:9" x14ac:dyDescent="0.25">
      <c r="A3271" s="1033">
        <v>401020</v>
      </c>
      <c r="B3271" s="129">
        <v>0</v>
      </c>
      <c r="E3271" s="130"/>
    </row>
    <row r="3272" spans="1:9" x14ac:dyDescent="0.25">
      <c r="A3272" s="1033">
        <v>401022</v>
      </c>
      <c r="B3272" s="129">
        <v>0</v>
      </c>
      <c r="E3272" s="130"/>
    </row>
    <row r="3273" spans="1:9" x14ac:dyDescent="0.25">
      <c r="A3273" s="1033">
        <v>401104</v>
      </c>
      <c r="B3273" s="129">
        <v>4461</v>
      </c>
      <c r="C3273" s="130" t="s">
        <v>1424</v>
      </c>
      <c r="D3273" s="130">
        <v>16</v>
      </c>
      <c r="E3273" s="130" t="s">
        <v>1424</v>
      </c>
      <c r="F3273" s="1031">
        <v>0</v>
      </c>
      <c r="G3273" s="1031">
        <v>4460.9799999999996</v>
      </c>
      <c r="H3273" s="1031">
        <v>4460.9799999999996</v>
      </c>
      <c r="I3273" s="1032" t="s">
        <v>1425</v>
      </c>
    </row>
    <row r="3274" spans="1:9" x14ac:dyDescent="0.25">
      <c r="A3274" s="1033">
        <v>401106</v>
      </c>
      <c r="B3274" s="129">
        <v>4461</v>
      </c>
      <c r="C3274" s="130" t="s">
        <v>1424</v>
      </c>
      <c r="D3274" s="130">
        <v>16</v>
      </c>
      <c r="E3274" s="130" t="s">
        <v>1424</v>
      </c>
      <c r="F3274" s="1031">
        <v>0</v>
      </c>
      <c r="G3274" s="1031">
        <v>4460.9799999999996</v>
      </c>
      <c r="H3274" s="1031">
        <v>4460.9799999999996</v>
      </c>
      <c r="I3274" s="1032" t="s">
        <v>1425</v>
      </c>
    </row>
    <row r="3275" spans="1:9" x14ac:dyDescent="0.25">
      <c r="A3275" s="1033">
        <v>401108</v>
      </c>
      <c r="B3275" s="129">
        <v>12777</v>
      </c>
      <c r="C3275" s="130" t="s">
        <v>1426</v>
      </c>
      <c r="D3275" s="130">
        <v>16</v>
      </c>
      <c r="E3275" s="130" t="s">
        <v>1426</v>
      </c>
      <c r="F3275" s="1031">
        <v>0</v>
      </c>
      <c r="G3275" s="1031">
        <v>12776.68</v>
      </c>
      <c r="H3275" s="1031">
        <v>12776.68</v>
      </c>
      <c r="I3275" s="1032" t="s">
        <v>1427</v>
      </c>
    </row>
    <row r="3276" spans="1:9" x14ac:dyDescent="0.25">
      <c r="A3276" s="1033">
        <v>401110</v>
      </c>
      <c r="B3276" s="129">
        <v>12777</v>
      </c>
      <c r="C3276" s="130" t="s">
        <v>1426</v>
      </c>
      <c r="D3276" s="130">
        <v>16</v>
      </c>
      <c r="E3276" s="130" t="s">
        <v>1426</v>
      </c>
      <c r="F3276" s="1031">
        <v>0</v>
      </c>
      <c r="G3276" s="1031">
        <v>12776.68</v>
      </c>
      <c r="H3276" s="1031">
        <v>12776.68</v>
      </c>
      <c r="I3276" s="1032" t="s">
        <v>1427</v>
      </c>
    </row>
    <row r="3277" spans="1:9" x14ac:dyDescent="0.25">
      <c r="A3277" s="1033">
        <v>401112</v>
      </c>
      <c r="B3277" s="129">
        <v>0</v>
      </c>
      <c r="E3277" s="130"/>
    </row>
    <row r="3278" spans="1:9" x14ac:dyDescent="0.25">
      <c r="A3278" s="1033">
        <v>401114</v>
      </c>
      <c r="B3278" s="129">
        <v>0</v>
      </c>
      <c r="E3278" s="130"/>
    </row>
    <row r="3279" spans="1:9" x14ac:dyDescent="0.25">
      <c r="A3279" s="1033">
        <v>401116</v>
      </c>
      <c r="B3279" s="129">
        <v>0</v>
      </c>
      <c r="E3279" s="130"/>
    </row>
    <row r="3280" spans="1:9" x14ac:dyDescent="0.25">
      <c r="A3280" s="1033">
        <v>401118</v>
      </c>
      <c r="B3280" s="129">
        <v>0</v>
      </c>
      <c r="E3280" s="130"/>
    </row>
    <row r="3281" spans="1:9" x14ac:dyDescent="0.25">
      <c r="A3281" s="1033">
        <v>401120</v>
      </c>
      <c r="B3281" s="129">
        <v>0</v>
      </c>
      <c r="E3281" s="130"/>
    </row>
    <row r="3282" spans="1:9" x14ac:dyDescent="0.25">
      <c r="A3282" s="1033">
        <v>401122</v>
      </c>
      <c r="B3282" s="129">
        <v>0</v>
      </c>
      <c r="E3282" s="130"/>
    </row>
    <row r="3283" spans="1:9" x14ac:dyDescent="0.25">
      <c r="A3283" s="1033">
        <v>401204</v>
      </c>
      <c r="B3283" s="129">
        <v>11500</v>
      </c>
      <c r="C3283" s="130" t="s">
        <v>1428</v>
      </c>
      <c r="D3283" s="130">
        <v>16</v>
      </c>
      <c r="E3283" s="130" t="s">
        <v>1428</v>
      </c>
      <c r="F3283" s="1031">
        <v>0</v>
      </c>
      <c r="G3283" s="1031">
        <v>11499.54</v>
      </c>
      <c r="H3283" s="1031">
        <v>11499.54</v>
      </c>
      <c r="I3283" s="1032" t="s">
        <v>1429</v>
      </c>
    </row>
    <row r="3284" spans="1:9" x14ac:dyDescent="0.25">
      <c r="A3284" s="1033">
        <v>401206</v>
      </c>
      <c r="B3284" s="129">
        <v>11500</v>
      </c>
      <c r="C3284" s="130" t="s">
        <v>1428</v>
      </c>
      <c r="D3284" s="130">
        <v>16</v>
      </c>
      <c r="E3284" s="130" t="s">
        <v>1428</v>
      </c>
      <c r="F3284" s="1031">
        <v>0</v>
      </c>
      <c r="G3284" s="1031">
        <v>11499.54</v>
      </c>
      <c r="H3284" s="1031">
        <v>11499.54</v>
      </c>
      <c r="I3284" s="1032" t="s">
        <v>1429</v>
      </c>
    </row>
    <row r="3285" spans="1:9" x14ac:dyDescent="0.25">
      <c r="A3285" s="1033">
        <v>401208</v>
      </c>
      <c r="B3285" s="129">
        <v>3078</v>
      </c>
      <c r="C3285" s="130" t="s">
        <v>1430</v>
      </c>
      <c r="D3285" s="130">
        <v>16</v>
      </c>
      <c r="E3285" s="130" t="s">
        <v>1430</v>
      </c>
      <c r="F3285" s="1031">
        <v>0</v>
      </c>
      <c r="G3285" s="1031">
        <v>3077.64</v>
      </c>
      <c r="H3285" s="1031">
        <v>3077.64</v>
      </c>
      <c r="I3285" s="1032" t="s">
        <v>1431</v>
      </c>
    </row>
    <row r="3286" spans="1:9" x14ac:dyDescent="0.25">
      <c r="A3286" s="1033">
        <v>401210</v>
      </c>
      <c r="B3286" s="129">
        <v>3078</v>
      </c>
      <c r="C3286" s="130" t="s">
        <v>1430</v>
      </c>
      <c r="D3286" s="130">
        <v>16</v>
      </c>
      <c r="E3286" s="130" t="s">
        <v>1430</v>
      </c>
      <c r="F3286" s="1031">
        <v>0</v>
      </c>
      <c r="G3286" s="1031">
        <v>3077.64</v>
      </c>
      <c r="H3286" s="1031">
        <v>3077.64</v>
      </c>
      <c r="I3286" s="1032" t="s">
        <v>1431</v>
      </c>
    </row>
    <row r="3287" spans="1:9" x14ac:dyDescent="0.25">
      <c r="A3287" s="1033">
        <v>401212</v>
      </c>
      <c r="B3287" s="129">
        <v>0</v>
      </c>
      <c r="E3287" s="130"/>
    </row>
    <row r="3288" spans="1:9" x14ac:dyDescent="0.25">
      <c r="A3288" s="1033">
        <v>401214</v>
      </c>
      <c r="B3288" s="129">
        <v>0</v>
      </c>
      <c r="E3288" s="130"/>
    </row>
    <row r="3289" spans="1:9" x14ac:dyDescent="0.25">
      <c r="A3289" s="1033">
        <v>401216</v>
      </c>
      <c r="B3289" s="129">
        <v>0</v>
      </c>
      <c r="E3289" s="130"/>
    </row>
    <row r="3290" spans="1:9" x14ac:dyDescent="0.25">
      <c r="A3290" s="1033">
        <v>401218</v>
      </c>
      <c r="B3290" s="129">
        <v>0</v>
      </c>
      <c r="E3290" s="130"/>
    </row>
    <row r="3291" spans="1:9" x14ac:dyDescent="0.25">
      <c r="A3291" s="1033">
        <v>401220</v>
      </c>
      <c r="B3291" s="129">
        <v>0</v>
      </c>
      <c r="E3291" s="130"/>
    </row>
    <row r="3292" spans="1:9" x14ac:dyDescent="0.25">
      <c r="A3292" s="1033">
        <v>401222</v>
      </c>
      <c r="B3292" s="129">
        <v>0</v>
      </c>
      <c r="E3292" s="130"/>
    </row>
    <row r="3293" spans="1:9" x14ac:dyDescent="0.25">
      <c r="A3293" s="1033">
        <v>401304</v>
      </c>
      <c r="B3293" s="129">
        <v>12631</v>
      </c>
      <c r="C3293" s="130" t="s">
        <v>1432</v>
      </c>
      <c r="D3293" s="130">
        <v>16</v>
      </c>
      <c r="E3293" s="130" t="s">
        <v>1432</v>
      </c>
      <c r="F3293" s="1031">
        <v>0</v>
      </c>
      <c r="G3293" s="1031">
        <v>12631.23</v>
      </c>
      <c r="H3293" s="1031">
        <v>12631.23</v>
      </c>
      <c r="I3293" s="1032" t="s">
        <v>1433</v>
      </c>
    </row>
    <row r="3294" spans="1:9" x14ac:dyDescent="0.25">
      <c r="A3294" s="1033">
        <v>401306</v>
      </c>
      <c r="B3294" s="129">
        <v>12631</v>
      </c>
      <c r="C3294" s="130" t="s">
        <v>1432</v>
      </c>
      <c r="D3294" s="130">
        <v>16</v>
      </c>
      <c r="E3294" s="130" t="s">
        <v>1432</v>
      </c>
      <c r="F3294" s="1031">
        <v>0</v>
      </c>
      <c r="G3294" s="1031">
        <v>12631.23</v>
      </c>
      <c r="H3294" s="1031">
        <v>12631.23</v>
      </c>
      <c r="I3294" s="1032" t="s">
        <v>1433</v>
      </c>
    </row>
    <row r="3295" spans="1:9" x14ac:dyDescent="0.25">
      <c r="A3295" s="1033">
        <v>401308</v>
      </c>
      <c r="B3295" s="129">
        <v>3744</v>
      </c>
      <c r="C3295" s="130" t="s">
        <v>1434</v>
      </c>
      <c r="D3295" s="130">
        <v>16</v>
      </c>
      <c r="E3295" s="130" t="s">
        <v>1434</v>
      </c>
      <c r="F3295" s="1031">
        <v>0</v>
      </c>
      <c r="G3295" s="1031">
        <v>3743.91</v>
      </c>
      <c r="H3295" s="1031">
        <v>3743.91</v>
      </c>
      <c r="I3295" s="1032" t="s">
        <v>1435</v>
      </c>
    </row>
    <row r="3296" spans="1:9" x14ac:dyDescent="0.25">
      <c r="A3296" s="1033">
        <v>401310</v>
      </c>
      <c r="B3296" s="129">
        <v>3744</v>
      </c>
      <c r="C3296" s="130" t="s">
        <v>1434</v>
      </c>
      <c r="D3296" s="130">
        <v>16</v>
      </c>
      <c r="E3296" s="130" t="s">
        <v>1434</v>
      </c>
      <c r="F3296" s="1031">
        <v>0</v>
      </c>
      <c r="G3296" s="1031">
        <v>3743.91</v>
      </c>
      <c r="H3296" s="1031">
        <v>3743.91</v>
      </c>
      <c r="I3296" s="1032" t="s">
        <v>1435</v>
      </c>
    </row>
    <row r="3297" spans="1:9" x14ac:dyDescent="0.25">
      <c r="A3297" s="1033">
        <v>401312</v>
      </c>
      <c r="B3297" s="129">
        <v>0</v>
      </c>
      <c r="E3297" s="130"/>
    </row>
    <row r="3298" spans="1:9" x14ac:dyDescent="0.25">
      <c r="A3298" s="1033">
        <v>401314</v>
      </c>
      <c r="B3298" s="129">
        <v>0</v>
      </c>
      <c r="E3298" s="130"/>
    </row>
    <row r="3299" spans="1:9" x14ac:dyDescent="0.25">
      <c r="A3299" s="1033">
        <v>401316</v>
      </c>
      <c r="B3299" s="129">
        <v>0</v>
      </c>
      <c r="E3299" s="130"/>
    </row>
    <row r="3300" spans="1:9" x14ac:dyDescent="0.25">
      <c r="A3300" s="1033">
        <v>401318</v>
      </c>
      <c r="B3300" s="129">
        <v>0</v>
      </c>
      <c r="E3300" s="130"/>
    </row>
    <row r="3301" spans="1:9" x14ac:dyDescent="0.25">
      <c r="A3301" s="1033">
        <v>401320</v>
      </c>
      <c r="B3301" s="129">
        <v>0</v>
      </c>
      <c r="E3301" s="130"/>
    </row>
    <row r="3302" spans="1:9" x14ac:dyDescent="0.25">
      <c r="A3302" s="1033">
        <v>401322</v>
      </c>
      <c r="B3302" s="129">
        <v>0</v>
      </c>
      <c r="E3302" s="130"/>
    </row>
    <row r="3303" spans="1:9" x14ac:dyDescent="0.25">
      <c r="A3303" s="1033">
        <v>401404</v>
      </c>
      <c r="B3303" s="129">
        <v>5415</v>
      </c>
      <c r="C3303" s="130" t="s">
        <v>1436</v>
      </c>
      <c r="D3303" s="130">
        <v>16</v>
      </c>
      <c r="E3303" s="130" t="s">
        <v>1436</v>
      </c>
      <c r="F3303" s="1031">
        <v>0</v>
      </c>
      <c r="G3303" s="1031">
        <v>5414.88</v>
      </c>
      <c r="H3303" s="1031">
        <v>5414.88</v>
      </c>
      <c r="I3303" s="1032" t="s">
        <v>1437</v>
      </c>
    </row>
    <row r="3304" spans="1:9" x14ac:dyDescent="0.25">
      <c r="A3304" s="1033">
        <v>401406</v>
      </c>
      <c r="B3304" s="129">
        <v>5415</v>
      </c>
      <c r="C3304" s="130" t="s">
        <v>1436</v>
      </c>
      <c r="D3304" s="130">
        <v>16</v>
      </c>
      <c r="E3304" s="130" t="s">
        <v>1436</v>
      </c>
      <c r="F3304" s="1031">
        <v>0</v>
      </c>
      <c r="G3304" s="1031">
        <v>5414.88</v>
      </c>
      <c r="H3304" s="1031">
        <v>5414.88</v>
      </c>
      <c r="I3304" s="1032" t="s">
        <v>1437</v>
      </c>
    </row>
    <row r="3305" spans="1:9" x14ac:dyDescent="0.25">
      <c r="A3305" s="1033">
        <v>401408</v>
      </c>
      <c r="B3305" s="129">
        <v>1860</v>
      </c>
      <c r="C3305" s="130" t="s">
        <v>1438</v>
      </c>
      <c r="D3305" s="130">
        <v>16</v>
      </c>
      <c r="E3305" s="130" t="s">
        <v>1438</v>
      </c>
      <c r="F3305" s="1031">
        <v>0</v>
      </c>
      <c r="G3305" s="1031">
        <v>1860.41</v>
      </c>
      <c r="H3305" s="1031">
        <v>1860.41</v>
      </c>
      <c r="I3305" s="1032" t="s">
        <v>1439</v>
      </c>
    </row>
    <row r="3306" spans="1:9" x14ac:dyDescent="0.25">
      <c r="A3306" s="1033">
        <v>401410</v>
      </c>
      <c r="B3306" s="129">
        <v>1860</v>
      </c>
      <c r="C3306" s="130" t="s">
        <v>1438</v>
      </c>
      <c r="D3306" s="130">
        <v>16</v>
      </c>
      <c r="E3306" s="130" t="s">
        <v>1438</v>
      </c>
      <c r="F3306" s="1031">
        <v>0</v>
      </c>
      <c r="G3306" s="1031">
        <v>1860.41</v>
      </c>
      <c r="H3306" s="1031">
        <v>1860.41</v>
      </c>
      <c r="I3306" s="1032" t="s">
        <v>1439</v>
      </c>
    </row>
    <row r="3307" spans="1:9" x14ac:dyDescent="0.25">
      <c r="A3307" s="1033">
        <v>401412</v>
      </c>
      <c r="B3307" s="129">
        <v>0</v>
      </c>
      <c r="E3307" s="130"/>
    </row>
    <row r="3308" spans="1:9" x14ac:dyDescent="0.25">
      <c r="A3308" s="1033">
        <v>401414</v>
      </c>
      <c r="B3308" s="129">
        <v>0</v>
      </c>
      <c r="E3308" s="130"/>
    </row>
    <row r="3309" spans="1:9" x14ac:dyDescent="0.25">
      <c r="A3309" s="1033">
        <v>401416</v>
      </c>
      <c r="B3309" s="129">
        <v>0</v>
      </c>
      <c r="E3309" s="130"/>
    </row>
    <row r="3310" spans="1:9" x14ac:dyDescent="0.25">
      <c r="A3310" s="1033">
        <v>401418</v>
      </c>
      <c r="B3310" s="129">
        <v>0</v>
      </c>
      <c r="E3310" s="130"/>
    </row>
    <row r="3311" spans="1:9" x14ac:dyDescent="0.25">
      <c r="A3311" s="1033">
        <v>401420</v>
      </c>
      <c r="B3311" s="129">
        <v>0</v>
      </c>
      <c r="E3311" s="130"/>
    </row>
    <row r="3312" spans="1:9" x14ac:dyDescent="0.25">
      <c r="A3312" s="1033">
        <v>401422</v>
      </c>
      <c r="B3312" s="129">
        <v>0</v>
      </c>
      <c r="E3312" s="130"/>
    </row>
    <row r="3313" spans="1:9" x14ac:dyDescent="0.25">
      <c r="A3313" s="1033">
        <v>401504</v>
      </c>
      <c r="B3313" s="129">
        <v>1923</v>
      </c>
      <c r="C3313" s="130" t="s">
        <v>1440</v>
      </c>
      <c r="D3313" s="130">
        <v>16</v>
      </c>
      <c r="E3313" s="130" t="s">
        <v>1440</v>
      </c>
      <c r="F3313" s="1031">
        <v>0</v>
      </c>
      <c r="G3313" s="1031">
        <v>1923</v>
      </c>
      <c r="H3313" s="1031">
        <v>1923</v>
      </c>
      <c r="I3313" s="1032" t="s">
        <v>1441</v>
      </c>
    </row>
    <row r="3314" spans="1:9" x14ac:dyDescent="0.25">
      <c r="A3314" s="1033">
        <v>401506</v>
      </c>
      <c r="B3314" s="129">
        <v>1923</v>
      </c>
      <c r="C3314" s="130" t="s">
        <v>1440</v>
      </c>
      <c r="D3314" s="130">
        <v>16</v>
      </c>
      <c r="E3314" s="130" t="s">
        <v>1440</v>
      </c>
      <c r="F3314" s="1031">
        <v>0</v>
      </c>
      <c r="G3314" s="1031">
        <v>1923</v>
      </c>
      <c r="H3314" s="1031">
        <v>1923</v>
      </c>
      <c r="I3314" s="1032" t="s">
        <v>1441</v>
      </c>
    </row>
    <row r="3315" spans="1:9" x14ac:dyDescent="0.25">
      <c r="A3315" s="1033">
        <v>401508</v>
      </c>
      <c r="B3315" s="129">
        <v>424</v>
      </c>
      <c r="C3315" s="130" t="s">
        <v>1442</v>
      </c>
      <c r="D3315" s="130">
        <v>16</v>
      </c>
      <c r="E3315" s="130" t="s">
        <v>1442</v>
      </c>
      <c r="F3315" s="1031">
        <v>0</v>
      </c>
      <c r="G3315" s="1031">
        <v>424.24</v>
      </c>
      <c r="H3315" s="1031">
        <v>424.24</v>
      </c>
      <c r="I3315" s="1032" t="s">
        <v>1443</v>
      </c>
    </row>
    <row r="3316" spans="1:9" x14ac:dyDescent="0.25">
      <c r="A3316" s="1033">
        <v>401510</v>
      </c>
      <c r="B3316" s="129">
        <v>424</v>
      </c>
      <c r="C3316" s="130" t="s">
        <v>1442</v>
      </c>
      <c r="D3316" s="130">
        <v>16</v>
      </c>
      <c r="E3316" s="130" t="s">
        <v>1442</v>
      </c>
      <c r="F3316" s="1031">
        <v>0</v>
      </c>
      <c r="G3316" s="1031">
        <v>424.24</v>
      </c>
      <c r="H3316" s="1031">
        <v>424.24</v>
      </c>
      <c r="I3316" s="1032" t="s">
        <v>1443</v>
      </c>
    </row>
    <row r="3317" spans="1:9" x14ac:dyDescent="0.25">
      <c r="A3317" s="1033">
        <v>401512</v>
      </c>
      <c r="B3317" s="129">
        <v>0</v>
      </c>
      <c r="E3317" s="130"/>
    </row>
    <row r="3318" spans="1:9" x14ac:dyDescent="0.25">
      <c r="A3318" s="1033">
        <v>401514</v>
      </c>
      <c r="B3318" s="129">
        <v>0</v>
      </c>
      <c r="E3318" s="130"/>
    </row>
    <row r="3319" spans="1:9" x14ac:dyDescent="0.25">
      <c r="A3319" s="1033">
        <v>401516</v>
      </c>
      <c r="B3319" s="129">
        <v>0</v>
      </c>
      <c r="E3319" s="130"/>
    </row>
    <row r="3320" spans="1:9" x14ac:dyDescent="0.25">
      <c r="A3320" s="1033">
        <v>401518</v>
      </c>
      <c r="B3320" s="129">
        <v>0</v>
      </c>
      <c r="E3320" s="130"/>
    </row>
    <row r="3321" spans="1:9" x14ac:dyDescent="0.25">
      <c r="A3321" s="1033">
        <v>401520</v>
      </c>
      <c r="B3321" s="129">
        <v>0</v>
      </c>
      <c r="E3321" s="130"/>
    </row>
    <row r="3322" spans="1:9" x14ac:dyDescent="0.25">
      <c r="A3322" s="1033">
        <v>401522</v>
      </c>
      <c r="B3322" s="129">
        <v>0</v>
      </c>
      <c r="E3322" s="130"/>
    </row>
    <row r="3323" spans="1:9" x14ac:dyDescent="0.25">
      <c r="A3323" s="1033">
        <v>401604</v>
      </c>
      <c r="B3323" s="129">
        <v>0</v>
      </c>
      <c r="E3323" s="130"/>
    </row>
    <row r="3324" spans="1:9" x14ac:dyDescent="0.25">
      <c r="A3324" s="1033">
        <v>401606</v>
      </c>
      <c r="B3324" s="129">
        <v>0</v>
      </c>
      <c r="E3324" s="130"/>
    </row>
    <row r="3325" spans="1:9" x14ac:dyDescent="0.25">
      <c r="A3325" s="1033">
        <v>401608</v>
      </c>
      <c r="B3325" s="129">
        <v>0</v>
      </c>
      <c r="E3325" s="130"/>
    </row>
    <row r="3326" spans="1:9" x14ac:dyDescent="0.25">
      <c r="A3326" s="1033">
        <v>401610</v>
      </c>
      <c r="B3326" s="129">
        <v>0</v>
      </c>
      <c r="E3326" s="130"/>
    </row>
    <row r="3327" spans="1:9" x14ac:dyDescent="0.25">
      <c r="A3327" s="1033">
        <v>401612</v>
      </c>
      <c r="B3327" s="129">
        <v>0</v>
      </c>
      <c r="E3327" s="130"/>
    </row>
    <row r="3328" spans="1:9" x14ac:dyDescent="0.25">
      <c r="A3328" s="1033">
        <v>401614</v>
      </c>
      <c r="B3328" s="129">
        <v>0</v>
      </c>
      <c r="E3328" s="130"/>
    </row>
    <row r="3329" spans="1:9" x14ac:dyDescent="0.25">
      <c r="A3329" s="1033">
        <v>401616</v>
      </c>
      <c r="B3329" s="129">
        <v>0</v>
      </c>
      <c r="E3329" s="130"/>
    </row>
    <row r="3330" spans="1:9" x14ac:dyDescent="0.25">
      <c r="A3330" s="1033">
        <v>401618</v>
      </c>
      <c r="B3330" s="129">
        <v>0</v>
      </c>
      <c r="E3330" s="130"/>
    </row>
    <row r="3331" spans="1:9" x14ac:dyDescent="0.25">
      <c r="A3331" s="1033">
        <v>401620</v>
      </c>
      <c r="B3331" s="129">
        <v>0</v>
      </c>
      <c r="E3331" s="130"/>
    </row>
    <row r="3332" spans="1:9" x14ac:dyDescent="0.25">
      <c r="A3332" s="1033">
        <v>401622</v>
      </c>
      <c r="B3332" s="129">
        <v>0</v>
      </c>
      <c r="E3332" s="130"/>
    </row>
    <row r="3333" spans="1:9" x14ac:dyDescent="0.25">
      <c r="A3333" s="1033">
        <v>401704</v>
      </c>
      <c r="B3333" s="129">
        <v>68531</v>
      </c>
      <c r="E3333" s="130"/>
    </row>
    <row r="3334" spans="1:9" x14ac:dyDescent="0.25">
      <c r="A3334" s="1033">
        <v>401706</v>
      </c>
      <c r="B3334" s="129">
        <v>68531</v>
      </c>
      <c r="E3334" s="130"/>
    </row>
    <row r="3335" spans="1:9" x14ac:dyDescent="0.25">
      <c r="A3335" s="1033">
        <v>401708</v>
      </c>
      <c r="B3335" s="129">
        <v>30855</v>
      </c>
      <c r="E3335" s="130"/>
    </row>
    <row r="3336" spans="1:9" x14ac:dyDescent="0.25">
      <c r="A3336" s="1033">
        <v>401710</v>
      </c>
      <c r="B3336" s="129">
        <v>30855</v>
      </c>
      <c r="E3336" s="130"/>
    </row>
    <row r="3337" spans="1:9" x14ac:dyDescent="0.25">
      <c r="A3337" s="1033">
        <v>401712</v>
      </c>
      <c r="B3337" s="129">
        <v>0</v>
      </c>
      <c r="E3337" s="130"/>
    </row>
    <row r="3338" spans="1:9" x14ac:dyDescent="0.25">
      <c r="A3338" s="1033">
        <v>401714</v>
      </c>
      <c r="B3338" s="129">
        <v>0</v>
      </c>
      <c r="E3338" s="130"/>
    </row>
    <row r="3339" spans="1:9" x14ac:dyDescent="0.25">
      <c r="A3339" s="1033">
        <v>401716</v>
      </c>
      <c r="B3339" s="129">
        <v>0</v>
      </c>
      <c r="E3339" s="130"/>
    </row>
    <row r="3340" spans="1:9" x14ac:dyDescent="0.25">
      <c r="A3340" s="1033">
        <v>401718</v>
      </c>
      <c r="B3340" s="129">
        <v>0</v>
      </c>
      <c r="E3340" s="130"/>
    </row>
    <row r="3341" spans="1:9" x14ac:dyDescent="0.25">
      <c r="A3341" s="1033">
        <v>401720</v>
      </c>
      <c r="B3341" s="129">
        <v>0</v>
      </c>
      <c r="E3341" s="130"/>
    </row>
    <row r="3342" spans="1:9" x14ac:dyDescent="0.25">
      <c r="A3342" s="1033">
        <v>401722</v>
      </c>
      <c r="B3342" s="129">
        <v>0</v>
      </c>
      <c r="E3342" s="130"/>
    </row>
    <row r="3343" spans="1:9" x14ac:dyDescent="0.25">
      <c r="A3343" s="1033">
        <v>401804</v>
      </c>
      <c r="B3343" s="129">
        <v>1898</v>
      </c>
      <c r="C3343" s="130" t="s">
        <v>1444</v>
      </c>
      <c r="D3343" s="130">
        <v>16</v>
      </c>
      <c r="E3343" s="130" t="s">
        <v>1444</v>
      </c>
      <c r="F3343" s="1031">
        <v>0</v>
      </c>
      <c r="G3343" s="1031">
        <v>1898.07</v>
      </c>
      <c r="H3343" s="1031">
        <v>1898.07</v>
      </c>
      <c r="I3343" s="1032" t="s">
        <v>1445</v>
      </c>
    </row>
    <row r="3344" spans="1:9" x14ac:dyDescent="0.25">
      <c r="A3344" s="1033">
        <v>401806</v>
      </c>
      <c r="B3344" s="129">
        <v>1898</v>
      </c>
      <c r="C3344" s="130" t="s">
        <v>1444</v>
      </c>
      <c r="D3344" s="130">
        <v>16</v>
      </c>
      <c r="E3344" s="130" t="s">
        <v>1444</v>
      </c>
      <c r="F3344" s="1031">
        <v>0</v>
      </c>
      <c r="G3344" s="1031">
        <v>1898.07</v>
      </c>
      <c r="H3344" s="1031">
        <v>1898.07</v>
      </c>
      <c r="I3344" s="1032" t="s">
        <v>1445</v>
      </c>
    </row>
    <row r="3345" spans="1:9" x14ac:dyDescent="0.25">
      <c r="A3345" s="1033">
        <v>401808</v>
      </c>
      <c r="B3345" s="129">
        <v>0</v>
      </c>
      <c r="E3345" s="130"/>
    </row>
    <row r="3346" spans="1:9" x14ac:dyDescent="0.25">
      <c r="A3346" s="1033">
        <v>401810</v>
      </c>
      <c r="B3346" s="129">
        <v>0</v>
      </c>
      <c r="E3346" s="130"/>
    </row>
    <row r="3347" spans="1:9" x14ac:dyDescent="0.25">
      <c r="A3347" s="1033">
        <v>401812</v>
      </c>
      <c r="B3347" s="129">
        <v>0</v>
      </c>
      <c r="E3347" s="130"/>
    </row>
    <row r="3348" spans="1:9" x14ac:dyDescent="0.25">
      <c r="A3348" s="1033">
        <v>401814</v>
      </c>
      <c r="B3348" s="129">
        <v>0</v>
      </c>
      <c r="E3348" s="130"/>
    </row>
    <row r="3349" spans="1:9" x14ac:dyDescent="0.25">
      <c r="A3349" s="1033">
        <v>401816</v>
      </c>
      <c r="B3349" s="129">
        <v>0</v>
      </c>
      <c r="E3349" s="130"/>
    </row>
    <row r="3350" spans="1:9" x14ac:dyDescent="0.25">
      <c r="A3350" s="1033">
        <v>401818</v>
      </c>
      <c r="B3350" s="129">
        <v>0</v>
      </c>
      <c r="E3350" s="130"/>
    </row>
    <row r="3351" spans="1:9" x14ac:dyDescent="0.25">
      <c r="A3351" s="1033">
        <v>401820</v>
      </c>
      <c r="B3351" s="129">
        <v>0</v>
      </c>
      <c r="E3351" s="130"/>
    </row>
    <row r="3352" spans="1:9" x14ac:dyDescent="0.25">
      <c r="A3352" s="1033">
        <v>401822</v>
      </c>
      <c r="B3352" s="129">
        <v>0</v>
      </c>
      <c r="E3352" s="130"/>
    </row>
    <row r="3353" spans="1:9" x14ac:dyDescent="0.25">
      <c r="A3353" s="1033">
        <v>401904</v>
      </c>
      <c r="B3353" s="129">
        <v>2244</v>
      </c>
      <c r="C3353" s="130" t="s">
        <v>1446</v>
      </c>
      <c r="D3353" s="130">
        <v>16</v>
      </c>
      <c r="E3353" s="130" t="s">
        <v>1446</v>
      </c>
      <c r="F3353" s="1031">
        <v>0</v>
      </c>
      <c r="G3353" s="1031">
        <v>2244.4899999999998</v>
      </c>
      <c r="H3353" s="1031">
        <v>2244.4899999999998</v>
      </c>
      <c r="I3353" s="1032" t="s">
        <v>1447</v>
      </c>
    </row>
    <row r="3354" spans="1:9" x14ac:dyDescent="0.25">
      <c r="A3354" s="1033">
        <v>401906</v>
      </c>
      <c r="B3354" s="129">
        <v>2244</v>
      </c>
      <c r="C3354" s="130" t="s">
        <v>1446</v>
      </c>
      <c r="D3354" s="130">
        <v>16</v>
      </c>
      <c r="E3354" s="130" t="s">
        <v>1446</v>
      </c>
      <c r="F3354" s="1031">
        <v>0</v>
      </c>
      <c r="G3354" s="1031">
        <v>2244.4899999999998</v>
      </c>
      <c r="H3354" s="1031">
        <v>2244.4899999999998</v>
      </c>
      <c r="I3354" s="1032" t="s">
        <v>1447</v>
      </c>
    </row>
    <row r="3355" spans="1:9" x14ac:dyDescent="0.25">
      <c r="A3355" s="1033">
        <v>401908</v>
      </c>
      <c r="B3355" s="129">
        <v>1382</v>
      </c>
      <c r="C3355" s="130" t="s">
        <v>1448</v>
      </c>
      <c r="D3355" s="130">
        <v>16</v>
      </c>
      <c r="E3355" s="130" t="s">
        <v>1448</v>
      </c>
      <c r="F3355" s="1031">
        <v>0</v>
      </c>
      <c r="G3355" s="1031">
        <v>1382.06</v>
      </c>
      <c r="H3355" s="1031">
        <v>1382.06</v>
      </c>
      <c r="I3355" s="1032" t="s">
        <v>1449</v>
      </c>
    </row>
    <row r="3356" spans="1:9" x14ac:dyDescent="0.25">
      <c r="A3356" s="1033">
        <v>401910</v>
      </c>
      <c r="B3356" s="129">
        <v>1382</v>
      </c>
      <c r="C3356" s="130" t="s">
        <v>1448</v>
      </c>
      <c r="D3356" s="130">
        <v>16</v>
      </c>
      <c r="E3356" s="130" t="s">
        <v>1448</v>
      </c>
      <c r="F3356" s="1031">
        <v>0</v>
      </c>
      <c r="G3356" s="1031">
        <v>1382.06</v>
      </c>
      <c r="H3356" s="1031">
        <v>1382.06</v>
      </c>
      <c r="I3356" s="1032" t="s">
        <v>1449</v>
      </c>
    </row>
    <row r="3357" spans="1:9" x14ac:dyDescent="0.25">
      <c r="A3357" s="1033">
        <v>401912</v>
      </c>
      <c r="B3357" s="129">
        <v>0</v>
      </c>
      <c r="E3357" s="130"/>
    </row>
    <row r="3358" spans="1:9" x14ac:dyDescent="0.25">
      <c r="A3358" s="1033">
        <v>401914</v>
      </c>
      <c r="B3358" s="129">
        <v>0</v>
      </c>
      <c r="E3358" s="130"/>
    </row>
    <row r="3359" spans="1:9" x14ac:dyDescent="0.25">
      <c r="A3359" s="1033">
        <v>401916</v>
      </c>
      <c r="B3359" s="129">
        <v>0</v>
      </c>
      <c r="E3359" s="130"/>
    </row>
    <row r="3360" spans="1:9" x14ac:dyDescent="0.25">
      <c r="A3360" s="1033">
        <v>401918</v>
      </c>
      <c r="B3360" s="129">
        <v>0</v>
      </c>
      <c r="E3360" s="130"/>
    </row>
    <row r="3361" spans="1:9" x14ac:dyDescent="0.25">
      <c r="A3361" s="1033">
        <v>401920</v>
      </c>
      <c r="B3361" s="129">
        <v>0</v>
      </c>
      <c r="E3361" s="130"/>
    </row>
    <row r="3362" spans="1:9" x14ac:dyDescent="0.25">
      <c r="A3362" s="1033">
        <v>401922</v>
      </c>
      <c r="B3362" s="129">
        <v>0</v>
      </c>
      <c r="E3362" s="130"/>
    </row>
    <row r="3363" spans="1:9" x14ac:dyDescent="0.25">
      <c r="A3363" s="1033">
        <v>402004</v>
      </c>
      <c r="B3363" s="129">
        <v>149</v>
      </c>
      <c r="C3363" s="130" t="s">
        <v>1450</v>
      </c>
      <c r="D3363" s="130">
        <v>16</v>
      </c>
      <c r="E3363" s="130" t="s">
        <v>1450</v>
      </c>
      <c r="F3363" s="1031">
        <v>0</v>
      </c>
      <c r="G3363" s="1031">
        <v>148.78</v>
      </c>
      <c r="H3363" s="1031">
        <v>148.78</v>
      </c>
      <c r="I3363" s="1032" t="s">
        <v>1451</v>
      </c>
    </row>
    <row r="3364" spans="1:9" x14ac:dyDescent="0.25">
      <c r="A3364" s="1033">
        <v>402006</v>
      </c>
      <c r="B3364" s="129">
        <v>149</v>
      </c>
      <c r="C3364" s="130" t="s">
        <v>1450</v>
      </c>
      <c r="D3364" s="130">
        <v>16</v>
      </c>
      <c r="E3364" s="130" t="s">
        <v>1450</v>
      </c>
      <c r="F3364" s="1031">
        <v>0</v>
      </c>
      <c r="G3364" s="1031">
        <v>148.78</v>
      </c>
      <c r="H3364" s="1031">
        <v>148.78</v>
      </c>
      <c r="I3364" s="1032" t="s">
        <v>1451</v>
      </c>
    </row>
    <row r="3365" spans="1:9" x14ac:dyDescent="0.25">
      <c r="A3365" s="1033">
        <v>402008</v>
      </c>
      <c r="B3365" s="129">
        <v>119</v>
      </c>
      <c r="C3365" s="130" t="s">
        <v>1452</v>
      </c>
      <c r="D3365" s="130">
        <v>16</v>
      </c>
      <c r="E3365" s="130" t="s">
        <v>1452</v>
      </c>
      <c r="F3365" s="1031">
        <v>0</v>
      </c>
      <c r="G3365" s="1031">
        <v>118.98</v>
      </c>
      <c r="H3365" s="1031">
        <v>118.98</v>
      </c>
      <c r="I3365" s="1032" t="s">
        <v>1453</v>
      </c>
    </row>
    <row r="3366" spans="1:9" x14ac:dyDescent="0.25">
      <c r="A3366" s="1033">
        <v>402010</v>
      </c>
      <c r="B3366" s="129">
        <v>119</v>
      </c>
      <c r="C3366" s="130" t="s">
        <v>1452</v>
      </c>
      <c r="D3366" s="130">
        <v>16</v>
      </c>
      <c r="E3366" s="130" t="s">
        <v>1452</v>
      </c>
      <c r="F3366" s="1031">
        <v>0</v>
      </c>
      <c r="G3366" s="1031">
        <v>118.98</v>
      </c>
      <c r="H3366" s="1031">
        <v>118.98</v>
      </c>
      <c r="I3366" s="1032" t="s">
        <v>1453</v>
      </c>
    </row>
    <row r="3367" spans="1:9" x14ac:dyDescent="0.25">
      <c r="A3367" s="1033">
        <v>402012</v>
      </c>
      <c r="B3367" s="129">
        <v>0</v>
      </c>
      <c r="E3367" s="130"/>
    </row>
    <row r="3368" spans="1:9" x14ac:dyDescent="0.25">
      <c r="A3368" s="1033">
        <v>402014</v>
      </c>
      <c r="B3368" s="129">
        <v>0</v>
      </c>
      <c r="E3368" s="130"/>
    </row>
    <row r="3369" spans="1:9" x14ac:dyDescent="0.25">
      <c r="A3369" s="1033">
        <v>402016</v>
      </c>
      <c r="B3369" s="129">
        <v>0</v>
      </c>
      <c r="E3369" s="130"/>
    </row>
    <row r="3370" spans="1:9" x14ac:dyDescent="0.25">
      <c r="A3370" s="1033">
        <v>402018</v>
      </c>
      <c r="B3370" s="129">
        <v>0</v>
      </c>
      <c r="E3370" s="130"/>
    </row>
    <row r="3371" spans="1:9" x14ac:dyDescent="0.25">
      <c r="A3371" s="1033">
        <v>402020</v>
      </c>
      <c r="B3371" s="129">
        <v>0</v>
      </c>
      <c r="E3371" s="130"/>
    </row>
    <row r="3372" spans="1:9" x14ac:dyDescent="0.25">
      <c r="A3372" s="1033">
        <v>402022</v>
      </c>
      <c r="B3372" s="129">
        <v>0</v>
      </c>
      <c r="E3372" s="130"/>
    </row>
    <row r="3373" spans="1:9" x14ac:dyDescent="0.25">
      <c r="A3373" s="1033">
        <v>402104</v>
      </c>
      <c r="B3373" s="129">
        <v>835</v>
      </c>
      <c r="C3373" s="130" t="s">
        <v>1454</v>
      </c>
      <c r="D3373" s="130">
        <v>16</v>
      </c>
      <c r="E3373" s="130" t="s">
        <v>1454</v>
      </c>
      <c r="F3373" s="1031">
        <v>0</v>
      </c>
      <c r="G3373" s="1031">
        <v>834.73</v>
      </c>
      <c r="H3373" s="1031">
        <v>834.73</v>
      </c>
      <c r="I3373" s="1032" t="s">
        <v>1455</v>
      </c>
    </row>
    <row r="3374" spans="1:9" x14ac:dyDescent="0.25">
      <c r="A3374" s="1033">
        <v>402106</v>
      </c>
      <c r="B3374" s="129">
        <v>835</v>
      </c>
      <c r="C3374" s="130" t="s">
        <v>1454</v>
      </c>
      <c r="D3374" s="130">
        <v>16</v>
      </c>
      <c r="E3374" s="130" t="s">
        <v>1454</v>
      </c>
      <c r="F3374" s="1031">
        <v>0</v>
      </c>
      <c r="G3374" s="1031">
        <v>834.73</v>
      </c>
      <c r="H3374" s="1031">
        <v>834.73</v>
      </c>
      <c r="I3374" s="1032" t="s">
        <v>1455</v>
      </c>
    </row>
    <row r="3375" spans="1:9" x14ac:dyDescent="0.25">
      <c r="A3375" s="1033">
        <v>402108</v>
      </c>
      <c r="B3375" s="129">
        <v>0</v>
      </c>
      <c r="E3375" s="130"/>
    </row>
    <row r="3376" spans="1:9" x14ac:dyDescent="0.25">
      <c r="A3376" s="1033">
        <v>402110</v>
      </c>
      <c r="B3376" s="129">
        <v>0</v>
      </c>
      <c r="E3376" s="130"/>
    </row>
    <row r="3377" spans="1:9" x14ac:dyDescent="0.25">
      <c r="A3377" s="1033">
        <v>402112</v>
      </c>
      <c r="B3377" s="129">
        <v>0</v>
      </c>
      <c r="E3377" s="130"/>
    </row>
    <row r="3378" spans="1:9" x14ac:dyDescent="0.25">
      <c r="A3378" s="1033">
        <v>402114</v>
      </c>
      <c r="B3378" s="129">
        <v>0</v>
      </c>
      <c r="E3378" s="130"/>
    </row>
    <row r="3379" spans="1:9" x14ac:dyDescent="0.25">
      <c r="A3379" s="1033">
        <v>402116</v>
      </c>
      <c r="B3379" s="129">
        <v>0</v>
      </c>
      <c r="E3379" s="130"/>
    </row>
    <row r="3380" spans="1:9" x14ac:dyDescent="0.25">
      <c r="A3380" s="1033">
        <v>402118</v>
      </c>
      <c r="B3380" s="129">
        <v>0</v>
      </c>
      <c r="E3380" s="130"/>
    </row>
    <row r="3381" spans="1:9" x14ac:dyDescent="0.25">
      <c r="A3381" s="1033">
        <v>402120</v>
      </c>
      <c r="B3381" s="129">
        <v>0</v>
      </c>
      <c r="E3381" s="130"/>
    </row>
    <row r="3382" spans="1:9" x14ac:dyDescent="0.25">
      <c r="A3382" s="1033">
        <v>402122</v>
      </c>
      <c r="B3382" s="129">
        <v>0</v>
      </c>
      <c r="E3382" s="130"/>
    </row>
    <row r="3383" spans="1:9" x14ac:dyDescent="0.25">
      <c r="A3383" s="1033">
        <v>402204</v>
      </c>
      <c r="B3383" s="129">
        <v>456</v>
      </c>
      <c r="C3383" s="130" t="s">
        <v>1456</v>
      </c>
      <c r="D3383" s="130">
        <v>16</v>
      </c>
      <c r="E3383" s="130" t="s">
        <v>1456</v>
      </c>
      <c r="F3383" s="1031">
        <v>0</v>
      </c>
      <c r="G3383" s="1031">
        <v>455.81</v>
      </c>
      <c r="H3383" s="1031">
        <v>455.81</v>
      </c>
      <c r="I3383" s="1032" t="s">
        <v>1457</v>
      </c>
    </row>
    <row r="3384" spans="1:9" x14ac:dyDescent="0.25">
      <c r="A3384" s="1033">
        <v>402206</v>
      </c>
      <c r="B3384" s="129">
        <v>456</v>
      </c>
      <c r="C3384" s="130" t="s">
        <v>1456</v>
      </c>
      <c r="D3384" s="130">
        <v>16</v>
      </c>
      <c r="E3384" s="130" t="s">
        <v>1456</v>
      </c>
      <c r="F3384" s="1031">
        <v>0</v>
      </c>
      <c r="G3384" s="1031">
        <v>455.81</v>
      </c>
      <c r="H3384" s="1031">
        <v>455.81</v>
      </c>
      <c r="I3384" s="1032" t="s">
        <v>1457</v>
      </c>
    </row>
    <row r="3385" spans="1:9" x14ac:dyDescent="0.25">
      <c r="A3385" s="1033">
        <v>402208</v>
      </c>
      <c r="B3385" s="129">
        <v>96</v>
      </c>
      <c r="C3385" s="130" t="s">
        <v>1458</v>
      </c>
      <c r="D3385" s="130">
        <v>16</v>
      </c>
      <c r="E3385" s="130" t="s">
        <v>1458</v>
      </c>
      <c r="F3385" s="1031">
        <v>0</v>
      </c>
      <c r="G3385" s="1031">
        <v>95.57</v>
      </c>
      <c r="H3385" s="1031">
        <v>95.57</v>
      </c>
      <c r="I3385" s="1032" t="s">
        <v>1459</v>
      </c>
    </row>
    <row r="3386" spans="1:9" x14ac:dyDescent="0.25">
      <c r="A3386" s="1033">
        <v>402210</v>
      </c>
      <c r="B3386" s="129">
        <v>96</v>
      </c>
      <c r="C3386" s="130" t="s">
        <v>1458</v>
      </c>
      <c r="D3386" s="130">
        <v>16</v>
      </c>
      <c r="E3386" s="130" t="s">
        <v>1458</v>
      </c>
      <c r="F3386" s="1031">
        <v>0</v>
      </c>
      <c r="G3386" s="1031">
        <v>95.57</v>
      </c>
      <c r="H3386" s="1031">
        <v>95.57</v>
      </c>
      <c r="I3386" s="1032" t="s">
        <v>1459</v>
      </c>
    </row>
    <row r="3387" spans="1:9" x14ac:dyDescent="0.25">
      <c r="A3387" s="1033">
        <v>402212</v>
      </c>
      <c r="B3387" s="129">
        <v>0</v>
      </c>
      <c r="E3387" s="130"/>
    </row>
    <row r="3388" spans="1:9" x14ac:dyDescent="0.25">
      <c r="A3388" s="1033">
        <v>402214</v>
      </c>
      <c r="B3388" s="129">
        <v>0</v>
      </c>
      <c r="E3388" s="130"/>
    </row>
    <row r="3389" spans="1:9" x14ac:dyDescent="0.25">
      <c r="A3389" s="1033">
        <v>402216</v>
      </c>
      <c r="B3389" s="129">
        <v>0</v>
      </c>
      <c r="E3389" s="130"/>
    </row>
    <row r="3390" spans="1:9" x14ac:dyDescent="0.25">
      <c r="A3390" s="1033">
        <v>402218</v>
      </c>
      <c r="B3390" s="129">
        <v>0</v>
      </c>
      <c r="E3390" s="130"/>
    </row>
    <row r="3391" spans="1:9" x14ac:dyDescent="0.25">
      <c r="A3391" s="1033">
        <v>402220</v>
      </c>
      <c r="B3391" s="129">
        <v>0</v>
      </c>
      <c r="E3391" s="130"/>
    </row>
    <row r="3392" spans="1:9" x14ac:dyDescent="0.25">
      <c r="A3392" s="1033">
        <v>402222</v>
      </c>
      <c r="B3392" s="129">
        <v>0</v>
      </c>
      <c r="E3392" s="130"/>
    </row>
    <row r="3393" spans="1:9" x14ac:dyDescent="0.25">
      <c r="A3393" s="1033">
        <v>402304</v>
      </c>
      <c r="B3393" s="129">
        <v>0</v>
      </c>
      <c r="E3393" s="130"/>
    </row>
    <row r="3394" spans="1:9" x14ac:dyDescent="0.25">
      <c r="A3394" s="1033">
        <v>402306</v>
      </c>
      <c r="B3394" s="129">
        <v>0</v>
      </c>
      <c r="E3394" s="130"/>
    </row>
    <row r="3395" spans="1:9" x14ac:dyDescent="0.25">
      <c r="A3395" s="1033">
        <v>402308</v>
      </c>
      <c r="B3395" s="129">
        <v>0</v>
      </c>
      <c r="E3395" s="130"/>
    </row>
    <row r="3396" spans="1:9" x14ac:dyDescent="0.25">
      <c r="A3396" s="1033">
        <v>402310</v>
      </c>
      <c r="B3396" s="129">
        <v>0</v>
      </c>
      <c r="E3396" s="130"/>
    </row>
    <row r="3397" spans="1:9" x14ac:dyDescent="0.25">
      <c r="A3397" s="1033">
        <v>402312</v>
      </c>
      <c r="B3397" s="129">
        <v>0</v>
      </c>
      <c r="E3397" s="130"/>
    </row>
    <row r="3398" spans="1:9" x14ac:dyDescent="0.25">
      <c r="A3398" s="1033">
        <v>402314</v>
      </c>
      <c r="B3398" s="129">
        <v>0</v>
      </c>
      <c r="E3398" s="130"/>
    </row>
    <row r="3399" spans="1:9" x14ac:dyDescent="0.25">
      <c r="A3399" s="1033">
        <v>402316</v>
      </c>
      <c r="B3399" s="129">
        <v>0</v>
      </c>
      <c r="E3399" s="130"/>
    </row>
    <row r="3400" spans="1:9" x14ac:dyDescent="0.25">
      <c r="A3400" s="1033">
        <v>402318</v>
      </c>
      <c r="B3400" s="129">
        <v>0</v>
      </c>
      <c r="E3400" s="130"/>
    </row>
    <row r="3401" spans="1:9" x14ac:dyDescent="0.25">
      <c r="A3401" s="1033">
        <v>402320</v>
      </c>
      <c r="B3401" s="129">
        <v>0</v>
      </c>
      <c r="E3401" s="130"/>
    </row>
    <row r="3402" spans="1:9" x14ac:dyDescent="0.25">
      <c r="A3402" s="1033">
        <v>402322</v>
      </c>
      <c r="B3402" s="129">
        <v>0</v>
      </c>
      <c r="E3402" s="130"/>
    </row>
    <row r="3403" spans="1:9" x14ac:dyDescent="0.25">
      <c r="A3403" s="1033">
        <v>402404</v>
      </c>
      <c r="B3403" s="129">
        <v>552</v>
      </c>
      <c r="C3403" s="130" t="s">
        <v>1460</v>
      </c>
      <c r="D3403" s="130">
        <v>16</v>
      </c>
      <c r="E3403" s="130" t="s">
        <v>1460</v>
      </c>
      <c r="F3403" s="1031">
        <v>0</v>
      </c>
      <c r="G3403" s="1031">
        <v>551.61</v>
      </c>
      <c r="H3403" s="1031">
        <v>551.61</v>
      </c>
      <c r="I3403" s="1032" t="s">
        <v>1461</v>
      </c>
    </row>
    <row r="3404" spans="1:9" x14ac:dyDescent="0.25">
      <c r="A3404" s="1033">
        <v>402406</v>
      </c>
      <c r="B3404" s="129">
        <v>552</v>
      </c>
      <c r="C3404" s="130" t="s">
        <v>1460</v>
      </c>
      <c r="D3404" s="130">
        <v>16</v>
      </c>
      <c r="E3404" s="130" t="s">
        <v>1460</v>
      </c>
      <c r="F3404" s="1031">
        <v>0</v>
      </c>
      <c r="G3404" s="1031">
        <v>551.61</v>
      </c>
      <c r="H3404" s="1031">
        <v>551.61</v>
      </c>
      <c r="I3404" s="1032" t="s">
        <v>1461</v>
      </c>
    </row>
    <row r="3405" spans="1:9" x14ac:dyDescent="0.25">
      <c r="A3405" s="1033">
        <v>402408</v>
      </c>
      <c r="B3405" s="129">
        <v>45</v>
      </c>
      <c r="C3405" s="130" t="s">
        <v>1462</v>
      </c>
      <c r="D3405" s="130">
        <v>16</v>
      </c>
      <c r="E3405" s="130" t="s">
        <v>1462</v>
      </c>
      <c r="F3405" s="1031">
        <v>0</v>
      </c>
      <c r="G3405" s="1031">
        <v>45.2</v>
      </c>
      <c r="H3405" s="1031">
        <v>45.2</v>
      </c>
      <c r="I3405" s="1032" t="s">
        <v>1463</v>
      </c>
    </row>
    <row r="3406" spans="1:9" x14ac:dyDescent="0.25">
      <c r="A3406" s="1033">
        <v>402410</v>
      </c>
      <c r="B3406" s="129">
        <v>45</v>
      </c>
      <c r="C3406" s="130" t="s">
        <v>1462</v>
      </c>
      <c r="D3406" s="130">
        <v>16</v>
      </c>
      <c r="E3406" s="130" t="s">
        <v>1462</v>
      </c>
      <c r="F3406" s="1031">
        <v>0</v>
      </c>
      <c r="G3406" s="1031">
        <v>45.2</v>
      </c>
      <c r="H3406" s="1031">
        <v>45.2</v>
      </c>
      <c r="I3406" s="1032" t="s">
        <v>1463</v>
      </c>
    </row>
    <row r="3407" spans="1:9" x14ac:dyDescent="0.25">
      <c r="A3407" s="1033">
        <v>402412</v>
      </c>
      <c r="B3407" s="129">
        <v>0</v>
      </c>
      <c r="E3407" s="130"/>
    </row>
    <row r="3408" spans="1:9" x14ac:dyDescent="0.25">
      <c r="A3408" s="1033">
        <v>402414</v>
      </c>
      <c r="B3408" s="129">
        <v>0</v>
      </c>
      <c r="E3408" s="130"/>
    </row>
    <row r="3409" spans="1:9" x14ac:dyDescent="0.25">
      <c r="A3409" s="1033">
        <v>402416</v>
      </c>
      <c r="B3409" s="129">
        <v>0</v>
      </c>
      <c r="E3409" s="130"/>
    </row>
    <row r="3410" spans="1:9" x14ac:dyDescent="0.25">
      <c r="A3410" s="1033">
        <v>402418</v>
      </c>
      <c r="B3410" s="129">
        <v>0</v>
      </c>
      <c r="E3410" s="130"/>
    </row>
    <row r="3411" spans="1:9" x14ac:dyDescent="0.25">
      <c r="A3411" s="1033">
        <v>402420</v>
      </c>
      <c r="B3411" s="129">
        <v>0</v>
      </c>
      <c r="E3411" s="130"/>
    </row>
    <row r="3412" spans="1:9" x14ac:dyDescent="0.25">
      <c r="A3412" s="1033">
        <v>402422</v>
      </c>
      <c r="B3412" s="129">
        <v>0</v>
      </c>
      <c r="E3412" s="130"/>
    </row>
    <row r="3413" spans="1:9" x14ac:dyDescent="0.25">
      <c r="A3413" s="1033">
        <v>402504</v>
      </c>
      <c r="B3413" s="129">
        <v>5969</v>
      </c>
      <c r="C3413" s="130" t="s">
        <v>1464</v>
      </c>
      <c r="D3413" s="130">
        <v>16</v>
      </c>
      <c r="E3413" s="130" t="s">
        <v>1464</v>
      </c>
      <c r="F3413" s="1031">
        <v>0</v>
      </c>
      <c r="G3413" s="1031">
        <v>5969.39</v>
      </c>
      <c r="H3413" s="1031">
        <v>5969.39</v>
      </c>
      <c r="I3413" s="1032" t="s">
        <v>1465</v>
      </c>
    </row>
    <row r="3414" spans="1:9" x14ac:dyDescent="0.25">
      <c r="A3414" s="1033">
        <v>402506</v>
      </c>
      <c r="B3414" s="129">
        <v>5969</v>
      </c>
      <c r="C3414" s="130" t="s">
        <v>1464</v>
      </c>
      <c r="D3414" s="130">
        <v>16</v>
      </c>
      <c r="E3414" s="130" t="s">
        <v>1464</v>
      </c>
      <c r="F3414" s="1031">
        <v>0</v>
      </c>
      <c r="G3414" s="1031">
        <v>5969.39</v>
      </c>
      <c r="H3414" s="1031">
        <v>5969.39</v>
      </c>
      <c r="I3414" s="1032" t="s">
        <v>1465</v>
      </c>
    </row>
    <row r="3415" spans="1:9" x14ac:dyDescent="0.25">
      <c r="A3415" s="1033">
        <v>402508</v>
      </c>
      <c r="B3415" s="129">
        <v>1822</v>
      </c>
      <c r="C3415" s="130" t="s">
        <v>1466</v>
      </c>
      <c r="D3415" s="130">
        <v>16</v>
      </c>
      <c r="E3415" s="130" t="s">
        <v>1466</v>
      </c>
      <c r="F3415" s="1031">
        <v>0</v>
      </c>
      <c r="G3415" s="1031">
        <v>1821.53</v>
      </c>
      <c r="H3415" s="1031">
        <v>1821.53</v>
      </c>
      <c r="I3415" s="1032" t="s">
        <v>1467</v>
      </c>
    </row>
    <row r="3416" spans="1:9" x14ac:dyDescent="0.25">
      <c r="A3416" s="1033">
        <v>402510</v>
      </c>
      <c r="B3416" s="129">
        <v>1822</v>
      </c>
      <c r="C3416" s="130" t="s">
        <v>1466</v>
      </c>
      <c r="D3416" s="130">
        <v>16</v>
      </c>
      <c r="E3416" s="130" t="s">
        <v>1466</v>
      </c>
      <c r="F3416" s="1031">
        <v>0</v>
      </c>
      <c r="G3416" s="1031">
        <v>1821.53</v>
      </c>
      <c r="H3416" s="1031">
        <v>1821.53</v>
      </c>
      <c r="I3416" s="1032" t="s">
        <v>1467</v>
      </c>
    </row>
    <row r="3417" spans="1:9" x14ac:dyDescent="0.25">
      <c r="A3417" s="1033">
        <v>402512</v>
      </c>
      <c r="B3417" s="129">
        <v>0</v>
      </c>
      <c r="E3417" s="130"/>
    </row>
    <row r="3418" spans="1:9" x14ac:dyDescent="0.25">
      <c r="A3418" s="1033">
        <v>402514</v>
      </c>
      <c r="B3418" s="129">
        <v>0</v>
      </c>
      <c r="E3418" s="130"/>
    </row>
    <row r="3419" spans="1:9" x14ac:dyDescent="0.25">
      <c r="A3419" s="1033">
        <v>402516</v>
      </c>
      <c r="B3419" s="129">
        <v>0</v>
      </c>
      <c r="E3419" s="130"/>
    </row>
    <row r="3420" spans="1:9" x14ac:dyDescent="0.25">
      <c r="A3420" s="1033">
        <v>402518</v>
      </c>
      <c r="B3420" s="129">
        <v>0</v>
      </c>
      <c r="E3420" s="130"/>
    </row>
    <row r="3421" spans="1:9" x14ac:dyDescent="0.25">
      <c r="A3421" s="1033">
        <v>402520</v>
      </c>
      <c r="B3421" s="129">
        <v>0</v>
      </c>
      <c r="E3421" s="130"/>
    </row>
    <row r="3422" spans="1:9" x14ac:dyDescent="0.25">
      <c r="A3422" s="1033">
        <v>402522</v>
      </c>
      <c r="B3422" s="129">
        <v>0</v>
      </c>
      <c r="E3422" s="130"/>
    </row>
    <row r="3423" spans="1:9" x14ac:dyDescent="0.25">
      <c r="A3423" s="1033">
        <v>402604</v>
      </c>
      <c r="B3423" s="129">
        <v>4545</v>
      </c>
      <c r="C3423" s="130" t="s">
        <v>1468</v>
      </c>
      <c r="D3423" s="130">
        <v>16</v>
      </c>
      <c r="E3423" s="130" t="s">
        <v>1468</v>
      </c>
      <c r="F3423" s="1031">
        <v>0</v>
      </c>
      <c r="G3423" s="1031">
        <v>4544.5600000000004</v>
      </c>
      <c r="H3423" s="1031">
        <v>4544.5600000000004</v>
      </c>
      <c r="I3423" s="1032" t="s">
        <v>1469</v>
      </c>
    </row>
    <row r="3424" spans="1:9" x14ac:dyDescent="0.25">
      <c r="A3424" s="1033">
        <v>402606</v>
      </c>
      <c r="B3424" s="129">
        <v>4545</v>
      </c>
      <c r="C3424" s="130" t="s">
        <v>1468</v>
      </c>
      <c r="D3424" s="130">
        <v>16</v>
      </c>
      <c r="E3424" s="130" t="s">
        <v>1468</v>
      </c>
      <c r="F3424" s="1031">
        <v>0</v>
      </c>
      <c r="G3424" s="1031">
        <v>4544.5600000000004</v>
      </c>
      <c r="H3424" s="1031">
        <v>4544.5600000000004</v>
      </c>
      <c r="I3424" s="1032" t="s">
        <v>1469</v>
      </c>
    </row>
    <row r="3425" spans="1:9" x14ac:dyDescent="0.25">
      <c r="A3425" s="1033">
        <v>402608</v>
      </c>
      <c r="B3425" s="129">
        <v>1880</v>
      </c>
      <c r="C3425" s="130" t="s">
        <v>1470</v>
      </c>
      <c r="D3425" s="130">
        <v>16</v>
      </c>
      <c r="E3425" s="130" t="s">
        <v>1470</v>
      </c>
      <c r="F3425" s="1031">
        <v>0</v>
      </c>
      <c r="G3425" s="1031">
        <v>1529.6</v>
      </c>
      <c r="H3425" s="1031">
        <v>1529.6</v>
      </c>
      <c r="I3425" s="1032" t="s">
        <v>1471</v>
      </c>
    </row>
    <row r="3426" spans="1:9" x14ac:dyDescent="0.25">
      <c r="A3426" s="1033"/>
      <c r="C3426" s="130" t="s">
        <v>1470</v>
      </c>
      <c r="D3426" s="130">
        <v>16</v>
      </c>
      <c r="E3426" s="130" t="s">
        <v>1472</v>
      </c>
      <c r="F3426" s="1031">
        <v>0</v>
      </c>
      <c r="G3426" s="1031">
        <v>350</v>
      </c>
      <c r="H3426" s="1031">
        <v>350</v>
      </c>
      <c r="I3426" s="1032" t="s">
        <v>1473</v>
      </c>
    </row>
    <row r="3427" spans="1:9" x14ac:dyDescent="0.25">
      <c r="A3427" s="1033">
        <v>402610</v>
      </c>
      <c r="B3427" s="129">
        <v>1880</v>
      </c>
      <c r="C3427" s="130" t="s">
        <v>1470</v>
      </c>
      <c r="D3427" s="130">
        <v>16</v>
      </c>
      <c r="E3427" s="130" t="s">
        <v>1470</v>
      </c>
      <c r="F3427" s="1031">
        <v>0</v>
      </c>
      <c r="G3427" s="1031">
        <v>1529.6</v>
      </c>
      <c r="H3427" s="1031">
        <v>1529.6</v>
      </c>
      <c r="I3427" s="1032" t="s">
        <v>1471</v>
      </c>
    </row>
    <row r="3428" spans="1:9" x14ac:dyDescent="0.25">
      <c r="A3428" s="1033"/>
      <c r="C3428" s="130" t="s">
        <v>1470</v>
      </c>
      <c r="D3428" s="130">
        <v>16</v>
      </c>
      <c r="E3428" s="130" t="s">
        <v>1472</v>
      </c>
      <c r="F3428" s="1031">
        <v>0</v>
      </c>
      <c r="G3428" s="1031">
        <v>350</v>
      </c>
      <c r="H3428" s="1031">
        <v>350</v>
      </c>
      <c r="I3428" s="1032" t="s">
        <v>1473</v>
      </c>
    </row>
    <row r="3429" spans="1:9" x14ac:dyDescent="0.25">
      <c r="A3429" s="1033">
        <v>402612</v>
      </c>
      <c r="B3429" s="129">
        <v>0</v>
      </c>
      <c r="E3429" s="130"/>
    </row>
    <row r="3430" spans="1:9" x14ac:dyDescent="0.25">
      <c r="A3430" s="1033">
        <v>402614</v>
      </c>
      <c r="B3430" s="129">
        <v>0</v>
      </c>
      <c r="E3430" s="130"/>
    </row>
    <row r="3431" spans="1:9" x14ac:dyDescent="0.25">
      <c r="A3431" s="1033">
        <v>402616</v>
      </c>
      <c r="B3431" s="129">
        <v>0</v>
      </c>
      <c r="E3431" s="130"/>
    </row>
    <row r="3432" spans="1:9" x14ac:dyDescent="0.25">
      <c r="A3432" s="1033">
        <v>402618</v>
      </c>
      <c r="B3432" s="129">
        <v>0</v>
      </c>
      <c r="E3432" s="130"/>
    </row>
    <row r="3433" spans="1:9" x14ac:dyDescent="0.25">
      <c r="A3433" s="1033">
        <v>402620</v>
      </c>
      <c r="B3433" s="129">
        <v>0</v>
      </c>
      <c r="E3433" s="130"/>
    </row>
    <row r="3434" spans="1:9" x14ac:dyDescent="0.25">
      <c r="A3434" s="1033">
        <v>402622</v>
      </c>
      <c r="B3434" s="129">
        <v>0</v>
      </c>
      <c r="E3434" s="130"/>
    </row>
    <row r="3435" spans="1:9" x14ac:dyDescent="0.25">
      <c r="A3435" s="1033">
        <v>402704</v>
      </c>
      <c r="B3435" s="129">
        <v>386</v>
      </c>
      <c r="C3435" s="130" t="s">
        <v>1474</v>
      </c>
      <c r="D3435" s="130">
        <v>16</v>
      </c>
      <c r="E3435" s="130" t="s">
        <v>1474</v>
      </c>
      <c r="F3435" s="1031">
        <v>0</v>
      </c>
      <c r="G3435" s="1031">
        <v>386.06</v>
      </c>
      <c r="H3435" s="1031">
        <v>386.06</v>
      </c>
      <c r="I3435" s="1032" t="s">
        <v>1475</v>
      </c>
    </row>
    <row r="3436" spans="1:9" x14ac:dyDescent="0.25">
      <c r="A3436" s="1033">
        <v>402706</v>
      </c>
      <c r="B3436" s="129">
        <v>386</v>
      </c>
      <c r="C3436" s="130" t="s">
        <v>1474</v>
      </c>
      <c r="D3436" s="130">
        <v>16</v>
      </c>
      <c r="E3436" s="130" t="s">
        <v>1474</v>
      </c>
      <c r="F3436" s="1031">
        <v>0</v>
      </c>
      <c r="G3436" s="1031">
        <v>386.06</v>
      </c>
      <c r="H3436" s="1031">
        <v>386.06</v>
      </c>
      <c r="I3436" s="1032" t="s">
        <v>1475</v>
      </c>
    </row>
    <row r="3437" spans="1:9" x14ac:dyDescent="0.25">
      <c r="A3437" s="1033">
        <v>402708</v>
      </c>
      <c r="B3437" s="129">
        <v>309</v>
      </c>
      <c r="C3437" s="130" t="s">
        <v>1476</v>
      </c>
      <c r="D3437" s="130">
        <v>16</v>
      </c>
      <c r="E3437" s="130" t="s">
        <v>1476</v>
      </c>
      <c r="F3437" s="1031">
        <v>0</v>
      </c>
      <c r="G3437" s="1031">
        <v>308.83</v>
      </c>
      <c r="H3437" s="1031">
        <v>308.83</v>
      </c>
      <c r="I3437" s="1032" t="s">
        <v>1477</v>
      </c>
    </row>
    <row r="3438" spans="1:9" x14ac:dyDescent="0.25">
      <c r="A3438" s="1033">
        <v>402710</v>
      </c>
      <c r="B3438" s="129">
        <v>309</v>
      </c>
      <c r="C3438" s="130" t="s">
        <v>1476</v>
      </c>
      <c r="D3438" s="130">
        <v>16</v>
      </c>
      <c r="E3438" s="130" t="s">
        <v>1476</v>
      </c>
      <c r="F3438" s="1031">
        <v>0</v>
      </c>
      <c r="G3438" s="1031">
        <v>308.83</v>
      </c>
      <c r="H3438" s="1031">
        <v>308.83</v>
      </c>
      <c r="I3438" s="1032" t="s">
        <v>1477</v>
      </c>
    </row>
    <row r="3439" spans="1:9" x14ac:dyDescent="0.25">
      <c r="A3439" s="1033">
        <v>402712</v>
      </c>
      <c r="B3439" s="129">
        <v>0</v>
      </c>
      <c r="E3439" s="130"/>
    </row>
    <row r="3440" spans="1:9" x14ac:dyDescent="0.25">
      <c r="A3440" s="1033">
        <v>402714</v>
      </c>
      <c r="B3440" s="129">
        <v>0</v>
      </c>
      <c r="E3440" s="130"/>
    </row>
    <row r="3441" spans="1:9" x14ac:dyDescent="0.25">
      <c r="A3441" s="1033">
        <v>402716</v>
      </c>
      <c r="B3441" s="129">
        <v>0</v>
      </c>
      <c r="E3441" s="130"/>
    </row>
    <row r="3442" spans="1:9" x14ac:dyDescent="0.25">
      <c r="A3442" s="1033">
        <v>402718</v>
      </c>
      <c r="B3442" s="129">
        <v>0</v>
      </c>
      <c r="E3442" s="130"/>
    </row>
    <row r="3443" spans="1:9" x14ac:dyDescent="0.25">
      <c r="A3443" s="1033">
        <v>402720</v>
      </c>
      <c r="B3443" s="129">
        <v>0</v>
      </c>
      <c r="E3443" s="130"/>
    </row>
    <row r="3444" spans="1:9" x14ac:dyDescent="0.25">
      <c r="A3444" s="1033">
        <v>402722</v>
      </c>
      <c r="B3444" s="129">
        <v>0</v>
      </c>
      <c r="E3444" s="130"/>
    </row>
    <row r="3445" spans="1:9" x14ac:dyDescent="0.25">
      <c r="A3445" s="1033">
        <v>402804</v>
      </c>
      <c r="B3445" s="129">
        <v>88</v>
      </c>
      <c r="C3445" s="130" t="s">
        <v>1478</v>
      </c>
      <c r="D3445" s="130">
        <v>16</v>
      </c>
      <c r="E3445" s="130" t="s">
        <v>1478</v>
      </c>
      <c r="F3445" s="1031">
        <v>0</v>
      </c>
      <c r="G3445" s="1031">
        <v>88.25</v>
      </c>
      <c r="H3445" s="1031">
        <v>88.25</v>
      </c>
      <c r="I3445" s="1032" t="s">
        <v>1479</v>
      </c>
    </row>
    <row r="3446" spans="1:9" x14ac:dyDescent="0.25">
      <c r="A3446" s="1033">
        <v>402806</v>
      </c>
      <c r="B3446" s="129">
        <v>88</v>
      </c>
      <c r="C3446" s="130" t="s">
        <v>1478</v>
      </c>
      <c r="D3446" s="130">
        <v>16</v>
      </c>
      <c r="E3446" s="130" t="s">
        <v>1478</v>
      </c>
      <c r="F3446" s="1031">
        <v>0</v>
      </c>
      <c r="G3446" s="1031">
        <v>88.25</v>
      </c>
      <c r="H3446" s="1031">
        <v>88.25</v>
      </c>
      <c r="I3446" s="1032" t="s">
        <v>1479</v>
      </c>
    </row>
    <row r="3447" spans="1:9" x14ac:dyDescent="0.25">
      <c r="A3447" s="1033">
        <v>402808</v>
      </c>
      <c r="B3447" s="129">
        <v>71</v>
      </c>
      <c r="C3447" s="130" t="s">
        <v>1480</v>
      </c>
      <c r="D3447" s="130">
        <v>16</v>
      </c>
      <c r="E3447" s="130" t="s">
        <v>1480</v>
      </c>
      <c r="F3447" s="1031">
        <v>0</v>
      </c>
      <c r="G3447" s="1031">
        <v>70.599999999999994</v>
      </c>
      <c r="H3447" s="1031">
        <v>70.599999999999994</v>
      </c>
      <c r="I3447" s="1032" t="s">
        <v>1481</v>
      </c>
    </row>
    <row r="3448" spans="1:9" x14ac:dyDescent="0.25">
      <c r="A3448" s="1033">
        <v>402810</v>
      </c>
      <c r="B3448" s="129">
        <v>71</v>
      </c>
      <c r="C3448" s="130" t="s">
        <v>1480</v>
      </c>
      <c r="D3448" s="130">
        <v>16</v>
      </c>
      <c r="E3448" s="130" t="s">
        <v>1480</v>
      </c>
      <c r="F3448" s="1031">
        <v>0</v>
      </c>
      <c r="G3448" s="1031">
        <v>70.599999999999994</v>
      </c>
      <c r="H3448" s="1031">
        <v>70.599999999999994</v>
      </c>
      <c r="I3448" s="1032" t="s">
        <v>1481</v>
      </c>
    </row>
    <row r="3449" spans="1:9" x14ac:dyDescent="0.25">
      <c r="A3449" s="1033">
        <v>402812</v>
      </c>
      <c r="B3449" s="129">
        <v>0</v>
      </c>
      <c r="E3449" s="130"/>
    </row>
    <row r="3450" spans="1:9" x14ac:dyDescent="0.25">
      <c r="A3450" s="1033">
        <v>402814</v>
      </c>
      <c r="B3450" s="129">
        <v>0</v>
      </c>
      <c r="E3450" s="130"/>
    </row>
    <row r="3451" spans="1:9" x14ac:dyDescent="0.25">
      <c r="A3451" s="1033">
        <v>402816</v>
      </c>
      <c r="B3451" s="129">
        <v>0</v>
      </c>
      <c r="E3451" s="130"/>
    </row>
    <row r="3452" spans="1:9" x14ac:dyDescent="0.25">
      <c r="A3452" s="1033">
        <v>402818</v>
      </c>
      <c r="B3452" s="129">
        <v>0</v>
      </c>
      <c r="E3452" s="130"/>
    </row>
    <row r="3453" spans="1:9" x14ac:dyDescent="0.25">
      <c r="A3453" s="1033">
        <v>402820</v>
      </c>
      <c r="B3453" s="129">
        <v>0</v>
      </c>
      <c r="E3453" s="130"/>
    </row>
    <row r="3454" spans="1:9" x14ac:dyDescent="0.25">
      <c r="A3454" s="1033">
        <v>402822</v>
      </c>
      <c r="B3454" s="129">
        <v>0</v>
      </c>
      <c r="E3454" s="130"/>
    </row>
    <row r="3455" spans="1:9" x14ac:dyDescent="0.25">
      <c r="A3455" s="1033">
        <v>402904</v>
      </c>
      <c r="B3455" s="129">
        <v>1577</v>
      </c>
      <c r="C3455" s="130" t="s">
        <v>1482</v>
      </c>
      <c r="D3455" s="130">
        <v>16</v>
      </c>
      <c r="E3455" s="130" t="s">
        <v>1482</v>
      </c>
      <c r="F3455" s="1031">
        <v>0</v>
      </c>
      <c r="G3455" s="1031">
        <v>1576.83</v>
      </c>
      <c r="H3455" s="1031">
        <v>1576.83</v>
      </c>
      <c r="I3455" s="1032" t="s">
        <v>1483</v>
      </c>
    </row>
    <row r="3456" spans="1:9" x14ac:dyDescent="0.25">
      <c r="A3456" s="1033">
        <v>402906</v>
      </c>
      <c r="B3456" s="129">
        <v>1577</v>
      </c>
      <c r="C3456" s="130" t="s">
        <v>1482</v>
      </c>
      <c r="D3456" s="130">
        <v>16</v>
      </c>
      <c r="E3456" s="130" t="s">
        <v>1482</v>
      </c>
      <c r="F3456" s="1031">
        <v>0</v>
      </c>
      <c r="G3456" s="1031">
        <v>1576.83</v>
      </c>
      <c r="H3456" s="1031">
        <v>1576.83</v>
      </c>
      <c r="I3456" s="1032" t="s">
        <v>1483</v>
      </c>
    </row>
    <row r="3457" spans="1:9" x14ac:dyDescent="0.25">
      <c r="A3457" s="1033">
        <v>402908</v>
      </c>
      <c r="B3457" s="129">
        <v>1261</v>
      </c>
      <c r="C3457" s="130" t="s">
        <v>1484</v>
      </c>
      <c r="D3457" s="130">
        <v>16</v>
      </c>
      <c r="E3457" s="130" t="s">
        <v>1484</v>
      </c>
      <c r="F3457" s="1031">
        <v>0</v>
      </c>
      <c r="G3457" s="1031">
        <v>1261.47</v>
      </c>
      <c r="H3457" s="1031">
        <v>1261.47</v>
      </c>
      <c r="I3457" s="1032" t="s">
        <v>1485</v>
      </c>
    </row>
    <row r="3458" spans="1:9" x14ac:dyDescent="0.25">
      <c r="A3458" s="1033">
        <v>402910</v>
      </c>
      <c r="B3458" s="129">
        <v>1261</v>
      </c>
      <c r="C3458" s="130" t="s">
        <v>1484</v>
      </c>
      <c r="D3458" s="130">
        <v>16</v>
      </c>
      <c r="E3458" s="130" t="s">
        <v>1484</v>
      </c>
      <c r="F3458" s="1031">
        <v>0</v>
      </c>
      <c r="G3458" s="1031">
        <v>1261.47</v>
      </c>
      <c r="H3458" s="1031">
        <v>1261.47</v>
      </c>
      <c r="I3458" s="1032" t="s">
        <v>1485</v>
      </c>
    </row>
    <row r="3459" spans="1:9" x14ac:dyDescent="0.25">
      <c r="A3459" s="1033">
        <v>402912</v>
      </c>
      <c r="B3459" s="129">
        <v>0</v>
      </c>
      <c r="E3459" s="130"/>
    </row>
    <row r="3460" spans="1:9" x14ac:dyDescent="0.25">
      <c r="A3460" s="1033">
        <v>402914</v>
      </c>
      <c r="B3460" s="129">
        <v>0</v>
      </c>
      <c r="E3460" s="130"/>
    </row>
    <row r="3461" spans="1:9" x14ac:dyDescent="0.25">
      <c r="A3461" s="1033">
        <v>402916</v>
      </c>
      <c r="B3461" s="129">
        <v>0</v>
      </c>
      <c r="E3461" s="130"/>
    </row>
    <row r="3462" spans="1:9" x14ac:dyDescent="0.25">
      <c r="A3462" s="1033">
        <v>402918</v>
      </c>
      <c r="B3462" s="129">
        <v>0</v>
      </c>
      <c r="E3462" s="130"/>
    </row>
    <row r="3463" spans="1:9" x14ac:dyDescent="0.25">
      <c r="A3463" s="1033">
        <v>402920</v>
      </c>
      <c r="B3463" s="129">
        <v>0</v>
      </c>
      <c r="E3463" s="130"/>
    </row>
    <row r="3464" spans="1:9" x14ac:dyDescent="0.25">
      <c r="A3464" s="1033">
        <v>402922</v>
      </c>
      <c r="B3464" s="129">
        <v>0</v>
      </c>
      <c r="E3464" s="130"/>
    </row>
    <row r="3465" spans="1:9" x14ac:dyDescent="0.25">
      <c r="A3465" s="1033">
        <v>403004</v>
      </c>
      <c r="B3465" s="129">
        <v>309</v>
      </c>
      <c r="C3465" s="130" t="s">
        <v>1486</v>
      </c>
      <c r="D3465" s="130">
        <v>16</v>
      </c>
      <c r="E3465" s="130" t="s">
        <v>1486</v>
      </c>
      <c r="F3465" s="1031">
        <v>0</v>
      </c>
      <c r="G3465" s="1031">
        <v>308.58</v>
      </c>
      <c r="H3465" s="1031">
        <v>308.58</v>
      </c>
      <c r="I3465" s="1032" t="s">
        <v>1487</v>
      </c>
    </row>
    <row r="3466" spans="1:9" x14ac:dyDescent="0.25">
      <c r="A3466" s="1033">
        <v>403006</v>
      </c>
      <c r="B3466" s="129">
        <v>309</v>
      </c>
      <c r="C3466" s="130" t="s">
        <v>1486</v>
      </c>
      <c r="D3466" s="130">
        <v>16</v>
      </c>
      <c r="E3466" s="130" t="s">
        <v>1486</v>
      </c>
      <c r="F3466" s="1031">
        <v>0</v>
      </c>
      <c r="G3466" s="1031">
        <v>308.58</v>
      </c>
      <c r="H3466" s="1031">
        <v>308.58</v>
      </c>
      <c r="I3466" s="1032" t="s">
        <v>1487</v>
      </c>
    </row>
    <row r="3467" spans="1:9" x14ac:dyDescent="0.25">
      <c r="A3467" s="1033">
        <v>403008</v>
      </c>
      <c r="B3467" s="129">
        <v>256</v>
      </c>
      <c r="C3467" s="130" t="s">
        <v>1488</v>
      </c>
      <c r="D3467" s="130">
        <v>16</v>
      </c>
      <c r="E3467" s="130" t="s">
        <v>1488</v>
      </c>
      <c r="F3467" s="1031">
        <v>0</v>
      </c>
      <c r="G3467" s="1031">
        <v>256.08999999999997</v>
      </c>
      <c r="H3467" s="1031">
        <v>256.08999999999997</v>
      </c>
      <c r="I3467" s="1032" t="s">
        <v>1489</v>
      </c>
    </row>
    <row r="3468" spans="1:9" x14ac:dyDescent="0.25">
      <c r="A3468" s="1033">
        <v>403010</v>
      </c>
      <c r="B3468" s="129">
        <v>256</v>
      </c>
      <c r="C3468" s="130" t="s">
        <v>1488</v>
      </c>
      <c r="D3468" s="130">
        <v>16</v>
      </c>
      <c r="E3468" s="130" t="s">
        <v>1488</v>
      </c>
      <c r="F3468" s="1031">
        <v>0</v>
      </c>
      <c r="G3468" s="1031">
        <v>256.08999999999997</v>
      </c>
      <c r="H3468" s="1031">
        <v>256.08999999999997</v>
      </c>
      <c r="I3468" s="1032" t="s">
        <v>1489</v>
      </c>
    </row>
    <row r="3469" spans="1:9" x14ac:dyDescent="0.25">
      <c r="A3469" s="1033">
        <v>403012</v>
      </c>
      <c r="B3469" s="129">
        <v>0</v>
      </c>
      <c r="E3469" s="130"/>
    </row>
    <row r="3470" spans="1:9" x14ac:dyDescent="0.25">
      <c r="A3470" s="1033">
        <v>403014</v>
      </c>
      <c r="B3470" s="129">
        <v>0</v>
      </c>
      <c r="E3470" s="130"/>
    </row>
    <row r="3471" spans="1:9" x14ac:dyDescent="0.25">
      <c r="A3471" s="1033">
        <v>403016</v>
      </c>
      <c r="B3471" s="129">
        <v>0</v>
      </c>
      <c r="E3471" s="130"/>
    </row>
    <row r="3472" spans="1:9" x14ac:dyDescent="0.25">
      <c r="A3472" s="1033">
        <v>403018</v>
      </c>
      <c r="B3472" s="129">
        <v>0</v>
      </c>
      <c r="E3472" s="130"/>
    </row>
    <row r="3473" spans="1:9" x14ac:dyDescent="0.25">
      <c r="A3473" s="1033">
        <v>403020</v>
      </c>
      <c r="B3473" s="129">
        <v>0</v>
      </c>
      <c r="E3473" s="130"/>
    </row>
    <row r="3474" spans="1:9" x14ac:dyDescent="0.25">
      <c r="A3474" s="1033">
        <v>403022</v>
      </c>
      <c r="B3474" s="129">
        <v>0</v>
      </c>
      <c r="E3474" s="130"/>
    </row>
    <row r="3475" spans="1:9" x14ac:dyDescent="0.25">
      <c r="A3475" s="1033">
        <v>403104</v>
      </c>
      <c r="B3475" s="129">
        <v>3186</v>
      </c>
      <c r="C3475" s="130" t="s">
        <v>1490</v>
      </c>
      <c r="D3475" s="130">
        <v>16</v>
      </c>
      <c r="E3475" s="130" t="s">
        <v>1490</v>
      </c>
      <c r="F3475" s="1031">
        <v>0</v>
      </c>
      <c r="G3475" s="1031">
        <v>3186.4</v>
      </c>
      <c r="H3475" s="1031">
        <v>3186.4</v>
      </c>
      <c r="I3475" s="1032" t="s">
        <v>1491</v>
      </c>
    </row>
    <row r="3476" spans="1:9" x14ac:dyDescent="0.25">
      <c r="A3476" s="1033">
        <v>403106</v>
      </c>
      <c r="B3476" s="129">
        <v>3186</v>
      </c>
      <c r="C3476" s="130" t="s">
        <v>1490</v>
      </c>
      <c r="D3476" s="130">
        <v>16</v>
      </c>
      <c r="E3476" s="130" t="s">
        <v>1490</v>
      </c>
      <c r="F3476" s="1031">
        <v>0</v>
      </c>
      <c r="G3476" s="1031">
        <v>3186.4</v>
      </c>
      <c r="H3476" s="1031">
        <v>3186.4</v>
      </c>
      <c r="I3476" s="1032" t="s">
        <v>1491</v>
      </c>
    </row>
    <row r="3477" spans="1:9" x14ac:dyDescent="0.25">
      <c r="A3477" s="1033">
        <v>403108</v>
      </c>
      <c r="B3477" s="129">
        <v>63</v>
      </c>
      <c r="C3477" s="130" t="s">
        <v>1492</v>
      </c>
      <c r="D3477" s="130">
        <v>16</v>
      </c>
      <c r="E3477" s="130" t="s">
        <v>1492</v>
      </c>
      <c r="F3477" s="1031">
        <v>0</v>
      </c>
      <c r="G3477" s="1031">
        <v>62.77</v>
      </c>
      <c r="H3477" s="1031">
        <v>62.77</v>
      </c>
      <c r="I3477" s="1032" t="s">
        <v>1493</v>
      </c>
    </row>
    <row r="3478" spans="1:9" x14ac:dyDescent="0.25">
      <c r="A3478" s="1033">
        <v>403110</v>
      </c>
      <c r="B3478" s="129">
        <v>63</v>
      </c>
      <c r="C3478" s="130" t="s">
        <v>1492</v>
      </c>
      <c r="D3478" s="130">
        <v>16</v>
      </c>
      <c r="E3478" s="130" t="s">
        <v>1492</v>
      </c>
      <c r="F3478" s="1031">
        <v>0</v>
      </c>
      <c r="G3478" s="1031">
        <v>62.77</v>
      </c>
      <c r="H3478" s="1031">
        <v>62.77</v>
      </c>
      <c r="I3478" s="1032" t="s">
        <v>1493</v>
      </c>
    </row>
    <row r="3479" spans="1:9" x14ac:dyDescent="0.25">
      <c r="A3479" s="1033">
        <v>403112</v>
      </c>
      <c r="B3479" s="129">
        <v>0</v>
      </c>
      <c r="E3479" s="130"/>
    </row>
    <row r="3480" spans="1:9" x14ac:dyDescent="0.25">
      <c r="A3480" s="1033">
        <v>403114</v>
      </c>
      <c r="B3480" s="129">
        <v>0</v>
      </c>
      <c r="E3480" s="130"/>
    </row>
    <row r="3481" spans="1:9" x14ac:dyDescent="0.25">
      <c r="A3481" s="1033">
        <v>403116</v>
      </c>
      <c r="B3481" s="129">
        <v>0</v>
      </c>
      <c r="E3481" s="130"/>
    </row>
    <row r="3482" spans="1:9" x14ac:dyDescent="0.25">
      <c r="A3482" s="1033">
        <v>403118</v>
      </c>
      <c r="B3482" s="129">
        <v>0</v>
      </c>
      <c r="E3482" s="130"/>
    </row>
    <row r="3483" spans="1:9" x14ac:dyDescent="0.25">
      <c r="A3483" s="1033">
        <v>403120</v>
      </c>
      <c r="B3483" s="129">
        <v>0</v>
      </c>
      <c r="E3483" s="130"/>
    </row>
    <row r="3484" spans="1:9" x14ac:dyDescent="0.25">
      <c r="A3484" s="1033">
        <v>403122</v>
      </c>
      <c r="B3484" s="129">
        <v>0</v>
      </c>
      <c r="E3484" s="130"/>
    </row>
    <row r="3485" spans="1:9" x14ac:dyDescent="0.25">
      <c r="A3485" s="1033">
        <v>403204</v>
      </c>
      <c r="B3485" s="129">
        <v>291</v>
      </c>
      <c r="C3485" s="130" t="s">
        <v>1494</v>
      </c>
      <c r="D3485" s="130">
        <v>16</v>
      </c>
      <c r="E3485" s="130" t="s">
        <v>1494</v>
      </c>
      <c r="F3485" s="1031">
        <v>0</v>
      </c>
      <c r="G3485" s="1031">
        <v>290.75</v>
      </c>
      <c r="H3485" s="1031">
        <v>290.75</v>
      </c>
      <c r="I3485" s="1032" t="s">
        <v>1495</v>
      </c>
    </row>
    <row r="3486" spans="1:9" x14ac:dyDescent="0.25">
      <c r="A3486" s="1033">
        <v>403206</v>
      </c>
      <c r="B3486" s="129">
        <v>291</v>
      </c>
      <c r="C3486" s="130" t="s">
        <v>1494</v>
      </c>
      <c r="D3486" s="130">
        <v>16</v>
      </c>
      <c r="E3486" s="130" t="s">
        <v>1494</v>
      </c>
      <c r="F3486" s="1031">
        <v>0</v>
      </c>
      <c r="G3486" s="1031">
        <v>290.75</v>
      </c>
      <c r="H3486" s="1031">
        <v>290.75</v>
      </c>
      <c r="I3486" s="1032" t="s">
        <v>1495</v>
      </c>
    </row>
    <row r="3487" spans="1:9" x14ac:dyDescent="0.25">
      <c r="A3487" s="1033">
        <v>403208</v>
      </c>
      <c r="B3487" s="129">
        <v>233</v>
      </c>
      <c r="C3487" s="130" t="s">
        <v>1496</v>
      </c>
      <c r="D3487" s="130">
        <v>16</v>
      </c>
      <c r="E3487" s="130" t="s">
        <v>1496</v>
      </c>
      <c r="F3487" s="1031">
        <v>0</v>
      </c>
      <c r="G3487" s="1031">
        <v>232.6</v>
      </c>
      <c r="H3487" s="1031">
        <v>232.6</v>
      </c>
      <c r="I3487" s="1032" t="s">
        <v>1497</v>
      </c>
    </row>
    <row r="3488" spans="1:9" x14ac:dyDescent="0.25">
      <c r="A3488" s="1033">
        <v>403210</v>
      </c>
      <c r="B3488" s="129">
        <v>233</v>
      </c>
      <c r="C3488" s="130" t="s">
        <v>1496</v>
      </c>
      <c r="D3488" s="130">
        <v>16</v>
      </c>
      <c r="E3488" s="130" t="s">
        <v>1496</v>
      </c>
      <c r="F3488" s="1031">
        <v>0</v>
      </c>
      <c r="G3488" s="1031">
        <v>232.6</v>
      </c>
      <c r="H3488" s="1031">
        <v>232.6</v>
      </c>
      <c r="I3488" s="1032" t="s">
        <v>1497</v>
      </c>
    </row>
    <row r="3489" spans="1:9" x14ac:dyDescent="0.25">
      <c r="A3489" s="1033">
        <v>403212</v>
      </c>
      <c r="B3489" s="129">
        <v>0</v>
      </c>
      <c r="E3489" s="130"/>
    </row>
    <row r="3490" spans="1:9" x14ac:dyDescent="0.25">
      <c r="A3490" s="1033">
        <v>403214</v>
      </c>
      <c r="B3490" s="129">
        <v>0</v>
      </c>
      <c r="E3490" s="130"/>
    </row>
    <row r="3491" spans="1:9" x14ac:dyDescent="0.25">
      <c r="A3491" s="1033">
        <v>403216</v>
      </c>
      <c r="B3491" s="129">
        <v>0</v>
      </c>
      <c r="E3491" s="130"/>
    </row>
    <row r="3492" spans="1:9" x14ac:dyDescent="0.25">
      <c r="A3492" s="1033">
        <v>403218</v>
      </c>
      <c r="B3492" s="129">
        <v>0</v>
      </c>
      <c r="E3492" s="130"/>
    </row>
    <row r="3493" spans="1:9" x14ac:dyDescent="0.25">
      <c r="A3493" s="1033">
        <v>403220</v>
      </c>
      <c r="B3493" s="129">
        <v>0</v>
      </c>
      <c r="E3493" s="130"/>
    </row>
    <row r="3494" spans="1:9" x14ac:dyDescent="0.25">
      <c r="A3494" s="1033">
        <v>403222</v>
      </c>
      <c r="B3494" s="129">
        <v>0</v>
      </c>
      <c r="E3494" s="130"/>
    </row>
    <row r="3495" spans="1:9" x14ac:dyDescent="0.25">
      <c r="A3495" s="1033">
        <v>403304</v>
      </c>
      <c r="B3495" s="129">
        <v>457</v>
      </c>
      <c r="C3495" s="130" t="s">
        <v>1498</v>
      </c>
      <c r="D3495" s="130">
        <v>16</v>
      </c>
      <c r="E3495" s="130" t="s">
        <v>1498</v>
      </c>
      <c r="F3495" s="1031">
        <v>0</v>
      </c>
      <c r="G3495" s="1031">
        <v>456.5</v>
      </c>
      <c r="H3495" s="1031">
        <v>456.5</v>
      </c>
      <c r="I3495" s="1032" t="s">
        <v>1499</v>
      </c>
    </row>
    <row r="3496" spans="1:9" x14ac:dyDescent="0.25">
      <c r="A3496" s="1033">
        <v>403306</v>
      </c>
      <c r="B3496" s="129">
        <v>457</v>
      </c>
      <c r="C3496" s="130" t="s">
        <v>1498</v>
      </c>
      <c r="D3496" s="130">
        <v>16</v>
      </c>
      <c r="E3496" s="130" t="s">
        <v>1498</v>
      </c>
      <c r="F3496" s="1031">
        <v>0</v>
      </c>
      <c r="G3496" s="1031">
        <v>456.5</v>
      </c>
      <c r="H3496" s="1031">
        <v>456.5</v>
      </c>
      <c r="I3496" s="1032" t="s">
        <v>1499</v>
      </c>
    </row>
    <row r="3497" spans="1:9" x14ac:dyDescent="0.25">
      <c r="A3497" s="1033">
        <v>403308</v>
      </c>
      <c r="B3497" s="129">
        <v>1479</v>
      </c>
      <c r="C3497" s="130" t="s">
        <v>1500</v>
      </c>
      <c r="D3497" s="130">
        <v>16</v>
      </c>
      <c r="E3497" s="130" t="s">
        <v>1500</v>
      </c>
      <c r="F3497" s="1031">
        <v>0</v>
      </c>
      <c r="G3497" s="1031">
        <v>1478.93</v>
      </c>
      <c r="H3497" s="1031">
        <v>1478.93</v>
      </c>
      <c r="I3497" s="1032" t="s">
        <v>1501</v>
      </c>
    </row>
    <row r="3498" spans="1:9" x14ac:dyDescent="0.25">
      <c r="A3498" s="1033">
        <v>403310</v>
      </c>
      <c r="B3498" s="129">
        <v>1479</v>
      </c>
      <c r="C3498" s="130" t="s">
        <v>1500</v>
      </c>
      <c r="D3498" s="130">
        <v>16</v>
      </c>
      <c r="E3498" s="130" t="s">
        <v>1500</v>
      </c>
      <c r="F3498" s="1031">
        <v>0</v>
      </c>
      <c r="G3498" s="1031">
        <v>1478.93</v>
      </c>
      <c r="H3498" s="1031">
        <v>1478.93</v>
      </c>
      <c r="I3498" s="1032" t="s">
        <v>1501</v>
      </c>
    </row>
    <row r="3499" spans="1:9" x14ac:dyDescent="0.25">
      <c r="A3499" s="1033">
        <v>403312</v>
      </c>
      <c r="B3499" s="129">
        <v>0</v>
      </c>
      <c r="E3499" s="130"/>
    </row>
    <row r="3500" spans="1:9" x14ac:dyDescent="0.25">
      <c r="A3500" s="1033">
        <v>403314</v>
      </c>
      <c r="B3500" s="129">
        <v>0</v>
      </c>
      <c r="E3500" s="130"/>
    </row>
    <row r="3501" spans="1:9" x14ac:dyDescent="0.25">
      <c r="A3501" s="1033">
        <v>403316</v>
      </c>
      <c r="B3501" s="129">
        <v>0</v>
      </c>
      <c r="E3501" s="130"/>
    </row>
    <row r="3502" spans="1:9" x14ac:dyDescent="0.25">
      <c r="A3502" s="1033">
        <v>403318</v>
      </c>
      <c r="B3502" s="129">
        <v>0</v>
      </c>
      <c r="E3502" s="130"/>
    </row>
    <row r="3503" spans="1:9" x14ac:dyDescent="0.25">
      <c r="A3503" s="1033">
        <v>403320</v>
      </c>
      <c r="B3503" s="129">
        <v>0</v>
      </c>
      <c r="E3503" s="130"/>
    </row>
    <row r="3504" spans="1:9" x14ac:dyDescent="0.25">
      <c r="A3504" s="1033">
        <v>403322</v>
      </c>
      <c r="B3504" s="129">
        <v>0</v>
      </c>
      <c r="E3504" s="130"/>
    </row>
    <row r="3505" spans="1:9" x14ac:dyDescent="0.25">
      <c r="A3505" s="1033">
        <v>403404</v>
      </c>
      <c r="B3505" s="129">
        <v>0</v>
      </c>
      <c r="E3505" s="130"/>
    </row>
    <row r="3506" spans="1:9" x14ac:dyDescent="0.25">
      <c r="A3506" s="1033">
        <v>403406</v>
      </c>
      <c r="B3506" s="129">
        <v>0</v>
      </c>
      <c r="E3506" s="130"/>
    </row>
    <row r="3507" spans="1:9" x14ac:dyDescent="0.25">
      <c r="A3507" s="1033">
        <v>403408</v>
      </c>
      <c r="B3507" s="129">
        <v>0</v>
      </c>
      <c r="E3507" s="130"/>
    </row>
    <row r="3508" spans="1:9" x14ac:dyDescent="0.25">
      <c r="A3508" s="1033">
        <v>403410</v>
      </c>
      <c r="B3508" s="129">
        <v>0</v>
      </c>
      <c r="E3508" s="130"/>
    </row>
    <row r="3509" spans="1:9" x14ac:dyDescent="0.25">
      <c r="A3509" s="1033">
        <v>403412</v>
      </c>
      <c r="B3509" s="129">
        <v>0</v>
      </c>
      <c r="E3509" s="130"/>
    </row>
    <row r="3510" spans="1:9" x14ac:dyDescent="0.25">
      <c r="A3510" s="1033">
        <v>403414</v>
      </c>
      <c r="B3510" s="129">
        <v>0</v>
      </c>
      <c r="E3510" s="130"/>
    </row>
    <row r="3511" spans="1:9" x14ac:dyDescent="0.25">
      <c r="A3511" s="1033">
        <v>403416</v>
      </c>
      <c r="B3511" s="129">
        <v>0</v>
      </c>
      <c r="E3511" s="130"/>
    </row>
    <row r="3512" spans="1:9" x14ac:dyDescent="0.25">
      <c r="A3512" s="1033">
        <v>403418</v>
      </c>
      <c r="B3512" s="129">
        <v>0</v>
      </c>
      <c r="E3512" s="130"/>
    </row>
    <row r="3513" spans="1:9" x14ac:dyDescent="0.25">
      <c r="A3513" s="1033">
        <v>403420</v>
      </c>
      <c r="B3513" s="129">
        <v>0</v>
      </c>
      <c r="E3513" s="130"/>
    </row>
    <row r="3514" spans="1:9" x14ac:dyDescent="0.25">
      <c r="A3514" s="1033">
        <v>403422</v>
      </c>
      <c r="B3514" s="129">
        <v>0</v>
      </c>
      <c r="E3514" s="130"/>
    </row>
    <row r="3515" spans="1:9" x14ac:dyDescent="0.25">
      <c r="A3515" s="1033">
        <v>403504</v>
      </c>
      <c r="B3515" s="129">
        <v>1089</v>
      </c>
      <c r="C3515" s="130" t="s">
        <v>1502</v>
      </c>
      <c r="D3515" s="130">
        <v>16</v>
      </c>
      <c r="E3515" s="130" t="s">
        <v>1502</v>
      </c>
      <c r="F3515" s="1031">
        <v>0</v>
      </c>
      <c r="G3515" s="1031">
        <v>1089.42</v>
      </c>
      <c r="H3515" s="1031">
        <v>1089.42</v>
      </c>
      <c r="I3515" s="1032" t="s">
        <v>1503</v>
      </c>
    </row>
    <row r="3516" spans="1:9" x14ac:dyDescent="0.25">
      <c r="A3516" s="1033">
        <v>403506</v>
      </c>
      <c r="B3516" s="129">
        <v>1089</v>
      </c>
      <c r="C3516" s="130" t="s">
        <v>1502</v>
      </c>
      <c r="D3516" s="130">
        <v>16</v>
      </c>
      <c r="E3516" s="130" t="s">
        <v>1502</v>
      </c>
      <c r="F3516" s="1031">
        <v>0</v>
      </c>
      <c r="G3516" s="1031">
        <v>1089.42</v>
      </c>
      <c r="H3516" s="1031">
        <v>1089.42</v>
      </c>
      <c r="I3516" s="1032" t="s">
        <v>1503</v>
      </c>
    </row>
    <row r="3517" spans="1:9" x14ac:dyDescent="0.25">
      <c r="A3517" s="1033">
        <v>403508</v>
      </c>
      <c r="B3517" s="129">
        <v>872</v>
      </c>
      <c r="C3517" s="130" t="s">
        <v>1504</v>
      </c>
      <c r="D3517" s="130">
        <v>16</v>
      </c>
      <c r="E3517" s="130" t="s">
        <v>1504</v>
      </c>
      <c r="F3517" s="1031">
        <v>0</v>
      </c>
      <c r="G3517" s="1031">
        <v>871.54</v>
      </c>
      <c r="H3517" s="1031">
        <v>871.54</v>
      </c>
      <c r="I3517" s="1032" t="s">
        <v>1505</v>
      </c>
    </row>
    <row r="3518" spans="1:9" x14ac:dyDescent="0.25">
      <c r="A3518" s="1033">
        <v>403510</v>
      </c>
      <c r="B3518" s="129">
        <v>872</v>
      </c>
      <c r="C3518" s="130" t="s">
        <v>1504</v>
      </c>
      <c r="D3518" s="130">
        <v>16</v>
      </c>
      <c r="E3518" s="130" t="s">
        <v>1504</v>
      </c>
      <c r="F3518" s="1031">
        <v>0</v>
      </c>
      <c r="G3518" s="1031">
        <v>871.54</v>
      </c>
      <c r="H3518" s="1031">
        <v>871.54</v>
      </c>
      <c r="I3518" s="1032" t="s">
        <v>1505</v>
      </c>
    </row>
    <row r="3519" spans="1:9" x14ac:dyDescent="0.25">
      <c r="A3519" s="1033">
        <v>403512</v>
      </c>
      <c r="B3519" s="129">
        <v>0</v>
      </c>
      <c r="E3519" s="130"/>
    </row>
    <row r="3520" spans="1:9" x14ac:dyDescent="0.25">
      <c r="A3520" s="1033">
        <v>403514</v>
      </c>
      <c r="B3520" s="129">
        <v>0</v>
      </c>
      <c r="E3520" s="130"/>
    </row>
    <row r="3521" spans="1:9" x14ac:dyDescent="0.25">
      <c r="A3521" s="1033">
        <v>403516</v>
      </c>
      <c r="B3521" s="129">
        <v>0</v>
      </c>
      <c r="E3521" s="130"/>
    </row>
    <row r="3522" spans="1:9" x14ac:dyDescent="0.25">
      <c r="A3522" s="1033">
        <v>403518</v>
      </c>
      <c r="B3522" s="129">
        <v>0</v>
      </c>
      <c r="E3522" s="130"/>
    </row>
    <row r="3523" spans="1:9" x14ac:dyDescent="0.25">
      <c r="A3523" s="1033">
        <v>403520</v>
      </c>
      <c r="B3523" s="129">
        <v>0</v>
      </c>
      <c r="E3523" s="130"/>
    </row>
    <row r="3524" spans="1:9" x14ac:dyDescent="0.25">
      <c r="A3524" s="1033">
        <v>403522</v>
      </c>
      <c r="B3524" s="129">
        <v>0</v>
      </c>
      <c r="E3524" s="130"/>
    </row>
    <row r="3525" spans="1:9" x14ac:dyDescent="0.25">
      <c r="A3525" s="1033">
        <v>403604</v>
      </c>
      <c r="B3525" s="129">
        <v>1611</v>
      </c>
      <c r="C3525" s="130" t="s">
        <v>1506</v>
      </c>
      <c r="D3525" s="130">
        <v>16</v>
      </c>
      <c r="E3525" s="130" t="s">
        <v>1506</v>
      </c>
      <c r="F3525" s="1031">
        <v>0</v>
      </c>
      <c r="G3525" s="1031">
        <v>4897.18</v>
      </c>
      <c r="H3525" s="1031">
        <v>4897.18</v>
      </c>
      <c r="I3525" s="1032" t="s">
        <v>1507</v>
      </c>
    </row>
    <row r="3526" spans="1:9" x14ac:dyDescent="0.25">
      <c r="A3526" s="1033"/>
      <c r="C3526" s="130" t="s">
        <v>1506</v>
      </c>
      <c r="D3526" s="130">
        <v>16</v>
      </c>
      <c r="E3526" s="130" t="s">
        <v>1508</v>
      </c>
      <c r="F3526" s="1031">
        <v>0</v>
      </c>
      <c r="G3526" s="1031">
        <v>-3286</v>
      </c>
      <c r="H3526" s="1031">
        <v>-3286</v>
      </c>
      <c r="I3526" s="1032" t="s">
        <v>1509</v>
      </c>
    </row>
    <row r="3527" spans="1:9" x14ac:dyDescent="0.25">
      <c r="A3527" s="1033">
        <v>403606</v>
      </c>
      <c r="B3527" s="129">
        <v>1611</v>
      </c>
      <c r="C3527" s="130" t="s">
        <v>1506</v>
      </c>
      <c r="D3527" s="130">
        <v>16</v>
      </c>
      <c r="E3527" s="130" t="s">
        <v>1506</v>
      </c>
      <c r="F3527" s="1031">
        <v>0</v>
      </c>
      <c r="G3527" s="1031">
        <v>4897.18</v>
      </c>
      <c r="H3527" s="1031">
        <v>4897.18</v>
      </c>
      <c r="I3527" s="1032" t="s">
        <v>1507</v>
      </c>
    </row>
    <row r="3528" spans="1:9" x14ac:dyDescent="0.25">
      <c r="A3528" s="1033"/>
      <c r="C3528" s="130" t="s">
        <v>1506</v>
      </c>
      <c r="D3528" s="130">
        <v>16</v>
      </c>
      <c r="E3528" s="130" t="s">
        <v>1508</v>
      </c>
      <c r="F3528" s="1031">
        <v>0</v>
      </c>
      <c r="G3528" s="1031">
        <v>-3286</v>
      </c>
      <c r="H3528" s="1031">
        <v>-3286</v>
      </c>
      <c r="I3528" s="1032" t="s">
        <v>1509</v>
      </c>
    </row>
    <row r="3529" spans="1:9" x14ac:dyDescent="0.25">
      <c r="A3529" s="1033">
        <v>403608</v>
      </c>
      <c r="B3529" s="129">
        <v>1611</v>
      </c>
      <c r="C3529" s="130" t="s">
        <v>1510</v>
      </c>
      <c r="D3529" s="130">
        <v>16</v>
      </c>
      <c r="E3529" s="130" t="s">
        <v>1510</v>
      </c>
      <c r="F3529" s="1031">
        <v>0</v>
      </c>
      <c r="G3529" s="1031">
        <v>4897.16</v>
      </c>
      <c r="H3529" s="1031">
        <v>4897.16</v>
      </c>
      <c r="I3529" s="1032" t="s">
        <v>1511</v>
      </c>
    </row>
    <row r="3530" spans="1:9" x14ac:dyDescent="0.25">
      <c r="A3530" s="1033"/>
      <c r="C3530" s="130" t="s">
        <v>1510</v>
      </c>
      <c r="D3530" s="130">
        <v>16</v>
      </c>
      <c r="E3530" s="130" t="s">
        <v>1512</v>
      </c>
      <c r="F3530" s="1031">
        <v>0</v>
      </c>
      <c r="G3530" s="1031">
        <v>-3286</v>
      </c>
      <c r="H3530" s="1031">
        <v>-3286</v>
      </c>
      <c r="I3530" s="1032" t="s">
        <v>1513</v>
      </c>
    </row>
    <row r="3531" spans="1:9" x14ac:dyDescent="0.25">
      <c r="A3531" s="1033">
        <v>403610</v>
      </c>
      <c r="B3531" s="129">
        <v>1611</v>
      </c>
      <c r="C3531" s="130" t="s">
        <v>1510</v>
      </c>
      <c r="D3531" s="130">
        <v>16</v>
      </c>
      <c r="E3531" s="130" t="s">
        <v>1510</v>
      </c>
      <c r="F3531" s="1031">
        <v>0</v>
      </c>
      <c r="G3531" s="1031">
        <v>4897.16</v>
      </c>
      <c r="H3531" s="1031">
        <v>4897.16</v>
      </c>
      <c r="I3531" s="1032" t="s">
        <v>1511</v>
      </c>
    </row>
    <row r="3532" spans="1:9" x14ac:dyDescent="0.25">
      <c r="A3532" s="1033"/>
      <c r="C3532" s="130" t="s">
        <v>1510</v>
      </c>
      <c r="D3532" s="130">
        <v>16</v>
      </c>
      <c r="E3532" s="130" t="s">
        <v>1512</v>
      </c>
      <c r="F3532" s="1031">
        <v>0</v>
      </c>
      <c r="G3532" s="1031">
        <v>-3286</v>
      </c>
      <c r="H3532" s="1031">
        <v>-3286</v>
      </c>
      <c r="I3532" s="1032" t="s">
        <v>1513</v>
      </c>
    </row>
    <row r="3533" spans="1:9" x14ac:dyDescent="0.25">
      <c r="A3533" s="1033">
        <v>403612</v>
      </c>
      <c r="B3533" s="129">
        <v>0</v>
      </c>
      <c r="E3533" s="130"/>
    </row>
    <row r="3534" spans="1:9" x14ac:dyDescent="0.25">
      <c r="A3534" s="1033">
        <v>403614</v>
      </c>
      <c r="B3534" s="129">
        <v>0</v>
      </c>
      <c r="E3534" s="130"/>
    </row>
    <row r="3535" spans="1:9" x14ac:dyDescent="0.25">
      <c r="A3535" s="1033">
        <v>403616</v>
      </c>
      <c r="B3535" s="129">
        <v>0</v>
      </c>
      <c r="E3535" s="130"/>
    </row>
    <row r="3536" spans="1:9" x14ac:dyDescent="0.25">
      <c r="A3536" s="1033">
        <v>403618</v>
      </c>
      <c r="B3536" s="129">
        <v>0</v>
      </c>
      <c r="E3536" s="130"/>
    </row>
    <row r="3537" spans="1:9" x14ac:dyDescent="0.25">
      <c r="A3537" s="1033">
        <v>403620</v>
      </c>
      <c r="B3537" s="129">
        <v>0</v>
      </c>
      <c r="E3537" s="130"/>
    </row>
    <row r="3538" spans="1:9" x14ac:dyDescent="0.25">
      <c r="A3538" s="1033">
        <v>403622</v>
      </c>
      <c r="B3538" s="129">
        <v>0</v>
      </c>
      <c r="E3538" s="130"/>
    </row>
    <row r="3539" spans="1:9" x14ac:dyDescent="0.25">
      <c r="A3539" s="1033">
        <v>403704</v>
      </c>
      <c r="B3539" s="129">
        <v>25642</v>
      </c>
      <c r="E3539" s="130"/>
    </row>
    <row r="3540" spans="1:9" x14ac:dyDescent="0.25">
      <c r="A3540" s="1033">
        <v>403706</v>
      </c>
      <c r="B3540" s="129">
        <v>25642</v>
      </c>
      <c r="E3540" s="130"/>
    </row>
    <row r="3541" spans="1:9" x14ac:dyDescent="0.25">
      <c r="A3541" s="1033">
        <v>403708</v>
      </c>
      <c r="B3541" s="129">
        <v>11499</v>
      </c>
      <c r="E3541" s="130"/>
    </row>
    <row r="3542" spans="1:9" x14ac:dyDescent="0.25">
      <c r="A3542" s="1033">
        <v>403710</v>
      </c>
      <c r="B3542" s="129">
        <v>11499</v>
      </c>
      <c r="E3542" s="130"/>
    </row>
    <row r="3543" spans="1:9" x14ac:dyDescent="0.25">
      <c r="A3543" s="1033">
        <v>403712</v>
      </c>
      <c r="B3543" s="129">
        <v>0</v>
      </c>
      <c r="E3543" s="130"/>
    </row>
    <row r="3544" spans="1:9" x14ac:dyDescent="0.25">
      <c r="A3544" s="1033">
        <v>403714</v>
      </c>
      <c r="B3544" s="129">
        <v>0</v>
      </c>
      <c r="E3544" s="130"/>
    </row>
    <row r="3545" spans="1:9" x14ac:dyDescent="0.25">
      <c r="A3545" s="1033">
        <v>403716</v>
      </c>
      <c r="B3545" s="129">
        <v>0</v>
      </c>
      <c r="E3545" s="130"/>
    </row>
    <row r="3546" spans="1:9" x14ac:dyDescent="0.25">
      <c r="A3546" s="1033">
        <v>403718</v>
      </c>
      <c r="B3546" s="129">
        <v>0</v>
      </c>
      <c r="E3546" s="130"/>
    </row>
    <row r="3547" spans="1:9" x14ac:dyDescent="0.25">
      <c r="A3547" s="1033">
        <v>403720</v>
      </c>
      <c r="B3547" s="129">
        <v>0</v>
      </c>
      <c r="E3547" s="130"/>
    </row>
    <row r="3548" spans="1:9" x14ac:dyDescent="0.25">
      <c r="A3548" s="1033">
        <v>403722</v>
      </c>
      <c r="B3548" s="129">
        <v>0</v>
      </c>
      <c r="E3548" s="130"/>
    </row>
    <row r="3549" spans="1:9" x14ac:dyDescent="0.25">
      <c r="A3549" s="1033">
        <v>403804</v>
      </c>
      <c r="B3549" s="129">
        <v>12500</v>
      </c>
      <c r="C3549" s="130" t="s">
        <v>1514</v>
      </c>
      <c r="D3549" s="130">
        <v>16</v>
      </c>
      <c r="E3549" s="130" t="s">
        <v>1514</v>
      </c>
      <c r="F3549" s="1031">
        <v>0</v>
      </c>
      <c r="G3549" s="1031">
        <v>12500</v>
      </c>
      <c r="H3549" s="1031">
        <v>12500</v>
      </c>
      <c r="I3549" s="1032" t="s">
        <v>1515</v>
      </c>
    </row>
    <row r="3550" spans="1:9" x14ac:dyDescent="0.25">
      <c r="A3550" s="1033">
        <v>403806</v>
      </c>
      <c r="B3550" s="129">
        <v>12500</v>
      </c>
      <c r="C3550" s="130" t="s">
        <v>1514</v>
      </c>
      <c r="D3550" s="130">
        <v>16</v>
      </c>
      <c r="E3550" s="130" t="s">
        <v>1514</v>
      </c>
      <c r="F3550" s="1031">
        <v>0</v>
      </c>
      <c r="G3550" s="1031">
        <v>12500</v>
      </c>
      <c r="H3550" s="1031">
        <v>12500</v>
      </c>
      <c r="I3550" s="1032" t="s">
        <v>1515</v>
      </c>
    </row>
    <row r="3551" spans="1:9" x14ac:dyDescent="0.25">
      <c r="A3551" s="1033">
        <v>403808</v>
      </c>
      <c r="B3551" s="129">
        <v>10000</v>
      </c>
      <c r="C3551" s="130" t="s">
        <v>1516</v>
      </c>
      <c r="D3551" s="130">
        <v>16</v>
      </c>
      <c r="E3551" s="130" t="s">
        <v>1516</v>
      </c>
      <c r="F3551" s="1031">
        <v>0</v>
      </c>
      <c r="G3551" s="1031">
        <v>10000</v>
      </c>
      <c r="H3551" s="1031">
        <v>10000</v>
      </c>
      <c r="I3551" s="1032" t="s">
        <v>1517</v>
      </c>
    </row>
    <row r="3552" spans="1:9" x14ac:dyDescent="0.25">
      <c r="A3552" s="1033">
        <v>403810</v>
      </c>
      <c r="B3552" s="129">
        <v>10000</v>
      </c>
      <c r="C3552" s="130" t="s">
        <v>1516</v>
      </c>
      <c r="D3552" s="130">
        <v>16</v>
      </c>
      <c r="E3552" s="130" t="s">
        <v>1516</v>
      </c>
      <c r="F3552" s="1031">
        <v>0</v>
      </c>
      <c r="G3552" s="1031">
        <v>10000</v>
      </c>
      <c r="H3552" s="1031">
        <v>10000</v>
      </c>
      <c r="I3552" s="1032" t="s">
        <v>1517</v>
      </c>
    </row>
    <row r="3553" spans="1:9" x14ac:dyDescent="0.25">
      <c r="A3553" s="1033">
        <v>403812</v>
      </c>
      <c r="B3553" s="129">
        <v>0</v>
      </c>
      <c r="E3553" s="130"/>
    </row>
    <row r="3554" spans="1:9" x14ac:dyDescent="0.25">
      <c r="A3554" s="1033">
        <v>403814</v>
      </c>
      <c r="B3554" s="129">
        <v>0</v>
      </c>
      <c r="E3554" s="130"/>
    </row>
    <row r="3555" spans="1:9" x14ac:dyDescent="0.25">
      <c r="A3555" s="1033">
        <v>403816</v>
      </c>
      <c r="B3555" s="129">
        <v>0</v>
      </c>
      <c r="E3555" s="130"/>
    </row>
    <row r="3556" spans="1:9" x14ac:dyDescent="0.25">
      <c r="A3556" s="1033">
        <v>403818</v>
      </c>
      <c r="B3556" s="129">
        <v>0</v>
      </c>
      <c r="E3556" s="130"/>
    </row>
    <row r="3557" spans="1:9" x14ac:dyDescent="0.25">
      <c r="A3557" s="1033">
        <v>403820</v>
      </c>
      <c r="B3557" s="129">
        <v>0</v>
      </c>
      <c r="E3557" s="130"/>
    </row>
    <row r="3558" spans="1:9" x14ac:dyDescent="0.25">
      <c r="A3558" s="1033">
        <v>403822</v>
      </c>
      <c r="B3558" s="129">
        <v>0</v>
      </c>
      <c r="E3558" s="130"/>
    </row>
    <row r="3559" spans="1:9" x14ac:dyDescent="0.25">
      <c r="A3559" s="1033">
        <v>403904</v>
      </c>
      <c r="B3559" s="129">
        <v>2688</v>
      </c>
      <c r="C3559" s="130" t="s">
        <v>1518</v>
      </c>
      <c r="D3559" s="130">
        <v>16</v>
      </c>
      <c r="E3559" s="130" t="s">
        <v>1518</v>
      </c>
      <c r="F3559" s="1031">
        <v>0</v>
      </c>
      <c r="G3559" s="1031">
        <v>2687.5</v>
      </c>
      <c r="H3559" s="1031">
        <v>2687.5</v>
      </c>
      <c r="I3559" s="1032" t="s">
        <v>1519</v>
      </c>
    </row>
    <row r="3560" spans="1:9" x14ac:dyDescent="0.25">
      <c r="A3560" s="1033">
        <v>403906</v>
      </c>
      <c r="B3560" s="129">
        <v>2688</v>
      </c>
      <c r="C3560" s="130" t="s">
        <v>1518</v>
      </c>
      <c r="D3560" s="130">
        <v>16</v>
      </c>
      <c r="E3560" s="130" t="s">
        <v>1518</v>
      </c>
      <c r="F3560" s="1031">
        <v>0</v>
      </c>
      <c r="G3560" s="1031">
        <v>2687.5</v>
      </c>
      <c r="H3560" s="1031">
        <v>2687.5</v>
      </c>
      <c r="I3560" s="1032" t="s">
        <v>1519</v>
      </c>
    </row>
    <row r="3561" spans="1:9" x14ac:dyDescent="0.25">
      <c r="A3561" s="1033">
        <v>403908</v>
      </c>
      <c r="B3561" s="129">
        <v>2150</v>
      </c>
      <c r="C3561" s="130" t="s">
        <v>1520</v>
      </c>
      <c r="D3561" s="130">
        <v>16</v>
      </c>
      <c r="E3561" s="130" t="s">
        <v>1520</v>
      </c>
      <c r="F3561" s="1031">
        <v>0</v>
      </c>
      <c r="G3561" s="1031">
        <v>2150</v>
      </c>
      <c r="H3561" s="1031">
        <v>2150</v>
      </c>
      <c r="I3561" s="1032" t="s">
        <v>1521</v>
      </c>
    </row>
    <row r="3562" spans="1:9" x14ac:dyDescent="0.25">
      <c r="A3562" s="1033">
        <v>403910</v>
      </c>
      <c r="B3562" s="129">
        <v>2150</v>
      </c>
      <c r="C3562" s="130" t="s">
        <v>1520</v>
      </c>
      <c r="D3562" s="130">
        <v>16</v>
      </c>
      <c r="E3562" s="130" t="s">
        <v>1520</v>
      </c>
      <c r="F3562" s="1031">
        <v>0</v>
      </c>
      <c r="G3562" s="1031">
        <v>2150</v>
      </c>
      <c r="H3562" s="1031">
        <v>2150</v>
      </c>
      <c r="I3562" s="1032" t="s">
        <v>1521</v>
      </c>
    </row>
    <row r="3563" spans="1:9" x14ac:dyDescent="0.25">
      <c r="A3563" s="1033">
        <v>403912</v>
      </c>
      <c r="B3563" s="129">
        <v>0</v>
      </c>
      <c r="E3563" s="130"/>
    </row>
    <row r="3564" spans="1:9" x14ac:dyDescent="0.25">
      <c r="A3564" s="1033">
        <v>403914</v>
      </c>
      <c r="B3564" s="129">
        <v>0</v>
      </c>
      <c r="E3564" s="130"/>
    </row>
    <row r="3565" spans="1:9" x14ac:dyDescent="0.25">
      <c r="A3565" s="1033">
        <v>403916</v>
      </c>
      <c r="B3565" s="129">
        <v>0</v>
      </c>
      <c r="E3565" s="130"/>
    </row>
    <row r="3566" spans="1:9" x14ac:dyDescent="0.25">
      <c r="A3566" s="1033">
        <v>403918</v>
      </c>
      <c r="B3566" s="129">
        <v>0</v>
      </c>
      <c r="E3566" s="130"/>
    </row>
    <row r="3567" spans="1:9" x14ac:dyDescent="0.25">
      <c r="A3567" s="1033">
        <v>403920</v>
      </c>
      <c r="B3567" s="129">
        <v>0</v>
      </c>
      <c r="E3567" s="130"/>
    </row>
    <row r="3568" spans="1:9" x14ac:dyDescent="0.25">
      <c r="A3568" s="1033">
        <v>403922</v>
      </c>
      <c r="B3568" s="129">
        <v>0</v>
      </c>
      <c r="E3568" s="130"/>
    </row>
    <row r="3569" spans="1:5" x14ac:dyDescent="0.25">
      <c r="A3569" s="1033">
        <v>404004</v>
      </c>
      <c r="B3569" s="129">
        <v>0</v>
      </c>
      <c r="E3569" s="130"/>
    </row>
    <row r="3570" spans="1:5" x14ac:dyDescent="0.25">
      <c r="A3570" s="1033">
        <v>404006</v>
      </c>
      <c r="B3570" s="129">
        <v>0</v>
      </c>
      <c r="E3570" s="130"/>
    </row>
    <row r="3571" spans="1:5" x14ac:dyDescent="0.25">
      <c r="A3571" s="1033">
        <v>404008</v>
      </c>
      <c r="B3571" s="129">
        <v>0</v>
      </c>
      <c r="E3571" s="130"/>
    </row>
    <row r="3572" spans="1:5" x14ac:dyDescent="0.25">
      <c r="A3572" s="1033">
        <v>404010</v>
      </c>
      <c r="B3572" s="129">
        <v>0</v>
      </c>
      <c r="E3572" s="130"/>
    </row>
    <row r="3573" spans="1:5" x14ac:dyDescent="0.25">
      <c r="A3573" s="1033">
        <v>404012</v>
      </c>
      <c r="B3573" s="129">
        <v>0</v>
      </c>
      <c r="E3573" s="130"/>
    </row>
    <row r="3574" spans="1:5" x14ac:dyDescent="0.25">
      <c r="A3574" s="1033">
        <v>404014</v>
      </c>
      <c r="B3574" s="129">
        <v>0</v>
      </c>
      <c r="E3574" s="130"/>
    </row>
    <row r="3575" spans="1:5" x14ac:dyDescent="0.25">
      <c r="A3575" s="1033">
        <v>404016</v>
      </c>
      <c r="B3575" s="129">
        <v>0</v>
      </c>
      <c r="E3575" s="130"/>
    </row>
    <row r="3576" spans="1:5" x14ac:dyDescent="0.25">
      <c r="A3576" s="1033">
        <v>404018</v>
      </c>
      <c r="B3576" s="129">
        <v>0</v>
      </c>
      <c r="E3576" s="130"/>
    </row>
    <row r="3577" spans="1:5" x14ac:dyDescent="0.25">
      <c r="A3577" s="1033">
        <v>404020</v>
      </c>
      <c r="B3577" s="129">
        <v>0</v>
      </c>
      <c r="E3577" s="130"/>
    </row>
    <row r="3578" spans="1:5" x14ac:dyDescent="0.25">
      <c r="A3578" s="1033">
        <v>404022</v>
      </c>
      <c r="B3578" s="129">
        <v>0</v>
      </c>
      <c r="E3578" s="130"/>
    </row>
    <row r="3579" spans="1:5" x14ac:dyDescent="0.25">
      <c r="A3579" s="1033">
        <v>404104</v>
      </c>
      <c r="B3579" s="129">
        <v>0</v>
      </c>
      <c r="E3579" s="130"/>
    </row>
    <row r="3580" spans="1:5" x14ac:dyDescent="0.25">
      <c r="A3580" s="1033">
        <v>404106</v>
      </c>
      <c r="B3580" s="129">
        <v>0</v>
      </c>
      <c r="E3580" s="130"/>
    </row>
    <row r="3581" spans="1:5" x14ac:dyDescent="0.25">
      <c r="A3581" s="1033">
        <v>404108</v>
      </c>
      <c r="B3581" s="129">
        <v>0</v>
      </c>
      <c r="E3581" s="130"/>
    </row>
    <row r="3582" spans="1:5" x14ac:dyDescent="0.25">
      <c r="A3582" s="1033">
        <v>404110</v>
      </c>
      <c r="B3582" s="129">
        <v>0</v>
      </c>
      <c r="E3582" s="130"/>
    </row>
    <row r="3583" spans="1:5" x14ac:dyDescent="0.25">
      <c r="A3583" s="1033">
        <v>404112</v>
      </c>
      <c r="B3583" s="129">
        <v>0</v>
      </c>
      <c r="E3583" s="130"/>
    </row>
    <row r="3584" spans="1:5" x14ac:dyDescent="0.25">
      <c r="A3584" s="1033">
        <v>404114</v>
      </c>
      <c r="B3584" s="129">
        <v>0</v>
      </c>
      <c r="E3584" s="130"/>
    </row>
    <row r="3585" spans="1:9" x14ac:dyDescent="0.25">
      <c r="A3585" s="1033">
        <v>404116</v>
      </c>
      <c r="B3585" s="129">
        <v>0</v>
      </c>
      <c r="E3585" s="130"/>
    </row>
    <row r="3586" spans="1:9" x14ac:dyDescent="0.25">
      <c r="A3586" s="1033">
        <v>404118</v>
      </c>
      <c r="B3586" s="129">
        <v>0</v>
      </c>
      <c r="E3586" s="130"/>
    </row>
    <row r="3587" spans="1:9" x14ac:dyDescent="0.25">
      <c r="A3587" s="1033">
        <v>404120</v>
      </c>
      <c r="B3587" s="129">
        <v>0</v>
      </c>
      <c r="E3587" s="130"/>
    </row>
    <row r="3588" spans="1:9" x14ac:dyDescent="0.25">
      <c r="A3588" s="1033">
        <v>404122</v>
      </c>
      <c r="B3588" s="129">
        <v>0</v>
      </c>
      <c r="E3588" s="130"/>
    </row>
    <row r="3589" spans="1:9" x14ac:dyDescent="0.25">
      <c r="A3589" s="1033">
        <v>404204</v>
      </c>
      <c r="B3589" s="129">
        <v>1541</v>
      </c>
      <c r="C3589" s="130" t="s">
        <v>1522</v>
      </c>
      <c r="D3589" s="130">
        <v>16</v>
      </c>
      <c r="E3589" s="130" t="s">
        <v>1522</v>
      </c>
      <c r="F3589" s="1031">
        <v>0</v>
      </c>
      <c r="G3589" s="1031">
        <v>1540.88</v>
      </c>
      <c r="H3589" s="1031">
        <v>1540.88</v>
      </c>
      <c r="I3589" s="1032" t="s">
        <v>1523</v>
      </c>
    </row>
    <row r="3590" spans="1:9" x14ac:dyDescent="0.25">
      <c r="A3590" s="1033">
        <v>404206</v>
      </c>
      <c r="B3590" s="129">
        <v>1541</v>
      </c>
      <c r="C3590" s="130" t="s">
        <v>1522</v>
      </c>
      <c r="D3590" s="130">
        <v>16</v>
      </c>
      <c r="E3590" s="130" t="s">
        <v>1522</v>
      </c>
      <c r="F3590" s="1031">
        <v>0</v>
      </c>
      <c r="G3590" s="1031">
        <v>1540.88</v>
      </c>
      <c r="H3590" s="1031">
        <v>1540.88</v>
      </c>
      <c r="I3590" s="1032" t="s">
        <v>1523</v>
      </c>
    </row>
    <row r="3591" spans="1:9" x14ac:dyDescent="0.25">
      <c r="A3591" s="1033">
        <v>404208</v>
      </c>
      <c r="B3591" s="129">
        <v>1233</v>
      </c>
      <c r="C3591" s="130" t="s">
        <v>1524</v>
      </c>
      <c r="D3591" s="130">
        <v>16</v>
      </c>
      <c r="E3591" s="130" t="s">
        <v>1524</v>
      </c>
      <c r="F3591" s="1031">
        <v>0</v>
      </c>
      <c r="G3591" s="1031">
        <v>1232.69</v>
      </c>
      <c r="H3591" s="1031">
        <v>1232.69</v>
      </c>
      <c r="I3591" s="1032" t="s">
        <v>1525</v>
      </c>
    </row>
    <row r="3592" spans="1:9" x14ac:dyDescent="0.25">
      <c r="A3592" s="1033">
        <v>404210</v>
      </c>
      <c r="B3592" s="129">
        <v>1233</v>
      </c>
      <c r="C3592" s="130" t="s">
        <v>1524</v>
      </c>
      <c r="D3592" s="130">
        <v>16</v>
      </c>
      <c r="E3592" s="130" t="s">
        <v>1524</v>
      </c>
      <c r="F3592" s="1031">
        <v>0</v>
      </c>
      <c r="G3592" s="1031">
        <v>1232.69</v>
      </c>
      <c r="H3592" s="1031">
        <v>1232.69</v>
      </c>
      <c r="I3592" s="1032" t="s">
        <v>1525</v>
      </c>
    </row>
    <row r="3593" spans="1:9" x14ac:dyDescent="0.25">
      <c r="A3593" s="1033">
        <v>404212</v>
      </c>
      <c r="B3593" s="129">
        <v>0</v>
      </c>
      <c r="E3593" s="130"/>
    </row>
    <row r="3594" spans="1:9" x14ac:dyDescent="0.25">
      <c r="A3594" s="1033">
        <v>404214</v>
      </c>
      <c r="B3594" s="129">
        <v>0</v>
      </c>
      <c r="E3594" s="130"/>
    </row>
    <row r="3595" spans="1:9" x14ac:dyDescent="0.25">
      <c r="A3595" s="1033">
        <v>404216</v>
      </c>
      <c r="B3595" s="129">
        <v>0</v>
      </c>
      <c r="E3595" s="130"/>
    </row>
    <row r="3596" spans="1:9" x14ac:dyDescent="0.25">
      <c r="A3596" s="1033">
        <v>404218</v>
      </c>
      <c r="B3596" s="129">
        <v>0</v>
      </c>
      <c r="E3596" s="130"/>
    </row>
    <row r="3597" spans="1:9" x14ac:dyDescent="0.25">
      <c r="A3597" s="1033">
        <v>404220</v>
      </c>
      <c r="B3597" s="129">
        <v>0</v>
      </c>
      <c r="E3597" s="130"/>
    </row>
    <row r="3598" spans="1:9" x14ac:dyDescent="0.25">
      <c r="A3598" s="1033">
        <v>404222</v>
      </c>
      <c r="B3598" s="129">
        <v>0</v>
      </c>
      <c r="E3598" s="130"/>
    </row>
    <row r="3599" spans="1:9" x14ac:dyDescent="0.25">
      <c r="A3599" s="1033">
        <v>404304</v>
      </c>
      <c r="B3599" s="129">
        <v>1213</v>
      </c>
      <c r="C3599" s="130" t="s">
        <v>1526</v>
      </c>
      <c r="D3599" s="130">
        <v>16</v>
      </c>
      <c r="E3599" s="130" t="s">
        <v>1526</v>
      </c>
      <c r="F3599" s="1031">
        <v>0</v>
      </c>
      <c r="G3599" s="1031">
        <v>1213.46</v>
      </c>
      <c r="H3599" s="1031">
        <v>1213.46</v>
      </c>
      <c r="I3599" s="1032" t="s">
        <v>1527</v>
      </c>
    </row>
    <row r="3600" spans="1:9" x14ac:dyDescent="0.25">
      <c r="A3600" s="1033">
        <v>404306</v>
      </c>
      <c r="B3600" s="129">
        <v>1213</v>
      </c>
      <c r="C3600" s="130" t="s">
        <v>1526</v>
      </c>
      <c r="D3600" s="130">
        <v>16</v>
      </c>
      <c r="E3600" s="130" t="s">
        <v>1526</v>
      </c>
      <c r="F3600" s="1031">
        <v>0</v>
      </c>
      <c r="G3600" s="1031">
        <v>1213.46</v>
      </c>
      <c r="H3600" s="1031">
        <v>1213.46</v>
      </c>
      <c r="I3600" s="1032" t="s">
        <v>1527</v>
      </c>
    </row>
    <row r="3601" spans="1:9" x14ac:dyDescent="0.25">
      <c r="A3601" s="1033">
        <v>404308</v>
      </c>
      <c r="B3601" s="129">
        <v>971</v>
      </c>
      <c r="C3601" s="130" t="s">
        <v>1528</v>
      </c>
      <c r="D3601" s="130">
        <v>16</v>
      </c>
      <c r="E3601" s="130" t="s">
        <v>1528</v>
      </c>
      <c r="F3601" s="1031">
        <v>0</v>
      </c>
      <c r="G3601" s="1031">
        <v>970.77</v>
      </c>
      <c r="H3601" s="1031">
        <v>970.77</v>
      </c>
      <c r="I3601" s="1032" t="s">
        <v>1529</v>
      </c>
    </row>
    <row r="3602" spans="1:9" x14ac:dyDescent="0.25">
      <c r="A3602" s="1033">
        <v>404310</v>
      </c>
      <c r="B3602" s="129">
        <v>971</v>
      </c>
      <c r="C3602" s="130" t="s">
        <v>1528</v>
      </c>
      <c r="D3602" s="130">
        <v>16</v>
      </c>
      <c r="E3602" s="130" t="s">
        <v>1528</v>
      </c>
      <c r="F3602" s="1031">
        <v>0</v>
      </c>
      <c r="G3602" s="1031">
        <v>970.77</v>
      </c>
      <c r="H3602" s="1031">
        <v>970.77</v>
      </c>
      <c r="I3602" s="1032" t="s">
        <v>1529</v>
      </c>
    </row>
    <row r="3603" spans="1:9" x14ac:dyDescent="0.25">
      <c r="A3603" s="1033">
        <v>404312</v>
      </c>
      <c r="B3603" s="129">
        <v>0</v>
      </c>
      <c r="E3603" s="130"/>
    </row>
    <row r="3604" spans="1:9" x14ac:dyDescent="0.25">
      <c r="A3604" s="1033">
        <v>404314</v>
      </c>
      <c r="B3604" s="129">
        <v>0</v>
      </c>
      <c r="E3604" s="130"/>
    </row>
    <row r="3605" spans="1:9" x14ac:dyDescent="0.25">
      <c r="A3605" s="1033">
        <v>404316</v>
      </c>
      <c r="B3605" s="129">
        <v>0</v>
      </c>
      <c r="E3605" s="130"/>
    </row>
    <row r="3606" spans="1:9" x14ac:dyDescent="0.25">
      <c r="A3606" s="1033">
        <v>404318</v>
      </c>
      <c r="B3606" s="129">
        <v>0</v>
      </c>
      <c r="E3606" s="130"/>
    </row>
    <row r="3607" spans="1:9" x14ac:dyDescent="0.25">
      <c r="A3607" s="1033">
        <v>404320</v>
      </c>
      <c r="B3607" s="129">
        <v>0</v>
      </c>
      <c r="E3607" s="130"/>
    </row>
    <row r="3608" spans="1:9" x14ac:dyDescent="0.25">
      <c r="A3608" s="1033">
        <v>404322</v>
      </c>
      <c r="B3608" s="129">
        <v>0</v>
      </c>
      <c r="E3608" s="130"/>
    </row>
    <row r="3609" spans="1:9" x14ac:dyDescent="0.25">
      <c r="A3609" s="1033">
        <v>404404</v>
      </c>
      <c r="B3609" s="129">
        <v>1276</v>
      </c>
      <c r="C3609" s="130" t="s">
        <v>1530</v>
      </c>
      <c r="D3609" s="130">
        <v>16</v>
      </c>
      <c r="E3609" s="130" t="s">
        <v>1530</v>
      </c>
      <c r="F3609" s="1031">
        <v>0</v>
      </c>
      <c r="G3609" s="1031">
        <v>1275.71</v>
      </c>
      <c r="H3609" s="1031">
        <v>1275.71</v>
      </c>
      <c r="I3609" s="1032" t="s">
        <v>1531</v>
      </c>
    </row>
    <row r="3610" spans="1:9" x14ac:dyDescent="0.25">
      <c r="A3610" s="1033">
        <v>404406</v>
      </c>
      <c r="B3610" s="129">
        <v>1276</v>
      </c>
      <c r="C3610" s="130" t="s">
        <v>1530</v>
      </c>
      <c r="D3610" s="130">
        <v>16</v>
      </c>
      <c r="E3610" s="130" t="s">
        <v>1530</v>
      </c>
      <c r="F3610" s="1031">
        <v>0</v>
      </c>
      <c r="G3610" s="1031">
        <v>1275.71</v>
      </c>
      <c r="H3610" s="1031">
        <v>1275.71</v>
      </c>
      <c r="I3610" s="1032" t="s">
        <v>1531</v>
      </c>
    </row>
    <row r="3611" spans="1:9" x14ac:dyDescent="0.25">
      <c r="A3611" s="1033">
        <v>404408</v>
      </c>
      <c r="B3611" s="129">
        <v>1021</v>
      </c>
      <c r="C3611" s="130" t="s">
        <v>1532</v>
      </c>
      <c r="D3611" s="130">
        <v>16</v>
      </c>
      <c r="E3611" s="130" t="s">
        <v>1532</v>
      </c>
      <c r="F3611" s="1031">
        <v>0</v>
      </c>
      <c r="G3611" s="1031">
        <v>1020.56</v>
      </c>
      <c r="H3611" s="1031">
        <v>1020.56</v>
      </c>
      <c r="I3611" s="1032" t="s">
        <v>1533</v>
      </c>
    </row>
    <row r="3612" spans="1:9" x14ac:dyDescent="0.25">
      <c r="A3612" s="1033">
        <v>404410</v>
      </c>
      <c r="B3612" s="129">
        <v>1021</v>
      </c>
      <c r="C3612" s="130" t="s">
        <v>1532</v>
      </c>
      <c r="D3612" s="130">
        <v>16</v>
      </c>
      <c r="E3612" s="130" t="s">
        <v>1532</v>
      </c>
      <c r="F3612" s="1031">
        <v>0</v>
      </c>
      <c r="G3612" s="1031">
        <v>1020.56</v>
      </c>
      <c r="H3612" s="1031">
        <v>1020.56</v>
      </c>
      <c r="I3612" s="1032" t="s">
        <v>1533</v>
      </c>
    </row>
    <row r="3613" spans="1:9" x14ac:dyDescent="0.25">
      <c r="A3613" s="1033">
        <v>404412</v>
      </c>
      <c r="B3613" s="129">
        <v>0</v>
      </c>
      <c r="E3613" s="130"/>
    </row>
    <row r="3614" spans="1:9" x14ac:dyDescent="0.25">
      <c r="A3614" s="1033">
        <v>404414</v>
      </c>
      <c r="B3614" s="129">
        <v>0</v>
      </c>
      <c r="E3614" s="130"/>
    </row>
    <row r="3615" spans="1:9" x14ac:dyDescent="0.25">
      <c r="A3615" s="1033">
        <v>404416</v>
      </c>
      <c r="B3615" s="129">
        <v>0</v>
      </c>
      <c r="E3615" s="130"/>
    </row>
    <row r="3616" spans="1:9" x14ac:dyDescent="0.25">
      <c r="A3616" s="1033">
        <v>404418</v>
      </c>
      <c r="B3616" s="129">
        <v>0</v>
      </c>
      <c r="E3616" s="130"/>
    </row>
    <row r="3617" spans="1:5" x14ac:dyDescent="0.25">
      <c r="A3617" s="1033">
        <v>404420</v>
      </c>
      <c r="B3617" s="129">
        <v>0</v>
      </c>
      <c r="E3617" s="130"/>
    </row>
    <row r="3618" spans="1:5" x14ac:dyDescent="0.25">
      <c r="A3618" s="1033">
        <v>404422</v>
      </c>
      <c r="B3618" s="129">
        <v>0</v>
      </c>
      <c r="E3618" s="130"/>
    </row>
    <row r="3619" spans="1:5" x14ac:dyDescent="0.25">
      <c r="A3619" s="1033">
        <v>404504</v>
      </c>
      <c r="B3619" s="129">
        <v>19218</v>
      </c>
      <c r="E3619" s="130"/>
    </row>
    <row r="3620" spans="1:5" x14ac:dyDescent="0.25">
      <c r="A3620" s="1033">
        <v>404506</v>
      </c>
      <c r="B3620" s="129">
        <v>19218</v>
      </c>
      <c r="E3620" s="130"/>
    </row>
    <row r="3621" spans="1:5" x14ac:dyDescent="0.25">
      <c r="A3621" s="1033">
        <v>404508</v>
      </c>
      <c r="B3621" s="129">
        <v>15375</v>
      </c>
      <c r="E3621" s="130"/>
    </row>
    <row r="3622" spans="1:5" x14ac:dyDescent="0.25">
      <c r="A3622" s="1033">
        <v>404510</v>
      </c>
      <c r="B3622" s="129">
        <v>15375</v>
      </c>
      <c r="E3622" s="130"/>
    </row>
    <row r="3623" spans="1:5" x14ac:dyDescent="0.25">
      <c r="A3623" s="1033">
        <v>404512</v>
      </c>
      <c r="B3623" s="129">
        <v>0</v>
      </c>
      <c r="E3623" s="130"/>
    </row>
    <row r="3624" spans="1:5" x14ac:dyDescent="0.25">
      <c r="A3624" s="1033">
        <v>404514</v>
      </c>
      <c r="B3624" s="129">
        <v>0</v>
      </c>
      <c r="E3624" s="130"/>
    </row>
    <row r="3625" spans="1:5" x14ac:dyDescent="0.25">
      <c r="A3625" s="1033">
        <v>404516</v>
      </c>
      <c r="B3625" s="129">
        <v>0</v>
      </c>
      <c r="E3625" s="130"/>
    </row>
    <row r="3626" spans="1:5" x14ac:dyDescent="0.25">
      <c r="A3626" s="1033">
        <v>404518</v>
      </c>
      <c r="B3626" s="129">
        <v>0</v>
      </c>
      <c r="E3626" s="130"/>
    </row>
    <row r="3627" spans="1:5" x14ac:dyDescent="0.25">
      <c r="A3627" s="1033">
        <v>404520</v>
      </c>
      <c r="B3627" s="129">
        <v>0</v>
      </c>
      <c r="E3627" s="130"/>
    </row>
    <row r="3628" spans="1:5" x14ac:dyDescent="0.25">
      <c r="A3628" s="1033">
        <v>404522</v>
      </c>
      <c r="B3628" s="129">
        <v>0</v>
      </c>
      <c r="E3628" s="130"/>
    </row>
    <row r="3629" spans="1:5" x14ac:dyDescent="0.25">
      <c r="A3629" s="1033">
        <v>404604</v>
      </c>
      <c r="B3629" s="129">
        <v>0</v>
      </c>
      <c r="E3629" s="130"/>
    </row>
    <row r="3630" spans="1:5" x14ac:dyDescent="0.25">
      <c r="A3630" s="1033">
        <v>404606</v>
      </c>
      <c r="B3630" s="129">
        <v>0</v>
      </c>
      <c r="E3630" s="130"/>
    </row>
    <row r="3631" spans="1:5" x14ac:dyDescent="0.25">
      <c r="A3631" s="1033">
        <v>404608</v>
      </c>
      <c r="B3631" s="129">
        <v>0</v>
      </c>
      <c r="E3631" s="130"/>
    </row>
    <row r="3632" spans="1:5" x14ac:dyDescent="0.25">
      <c r="A3632" s="1033">
        <v>404610</v>
      </c>
      <c r="B3632" s="129">
        <v>0</v>
      </c>
      <c r="E3632" s="130"/>
    </row>
    <row r="3633" spans="1:9" x14ac:dyDescent="0.25">
      <c r="A3633" s="1033">
        <v>404612</v>
      </c>
      <c r="B3633" s="129">
        <v>0</v>
      </c>
      <c r="E3633" s="130"/>
    </row>
    <row r="3634" spans="1:9" x14ac:dyDescent="0.25">
      <c r="A3634" s="1033">
        <v>404614</v>
      </c>
      <c r="B3634" s="129">
        <v>0</v>
      </c>
      <c r="E3634" s="130"/>
    </row>
    <row r="3635" spans="1:9" x14ac:dyDescent="0.25">
      <c r="A3635" s="1033">
        <v>404616</v>
      </c>
      <c r="B3635" s="129">
        <v>0</v>
      </c>
      <c r="E3635" s="130"/>
    </row>
    <row r="3636" spans="1:9" x14ac:dyDescent="0.25">
      <c r="A3636" s="1033">
        <v>404618</v>
      </c>
      <c r="B3636" s="129">
        <v>0</v>
      </c>
      <c r="E3636" s="130"/>
    </row>
    <row r="3637" spans="1:9" x14ac:dyDescent="0.25">
      <c r="A3637" s="1033">
        <v>404620</v>
      </c>
      <c r="B3637" s="129">
        <v>0</v>
      </c>
      <c r="E3637" s="130"/>
    </row>
    <row r="3638" spans="1:9" x14ac:dyDescent="0.25">
      <c r="A3638" s="1033">
        <v>404622</v>
      </c>
      <c r="B3638" s="129">
        <v>0</v>
      </c>
      <c r="E3638" s="130"/>
    </row>
    <row r="3639" spans="1:9" x14ac:dyDescent="0.25">
      <c r="A3639" s="1033">
        <v>404704</v>
      </c>
      <c r="B3639" s="129">
        <v>660</v>
      </c>
      <c r="C3639" s="130" t="s">
        <v>1534</v>
      </c>
      <c r="D3639" s="130">
        <v>16</v>
      </c>
      <c r="E3639" s="130" t="s">
        <v>1534</v>
      </c>
      <c r="F3639" s="1031">
        <v>0</v>
      </c>
      <c r="G3639" s="1031">
        <v>660.38</v>
      </c>
      <c r="H3639" s="1031">
        <v>660.38</v>
      </c>
      <c r="I3639" s="1032" t="s">
        <v>1535</v>
      </c>
    </row>
    <row r="3640" spans="1:9" x14ac:dyDescent="0.25">
      <c r="A3640" s="1033">
        <v>404706</v>
      </c>
      <c r="B3640" s="129">
        <v>660</v>
      </c>
      <c r="C3640" s="130" t="s">
        <v>1534</v>
      </c>
      <c r="D3640" s="130">
        <v>16</v>
      </c>
      <c r="E3640" s="130" t="s">
        <v>1534</v>
      </c>
      <c r="F3640" s="1031">
        <v>0</v>
      </c>
      <c r="G3640" s="1031">
        <v>660.38</v>
      </c>
      <c r="H3640" s="1031">
        <v>660.38</v>
      </c>
      <c r="I3640" s="1032" t="s">
        <v>1535</v>
      </c>
    </row>
    <row r="3641" spans="1:9" x14ac:dyDescent="0.25">
      <c r="A3641" s="1033">
        <v>404708</v>
      </c>
      <c r="B3641" s="129">
        <v>528</v>
      </c>
      <c r="C3641" s="130" t="s">
        <v>1536</v>
      </c>
      <c r="D3641" s="130">
        <v>16</v>
      </c>
      <c r="E3641" s="130" t="s">
        <v>1536</v>
      </c>
      <c r="F3641" s="1031">
        <v>0</v>
      </c>
      <c r="G3641" s="1031">
        <v>528.29</v>
      </c>
      <c r="H3641" s="1031">
        <v>528.29</v>
      </c>
      <c r="I3641" s="1032" t="s">
        <v>1537</v>
      </c>
    </row>
    <row r="3642" spans="1:9" x14ac:dyDescent="0.25">
      <c r="A3642" s="1033">
        <v>404710</v>
      </c>
      <c r="B3642" s="129">
        <v>528</v>
      </c>
      <c r="C3642" s="130" t="s">
        <v>1536</v>
      </c>
      <c r="D3642" s="130">
        <v>16</v>
      </c>
      <c r="E3642" s="130" t="s">
        <v>1536</v>
      </c>
      <c r="F3642" s="1031">
        <v>0</v>
      </c>
      <c r="G3642" s="1031">
        <v>528.29</v>
      </c>
      <c r="H3642" s="1031">
        <v>528.29</v>
      </c>
      <c r="I3642" s="1032" t="s">
        <v>1537</v>
      </c>
    </row>
    <row r="3643" spans="1:9" x14ac:dyDescent="0.25">
      <c r="A3643" s="1033">
        <v>404712</v>
      </c>
      <c r="B3643" s="129">
        <v>0</v>
      </c>
      <c r="E3643" s="130"/>
    </row>
    <row r="3644" spans="1:9" x14ac:dyDescent="0.25">
      <c r="A3644" s="1033">
        <v>404714</v>
      </c>
      <c r="B3644" s="129">
        <v>0</v>
      </c>
      <c r="E3644" s="130"/>
    </row>
    <row r="3645" spans="1:9" x14ac:dyDescent="0.25">
      <c r="A3645" s="1033">
        <v>404716</v>
      </c>
      <c r="B3645" s="129">
        <v>0</v>
      </c>
      <c r="E3645" s="130"/>
    </row>
    <row r="3646" spans="1:9" x14ac:dyDescent="0.25">
      <c r="A3646" s="1033">
        <v>404718</v>
      </c>
      <c r="B3646" s="129">
        <v>0</v>
      </c>
      <c r="E3646" s="130"/>
    </row>
    <row r="3647" spans="1:9" x14ac:dyDescent="0.25">
      <c r="A3647" s="1033">
        <v>404720</v>
      </c>
      <c r="B3647" s="129">
        <v>0</v>
      </c>
      <c r="E3647" s="130"/>
    </row>
    <row r="3648" spans="1:9" x14ac:dyDescent="0.25">
      <c r="A3648" s="1033">
        <v>404722</v>
      </c>
      <c r="B3648" s="129">
        <v>0</v>
      </c>
      <c r="E3648" s="130"/>
    </row>
    <row r="3649" spans="1:9" x14ac:dyDescent="0.25">
      <c r="A3649" s="1033">
        <v>404804</v>
      </c>
      <c r="B3649" s="129">
        <v>400</v>
      </c>
      <c r="C3649" s="130" t="s">
        <v>1538</v>
      </c>
      <c r="D3649" s="130">
        <v>16</v>
      </c>
      <c r="E3649" s="130" t="s">
        <v>1538</v>
      </c>
      <c r="F3649" s="1031">
        <v>0</v>
      </c>
      <c r="G3649" s="1031">
        <v>400</v>
      </c>
      <c r="H3649" s="1031">
        <v>400</v>
      </c>
      <c r="I3649" s="1032" t="s">
        <v>1539</v>
      </c>
    </row>
    <row r="3650" spans="1:9" x14ac:dyDescent="0.25">
      <c r="A3650" s="1033">
        <v>404806</v>
      </c>
      <c r="B3650" s="129">
        <v>400</v>
      </c>
      <c r="C3650" s="130" t="s">
        <v>1538</v>
      </c>
      <c r="D3650" s="130">
        <v>16</v>
      </c>
      <c r="E3650" s="130" t="s">
        <v>1538</v>
      </c>
      <c r="F3650" s="1031">
        <v>0</v>
      </c>
      <c r="G3650" s="1031">
        <v>400</v>
      </c>
      <c r="H3650" s="1031">
        <v>400</v>
      </c>
      <c r="I3650" s="1032" t="s">
        <v>1539</v>
      </c>
    </row>
    <row r="3651" spans="1:9" x14ac:dyDescent="0.25">
      <c r="A3651" s="1033">
        <v>404808</v>
      </c>
      <c r="B3651" s="129">
        <v>0</v>
      </c>
      <c r="E3651" s="130"/>
    </row>
    <row r="3652" spans="1:9" x14ac:dyDescent="0.25">
      <c r="A3652" s="1033">
        <v>404810</v>
      </c>
      <c r="B3652" s="129">
        <v>0</v>
      </c>
      <c r="E3652" s="130"/>
    </row>
    <row r="3653" spans="1:9" x14ac:dyDescent="0.25">
      <c r="A3653" s="1033">
        <v>404812</v>
      </c>
      <c r="B3653" s="129">
        <v>0</v>
      </c>
      <c r="E3653" s="130"/>
    </row>
    <row r="3654" spans="1:9" x14ac:dyDescent="0.25">
      <c r="A3654" s="1033">
        <v>404814</v>
      </c>
      <c r="B3654" s="129">
        <v>0</v>
      </c>
      <c r="E3654" s="130"/>
    </row>
    <row r="3655" spans="1:9" x14ac:dyDescent="0.25">
      <c r="A3655" s="1033">
        <v>404816</v>
      </c>
      <c r="B3655" s="129">
        <v>0</v>
      </c>
      <c r="E3655" s="130"/>
    </row>
    <row r="3656" spans="1:9" x14ac:dyDescent="0.25">
      <c r="A3656" s="1033">
        <v>404818</v>
      </c>
      <c r="B3656" s="129">
        <v>0</v>
      </c>
      <c r="E3656" s="130"/>
    </row>
    <row r="3657" spans="1:9" x14ac:dyDescent="0.25">
      <c r="A3657" s="1033">
        <v>404820</v>
      </c>
      <c r="B3657" s="129">
        <v>0</v>
      </c>
      <c r="E3657" s="130"/>
    </row>
    <row r="3658" spans="1:9" x14ac:dyDescent="0.25">
      <c r="A3658" s="1033">
        <v>404822</v>
      </c>
      <c r="B3658" s="129">
        <v>0</v>
      </c>
      <c r="E3658" s="130"/>
    </row>
    <row r="3659" spans="1:9" x14ac:dyDescent="0.25">
      <c r="A3659" s="1033">
        <v>404904</v>
      </c>
      <c r="B3659" s="129">
        <v>5313</v>
      </c>
      <c r="C3659" s="130" t="s">
        <v>1540</v>
      </c>
      <c r="D3659" s="130">
        <v>16</v>
      </c>
      <c r="E3659" s="130" t="s">
        <v>1540</v>
      </c>
      <c r="F3659" s="1031">
        <v>0</v>
      </c>
      <c r="G3659" s="1031">
        <v>5312.5</v>
      </c>
      <c r="H3659" s="1031">
        <v>5312.5</v>
      </c>
      <c r="I3659" s="1032" t="s">
        <v>1541</v>
      </c>
    </row>
    <row r="3660" spans="1:9" x14ac:dyDescent="0.25">
      <c r="A3660" s="1033">
        <v>404906</v>
      </c>
      <c r="B3660" s="129">
        <v>5313</v>
      </c>
      <c r="C3660" s="130" t="s">
        <v>1540</v>
      </c>
      <c r="D3660" s="130">
        <v>16</v>
      </c>
      <c r="E3660" s="130" t="s">
        <v>1540</v>
      </c>
      <c r="F3660" s="1031">
        <v>0</v>
      </c>
      <c r="G3660" s="1031">
        <v>5312.5</v>
      </c>
      <c r="H3660" s="1031">
        <v>5312.5</v>
      </c>
      <c r="I3660" s="1032" t="s">
        <v>1541</v>
      </c>
    </row>
    <row r="3661" spans="1:9" x14ac:dyDescent="0.25">
      <c r="A3661" s="1033">
        <v>404908</v>
      </c>
      <c r="B3661" s="129">
        <v>900</v>
      </c>
      <c r="C3661" s="130" t="s">
        <v>1542</v>
      </c>
      <c r="D3661" s="130">
        <v>16</v>
      </c>
      <c r="E3661" s="130" t="s">
        <v>1542</v>
      </c>
      <c r="F3661" s="1031">
        <v>0</v>
      </c>
      <c r="G3661" s="1031">
        <v>900</v>
      </c>
      <c r="H3661" s="1031">
        <v>900</v>
      </c>
      <c r="I3661" s="1032" t="s">
        <v>1543</v>
      </c>
    </row>
    <row r="3662" spans="1:9" x14ac:dyDescent="0.25">
      <c r="A3662" s="1033">
        <v>404910</v>
      </c>
      <c r="B3662" s="129">
        <v>900</v>
      </c>
      <c r="C3662" s="130" t="s">
        <v>1542</v>
      </c>
      <c r="D3662" s="130">
        <v>16</v>
      </c>
      <c r="E3662" s="130" t="s">
        <v>1542</v>
      </c>
      <c r="F3662" s="1031">
        <v>0</v>
      </c>
      <c r="G3662" s="1031">
        <v>900</v>
      </c>
      <c r="H3662" s="1031">
        <v>900</v>
      </c>
      <c r="I3662" s="1032" t="s">
        <v>1543</v>
      </c>
    </row>
    <row r="3663" spans="1:9" x14ac:dyDescent="0.25">
      <c r="A3663" s="1033">
        <v>404912</v>
      </c>
      <c r="B3663" s="129">
        <v>0</v>
      </c>
      <c r="E3663" s="130"/>
    </row>
    <row r="3664" spans="1:9" x14ac:dyDescent="0.25">
      <c r="A3664" s="1033">
        <v>404914</v>
      </c>
      <c r="B3664" s="129">
        <v>0</v>
      </c>
      <c r="E3664" s="130"/>
    </row>
    <row r="3665" spans="1:9" x14ac:dyDescent="0.25">
      <c r="A3665" s="1033">
        <v>404916</v>
      </c>
      <c r="B3665" s="129">
        <v>0</v>
      </c>
      <c r="E3665" s="130"/>
    </row>
    <row r="3666" spans="1:9" x14ac:dyDescent="0.25">
      <c r="A3666" s="1033">
        <v>404918</v>
      </c>
      <c r="B3666" s="129">
        <v>0</v>
      </c>
      <c r="E3666" s="130"/>
    </row>
    <row r="3667" spans="1:9" x14ac:dyDescent="0.25">
      <c r="A3667" s="1033">
        <v>404920</v>
      </c>
      <c r="B3667" s="129">
        <v>0</v>
      </c>
      <c r="E3667" s="130"/>
    </row>
    <row r="3668" spans="1:9" x14ac:dyDescent="0.25">
      <c r="A3668" s="1033">
        <v>404922</v>
      </c>
      <c r="B3668" s="129">
        <v>0</v>
      </c>
      <c r="E3668" s="130"/>
    </row>
    <row r="3669" spans="1:9" x14ac:dyDescent="0.25">
      <c r="A3669" s="1033">
        <v>405004</v>
      </c>
      <c r="B3669" s="129">
        <v>43</v>
      </c>
      <c r="C3669" s="130" t="s">
        <v>1544</v>
      </c>
      <c r="D3669" s="130">
        <v>16</v>
      </c>
      <c r="E3669" s="130" t="s">
        <v>1544</v>
      </c>
      <c r="F3669" s="1031">
        <v>0</v>
      </c>
      <c r="G3669" s="1031">
        <v>43.49</v>
      </c>
      <c r="H3669" s="1031">
        <v>43.49</v>
      </c>
      <c r="I3669" s="1032" t="s">
        <v>1545</v>
      </c>
    </row>
    <row r="3670" spans="1:9" x14ac:dyDescent="0.25">
      <c r="A3670" s="1033">
        <v>405006</v>
      </c>
      <c r="B3670" s="129">
        <v>43</v>
      </c>
      <c r="C3670" s="130" t="s">
        <v>1544</v>
      </c>
      <c r="D3670" s="130">
        <v>16</v>
      </c>
      <c r="E3670" s="130" t="s">
        <v>1544</v>
      </c>
      <c r="F3670" s="1031">
        <v>0</v>
      </c>
      <c r="G3670" s="1031">
        <v>43.49</v>
      </c>
      <c r="H3670" s="1031">
        <v>43.49</v>
      </c>
      <c r="I3670" s="1032" t="s">
        <v>1545</v>
      </c>
    </row>
    <row r="3671" spans="1:9" x14ac:dyDescent="0.25">
      <c r="A3671" s="1033">
        <v>405008</v>
      </c>
      <c r="B3671" s="129">
        <v>35</v>
      </c>
      <c r="C3671" s="130" t="s">
        <v>1546</v>
      </c>
      <c r="D3671" s="130">
        <v>16</v>
      </c>
      <c r="E3671" s="130" t="s">
        <v>1546</v>
      </c>
      <c r="F3671" s="1031">
        <v>0</v>
      </c>
      <c r="G3671" s="1031">
        <v>34.79</v>
      </c>
      <c r="H3671" s="1031">
        <v>34.79</v>
      </c>
      <c r="I3671" s="1032" t="s">
        <v>1547</v>
      </c>
    </row>
    <row r="3672" spans="1:9" x14ac:dyDescent="0.25">
      <c r="A3672" s="1033">
        <v>405010</v>
      </c>
      <c r="B3672" s="129">
        <v>35</v>
      </c>
      <c r="C3672" s="130" t="s">
        <v>1546</v>
      </c>
      <c r="D3672" s="130">
        <v>16</v>
      </c>
      <c r="E3672" s="130" t="s">
        <v>1546</v>
      </c>
      <c r="F3672" s="1031">
        <v>0</v>
      </c>
      <c r="G3672" s="1031">
        <v>34.79</v>
      </c>
      <c r="H3672" s="1031">
        <v>34.79</v>
      </c>
      <c r="I3672" s="1032" t="s">
        <v>1547</v>
      </c>
    </row>
    <row r="3673" spans="1:9" x14ac:dyDescent="0.25">
      <c r="A3673" s="1033">
        <v>405012</v>
      </c>
      <c r="B3673" s="129">
        <v>0</v>
      </c>
      <c r="E3673" s="130"/>
    </row>
    <row r="3674" spans="1:9" x14ac:dyDescent="0.25">
      <c r="A3674" s="1033">
        <v>405014</v>
      </c>
      <c r="B3674" s="129">
        <v>0</v>
      </c>
      <c r="E3674" s="130"/>
    </row>
    <row r="3675" spans="1:9" x14ac:dyDescent="0.25">
      <c r="A3675" s="1033">
        <v>405016</v>
      </c>
      <c r="B3675" s="129">
        <v>0</v>
      </c>
      <c r="E3675" s="130"/>
    </row>
    <row r="3676" spans="1:9" x14ac:dyDescent="0.25">
      <c r="A3676" s="1033">
        <v>405018</v>
      </c>
      <c r="B3676" s="129">
        <v>0</v>
      </c>
      <c r="E3676" s="130"/>
    </row>
    <row r="3677" spans="1:9" x14ac:dyDescent="0.25">
      <c r="A3677" s="1033">
        <v>405020</v>
      </c>
      <c r="B3677" s="129">
        <v>0</v>
      </c>
      <c r="E3677" s="130"/>
    </row>
    <row r="3678" spans="1:9" x14ac:dyDescent="0.25">
      <c r="A3678" s="1033">
        <v>405022</v>
      </c>
      <c r="B3678" s="129">
        <v>0</v>
      </c>
      <c r="E3678" s="130"/>
    </row>
    <row r="3679" spans="1:9" x14ac:dyDescent="0.25">
      <c r="A3679" s="1033">
        <v>405104</v>
      </c>
      <c r="B3679" s="129">
        <v>25634</v>
      </c>
      <c r="E3679" s="130"/>
    </row>
    <row r="3680" spans="1:9" x14ac:dyDescent="0.25">
      <c r="A3680" s="1033">
        <v>405106</v>
      </c>
      <c r="B3680" s="129">
        <v>25634</v>
      </c>
      <c r="E3680" s="130"/>
    </row>
    <row r="3681" spans="1:5" x14ac:dyDescent="0.25">
      <c r="A3681" s="1033">
        <v>405108</v>
      </c>
      <c r="B3681" s="129">
        <v>16838</v>
      </c>
      <c r="E3681" s="130"/>
    </row>
    <row r="3682" spans="1:5" x14ac:dyDescent="0.25">
      <c r="A3682" s="1033">
        <v>405110</v>
      </c>
      <c r="B3682" s="129">
        <v>16838</v>
      </c>
      <c r="E3682" s="130"/>
    </row>
    <row r="3683" spans="1:5" x14ac:dyDescent="0.25">
      <c r="A3683" s="1033">
        <v>405112</v>
      </c>
      <c r="B3683" s="129">
        <v>0</v>
      </c>
      <c r="E3683" s="130"/>
    </row>
    <row r="3684" spans="1:5" x14ac:dyDescent="0.25">
      <c r="A3684" s="1033">
        <v>405114</v>
      </c>
      <c r="B3684" s="129">
        <v>0</v>
      </c>
      <c r="E3684" s="130"/>
    </row>
    <row r="3685" spans="1:5" x14ac:dyDescent="0.25">
      <c r="A3685" s="1033">
        <v>405116</v>
      </c>
      <c r="B3685" s="129">
        <v>0</v>
      </c>
      <c r="E3685" s="130"/>
    </row>
    <row r="3686" spans="1:5" x14ac:dyDescent="0.25">
      <c r="A3686" s="1033">
        <v>405118</v>
      </c>
      <c r="B3686" s="129">
        <v>0</v>
      </c>
      <c r="E3686" s="130"/>
    </row>
    <row r="3687" spans="1:5" x14ac:dyDescent="0.25">
      <c r="A3687" s="1033">
        <v>405120</v>
      </c>
      <c r="B3687" s="129">
        <v>0</v>
      </c>
      <c r="E3687" s="130"/>
    </row>
    <row r="3688" spans="1:5" x14ac:dyDescent="0.25">
      <c r="A3688" s="1033">
        <v>405122</v>
      </c>
      <c r="B3688" s="129">
        <v>0</v>
      </c>
      <c r="E3688" s="130"/>
    </row>
    <row r="3689" spans="1:5" x14ac:dyDescent="0.25">
      <c r="A3689" s="1033">
        <v>405204</v>
      </c>
      <c r="B3689" s="129">
        <v>119807</v>
      </c>
      <c r="E3689" s="130"/>
    </row>
    <row r="3690" spans="1:5" x14ac:dyDescent="0.25">
      <c r="A3690" s="1033">
        <v>405206</v>
      </c>
      <c r="B3690" s="129">
        <v>119807</v>
      </c>
      <c r="E3690" s="130"/>
    </row>
    <row r="3691" spans="1:5" x14ac:dyDescent="0.25">
      <c r="A3691" s="1033">
        <v>405208</v>
      </c>
      <c r="B3691" s="129">
        <v>59192</v>
      </c>
      <c r="E3691" s="130"/>
    </row>
    <row r="3692" spans="1:5" x14ac:dyDescent="0.25">
      <c r="A3692" s="1033">
        <v>405210</v>
      </c>
      <c r="B3692" s="129">
        <v>59192</v>
      </c>
      <c r="E3692" s="130"/>
    </row>
    <row r="3693" spans="1:5" x14ac:dyDescent="0.25">
      <c r="A3693" s="1033">
        <v>405212</v>
      </c>
      <c r="B3693" s="129">
        <v>0</v>
      </c>
      <c r="E3693" s="130"/>
    </row>
    <row r="3694" spans="1:5" x14ac:dyDescent="0.25">
      <c r="A3694" s="1033">
        <v>405214</v>
      </c>
      <c r="B3694" s="129">
        <v>0</v>
      </c>
      <c r="E3694" s="130"/>
    </row>
    <row r="3695" spans="1:5" x14ac:dyDescent="0.25">
      <c r="A3695" s="1033">
        <v>405216</v>
      </c>
      <c r="B3695" s="129">
        <v>0</v>
      </c>
      <c r="E3695" s="130"/>
    </row>
    <row r="3696" spans="1:5" x14ac:dyDescent="0.25">
      <c r="A3696" s="1033">
        <v>405218</v>
      </c>
      <c r="B3696" s="129">
        <v>0</v>
      </c>
      <c r="E3696" s="130"/>
    </row>
    <row r="3697" spans="1:5" x14ac:dyDescent="0.25">
      <c r="A3697" s="1033">
        <v>405220</v>
      </c>
      <c r="B3697" s="129">
        <v>0</v>
      </c>
      <c r="E3697" s="130"/>
    </row>
    <row r="3698" spans="1:5" x14ac:dyDescent="0.25">
      <c r="A3698" s="1033">
        <v>405222</v>
      </c>
      <c r="B3698" s="129">
        <v>0</v>
      </c>
      <c r="E3698" s="130"/>
    </row>
    <row r="3699" spans="1:5" x14ac:dyDescent="0.25">
      <c r="A3699" s="1033">
        <v>405304</v>
      </c>
      <c r="B3699" s="129">
        <v>124611</v>
      </c>
      <c r="E3699" s="130"/>
    </row>
    <row r="3700" spans="1:5" x14ac:dyDescent="0.25">
      <c r="A3700" s="1033">
        <v>405306</v>
      </c>
      <c r="B3700" s="129">
        <v>124611</v>
      </c>
      <c r="E3700" s="130"/>
    </row>
    <row r="3701" spans="1:5" x14ac:dyDescent="0.25">
      <c r="A3701" s="1033">
        <v>405308</v>
      </c>
      <c r="B3701" s="129">
        <v>61675</v>
      </c>
      <c r="E3701" s="130"/>
    </row>
    <row r="3702" spans="1:5" x14ac:dyDescent="0.25">
      <c r="A3702" s="1033">
        <v>405310</v>
      </c>
      <c r="B3702" s="129">
        <v>61675</v>
      </c>
      <c r="E3702" s="130"/>
    </row>
    <row r="3703" spans="1:5" x14ac:dyDescent="0.25">
      <c r="A3703" s="1033">
        <v>405312</v>
      </c>
      <c r="B3703" s="129">
        <v>0</v>
      </c>
      <c r="E3703" s="130"/>
    </row>
    <row r="3704" spans="1:5" x14ac:dyDescent="0.25">
      <c r="A3704" s="1033">
        <v>405314</v>
      </c>
      <c r="B3704" s="129">
        <v>0</v>
      </c>
      <c r="E3704" s="130"/>
    </row>
    <row r="3705" spans="1:5" x14ac:dyDescent="0.25">
      <c r="A3705" s="1033">
        <v>405316</v>
      </c>
      <c r="B3705" s="129">
        <v>0</v>
      </c>
      <c r="E3705" s="130"/>
    </row>
    <row r="3706" spans="1:5" x14ac:dyDescent="0.25">
      <c r="A3706" s="1033">
        <v>405318</v>
      </c>
      <c r="B3706" s="129">
        <v>0</v>
      </c>
      <c r="E3706" s="130"/>
    </row>
    <row r="3707" spans="1:5" x14ac:dyDescent="0.25">
      <c r="A3707" s="1033">
        <v>405320</v>
      </c>
      <c r="B3707" s="129">
        <v>0</v>
      </c>
      <c r="E3707" s="130"/>
    </row>
    <row r="3708" spans="1:5" x14ac:dyDescent="0.25">
      <c r="A3708" s="1033">
        <v>405322</v>
      </c>
      <c r="B3708" s="129">
        <v>0</v>
      </c>
      <c r="E3708" s="130"/>
    </row>
    <row r="3709" spans="1:5" x14ac:dyDescent="0.25">
      <c r="A3709" s="1033">
        <v>405604</v>
      </c>
      <c r="B3709" s="129">
        <v>0</v>
      </c>
      <c r="E3709" s="130"/>
    </row>
    <row r="3710" spans="1:5" x14ac:dyDescent="0.25">
      <c r="A3710" s="1033">
        <v>405606</v>
      </c>
      <c r="B3710" s="129">
        <v>0</v>
      </c>
      <c r="E3710" s="130"/>
    </row>
    <row r="3711" spans="1:5" x14ac:dyDescent="0.25">
      <c r="A3711" s="1033">
        <v>405608</v>
      </c>
      <c r="B3711" s="129">
        <v>0</v>
      </c>
      <c r="E3711" s="130"/>
    </row>
    <row r="3712" spans="1:5" x14ac:dyDescent="0.25">
      <c r="A3712" s="1033">
        <v>405610</v>
      </c>
      <c r="B3712" s="129">
        <v>0</v>
      </c>
      <c r="E3712" s="130"/>
    </row>
    <row r="3713" spans="1:9" x14ac:dyDescent="0.25">
      <c r="A3713" s="1033">
        <v>405612</v>
      </c>
      <c r="B3713" s="129">
        <v>0</v>
      </c>
      <c r="E3713" s="130"/>
    </row>
    <row r="3714" spans="1:9" x14ac:dyDescent="0.25">
      <c r="A3714" s="1033">
        <v>405614</v>
      </c>
      <c r="B3714" s="129">
        <v>0</v>
      </c>
      <c r="E3714" s="130"/>
    </row>
    <row r="3715" spans="1:9" x14ac:dyDescent="0.25">
      <c r="A3715" s="1033">
        <v>405616</v>
      </c>
      <c r="B3715" s="129">
        <v>0</v>
      </c>
      <c r="E3715" s="130"/>
    </row>
    <row r="3716" spans="1:9" x14ac:dyDescent="0.25">
      <c r="A3716" s="1033">
        <v>405618</v>
      </c>
      <c r="B3716" s="129">
        <v>0</v>
      </c>
      <c r="E3716" s="130"/>
    </row>
    <row r="3717" spans="1:9" x14ac:dyDescent="0.25">
      <c r="A3717" s="1033">
        <v>405620</v>
      </c>
      <c r="B3717" s="129">
        <v>0</v>
      </c>
      <c r="E3717" s="130"/>
    </row>
    <row r="3718" spans="1:9" x14ac:dyDescent="0.25">
      <c r="A3718" s="1033">
        <v>405622</v>
      </c>
      <c r="B3718" s="129">
        <v>0</v>
      </c>
      <c r="E3718" s="130"/>
    </row>
    <row r="3719" spans="1:9" x14ac:dyDescent="0.25">
      <c r="A3719" s="1033">
        <v>300404</v>
      </c>
      <c r="B3719" s="129">
        <v>11445</v>
      </c>
      <c r="C3719" s="130" t="s">
        <v>1548</v>
      </c>
      <c r="D3719" s="130">
        <v>16</v>
      </c>
      <c r="E3719" s="130" t="s">
        <v>1548</v>
      </c>
      <c r="F3719" s="1031">
        <v>0</v>
      </c>
      <c r="G3719" s="1031">
        <v>11444.64</v>
      </c>
      <c r="H3719" s="1031">
        <v>11444.64</v>
      </c>
      <c r="I3719" s="1032" t="s">
        <v>1549</v>
      </c>
    </row>
    <row r="3720" spans="1:9" x14ac:dyDescent="0.25">
      <c r="A3720" s="1033">
        <v>300406</v>
      </c>
      <c r="B3720" s="129">
        <v>11445</v>
      </c>
      <c r="C3720" s="130" t="s">
        <v>1548</v>
      </c>
      <c r="D3720" s="130">
        <v>16</v>
      </c>
      <c r="E3720" s="130" t="s">
        <v>1548</v>
      </c>
      <c r="F3720" s="1031">
        <v>0</v>
      </c>
      <c r="G3720" s="1031">
        <v>11444.64</v>
      </c>
      <c r="H3720" s="1031">
        <v>11444.64</v>
      </c>
      <c r="I3720" s="1032" t="s">
        <v>1549</v>
      </c>
    </row>
    <row r="3721" spans="1:9" x14ac:dyDescent="0.25">
      <c r="A3721" s="1033">
        <v>300408</v>
      </c>
      <c r="B3721" s="129">
        <v>8128</v>
      </c>
      <c r="C3721" s="130" t="s">
        <v>1550</v>
      </c>
      <c r="D3721" s="130">
        <v>16</v>
      </c>
      <c r="E3721" s="130" t="s">
        <v>1550</v>
      </c>
      <c r="F3721" s="1031">
        <v>0</v>
      </c>
      <c r="G3721" s="1031">
        <v>8128.3</v>
      </c>
      <c r="H3721" s="1031">
        <v>8128.3</v>
      </c>
      <c r="I3721" s="1032" t="s">
        <v>1551</v>
      </c>
    </row>
    <row r="3722" spans="1:9" x14ac:dyDescent="0.25">
      <c r="A3722" s="1033">
        <v>300410</v>
      </c>
      <c r="B3722" s="129">
        <v>8128</v>
      </c>
      <c r="C3722" s="130" t="s">
        <v>1550</v>
      </c>
      <c r="D3722" s="130">
        <v>16</v>
      </c>
      <c r="E3722" s="130" t="s">
        <v>1550</v>
      </c>
      <c r="F3722" s="1031">
        <v>0</v>
      </c>
      <c r="G3722" s="1031">
        <v>8128.3</v>
      </c>
      <c r="H3722" s="1031">
        <v>8128.3</v>
      </c>
      <c r="I3722" s="1032" t="s">
        <v>1551</v>
      </c>
    </row>
    <row r="3723" spans="1:9" x14ac:dyDescent="0.25">
      <c r="A3723" s="1033">
        <v>300412</v>
      </c>
      <c r="B3723" s="129">
        <v>0</v>
      </c>
      <c r="E3723" s="130"/>
    </row>
    <row r="3724" spans="1:9" x14ac:dyDescent="0.25">
      <c r="A3724" s="1033">
        <v>300414</v>
      </c>
      <c r="B3724" s="129">
        <v>0</v>
      </c>
      <c r="E3724" s="130"/>
    </row>
    <row r="3725" spans="1:9" x14ac:dyDescent="0.25">
      <c r="A3725" s="1033">
        <v>300416</v>
      </c>
      <c r="B3725" s="129">
        <v>0</v>
      </c>
      <c r="E3725" s="130"/>
    </row>
    <row r="3726" spans="1:9" x14ac:dyDescent="0.25">
      <c r="A3726" s="1033">
        <v>300418</v>
      </c>
      <c r="B3726" s="129">
        <v>0</v>
      </c>
      <c r="E3726" s="130"/>
    </row>
    <row r="3727" spans="1:9" x14ac:dyDescent="0.25">
      <c r="A3727" s="1033">
        <v>300504</v>
      </c>
      <c r="B3727" s="129">
        <v>4578</v>
      </c>
      <c r="C3727" s="130" t="s">
        <v>1552</v>
      </c>
      <c r="D3727" s="130">
        <v>16</v>
      </c>
      <c r="E3727" s="130" t="s">
        <v>1552</v>
      </c>
      <c r="F3727" s="1031">
        <v>0</v>
      </c>
      <c r="G3727" s="1031">
        <v>4577.9799999999996</v>
      </c>
      <c r="H3727" s="1031">
        <v>4577.9799999999996</v>
      </c>
      <c r="I3727" s="1032" t="s">
        <v>1553</v>
      </c>
    </row>
    <row r="3728" spans="1:9" x14ac:dyDescent="0.25">
      <c r="A3728" s="1033">
        <v>300506</v>
      </c>
      <c r="B3728" s="129">
        <v>4578</v>
      </c>
      <c r="C3728" s="130" t="s">
        <v>1552</v>
      </c>
      <c r="D3728" s="130">
        <v>16</v>
      </c>
      <c r="E3728" s="130" t="s">
        <v>1552</v>
      </c>
      <c r="F3728" s="1031">
        <v>0</v>
      </c>
      <c r="G3728" s="1031">
        <v>4577.9799999999996</v>
      </c>
      <c r="H3728" s="1031">
        <v>4577.9799999999996</v>
      </c>
      <c r="I3728" s="1032" t="s">
        <v>1553</v>
      </c>
    </row>
    <row r="3729" spans="1:9" x14ac:dyDescent="0.25">
      <c r="A3729" s="1033">
        <v>300508</v>
      </c>
      <c r="B3729" s="129">
        <v>3622</v>
      </c>
      <c r="C3729" s="130" t="s">
        <v>1554</v>
      </c>
      <c r="D3729" s="130">
        <v>16</v>
      </c>
      <c r="E3729" s="130" t="s">
        <v>1554</v>
      </c>
      <c r="F3729" s="1031">
        <v>0</v>
      </c>
      <c r="G3729" s="1031">
        <v>3621.77</v>
      </c>
      <c r="H3729" s="1031">
        <v>3621.77</v>
      </c>
      <c r="I3729" s="1032" t="s">
        <v>1555</v>
      </c>
    </row>
    <row r="3730" spans="1:9" x14ac:dyDescent="0.25">
      <c r="A3730" s="1033">
        <v>300510</v>
      </c>
      <c r="B3730" s="129">
        <v>3622</v>
      </c>
      <c r="C3730" s="130" t="s">
        <v>1554</v>
      </c>
      <c r="D3730" s="130">
        <v>16</v>
      </c>
      <c r="E3730" s="130" t="s">
        <v>1554</v>
      </c>
      <c r="F3730" s="1031">
        <v>0</v>
      </c>
      <c r="G3730" s="1031">
        <v>3621.77</v>
      </c>
      <c r="H3730" s="1031">
        <v>3621.77</v>
      </c>
      <c r="I3730" s="1032" t="s">
        <v>1555</v>
      </c>
    </row>
    <row r="3731" spans="1:9" x14ac:dyDescent="0.25">
      <c r="A3731" s="1033">
        <v>300512</v>
      </c>
      <c r="B3731" s="129">
        <v>0</v>
      </c>
      <c r="E3731" s="130"/>
    </row>
    <row r="3732" spans="1:9" x14ac:dyDescent="0.25">
      <c r="A3732" s="1033">
        <v>300514</v>
      </c>
      <c r="B3732" s="129">
        <v>0</v>
      </c>
      <c r="E3732" s="130"/>
    </row>
    <row r="3733" spans="1:9" x14ac:dyDescent="0.25">
      <c r="A3733" s="1033">
        <v>300516</v>
      </c>
      <c r="B3733" s="129">
        <v>0</v>
      </c>
      <c r="E3733" s="130"/>
    </row>
    <row r="3734" spans="1:9" x14ac:dyDescent="0.25">
      <c r="A3734" s="1033">
        <v>300518</v>
      </c>
      <c r="B3734" s="129">
        <v>0</v>
      </c>
      <c r="E3734" s="130"/>
    </row>
    <row r="3735" spans="1:9" x14ac:dyDescent="0.25">
      <c r="A3735" s="1033">
        <v>300604</v>
      </c>
      <c r="B3735" s="129">
        <v>1626</v>
      </c>
      <c r="C3735" s="130" t="s">
        <v>1556</v>
      </c>
      <c r="D3735" s="130">
        <v>16</v>
      </c>
      <c r="E3735" s="130" t="s">
        <v>1556</v>
      </c>
      <c r="F3735" s="1031">
        <v>0</v>
      </c>
      <c r="G3735" s="1031">
        <v>-553.29</v>
      </c>
      <c r="H3735" s="1031">
        <v>-553.29</v>
      </c>
      <c r="I3735" s="1032" t="s">
        <v>1557</v>
      </c>
    </row>
    <row r="3736" spans="1:9" x14ac:dyDescent="0.25">
      <c r="A3736" s="1033"/>
      <c r="C3736" s="130" t="s">
        <v>1556</v>
      </c>
      <c r="D3736" s="130">
        <v>16</v>
      </c>
      <c r="E3736" s="130" t="s">
        <v>1558</v>
      </c>
      <c r="F3736" s="1031">
        <v>0</v>
      </c>
      <c r="G3736" s="1031">
        <v>2179.27</v>
      </c>
      <c r="H3736" s="1031">
        <v>2179.27</v>
      </c>
      <c r="I3736" s="1032" t="s">
        <v>1559</v>
      </c>
    </row>
    <row r="3737" spans="1:9" x14ac:dyDescent="0.25">
      <c r="A3737" s="1033">
        <v>300606</v>
      </c>
      <c r="B3737" s="129">
        <v>1626</v>
      </c>
      <c r="C3737" s="130" t="s">
        <v>1556</v>
      </c>
      <c r="D3737" s="130">
        <v>16</v>
      </c>
      <c r="E3737" s="130" t="s">
        <v>1556</v>
      </c>
      <c r="F3737" s="1031">
        <v>0</v>
      </c>
      <c r="G3737" s="1031">
        <v>-553.29</v>
      </c>
      <c r="H3737" s="1031">
        <v>-553.29</v>
      </c>
      <c r="I3737" s="1032" t="s">
        <v>1557</v>
      </c>
    </row>
    <row r="3738" spans="1:9" x14ac:dyDescent="0.25">
      <c r="A3738" s="1033"/>
      <c r="C3738" s="130" t="s">
        <v>1556</v>
      </c>
      <c r="D3738" s="130">
        <v>16</v>
      </c>
      <c r="E3738" s="130" t="s">
        <v>1558</v>
      </c>
      <c r="F3738" s="1031">
        <v>0</v>
      </c>
      <c r="G3738" s="1031">
        <v>2179.27</v>
      </c>
      <c r="H3738" s="1031">
        <v>2179.27</v>
      </c>
      <c r="I3738" s="1032" t="s">
        <v>1559</v>
      </c>
    </row>
    <row r="3739" spans="1:9" x14ac:dyDescent="0.25">
      <c r="A3739" s="1033">
        <v>300608</v>
      </c>
      <c r="B3739" s="129">
        <v>2780</v>
      </c>
      <c r="C3739" s="130" t="s">
        <v>1560</v>
      </c>
      <c r="D3739" s="130">
        <v>16</v>
      </c>
      <c r="E3739" s="130" t="s">
        <v>1560</v>
      </c>
      <c r="F3739" s="1031">
        <v>0</v>
      </c>
      <c r="G3739" s="1031">
        <v>766.64</v>
      </c>
      <c r="H3739" s="1031">
        <v>766.64</v>
      </c>
      <c r="I3739" s="1032" t="s">
        <v>1561</v>
      </c>
    </row>
    <row r="3740" spans="1:9" x14ac:dyDescent="0.25">
      <c r="A3740" s="1033"/>
      <c r="C3740" s="130" t="s">
        <v>1560</v>
      </c>
      <c r="D3740" s="130">
        <v>16</v>
      </c>
      <c r="E3740" s="130" t="s">
        <v>1562</v>
      </c>
      <c r="F3740" s="1031">
        <v>0</v>
      </c>
      <c r="G3740" s="1031">
        <v>2013.42</v>
      </c>
      <c r="H3740" s="1031">
        <v>2013.42</v>
      </c>
      <c r="I3740" s="1032" t="s">
        <v>1563</v>
      </c>
    </row>
    <row r="3741" spans="1:9" x14ac:dyDescent="0.25">
      <c r="A3741" s="1033">
        <v>300610</v>
      </c>
      <c r="B3741" s="129">
        <v>2780</v>
      </c>
      <c r="C3741" s="130" t="s">
        <v>1560</v>
      </c>
      <c r="D3741" s="130">
        <v>16</v>
      </c>
      <c r="E3741" s="130" t="s">
        <v>1560</v>
      </c>
      <c r="F3741" s="1031">
        <v>0</v>
      </c>
      <c r="G3741" s="1031">
        <v>766.64</v>
      </c>
      <c r="H3741" s="1031">
        <v>766.64</v>
      </c>
      <c r="I3741" s="1032" t="s">
        <v>1561</v>
      </c>
    </row>
    <row r="3742" spans="1:9" x14ac:dyDescent="0.25">
      <c r="A3742" s="1033"/>
      <c r="C3742" s="130" t="s">
        <v>1560</v>
      </c>
      <c r="D3742" s="130">
        <v>16</v>
      </c>
      <c r="E3742" s="130" t="s">
        <v>1562</v>
      </c>
      <c r="F3742" s="1031">
        <v>0</v>
      </c>
      <c r="G3742" s="1031">
        <v>2013.42</v>
      </c>
      <c r="H3742" s="1031">
        <v>2013.42</v>
      </c>
      <c r="I3742" s="1032" t="s">
        <v>1563</v>
      </c>
    </row>
    <row r="3743" spans="1:9" x14ac:dyDescent="0.25">
      <c r="A3743" s="1033">
        <v>300612</v>
      </c>
      <c r="B3743" s="129">
        <v>0</v>
      </c>
      <c r="E3743" s="130"/>
    </row>
    <row r="3744" spans="1:9" x14ac:dyDescent="0.25">
      <c r="A3744" s="1033">
        <v>300614</v>
      </c>
      <c r="B3744" s="129">
        <v>0</v>
      </c>
      <c r="E3744" s="130"/>
    </row>
    <row r="3745" spans="1:9" x14ac:dyDescent="0.25">
      <c r="A3745" s="1033">
        <v>300616</v>
      </c>
      <c r="B3745" s="129">
        <v>0</v>
      </c>
      <c r="E3745" s="130"/>
    </row>
    <row r="3746" spans="1:9" x14ac:dyDescent="0.25">
      <c r="A3746" s="1033">
        <v>300618</v>
      </c>
      <c r="B3746" s="129">
        <v>0</v>
      </c>
      <c r="E3746" s="130"/>
    </row>
    <row r="3747" spans="1:9" x14ac:dyDescent="0.25">
      <c r="A3747" s="1033">
        <v>300704</v>
      </c>
      <c r="B3747" s="129">
        <v>12251</v>
      </c>
      <c r="C3747" s="130" t="s">
        <v>1564</v>
      </c>
      <c r="D3747" s="130">
        <v>16</v>
      </c>
      <c r="E3747" s="130" t="s">
        <v>1564</v>
      </c>
      <c r="F3747" s="1031">
        <v>0</v>
      </c>
      <c r="G3747" s="1031">
        <v>12250.76</v>
      </c>
      <c r="H3747" s="1031">
        <v>12250.76</v>
      </c>
      <c r="I3747" s="1032" t="s">
        <v>1565</v>
      </c>
    </row>
    <row r="3748" spans="1:9" x14ac:dyDescent="0.25">
      <c r="A3748" s="1033">
        <v>300706</v>
      </c>
      <c r="B3748" s="129">
        <v>12251</v>
      </c>
      <c r="C3748" s="130" t="s">
        <v>1564</v>
      </c>
      <c r="D3748" s="130">
        <v>16</v>
      </c>
      <c r="E3748" s="130" t="s">
        <v>1564</v>
      </c>
      <c r="F3748" s="1031">
        <v>0</v>
      </c>
      <c r="G3748" s="1031">
        <v>12250.76</v>
      </c>
      <c r="H3748" s="1031">
        <v>12250.76</v>
      </c>
      <c r="I3748" s="1032" t="s">
        <v>1565</v>
      </c>
    </row>
    <row r="3749" spans="1:9" x14ac:dyDescent="0.25">
      <c r="A3749" s="1033">
        <v>300708</v>
      </c>
      <c r="B3749" s="129">
        <v>7944</v>
      </c>
      <c r="C3749" s="130" t="s">
        <v>1566</v>
      </c>
      <c r="D3749" s="130">
        <v>16</v>
      </c>
      <c r="E3749" s="130" t="s">
        <v>1566</v>
      </c>
      <c r="F3749" s="1031">
        <v>0</v>
      </c>
      <c r="G3749" s="1031">
        <v>7944.26</v>
      </c>
      <c r="H3749" s="1031">
        <v>7944.26</v>
      </c>
      <c r="I3749" s="1032" t="s">
        <v>1567</v>
      </c>
    </row>
    <row r="3750" spans="1:9" x14ac:dyDescent="0.25">
      <c r="A3750" s="1033">
        <v>300710</v>
      </c>
      <c r="B3750" s="129">
        <v>7944</v>
      </c>
      <c r="C3750" s="130" t="s">
        <v>1566</v>
      </c>
      <c r="D3750" s="130">
        <v>16</v>
      </c>
      <c r="E3750" s="130" t="s">
        <v>1566</v>
      </c>
      <c r="F3750" s="1031">
        <v>0</v>
      </c>
      <c r="G3750" s="1031">
        <v>7944.26</v>
      </c>
      <c r="H3750" s="1031">
        <v>7944.26</v>
      </c>
      <c r="I3750" s="1032" t="s">
        <v>1567</v>
      </c>
    </row>
    <row r="3751" spans="1:9" x14ac:dyDescent="0.25">
      <c r="A3751" s="1033">
        <v>300712</v>
      </c>
      <c r="B3751" s="129">
        <v>0</v>
      </c>
      <c r="E3751" s="130"/>
    </row>
    <row r="3752" spans="1:9" x14ac:dyDescent="0.25">
      <c r="A3752" s="1033">
        <v>300714</v>
      </c>
      <c r="B3752" s="129">
        <v>0</v>
      </c>
      <c r="E3752" s="130"/>
    </row>
    <row r="3753" spans="1:9" x14ac:dyDescent="0.25">
      <c r="A3753" s="1033">
        <v>300716</v>
      </c>
      <c r="B3753" s="129">
        <v>0</v>
      </c>
      <c r="E3753" s="130"/>
    </row>
    <row r="3754" spans="1:9" x14ac:dyDescent="0.25">
      <c r="A3754" s="1033">
        <v>300718</v>
      </c>
      <c r="B3754" s="129">
        <v>0</v>
      </c>
      <c r="E3754" s="130"/>
    </row>
    <row r="3755" spans="1:9" x14ac:dyDescent="0.25">
      <c r="A3755" s="1033">
        <v>300804</v>
      </c>
      <c r="B3755" s="129">
        <v>-1845</v>
      </c>
      <c r="C3755" s="130" t="s">
        <v>1568</v>
      </c>
      <c r="D3755" s="130">
        <v>16</v>
      </c>
      <c r="E3755" s="130" t="s">
        <v>1568</v>
      </c>
      <c r="F3755" s="1031">
        <v>0</v>
      </c>
      <c r="G3755" s="1031">
        <v>-1845</v>
      </c>
      <c r="H3755" s="1031">
        <v>-1845</v>
      </c>
      <c r="I3755" s="1032" t="s">
        <v>1569</v>
      </c>
    </row>
    <row r="3756" spans="1:9" x14ac:dyDescent="0.25">
      <c r="A3756" s="1033">
        <v>300806</v>
      </c>
      <c r="B3756" s="129">
        <v>-1845</v>
      </c>
      <c r="C3756" s="130" t="s">
        <v>1568</v>
      </c>
      <c r="D3756" s="130">
        <v>16</v>
      </c>
      <c r="E3756" s="130" t="s">
        <v>1568</v>
      </c>
      <c r="F3756" s="1031">
        <v>0</v>
      </c>
      <c r="G3756" s="1031">
        <v>-1845</v>
      </c>
      <c r="H3756" s="1031">
        <v>-1845</v>
      </c>
      <c r="I3756" s="1032" t="s">
        <v>1569</v>
      </c>
    </row>
    <row r="3757" spans="1:9" x14ac:dyDescent="0.25">
      <c r="A3757" s="1033">
        <v>300808</v>
      </c>
      <c r="B3757" s="129">
        <v>0</v>
      </c>
      <c r="E3757" s="130"/>
    </row>
    <row r="3758" spans="1:9" x14ac:dyDescent="0.25">
      <c r="A3758" s="1033">
        <v>300810</v>
      </c>
      <c r="B3758" s="129">
        <v>0</v>
      </c>
      <c r="E3758" s="130"/>
    </row>
    <row r="3759" spans="1:9" x14ac:dyDescent="0.25">
      <c r="A3759" s="1033">
        <v>300812</v>
      </c>
      <c r="B3759" s="129">
        <v>0</v>
      </c>
      <c r="E3759" s="130"/>
    </row>
    <row r="3760" spans="1:9" x14ac:dyDescent="0.25">
      <c r="A3760" s="1033">
        <v>300814</v>
      </c>
      <c r="B3760" s="129">
        <v>0</v>
      </c>
      <c r="E3760" s="130"/>
    </row>
    <row r="3761" spans="1:9" x14ac:dyDescent="0.25">
      <c r="A3761" s="1033">
        <v>300816</v>
      </c>
      <c r="B3761" s="129">
        <v>0</v>
      </c>
      <c r="E3761" s="130"/>
    </row>
    <row r="3762" spans="1:9" x14ac:dyDescent="0.25">
      <c r="A3762" s="1033">
        <v>300818</v>
      </c>
      <c r="B3762" s="129">
        <v>0</v>
      </c>
      <c r="E3762" s="130"/>
    </row>
    <row r="3763" spans="1:9" x14ac:dyDescent="0.25">
      <c r="A3763" s="1033">
        <v>300904</v>
      </c>
      <c r="B3763" s="129">
        <v>1400</v>
      </c>
      <c r="C3763" s="130" t="s">
        <v>1570</v>
      </c>
      <c r="D3763" s="130">
        <v>16</v>
      </c>
      <c r="E3763" s="130" t="s">
        <v>1570</v>
      </c>
      <c r="F3763" s="1031">
        <v>0</v>
      </c>
      <c r="G3763" s="1031">
        <v>-1400</v>
      </c>
      <c r="H3763" s="1031">
        <v>-1400</v>
      </c>
      <c r="I3763" s="1032" t="s">
        <v>1571</v>
      </c>
    </row>
    <row r="3764" spans="1:9" x14ac:dyDescent="0.25">
      <c r="A3764" s="1033">
        <v>300906</v>
      </c>
      <c r="B3764" s="129">
        <v>1400</v>
      </c>
      <c r="C3764" s="130" t="s">
        <v>1570</v>
      </c>
      <c r="D3764" s="130">
        <v>16</v>
      </c>
      <c r="E3764" s="130" t="s">
        <v>1570</v>
      </c>
      <c r="F3764" s="1031">
        <v>0</v>
      </c>
      <c r="G3764" s="1031">
        <v>-1400</v>
      </c>
      <c r="H3764" s="1031">
        <v>-1400</v>
      </c>
      <c r="I3764" s="1032" t="s">
        <v>1571</v>
      </c>
    </row>
    <row r="3765" spans="1:9" x14ac:dyDescent="0.25">
      <c r="A3765" s="1033">
        <v>300908</v>
      </c>
      <c r="B3765" s="129">
        <v>1000</v>
      </c>
      <c r="C3765" s="130" t="s">
        <v>1572</v>
      </c>
      <c r="D3765" s="130">
        <v>16</v>
      </c>
      <c r="E3765" s="130" t="s">
        <v>1572</v>
      </c>
      <c r="F3765" s="1031">
        <v>0</v>
      </c>
      <c r="G3765" s="1031">
        <v>-1000</v>
      </c>
      <c r="H3765" s="1031">
        <v>-1000</v>
      </c>
      <c r="I3765" s="1032" t="s">
        <v>1573</v>
      </c>
    </row>
    <row r="3766" spans="1:9" x14ac:dyDescent="0.25">
      <c r="A3766" s="1033">
        <v>300910</v>
      </c>
      <c r="B3766" s="129">
        <v>1000</v>
      </c>
      <c r="C3766" s="130" t="s">
        <v>1572</v>
      </c>
      <c r="D3766" s="130">
        <v>16</v>
      </c>
      <c r="E3766" s="130" t="s">
        <v>1572</v>
      </c>
      <c r="F3766" s="1031">
        <v>0</v>
      </c>
      <c r="G3766" s="1031">
        <v>-1000</v>
      </c>
      <c r="H3766" s="1031">
        <v>-1000</v>
      </c>
      <c r="I3766" s="1032" t="s">
        <v>1573</v>
      </c>
    </row>
    <row r="3767" spans="1:9" x14ac:dyDescent="0.25">
      <c r="A3767" s="1033">
        <v>300912</v>
      </c>
      <c r="B3767" s="129">
        <v>0</v>
      </c>
      <c r="E3767" s="130"/>
    </row>
    <row r="3768" spans="1:9" x14ac:dyDescent="0.25">
      <c r="A3768" s="1033">
        <v>300914</v>
      </c>
      <c r="B3768" s="129">
        <v>0</v>
      </c>
      <c r="E3768" s="130"/>
    </row>
    <row r="3769" spans="1:9" x14ac:dyDescent="0.25">
      <c r="A3769" s="1033">
        <v>300916</v>
      </c>
      <c r="B3769" s="129">
        <v>0</v>
      </c>
      <c r="E3769" s="130"/>
    </row>
    <row r="3770" spans="1:9" x14ac:dyDescent="0.25">
      <c r="A3770" s="1033">
        <v>300918</v>
      </c>
      <c r="B3770" s="129">
        <v>0</v>
      </c>
      <c r="E3770" s="130"/>
    </row>
    <row r="3771" spans="1:9" x14ac:dyDescent="0.25">
      <c r="A3771" s="1033">
        <v>301004</v>
      </c>
      <c r="B3771" s="129">
        <v>21237</v>
      </c>
      <c r="C3771" s="130" t="s">
        <v>1574</v>
      </c>
      <c r="D3771" s="130">
        <v>16</v>
      </c>
      <c r="E3771" s="130" t="s">
        <v>1574</v>
      </c>
      <c r="F3771" s="1031">
        <v>0</v>
      </c>
      <c r="G3771" s="1031">
        <v>23869.35</v>
      </c>
      <c r="H3771" s="1031">
        <v>23869.35</v>
      </c>
      <c r="I3771" s="1032" t="s">
        <v>1575</v>
      </c>
    </row>
    <row r="3772" spans="1:9" x14ac:dyDescent="0.25">
      <c r="A3772" s="1033"/>
      <c r="C3772" s="130" t="s">
        <v>1574</v>
      </c>
      <c r="D3772" s="130">
        <v>16</v>
      </c>
      <c r="E3772" s="130" t="s">
        <v>1576</v>
      </c>
      <c r="F3772" s="1031">
        <v>0</v>
      </c>
      <c r="G3772" s="1031">
        <v>-2632.46</v>
      </c>
      <c r="H3772" s="1031">
        <v>-2632.46</v>
      </c>
      <c r="I3772" s="1032" t="s">
        <v>1577</v>
      </c>
    </row>
    <row r="3773" spans="1:9" x14ac:dyDescent="0.25">
      <c r="A3773" s="1033">
        <v>301006</v>
      </c>
      <c r="B3773" s="129">
        <v>21237</v>
      </c>
      <c r="C3773" s="130" t="s">
        <v>1574</v>
      </c>
      <c r="D3773" s="130">
        <v>16</v>
      </c>
      <c r="E3773" s="130" t="s">
        <v>1574</v>
      </c>
      <c r="F3773" s="1031">
        <v>0</v>
      </c>
      <c r="G3773" s="1031">
        <v>23869.35</v>
      </c>
      <c r="H3773" s="1031">
        <v>23869.35</v>
      </c>
      <c r="I3773" s="1032" t="s">
        <v>1575</v>
      </c>
    </row>
    <row r="3774" spans="1:9" x14ac:dyDescent="0.25">
      <c r="A3774" s="1033"/>
      <c r="C3774" s="130" t="s">
        <v>1574</v>
      </c>
      <c r="D3774" s="130">
        <v>16</v>
      </c>
      <c r="E3774" s="130" t="s">
        <v>1576</v>
      </c>
      <c r="F3774" s="1031">
        <v>0</v>
      </c>
      <c r="G3774" s="1031">
        <v>-2632.46</v>
      </c>
      <c r="H3774" s="1031">
        <v>-2632.46</v>
      </c>
      <c r="I3774" s="1032" t="s">
        <v>1577</v>
      </c>
    </row>
    <row r="3775" spans="1:9" x14ac:dyDescent="0.25">
      <c r="A3775" s="1033">
        <v>301008</v>
      </c>
      <c r="B3775" s="129">
        <v>3963</v>
      </c>
      <c r="C3775" s="130" t="s">
        <v>1578</v>
      </c>
      <c r="D3775" s="130">
        <v>16</v>
      </c>
      <c r="E3775" s="130" t="s">
        <v>1578</v>
      </c>
      <c r="F3775" s="1031">
        <v>0</v>
      </c>
      <c r="G3775" s="1031">
        <v>3962.78</v>
      </c>
      <c r="H3775" s="1031">
        <v>3962.78</v>
      </c>
      <c r="I3775" s="1032" t="s">
        <v>1579</v>
      </c>
    </row>
    <row r="3776" spans="1:9" x14ac:dyDescent="0.25">
      <c r="A3776" s="1033">
        <v>301010</v>
      </c>
      <c r="B3776" s="129">
        <v>3963</v>
      </c>
      <c r="C3776" s="130" t="s">
        <v>1578</v>
      </c>
      <c r="D3776" s="130">
        <v>16</v>
      </c>
      <c r="E3776" s="130" t="s">
        <v>1578</v>
      </c>
      <c r="F3776" s="1031">
        <v>0</v>
      </c>
      <c r="G3776" s="1031">
        <v>3962.78</v>
      </c>
      <c r="H3776" s="1031">
        <v>3962.78</v>
      </c>
      <c r="I3776" s="1032" t="s">
        <v>1579</v>
      </c>
    </row>
    <row r="3777" spans="1:5" x14ac:dyDescent="0.25">
      <c r="A3777" s="1033">
        <v>301012</v>
      </c>
      <c r="B3777" s="129">
        <v>0</v>
      </c>
      <c r="E3777" s="130"/>
    </row>
    <row r="3778" spans="1:5" x14ac:dyDescent="0.25">
      <c r="A3778" s="1033">
        <v>301014</v>
      </c>
      <c r="B3778" s="129">
        <v>0</v>
      </c>
      <c r="E3778" s="130"/>
    </row>
    <row r="3779" spans="1:5" x14ac:dyDescent="0.25">
      <c r="A3779" s="1033">
        <v>301016</v>
      </c>
      <c r="B3779" s="129">
        <v>0</v>
      </c>
      <c r="E3779" s="130"/>
    </row>
    <row r="3780" spans="1:5" x14ac:dyDescent="0.25">
      <c r="A3780" s="1033">
        <v>301018</v>
      </c>
      <c r="B3780" s="129">
        <v>0</v>
      </c>
      <c r="E3780" s="130"/>
    </row>
    <row r="3781" spans="1:5" x14ac:dyDescent="0.25">
      <c r="A3781" s="1033">
        <v>301104</v>
      </c>
      <c r="B3781" s="129">
        <v>0</v>
      </c>
      <c r="E3781" s="130"/>
    </row>
    <row r="3782" spans="1:5" x14ac:dyDescent="0.25">
      <c r="A3782" s="1033">
        <v>301106</v>
      </c>
      <c r="B3782" s="129">
        <v>0</v>
      </c>
      <c r="E3782" s="130"/>
    </row>
    <row r="3783" spans="1:5" x14ac:dyDescent="0.25">
      <c r="A3783" s="1033">
        <v>301108</v>
      </c>
      <c r="B3783" s="129">
        <v>0</v>
      </c>
      <c r="E3783" s="130"/>
    </row>
    <row r="3784" spans="1:5" x14ac:dyDescent="0.25">
      <c r="A3784" s="1033">
        <v>301110</v>
      </c>
      <c r="B3784" s="129">
        <v>0</v>
      </c>
      <c r="E3784" s="130"/>
    </row>
    <row r="3785" spans="1:5" x14ac:dyDescent="0.25">
      <c r="A3785" s="1033">
        <v>301112</v>
      </c>
      <c r="B3785" s="129">
        <v>0</v>
      </c>
      <c r="E3785" s="130"/>
    </row>
    <row r="3786" spans="1:5" x14ac:dyDescent="0.25">
      <c r="A3786" s="1033">
        <v>301114</v>
      </c>
      <c r="B3786" s="129">
        <v>0</v>
      </c>
      <c r="E3786" s="130"/>
    </row>
    <row r="3787" spans="1:5" x14ac:dyDescent="0.25">
      <c r="A3787" s="1033">
        <v>301116</v>
      </c>
      <c r="B3787" s="129">
        <v>0</v>
      </c>
      <c r="E3787" s="130"/>
    </row>
    <row r="3788" spans="1:5" x14ac:dyDescent="0.25">
      <c r="A3788" s="1033">
        <v>301118</v>
      </c>
      <c r="B3788" s="129">
        <v>0</v>
      </c>
      <c r="E3788" s="130"/>
    </row>
    <row r="3789" spans="1:5" x14ac:dyDescent="0.25">
      <c r="A3789" s="1033">
        <v>301204</v>
      </c>
      <c r="B3789" s="129">
        <v>47892</v>
      </c>
      <c r="E3789" s="130"/>
    </row>
    <row r="3790" spans="1:5" x14ac:dyDescent="0.25">
      <c r="A3790" s="1033">
        <v>301206</v>
      </c>
      <c r="B3790" s="129">
        <v>47892</v>
      </c>
      <c r="E3790" s="130"/>
    </row>
    <row r="3791" spans="1:5" x14ac:dyDescent="0.25">
      <c r="A3791" s="1033">
        <v>301208</v>
      </c>
      <c r="B3791" s="129">
        <v>25437</v>
      </c>
      <c r="E3791" s="130"/>
    </row>
    <row r="3792" spans="1:5" x14ac:dyDescent="0.25">
      <c r="A3792" s="1033">
        <v>301210</v>
      </c>
      <c r="B3792" s="129">
        <v>25437</v>
      </c>
      <c r="E3792" s="130"/>
    </row>
    <row r="3793" spans="1:9" x14ac:dyDescent="0.25">
      <c r="A3793" s="1033">
        <v>301212</v>
      </c>
      <c r="B3793" s="129">
        <v>0</v>
      </c>
      <c r="E3793" s="130"/>
    </row>
    <row r="3794" spans="1:9" x14ac:dyDescent="0.25">
      <c r="A3794" s="1033">
        <v>301214</v>
      </c>
      <c r="B3794" s="129">
        <v>0</v>
      </c>
      <c r="E3794" s="130"/>
    </row>
    <row r="3795" spans="1:9" x14ac:dyDescent="0.25">
      <c r="A3795" s="1033">
        <v>301216</v>
      </c>
      <c r="B3795" s="129">
        <v>0</v>
      </c>
      <c r="E3795" s="130"/>
    </row>
    <row r="3796" spans="1:9" x14ac:dyDescent="0.25">
      <c r="A3796" s="1033">
        <v>301218</v>
      </c>
      <c r="B3796" s="129">
        <v>0</v>
      </c>
      <c r="E3796" s="130"/>
    </row>
    <row r="3797" spans="1:9" x14ac:dyDescent="0.25">
      <c r="A3797" s="1033">
        <v>301304</v>
      </c>
      <c r="B3797" s="129">
        <v>6723</v>
      </c>
      <c r="C3797" s="130" t="s">
        <v>1580</v>
      </c>
      <c r="D3797" s="130">
        <v>16</v>
      </c>
      <c r="E3797" s="130" t="s">
        <v>1580</v>
      </c>
      <c r="F3797" s="1031">
        <v>0</v>
      </c>
      <c r="G3797" s="1031">
        <v>6723.02</v>
      </c>
      <c r="H3797" s="1031">
        <v>6723.02</v>
      </c>
      <c r="I3797" s="1032" t="s">
        <v>1581</v>
      </c>
    </row>
    <row r="3798" spans="1:9" x14ac:dyDescent="0.25">
      <c r="A3798" s="1033">
        <v>301306</v>
      </c>
      <c r="B3798" s="129">
        <v>6723</v>
      </c>
      <c r="C3798" s="130" t="s">
        <v>1580</v>
      </c>
      <c r="D3798" s="130">
        <v>16</v>
      </c>
      <c r="E3798" s="130" t="s">
        <v>1580</v>
      </c>
      <c r="F3798" s="1031">
        <v>0</v>
      </c>
      <c r="G3798" s="1031">
        <v>6723.02</v>
      </c>
      <c r="H3798" s="1031">
        <v>6723.02</v>
      </c>
      <c r="I3798" s="1032" t="s">
        <v>1581</v>
      </c>
    </row>
    <row r="3799" spans="1:9" x14ac:dyDescent="0.25">
      <c r="A3799" s="1033">
        <v>301308</v>
      </c>
      <c r="B3799" s="129">
        <v>1494</v>
      </c>
      <c r="C3799" s="130" t="s">
        <v>1582</v>
      </c>
      <c r="D3799" s="130">
        <v>16</v>
      </c>
      <c r="E3799" s="130" t="s">
        <v>1582</v>
      </c>
      <c r="F3799" s="1031">
        <v>0</v>
      </c>
      <c r="G3799" s="1031">
        <v>1494.01</v>
      </c>
      <c r="H3799" s="1031">
        <v>1494.01</v>
      </c>
      <c r="I3799" s="1032" t="s">
        <v>1583</v>
      </c>
    </row>
    <row r="3800" spans="1:9" x14ac:dyDescent="0.25">
      <c r="A3800" s="1033">
        <v>301310</v>
      </c>
      <c r="B3800" s="129">
        <v>1494</v>
      </c>
      <c r="C3800" s="130" t="s">
        <v>1582</v>
      </c>
      <c r="D3800" s="130">
        <v>16</v>
      </c>
      <c r="E3800" s="130" t="s">
        <v>1582</v>
      </c>
      <c r="F3800" s="1031">
        <v>0</v>
      </c>
      <c r="G3800" s="1031">
        <v>1494.01</v>
      </c>
      <c r="H3800" s="1031">
        <v>1494.01</v>
      </c>
      <c r="I3800" s="1032" t="s">
        <v>1583</v>
      </c>
    </row>
    <row r="3801" spans="1:9" x14ac:dyDescent="0.25">
      <c r="A3801" s="1033">
        <v>301312</v>
      </c>
      <c r="B3801" s="129">
        <v>0</v>
      </c>
      <c r="E3801" s="130"/>
    </row>
    <row r="3802" spans="1:9" x14ac:dyDescent="0.25">
      <c r="A3802" s="1033">
        <v>301314</v>
      </c>
      <c r="B3802" s="129">
        <v>0</v>
      </c>
      <c r="E3802" s="130"/>
    </row>
    <row r="3803" spans="1:9" x14ac:dyDescent="0.25">
      <c r="A3803" s="1033">
        <v>301316</v>
      </c>
      <c r="B3803" s="129">
        <v>0</v>
      </c>
      <c r="E3803" s="130"/>
    </row>
    <row r="3804" spans="1:9" x14ac:dyDescent="0.25">
      <c r="A3804" s="1033">
        <v>301318</v>
      </c>
      <c r="B3804" s="129">
        <v>0</v>
      </c>
      <c r="E3804" s="130"/>
    </row>
    <row r="3805" spans="1:9" x14ac:dyDescent="0.25">
      <c r="A3805" s="1033">
        <v>301404</v>
      </c>
      <c r="B3805" s="129">
        <v>12894</v>
      </c>
      <c r="C3805" s="130" t="s">
        <v>1584</v>
      </c>
      <c r="D3805" s="130">
        <v>16</v>
      </c>
      <c r="E3805" s="130" t="s">
        <v>1584</v>
      </c>
      <c r="F3805" s="1031">
        <v>0</v>
      </c>
      <c r="G3805" s="1031">
        <v>12894.2</v>
      </c>
      <c r="H3805" s="1031">
        <v>12894.2</v>
      </c>
      <c r="I3805" s="1032" t="s">
        <v>1585</v>
      </c>
    </row>
    <row r="3806" spans="1:9" x14ac:dyDescent="0.25">
      <c r="A3806" s="1033">
        <v>301406</v>
      </c>
      <c r="B3806" s="129">
        <v>12894</v>
      </c>
      <c r="C3806" s="130" t="s">
        <v>1584</v>
      </c>
      <c r="D3806" s="130">
        <v>16</v>
      </c>
      <c r="E3806" s="130" t="s">
        <v>1584</v>
      </c>
      <c r="F3806" s="1031">
        <v>0</v>
      </c>
      <c r="G3806" s="1031">
        <v>12894.2</v>
      </c>
      <c r="H3806" s="1031">
        <v>12894.2</v>
      </c>
      <c r="I3806" s="1032" t="s">
        <v>1585</v>
      </c>
    </row>
    <row r="3807" spans="1:9" x14ac:dyDescent="0.25">
      <c r="A3807" s="1033">
        <v>301408</v>
      </c>
      <c r="B3807" s="129">
        <v>4942</v>
      </c>
      <c r="C3807" s="130" t="s">
        <v>1586</v>
      </c>
      <c r="D3807" s="130">
        <v>16</v>
      </c>
      <c r="E3807" s="130" t="s">
        <v>1586</v>
      </c>
      <c r="F3807" s="1031">
        <v>0</v>
      </c>
      <c r="G3807" s="1031">
        <v>4941.7700000000004</v>
      </c>
      <c r="H3807" s="1031">
        <v>4941.7700000000004</v>
      </c>
      <c r="I3807" s="1032" t="s">
        <v>1587</v>
      </c>
    </row>
    <row r="3808" spans="1:9" x14ac:dyDescent="0.25">
      <c r="A3808" s="1033">
        <v>301410</v>
      </c>
      <c r="B3808" s="129">
        <v>4942</v>
      </c>
      <c r="C3808" s="130" t="s">
        <v>1586</v>
      </c>
      <c r="D3808" s="130">
        <v>16</v>
      </c>
      <c r="E3808" s="130" t="s">
        <v>1586</v>
      </c>
      <c r="F3808" s="1031">
        <v>0</v>
      </c>
      <c r="G3808" s="1031">
        <v>4941.7700000000004</v>
      </c>
      <c r="H3808" s="1031">
        <v>4941.7700000000004</v>
      </c>
      <c r="I3808" s="1032" t="s">
        <v>1587</v>
      </c>
    </row>
    <row r="3809" spans="1:9" x14ac:dyDescent="0.25">
      <c r="A3809" s="1033">
        <v>301412</v>
      </c>
      <c r="B3809" s="129">
        <v>0</v>
      </c>
      <c r="E3809" s="130"/>
    </row>
    <row r="3810" spans="1:9" x14ac:dyDescent="0.25">
      <c r="A3810" s="1033">
        <v>301414</v>
      </c>
      <c r="B3810" s="129">
        <v>0</v>
      </c>
      <c r="E3810" s="130"/>
    </row>
    <row r="3811" spans="1:9" x14ac:dyDescent="0.25">
      <c r="A3811" s="1033">
        <v>301416</v>
      </c>
      <c r="B3811" s="129">
        <v>0</v>
      </c>
      <c r="E3811" s="130"/>
    </row>
    <row r="3812" spans="1:9" x14ac:dyDescent="0.25">
      <c r="A3812" s="1033">
        <v>301418</v>
      </c>
      <c r="B3812" s="129">
        <v>0</v>
      </c>
      <c r="E3812" s="130"/>
    </row>
    <row r="3813" spans="1:9" x14ac:dyDescent="0.25">
      <c r="A3813" s="1033">
        <v>301504</v>
      </c>
      <c r="B3813" s="129">
        <v>10751</v>
      </c>
      <c r="C3813" s="130" t="s">
        <v>1588</v>
      </c>
      <c r="D3813" s="130">
        <v>16</v>
      </c>
      <c r="E3813" s="130" t="s">
        <v>1588</v>
      </c>
      <c r="F3813" s="1031">
        <v>0</v>
      </c>
      <c r="G3813" s="1031">
        <v>10750.8</v>
      </c>
      <c r="H3813" s="1031">
        <v>10750.8</v>
      </c>
      <c r="I3813" s="1032" t="s">
        <v>1589</v>
      </c>
    </row>
    <row r="3814" spans="1:9" x14ac:dyDescent="0.25">
      <c r="A3814" s="1033">
        <v>301506</v>
      </c>
      <c r="B3814" s="129">
        <v>10751</v>
      </c>
      <c r="C3814" s="130" t="s">
        <v>1588</v>
      </c>
      <c r="D3814" s="130">
        <v>16</v>
      </c>
      <c r="E3814" s="130" t="s">
        <v>1588</v>
      </c>
      <c r="F3814" s="1031">
        <v>0</v>
      </c>
      <c r="G3814" s="1031">
        <v>10750.8</v>
      </c>
      <c r="H3814" s="1031">
        <v>10750.8</v>
      </c>
      <c r="I3814" s="1032" t="s">
        <v>1589</v>
      </c>
    </row>
    <row r="3815" spans="1:9" x14ac:dyDescent="0.25">
      <c r="A3815" s="1033">
        <v>301508</v>
      </c>
      <c r="B3815" s="129">
        <v>3722</v>
      </c>
      <c r="C3815" s="130" t="s">
        <v>1590</v>
      </c>
      <c r="D3815" s="130">
        <v>16</v>
      </c>
      <c r="E3815" s="130" t="s">
        <v>1590</v>
      </c>
      <c r="F3815" s="1031">
        <v>0</v>
      </c>
      <c r="G3815" s="1031">
        <v>3722.1</v>
      </c>
      <c r="H3815" s="1031">
        <v>3722.1</v>
      </c>
      <c r="I3815" s="1032" t="s">
        <v>1591</v>
      </c>
    </row>
    <row r="3816" spans="1:9" x14ac:dyDescent="0.25">
      <c r="A3816" s="1033">
        <v>301510</v>
      </c>
      <c r="B3816" s="129">
        <v>3722</v>
      </c>
      <c r="C3816" s="130" t="s">
        <v>1590</v>
      </c>
      <c r="D3816" s="130">
        <v>16</v>
      </c>
      <c r="E3816" s="130" t="s">
        <v>1590</v>
      </c>
      <c r="F3816" s="1031">
        <v>0</v>
      </c>
      <c r="G3816" s="1031">
        <v>3722.1</v>
      </c>
      <c r="H3816" s="1031">
        <v>3722.1</v>
      </c>
      <c r="I3816" s="1032" t="s">
        <v>1591</v>
      </c>
    </row>
    <row r="3817" spans="1:9" x14ac:dyDescent="0.25">
      <c r="A3817" s="1033">
        <v>301512</v>
      </c>
      <c r="B3817" s="129">
        <v>0</v>
      </c>
      <c r="E3817" s="130"/>
    </row>
    <row r="3818" spans="1:9" x14ac:dyDescent="0.25">
      <c r="A3818" s="1033">
        <v>301514</v>
      </c>
      <c r="B3818" s="129">
        <v>0</v>
      </c>
      <c r="E3818" s="130"/>
    </row>
    <row r="3819" spans="1:9" x14ac:dyDescent="0.25">
      <c r="A3819" s="1033">
        <v>301516</v>
      </c>
      <c r="B3819" s="129">
        <v>0</v>
      </c>
      <c r="E3819" s="130"/>
    </row>
    <row r="3820" spans="1:9" x14ac:dyDescent="0.25">
      <c r="A3820" s="1033">
        <v>301518</v>
      </c>
      <c r="B3820" s="129">
        <v>0</v>
      </c>
      <c r="E3820" s="130"/>
    </row>
    <row r="3821" spans="1:9" x14ac:dyDescent="0.25">
      <c r="A3821" s="1033">
        <v>301604</v>
      </c>
      <c r="B3821" s="129">
        <v>0</v>
      </c>
      <c r="E3821" s="130"/>
    </row>
    <row r="3822" spans="1:9" x14ac:dyDescent="0.25">
      <c r="A3822" s="1033">
        <v>301606</v>
      </c>
      <c r="B3822" s="129">
        <v>0</v>
      </c>
      <c r="E3822" s="130"/>
    </row>
    <row r="3823" spans="1:9" x14ac:dyDescent="0.25">
      <c r="A3823" s="1033">
        <v>301608</v>
      </c>
      <c r="B3823" s="129">
        <v>0</v>
      </c>
      <c r="E3823" s="130"/>
    </row>
    <row r="3824" spans="1:9" x14ac:dyDescent="0.25">
      <c r="A3824" s="1033">
        <v>301610</v>
      </c>
      <c r="B3824" s="129">
        <v>0</v>
      </c>
      <c r="E3824" s="130"/>
    </row>
    <row r="3825" spans="1:9" x14ac:dyDescent="0.25">
      <c r="A3825" s="1033">
        <v>301612</v>
      </c>
      <c r="B3825" s="129">
        <v>0</v>
      </c>
      <c r="E3825" s="130"/>
    </row>
    <row r="3826" spans="1:9" x14ac:dyDescent="0.25">
      <c r="A3826" s="1033">
        <v>301614</v>
      </c>
      <c r="B3826" s="129">
        <v>0</v>
      </c>
      <c r="E3826" s="130"/>
    </row>
    <row r="3827" spans="1:9" x14ac:dyDescent="0.25">
      <c r="A3827" s="1033">
        <v>301616</v>
      </c>
      <c r="B3827" s="129">
        <v>0</v>
      </c>
      <c r="E3827" s="130"/>
    </row>
    <row r="3828" spans="1:9" x14ac:dyDescent="0.25">
      <c r="A3828" s="1033">
        <v>301618</v>
      </c>
      <c r="B3828" s="129">
        <v>0</v>
      </c>
      <c r="E3828" s="130"/>
    </row>
    <row r="3829" spans="1:9" x14ac:dyDescent="0.25">
      <c r="A3829" s="1033">
        <v>301704</v>
      </c>
      <c r="B3829" s="129">
        <v>342</v>
      </c>
      <c r="C3829" s="130" t="s">
        <v>1592</v>
      </c>
      <c r="D3829" s="130">
        <v>16</v>
      </c>
      <c r="E3829" s="130" t="s">
        <v>1592</v>
      </c>
      <c r="F3829" s="1031">
        <v>0</v>
      </c>
      <c r="G3829" s="1031">
        <v>342</v>
      </c>
      <c r="H3829" s="1031">
        <v>342</v>
      </c>
      <c r="I3829" s="1032" t="s">
        <v>1593</v>
      </c>
    </row>
    <row r="3830" spans="1:9" x14ac:dyDescent="0.25">
      <c r="A3830" s="1033">
        <v>301706</v>
      </c>
      <c r="B3830" s="129">
        <v>342</v>
      </c>
      <c r="C3830" s="130" t="s">
        <v>1592</v>
      </c>
      <c r="D3830" s="130">
        <v>16</v>
      </c>
      <c r="E3830" s="130" t="s">
        <v>1592</v>
      </c>
      <c r="F3830" s="1031">
        <v>0</v>
      </c>
      <c r="G3830" s="1031">
        <v>342</v>
      </c>
      <c r="H3830" s="1031">
        <v>342</v>
      </c>
      <c r="I3830" s="1032" t="s">
        <v>1593</v>
      </c>
    </row>
    <row r="3831" spans="1:9" x14ac:dyDescent="0.25">
      <c r="A3831" s="1033">
        <v>301708</v>
      </c>
      <c r="B3831" s="129">
        <v>2809</v>
      </c>
      <c r="C3831" s="130" t="s">
        <v>1594</v>
      </c>
      <c r="D3831" s="130">
        <v>16</v>
      </c>
      <c r="E3831" s="130" t="s">
        <v>1594</v>
      </c>
      <c r="F3831" s="1031">
        <v>0</v>
      </c>
      <c r="G3831" s="1031">
        <v>2809</v>
      </c>
      <c r="H3831" s="1031">
        <v>2809</v>
      </c>
      <c r="I3831" s="1032" t="s">
        <v>1595</v>
      </c>
    </row>
    <row r="3832" spans="1:9" x14ac:dyDescent="0.25">
      <c r="A3832" s="1033">
        <v>301710</v>
      </c>
      <c r="B3832" s="129">
        <v>2809</v>
      </c>
      <c r="C3832" s="130" t="s">
        <v>1594</v>
      </c>
      <c r="D3832" s="130">
        <v>16</v>
      </c>
      <c r="E3832" s="130" t="s">
        <v>1594</v>
      </c>
      <c r="F3832" s="1031">
        <v>0</v>
      </c>
      <c r="G3832" s="1031">
        <v>2809</v>
      </c>
      <c r="H3832" s="1031">
        <v>2809</v>
      </c>
      <c r="I3832" s="1032" t="s">
        <v>1595</v>
      </c>
    </row>
    <row r="3833" spans="1:9" x14ac:dyDescent="0.25">
      <c r="A3833" s="1033">
        <v>301712</v>
      </c>
      <c r="B3833" s="129">
        <v>0</v>
      </c>
      <c r="E3833" s="130"/>
    </row>
    <row r="3834" spans="1:9" x14ac:dyDescent="0.25">
      <c r="A3834" s="1033">
        <v>301714</v>
      </c>
      <c r="B3834" s="129">
        <v>0</v>
      </c>
      <c r="E3834" s="130"/>
    </row>
    <row r="3835" spans="1:9" x14ac:dyDescent="0.25">
      <c r="A3835" s="1033">
        <v>301716</v>
      </c>
      <c r="B3835" s="129">
        <v>0</v>
      </c>
      <c r="E3835" s="130"/>
    </row>
    <row r="3836" spans="1:9" x14ac:dyDescent="0.25">
      <c r="A3836" s="1033">
        <v>301718</v>
      </c>
      <c r="B3836" s="129">
        <v>0</v>
      </c>
      <c r="E3836" s="130"/>
    </row>
    <row r="3837" spans="1:9" x14ac:dyDescent="0.25">
      <c r="A3837" s="1033">
        <v>301804</v>
      </c>
      <c r="B3837" s="129">
        <v>12038</v>
      </c>
      <c r="C3837" s="130" t="s">
        <v>1596</v>
      </c>
      <c r="D3837" s="130">
        <v>16</v>
      </c>
      <c r="E3837" s="130" t="s">
        <v>1596</v>
      </c>
      <c r="F3837" s="1031">
        <v>0</v>
      </c>
      <c r="G3837" s="1031">
        <v>12038.34</v>
      </c>
      <c r="H3837" s="1031">
        <v>12038.34</v>
      </c>
      <c r="I3837" s="1032" t="s">
        <v>1597</v>
      </c>
    </row>
    <row r="3838" spans="1:9" x14ac:dyDescent="0.25">
      <c r="A3838" s="1033">
        <v>301806</v>
      </c>
      <c r="B3838" s="129">
        <v>12038</v>
      </c>
      <c r="C3838" s="130" t="s">
        <v>1596</v>
      </c>
      <c r="D3838" s="130">
        <v>16</v>
      </c>
      <c r="E3838" s="130" t="s">
        <v>1596</v>
      </c>
      <c r="F3838" s="1031">
        <v>0</v>
      </c>
      <c r="G3838" s="1031">
        <v>12038.34</v>
      </c>
      <c r="H3838" s="1031">
        <v>12038.34</v>
      </c>
      <c r="I3838" s="1032" t="s">
        <v>1597</v>
      </c>
    </row>
    <row r="3839" spans="1:9" x14ac:dyDescent="0.25">
      <c r="A3839" s="1033">
        <v>301808</v>
      </c>
      <c r="B3839" s="129">
        <v>6169</v>
      </c>
      <c r="C3839" s="130" t="s">
        <v>1598</v>
      </c>
      <c r="D3839" s="130">
        <v>16</v>
      </c>
      <c r="E3839" s="130" t="s">
        <v>1598</v>
      </c>
      <c r="F3839" s="1031">
        <v>0</v>
      </c>
      <c r="G3839" s="1031">
        <v>6169.21</v>
      </c>
      <c r="H3839" s="1031">
        <v>6169.21</v>
      </c>
      <c r="I3839" s="1032" t="s">
        <v>1599</v>
      </c>
    </row>
    <row r="3840" spans="1:9" x14ac:dyDescent="0.25">
      <c r="A3840" s="1033">
        <v>301810</v>
      </c>
      <c r="B3840" s="129">
        <v>6169</v>
      </c>
      <c r="C3840" s="130" t="s">
        <v>1598</v>
      </c>
      <c r="D3840" s="130">
        <v>16</v>
      </c>
      <c r="E3840" s="130" t="s">
        <v>1598</v>
      </c>
      <c r="F3840" s="1031">
        <v>0</v>
      </c>
      <c r="G3840" s="1031">
        <v>6169.21</v>
      </c>
      <c r="H3840" s="1031">
        <v>6169.21</v>
      </c>
      <c r="I3840" s="1032" t="s">
        <v>1599</v>
      </c>
    </row>
    <row r="3841" spans="1:9" x14ac:dyDescent="0.25">
      <c r="A3841" s="1033">
        <v>301812</v>
      </c>
      <c r="B3841" s="129">
        <v>0</v>
      </c>
      <c r="E3841" s="130"/>
    </row>
    <row r="3842" spans="1:9" x14ac:dyDescent="0.25">
      <c r="A3842" s="1033">
        <v>301814</v>
      </c>
      <c r="B3842" s="129">
        <v>0</v>
      </c>
      <c r="E3842" s="130"/>
    </row>
    <row r="3843" spans="1:9" x14ac:dyDescent="0.25">
      <c r="A3843" s="1033">
        <v>301816</v>
      </c>
      <c r="B3843" s="129">
        <v>0</v>
      </c>
      <c r="E3843" s="130"/>
    </row>
    <row r="3844" spans="1:9" x14ac:dyDescent="0.25">
      <c r="A3844" s="1033">
        <v>301818</v>
      </c>
      <c r="B3844" s="129">
        <v>0</v>
      </c>
      <c r="E3844" s="130"/>
    </row>
    <row r="3845" spans="1:9" x14ac:dyDescent="0.25">
      <c r="A3845" s="1033">
        <v>301904</v>
      </c>
      <c r="B3845" s="129">
        <v>13161</v>
      </c>
      <c r="C3845" s="130" t="s">
        <v>1600</v>
      </c>
      <c r="D3845" s="130">
        <v>16</v>
      </c>
      <c r="E3845" s="130" t="s">
        <v>1600</v>
      </c>
      <c r="F3845" s="1031">
        <v>0</v>
      </c>
      <c r="G3845" s="1031">
        <v>13161.05</v>
      </c>
      <c r="H3845" s="1031">
        <v>13161.05</v>
      </c>
      <c r="I3845" s="1032" t="s">
        <v>1601</v>
      </c>
    </row>
    <row r="3846" spans="1:9" x14ac:dyDescent="0.25">
      <c r="A3846" s="1033">
        <v>301906</v>
      </c>
      <c r="B3846" s="129">
        <v>13161</v>
      </c>
      <c r="C3846" s="130" t="s">
        <v>1600</v>
      </c>
      <c r="D3846" s="130">
        <v>16</v>
      </c>
      <c r="E3846" s="130" t="s">
        <v>1600</v>
      </c>
      <c r="F3846" s="1031">
        <v>0</v>
      </c>
      <c r="G3846" s="1031">
        <v>13161.05</v>
      </c>
      <c r="H3846" s="1031">
        <v>13161.05</v>
      </c>
      <c r="I3846" s="1032" t="s">
        <v>1601</v>
      </c>
    </row>
    <row r="3847" spans="1:9" x14ac:dyDescent="0.25">
      <c r="A3847" s="1033">
        <v>301908</v>
      </c>
      <c r="B3847" s="129">
        <v>5633</v>
      </c>
      <c r="C3847" s="130" t="s">
        <v>1602</v>
      </c>
      <c r="D3847" s="130">
        <v>16</v>
      </c>
      <c r="E3847" s="130" t="s">
        <v>1602</v>
      </c>
      <c r="F3847" s="1031">
        <v>0</v>
      </c>
      <c r="G3847" s="1031">
        <v>5633.38</v>
      </c>
      <c r="H3847" s="1031">
        <v>5633.38</v>
      </c>
      <c r="I3847" s="1032" t="s">
        <v>1603</v>
      </c>
    </row>
    <row r="3848" spans="1:9" x14ac:dyDescent="0.25">
      <c r="A3848" s="1033">
        <v>301910</v>
      </c>
      <c r="B3848" s="129">
        <v>5633</v>
      </c>
      <c r="C3848" s="130" t="s">
        <v>1602</v>
      </c>
      <c r="D3848" s="130">
        <v>16</v>
      </c>
      <c r="E3848" s="130" t="s">
        <v>1602</v>
      </c>
      <c r="F3848" s="1031">
        <v>0</v>
      </c>
      <c r="G3848" s="1031">
        <v>5633.38</v>
      </c>
      <c r="H3848" s="1031">
        <v>5633.38</v>
      </c>
      <c r="I3848" s="1032" t="s">
        <v>1603</v>
      </c>
    </row>
    <row r="3849" spans="1:9" x14ac:dyDescent="0.25">
      <c r="A3849" s="1033">
        <v>301912</v>
      </c>
      <c r="B3849" s="129">
        <v>0</v>
      </c>
      <c r="E3849" s="130"/>
    </row>
    <row r="3850" spans="1:9" x14ac:dyDescent="0.25">
      <c r="A3850" s="1033">
        <v>301914</v>
      </c>
      <c r="B3850" s="129">
        <v>0</v>
      </c>
      <c r="E3850" s="130"/>
    </row>
    <row r="3851" spans="1:9" x14ac:dyDescent="0.25">
      <c r="A3851" s="1033">
        <v>301916</v>
      </c>
      <c r="B3851" s="129">
        <v>0</v>
      </c>
      <c r="E3851" s="130"/>
    </row>
    <row r="3852" spans="1:9" x14ac:dyDescent="0.25">
      <c r="A3852" s="1033">
        <v>301918</v>
      </c>
      <c r="B3852" s="129">
        <v>0</v>
      </c>
      <c r="E3852" s="130"/>
    </row>
    <row r="3853" spans="1:9" x14ac:dyDescent="0.25">
      <c r="A3853" s="1033">
        <v>302004</v>
      </c>
      <c r="B3853" s="129">
        <v>5729</v>
      </c>
      <c r="C3853" s="130" t="s">
        <v>1604</v>
      </c>
      <c r="D3853" s="130">
        <v>16</v>
      </c>
      <c r="E3853" s="130" t="s">
        <v>1604</v>
      </c>
      <c r="F3853" s="1031">
        <v>0</v>
      </c>
      <c r="G3853" s="1031">
        <v>5729.01</v>
      </c>
      <c r="H3853" s="1031">
        <v>5729.01</v>
      </c>
      <c r="I3853" s="1032" t="s">
        <v>1605</v>
      </c>
    </row>
    <row r="3854" spans="1:9" x14ac:dyDescent="0.25">
      <c r="A3854" s="1033">
        <v>302006</v>
      </c>
      <c r="B3854" s="129">
        <v>5729</v>
      </c>
      <c r="C3854" s="130" t="s">
        <v>1604</v>
      </c>
      <c r="D3854" s="130">
        <v>16</v>
      </c>
      <c r="E3854" s="130" t="s">
        <v>1604</v>
      </c>
      <c r="F3854" s="1031">
        <v>0</v>
      </c>
      <c r="G3854" s="1031">
        <v>5729.01</v>
      </c>
      <c r="H3854" s="1031">
        <v>5729.01</v>
      </c>
      <c r="I3854" s="1032" t="s">
        <v>1605</v>
      </c>
    </row>
    <row r="3855" spans="1:9" x14ac:dyDescent="0.25">
      <c r="A3855" s="1033">
        <v>302008</v>
      </c>
      <c r="B3855" s="129">
        <v>2784</v>
      </c>
      <c r="C3855" s="130" t="s">
        <v>1606</v>
      </c>
      <c r="D3855" s="130">
        <v>16</v>
      </c>
      <c r="E3855" s="130" t="s">
        <v>1606</v>
      </c>
      <c r="F3855" s="1031">
        <v>0</v>
      </c>
      <c r="G3855" s="1031">
        <v>2784.19</v>
      </c>
      <c r="H3855" s="1031">
        <v>2784.19</v>
      </c>
      <c r="I3855" s="1032" t="s">
        <v>1607</v>
      </c>
    </row>
    <row r="3856" spans="1:9" x14ac:dyDescent="0.25">
      <c r="A3856" s="1033">
        <v>302010</v>
      </c>
      <c r="B3856" s="129">
        <v>2784</v>
      </c>
      <c r="C3856" s="130" t="s">
        <v>1606</v>
      </c>
      <c r="D3856" s="130">
        <v>16</v>
      </c>
      <c r="E3856" s="130" t="s">
        <v>1606</v>
      </c>
      <c r="F3856" s="1031">
        <v>0</v>
      </c>
      <c r="G3856" s="1031">
        <v>2784.19</v>
      </c>
      <c r="H3856" s="1031">
        <v>2784.19</v>
      </c>
      <c r="I3856" s="1032" t="s">
        <v>1607</v>
      </c>
    </row>
    <row r="3857" spans="1:9" x14ac:dyDescent="0.25">
      <c r="A3857" s="1033">
        <v>302012</v>
      </c>
      <c r="B3857" s="129">
        <v>0</v>
      </c>
      <c r="E3857" s="130"/>
    </row>
    <row r="3858" spans="1:9" x14ac:dyDescent="0.25">
      <c r="A3858" s="1033">
        <v>302014</v>
      </c>
      <c r="B3858" s="129">
        <v>0</v>
      </c>
      <c r="E3858" s="130"/>
    </row>
    <row r="3859" spans="1:9" x14ac:dyDescent="0.25">
      <c r="A3859" s="1033">
        <v>302016</v>
      </c>
      <c r="B3859" s="129">
        <v>0</v>
      </c>
      <c r="E3859" s="130"/>
    </row>
    <row r="3860" spans="1:9" x14ac:dyDescent="0.25">
      <c r="A3860" s="1033">
        <v>302018</v>
      </c>
      <c r="B3860" s="129">
        <v>0</v>
      </c>
      <c r="E3860" s="130"/>
    </row>
    <row r="3861" spans="1:9" x14ac:dyDescent="0.25">
      <c r="A3861" s="1033">
        <v>302104</v>
      </c>
      <c r="B3861" s="129">
        <v>1785</v>
      </c>
      <c r="C3861" s="130" t="s">
        <v>1608</v>
      </c>
      <c r="D3861" s="130">
        <v>16</v>
      </c>
      <c r="E3861" s="130" t="s">
        <v>1608</v>
      </c>
      <c r="F3861" s="1031">
        <v>0</v>
      </c>
      <c r="G3861" s="1031">
        <v>1785.03</v>
      </c>
      <c r="H3861" s="1031">
        <v>1785.03</v>
      </c>
      <c r="I3861" s="1032" t="s">
        <v>1609</v>
      </c>
    </row>
    <row r="3862" spans="1:9" x14ac:dyDescent="0.25">
      <c r="A3862" s="1033">
        <v>302106</v>
      </c>
      <c r="B3862" s="129">
        <v>1785</v>
      </c>
      <c r="C3862" s="130" t="s">
        <v>1608</v>
      </c>
      <c r="D3862" s="130">
        <v>16</v>
      </c>
      <c r="E3862" s="130" t="s">
        <v>1608</v>
      </c>
      <c r="F3862" s="1031">
        <v>0</v>
      </c>
      <c r="G3862" s="1031">
        <v>1785.03</v>
      </c>
      <c r="H3862" s="1031">
        <v>1785.03</v>
      </c>
      <c r="I3862" s="1032" t="s">
        <v>1609</v>
      </c>
    </row>
    <row r="3863" spans="1:9" x14ac:dyDescent="0.25">
      <c r="A3863" s="1033">
        <v>302108</v>
      </c>
      <c r="B3863" s="129">
        <v>874</v>
      </c>
      <c r="C3863" s="130" t="s">
        <v>1610</v>
      </c>
      <c r="D3863" s="130">
        <v>16</v>
      </c>
      <c r="E3863" s="130" t="s">
        <v>1610</v>
      </c>
      <c r="F3863" s="1031">
        <v>0</v>
      </c>
      <c r="G3863" s="1031">
        <v>874.24</v>
      </c>
      <c r="H3863" s="1031">
        <v>874.24</v>
      </c>
      <c r="I3863" s="1032" t="s">
        <v>1611</v>
      </c>
    </row>
    <row r="3864" spans="1:9" x14ac:dyDescent="0.25">
      <c r="A3864" s="1033">
        <v>302110</v>
      </c>
      <c r="B3864" s="129">
        <v>874</v>
      </c>
      <c r="C3864" s="130" t="s">
        <v>1610</v>
      </c>
      <c r="D3864" s="130">
        <v>16</v>
      </c>
      <c r="E3864" s="130" t="s">
        <v>1610</v>
      </c>
      <c r="F3864" s="1031">
        <v>0</v>
      </c>
      <c r="G3864" s="1031">
        <v>874.24</v>
      </c>
      <c r="H3864" s="1031">
        <v>874.24</v>
      </c>
      <c r="I3864" s="1032" t="s">
        <v>1611</v>
      </c>
    </row>
    <row r="3865" spans="1:9" x14ac:dyDescent="0.25">
      <c r="A3865" s="1033">
        <v>302112</v>
      </c>
      <c r="B3865" s="129">
        <v>0</v>
      </c>
      <c r="E3865" s="130"/>
    </row>
    <row r="3866" spans="1:9" x14ac:dyDescent="0.25">
      <c r="A3866" s="1033">
        <v>302114</v>
      </c>
      <c r="B3866" s="129">
        <v>0</v>
      </c>
      <c r="E3866" s="130"/>
    </row>
    <row r="3867" spans="1:9" x14ac:dyDescent="0.25">
      <c r="A3867" s="1033">
        <v>302116</v>
      </c>
      <c r="B3867" s="129">
        <v>0</v>
      </c>
      <c r="E3867" s="130"/>
    </row>
    <row r="3868" spans="1:9" x14ac:dyDescent="0.25">
      <c r="A3868" s="1033">
        <v>302118</v>
      </c>
      <c r="B3868" s="129">
        <v>0</v>
      </c>
      <c r="E3868" s="130"/>
    </row>
    <row r="3869" spans="1:9" x14ac:dyDescent="0.25">
      <c r="A3869" s="1033">
        <v>302204</v>
      </c>
      <c r="B3869" s="129">
        <v>0</v>
      </c>
      <c r="E3869" s="130"/>
    </row>
    <row r="3870" spans="1:9" x14ac:dyDescent="0.25">
      <c r="A3870" s="1033">
        <v>302206</v>
      </c>
      <c r="B3870" s="129">
        <v>0</v>
      </c>
      <c r="E3870" s="130"/>
    </row>
    <row r="3871" spans="1:9" x14ac:dyDescent="0.25">
      <c r="A3871" s="1033">
        <v>302208</v>
      </c>
      <c r="B3871" s="129">
        <v>0</v>
      </c>
      <c r="E3871" s="130"/>
    </row>
    <row r="3872" spans="1:9" x14ac:dyDescent="0.25">
      <c r="A3872" s="1033">
        <v>302210</v>
      </c>
      <c r="B3872" s="129">
        <v>0</v>
      </c>
      <c r="E3872" s="130"/>
    </row>
    <row r="3873" spans="1:5" x14ac:dyDescent="0.25">
      <c r="A3873" s="1033">
        <v>302212</v>
      </c>
      <c r="B3873" s="129">
        <v>0</v>
      </c>
      <c r="E3873" s="130"/>
    </row>
    <row r="3874" spans="1:5" x14ac:dyDescent="0.25">
      <c r="A3874" s="1033">
        <v>302214</v>
      </c>
      <c r="B3874" s="129">
        <v>0</v>
      </c>
      <c r="E3874" s="130"/>
    </row>
    <row r="3875" spans="1:5" x14ac:dyDescent="0.25">
      <c r="A3875" s="1033">
        <v>302216</v>
      </c>
      <c r="B3875" s="129">
        <v>0</v>
      </c>
      <c r="E3875" s="130"/>
    </row>
    <row r="3876" spans="1:5" x14ac:dyDescent="0.25">
      <c r="A3876" s="1033">
        <v>302218</v>
      </c>
      <c r="B3876" s="129">
        <v>0</v>
      </c>
      <c r="E3876" s="130"/>
    </row>
    <row r="3877" spans="1:5" x14ac:dyDescent="0.25">
      <c r="A3877" s="1033">
        <v>302304</v>
      </c>
      <c r="B3877" s="129">
        <v>63423</v>
      </c>
      <c r="E3877" s="130"/>
    </row>
    <row r="3878" spans="1:5" x14ac:dyDescent="0.25">
      <c r="A3878" s="1033">
        <v>302306</v>
      </c>
      <c r="B3878" s="129">
        <v>63423</v>
      </c>
      <c r="E3878" s="130"/>
    </row>
    <row r="3879" spans="1:5" x14ac:dyDescent="0.25">
      <c r="A3879" s="1033">
        <v>302308</v>
      </c>
      <c r="B3879" s="129">
        <v>28427</v>
      </c>
      <c r="E3879" s="130"/>
    </row>
    <row r="3880" spans="1:5" x14ac:dyDescent="0.25">
      <c r="A3880" s="1033">
        <v>302310</v>
      </c>
      <c r="B3880" s="129">
        <v>28427</v>
      </c>
      <c r="E3880" s="130"/>
    </row>
    <row r="3881" spans="1:5" x14ac:dyDescent="0.25">
      <c r="A3881" s="1033">
        <v>302312</v>
      </c>
      <c r="B3881" s="129">
        <v>0</v>
      </c>
      <c r="E3881" s="130"/>
    </row>
    <row r="3882" spans="1:5" x14ac:dyDescent="0.25">
      <c r="A3882" s="1033">
        <v>302314</v>
      </c>
      <c r="B3882" s="129">
        <v>0</v>
      </c>
      <c r="E3882" s="130"/>
    </row>
    <row r="3883" spans="1:5" x14ac:dyDescent="0.25">
      <c r="A3883" s="1033">
        <v>302316</v>
      </c>
      <c r="B3883" s="129">
        <v>0</v>
      </c>
      <c r="E3883" s="130"/>
    </row>
    <row r="3884" spans="1:5" x14ac:dyDescent="0.25">
      <c r="A3884" s="1033">
        <v>302318</v>
      </c>
      <c r="B3884" s="129">
        <v>0</v>
      </c>
      <c r="E3884" s="130"/>
    </row>
    <row r="3885" spans="1:5" x14ac:dyDescent="0.25">
      <c r="A3885" s="1033">
        <v>302404</v>
      </c>
      <c r="B3885" s="129">
        <v>0</v>
      </c>
      <c r="E3885" s="130"/>
    </row>
    <row r="3886" spans="1:5" x14ac:dyDescent="0.25">
      <c r="A3886" s="1033">
        <v>302406</v>
      </c>
      <c r="B3886" s="129">
        <v>0</v>
      </c>
      <c r="E3886" s="130"/>
    </row>
    <row r="3887" spans="1:5" x14ac:dyDescent="0.25">
      <c r="A3887" s="1033">
        <v>302408</v>
      </c>
      <c r="B3887" s="129">
        <v>0</v>
      </c>
      <c r="E3887" s="130"/>
    </row>
    <row r="3888" spans="1:5" x14ac:dyDescent="0.25">
      <c r="A3888" s="1033">
        <v>302410</v>
      </c>
      <c r="B3888" s="129">
        <v>0</v>
      </c>
      <c r="E3888" s="130"/>
    </row>
    <row r="3889" spans="1:9" x14ac:dyDescent="0.25">
      <c r="A3889" s="1033">
        <v>302412</v>
      </c>
      <c r="B3889" s="129">
        <v>0</v>
      </c>
      <c r="E3889" s="130"/>
    </row>
    <row r="3890" spans="1:9" x14ac:dyDescent="0.25">
      <c r="A3890" s="1033">
        <v>302414</v>
      </c>
      <c r="B3890" s="129">
        <v>0</v>
      </c>
      <c r="E3890" s="130"/>
    </row>
    <row r="3891" spans="1:9" x14ac:dyDescent="0.25">
      <c r="A3891" s="1033">
        <v>302416</v>
      </c>
      <c r="B3891" s="129">
        <v>0</v>
      </c>
      <c r="E3891" s="130"/>
    </row>
    <row r="3892" spans="1:9" x14ac:dyDescent="0.25">
      <c r="A3892" s="1033">
        <v>302418</v>
      </c>
      <c r="B3892" s="129">
        <v>0</v>
      </c>
      <c r="E3892" s="130"/>
    </row>
    <row r="3893" spans="1:9" x14ac:dyDescent="0.25">
      <c r="A3893" s="1033">
        <v>302504</v>
      </c>
      <c r="B3893" s="129">
        <v>5500</v>
      </c>
      <c r="C3893" s="130" t="s">
        <v>1612</v>
      </c>
      <c r="D3893" s="130">
        <v>16</v>
      </c>
      <c r="E3893" s="130" t="s">
        <v>1612</v>
      </c>
      <c r="F3893" s="1031">
        <v>0</v>
      </c>
      <c r="G3893" s="1031">
        <v>5499.66</v>
      </c>
      <c r="H3893" s="1031">
        <v>5499.66</v>
      </c>
      <c r="I3893" s="1032" t="s">
        <v>1613</v>
      </c>
    </row>
    <row r="3894" spans="1:9" x14ac:dyDescent="0.25">
      <c r="A3894" s="1033">
        <v>302506</v>
      </c>
      <c r="B3894" s="129">
        <v>5500</v>
      </c>
      <c r="C3894" s="130" t="s">
        <v>1612</v>
      </c>
      <c r="D3894" s="130">
        <v>16</v>
      </c>
      <c r="E3894" s="130" t="s">
        <v>1612</v>
      </c>
      <c r="F3894" s="1031">
        <v>0</v>
      </c>
      <c r="G3894" s="1031">
        <v>5499.66</v>
      </c>
      <c r="H3894" s="1031">
        <v>5499.66</v>
      </c>
      <c r="I3894" s="1032" t="s">
        <v>1613</v>
      </c>
    </row>
    <row r="3895" spans="1:9" x14ac:dyDescent="0.25">
      <c r="A3895" s="1033">
        <v>302508</v>
      </c>
      <c r="B3895" s="129">
        <v>1218</v>
      </c>
      <c r="C3895" s="130" t="s">
        <v>1614</v>
      </c>
      <c r="D3895" s="130">
        <v>16</v>
      </c>
      <c r="E3895" s="130" t="s">
        <v>1614</v>
      </c>
      <c r="F3895" s="1031">
        <v>0</v>
      </c>
      <c r="G3895" s="1031">
        <v>1217.75</v>
      </c>
      <c r="H3895" s="1031">
        <v>1217.75</v>
      </c>
      <c r="I3895" s="1032" t="s">
        <v>1615</v>
      </c>
    </row>
    <row r="3896" spans="1:9" x14ac:dyDescent="0.25">
      <c r="A3896" s="1033">
        <v>302510</v>
      </c>
      <c r="B3896" s="129">
        <v>1218</v>
      </c>
      <c r="C3896" s="130" t="s">
        <v>1614</v>
      </c>
      <c r="D3896" s="130">
        <v>16</v>
      </c>
      <c r="E3896" s="130" t="s">
        <v>1614</v>
      </c>
      <c r="F3896" s="1031">
        <v>0</v>
      </c>
      <c r="G3896" s="1031">
        <v>1217.75</v>
      </c>
      <c r="H3896" s="1031">
        <v>1217.75</v>
      </c>
      <c r="I3896" s="1032" t="s">
        <v>1615</v>
      </c>
    </row>
    <row r="3897" spans="1:9" x14ac:dyDescent="0.25">
      <c r="A3897" s="1033">
        <v>302512</v>
      </c>
      <c r="B3897" s="129">
        <v>0</v>
      </c>
      <c r="E3897" s="130"/>
    </row>
    <row r="3898" spans="1:9" x14ac:dyDescent="0.25">
      <c r="A3898" s="1033">
        <v>302514</v>
      </c>
      <c r="B3898" s="129">
        <v>0</v>
      </c>
      <c r="E3898" s="130"/>
    </row>
    <row r="3899" spans="1:9" x14ac:dyDescent="0.25">
      <c r="A3899" s="1033">
        <v>302516</v>
      </c>
      <c r="B3899" s="129">
        <v>0</v>
      </c>
      <c r="E3899" s="130"/>
    </row>
    <row r="3900" spans="1:9" x14ac:dyDescent="0.25">
      <c r="A3900" s="1033">
        <v>302518</v>
      </c>
      <c r="B3900" s="129">
        <v>0</v>
      </c>
      <c r="E3900" s="130"/>
    </row>
    <row r="3901" spans="1:9" x14ac:dyDescent="0.25">
      <c r="A3901" s="1033">
        <v>302604</v>
      </c>
      <c r="B3901" s="129">
        <v>628</v>
      </c>
      <c r="C3901" s="130" t="s">
        <v>1616</v>
      </c>
      <c r="D3901" s="130">
        <v>16</v>
      </c>
      <c r="E3901" s="130" t="s">
        <v>1616</v>
      </c>
      <c r="F3901" s="1031">
        <v>0</v>
      </c>
      <c r="G3901" s="1031">
        <v>627.79</v>
      </c>
      <c r="H3901" s="1031">
        <v>627.79</v>
      </c>
      <c r="I3901" s="1032" t="s">
        <v>1617</v>
      </c>
    </row>
    <row r="3902" spans="1:9" x14ac:dyDescent="0.25">
      <c r="A3902" s="1033">
        <v>302606</v>
      </c>
      <c r="B3902" s="129">
        <v>628</v>
      </c>
      <c r="C3902" s="130" t="s">
        <v>1616</v>
      </c>
      <c r="D3902" s="130">
        <v>16</v>
      </c>
      <c r="E3902" s="130" t="s">
        <v>1616</v>
      </c>
      <c r="F3902" s="1031">
        <v>0</v>
      </c>
      <c r="G3902" s="1031">
        <v>627.79</v>
      </c>
      <c r="H3902" s="1031">
        <v>627.79</v>
      </c>
      <c r="I3902" s="1032" t="s">
        <v>1617</v>
      </c>
    </row>
    <row r="3903" spans="1:9" x14ac:dyDescent="0.25">
      <c r="A3903" s="1033">
        <v>302608</v>
      </c>
      <c r="B3903" s="129">
        <v>300</v>
      </c>
      <c r="C3903" s="130" t="s">
        <v>1618</v>
      </c>
      <c r="D3903" s="130">
        <v>16</v>
      </c>
      <c r="E3903" s="130" t="s">
        <v>1618</v>
      </c>
      <c r="F3903" s="1031">
        <v>0</v>
      </c>
      <c r="G3903" s="1031">
        <v>299.52</v>
      </c>
      <c r="H3903" s="1031">
        <v>299.52</v>
      </c>
      <c r="I3903" s="1032" t="s">
        <v>1619</v>
      </c>
    </row>
    <row r="3904" spans="1:9" x14ac:dyDescent="0.25">
      <c r="A3904" s="1033">
        <v>302610</v>
      </c>
      <c r="B3904" s="129">
        <v>300</v>
      </c>
      <c r="C3904" s="130" t="s">
        <v>1618</v>
      </c>
      <c r="D3904" s="130">
        <v>16</v>
      </c>
      <c r="E3904" s="130" t="s">
        <v>1618</v>
      </c>
      <c r="F3904" s="1031">
        <v>0</v>
      </c>
      <c r="G3904" s="1031">
        <v>299.52</v>
      </c>
      <c r="H3904" s="1031">
        <v>299.52</v>
      </c>
      <c r="I3904" s="1032" t="s">
        <v>1619</v>
      </c>
    </row>
    <row r="3905" spans="1:9" x14ac:dyDescent="0.25">
      <c r="A3905" s="1033">
        <v>302612</v>
      </c>
      <c r="B3905" s="129">
        <v>0</v>
      </c>
      <c r="E3905" s="130"/>
    </row>
    <row r="3906" spans="1:9" x14ac:dyDescent="0.25">
      <c r="A3906" s="1033">
        <v>302614</v>
      </c>
      <c r="B3906" s="129">
        <v>0</v>
      </c>
      <c r="E3906" s="130"/>
    </row>
    <row r="3907" spans="1:9" x14ac:dyDescent="0.25">
      <c r="A3907" s="1033">
        <v>302616</v>
      </c>
      <c r="B3907" s="129">
        <v>0</v>
      </c>
      <c r="E3907" s="130"/>
    </row>
    <row r="3908" spans="1:9" x14ac:dyDescent="0.25">
      <c r="A3908" s="1033">
        <v>302618</v>
      </c>
      <c r="B3908" s="129">
        <v>0</v>
      </c>
      <c r="E3908" s="130"/>
    </row>
    <row r="3909" spans="1:9" x14ac:dyDescent="0.25">
      <c r="A3909" s="1033">
        <v>302704</v>
      </c>
      <c r="B3909" s="129">
        <v>120</v>
      </c>
      <c r="C3909" s="130" t="s">
        <v>1620</v>
      </c>
      <c r="D3909" s="130">
        <v>16</v>
      </c>
      <c r="E3909" s="130" t="s">
        <v>1620</v>
      </c>
      <c r="F3909" s="1031">
        <v>0</v>
      </c>
      <c r="G3909" s="1031">
        <v>119.97</v>
      </c>
      <c r="H3909" s="1031">
        <v>119.97</v>
      </c>
      <c r="I3909" s="1032" t="s">
        <v>1621</v>
      </c>
    </row>
    <row r="3910" spans="1:9" x14ac:dyDescent="0.25">
      <c r="A3910" s="1033">
        <v>302706</v>
      </c>
      <c r="B3910" s="129">
        <v>120</v>
      </c>
      <c r="C3910" s="130" t="s">
        <v>1620</v>
      </c>
      <c r="D3910" s="130">
        <v>16</v>
      </c>
      <c r="E3910" s="130" t="s">
        <v>1620</v>
      </c>
      <c r="F3910" s="1031">
        <v>0</v>
      </c>
      <c r="G3910" s="1031">
        <v>119.97</v>
      </c>
      <c r="H3910" s="1031">
        <v>119.97</v>
      </c>
      <c r="I3910" s="1032" t="s">
        <v>1621</v>
      </c>
    </row>
    <row r="3911" spans="1:9" x14ac:dyDescent="0.25">
      <c r="A3911" s="1033">
        <v>302708</v>
      </c>
      <c r="B3911" s="129">
        <v>80</v>
      </c>
      <c r="C3911" s="130" t="s">
        <v>1622</v>
      </c>
      <c r="D3911" s="130">
        <v>16</v>
      </c>
      <c r="E3911" s="130" t="s">
        <v>1622</v>
      </c>
      <c r="F3911" s="1031">
        <v>0</v>
      </c>
      <c r="G3911" s="1031">
        <v>79.98</v>
      </c>
      <c r="H3911" s="1031">
        <v>79.98</v>
      </c>
      <c r="I3911" s="1032" t="s">
        <v>1623</v>
      </c>
    </row>
    <row r="3912" spans="1:9" x14ac:dyDescent="0.25">
      <c r="A3912" s="1033">
        <v>302710</v>
      </c>
      <c r="B3912" s="129">
        <v>80</v>
      </c>
      <c r="C3912" s="130" t="s">
        <v>1622</v>
      </c>
      <c r="D3912" s="130">
        <v>16</v>
      </c>
      <c r="E3912" s="130" t="s">
        <v>1622</v>
      </c>
      <c r="F3912" s="1031">
        <v>0</v>
      </c>
      <c r="G3912" s="1031">
        <v>79.98</v>
      </c>
      <c r="H3912" s="1031">
        <v>79.98</v>
      </c>
      <c r="I3912" s="1032" t="s">
        <v>1623</v>
      </c>
    </row>
    <row r="3913" spans="1:9" x14ac:dyDescent="0.25">
      <c r="A3913" s="1033">
        <v>302712</v>
      </c>
      <c r="B3913" s="129">
        <v>0</v>
      </c>
      <c r="E3913" s="130"/>
    </row>
    <row r="3914" spans="1:9" x14ac:dyDescent="0.25">
      <c r="A3914" s="1033">
        <v>302714</v>
      </c>
      <c r="B3914" s="129">
        <v>0</v>
      </c>
      <c r="E3914" s="130"/>
    </row>
    <row r="3915" spans="1:9" x14ac:dyDescent="0.25">
      <c r="A3915" s="1033">
        <v>302716</v>
      </c>
      <c r="B3915" s="129">
        <v>0</v>
      </c>
      <c r="E3915" s="130"/>
    </row>
    <row r="3916" spans="1:9" x14ac:dyDescent="0.25">
      <c r="A3916" s="1033">
        <v>302718</v>
      </c>
      <c r="B3916" s="129">
        <v>0</v>
      </c>
      <c r="E3916" s="130"/>
    </row>
    <row r="3917" spans="1:9" x14ac:dyDescent="0.25">
      <c r="A3917" s="1033">
        <v>302804</v>
      </c>
      <c r="B3917" s="129">
        <v>0</v>
      </c>
      <c r="E3917" s="130"/>
    </row>
    <row r="3918" spans="1:9" x14ac:dyDescent="0.25">
      <c r="A3918" s="1033">
        <v>302806</v>
      </c>
      <c r="B3918" s="129">
        <v>0</v>
      </c>
      <c r="E3918" s="130"/>
    </row>
    <row r="3919" spans="1:9" x14ac:dyDescent="0.25">
      <c r="A3919" s="1033">
        <v>302808</v>
      </c>
      <c r="B3919" s="129">
        <v>0</v>
      </c>
      <c r="E3919" s="130"/>
    </row>
    <row r="3920" spans="1:9" x14ac:dyDescent="0.25">
      <c r="A3920" s="1033">
        <v>302810</v>
      </c>
      <c r="B3920" s="129">
        <v>0</v>
      </c>
      <c r="E3920" s="130"/>
    </row>
    <row r="3921" spans="1:9" x14ac:dyDescent="0.25">
      <c r="A3921" s="1033">
        <v>302812</v>
      </c>
      <c r="B3921" s="129">
        <v>0</v>
      </c>
      <c r="E3921" s="130"/>
    </row>
    <row r="3922" spans="1:9" x14ac:dyDescent="0.25">
      <c r="A3922" s="1033">
        <v>302814</v>
      </c>
      <c r="B3922" s="129">
        <v>0</v>
      </c>
      <c r="E3922" s="130"/>
    </row>
    <row r="3923" spans="1:9" x14ac:dyDescent="0.25">
      <c r="A3923" s="1033">
        <v>302816</v>
      </c>
      <c r="B3923" s="129">
        <v>0</v>
      </c>
      <c r="E3923" s="130"/>
    </row>
    <row r="3924" spans="1:9" x14ac:dyDescent="0.25">
      <c r="A3924" s="1033">
        <v>302818</v>
      </c>
      <c r="B3924" s="129">
        <v>0</v>
      </c>
      <c r="E3924" s="130"/>
    </row>
    <row r="3925" spans="1:9" x14ac:dyDescent="0.25">
      <c r="A3925" s="1033">
        <v>302904</v>
      </c>
      <c r="B3925" s="129">
        <v>0</v>
      </c>
      <c r="E3925" s="130"/>
    </row>
    <row r="3926" spans="1:9" x14ac:dyDescent="0.25">
      <c r="A3926" s="1033">
        <v>302906</v>
      </c>
      <c r="B3926" s="129">
        <v>0</v>
      </c>
      <c r="E3926" s="130"/>
    </row>
    <row r="3927" spans="1:9" x14ac:dyDescent="0.25">
      <c r="A3927" s="1033">
        <v>302908</v>
      </c>
      <c r="B3927" s="129">
        <v>0</v>
      </c>
      <c r="E3927" s="130"/>
    </row>
    <row r="3928" spans="1:9" x14ac:dyDescent="0.25">
      <c r="A3928" s="1033">
        <v>302910</v>
      </c>
      <c r="B3928" s="129">
        <v>0</v>
      </c>
      <c r="E3928" s="130"/>
    </row>
    <row r="3929" spans="1:9" x14ac:dyDescent="0.25">
      <c r="A3929" s="1033">
        <v>302912</v>
      </c>
      <c r="B3929" s="129">
        <v>0</v>
      </c>
      <c r="E3929" s="130"/>
    </row>
    <row r="3930" spans="1:9" x14ac:dyDescent="0.25">
      <c r="A3930" s="1033">
        <v>302914</v>
      </c>
      <c r="B3930" s="129">
        <v>0</v>
      </c>
      <c r="E3930" s="130"/>
    </row>
    <row r="3931" spans="1:9" x14ac:dyDescent="0.25">
      <c r="A3931" s="1033">
        <v>302916</v>
      </c>
      <c r="B3931" s="129">
        <v>0</v>
      </c>
      <c r="E3931" s="130"/>
    </row>
    <row r="3932" spans="1:9" x14ac:dyDescent="0.25">
      <c r="A3932" s="1033">
        <v>302918</v>
      </c>
      <c r="B3932" s="129">
        <v>0</v>
      </c>
      <c r="E3932" s="130"/>
    </row>
    <row r="3933" spans="1:9" x14ac:dyDescent="0.25">
      <c r="A3933" s="1033">
        <v>303004</v>
      </c>
      <c r="B3933" s="129">
        <v>96</v>
      </c>
      <c r="C3933" s="130" t="s">
        <v>1624</v>
      </c>
      <c r="D3933" s="130">
        <v>16</v>
      </c>
      <c r="E3933" s="130" t="s">
        <v>1624</v>
      </c>
      <c r="F3933" s="1031">
        <v>0</v>
      </c>
      <c r="G3933" s="1031">
        <v>95.79</v>
      </c>
      <c r="H3933" s="1031">
        <v>95.79</v>
      </c>
      <c r="I3933" s="1032" t="s">
        <v>1625</v>
      </c>
    </row>
    <row r="3934" spans="1:9" x14ac:dyDescent="0.25">
      <c r="A3934" s="1033">
        <v>303006</v>
      </c>
      <c r="B3934" s="129">
        <v>96</v>
      </c>
      <c r="C3934" s="130" t="s">
        <v>1624</v>
      </c>
      <c r="D3934" s="130">
        <v>16</v>
      </c>
      <c r="E3934" s="130" t="s">
        <v>1624</v>
      </c>
      <c r="F3934" s="1031">
        <v>0</v>
      </c>
      <c r="G3934" s="1031">
        <v>95.79</v>
      </c>
      <c r="H3934" s="1031">
        <v>95.79</v>
      </c>
      <c r="I3934" s="1032" t="s">
        <v>1625</v>
      </c>
    </row>
    <row r="3935" spans="1:9" x14ac:dyDescent="0.25">
      <c r="A3935" s="1033">
        <v>303008</v>
      </c>
      <c r="B3935" s="129">
        <v>1118</v>
      </c>
      <c r="C3935" s="130" t="s">
        <v>1626</v>
      </c>
      <c r="D3935" s="130">
        <v>16</v>
      </c>
      <c r="E3935" s="130" t="s">
        <v>1626</v>
      </c>
      <c r="F3935" s="1031">
        <v>0</v>
      </c>
      <c r="G3935" s="1031">
        <v>1117.82</v>
      </c>
      <c r="H3935" s="1031">
        <v>1117.82</v>
      </c>
      <c r="I3935" s="1032" t="s">
        <v>1627</v>
      </c>
    </row>
    <row r="3936" spans="1:9" x14ac:dyDescent="0.25">
      <c r="A3936" s="1033">
        <v>303010</v>
      </c>
      <c r="B3936" s="129">
        <v>1118</v>
      </c>
      <c r="C3936" s="130" t="s">
        <v>1626</v>
      </c>
      <c r="D3936" s="130">
        <v>16</v>
      </c>
      <c r="E3936" s="130" t="s">
        <v>1626</v>
      </c>
      <c r="F3936" s="1031">
        <v>0</v>
      </c>
      <c r="G3936" s="1031">
        <v>1117.82</v>
      </c>
      <c r="H3936" s="1031">
        <v>1117.82</v>
      </c>
      <c r="I3936" s="1032" t="s">
        <v>1627</v>
      </c>
    </row>
    <row r="3937" spans="1:9" x14ac:dyDescent="0.25">
      <c r="A3937" s="1033">
        <v>303012</v>
      </c>
      <c r="B3937" s="129">
        <v>0</v>
      </c>
      <c r="E3937" s="130"/>
    </row>
    <row r="3938" spans="1:9" x14ac:dyDescent="0.25">
      <c r="A3938" s="1033">
        <v>303014</v>
      </c>
      <c r="B3938" s="129">
        <v>0</v>
      </c>
      <c r="E3938" s="130"/>
    </row>
    <row r="3939" spans="1:9" x14ac:dyDescent="0.25">
      <c r="A3939" s="1033">
        <v>303016</v>
      </c>
      <c r="B3939" s="129">
        <v>0</v>
      </c>
      <c r="E3939" s="130"/>
    </row>
    <row r="3940" spans="1:9" x14ac:dyDescent="0.25">
      <c r="A3940" s="1033">
        <v>303018</v>
      </c>
      <c r="B3940" s="129">
        <v>0</v>
      </c>
      <c r="E3940" s="130"/>
    </row>
    <row r="3941" spans="1:9" x14ac:dyDescent="0.25">
      <c r="A3941" s="1033">
        <v>303104</v>
      </c>
      <c r="B3941" s="129">
        <v>4596</v>
      </c>
      <c r="C3941" s="130" t="s">
        <v>1628</v>
      </c>
      <c r="D3941" s="130">
        <v>16</v>
      </c>
      <c r="E3941" s="130" t="s">
        <v>1628</v>
      </c>
      <c r="F3941" s="1031">
        <v>0</v>
      </c>
      <c r="G3941" s="1031">
        <v>4595.99</v>
      </c>
      <c r="H3941" s="1031">
        <v>4595.99</v>
      </c>
      <c r="I3941" s="1032" t="s">
        <v>1629</v>
      </c>
    </row>
    <row r="3942" spans="1:9" x14ac:dyDescent="0.25">
      <c r="A3942" s="1033">
        <v>303106</v>
      </c>
      <c r="B3942" s="129">
        <v>4596</v>
      </c>
      <c r="C3942" s="130" t="s">
        <v>1628</v>
      </c>
      <c r="D3942" s="130">
        <v>16</v>
      </c>
      <c r="E3942" s="130" t="s">
        <v>1628</v>
      </c>
      <c r="F3942" s="1031">
        <v>0</v>
      </c>
      <c r="G3942" s="1031">
        <v>4595.99</v>
      </c>
      <c r="H3942" s="1031">
        <v>4595.99</v>
      </c>
      <c r="I3942" s="1032" t="s">
        <v>1629</v>
      </c>
    </row>
    <row r="3943" spans="1:9" x14ac:dyDescent="0.25">
      <c r="A3943" s="1033">
        <v>303108</v>
      </c>
      <c r="B3943" s="129">
        <v>1550</v>
      </c>
      <c r="C3943" s="130" t="s">
        <v>1630</v>
      </c>
      <c r="D3943" s="130">
        <v>16</v>
      </c>
      <c r="E3943" s="130" t="s">
        <v>1630</v>
      </c>
      <c r="F3943" s="1031">
        <v>0</v>
      </c>
      <c r="G3943" s="1031">
        <v>1549.78</v>
      </c>
      <c r="H3943" s="1031">
        <v>1549.78</v>
      </c>
      <c r="I3943" s="1032" t="s">
        <v>1631</v>
      </c>
    </row>
    <row r="3944" spans="1:9" x14ac:dyDescent="0.25">
      <c r="A3944" s="1033">
        <v>303110</v>
      </c>
      <c r="B3944" s="129">
        <v>1550</v>
      </c>
      <c r="C3944" s="130" t="s">
        <v>1630</v>
      </c>
      <c r="D3944" s="130">
        <v>16</v>
      </c>
      <c r="E3944" s="130" t="s">
        <v>1630</v>
      </c>
      <c r="F3944" s="1031">
        <v>0</v>
      </c>
      <c r="G3944" s="1031">
        <v>1549.78</v>
      </c>
      <c r="H3944" s="1031">
        <v>1549.78</v>
      </c>
      <c r="I3944" s="1032" t="s">
        <v>1631</v>
      </c>
    </row>
    <row r="3945" spans="1:9" x14ac:dyDescent="0.25">
      <c r="A3945" s="1033">
        <v>303112</v>
      </c>
      <c r="B3945" s="129">
        <v>0</v>
      </c>
      <c r="E3945" s="130"/>
    </row>
    <row r="3946" spans="1:9" x14ac:dyDescent="0.25">
      <c r="A3946" s="1033">
        <v>303114</v>
      </c>
      <c r="B3946" s="129">
        <v>0</v>
      </c>
      <c r="E3946" s="130"/>
    </row>
    <row r="3947" spans="1:9" x14ac:dyDescent="0.25">
      <c r="A3947" s="1033">
        <v>303116</v>
      </c>
      <c r="B3947" s="129">
        <v>0</v>
      </c>
      <c r="E3947" s="130"/>
    </row>
    <row r="3948" spans="1:9" x14ac:dyDescent="0.25">
      <c r="A3948" s="1033">
        <v>303118</v>
      </c>
      <c r="B3948" s="129">
        <v>0</v>
      </c>
      <c r="E3948" s="130"/>
    </row>
    <row r="3949" spans="1:9" x14ac:dyDescent="0.25">
      <c r="A3949" s="1033">
        <v>303204</v>
      </c>
      <c r="B3949" s="129">
        <v>3487</v>
      </c>
      <c r="C3949" s="130" t="s">
        <v>1632</v>
      </c>
      <c r="D3949" s="130">
        <v>16</v>
      </c>
      <c r="E3949" s="130" t="s">
        <v>1632</v>
      </c>
      <c r="F3949" s="1031">
        <v>0</v>
      </c>
      <c r="G3949" s="1031">
        <v>3486.68</v>
      </c>
      <c r="H3949" s="1031">
        <v>3486.68</v>
      </c>
      <c r="I3949" s="1032" t="s">
        <v>1633</v>
      </c>
    </row>
    <row r="3950" spans="1:9" x14ac:dyDescent="0.25">
      <c r="A3950" s="1033">
        <v>303206</v>
      </c>
      <c r="B3950" s="129">
        <v>3487</v>
      </c>
      <c r="C3950" s="130" t="s">
        <v>1632</v>
      </c>
      <c r="D3950" s="130">
        <v>16</v>
      </c>
      <c r="E3950" s="130" t="s">
        <v>1632</v>
      </c>
      <c r="F3950" s="1031">
        <v>0</v>
      </c>
      <c r="G3950" s="1031">
        <v>3486.68</v>
      </c>
      <c r="H3950" s="1031">
        <v>3486.68</v>
      </c>
      <c r="I3950" s="1032" t="s">
        <v>1633</v>
      </c>
    </row>
    <row r="3951" spans="1:9" x14ac:dyDescent="0.25">
      <c r="A3951" s="1033">
        <v>303208</v>
      </c>
      <c r="B3951" s="129">
        <v>775</v>
      </c>
      <c r="C3951" s="130" t="s">
        <v>1634</v>
      </c>
      <c r="D3951" s="130">
        <v>16</v>
      </c>
      <c r="E3951" s="130" t="s">
        <v>1634</v>
      </c>
      <c r="F3951" s="1031">
        <v>0</v>
      </c>
      <c r="G3951" s="1031">
        <v>774.84</v>
      </c>
      <c r="H3951" s="1031">
        <v>774.84</v>
      </c>
      <c r="I3951" s="1032" t="s">
        <v>1635</v>
      </c>
    </row>
    <row r="3952" spans="1:9" x14ac:dyDescent="0.25">
      <c r="A3952" s="1033">
        <v>303210</v>
      </c>
      <c r="B3952" s="129">
        <v>775</v>
      </c>
      <c r="C3952" s="130" t="s">
        <v>1634</v>
      </c>
      <c r="D3952" s="130">
        <v>16</v>
      </c>
      <c r="E3952" s="130" t="s">
        <v>1634</v>
      </c>
      <c r="F3952" s="1031">
        <v>0</v>
      </c>
      <c r="G3952" s="1031">
        <v>774.84</v>
      </c>
      <c r="H3952" s="1031">
        <v>774.84</v>
      </c>
      <c r="I3952" s="1032" t="s">
        <v>1635</v>
      </c>
    </row>
    <row r="3953" spans="1:9" x14ac:dyDescent="0.25">
      <c r="A3953" s="1033">
        <v>303212</v>
      </c>
      <c r="B3953" s="129">
        <v>0</v>
      </c>
      <c r="E3953" s="130"/>
    </row>
    <row r="3954" spans="1:9" x14ac:dyDescent="0.25">
      <c r="A3954" s="1033">
        <v>303214</v>
      </c>
      <c r="B3954" s="129">
        <v>0</v>
      </c>
      <c r="E3954" s="130"/>
    </row>
    <row r="3955" spans="1:9" x14ac:dyDescent="0.25">
      <c r="A3955" s="1033">
        <v>303216</v>
      </c>
      <c r="B3955" s="129">
        <v>0</v>
      </c>
      <c r="E3955" s="130"/>
    </row>
    <row r="3956" spans="1:9" x14ac:dyDescent="0.25">
      <c r="A3956" s="1033">
        <v>303218</v>
      </c>
      <c r="B3956" s="129">
        <v>0</v>
      </c>
      <c r="E3956" s="130"/>
    </row>
    <row r="3957" spans="1:9" x14ac:dyDescent="0.25">
      <c r="A3957" s="1033">
        <v>303304</v>
      </c>
      <c r="B3957" s="129">
        <v>725</v>
      </c>
      <c r="C3957" s="130" t="s">
        <v>1636</v>
      </c>
      <c r="D3957" s="130">
        <v>16</v>
      </c>
      <c r="E3957" s="130" t="s">
        <v>1636</v>
      </c>
      <c r="F3957" s="1031">
        <v>0</v>
      </c>
      <c r="G3957" s="1031">
        <v>725.26</v>
      </c>
      <c r="H3957" s="1031">
        <v>725.26</v>
      </c>
      <c r="I3957" s="1032" t="s">
        <v>1637</v>
      </c>
    </row>
    <row r="3958" spans="1:9" x14ac:dyDescent="0.25">
      <c r="A3958" s="1033">
        <v>303306</v>
      </c>
      <c r="B3958" s="129">
        <v>725</v>
      </c>
      <c r="C3958" s="130" t="s">
        <v>1636</v>
      </c>
      <c r="D3958" s="130">
        <v>16</v>
      </c>
      <c r="E3958" s="130" t="s">
        <v>1636</v>
      </c>
      <c r="F3958" s="1031">
        <v>0</v>
      </c>
      <c r="G3958" s="1031">
        <v>725.26</v>
      </c>
      <c r="H3958" s="1031">
        <v>725.26</v>
      </c>
      <c r="I3958" s="1032" t="s">
        <v>1637</v>
      </c>
    </row>
    <row r="3959" spans="1:9" x14ac:dyDescent="0.25">
      <c r="A3959" s="1033">
        <v>303308</v>
      </c>
      <c r="B3959" s="129">
        <v>163</v>
      </c>
      <c r="C3959" s="130" t="s">
        <v>1638</v>
      </c>
      <c r="D3959" s="130">
        <v>16</v>
      </c>
      <c r="E3959" s="130" t="s">
        <v>1638</v>
      </c>
      <c r="F3959" s="1031">
        <v>0</v>
      </c>
      <c r="G3959" s="1031">
        <v>163.22999999999999</v>
      </c>
      <c r="H3959" s="1031">
        <v>163.22999999999999</v>
      </c>
      <c r="I3959" s="1032" t="s">
        <v>1639</v>
      </c>
    </row>
    <row r="3960" spans="1:9" x14ac:dyDescent="0.25">
      <c r="A3960" s="1033">
        <v>303310</v>
      </c>
      <c r="B3960" s="129">
        <v>163</v>
      </c>
      <c r="C3960" s="130" t="s">
        <v>1638</v>
      </c>
      <c r="D3960" s="130">
        <v>16</v>
      </c>
      <c r="E3960" s="130" t="s">
        <v>1638</v>
      </c>
      <c r="F3960" s="1031">
        <v>0</v>
      </c>
      <c r="G3960" s="1031">
        <v>163.22999999999999</v>
      </c>
      <c r="H3960" s="1031">
        <v>163.22999999999999</v>
      </c>
      <c r="I3960" s="1032" t="s">
        <v>1639</v>
      </c>
    </row>
    <row r="3961" spans="1:9" x14ac:dyDescent="0.25">
      <c r="A3961" s="1033">
        <v>303312</v>
      </c>
      <c r="B3961" s="129">
        <v>0</v>
      </c>
      <c r="E3961" s="130"/>
    </row>
    <row r="3962" spans="1:9" x14ac:dyDescent="0.25">
      <c r="A3962" s="1033">
        <v>303314</v>
      </c>
      <c r="B3962" s="129">
        <v>0</v>
      </c>
      <c r="E3962" s="130"/>
    </row>
    <row r="3963" spans="1:9" x14ac:dyDescent="0.25">
      <c r="A3963" s="1033">
        <v>303316</v>
      </c>
      <c r="B3963" s="129">
        <v>0</v>
      </c>
      <c r="E3963" s="130"/>
    </row>
    <row r="3964" spans="1:9" x14ac:dyDescent="0.25">
      <c r="A3964" s="1033">
        <v>303318</v>
      </c>
      <c r="B3964" s="129">
        <v>0</v>
      </c>
      <c r="E3964" s="130"/>
    </row>
    <row r="3965" spans="1:9" x14ac:dyDescent="0.25">
      <c r="A3965" s="1033">
        <v>303404</v>
      </c>
      <c r="B3965" s="129">
        <v>159</v>
      </c>
      <c r="C3965" s="130" t="s">
        <v>1640</v>
      </c>
      <c r="D3965" s="130">
        <v>16</v>
      </c>
      <c r="E3965" s="130" t="s">
        <v>1640</v>
      </c>
      <c r="F3965" s="1031">
        <v>0</v>
      </c>
      <c r="G3965" s="1031">
        <v>158.85</v>
      </c>
      <c r="H3965" s="1031">
        <v>158.85</v>
      </c>
      <c r="I3965" s="1032" t="s">
        <v>1641</v>
      </c>
    </row>
    <row r="3966" spans="1:9" x14ac:dyDescent="0.25">
      <c r="A3966" s="1033">
        <v>303406</v>
      </c>
      <c r="B3966" s="129">
        <v>159</v>
      </c>
      <c r="C3966" s="130" t="s">
        <v>1640</v>
      </c>
      <c r="D3966" s="130">
        <v>16</v>
      </c>
      <c r="E3966" s="130" t="s">
        <v>1640</v>
      </c>
      <c r="F3966" s="1031">
        <v>0</v>
      </c>
      <c r="G3966" s="1031">
        <v>158.85</v>
      </c>
      <c r="H3966" s="1031">
        <v>158.85</v>
      </c>
      <c r="I3966" s="1032" t="s">
        <v>1641</v>
      </c>
    </row>
    <row r="3967" spans="1:9" x14ac:dyDescent="0.25">
      <c r="A3967" s="1033">
        <v>303408</v>
      </c>
      <c r="B3967" s="129">
        <v>35</v>
      </c>
      <c r="C3967" s="130" t="s">
        <v>1642</v>
      </c>
      <c r="D3967" s="130">
        <v>16</v>
      </c>
      <c r="E3967" s="130" t="s">
        <v>1642</v>
      </c>
      <c r="F3967" s="1031">
        <v>0</v>
      </c>
      <c r="G3967" s="1031">
        <v>35.299999999999997</v>
      </c>
      <c r="H3967" s="1031">
        <v>35.299999999999997</v>
      </c>
      <c r="I3967" s="1032" t="s">
        <v>1643</v>
      </c>
    </row>
    <row r="3968" spans="1:9" x14ac:dyDescent="0.25">
      <c r="A3968" s="1033">
        <v>303410</v>
      </c>
      <c r="B3968" s="129">
        <v>35</v>
      </c>
      <c r="C3968" s="130" t="s">
        <v>1642</v>
      </c>
      <c r="D3968" s="130">
        <v>16</v>
      </c>
      <c r="E3968" s="130" t="s">
        <v>1642</v>
      </c>
      <c r="F3968" s="1031">
        <v>0</v>
      </c>
      <c r="G3968" s="1031">
        <v>35.299999999999997</v>
      </c>
      <c r="H3968" s="1031">
        <v>35.299999999999997</v>
      </c>
      <c r="I3968" s="1032" t="s">
        <v>1643</v>
      </c>
    </row>
    <row r="3969" spans="1:9" x14ac:dyDescent="0.25">
      <c r="A3969" s="1033">
        <v>303412</v>
      </c>
      <c r="B3969" s="129">
        <v>0</v>
      </c>
      <c r="E3969" s="130"/>
    </row>
    <row r="3970" spans="1:9" x14ac:dyDescent="0.25">
      <c r="A3970" s="1033">
        <v>303414</v>
      </c>
      <c r="B3970" s="129">
        <v>0</v>
      </c>
      <c r="E3970" s="130"/>
    </row>
    <row r="3971" spans="1:9" x14ac:dyDescent="0.25">
      <c r="A3971" s="1033">
        <v>303416</v>
      </c>
      <c r="B3971" s="129">
        <v>0</v>
      </c>
      <c r="E3971" s="130"/>
    </row>
    <row r="3972" spans="1:9" x14ac:dyDescent="0.25">
      <c r="A3972" s="1033">
        <v>303418</v>
      </c>
      <c r="B3972" s="129">
        <v>0</v>
      </c>
      <c r="E3972" s="130"/>
    </row>
    <row r="3973" spans="1:9" x14ac:dyDescent="0.25">
      <c r="A3973" s="1033">
        <v>303504</v>
      </c>
      <c r="B3973" s="129">
        <v>2838</v>
      </c>
      <c r="C3973" s="130" t="s">
        <v>1644</v>
      </c>
      <c r="D3973" s="130">
        <v>16</v>
      </c>
      <c r="E3973" s="130" t="s">
        <v>1644</v>
      </c>
      <c r="F3973" s="1031">
        <v>0</v>
      </c>
      <c r="G3973" s="1031">
        <v>2838.3</v>
      </c>
      <c r="H3973" s="1031">
        <v>2838.3</v>
      </c>
      <c r="I3973" s="1032" t="s">
        <v>1645</v>
      </c>
    </row>
    <row r="3974" spans="1:9" x14ac:dyDescent="0.25">
      <c r="A3974" s="1033">
        <v>303506</v>
      </c>
      <c r="B3974" s="129">
        <v>2838</v>
      </c>
      <c r="C3974" s="130" t="s">
        <v>1644</v>
      </c>
      <c r="D3974" s="130">
        <v>16</v>
      </c>
      <c r="E3974" s="130" t="s">
        <v>1644</v>
      </c>
      <c r="F3974" s="1031">
        <v>0</v>
      </c>
      <c r="G3974" s="1031">
        <v>2838.3</v>
      </c>
      <c r="H3974" s="1031">
        <v>2838.3</v>
      </c>
      <c r="I3974" s="1032" t="s">
        <v>1645</v>
      </c>
    </row>
    <row r="3975" spans="1:9" x14ac:dyDescent="0.25">
      <c r="A3975" s="1033">
        <v>303508</v>
      </c>
      <c r="B3975" s="129">
        <v>631</v>
      </c>
      <c r="C3975" s="130" t="s">
        <v>1646</v>
      </c>
      <c r="D3975" s="130">
        <v>16</v>
      </c>
      <c r="E3975" s="130" t="s">
        <v>1646</v>
      </c>
      <c r="F3975" s="1031">
        <v>0</v>
      </c>
      <c r="G3975" s="1031">
        <v>630.73</v>
      </c>
      <c r="H3975" s="1031">
        <v>630.73</v>
      </c>
      <c r="I3975" s="1032" t="s">
        <v>1647</v>
      </c>
    </row>
    <row r="3976" spans="1:9" x14ac:dyDescent="0.25">
      <c r="A3976" s="1033">
        <v>303510</v>
      </c>
      <c r="B3976" s="129">
        <v>631</v>
      </c>
      <c r="C3976" s="130" t="s">
        <v>1646</v>
      </c>
      <c r="D3976" s="130">
        <v>16</v>
      </c>
      <c r="E3976" s="130" t="s">
        <v>1646</v>
      </c>
      <c r="F3976" s="1031">
        <v>0</v>
      </c>
      <c r="G3976" s="1031">
        <v>630.73</v>
      </c>
      <c r="H3976" s="1031">
        <v>630.73</v>
      </c>
      <c r="I3976" s="1032" t="s">
        <v>1647</v>
      </c>
    </row>
    <row r="3977" spans="1:9" x14ac:dyDescent="0.25">
      <c r="A3977" s="1033">
        <v>303512</v>
      </c>
      <c r="B3977" s="129">
        <v>0</v>
      </c>
      <c r="E3977" s="130"/>
    </row>
    <row r="3978" spans="1:9" x14ac:dyDescent="0.25">
      <c r="A3978" s="1033">
        <v>303514</v>
      </c>
      <c r="B3978" s="129">
        <v>0</v>
      </c>
      <c r="E3978" s="130"/>
    </row>
    <row r="3979" spans="1:9" x14ac:dyDescent="0.25">
      <c r="A3979" s="1033">
        <v>303516</v>
      </c>
      <c r="B3979" s="129">
        <v>0</v>
      </c>
      <c r="E3979" s="130"/>
    </row>
    <row r="3980" spans="1:9" x14ac:dyDescent="0.25">
      <c r="A3980" s="1033">
        <v>303518</v>
      </c>
      <c r="B3980" s="129">
        <v>0</v>
      </c>
      <c r="E3980" s="130"/>
    </row>
    <row r="3981" spans="1:9" x14ac:dyDescent="0.25">
      <c r="A3981" s="1033">
        <v>303604</v>
      </c>
      <c r="B3981" s="129">
        <v>528</v>
      </c>
      <c r="C3981" s="130" t="s">
        <v>1648</v>
      </c>
      <c r="D3981" s="130">
        <v>16</v>
      </c>
      <c r="E3981" s="130" t="s">
        <v>1648</v>
      </c>
      <c r="F3981" s="1031">
        <v>0</v>
      </c>
      <c r="G3981" s="1031">
        <v>527.77</v>
      </c>
      <c r="H3981" s="1031">
        <v>527.77</v>
      </c>
      <c r="I3981" s="1032" t="s">
        <v>1649</v>
      </c>
    </row>
    <row r="3982" spans="1:9" x14ac:dyDescent="0.25">
      <c r="A3982" s="1033">
        <v>303606</v>
      </c>
      <c r="B3982" s="129">
        <v>528</v>
      </c>
      <c r="C3982" s="130" t="s">
        <v>1648</v>
      </c>
      <c r="D3982" s="130">
        <v>16</v>
      </c>
      <c r="E3982" s="130" t="s">
        <v>1648</v>
      </c>
      <c r="F3982" s="1031">
        <v>0</v>
      </c>
      <c r="G3982" s="1031">
        <v>527.77</v>
      </c>
      <c r="H3982" s="1031">
        <v>527.77</v>
      </c>
      <c r="I3982" s="1032" t="s">
        <v>1649</v>
      </c>
    </row>
    <row r="3983" spans="1:9" x14ac:dyDescent="0.25">
      <c r="A3983" s="1033">
        <v>303608</v>
      </c>
      <c r="B3983" s="129">
        <v>142</v>
      </c>
      <c r="C3983" s="130" t="s">
        <v>1650</v>
      </c>
      <c r="D3983" s="130">
        <v>16</v>
      </c>
      <c r="E3983" s="130" t="s">
        <v>1650</v>
      </c>
      <c r="F3983" s="1031">
        <v>0</v>
      </c>
      <c r="G3983" s="1031">
        <v>141.87</v>
      </c>
      <c r="H3983" s="1031">
        <v>141.87</v>
      </c>
      <c r="I3983" s="1032" t="s">
        <v>1651</v>
      </c>
    </row>
    <row r="3984" spans="1:9" x14ac:dyDescent="0.25">
      <c r="A3984" s="1033">
        <v>303610</v>
      </c>
      <c r="B3984" s="129">
        <v>142</v>
      </c>
      <c r="C3984" s="130" t="s">
        <v>1650</v>
      </c>
      <c r="D3984" s="130">
        <v>16</v>
      </c>
      <c r="E3984" s="130" t="s">
        <v>1650</v>
      </c>
      <c r="F3984" s="1031">
        <v>0</v>
      </c>
      <c r="G3984" s="1031">
        <v>141.87</v>
      </c>
      <c r="H3984" s="1031">
        <v>141.87</v>
      </c>
      <c r="I3984" s="1032" t="s">
        <v>1651</v>
      </c>
    </row>
    <row r="3985" spans="1:9" x14ac:dyDescent="0.25">
      <c r="A3985" s="1033">
        <v>303612</v>
      </c>
      <c r="B3985" s="129">
        <v>0</v>
      </c>
      <c r="E3985" s="130"/>
    </row>
    <row r="3986" spans="1:9" x14ac:dyDescent="0.25">
      <c r="A3986" s="1033">
        <v>303614</v>
      </c>
      <c r="B3986" s="129">
        <v>0</v>
      </c>
      <c r="E3986" s="130"/>
    </row>
    <row r="3987" spans="1:9" x14ac:dyDescent="0.25">
      <c r="A3987" s="1033">
        <v>303616</v>
      </c>
      <c r="B3987" s="129">
        <v>0</v>
      </c>
      <c r="E3987" s="130"/>
    </row>
    <row r="3988" spans="1:9" x14ac:dyDescent="0.25">
      <c r="A3988" s="1033">
        <v>303618</v>
      </c>
      <c r="B3988" s="129">
        <v>0</v>
      </c>
      <c r="E3988" s="130"/>
    </row>
    <row r="3989" spans="1:9" x14ac:dyDescent="0.25">
      <c r="A3989" s="1033">
        <v>303704</v>
      </c>
      <c r="B3989" s="129">
        <v>141</v>
      </c>
      <c r="C3989" s="130" t="s">
        <v>1652</v>
      </c>
      <c r="D3989" s="130">
        <v>16</v>
      </c>
      <c r="E3989" s="130" t="s">
        <v>1652</v>
      </c>
      <c r="F3989" s="1031">
        <v>0</v>
      </c>
      <c r="G3989" s="1031">
        <v>141.22999999999999</v>
      </c>
      <c r="H3989" s="1031">
        <v>141.22999999999999</v>
      </c>
      <c r="I3989" s="1032" t="s">
        <v>1653</v>
      </c>
    </row>
    <row r="3990" spans="1:9" x14ac:dyDescent="0.25">
      <c r="A3990" s="1033">
        <v>303706</v>
      </c>
      <c r="B3990" s="129">
        <v>141</v>
      </c>
      <c r="C3990" s="130" t="s">
        <v>1652</v>
      </c>
      <c r="D3990" s="130">
        <v>16</v>
      </c>
      <c r="E3990" s="130" t="s">
        <v>1652</v>
      </c>
      <c r="F3990" s="1031">
        <v>0</v>
      </c>
      <c r="G3990" s="1031">
        <v>141.22999999999999</v>
      </c>
      <c r="H3990" s="1031">
        <v>141.22999999999999</v>
      </c>
      <c r="I3990" s="1032" t="s">
        <v>1653</v>
      </c>
    </row>
    <row r="3991" spans="1:9" x14ac:dyDescent="0.25">
      <c r="A3991" s="1033">
        <v>303708</v>
      </c>
      <c r="B3991" s="129">
        <v>31</v>
      </c>
      <c r="C3991" s="130" t="s">
        <v>1654</v>
      </c>
      <c r="D3991" s="130">
        <v>16</v>
      </c>
      <c r="E3991" s="130" t="s">
        <v>1654</v>
      </c>
      <c r="F3991" s="1031">
        <v>0</v>
      </c>
      <c r="G3991" s="1031">
        <v>31.38</v>
      </c>
      <c r="H3991" s="1031">
        <v>31.38</v>
      </c>
      <c r="I3991" s="1032" t="s">
        <v>1655</v>
      </c>
    </row>
    <row r="3992" spans="1:9" x14ac:dyDescent="0.25">
      <c r="A3992" s="1033">
        <v>303710</v>
      </c>
      <c r="B3992" s="129">
        <v>31</v>
      </c>
      <c r="C3992" s="130" t="s">
        <v>1654</v>
      </c>
      <c r="D3992" s="130">
        <v>16</v>
      </c>
      <c r="E3992" s="130" t="s">
        <v>1654</v>
      </c>
      <c r="F3992" s="1031">
        <v>0</v>
      </c>
      <c r="G3992" s="1031">
        <v>31.38</v>
      </c>
      <c r="H3992" s="1031">
        <v>31.38</v>
      </c>
      <c r="I3992" s="1032" t="s">
        <v>1655</v>
      </c>
    </row>
    <row r="3993" spans="1:9" x14ac:dyDescent="0.25">
      <c r="A3993" s="1033">
        <v>303712</v>
      </c>
      <c r="B3993" s="129">
        <v>0</v>
      </c>
      <c r="E3993" s="130"/>
    </row>
    <row r="3994" spans="1:9" x14ac:dyDescent="0.25">
      <c r="A3994" s="1033">
        <v>303714</v>
      </c>
      <c r="B3994" s="129">
        <v>0</v>
      </c>
      <c r="E3994" s="130"/>
    </row>
    <row r="3995" spans="1:9" x14ac:dyDescent="0.25">
      <c r="A3995" s="1033">
        <v>303716</v>
      </c>
      <c r="B3995" s="129">
        <v>0</v>
      </c>
      <c r="E3995" s="130"/>
    </row>
    <row r="3996" spans="1:9" x14ac:dyDescent="0.25">
      <c r="A3996" s="1033">
        <v>303718</v>
      </c>
      <c r="B3996" s="129">
        <v>0</v>
      </c>
      <c r="E3996" s="130"/>
    </row>
    <row r="3997" spans="1:9" x14ac:dyDescent="0.25">
      <c r="A3997" s="1033">
        <v>303804</v>
      </c>
      <c r="B3997" s="129">
        <v>523</v>
      </c>
      <c r="C3997" s="130" t="s">
        <v>1656</v>
      </c>
      <c r="D3997" s="130">
        <v>16</v>
      </c>
      <c r="E3997" s="130" t="s">
        <v>1656</v>
      </c>
      <c r="F3997" s="1031">
        <v>0</v>
      </c>
      <c r="G3997" s="1031">
        <v>523.35</v>
      </c>
      <c r="H3997" s="1031">
        <v>523.35</v>
      </c>
      <c r="I3997" s="1032" t="s">
        <v>1657</v>
      </c>
    </row>
    <row r="3998" spans="1:9" x14ac:dyDescent="0.25">
      <c r="A3998" s="1033">
        <v>303806</v>
      </c>
      <c r="B3998" s="129">
        <v>523</v>
      </c>
      <c r="C3998" s="130" t="s">
        <v>1656</v>
      </c>
      <c r="D3998" s="130">
        <v>16</v>
      </c>
      <c r="E3998" s="130" t="s">
        <v>1656</v>
      </c>
      <c r="F3998" s="1031">
        <v>0</v>
      </c>
      <c r="G3998" s="1031">
        <v>523.35</v>
      </c>
      <c r="H3998" s="1031">
        <v>523.35</v>
      </c>
      <c r="I3998" s="1032" t="s">
        <v>1657</v>
      </c>
    </row>
    <row r="3999" spans="1:9" x14ac:dyDescent="0.25">
      <c r="A3999" s="1033">
        <v>303808</v>
      </c>
      <c r="B3999" s="129">
        <v>116</v>
      </c>
      <c r="C3999" s="130" t="s">
        <v>1658</v>
      </c>
      <c r="D3999" s="130">
        <v>16</v>
      </c>
      <c r="E3999" s="130" t="s">
        <v>1658</v>
      </c>
      <c r="F3999" s="1031">
        <v>0</v>
      </c>
      <c r="G3999" s="1031">
        <v>116.3</v>
      </c>
      <c r="H3999" s="1031">
        <v>116.3</v>
      </c>
      <c r="I3999" s="1032" t="s">
        <v>1659</v>
      </c>
    </row>
    <row r="4000" spans="1:9" x14ac:dyDescent="0.25">
      <c r="A4000" s="1033">
        <v>303810</v>
      </c>
      <c r="B4000" s="129">
        <v>116</v>
      </c>
      <c r="C4000" s="130" t="s">
        <v>1658</v>
      </c>
      <c r="D4000" s="130">
        <v>16</v>
      </c>
      <c r="E4000" s="130" t="s">
        <v>1658</v>
      </c>
      <c r="F4000" s="1031">
        <v>0</v>
      </c>
      <c r="G4000" s="1031">
        <v>116.3</v>
      </c>
      <c r="H4000" s="1031">
        <v>116.3</v>
      </c>
      <c r="I4000" s="1032" t="s">
        <v>1659</v>
      </c>
    </row>
    <row r="4001" spans="1:9" x14ac:dyDescent="0.25">
      <c r="A4001" s="1033">
        <v>303812</v>
      </c>
      <c r="B4001" s="129">
        <v>0</v>
      </c>
      <c r="E4001" s="130"/>
    </row>
    <row r="4002" spans="1:9" x14ac:dyDescent="0.25">
      <c r="A4002" s="1033">
        <v>303814</v>
      </c>
      <c r="B4002" s="129">
        <v>0</v>
      </c>
      <c r="E4002" s="130"/>
    </row>
    <row r="4003" spans="1:9" x14ac:dyDescent="0.25">
      <c r="A4003" s="1033">
        <v>303816</v>
      </c>
      <c r="B4003" s="129">
        <v>0</v>
      </c>
      <c r="E4003" s="130"/>
    </row>
    <row r="4004" spans="1:9" x14ac:dyDescent="0.25">
      <c r="A4004" s="1033">
        <v>303818</v>
      </c>
      <c r="B4004" s="129">
        <v>0</v>
      </c>
      <c r="E4004" s="130"/>
    </row>
    <row r="4005" spans="1:9" x14ac:dyDescent="0.25">
      <c r="A4005" s="1033">
        <v>303904</v>
      </c>
      <c r="B4005" s="129">
        <v>111</v>
      </c>
      <c r="C4005" s="130" t="s">
        <v>1660</v>
      </c>
      <c r="D4005" s="130">
        <v>16</v>
      </c>
      <c r="E4005" s="130" t="s">
        <v>1660</v>
      </c>
      <c r="F4005" s="1031">
        <v>0</v>
      </c>
      <c r="G4005" s="1031">
        <v>111.32</v>
      </c>
      <c r="H4005" s="1031">
        <v>111.32</v>
      </c>
      <c r="I4005" s="1032" t="s">
        <v>1661</v>
      </c>
    </row>
    <row r="4006" spans="1:9" x14ac:dyDescent="0.25">
      <c r="A4006" s="1033">
        <v>303906</v>
      </c>
      <c r="B4006" s="129">
        <v>111</v>
      </c>
      <c r="C4006" s="130" t="s">
        <v>1660</v>
      </c>
      <c r="D4006" s="130">
        <v>16</v>
      </c>
      <c r="E4006" s="130" t="s">
        <v>1660</v>
      </c>
      <c r="F4006" s="1031">
        <v>0</v>
      </c>
      <c r="G4006" s="1031">
        <v>111.32</v>
      </c>
      <c r="H4006" s="1031">
        <v>111.32</v>
      </c>
      <c r="I4006" s="1032" t="s">
        <v>1661</v>
      </c>
    </row>
    <row r="4007" spans="1:9" x14ac:dyDescent="0.25">
      <c r="A4007" s="1033">
        <v>303908</v>
      </c>
      <c r="B4007" s="129">
        <v>37</v>
      </c>
      <c r="C4007" s="130" t="s">
        <v>1662</v>
      </c>
      <c r="D4007" s="130">
        <v>16</v>
      </c>
      <c r="E4007" s="130" t="s">
        <v>1662</v>
      </c>
      <c r="F4007" s="1031">
        <v>0</v>
      </c>
      <c r="G4007" s="1031">
        <v>37.200000000000003</v>
      </c>
      <c r="H4007" s="1031">
        <v>37.200000000000003</v>
      </c>
      <c r="I4007" s="1032" t="s">
        <v>1663</v>
      </c>
    </row>
    <row r="4008" spans="1:9" x14ac:dyDescent="0.25">
      <c r="A4008" s="1033">
        <v>303910</v>
      </c>
      <c r="B4008" s="129">
        <v>37</v>
      </c>
      <c r="C4008" s="130" t="s">
        <v>1662</v>
      </c>
      <c r="D4008" s="130">
        <v>16</v>
      </c>
      <c r="E4008" s="130" t="s">
        <v>1662</v>
      </c>
      <c r="F4008" s="1031">
        <v>0</v>
      </c>
      <c r="G4008" s="1031">
        <v>37.200000000000003</v>
      </c>
      <c r="H4008" s="1031">
        <v>37.200000000000003</v>
      </c>
      <c r="I4008" s="1032" t="s">
        <v>1663</v>
      </c>
    </row>
    <row r="4009" spans="1:9" x14ac:dyDescent="0.25">
      <c r="A4009" s="1033">
        <v>303912</v>
      </c>
      <c r="B4009" s="129">
        <v>0</v>
      </c>
      <c r="E4009" s="130"/>
    </row>
    <row r="4010" spans="1:9" x14ac:dyDescent="0.25">
      <c r="A4010" s="1033">
        <v>303914</v>
      </c>
      <c r="B4010" s="129">
        <v>0</v>
      </c>
      <c r="E4010" s="130"/>
    </row>
    <row r="4011" spans="1:9" x14ac:dyDescent="0.25">
      <c r="A4011" s="1033">
        <v>303916</v>
      </c>
      <c r="B4011" s="129">
        <v>0</v>
      </c>
      <c r="E4011" s="130"/>
    </row>
    <row r="4012" spans="1:9" x14ac:dyDescent="0.25">
      <c r="A4012" s="1033">
        <v>303918</v>
      </c>
      <c r="B4012" s="129">
        <v>0</v>
      </c>
      <c r="E4012" s="130"/>
    </row>
    <row r="4013" spans="1:9" x14ac:dyDescent="0.25">
      <c r="A4013" s="1033">
        <v>304004</v>
      </c>
      <c r="B4013" s="129">
        <v>0</v>
      </c>
      <c r="E4013" s="130"/>
    </row>
    <row r="4014" spans="1:9" x14ac:dyDescent="0.25">
      <c r="A4014" s="1033">
        <v>304006</v>
      </c>
      <c r="B4014" s="129">
        <v>0</v>
      </c>
      <c r="E4014" s="130"/>
    </row>
    <row r="4015" spans="1:9" x14ac:dyDescent="0.25">
      <c r="A4015" s="1033">
        <v>304008</v>
      </c>
      <c r="B4015" s="129">
        <v>0</v>
      </c>
      <c r="E4015" s="130"/>
    </row>
    <row r="4016" spans="1:9" x14ac:dyDescent="0.25">
      <c r="A4016" s="1033">
        <v>304010</v>
      </c>
      <c r="B4016" s="129">
        <v>0</v>
      </c>
      <c r="E4016" s="130"/>
    </row>
    <row r="4017" spans="1:9" x14ac:dyDescent="0.25">
      <c r="A4017" s="1033">
        <v>304012</v>
      </c>
      <c r="B4017" s="129">
        <v>0</v>
      </c>
      <c r="E4017" s="130"/>
    </row>
    <row r="4018" spans="1:9" x14ac:dyDescent="0.25">
      <c r="A4018" s="1033">
        <v>304014</v>
      </c>
      <c r="B4018" s="129">
        <v>0</v>
      </c>
      <c r="E4018" s="130"/>
    </row>
    <row r="4019" spans="1:9" x14ac:dyDescent="0.25">
      <c r="A4019" s="1033">
        <v>304016</v>
      </c>
      <c r="B4019" s="129">
        <v>0</v>
      </c>
      <c r="E4019" s="130"/>
    </row>
    <row r="4020" spans="1:9" x14ac:dyDescent="0.25">
      <c r="A4020" s="1033">
        <v>304018</v>
      </c>
      <c r="B4020" s="129">
        <v>0</v>
      </c>
      <c r="E4020" s="130"/>
    </row>
    <row r="4021" spans="1:9" x14ac:dyDescent="0.25">
      <c r="A4021" s="1033">
        <v>304104</v>
      </c>
      <c r="B4021" s="129">
        <v>1961</v>
      </c>
      <c r="C4021" s="130" t="s">
        <v>1664</v>
      </c>
      <c r="D4021" s="130">
        <v>16</v>
      </c>
      <c r="E4021" s="130" t="s">
        <v>1664</v>
      </c>
      <c r="F4021" s="1031">
        <v>0</v>
      </c>
      <c r="G4021" s="1031">
        <v>1960.95</v>
      </c>
      <c r="H4021" s="1031">
        <v>1960.95</v>
      </c>
      <c r="I4021" s="1032" t="s">
        <v>1665</v>
      </c>
    </row>
    <row r="4022" spans="1:9" x14ac:dyDescent="0.25">
      <c r="A4022" s="1033">
        <v>304106</v>
      </c>
      <c r="B4022" s="129">
        <v>1961</v>
      </c>
      <c r="C4022" s="130" t="s">
        <v>1664</v>
      </c>
      <c r="D4022" s="130">
        <v>16</v>
      </c>
      <c r="E4022" s="130" t="s">
        <v>1664</v>
      </c>
      <c r="F4022" s="1031">
        <v>0</v>
      </c>
      <c r="G4022" s="1031">
        <v>1960.95</v>
      </c>
      <c r="H4022" s="1031">
        <v>1960.95</v>
      </c>
      <c r="I4022" s="1032" t="s">
        <v>1665</v>
      </c>
    </row>
    <row r="4023" spans="1:9" x14ac:dyDescent="0.25">
      <c r="A4023" s="1033">
        <v>304108</v>
      </c>
      <c r="B4023" s="129">
        <v>436</v>
      </c>
      <c r="C4023" s="130" t="s">
        <v>1666</v>
      </c>
      <c r="D4023" s="130">
        <v>16</v>
      </c>
      <c r="E4023" s="130" t="s">
        <v>1666</v>
      </c>
      <c r="F4023" s="1031">
        <v>0</v>
      </c>
      <c r="G4023" s="1031">
        <v>435.77</v>
      </c>
      <c r="H4023" s="1031">
        <v>435.77</v>
      </c>
      <c r="I4023" s="1032" t="s">
        <v>1667</v>
      </c>
    </row>
    <row r="4024" spans="1:9" x14ac:dyDescent="0.25">
      <c r="A4024" s="1033">
        <v>304110</v>
      </c>
      <c r="B4024" s="129">
        <v>436</v>
      </c>
      <c r="C4024" s="130" t="s">
        <v>1666</v>
      </c>
      <c r="D4024" s="130">
        <v>16</v>
      </c>
      <c r="E4024" s="130" t="s">
        <v>1666</v>
      </c>
      <c r="F4024" s="1031">
        <v>0</v>
      </c>
      <c r="G4024" s="1031">
        <v>435.77</v>
      </c>
      <c r="H4024" s="1031">
        <v>435.77</v>
      </c>
      <c r="I4024" s="1032" t="s">
        <v>1667</v>
      </c>
    </row>
    <row r="4025" spans="1:9" x14ac:dyDescent="0.25">
      <c r="A4025" s="1033">
        <v>304112</v>
      </c>
      <c r="B4025" s="129">
        <v>0</v>
      </c>
      <c r="E4025" s="130"/>
    </row>
    <row r="4026" spans="1:9" x14ac:dyDescent="0.25">
      <c r="A4026" s="1033">
        <v>304114</v>
      </c>
      <c r="B4026" s="129">
        <v>0</v>
      </c>
      <c r="E4026" s="130"/>
    </row>
    <row r="4027" spans="1:9" x14ac:dyDescent="0.25">
      <c r="A4027" s="1033">
        <v>304116</v>
      </c>
      <c r="B4027" s="129">
        <v>0</v>
      </c>
      <c r="E4027" s="130"/>
    </row>
    <row r="4028" spans="1:9" x14ac:dyDescent="0.25">
      <c r="A4028" s="1033">
        <v>304118</v>
      </c>
      <c r="B4028" s="129">
        <v>0</v>
      </c>
      <c r="E4028" s="130"/>
    </row>
    <row r="4029" spans="1:9" x14ac:dyDescent="0.25">
      <c r="A4029" s="1033">
        <v>304204</v>
      </c>
      <c r="B4029" s="129">
        <v>0</v>
      </c>
      <c r="E4029" s="130"/>
    </row>
    <row r="4030" spans="1:9" x14ac:dyDescent="0.25">
      <c r="A4030" s="1033">
        <v>304206</v>
      </c>
      <c r="B4030" s="129">
        <v>0</v>
      </c>
      <c r="E4030" s="130"/>
    </row>
    <row r="4031" spans="1:9" x14ac:dyDescent="0.25">
      <c r="A4031" s="1033">
        <v>304208</v>
      </c>
      <c r="B4031" s="129">
        <v>0</v>
      </c>
      <c r="E4031" s="130"/>
    </row>
    <row r="4032" spans="1:9" x14ac:dyDescent="0.25">
      <c r="A4032" s="1033">
        <v>304210</v>
      </c>
      <c r="B4032" s="129">
        <v>0</v>
      </c>
      <c r="E4032" s="130"/>
    </row>
    <row r="4033" spans="1:9" x14ac:dyDescent="0.25">
      <c r="A4033" s="1033">
        <v>304212</v>
      </c>
      <c r="B4033" s="129">
        <v>0</v>
      </c>
      <c r="E4033" s="130"/>
    </row>
    <row r="4034" spans="1:9" x14ac:dyDescent="0.25">
      <c r="A4034" s="1033">
        <v>304214</v>
      </c>
      <c r="B4034" s="129">
        <v>0</v>
      </c>
      <c r="E4034" s="130"/>
    </row>
    <row r="4035" spans="1:9" x14ac:dyDescent="0.25">
      <c r="A4035" s="1033">
        <v>304216</v>
      </c>
      <c r="B4035" s="129">
        <v>0</v>
      </c>
      <c r="E4035" s="130"/>
    </row>
    <row r="4036" spans="1:9" x14ac:dyDescent="0.25">
      <c r="A4036" s="1033">
        <v>304218</v>
      </c>
      <c r="B4036" s="129">
        <v>0</v>
      </c>
      <c r="E4036" s="130"/>
    </row>
    <row r="4037" spans="1:9" x14ac:dyDescent="0.25">
      <c r="A4037" s="1033">
        <v>304304</v>
      </c>
      <c r="B4037" s="129">
        <v>21413</v>
      </c>
      <c r="E4037" s="130"/>
    </row>
    <row r="4038" spans="1:9" x14ac:dyDescent="0.25">
      <c r="A4038" s="1033">
        <v>304306</v>
      </c>
      <c r="B4038" s="129">
        <v>21413</v>
      </c>
      <c r="E4038" s="130"/>
    </row>
    <row r="4039" spans="1:9" x14ac:dyDescent="0.25">
      <c r="A4039" s="1033">
        <v>304308</v>
      </c>
      <c r="B4039" s="129">
        <v>6632</v>
      </c>
      <c r="E4039" s="130"/>
    </row>
    <row r="4040" spans="1:9" x14ac:dyDescent="0.25">
      <c r="A4040" s="1033">
        <v>304310</v>
      </c>
      <c r="B4040" s="129">
        <v>6632</v>
      </c>
      <c r="E4040" s="130"/>
    </row>
    <row r="4041" spans="1:9" x14ac:dyDescent="0.25">
      <c r="A4041" s="1033">
        <v>304312</v>
      </c>
      <c r="B4041" s="129">
        <v>0</v>
      </c>
      <c r="E4041" s="130"/>
    </row>
    <row r="4042" spans="1:9" x14ac:dyDescent="0.25">
      <c r="A4042" s="1033">
        <v>304314</v>
      </c>
      <c r="B4042" s="129">
        <v>0</v>
      </c>
      <c r="E4042" s="130"/>
    </row>
    <row r="4043" spans="1:9" x14ac:dyDescent="0.25">
      <c r="A4043" s="1033">
        <v>304316</v>
      </c>
      <c r="B4043" s="129">
        <v>0</v>
      </c>
      <c r="E4043" s="130"/>
    </row>
    <row r="4044" spans="1:9" x14ac:dyDescent="0.25">
      <c r="A4044" s="1033">
        <v>304318</v>
      </c>
      <c r="B4044" s="129">
        <v>0</v>
      </c>
      <c r="E4044" s="130"/>
    </row>
    <row r="4045" spans="1:9" x14ac:dyDescent="0.25">
      <c r="A4045" s="1033">
        <v>304404</v>
      </c>
      <c r="B4045" s="129">
        <v>22500</v>
      </c>
      <c r="C4045" s="130" t="s">
        <v>1668</v>
      </c>
      <c r="D4045" s="130">
        <v>16</v>
      </c>
      <c r="E4045" s="130" t="s">
        <v>1668</v>
      </c>
      <c r="F4045" s="1031">
        <v>0</v>
      </c>
      <c r="G4045" s="1031">
        <v>22500</v>
      </c>
      <c r="H4045" s="1031">
        <v>22500</v>
      </c>
      <c r="I4045" s="1032" t="s">
        <v>1669</v>
      </c>
    </row>
    <row r="4046" spans="1:9" x14ac:dyDescent="0.25">
      <c r="A4046" s="1033">
        <v>304406</v>
      </c>
      <c r="B4046" s="129">
        <v>22500</v>
      </c>
      <c r="C4046" s="130" t="s">
        <v>1668</v>
      </c>
      <c r="D4046" s="130">
        <v>16</v>
      </c>
      <c r="E4046" s="130" t="s">
        <v>1668</v>
      </c>
      <c r="F4046" s="1031">
        <v>0</v>
      </c>
      <c r="G4046" s="1031">
        <v>22500</v>
      </c>
      <c r="H4046" s="1031">
        <v>22500</v>
      </c>
      <c r="I4046" s="1032" t="s">
        <v>1669</v>
      </c>
    </row>
    <row r="4047" spans="1:9" x14ac:dyDescent="0.25">
      <c r="A4047" s="1033">
        <v>304408</v>
      </c>
      <c r="B4047" s="129">
        <v>5000</v>
      </c>
      <c r="C4047" s="130" t="s">
        <v>1670</v>
      </c>
      <c r="D4047" s="130">
        <v>16</v>
      </c>
      <c r="E4047" s="130" t="s">
        <v>1670</v>
      </c>
      <c r="F4047" s="1031">
        <v>0</v>
      </c>
      <c r="G4047" s="1031">
        <v>5000</v>
      </c>
      <c r="H4047" s="1031">
        <v>5000</v>
      </c>
      <c r="I4047" s="1032" t="s">
        <v>1671</v>
      </c>
    </row>
    <row r="4048" spans="1:9" x14ac:dyDescent="0.25">
      <c r="A4048" s="1033">
        <v>304410</v>
      </c>
      <c r="B4048" s="129">
        <v>5000</v>
      </c>
      <c r="C4048" s="130" t="s">
        <v>1670</v>
      </c>
      <c r="D4048" s="130">
        <v>16</v>
      </c>
      <c r="E4048" s="130" t="s">
        <v>1670</v>
      </c>
      <c r="F4048" s="1031">
        <v>0</v>
      </c>
      <c r="G4048" s="1031">
        <v>5000</v>
      </c>
      <c r="H4048" s="1031">
        <v>5000</v>
      </c>
      <c r="I4048" s="1032" t="s">
        <v>1671</v>
      </c>
    </row>
    <row r="4049" spans="1:9" x14ac:dyDescent="0.25">
      <c r="A4049" s="1033">
        <v>304412</v>
      </c>
      <c r="B4049" s="129">
        <v>0</v>
      </c>
      <c r="E4049" s="130"/>
    </row>
    <row r="4050" spans="1:9" x14ac:dyDescent="0.25">
      <c r="A4050" s="1033">
        <v>304414</v>
      </c>
      <c r="B4050" s="129">
        <v>0</v>
      </c>
      <c r="E4050" s="130"/>
    </row>
    <row r="4051" spans="1:9" x14ac:dyDescent="0.25">
      <c r="A4051" s="1033">
        <v>304416</v>
      </c>
      <c r="B4051" s="129">
        <v>0</v>
      </c>
      <c r="E4051" s="130"/>
    </row>
    <row r="4052" spans="1:9" x14ac:dyDescent="0.25">
      <c r="A4052" s="1033">
        <v>304418</v>
      </c>
      <c r="B4052" s="129">
        <v>0</v>
      </c>
      <c r="E4052" s="130"/>
    </row>
    <row r="4053" spans="1:9" x14ac:dyDescent="0.25">
      <c r="A4053" s="1033">
        <v>304504</v>
      </c>
      <c r="B4053" s="129">
        <v>4838</v>
      </c>
      <c r="C4053" s="130" t="s">
        <v>1672</v>
      </c>
      <c r="D4053" s="130">
        <v>16</v>
      </c>
      <c r="E4053" s="130" t="s">
        <v>1672</v>
      </c>
      <c r="F4053" s="1031">
        <v>0</v>
      </c>
      <c r="G4053" s="1031">
        <v>4837.5</v>
      </c>
      <c r="H4053" s="1031">
        <v>4837.5</v>
      </c>
      <c r="I4053" s="1032" t="s">
        <v>1673</v>
      </c>
    </row>
    <row r="4054" spans="1:9" x14ac:dyDescent="0.25">
      <c r="A4054" s="1033">
        <v>304506</v>
      </c>
      <c r="B4054" s="129">
        <v>4838</v>
      </c>
      <c r="C4054" s="130" t="s">
        <v>1672</v>
      </c>
      <c r="D4054" s="130">
        <v>16</v>
      </c>
      <c r="E4054" s="130" t="s">
        <v>1672</v>
      </c>
      <c r="F4054" s="1031">
        <v>0</v>
      </c>
      <c r="G4054" s="1031">
        <v>4837.5</v>
      </c>
      <c r="H4054" s="1031">
        <v>4837.5</v>
      </c>
      <c r="I4054" s="1032" t="s">
        <v>1673</v>
      </c>
    </row>
    <row r="4055" spans="1:9" x14ac:dyDescent="0.25">
      <c r="A4055" s="1033">
        <v>304508</v>
      </c>
      <c r="B4055" s="129">
        <v>1075</v>
      </c>
      <c r="C4055" s="130" t="s">
        <v>1674</v>
      </c>
      <c r="D4055" s="130">
        <v>16</v>
      </c>
      <c r="E4055" s="130" t="s">
        <v>1674</v>
      </c>
      <c r="F4055" s="1031">
        <v>0</v>
      </c>
      <c r="G4055" s="1031">
        <v>1075</v>
      </c>
      <c r="H4055" s="1031">
        <v>1075</v>
      </c>
      <c r="I4055" s="1032" t="s">
        <v>1675</v>
      </c>
    </row>
    <row r="4056" spans="1:9" x14ac:dyDescent="0.25">
      <c r="A4056" s="1033">
        <v>304510</v>
      </c>
      <c r="B4056" s="129">
        <v>1075</v>
      </c>
      <c r="C4056" s="130" t="s">
        <v>1674</v>
      </c>
      <c r="D4056" s="130">
        <v>16</v>
      </c>
      <c r="E4056" s="130" t="s">
        <v>1674</v>
      </c>
      <c r="F4056" s="1031">
        <v>0</v>
      </c>
      <c r="G4056" s="1031">
        <v>1075</v>
      </c>
      <c r="H4056" s="1031">
        <v>1075</v>
      </c>
      <c r="I4056" s="1032" t="s">
        <v>1675</v>
      </c>
    </row>
    <row r="4057" spans="1:9" x14ac:dyDescent="0.25">
      <c r="A4057" s="1033">
        <v>304512</v>
      </c>
      <c r="B4057" s="129">
        <v>0</v>
      </c>
      <c r="E4057" s="130"/>
    </row>
    <row r="4058" spans="1:9" x14ac:dyDescent="0.25">
      <c r="A4058" s="1033">
        <v>304514</v>
      </c>
      <c r="B4058" s="129">
        <v>0</v>
      </c>
      <c r="E4058" s="130"/>
    </row>
    <row r="4059" spans="1:9" x14ac:dyDescent="0.25">
      <c r="A4059" s="1033">
        <v>304516</v>
      </c>
      <c r="B4059" s="129">
        <v>0</v>
      </c>
      <c r="E4059" s="130"/>
    </row>
    <row r="4060" spans="1:9" x14ac:dyDescent="0.25">
      <c r="A4060" s="1033">
        <v>304518</v>
      </c>
      <c r="B4060" s="129">
        <v>0</v>
      </c>
      <c r="E4060" s="130"/>
    </row>
    <row r="4061" spans="1:9" x14ac:dyDescent="0.25">
      <c r="A4061" s="1033">
        <v>304604</v>
      </c>
      <c r="B4061" s="129">
        <v>0</v>
      </c>
      <c r="E4061" s="130"/>
    </row>
    <row r="4062" spans="1:9" x14ac:dyDescent="0.25">
      <c r="A4062" s="1033">
        <v>304606</v>
      </c>
      <c r="B4062" s="129">
        <v>0</v>
      </c>
      <c r="E4062" s="130"/>
    </row>
    <row r="4063" spans="1:9" x14ac:dyDescent="0.25">
      <c r="A4063" s="1033">
        <v>304608</v>
      </c>
      <c r="B4063" s="129">
        <v>0</v>
      </c>
      <c r="E4063" s="130"/>
    </row>
    <row r="4064" spans="1:9" x14ac:dyDescent="0.25">
      <c r="A4064" s="1033">
        <v>304610</v>
      </c>
      <c r="B4064" s="129">
        <v>0</v>
      </c>
      <c r="E4064" s="130"/>
    </row>
    <row r="4065" spans="1:9" x14ac:dyDescent="0.25">
      <c r="A4065" s="1033">
        <v>304612</v>
      </c>
      <c r="B4065" s="129">
        <v>0</v>
      </c>
      <c r="E4065" s="130"/>
    </row>
    <row r="4066" spans="1:9" x14ac:dyDescent="0.25">
      <c r="A4066" s="1033">
        <v>304614</v>
      </c>
      <c r="B4066" s="129">
        <v>0</v>
      </c>
      <c r="E4066" s="130"/>
    </row>
    <row r="4067" spans="1:9" x14ac:dyDescent="0.25">
      <c r="A4067" s="1033">
        <v>304616</v>
      </c>
      <c r="B4067" s="129">
        <v>0</v>
      </c>
      <c r="E4067" s="130"/>
    </row>
    <row r="4068" spans="1:9" x14ac:dyDescent="0.25">
      <c r="A4068" s="1033">
        <v>304618</v>
      </c>
      <c r="B4068" s="129">
        <v>0</v>
      </c>
      <c r="E4068" s="130"/>
    </row>
    <row r="4069" spans="1:9" x14ac:dyDescent="0.25">
      <c r="A4069" s="1033">
        <v>304704</v>
      </c>
      <c r="B4069" s="129">
        <v>0</v>
      </c>
      <c r="E4069" s="130"/>
    </row>
    <row r="4070" spans="1:9" x14ac:dyDescent="0.25">
      <c r="A4070" s="1033">
        <v>304706</v>
      </c>
      <c r="B4070" s="129">
        <v>0</v>
      </c>
      <c r="E4070" s="130"/>
    </row>
    <row r="4071" spans="1:9" x14ac:dyDescent="0.25">
      <c r="A4071" s="1033">
        <v>304708</v>
      </c>
      <c r="B4071" s="129">
        <v>0</v>
      </c>
      <c r="E4071" s="130"/>
    </row>
    <row r="4072" spans="1:9" x14ac:dyDescent="0.25">
      <c r="A4072" s="1033">
        <v>304710</v>
      </c>
      <c r="B4072" s="129">
        <v>0</v>
      </c>
      <c r="E4072" s="130"/>
    </row>
    <row r="4073" spans="1:9" x14ac:dyDescent="0.25">
      <c r="A4073" s="1033">
        <v>304712</v>
      </c>
      <c r="B4073" s="129">
        <v>0</v>
      </c>
      <c r="E4073" s="130"/>
    </row>
    <row r="4074" spans="1:9" x14ac:dyDescent="0.25">
      <c r="A4074" s="1033">
        <v>304714</v>
      </c>
      <c r="B4074" s="129">
        <v>0</v>
      </c>
      <c r="E4074" s="130"/>
    </row>
    <row r="4075" spans="1:9" x14ac:dyDescent="0.25">
      <c r="A4075" s="1033">
        <v>304716</v>
      </c>
      <c r="B4075" s="129">
        <v>0</v>
      </c>
      <c r="E4075" s="130"/>
    </row>
    <row r="4076" spans="1:9" x14ac:dyDescent="0.25">
      <c r="A4076" s="1033">
        <v>304718</v>
      </c>
      <c r="B4076" s="129">
        <v>0</v>
      </c>
      <c r="E4076" s="130"/>
    </row>
    <row r="4077" spans="1:9" x14ac:dyDescent="0.25">
      <c r="A4077" s="1033">
        <v>304804</v>
      </c>
      <c r="B4077" s="129">
        <v>2774</v>
      </c>
      <c r="C4077" s="130" t="s">
        <v>1676</v>
      </c>
      <c r="D4077" s="130">
        <v>16</v>
      </c>
      <c r="E4077" s="130" t="s">
        <v>1676</v>
      </c>
      <c r="F4077" s="1031">
        <v>0</v>
      </c>
      <c r="G4077" s="1031">
        <v>2773.58</v>
      </c>
      <c r="H4077" s="1031">
        <v>2773.58</v>
      </c>
      <c r="I4077" s="1032" t="s">
        <v>1677</v>
      </c>
    </row>
    <row r="4078" spans="1:9" x14ac:dyDescent="0.25">
      <c r="A4078" s="1033">
        <v>304806</v>
      </c>
      <c r="B4078" s="129">
        <v>2774</v>
      </c>
      <c r="C4078" s="130" t="s">
        <v>1676</v>
      </c>
      <c r="D4078" s="130">
        <v>16</v>
      </c>
      <c r="E4078" s="130" t="s">
        <v>1676</v>
      </c>
      <c r="F4078" s="1031">
        <v>0</v>
      </c>
      <c r="G4078" s="1031">
        <v>2773.58</v>
      </c>
      <c r="H4078" s="1031">
        <v>2773.58</v>
      </c>
      <c r="I4078" s="1032" t="s">
        <v>1677</v>
      </c>
    </row>
    <row r="4079" spans="1:9" x14ac:dyDescent="0.25">
      <c r="A4079" s="1033">
        <v>304808</v>
      </c>
      <c r="B4079" s="129">
        <v>616</v>
      </c>
      <c r="C4079" s="130" t="s">
        <v>1678</v>
      </c>
      <c r="D4079" s="130">
        <v>16</v>
      </c>
      <c r="E4079" s="130" t="s">
        <v>1678</v>
      </c>
      <c r="F4079" s="1031">
        <v>0</v>
      </c>
      <c r="G4079" s="1031">
        <v>616.35</v>
      </c>
      <c r="H4079" s="1031">
        <v>616.35</v>
      </c>
      <c r="I4079" s="1032" t="s">
        <v>1679</v>
      </c>
    </row>
    <row r="4080" spans="1:9" x14ac:dyDescent="0.25">
      <c r="A4080" s="1033">
        <v>304810</v>
      </c>
      <c r="B4080" s="129">
        <v>616</v>
      </c>
      <c r="C4080" s="130" t="s">
        <v>1678</v>
      </c>
      <c r="D4080" s="130">
        <v>16</v>
      </c>
      <c r="E4080" s="130" t="s">
        <v>1678</v>
      </c>
      <c r="F4080" s="1031">
        <v>0</v>
      </c>
      <c r="G4080" s="1031">
        <v>616.35</v>
      </c>
      <c r="H4080" s="1031">
        <v>616.35</v>
      </c>
      <c r="I4080" s="1032" t="s">
        <v>1679</v>
      </c>
    </row>
    <row r="4081" spans="1:9" x14ac:dyDescent="0.25">
      <c r="A4081" s="1033">
        <v>304812</v>
      </c>
      <c r="B4081" s="129">
        <v>0</v>
      </c>
      <c r="E4081" s="130"/>
    </row>
    <row r="4082" spans="1:9" x14ac:dyDescent="0.25">
      <c r="A4082" s="1033">
        <v>304814</v>
      </c>
      <c r="B4082" s="129">
        <v>0</v>
      </c>
      <c r="E4082" s="130"/>
    </row>
    <row r="4083" spans="1:9" x14ac:dyDescent="0.25">
      <c r="A4083" s="1033">
        <v>304816</v>
      </c>
      <c r="B4083" s="129">
        <v>0</v>
      </c>
      <c r="E4083" s="130"/>
    </row>
    <row r="4084" spans="1:9" x14ac:dyDescent="0.25">
      <c r="A4084" s="1033">
        <v>304818</v>
      </c>
      <c r="B4084" s="129">
        <v>0</v>
      </c>
      <c r="E4084" s="130"/>
    </row>
    <row r="4085" spans="1:9" x14ac:dyDescent="0.25">
      <c r="A4085" s="1033">
        <v>304904</v>
      </c>
      <c r="B4085" s="129">
        <v>2184</v>
      </c>
      <c r="C4085" s="130" t="s">
        <v>1680</v>
      </c>
      <c r="D4085" s="130">
        <v>16</v>
      </c>
      <c r="E4085" s="130" t="s">
        <v>1680</v>
      </c>
      <c r="F4085" s="1031">
        <v>0</v>
      </c>
      <c r="G4085" s="1031">
        <v>2184.2199999999998</v>
      </c>
      <c r="H4085" s="1031">
        <v>2184.2199999999998</v>
      </c>
      <c r="I4085" s="1032" t="s">
        <v>1681</v>
      </c>
    </row>
    <row r="4086" spans="1:9" x14ac:dyDescent="0.25">
      <c r="A4086" s="1033">
        <v>304906</v>
      </c>
      <c r="B4086" s="129">
        <v>2184</v>
      </c>
      <c r="C4086" s="130" t="s">
        <v>1680</v>
      </c>
      <c r="D4086" s="130">
        <v>16</v>
      </c>
      <c r="E4086" s="130" t="s">
        <v>1680</v>
      </c>
      <c r="F4086" s="1031">
        <v>0</v>
      </c>
      <c r="G4086" s="1031">
        <v>2184.2199999999998</v>
      </c>
      <c r="H4086" s="1031">
        <v>2184.2199999999998</v>
      </c>
      <c r="I4086" s="1032" t="s">
        <v>1681</v>
      </c>
    </row>
    <row r="4087" spans="1:9" x14ac:dyDescent="0.25">
      <c r="A4087" s="1033">
        <v>304908</v>
      </c>
      <c r="B4087" s="129">
        <v>485</v>
      </c>
      <c r="C4087" s="130" t="s">
        <v>1682</v>
      </c>
      <c r="D4087" s="130">
        <v>16</v>
      </c>
      <c r="E4087" s="130" t="s">
        <v>1682</v>
      </c>
      <c r="F4087" s="1031">
        <v>0</v>
      </c>
      <c r="G4087" s="1031">
        <v>485.38</v>
      </c>
      <c r="H4087" s="1031">
        <v>485.38</v>
      </c>
      <c r="I4087" s="1032" t="s">
        <v>1683</v>
      </c>
    </row>
    <row r="4088" spans="1:9" x14ac:dyDescent="0.25">
      <c r="A4088" s="1033">
        <v>304910</v>
      </c>
      <c r="B4088" s="129">
        <v>485</v>
      </c>
      <c r="C4088" s="130" t="s">
        <v>1682</v>
      </c>
      <c r="D4088" s="130">
        <v>16</v>
      </c>
      <c r="E4088" s="130" t="s">
        <v>1682</v>
      </c>
      <c r="F4088" s="1031">
        <v>0</v>
      </c>
      <c r="G4088" s="1031">
        <v>485.38</v>
      </c>
      <c r="H4088" s="1031">
        <v>485.38</v>
      </c>
      <c r="I4088" s="1032" t="s">
        <v>1683</v>
      </c>
    </row>
    <row r="4089" spans="1:9" x14ac:dyDescent="0.25">
      <c r="A4089" s="1033">
        <v>304912</v>
      </c>
      <c r="B4089" s="129">
        <v>0</v>
      </c>
      <c r="E4089" s="130"/>
    </row>
    <row r="4090" spans="1:9" x14ac:dyDescent="0.25">
      <c r="A4090" s="1033">
        <v>304914</v>
      </c>
      <c r="B4090" s="129">
        <v>0</v>
      </c>
      <c r="E4090" s="130"/>
    </row>
    <row r="4091" spans="1:9" x14ac:dyDescent="0.25">
      <c r="A4091" s="1033">
        <v>304916</v>
      </c>
      <c r="B4091" s="129">
        <v>0</v>
      </c>
      <c r="E4091" s="130"/>
    </row>
    <row r="4092" spans="1:9" x14ac:dyDescent="0.25">
      <c r="A4092" s="1033">
        <v>304918</v>
      </c>
      <c r="B4092" s="129">
        <v>0</v>
      </c>
      <c r="E4092" s="130"/>
    </row>
    <row r="4093" spans="1:9" x14ac:dyDescent="0.25">
      <c r="A4093" s="1033">
        <v>305004</v>
      </c>
      <c r="B4093" s="129">
        <v>2296</v>
      </c>
      <c r="C4093" s="130" t="s">
        <v>1684</v>
      </c>
      <c r="D4093" s="130">
        <v>16</v>
      </c>
      <c r="E4093" s="130" t="s">
        <v>1684</v>
      </c>
      <c r="F4093" s="1031">
        <v>0</v>
      </c>
      <c r="G4093" s="1031">
        <v>2296.2800000000002</v>
      </c>
      <c r="H4093" s="1031">
        <v>2296.2800000000002</v>
      </c>
      <c r="I4093" s="1032" t="s">
        <v>1685</v>
      </c>
    </row>
    <row r="4094" spans="1:9" x14ac:dyDescent="0.25">
      <c r="A4094" s="1033">
        <v>305006</v>
      </c>
      <c r="B4094" s="129">
        <v>2296</v>
      </c>
      <c r="C4094" s="130" t="s">
        <v>1684</v>
      </c>
      <c r="D4094" s="130">
        <v>16</v>
      </c>
      <c r="E4094" s="130" t="s">
        <v>1684</v>
      </c>
      <c r="F4094" s="1031">
        <v>0</v>
      </c>
      <c r="G4094" s="1031">
        <v>2296.2800000000002</v>
      </c>
      <c r="H4094" s="1031">
        <v>2296.2800000000002</v>
      </c>
      <c r="I4094" s="1032" t="s">
        <v>1685</v>
      </c>
    </row>
    <row r="4095" spans="1:9" x14ac:dyDescent="0.25">
      <c r="A4095" s="1033">
        <v>305008</v>
      </c>
      <c r="B4095" s="129">
        <v>510</v>
      </c>
      <c r="C4095" s="130" t="s">
        <v>1686</v>
      </c>
      <c r="D4095" s="130">
        <v>16</v>
      </c>
      <c r="E4095" s="130" t="s">
        <v>1686</v>
      </c>
      <c r="F4095" s="1031">
        <v>0</v>
      </c>
      <c r="G4095" s="1031">
        <v>510.28</v>
      </c>
      <c r="H4095" s="1031">
        <v>510.28</v>
      </c>
      <c r="I4095" s="1032" t="s">
        <v>1687</v>
      </c>
    </row>
    <row r="4096" spans="1:9" x14ac:dyDescent="0.25">
      <c r="A4096" s="1033">
        <v>305010</v>
      </c>
      <c r="B4096" s="129">
        <v>510</v>
      </c>
      <c r="C4096" s="130" t="s">
        <v>1686</v>
      </c>
      <c r="D4096" s="130">
        <v>16</v>
      </c>
      <c r="E4096" s="130" t="s">
        <v>1686</v>
      </c>
      <c r="F4096" s="1031">
        <v>0</v>
      </c>
      <c r="G4096" s="1031">
        <v>510.28</v>
      </c>
      <c r="H4096" s="1031">
        <v>510.28</v>
      </c>
      <c r="I4096" s="1032" t="s">
        <v>1687</v>
      </c>
    </row>
    <row r="4097" spans="1:5" x14ac:dyDescent="0.25">
      <c r="A4097" s="1033">
        <v>305012</v>
      </c>
      <c r="B4097" s="129">
        <v>0</v>
      </c>
      <c r="E4097" s="130"/>
    </row>
    <row r="4098" spans="1:5" x14ac:dyDescent="0.25">
      <c r="A4098" s="1033">
        <v>305014</v>
      </c>
      <c r="B4098" s="129">
        <v>0</v>
      </c>
      <c r="E4098" s="130"/>
    </row>
    <row r="4099" spans="1:5" x14ac:dyDescent="0.25">
      <c r="A4099" s="1033">
        <v>305016</v>
      </c>
      <c r="B4099" s="129">
        <v>0</v>
      </c>
      <c r="E4099" s="130"/>
    </row>
    <row r="4100" spans="1:5" x14ac:dyDescent="0.25">
      <c r="A4100" s="1033">
        <v>305018</v>
      </c>
      <c r="B4100" s="129">
        <v>0</v>
      </c>
      <c r="E4100" s="130"/>
    </row>
    <row r="4101" spans="1:5" x14ac:dyDescent="0.25">
      <c r="A4101" s="1033">
        <v>305104</v>
      </c>
      <c r="B4101" s="129">
        <v>34592</v>
      </c>
      <c r="E4101" s="130"/>
    </row>
    <row r="4102" spans="1:5" x14ac:dyDescent="0.25">
      <c r="A4102" s="1033">
        <v>305106</v>
      </c>
      <c r="B4102" s="129">
        <v>34592</v>
      </c>
      <c r="E4102" s="130"/>
    </row>
    <row r="4103" spans="1:5" x14ac:dyDescent="0.25">
      <c r="A4103" s="1033">
        <v>305108</v>
      </c>
      <c r="B4103" s="129">
        <v>7686</v>
      </c>
      <c r="E4103" s="130"/>
    </row>
    <row r="4104" spans="1:5" x14ac:dyDescent="0.25">
      <c r="A4104" s="1033">
        <v>305110</v>
      </c>
      <c r="B4104" s="129">
        <v>7686</v>
      </c>
      <c r="E4104" s="130"/>
    </row>
    <row r="4105" spans="1:5" x14ac:dyDescent="0.25">
      <c r="A4105" s="1033">
        <v>305112</v>
      </c>
      <c r="B4105" s="129">
        <v>0</v>
      </c>
      <c r="E4105" s="130"/>
    </row>
    <row r="4106" spans="1:5" x14ac:dyDescent="0.25">
      <c r="A4106" s="1033">
        <v>305114</v>
      </c>
      <c r="B4106" s="129">
        <v>0</v>
      </c>
      <c r="E4106" s="130"/>
    </row>
    <row r="4107" spans="1:5" x14ac:dyDescent="0.25">
      <c r="A4107" s="1033">
        <v>305116</v>
      </c>
      <c r="B4107" s="129">
        <v>0</v>
      </c>
      <c r="E4107" s="130"/>
    </row>
    <row r="4108" spans="1:5" x14ac:dyDescent="0.25">
      <c r="A4108" s="1033">
        <v>305118</v>
      </c>
      <c r="B4108" s="129">
        <v>0</v>
      </c>
      <c r="E4108" s="130"/>
    </row>
    <row r="4109" spans="1:5" x14ac:dyDescent="0.25">
      <c r="A4109" s="1033">
        <v>305204</v>
      </c>
      <c r="B4109" s="129">
        <v>0</v>
      </c>
      <c r="E4109" s="130"/>
    </row>
    <row r="4110" spans="1:5" x14ac:dyDescent="0.25">
      <c r="A4110" s="1033">
        <v>305206</v>
      </c>
      <c r="B4110" s="129">
        <v>0</v>
      </c>
      <c r="E4110" s="130"/>
    </row>
    <row r="4111" spans="1:5" x14ac:dyDescent="0.25">
      <c r="A4111" s="1033">
        <v>305208</v>
      </c>
      <c r="B4111" s="129">
        <v>0</v>
      </c>
      <c r="E4111" s="130"/>
    </row>
    <row r="4112" spans="1:5" x14ac:dyDescent="0.25">
      <c r="A4112" s="1033">
        <v>305210</v>
      </c>
      <c r="B4112" s="129">
        <v>0</v>
      </c>
      <c r="E4112" s="130"/>
    </row>
    <row r="4113" spans="1:9" x14ac:dyDescent="0.25">
      <c r="A4113" s="1033">
        <v>305212</v>
      </c>
      <c r="B4113" s="129">
        <v>0</v>
      </c>
      <c r="E4113" s="130"/>
    </row>
    <row r="4114" spans="1:9" x14ac:dyDescent="0.25">
      <c r="A4114" s="1033">
        <v>305214</v>
      </c>
      <c r="B4114" s="129">
        <v>0</v>
      </c>
      <c r="E4114" s="130"/>
    </row>
    <row r="4115" spans="1:9" x14ac:dyDescent="0.25">
      <c r="A4115" s="1033">
        <v>305216</v>
      </c>
      <c r="B4115" s="129">
        <v>0</v>
      </c>
      <c r="E4115" s="130"/>
    </row>
    <row r="4116" spans="1:9" x14ac:dyDescent="0.25">
      <c r="A4116" s="1033">
        <v>305218</v>
      </c>
      <c r="B4116" s="129">
        <v>0</v>
      </c>
      <c r="E4116" s="130"/>
    </row>
    <row r="4117" spans="1:9" x14ac:dyDescent="0.25">
      <c r="A4117" s="1033">
        <v>305304</v>
      </c>
      <c r="B4117" s="129">
        <v>1189</v>
      </c>
      <c r="C4117" s="130" t="s">
        <v>1688</v>
      </c>
      <c r="D4117" s="130">
        <v>16</v>
      </c>
      <c r="E4117" s="130" t="s">
        <v>1688</v>
      </c>
      <c r="F4117" s="1031">
        <v>0</v>
      </c>
      <c r="G4117" s="1031">
        <v>1188.68</v>
      </c>
      <c r="H4117" s="1031">
        <v>1188.68</v>
      </c>
      <c r="I4117" s="1032" t="s">
        <v>1689</v>
      </c>
    </row>
    <row r="4118" spans="1:9" x14ac:dyDescent="0.25">
      <c r="A4118" s="1033">
        <v>305306</v>
      </c>
      <c r="B4118" s="129">
        <v>1189</v>
      </c>
      <c r="C4118" s="130" t="s">
        <v>1688</v>
      </c>
      <c r="D4118" s="130">
        <v>16</v>
      </c>
      <c r="E4118" s="130" t="s">
        <v>1688</v>
      </c>
      <c r="F4118" s="1031">
        <v>0</v>
      </c>
      <c r="G4118" s="1031">
        <v>1188.68</v>
      </c>
      <c r="H4118" s="1031">
        <v>1188.68</v>
      </c>
      <c r="I4118" s="1032" t="s">
        <v>1689</v>
      </c>
    </row>
    <row r="4119" spans="1:9" x14ac:dyDescent="0.25">
      <c r="A4119" s="1033">
        <v>305308</v>
      </c>
      <c r="B4119" s="129">
        <v>264</v>
      </c>
      <c r="C4119" s="130" t="s">
        <v>1690</v>
      </c>
      <c r="D4119" s="130">
        <v>16</v>
      </c>
      <c r="E4119" s="130" t="s">
        <v>1690</v>
      </c>
      <c r="F4119" s="1031">
        <v>0</v>
      </c>
      <c r="G4119" s="1031">
        <v>264.14999999999998</v>
      </c>
      <c r="H4119" s="1031">
        <v>264.14999999999998</v>
      </c>
      <c r="I4119" s="1032" t="s">
        <v>1691</v>
      </c>
    </row>
    <row r="4120" spans="1:9" x14ac:dyDescent="0.25">
      <c r="A4120" s="1033">
        <v>305310</v>
      </c>
      <c r="B4120" s="129">
        <v>264</v>
      </c>
      <c r="C4120" s="130" t="s">
        <v>1690</v>
      </c>
      <c r="D4120" s="130">
        <v>16</v>
      </c>
      <c r="E4120" s="130" t="s">
        <v>1690</v>
      </c>
      <c r="F4120" s="1031">
        <v>0</v>
      </c>
      <c r="G4120" s="1031">
        <v>264.14999999999998</v>
      </c>
      <c r="H4120" s="1031">
        <v>264.14999999999998</v>
      </c>
      <c r="I4120" s="1032" t="s">
        <v>1691</v>
      </c>
    </row>
    <row r="4121" spans="1:9" x14ac:dyDescent="0.25">
      <c r="A4121" s="1033">
        <v>305312</v>
      </c>
      <c r="B4121" s="129">
        <v>0</v>
      </c>
      <c r="E4121" s="130"/>
    </row>
    <row r="4122" spans="1:9" x14ac:dyDescent="0.25">
      <c r="A4122" s="1033">
        <v>305314</v>
      </c>
      <c r="B4122" s="129">
        <v>0</v>
      </c>
      <c r="E4122" s="130"/>
    </row>
    <row r="4123" spans="1:9" x14ac:dyDescent="0.25">
      <c r="A4123" s="1033">
        <v>305316</v>
      </c>
      <c r="B4123" s="129">
        <v>0</v>
      </c>
      <c r="E4123" s="130"/>
    </row>
    <row r="4124" spans="1:9" x14ac:dyDescent="0.25">
      <c r="A4124" s="1033">
        <v>305318</v>
      </c>
      <c r="B4124" s="129">
        <v>0</v>
      </c>
      <c r="E4124" s="130"/>
    </row>
    <row r="4125" spans="1:9" x14ac:dyDescent="0.25">
      <c r="A4125" s="1033">
        <v>305404</v>
      </c>
      <c r="B4125" s="129">
        <v>0</v>
      </c>
      <c r="E4125" s="130"/>
    </row>
    <row r="4126" spans="1:9" x14ac:dyDescent="0.25">
      <c r="A4126" s="1033">
        <v>305406</v>
      </c>
      <c r="B4126" s="129">
        <v>0</v>
      </c>
      <c r="E4126" s="130"/>
    </row>
    <row r="4127" spans="1:9" x14ac:dyDescent="0.25">
      <c r="A4127" s="1033">
        <v>305408</v>
      </c>
      <c r="B4127" s="129">
        <v>0</v>
      </c>
      <c r="E4127" s="130"/>
    </row>
    <row r="4128" spans="1:9" x14ac:dyDescent="0.25">
      <c r="A4128" s="1033">
        <v>305410</v>
      </c>
      <c r="B4128" s="129">
        <v>0</v>
      </c>
      <c r="E4128" s="130"/>
    </row>
    <row r="4129" spans="1:9" x14ac:dyDescent="0.25">
      <c r="A4129" s="1033">
        <v>305412</v>
      </c>
      <c r="B4129" s="129">
        <v>0</v>
      </c>
      <c r="E4129" s="130"/>
    </row>
    <row r="4130" spans="1:9" x14ac:dyDescent="0.25">
      <c r="A4130" s="1033">
        <v>305414</v>
      </c>
      <c r="B4130" s="129">
        <v>0</v>
      </c>
      <c r="E4130" s="130"/>
    </row>
    <row r="4131" spans="1:9" x14ac:dyDescent="0.25">
      <c r="A4131" s="1033">
        <v>305416</v>
      </c>
      <c r="B4131" s="129">
        <v>0</v>
      </c>
      <c r="E4131" s="130"/>
    </row>
    <row r="4132" spans="1:9" x14ac:dyDescent="0.25">
      <c r="A4132" s="1033">
        <v>305418</v>
      </c>
      <c r="B4132" s="129">
        <v>0</v>
      </c>
      <c r="E4132" s="130"/>
    </row>
    <row r="4133" spans="1:9" x14ac:dyDescent="0.25">
      <c r="A4133" s="1033">
        <v>305504</v>
      </c>
      <c r="B4133" s="129">
        <v>1913</v>
      </c>
      <c r="C4133" s="130" t="s">
        <v>1692</v>
      </c>
      <c r="D4133" s="130">
        <v>16</v>
      </c>
      <c r="E4133" s="130" t="s">
        <v>1692</v>
      </c>
      <c r="F4133" s="1031">
        <v>0</v>
      </c>
      <c r="G4133" s="1031">
        <v>1912.5</v>
      </c>
      <c r="H4133" s="1031">
        <v>1912.5</v>
      </c>
      <c r="I4133" s="1032" t="s">
        <v>1693</v>
      </c>
    </row>
    <row r="4134" spans="1:9" x14ac:dyDescent="0.25">
      <c r="A4134" s="1033">
        <v>305506</v>
      </c>
      <c r="B4134" s="129">
        <v>1913</v>
      </c>
      <c r="C4134" s="130" t="s">
        <v>1692</v>
      </c>
      <c r="D4134" s="130">
        <v>16</v>
      </c>
      <c r="E4134" s="130" t="s">
        <v>1692</v>
      </c>
      <c r="F4134" s="1031">
        <v>0</v>
      </c>
      <c r="G4134" s="1031">
        <v>1912.5</v>
      </c>
      <c r="H4134" s="1031">
        <v>1912.5</v>
      </c>
      <c r="I4134" s="1032" t="s">
        <v>1693</v>
      </c>
    </row>
    <row r="4135" spans="1:9" x14ac:dyDescent="0.25">
      <c r="A4135" s="1033">
        <v>305508</v>
      </c>
      <c r="B4135" s="129">
        <v>425</v>
      </c>
      <c r="C4135" s="130" t="s">
        <v>1694</v>
      </c>
      <c r="D4135" s="130">
        <v>16</v>
      </c>
      <c r="E4135" s="130" t="s">
        <v>1694</v>
      </c>
      <c r="F4135" s="1031">
        <v>0</v>
      </c>
      <c r="G4135" s="1031">
        <v>425</v>
      </c>
      <c r="H4135" s="1031">
        <v>425</v>
      </c>
      <c r="I4135" s="1032" t="s">
        <v>1695</v>
      </c>
    </row>
    <row r="4136" spans="1:9" x14ac:dyDescent="0.25">
      <c r="A4136" s="1033">
        <v>305510</v>
      </c>
      <c r="B4136" s="129">
        <v>425</v>
      </c>
      <c r="C4136" s="130" t="s">
        <v>1694</v>
      </c>
      <c r="D4136" s="130">
        <v>16</v>
      </c>
      <c r="E4136" s="130" t="s">
        <v>1694</v>
      </c>
      <c r="F4136" s="1031">
        <v>0</v>
      </c>
      <c r="G4136" s="1031">
        <v>425</v>
      </c>
      <c r="H4136" s="1031">
        <v>425</v>
      </c>
      <c r="I4136" s="1032" t="s">
        <v>1695</v>
      </c>
    </row>
    <row r="4137" spans="1:9" x14ac:dyDescent="0.25">
      <c r="A4137" s="1033">
        <v>305512</v>
      </c>
      <c r="B4137" s="129">
        <v>0</v>
      </c>
      <c r="E4137" s="130"/>
    </row>
    <row r="4138" spans="1:9" x14ac:dyDescent="0.25">
      <c r="A4138" s="1033">
        <v>305514</v>
      </c>
      <c r="B4138" s="129">
        <v>0</v>
      </c>
      <c r="E4138" s="130"/>
    </row>
    <row r="4139" spans="1:9" x14ac:dyDescent="0.25">
      <c r="A4139" s="1033">
        <v>305516</v>
      </c>
      <c r="B4139" s="129">
        <v>0</v>
      </c>
      <c r="E4139" s="130"/>
    </row>
    <row r="4140" spans="1:9" x14ac:dyDescent="0.25">
      <c r="A4140" s="1033">
        <v>305518</v>
      </c>
      <c r="B4140" s="129">
        <v>0</v>
      </c>
      <c r="E4140" s="130"/>
    </row>
    <row r="4141" spans="1:9" x14ac:dyDescent="0.25">
      <c r="A4141" s="1033">
        <v>305604</v>
      </c>
      <c r="B4141" s="129">
        <v>78</v>
      </c>
      <c r="C4141" s="130" t="s">
        <v>1696</v>
      </c>
      <c r="D4141" s="130">
        <v>16</v>
      </c>
      <c r="E4141" s="130" t="s">
        <v>1696</v>
      </c>
      <c r="F4141" s="1031">
        <v>0</v>
      </c>
      <c r="G4141" s="1031">
        <v>78.28</v>
      </c>
      <c r="H4141" s="1031">
        <v>78.28</v>
      </c>
      <c r="I4141" s="1032" t="s">
        <v>1697</v>
      </c>
    </row>
    <row r="4142" spans="1:9" x14ac:dyDescent="0.25">
      <c r="A4142" s="1033">
        <v>305606</v>
      </c>
      <c r="B4142" s="129">
        <v>78</v>
      </c>
      <c r="C4142" s="130" t="s">
        <v>1696</v>
      </c>
      <c r="D4142" s="130">
        <v>16</v>
      </c>
      <c r="E4142" s="130" t="s">
        <v>1696</v>
      </c>
      <c r="F4142" s="1031">
        <v>0</v>
      </c>
      <c r="G4142" s="1031">
        <v>78.28</v>
      </c>
      <c r="H4142" s="1031">
        <v>78.28</v>
      </c>
      <c r="I4142" s="1032" t="s">
        <v>1697</v>
      </c>
    </row>
    <row r="4143" spans="1:9" x14ac:dyDescent="0.25">
      <c r="A4143" s="1033">
        <v>305608</v>
      </c>
      <c r="B4143" s="129">
        <v>17</v>
      </c>
      <c r="C4143" s="130" t="s">
        <v>1698</v>
      </c>
      <c r="D4143" s="130">
        <v>16</v>
      </c>
      <c r="E4143" s="130" t="s">
        <v>1698</v>
      </c>
      <c r="F4143" s="1031">
        <v>0</v>
      </c>
      <c r="G4143" s="1031">
        <v>17.399999999999999</v>
      </c>
      <c r="H4143" s="1031">
        <v>17.399999999999999</v>
      </c>
      <c r="I4143" s="1032" t="s">
        <v>1699</v>
      </c>
    </row>
    <row r="4144" spans="1:9" x14ac:dyDescent="0.25">
      <c r="A4144" s="1033">
        <v>305610</v>
      </c>
      <c r="B4144" s="129">
        <v>17</v>
      </c>
      <c r="C4144" s="130" t="s">
        <v>1698</v>
      </c>
      <c r="D4144" s="130">
        <v>16</v>
      </c>
      <c r="E4144" s="130" t="s">
        <v>1698</v>
      </c>
      <c r="F4144" s="1031">
        <v>0</v>
      </c>
      <c r="G4144" s="1031">
        <v>17.399999999999999</v>
      </c>
      <c r="H4144" s="1031">
        <v>17.399999999999999</v>
      </c>
      <c r="I4144" s="1032" t="s">
        <v>1699</v>
      </c>
    </row>
    <row r="4145" spans="1:5" x14ac:dyDescent="0.25">
      <c r="A4145" s="1033">
        <v>305612</v>
      </c>
      <c r="B4145" s="129">
        <v>0</v>
      </c>
      <c r="E4145" s="130"/>
    </row>
    <row r="4146" spans="1:5" x14ac:dyDescent="0.25">
      <c r="A4146" s="1033">
        <v>305614</v>
      </c>
      <c r="B4146" s="129">
        <v>0</v>
      </c>
      <c r="E4146" s="130"/>
    </row>
    <row r="4147" spans="1:5" x14ac:dyDescent="0.25">
      <c r="A4147" s="1033">
        <v>305616</v>
      </c>
      <c r="B4147" s="129">
        <v>0</v>
      </c>
      <c r="E4147" s="130"/>
    </row>
    <row r="4148" spans="1:5" x14ac:dyDescent="0.25">
      <c r="A4148" s="1033">
        <v>305618</v>
      </c>
      <c r="B4148" s="129">
        <v>0</v>
      </c>
      <c r="E4148" s="130"/>
    </row>
    <row r="4149" spans="1:5" x14ac:dyDescent="0.25">
      <c r="A4149" s="1033">
        <v>305704</v>
      </c>
      <c r="B4149" s="129">
        <v>37772</v>
      </c>
      <c r="E4149" s="130"/>
    </row>
    <row r="4150" spans="1:5" x14ac:dyDescent="0.25">
      <c r="A4150" s="1033">
        <v>305706</v>
      </c>
      <c r="B4150" s="129">
        <v>37772</v>
      </c>
      <c r="E4150" s="130"/>
    </row>
    <row r="4151" spans="1:5" x14ac:dyDescent="0.25">
      <c r="A4151" s="1033">
        <v>305708</v>
      </c>
      <c r="B4151" s="129">
        <v>8392</v>
      </c>
      <c r="E4151" s="130"/>
    </row>
    <row r="4152" spans="1:5" x14ac:dyDescent="0.25">
      <c r="A4152" s="1033">
        <v>305710</v>
      </c>
      <c r="B4152" s="129">
        <v>8392</v>
      </c>
      <c r="E4152" s="130"/>
    </row>
    <row r="4153" spans="1:5" x14ac:dyDescent="0.25">
      <c r="A4153" s="1033">
        <v>305712</v>
      </c>
      <c r="B4153" s="129">
        <v>0</v>
      </c>
      <c r="E4153" s="130"/>
    </row>
    <row r="4154" spans="1:5" x14ac:dyDescent="0.25">
      <c r="A4154" s="1033">
        <v>305714</v>
      </c>
      <c r="B4154" s="129">
        <v>0</v>
      </c>
      <c r="E4154" s="130"/>
    </row>
    <row r="4155" spans="1:5" x14ac:dyDescent="0.25">
      <c r="A4155" s="1033">
        <v>305716</v>
      </c>
      <c r="B4155" s="129">
        <v>0</v>
      </c>
      <c r="E4155" s="130"/>
    </row>
    <row r="4156" spans="1:5" x14ac:dyDescent="0.25">
      <c r="A4156" s="1033">
        <v>305718</v>
      </c>
      <c r="B4156" s="129">
        <v>0</v>
      </c>
      <c r="E4156" s="130"/>
    </row>
    <row r="4157" spans="1:5" x14ac:dyDescent="0.25">
      <c r="A4157" s="1033">
        <v>305804</v>
      </c>
      <c r="B4157" s="129">
        <v>122608</v>
      </c>
      <c r="E4157" s="130"/>
    </row>
    <row r="4158" spans="1:5" x14ac:dyDescent="0.25">
      <c r="A4158" s="1033">
        <v>305806</v>
      </c>
      <c r="B4158" s="129">
        <v>122608</v>
      </c>
      <c r="E4158" s="130"/>
    </row>
    <row r="4159" spans="1:5" x14ac:dyDescent="0.25">
      <c r="A4159" s="1033">
        <v>305808</v>
      </c>
      <c r="B4159" s="129">
        <v>43451</v>
      </c>
      <c r="E4159" s="130"/>
    </row>
    <row r="4160" spans="1:5" x14ac:dyDescent="0.25">
      <c r="A4160" s="1033">
        <v>305810</v>
      </c>
      <c r="B4160" s="129">
        <v>43451</v>
      </c>
      <c r="E4160" s="130"/>
    </row>
    <row r="4161" spans="1:5" x14ac:dyDescent="0.25">
      <c r="A4161" s="1033">
        <v>305812</v>
      </c>
      <c r="B4161" s="129">
        <v>0</v>
      </c>
      <c r="E4161" s="130"/>
    </row>
    <row r="4162" spans="1:5" x14ac:dyDescent="0.25">
      <c r="A4162" s="1033">
        <v>305814</v>
      </c>
      <c r="B4162" s="129">
        <v>0</v>
      </c>
      <c r="E4162" s="130"/>
    </row>
    <row r="4163" spans="1:5" x14ac:dyDescent="0.25">
      <c r="A4163" s="1033">
        <v>305816</v>
      </c>
      <c r="B4163" s="129">
        <v>0</v>
      </c>
      <c r="E4163" s="130"/>
    </row>
    <row r="4164" spans="1:5" x14ac:dyDescent="0.25">
      <c r="A4164" s="1033">
        <v>305818</v>
      </c>
      <c r="B4164" s="129">
        <v>0</v>
      </c>
      <c r="E4164" s="130"/>
    </row>
    <row r="4165" spans="1:5" x14ac:dyDescent="0.25">
      <c r="A4165" s="1033">
        <v>305904</v>
      </c>
      <c r="B4165" s="129">
        <v>170500</v>
      </c>
      <c r="E4165" s="130"/>
    </row>
    <row r="4166" spans="1:5" x14ac:dyDescent="0.25">
      <c r="A4166" s="1033">
        <v>305906</v>
      </c>
      <c r="B4166" s="129">
        <v>170500</v>
      </c>
      <c r="E4166" s="130"/>
    </row>
    <row r="4167" spans="1:5" x14ac:dyDescent="0.25">
      <c r="A4167" s="1033">
        <v>305908</v>
      </c>
      <c r="B4167" s="129">
        <v>68888</v>
      </c>
      <c r="E4167" s="130"/>
    </row>
    <row r="4168" spans="1:5" x14ac:dyDescent="0.25">
      <c r="A4168" s="1033">
        <v>305910</v>
      </c>
      <c r="B4168" s="129">
        <v>68888</v>
      </c>
      <c r="E4168" s="130"/>
    </row>
    <row r="4169" spans="1:5" x14ac:dyDescent="0.25">
      <c r="A4169" s="1033">
        <v>305912</v>
      </c>
      <c r="B4169" s="129">
        <v>0</v>
      </c>
      <c r="E4169" s="130"/>
    </row>
    <row r="4170" spans="1:5" x14ac:dyDescent="0.25">
      <c r="A4170" s="1033">
        <v>305914</v>
      </c>
      <c r="B4170" s="129">
        <v>0</v>
      </c>
      <c r="E4170" s="130"/>
    </row>
    <row r="4171" spans="1:5" x14ac:dyDescent="0.25">
      <c r="A4171" s="1033">
        <v>305916</v>
      </c>
      <c r="B4171" s="129">
        <v>0</v>
      </c>
      <c r="E4171" s="130"/>
    </row>
    <row r="4172" spans="1:5" x14ac:dyDescent="0.25">
      <c r="A4172" s="1033">
        <v>305918</v>
      </c>
      <c r="B4172" s="129">
        <v>0</v>
      </c>
      <c r="E4172" s="130"/>
    </row>
    <row r="4173" spans="1:5" x14ac:dyDescent="0.25">
      <c r="A4173" s="1033">
        <v>306204</v>
      </c>
      <c r="B4173" s="129">
        <v>0</v>
      </c>
      <c r="E4173" s="130"/>
    </row>
    <row r="4174" spans="1:5" x14ac:dyDescent="0.25">
      <c r="A4174" s="1033">
        <v>306206</v>
      </c>
      <c r="B4174" s="129">
        <v>0</v>
      </c>
      <c r="E4174" s="130"/>
    </row>
    <row r="4175" spans="1:5" x14ac:dyDescent="0.25">
      <c r="A4175" s="1033">
        <v>306208</v>
      </c>
      <c r="B4175" s="129">
        <v>0</v>
      </c>
      <c r="E4175" s="130"/>
    </row>
    <row r="4176" spans="1:5" x14ac:dyDescent="0.25">
      <c r="A4176" s="1033">
        <v>306210</v>
      </c>
      <c r="B4176" s="129">
        <v>0</v>
      </c>
      <c r="E4176" s="130"/>
    </row>
    <row r="4177" spans="1:5" x14ac:dyDescent="0.25">
      <c r="A4177" s="1033">
        <v>306212</v>
      </c>
      <c r="B4177" s="129">
        <v>0</v>
      </c>
      <c r="E4177" s="130"/>
    </row>
    <row r="4178" spans="1:5" x14ac:dyDescent="0.25">
      <c r="A4178" s="1033">
        <v>306214</v>
      </c>
      <c r="B4178" s="129">
        <v>0</v>
      </c>
      <c r="E4178" s="130"/>
    </row>
    <row r="4179" spans="1:5" x14ac:dyDescent="0.25">
      <c r="A4179" s="1033">
        <v>306216</v>
      </c>
      <c r="B4179" s="129">
        <v>0</v>
      </c>
      <c r="E4179" s="130"/>
    </row>
    <row r="4180" spans="1:5" x14ac:dyDescent="0.25">
      <c r="A4180" s="1033">
        <v>306218</v>
      </c>
      <c r="B4180" s="129">
        <v>0</v>
      </c>
      <c r="E4180" s="130"/>
    </row>
    <row r="4181" spans="1:5" x14ac:dyDescent="0.25">
      <c r="A4181" s="1033">
        <v>200106</v>
      </c>
      <c r="E4181" s="130"/>
    </row>
    <row r="4182" spans="1:5" x14ac:dyDescent="0.25">
      <c r="A4182" s="1033">
        <v>200110</v>
      </c>
      <c r="E4182" s="130"/>
    </row>
    <row r="4183" spans="1:5" x14ac:dyDescent="0.25">
      <c r="A4183" s="1033">
        <v>200116</v>
      </c>
      <c r="E4183" s="130"/>
    </row>
    <row r="4184" spans="1:5" x14ac:dyDescent="0.25">
      <c r="A4184" s="1033">
        <v>200120</v>
      </c>
      <c r="E4184" s="130"/>
    </row>
    <row r="4185" spans="1:5" x14ac:dyDescent="0.25">
      <c r="A4185" s="1033">
        <v>200126</v>
      </c>
      <c r="E4185" s="130"/>
    </row>
    <row r="4186" spans="1:5" x14ac:dyDescent="0.25">
      <c r="A4186" s="1033">
        <v>200130</v>
      </c>
      <c r="E4186" s="130"/>
    </row>
    <row r="4187" spans="1:5" x14ac:dyDescent="0.25">
      <c r="A4187" s="1033">
        <v>206106</v>
      </c>
      <c r="E4187" s="130"/>
    </row>
    <row r="4188" spans="1:5" x14ac:dyDescent="0.25">
      <c r="A4188" s="1033">
        <v>206110</v>
      </c>
      <c r="E4188" s="130"/>
    </row>
    <row r="4189" spans="1:5" x14ac:dyDescent="0.25">
      <c r="A4189" s="1033">
        <v>206116</v>
      </c>
      <c r="E4189" s="130"/>
    </row>
    <row r="4190" spans="1:5" x14ac:dyDescent="0.25">
      <c r="A4190" s="1033">
        <v>206120</v>
      </c>
      <c r="E4190" s="130"/>
    </row>
    <row r="4191" spans="1:5" x14ac:dyDescent="0.25">
      <c r="A4191" s="1033">
        <v>206126</v>
      </c>
      <c r="E4191" s="130"/>
    </row>
    <row r="4192" spans="1:5" x14ac:dyDescent="0.25">
      <c r="A4192" s="1033">
        <v>206130</v>
      </c>
      <c r="E4192" s="130"/>
    </row>
    <row r="4193" spans="1:5" x14ac:dyDescent="0.25">
      <c r="A4193" s="1033">
        <v>206206</v>
      </c>
      <c r="E4193" s="130"/>
    </row>
    <row r="4194" spans="1:5" x14ac:dyDescent="0.25">
      <c r="A4194" s="1033">
        <v>206210</v>
      </c>
      <c r="E4194" s="130"/>
    </row>
    <row r="4195" spans="1:5" x14ac:dyDescent="0.25">
      <c r="A4195" s="1033">
        <v>206216</v>
      </c>
      <c r="E4195" s="130"/>
    </row>
    <row r="4196" spans="1:5" x14ac:dyDescent="0.25">
      <c r="A4196" s="1033">
        <v>206220</v>
      </c>
      <c r="E4196" s="130"/>
    </row>
    <row r="4197" spans="1:5" x14ac:dyDescent="0.25">
      <c r="A4197" s="1033">
        <v>206226</v>
      </c>
      <c r="E4197" s="130"/>
    </row>
    <row r="4198" spans="1:5" x14ac:dyDescent="0.25">
      <c r="A4198" s="1033">
        <v>206230</v>
      </c>
      <c r="E4198" s="130"/>
    </row>
    <row r="4199" spans="1:5" x14ac:dyDescent="0.25">
      <c r="A4199" s="1033">
        <v>206406</v>
      </c>
      <c r="E4199" s="130"/>
    </row>
    <row r="4200" spans="1:5" x14ac:dyDescent="0.25">
      <c r="A4200" s="1033">
        <v>206410</v>
      </c>
      <c r="E4200" s="130"/>
    </row>
    <row r="4201" spans="1:5" x14ac:dyDescent="0.25">
      <c r="A4201" s="1033">
        <v>206416</v>
      </c>
      <c r="E4201" s="130"/>
    </row>
    <row r="4202" spans="1:5" x14ac:dyDescent="0.25">
      <c r="A4202" s="1033">
        <v>206420</v>
      </c>
      <c r="E4202" s="130"/>
    </row>
    <row r="4203" spans="1:5" x14ac:dyDescent="0.25">
      <c r="A4203" s="1033">
        <v>206426</v>
      </c>
      <c r="E4203" s="130"/>
    </row>
    <row r="4204" spans="1:5" x14ac:dyDescent="0.25">
      <c r="A4204" s="1033">
        <v>206430</v>
      </c>
      <c r="E4204" s="130"/>
    </row>
    <row r="4205" spans="1:5" x14ac:dyDescent="0.25">
      <c r="A4205" s="1033">
        <v>206506</v>
      </c>
      <c r="E4205" s="130"/>
    </row>
    <row r="4206" spans="1:5" x14ac:dyDescent="0.25">
      <c r="A4206" s="1033">
        <v>206510</v>
      </c>
      <c r="E4206" s="130"/>
    </row>
    <row r="4207" spans="1:5" x14ac:dyDescent="0.25">
      <c r="A4207" s="1033">
        <v>206516</v>
      </c>
      <c r="E4207" s="130"/>
    </row>
    <row r="4208" spans="1:5" x14ac:dyDescent="0.25">
      <c r="A4208" s="1033">
        <v>206520</v>
      </c>
      <c r="E4208" s="130"/>
    </row>
    <row r="4209" spans="1:5" x14ac:dyDescent="0.25">
      <c r="A4209" s="1033">
        <v>206526</v>
      </c>
      <c r="E4209" s="130"/>
    </row>
    <row r="4210" spans="1:5" x14ac:dyDescent="0.25">
      <c r="A4210" s="1033">
        <v>206530</v>
      </c>
      <c r="E4210" s="130"/>
    </row>
    <row r="4211" spans="1:5" x14ac:dyDescent="0.25">
      <c r="A4211" s="1033">
        <v>206604</v>
      </c>
      <c r="B4211" s="129">
        <v>0</v>
      </c>
      <c r="E4211" s="130"/>
    </row>
    <row r="4212" spans="1:5" x14ac:dyDescent="0.25">
      <c r="A4212" s="1033">
        <v>206606</v>
      </c>
      <c r="E4212" s="130"/>
    </row>
    <row r="4213" spans="1:5" x14ac:dyDescent="0.25">
      <c r="A4213" s="1033">
        <v>206608</v>
      </c>
      <c r="B4213" s="129">
        <v>0</v>
      </c>
      <c r="E4213" s="130"/>
    </row>
    <row r="4214" spans="1:5" x14ac:dyDescent="0.25">
      <c r="A4214" s="1033">
        <v>206610</v>
      </c>
      <c r="E4214" s="130"/>
    </row>
    <row r="4215" spans="1:5" x14ac:dyDescent="0.25">
      <c r="A4215" s="1033">
        <v>206614</v>
      </c>
      <c r="E4215" s="130"/>
    </row>
    <row r="4216" spans="1:5" x14ac:dyDescent="0.25">
      <c r="A4216" s="1033">
        <v>206616</v>
      </c>
      <c r="E4216" s="130"/>
    </row>
    <row r="4217" spans="1:5" x14ac:dyDescent="0.25">
      <c r="A4217" s="1033">
        <v>206618</v>
      </c>
      <c r="E4217" s="130"/>
    </row>
    <row r="4218" spans="1:5" x14ac:dyDescent="0.25">
      <c r="A4218" s="1033">
        <v>206620</v>
      </c>
      <c r="E4218" s="130"/>
    </row>
    <row r="4219" spans="1:5" x14ac:dyDescent="0.25">
      <c r="A4219" s="1033">
        <v>206624</v>
      </c>
      <c r="E4219" s="130"/>
    </row>
    <row r="4220" spans="1:5" x14ac:dyDescent="0.25">
      <c r="A4220" s="1033">
        <v>206626</v>
      </c>
      <c r="E4220" s="130"/>
    </row>
    <row r="4221" spans="1:5" x14ac:dyDescent="0.25">
      <c r="A4221" s="1033">
        <v>206628</v>
      </c>
      <c r="E4221" s="130"/>
    </row>
    <row r="4222" spans="1:5" x14ac:dyDescent="0.25">
      <c r="A4222" s="1033">
        <v>206630</v>
      </c>
      <c r="E4222" s="130"/>
    </row>
    <row r="4223" spans="1:5" x14ac:dyDescent="0.25">
      <c r="A4223" s="1033">
        <v>206806</v>
      </c>
      <c r="E4223" s="130"/>
    </row>
    <row r="4224" spans="1:5" x14ac:dyDescent="0.25">
      <c r="A4224" s="1033">
        <v>206810</v>
      </c>
      <c r="E4224" s="130"/>
    </row>
    <row r="4225" spans="1:5" x14ac:dyDescent="0.25">
      <c r="A4225" s="1033">
        <v>206816</v>
      </c>
      <c r="E4225" s="130"/>
    </row>
    <row r="4226" spans="1:5" x14ac:dyDescent="0.25">
      <c r="A4226" s="1033">
        <v>206820</v>
      </c>
      <c r="E4226" s="130"/>
    </row>
    <row r="4227" spans="1:5" x14ac:dyDescent="0.25">
      <c r="A4227" s="1033">
        <v>206826</v>
      </c>
      <c r="E4227" s="130"/>
    </row>
    <row r="4228" spans="1:5" x14ac:dyDescent="0.25">
      <c r="A4228" s="1033">
        <v>206830</v>
      </c>
      <c r="E4228" s="130"/>
    </row>
    <row r="4229" spans="1:5" x14ac:dyDescent="0.25">
      <c r="A4229" s="1033">
        <v>207004</v>
      </c>
      <c r="B4229" s="129">
        <v>0</v>
      </c>
      <c r="E4229" s="130"/>
    </row>
    <row r="4230" spans="1:5" x14ac:dyDescent="0.25">
      <c r="A4230" s="1033">
        <v>207006</v>
      </c>
      <c r="E4230" s="130"/>
    </row>
    <row r="4231" spans="1:5" x14ac:dyDescent="0.25">
      <c r="A4231" s="1033">
        <v>207008</v>
      </c>
      <c r="B4231" s="129">
        <v>0</v>
      </c>
      <c r="E4231" s="130"/>
    </row>
    <row r="4232" spans="1:5" x14ac:dyDescent="0.25">
      <c r="A4232" s="1033">
        <v>207010</v>
      </c>
      <c r="E4232" s="130"/>
    </row>
    <row r="4233" spans="1:5" x14ac:dyDescent="0.25">
      <c r="A4233" s="1033">
        <v>207014</v>
      </c>
      <c r="E4233" s="130"/>
    </row>
    <row r="4234" spans="1:5" x14ac:dyDescent="0.25">
      <c r="A4234" s="1033">
        <v>207016</v>
      </c>
      <c r="E4234" s="130"/>
    </row>
    <row r="4235" spans="1:5" x14ac:dyDescent="0.25">
      <c r="A4235" s="1033">
        <v>207018</v>
      </c>
      <c r="E4235" s="130"/>
    </row>
    <row r="4236" spans="1:5" x14ac:dyDescent="0.25">
      <c r="A4236" s="1033">
        <v>207020</v>
      </c>
      <c r="E4236" s="130"/>
    </row>
    <row r="4237" spans="1:5" x14ac:dyDescent="0.25">
      <c r="A4237" s="1033">
        <v>207024</v>
      </c>
      <c r="E4237" s="130"/>
    </row>
    <row r="4238" spans="1:5" x14ac:dyDescent="0.25">
      <c r="A4238" s="1033">
        <v>207026</v>
      </c>
      <c r="E4238" s="130"/>
    </row>
    <row r="4239" spans="1:5" x14ac:dyDescent="0.25">
      <c r="A4239" s="1033">
        <v>207028</v>
      </c>
      <c r="E4239" s="130"/>
    </row>
    <row r="4240" spans="1:5" x14ac:dyDescent="0.25">
      <c r="A4240" s="1033">
        <v>207030</v>
      </c>
      <c r="E4240" s="130"/>
    </row>
    <row r="4241" spans="1:9" x14ac:dyDescent="0.25">
      <c r="A4241" s="1033">
        <v>207206</v>
      </c>
      <c r="E4241" s="130"/>
    </row>
    <row r="4242" spans="1:9" x14ac:dyDescent="0.25">
      <c r="A4242" s="1033">
        <v>207210</v>
      </c>
      <c r="E4242" s="130"/>
    </row>
    <row r="4243" spans="1:9" x14ac:dyDescent="0.25">
      <c r="A4243" s="1033">
        <v>207214</v>
      </c>
      <c r="E4243" s="130"/>
    </row>
    <row r="4244" spans="1:9" x14ac:dyDescent="0.25">
      <c r="A4244" s="1033">
        <v>207216</v>
      </c>
      <c r="E4244" s="130"/>
    </row>
    <row r="4245" spans="1:9" x14ac:dyDescent="0.25">
      <c r="A4245" s="1033">
        <v>207218</v>
      </c>
      <c r="E4245" s="130"/>
    </row>
    <row r="4246" spans="1:9" x14ac:dyDescent="0.25">
      <c r="A4246" s="1033">
        <v>207220</v>
      </c>
      <c r="E4246" s="130"/>
    </row>
    <row r="4247" spans="1:9" x14ac:dyDescent="0.25">
      <c r="A4247" s="1033">
        <v>207224</v>
      </c>
      <c r="E4247" s="130"/>
    </row>
    <row r="4248" spans="1:9" x14ac:dyDescent="0.25">
      <c r="A4248" s="1033">
        <v>207226</v>
      </c>
      <c r="E4248" s="130"/>
    </row>
    <row r="4249" spans="1:9" x14ac:dyDescent="0.25">
      <c r="A4249" s="1033">
        <v>207228</v>
      </c>
      <c r="E4249" s="130"/>
    </row>
    <row r="4250" spans="1:9" x14ac:dyDescent="0.25">
      <c r="A4250" s="1033">
        <v>207230</v>
      </c>
      <c r="E4250" s="130"/>
    </row>
    <row r="4251" spans="1:9" x14ac:dyDescent="0.25">
      <c r="A4251" s="1033">
        <v>100308</v>
      </c>
      <c r="B4251" s="129">
        <v>700</v>
      </c>
      <c r="C4251" s="130">
        <v>200</v>
      </c>
      <c r="D4251" s="130">
        <v>16</v>
      </c>
      <c r="E4251" s="130">
        <v>200</v>
      </c>
      <c r="F4251" s="1031">
        <v>700</v>
      </c>
      <c r="G4251" s="1031">
        <v>0</v>
      </c>
      <c r="H4251" s="1031">
        <v>700</v>
      </c>
      <c r="I4251" s="1032" t="s">
        <v>1700</v>
      </c>
    </row>
    <row r="4252" spans="1:9" x14ac:dyDescent="0.25">
      <c r="A4252" s="1033">
        <v>100318</v>
      </c>
      <c r="B4252" s="129">
        <v>-71074</v>
      </c>
      <c r="C4252" s="130">
        <v>300</v>
      </c>
      <c r="D4252" s="130">
        <v>16</v>
      </c>
      <c r="E4252" s="130">
        <v>300</v>
      </c>
      <c r="F4252" s="1031">
        <v>-123161.79</v>
      </c>
      <c r="G4252" s="1031">
        <v>95.69</v>
      </c>
      <c r="H4252" s="1031">
        <v>-123066.1</v>
      </c>
      <c r="I4252" s="1032" t="s">
        <v>1701</v>
      </c>
    </row>
    <row r="4253" spans="1:9" x14ac:dyDescent="0.25">
      <c r="A4253" s="1033"/>
      <c r="C4253" s="130">
        <v>300</v>
      </c>
      <c r="D4253" s="130">
        <v>16</v>
      </c>
      <c r="E4253" s="130" t="s">
        <v>1702</v>
      </c>
      <c r="F4253" s="1031">
        <v>150488.35999999999</v>
      </c>
      <c r="G4253" s="1031">
        <v>271146.34000000003</v>
      </c>
      <c r="H4253" s="1031">
        <v>421634.7</v>
      </c>
      <c r="I4253" s="1032" t="s">
        <v>1703</v>
      </c>
    </row>
    <row r="4254" spans="1:9" x14ac:dyDescent="0.25">
      <c r="A4254" s="1033"/>
      <c r="C4254" s="130">
        <v>300</v>
      </c>
      <c r="D4254" s="130">
        <v>16</v>
      </c>
      <c r="E4254" s="130" t="s">
        <v>1704</v>
      </c>
      <c r="F4254" s="1031">
        <v>-52328.73</v>
      </c>
      <c r="G4254" s="1031">
        <v>40589</v>
      </c>
      <c r="H4254" s="1031">
        <v>-11739.73</v>
      </c>
      <c r="I4254" s="1032" t="s">
        <v>1705</v>
      </c>
    </row>
    <row r="4255" spans="1:9" x14ac:dyDescent="0.25">
      <c r="A4255" s="1033"/>
      <c r="C4255" s="130">
        <v>300</v>
      </c>
      <c r="D4255" s="130">
        <v>16</v>
      </c>
      <c r="E4255" s="130" t="s">
        <v>1706</v>
      </c>
      <c r="F4255" s="1031">
        <v>0</v>
      </c>
      <c r="G4255" s="1031">
        <v>-110366.54</v>
      </c>
      <c r="H4255" s="1031">
        <v>-110366.54</v>
      </c>
      <c r="I4255" s="1032" t="s">
        <v>1707</v>
      </c>
    </row>
    <row r="4256" spans="1:9" x14ac:dyDescent="0.25">
      <c r="A4256" s="1033"/>
      <c r="C4256" s="130">
        <v>300</v>
      </c>
      <c r="D4256" s="130">
        <v>16</v>
      </c>
      <c r="E4256" s="130" t="s">
        <v>1708</v>
      </c>
      <c r="F4256" s="1031">
        <v>-3498.13</v>
      </c>
      <c r="G4256" s="1031">
        <v>1720.98</v>
      </c>
      <c r="H4256" s="1031">
        <v>-1777.15</v>
      </c>
      <c r="I4256" s="1032" t="s">
        <v>1709</v>
      </c>
    </row>
    <row r="4257" spans="1:9" x14ac:dyDescent="0.25">
      <c r="A4257" s="1033"/>
      <c r="C4257" s="130">
        <v>300</v>
      </c>
      <c r="D4257" s="130">
        <v>16</v>
      </c>
      <c r="E4257" s="130" t="s">
        <v>1710</v>
      </c>
      <c r="F4257" s="1031">
        <v>-5130.6899999999996</v>
      </c>
      <c r="G4257" s="1031">
        <v>5130.6899999999996</v>
      </c>
      <c r="H4257" s="1031">
        <v>0</v>
      </c>
      <c r="I4257" s="1032" t="s">
        <v>1711</v>
      </c>
    </row>
    <row r="4258" spans="1:9" x14ac:dyDescent="0.25">
      <c r="A4258" s="1033"/>
      <c r="C4258" s="130">
        <v>300</v>
      </c>
      <c r="D4258" s="130">
        <v>16</v>
      </c>
      <c r="E4258" s="130" t="s">
        <v>1712</v>
      </c>
      <c r="F4258" s="1031">
        <v>-26532.37</v>
      </c>
      <c r="G4258" s="1031">
        <v>26532.37</v>
      </c>
      <c r="H4258" s="1031">
        <v>0</v>
      </c>
      <c r="I4258" s="1032" t="s">
        <v>1713</v>
      </c>
    </row>
    <row r="4259" spans="1:9" x14ac:dyDescent="0.25">
      <c r="A4259" s="1033"/>
      <c r="C4259" s="130">
        <v>300</v>
      </c>
      <c r="D4259" s="130">
        <v>16</v>
      </c>
      <c r="E4259" s="130" t="s">
        <v>1714</v>
      </c>
      <c r="F4259" s="1031">
        <v>0</v>
      </c>
      <c r="G4259" s="1031">
        <v>-25200</v>
      </c>
      <c r="H4259" s="1031">
        <v>-25200</v>
      </c>
      <c r="I4259" s="1032" t="s">
        <v>1715</v>
      </c>
    </row>
    <row r="4260" spans="1:9" x14ac:dyDescent="0.25">
      <c r="A4260" s="1033"/>
      <c r="C4260" s="130">
        <v>300</v>
      </c>
      <c r="D4260" s="130">
        <v>16</v>
      </c>
      <c r="E4260" s="130" t="s">
        <v>1716</v>
      </c>
      <c r="F4260" s="1031">
        <v>-62688.38</v>
      </c>
      <c r="G4260" s="1031">
        <v>-7425.2</v>
      </c>
      <c r="H4260" s="1031">
        <v>-70113.58</v>
      </c>
      <c r="I4260" s="1032" t="s">
        <v>1717</v>
      </c>
    </row>
    <row r="4261" spans="1:9" x14ac:dyDescent="0.25">
      <c r="A4261" s="1033"/>
      <c r="C4261" s="130">
        <v>300</v>
      </c>
      <c r="D4261" s="130">
        <v>16</v>
      </c>
      <c r="E4261" s="130" t="s">
        <v>1718</v>
      </c>
      <c r="F4261" s="1031">
        <v>-8105.22</v>
      </c>
      <c r="G4261" s="1031">
        <v>-192.87</v>
      </c>
      <c r="H4261" s="1031">
        <v>-8298.09</v>
      </c>
      <c r="I4261" s="1032" t="s">
        <v>1719</v>
      </c>
    </row>
    <row r="4262" spans="1:9" x14ac:dyDescent="0.25">
      <c r="A4262" s="1033">
        <v>100408</v>
      </c>
      <c r="B4262" s="129">
        <v>1500272</v>
      </c>
      <c r="C4262" s="130">
        <v>202</v>
      </c>
      <c r="D4262" s="130">
        <v>16</v>
      </c>
      <c r="E4262" s="130">
        <v>202</v>
      </c>
      <c r="F4262" s="1031">
        <v>1315548.97</v>
      </c>
      <c r="G4262" s="1031">
        <v>-1065276.6299999999</v>
      </c>
      <c r="H4262" s="1031">
        <v>250272.34</v>
      </c>
      <c r="I4262" s="1032" t="s">
        <v>1720</v>
      </c>
    </row>
    <row r="4263" spans="1:9" x14ac:dyDescent="0.25">
      <c r="A4263" s="1033"/>
      <c r="C4263" s="130">
        <v>202</v>
      </c>
      <c r="D4263" s="130">
        <v>16</v>
      </c>
      <c r="E4263" s="130" t="s">
        <v>1721</v>
      </c>
      <c r="F4263" s="1031">
        <v>1300000</v>
      </c>
      <c r="G4263" s="1031">
        <v>-200000</v>
      </c>
      <c r="H4263" s="1031">
        <v>1100000</v>
      </c>
      <c r="I4263" s="1032" t="s">
        <v>1722</v>
      </c>
    </row>
    <row r="4264" spans="1:9" x14ac:dyDescent="0.25">
      <c r="A4264" s="1033"/>
      <c r="C4264" s="130">
        <v>202</v>
      </c>
      <c r="D4264" s="130">
        <v>16</v>
      </c>
      <c r="E4264" s="130" t="s">
        <v>1723</v>
      </c>
      <c r="F4264" s="1031">
        <v>0</v>
      </c>
      <c r="G4264" s="1031">
        <v>150000</v>
      </c>
      <c r="H4264" s="1031">
        <v>150000</v>
      </c>
      <c r="I4264" s="1032" t="s">
        <v>1724</v>
      </c>
    </row>
    <row r="4265" spans="1:9" x14ac:dyDescent="0.25">
      <c r="A4265" s="1033">
        <v>100418</v>
      </c>
      <c r="B4265" s="129">
        <v>78854</v>
      </c>
      <c r="C4265" s="130">
        <v>303</v>
      </c>
      <c r="D4265" s="130">
        <v>16</v>
      </c>
      <c r="E4265" s="130">
        <v>303</v>
      </c>
      <c r="F4265" s="1031">
        <v>-41853.99</v>
      </c>
      <c r="G4265" s="1031">
        <v>-37000</v>
      </c>
      <c r="H4265" s="1031">
        <v>-78853.990000000005</v>
      </c>
      <c r="I4265" s="1032" t="s">
        <v>1725</v>
      </c>
    </row>
    <row r="4266" spans="1:9" x14ac:dyDescent="0.25">
      <c r="A4266" s="1033">
        <v>100508</v>
      </c>
      <c r="B4266" s="129">
        <v>322735</v>
      </c>
      <c r="C4266" s="130">
        <v>205</v>
      </c>
      <c r="D4266" s="130">
        <v>16</v>
      </c>
      <c r="E4266" s="130">
        <v>205</v>
      </c>
      <c r="F4266" s="1031">
        <v>209425.71</v>
      </c>
      <c r="G4266" s="1031">
        <v>113309.28</v>
      </c>
      <c r="H4266" s="1031">
        <v>322734.99</v>
      </c>
      <c r="I4266" s="1032" t="s">
        <v>1726</v>
      </c>
    </row>
    <row r="4267" spans="1:9" x14ac:dyDescent="0.25">
      <c r="A4267" s="1033">
        <v>100518</v>
      </c>
      <c r="B4267" s="129">
        <v>0</v>
      </c>
      <c r="E4267" s="130"/>
    </row>
    <row r="4268" spans="1:9" x14ac:dyDescent="0.25">
      <c r="A4268" s="1033">
        <v>100608</v>
      </c>
      <c r="B4268" s="129">
        <v>1823707</v>
      </c>
      <c r="E4268" s="130"/>
    </row>
    <row r="4269" spans="1:9" x14ac:dyDescent="0.25">
      <c r="A4269" s="1033">
        <v>100618</v>
      </c>
      <c r="B4269" s="129">
        <v>7780</v>
      </c>
      <c r="E4269" s="130"/>
    </row>
    <row r="4270" spans="1:9" x14ac:dyDescent="0.25">
      <c r="A4270" s="1033">
        <v>100808</v>
      </c>
      <c r="B4270" s="129">
        <v>6852</v>
      </c>
      <c r="C4270" s="130">
        <v>210</v>
      </c>
      <c r="D4270" s="130">
        <v>16</v>
      </c>
      <c r="E4270" s="130">
        <v>210</v>
      </c>
      <c r="F4270" s="1031">
        <v>3918.66</v>
      </c>
      <c r="G4270" s="1031">
        <v>-1175.44</v>
      </c>
      <c r="H4270" s="1031">
        <v>2743.22</v>
      </c>
      <c r="I4270" s="1032" t="s">
        <v>1727</v>
      </c>
    </row>
    <row r="4271" spans="1:9" x14ac:dyDescent="0.25">
      <c r="A4271" s="1033"/>
      <c r="C4271" s="130">
        <v>210</v>
      </c>
      <c r="D4271" s="130">
        <v>16</v>
      </c>
      <c r="E4271" s="130" t="s">
        <v>1728</v>
      </c>
      <c r="F4271" s="1031">
        <v>150465</v>
      </c>
      <c r="G4271" s="1031">
        <v>-146355.82999999999</v>
      </c>
      <c r="H4271" s="1031">
        <v>4109.17</v>
      </c>
      <c r="I4271" s="1032" t="s">
        <v>1729</v>
      </c>
    </row>
    <row r="4272" spans="1:9" x14ac:dyDescent="0.25">
      <c r="A4272" s="1033">
        <v>100908</v>
      </c>
      <c r="B4272" s="129">
        <v>51421</v>
      </c>
      <c r="C4272" s="130">
        <v>220</v>
      </c>
      <c r="D4272" s="130">
        <v>16</v>
      </c>
      <c r="E4272" s="130">
        <v>220</v>
      </c>
      <c r="F4272" s="1031">
        <v>66402</v>
      </c>
      <c r="G4272" s="1031">
        <v>-10760.22</v>
      </c>
      <c r="H4272" s="1031">
        <v>55641.78</v>
      </c>
      <c r="I4272" s="1032" t="s">
        <v>1730</v>
      </c>
    </row>
    <row r="4273" spans="1:9" x14ac:dyDescent="0.25">
      <c r="A4273" s="1033"/>
      <c r="C4273" s="130">
        <v>220</v>
      </c>
      <c r="D4273" s="130">
        <v>16</v>
      </c>
      <c r="E4273" s="130">
        <v>223</v>
      </c>
      <c r="F4273" s="1031">
        <v>-7311.49</v>
      </c>
      <c r="G4273" s="1031">
        <v>0</v>
      </c>
      <c r="H4273" s="1031">
        <v>-7311.49</v>
      </c>
      <c r="I4273" s="1032" t="s">
        <v>1731</v>
      </c>
    </row>
    <row r="4274" spans="1:9" x14ac:dyDescent="0.25">
      <c r="A4274" s="1033"/>
      <c r="C4274" s="130">
        <v>220</v>
      </c>
      <c r="D4274" s="130">
        <v>16</v>
      </c>
      <c r="E4274" s="130" t="s">
        <v>1732</v>
      </c>
      <c r="F4274" s="1031">
        <v>4907.1899999999996</v>
      </c>
      <c r="G4274" s="1031">
        <v>-3119.26</v>
      </c>
      <c r="H4274" s="1031">
        <v>1787.93</v>
      </c>
      <c r="I4274" s="1032" t="s">
        <v>1733</v>
      </c>
    </row>
    <row r="4275" spans="1:9" x14ac:dyDescent="0.25">
      <c r="A4275" s="1033"/>
      <c r="C4275" s="130">
        <v>220</v>
      </c>
      <c r="D4275" s="130">
        <v>16</v>
      </c>
      <c r="E4275" s="130" t="s">
        <v>1734</v>
      </c>
      <c r="F4275" s="1031">
        <v>558.12</v>
      </c>
      <c r="G4275" s="1031">
        <v>669.61</v>
      </c>
      <c r="H4275" s="1031">
        <v>1227.73</v>
      </c>
      <c r="I4275" s="1032" t="s">
        <v>1735</v>
      </c>
    </row>
    <row r="4276" spans="1:9" x14ac:dyDescent="0.25">
      <c r="A4276" s="1033"/>
      <c r="C4276" s="130">
        <v>220</v>
      </c>
      <c r="D4276" s="130">
        <v>16</v>
      </c>
      <c r="E4276" s="130" t="s">
        <v>1736</v>
      </c>
      <c r="F4276" s="1031">
        <v>0</v>
      </c>
      <c r="G4276" s="1031">
        <v>75</v>
      </c>
      <c r="H4276" s="1031">
        <v>75</v>
      </c>
      <c r="I4276" s="1032" t="s">
        <v>1737</v>
      </c>
    </row>
    <row r="4277" spans="1:9" x14ac:dyDescent="0.25">
      <c r="A4277" s="1033">
        <v>100918</v>
      </c>
      <c r="B4277" s="129">
        <v>6074166</v>
      </c>
      <c r="C4277" s="130">
        <v>310</v>
      </c>
      <c r="D4277" s="130">
        <v>16</v>
      </c>
      <c r="E4277" s="130">
        <v>310</v>
      </c>
      <c r="F4277" s="1031">
        <v>-6456687.7400000002</v>
      </c>
      <c r="G4277" s="1031">
        <v>382522.06</v>
      </c>
      <c r="H4277" s="1031">
        <v>-6074165.6799999997</v>
      </c>
      <c r="I4277" s="1032" t="s">
        <v>1738</v>
      </c>
    </row>
    <row r="4278" spans="1:9" x14ac:dyDescent="0.25">
      <c r="A4278" s="1033">
        <v>101008</v>
      </c>
      <c r="B4278" s="129">
        <v>31899</v>
      </c>
      <c r="C4278" s="130">
        <v>221</v>
      </c>
      <c r="D4278" s="130">
        <v>16</v>
      </c>
      <c r="E4278" s="130">
        <v>221</v>
      </c>
      <c r="F4278" s="1031">
        <v>90825.79</v>
      </c>
      <c r="G4278" s="1031">
        <v>-58927.21</v>
      </c>
      <c r="H4278" s="1031">
        <v>31898.58</v>
      </c>
      <c r="I4278" s="1032" t="s">
        <v>1739</v>
      </c>
    </row>
    <row r="4279" spans="1:9" x14ac:dyDescent="0.25">
      <c r="A4279" s="1033">
        <v>101018</v>
      </c>
      <c r="B4279" s="129">
        <v>1084204</v>
      </c>
      <c r="C4279" s="130">
        <v>311</v>
      </c>
      <c r="D4279" s="130">
        <v>16</v>
      </c>
      <c r="E4279" s="130">
        <v>311</v>
      </c>
      <c r="F4279" s="1031">
        <v>-844141.52</v>
      </c>
      <c r="G4279" s="1031">
        <v>-240062.1</v>
      </c>
      <c r="H4279" s="1031">
        <v>-1084203.6200000001</v>
      </c>
      <c r="I4279" s="1032" t="s">
        <v>1740</v>
      </c>
    </row>
    <row r="4280" spans="1:9" x14ac:dyDescent="0.25">
      <c r="A4280" s="1033">
        <v>101108</v>
      </c>
      <c r="B4280" s="129">
        <v>55356</v>
      </c>
      <c r="C4280" s="130" t="s">
        <v>35</v>
      </c>
      <c r="D4280" s="130">
        <v>16</v>
      </c>
      <c r="E4280" s="130" t="s">
        <v>35</v>
      </c>
      <c r="F4280" s="1031">
        <v>89118</v>
      </c>
      <c r="G4280" s="1031">
        <v>-98462</v>
      </c>
      <c r="H4280" s="1031">
        <v>-9344</v>
      </c>
      <c r="I4280" s="1032" t="s">
        <v>1741</v>
      </c>
    </row>
    <row r="4281" spans="1:9" x14ac:dyDescent="0.25">
      <c r="A4281" s="1033"/>
      <c r="C4281" s="130" t="s">
        <v>35</v>
      </c>
      <c r="D4281" s="130">
        <v>16</v>
      </c>
      <c r="E4281" s="130" t="s">
        <v>1742</v>
      </c>
      <c r="F4281" s="1031">
        <v>129000</v>
      </c>
      <c r="G4281" s="1031">
        <v>-58000</v>
      </c>
      <c r="H4281" s="1031">
        <v>71000</v>
      </c>
      <c r="I4281" s="1032" t="s">
        <v>1743</v>
      </c>
    </row>
    <row r="4282" spans="1:9" x14ac:dyDescent="0.25">
      <c r="A4282" s="1033"/>
      <c r="C4282" s="130" t="s">
        <v>35</v>
      </c>
      <c r="D4282" s="130">
        <v>16</v>
      </c>
      <c r="E4282" s="130">
        <v>224</v>
      </c>
      <c r="F4282" s="1031">
        <v>-6300</v>
      </c>
      <c r="G4282" s="1031">
        <v>0</v>
      </c>
      <c r="H4282" s="1031">
        <v>-6300</v>
      </c>
      <c r="I4282" s="1032" t="s">
        <v>1744</v>
      </c>
    </row>
    <row r="4283" spans="1:9" x14ac:dyDescent="0.25">
      <c r="A4283" s="1033">
        <v>101118</v>
      </c>
      <c r="B4283" s="129">
        <v>0</v>
      </c>
      <c r="E4283" s="130"/>
    </row>
    <row r="4284" spans="1:9" x14ac:dyDescent="0.25">
      <c r="A4284" s="1033">
        <v>101208</v>
      </c>
      <c r="B4284" s="129">
        <v>24296</v>
      </c>
      <c r="C4284" s="130" t="s">
        <v>1745</v>
      </c>
      <c r="D4284" s="130">
        <v>16</v>
      </c>
      <c r="E4284" s="130" t="s">
        <v>1745</v>
      </c>
      <c r="F4284" s="1031">
        <v>23437.33</v>
      </c>
      <c r="G4284" s="1031">
        <v>859.1</v>
      </c>
      <c r="H4284" s="1031">
        <v>24296.43</v>
      </c>
      <c r="I4284" s="1032" t="s">
        <v>1746</v>
      </c>
    </row>
    <row r="4285" spans="1:9" x14ac:dyDescent="0.25">
      <c r="A4285" s="1033">
        <v>101218</v>
      </c>
      <c r="B4285" s="129">
        <v>0</v>
      </c>
      <c r="E4285" s="130"/>
    </row>
    <row r="4286" spans="1:9" x14ac:dyDescent="0.25">
      <c r="A4286" s="1033">
        <v>101308</v>
      </c>
      <c r="B4286" s="129">
        <v>0</v>
      </c>
      <c r="E4286" s="130"/>
    </row>
    <row r="4287" spans="1:9" x14ac:dyDescent="0.25">
      <c r="A4287" s="1033">
        <v>101318</v>
      </c>
      <c r="B4287" s="129">
        <v>0</v>
      </c>
      <c r="C4287" s="130">
        <v>314</v>
      </c>
      <c r="D4287" s="130">
        <v>16</v>
      </c>
      <c r="E4287" s="130" t="s">
        <v>1747</v>
      </c>
      <c r="F4287" s="1031">
        <v>-23357</v>
      </c>
      <c r="G4287" s="1031">
        <v>23357</v>
      </c>
      <c r="H4287" s="1031">
        <v>0</v>
      </c>
      <c r="I4287" s="1032" t="s">
        <v>1748</v>
      </c>
    </row>
    <row r="4288" spans="1:9" x14ac:dyDescent="0.25">
      <c r="A4288" s="1033">
        <v>101408</v>
      </c>
      <c r="B4288" s="129">
        <v>169824</v>
      </c>
      <c r="E4288" s="130"/>
    </row>
    <row r="4289" spans="1:9" x14ac:dyDescent="0.25">
      <c r="A4289" s="1033">
        <v>101418</v>
      </c>
      <c r="B4289" s="129">
        <v>0</v>
      </c>
      <c r="E4289" s="130"/>
    </row>
    <row r="4290" spans="1:9" x14ac:dyDescent="0.25">
      <c r="A4290" s="1033">
        <v>101518</v>
      </c>
      <c r="B4290" s="129">
        <v>7158370</v>
      </c>
      <c r="E4290" s="130"/>
    </row>
    <row r="4291" spans="1:9" x14ac:dyDescent="0.25">
      <c r="A4291" s="1033">
        <v>101706</v>
      </c>
      <c r="B4291" s="129">
        <v>17</v>
      </c>
      <c r="C4291" s="130" t="s">
        <v>1749</v>
      </c>
      <c r="D4291" s="130">
        <v>16</v>
      </c>
      <c r="E4291" s="130" t="s">
        <v>1749</v>
      </c>
      <c r="F4291" s="1031">
        <v>0.2</v>
      </c>
      <c r="G4291" s="1031">
        <v>-0.03</v>
      </c>
      <c r="H4291" s="1031">
        <v>0.17</v>
      </c>
      <c r="I4291" s="1032" t="s">
        <v>1750</v>
      </c>
    </row>
    <row r="4292" spans="1:9" x14ac:dyDescent="0.25">
      <c r="A4292" s="1033">
        <v>101708</v>
      </c>
      <c r="B4292" s="129">
        <v>1170527</v>
      </c>
      <c r="C4292" s="130">
        <v>230</v>
      </c>
      <c r="D4292" s="130">
        <v>16</v>
      </c>
      <c r="E4292" s="130">
        <v>230</v>
      </c>
      <c r="F4292" s="1031">
        <v>1395728.86</v>
      </c>
      <c r="G4292" s="1031">
        <v>-225201.98</v>
      </c>
      <c r="H4292" s="1031">
        <v>1170526.8799999999</v>
      </c>
      <c r="I4292" s="1032" t="s">
        <v>1751</v>
      </c>
    </row>
    <row r="4293" spans="1:9" x14ac:dyDescent="0.25">
      <c r="A4293" s="1033">
        <v>101806</v>
      </c>
      <c r="B4293" s="129">
        <v>42</v>
      </c>
      <c r="C4293" s="130" t="s">
        <v>1752</v>
      </c>
      <c r="D4293" s="130">
        <v>16</v>
      </c>
      <c r="E4293" s="130" t="s">
        <v>1752</v>
      </c>
      <c r="F4293" s="1031">
        <v>0.33</v>
      </c>
      <c r="G4293" s="1031">
        <v>0.09</v>
      </c>
      <c r="H4293" s="1031">
        <v>0.42</v>
      </c>
      <c r="I4293" s="1032" t="s">
        <v>1753</v>
      </c>
    </row>
    <row r="4294" spans="1:9" x14ac:dyDescent="0.25">
      <c r="A4294" s="1033">
        <v>101808</v>
      </c>
      <c r="B4294" s="129">
        <v>3344604</v>
      </c>
      <c r="C4294" s="130">
        <v>232</v>
      </c>
      <c r="D4294" s="130">
        <v>16</v>
      </c>
      <c r="E4294" s="130">
        <v>232</v>
      </c>
      <c r="F4294" s="1031">
        <v>2332415.44</v>
      </c>
      <c r="G4294" s="1031">
        <v>1012189</v>
      </c>
      <c r="H4294" s="1031">
        <v>3344604.44</v>
      </c>
      <c r="I4294" s="1032" t="s">
        <v>1754</v>
      </c>
    </row>
    <row r="4295" spans="1:9" x14ac:dyDescent="0.25">
      <c r="A4295" s="1033">
        <v>101818</v>
      </c>
      <c r="B4295" s="129">
        <v>0</v>
      </c>
      <c r="E4295" s="130"/>
    </row>
    <row r="4296" spans="1:9" x14ac:dyDescent="0.25">
      <c r="A4296" s="1033">
        <v>101906</v>
      </c>
      <c r="B4296" s="129">
        <v>10</v>
      </c>
      <c r="C4296" s="130" t="s">
        <v>1755</v>
      </c>
      <c r="D4296" s="130">
        <v>16</v>
      </c>
      <c r="E4296" s="130" t="s">
        <v>1755</v>
      </c>
      <c r="F4296" s="1031">
        <v>0.13</v>
      </c>
      <c r="G4296" s="1031">
        <v>-0.03</v>
      </c>
      <c r="H4296" s="1031">
        <v>0.1</v>
      </c>
      <c r="I4296" s="1032" t="s">
        <v>1756</v>
      </c>
    </row>
    <row r="4297" spans="1:9" x14ac:dyDescent="0.25">
      <c r="A4297" s="1033">
        <v>101908</v>
      </c>
      <c r="B4297" s="129">
        <v>1012436</v>
      </c>
      <c r="C4297" s="130">
        <v>234</v>
      </c>
      <c r="D4297" s="130">
        <v>16</v>
      </c>
      <c r="E4297" s="130">
        <v>234</v>
      </c>
      <c r="F4297" s="1031">
        <v>1349280.91</v>
      </c>
      <c r="G4297" s="1031">
        <v>-336844.66</v>
      </c>
      <c r="H4297" s="1031">
        <v>1012436.25</v>
      </c>
      <c r="I4297" s="1032" t="s">
        <v>1757</v>
      </c>
    </row>
    <row r="4298" spans="1:9" x14ac:dyDescent="0.25">
      <c r="A4298" s="1033">
        <v>101918</v>
      </c>
      <c r="B4298" s="129">
        <v>181492</v>
      </c>
      <c r="C4298" s="130">
        <v>321</v>
      </c>
      <c r="D4298" s="130">
        <v>16</v>
      </c>
      <c r="E4298" s="130">
        <v>321</v>
      </c>
      <c r="F4298" s="1031">
        <v>-13117.16</v>
      </c>
      <c r="G4298" s="1031">
        <v>9528.51</v>
      </c>
      <c r="H4298" s="1031">
        <v>-3588.65</v>
      </c>
      <c r="I4298" s="1032" t="s">
        <v>1758</v>
      </c>
    </row>
    <row r="4299" spans="1:9" x14ac:dyDescent="0.25">
      <c r="A4299" s="1033"/>
      <c r="C4299" s="130">
        <v>321</v>
      </c>
      <c r="D4299" s="130">
        <v>16</v>
      </c>
      <c r="E4299" s="130" t="s">
        <v>1759</v>
      </c>
      <c r="F4299" s="1031">
        <v>-1742.27</v>
      </c>
      <c r="G4299" s="1031">
        <v>4853.63</v>
      </c>
      <c r="H4299" s="1031">
        <v>3111.36</v>
      </c>
      <c r="I4299" s="1032" t="s">
        <v>1760</v>
      </c>
    </row>
    <row r="4300" spans="1:9" x14ac:dyDescent="0.25">
      <c r="A4300" s="1033"/>
      <c r="C4300" s="130">
        <v>321</v>
      </c>
      <c r="D4300" s="130">
        <v>16</v>
      </c>
      <c r="E4300" s="130" t="s">
        <v>1761</v>
      </c>
      <c r="F4300" s="1031">
        <v>-150707.59</v>
      </c>
      <c r="G4300" s="1031">
        <v>-9270.85</v>
      </c>
      <c r="H4300" s="1031">
        <v>-159978.44</v>
      </c>
      <c r="I4300" s="1032" t="s">
        <v>1762</v>
      </c>
    </row>
    <row r="4301" spans="1:9" x14ac:dyDescent="0.25">
      <c r="A4301" s="1033"/>
      <c r="C4301" s="130">
        <v>321</v>
      </c>
      <c r="D4301" s="130">
        <v>16</v>
      </c>
      <c r="E4301" s="130" t="s">
        <v>1763</v>
      </c>
      <c r="F4301" s="1031">
        <v>-21035.79</v>
      </c>
      <c r="G4301" s="1031">
        <v>0</v>
      </c>
      <c r="H4301" s="1031">
        <v>-21035.79</v>
      </c>
      <c r="I4301" s="1032" t="s">
        <v>1764</v>
      </c>
    </row>
    <row r="4302" spans="1:9" x14ac:dyDescent="0.25">
      <c r="A4302" s="1033">
        <v>102006</v>
      </c>
      <c r="B4302" s="129">
        <v>0</v>
      </c>
      <c r="E4302" s="130"/>
    </row>
    <row r="4303" spans="1:9" x14ac:dyDescent="0.25">
      <c r="A4303" s="1033">
        <v>102008</v>
      </c>
      <c r="B4303" s="129">
        <v>0</v>
      </c>
      <c r="E4303" s="130"/>
    </row>
    <row r="4304" spans="1:9" x14ac:dyDescent="0.25">
      <c r="A4304" s="1033">
        <v>102018</v>
      </c>
      <c r="B4304" s="129">
        <v>-11608</v>
      </c>
      <c r="C4304" s="130">
        <v>322</v>
      </c>
      <c r="D4304" s="130">
        <v>16</v>
      </c>
      <c r="E4304" s="130">
        <v>322</v>
      </c>
      <c r="F4304" s="1031">
        <v>11608.01</v>
      </c>
      <c r="G4304" s="1031">
        <v>0</v>
      </c>
      <c r="H4304" s="1031">
        <v>11608.01</v>
      </c>
      <c r="I4304" s="1032" t="s">
        <v>1765</v>
      </c>
    </row>
    <row r="4305" spans="1:9" x14ac:dyDescent="0.25">
      <c r="A4305" s="1033">
        <v>102106</v>
      </c>
      <c r="B4305" s="129">
        <v>0</v>
      </c>
      <c r="E4305" s="130"/>
    </row>
    <row r="4306" spans="1:9" x14ac:dyDescent="0.25">
      <c r="A4306" s="1033">
        <v>102108</v>
      </c>
      <c r="B4306" s="129">
        <v>0</v>
      </c>
      <c r="E4306" s="130"/>
    </row>
    <row r="4307" spans="1:9" x14ac:dyDescent="0.25">
      <c r="A4307" s="1033">
        <v>102118</v>
      </c>
      <c r="B4307" s="129">
        <v>25513</v>
      </c>
      <c r="C4307" s="130">
        <v>323</v>
      </c>
      <c r="D4307" s="130">
        <v>16</v>
      </c>
      <c r="E4307" s="130" t="s">
        <v>1766</v>
      </c>
      <c r="F4307" s="1031">
        <v>0</v>
      </c>
      <c r="G4307" s="1031">
        <v>-425</v>
      </c>
      <c r="H4307" s="1031">
        <v>-425</v>
      </c>
      <c r="I4307" s="1032" t="s">
        <v>1767</v>
      </c>
    </row>
    <row r="4308" spans="1:9" x14ac:dyDescent="0.25">
      <c r="A4308" s="1033"/>
      <c r="C4308" s="130">
        <v>323</v>
      </c>
      <c r="D4308" s="130">
        <v>16</v>
      </c>
      <c r="E4308" s="130" t="s">
        <v>1768</v>
      </c>
      <c r="F4308" s="1031">
        <v>-440.86</v>
      </c>
      <c r="G4308" s="1031">
        <v>-64.42</v>
      </c>
      <c r="H4308" s="1031">
        <v>-505.28</v>
      </c>
      <c r="I4308" s="1032" t="s">
        <v>1769</v>
      </c>
    </row>
    <row r="4309" spans="1:9" x14ac:dyDescent="0.25">
      <c r="A4309" s="1033"/>
      <c r="C4309" s="130">
        <v>323</v>
      </c>
      <c r="D4309" s="130">
        <v>16</v>
      </c>
      <c r="E4309" s="130" t="s">
        <v>1770</v>
      </c>
      <c r="F4309" s="1031">
        <v>0</v>
      </c>
      <c r="G4309" s="1031">
        <v>-3251.67</v>
      </c>
      <c r="H4309" s="1031">
        <v>-3251.67</v>
      </c>
      <c r="I4309" s="1032" t="s">
        <v>1771</v>
      </c>
    </row>
    <row r="4310" spans="1:9" x14ac:dyDescent="0.25">
      <c r="A4310" s="1033"/>
      <c r="C4310" s="130">
        <v>323</v>
      </c>
      <c r="D4310" s="130">
        <v>16</v>
      </c>
      <c r="E4310" s="130" t="s">
        <v>1772</v>
      </c>
      <c r="F4310" s="1031">
        <v>-20108.07</v>
      </c>
      <c r="G4310" s="1031">
        <v>-366.54</v>
      </c>
      <c r="H4310" s="1031">
        <v>-20474.61</v>
      </c>
      <c r="I4310" s="1032" t="s">
        <v>1773</v>
      </c>
    </row>
    <row r="4311" spans="1:9" x14ac:dyDescent="0.25">
      <c r="A4311" s="1033"/>
      <c r="C4311" s="130">
        <v>323</v>
      </c>
      <c r="D4311" s="130">
        <v>16</v>
      </c>
      <c r="E4311" s="130" t="s">
        <v>1774</v>
      </c>
      <c r="F4311" s="1031">
        <v>0</v>
      </c>
      <c r="G4311" s="1031">
        <v>-856.42</v>
      </c>
      <c r="H4311" s="1031">
        <v>-856.42</v>
      </c>
      <c r="I4311" s="1032" t="s">
        <v>1775</v>
      </c>
    </row>
    <row r="4312" spans="1:9" x14ac:dyDescent="0.25">
      <c r="A4312" s="1033">
        <v>102204</v>
      </c>
      <c r="B4312" s="129">
        <v>0</v>
      </c>
      <c r="E4312" s="130"/>
    </row>
    <row r="4313" spans="1:9" x14ac:dyDescent="0.25">
      <c r="A4313" s="1033">
        <v>102205</v>
      </c>
      <c r="B4313" s="129">
        <v>0</v>
      </c>
      <c r="E4313" s="130"/>
    </row>
    <row r="4314" spans="1:9" x14ac:dyDescent="0.25">
      <c r="A4314" s="1033">
        <v>102206</v>
      </c>
      <c r="B4314" s="129">
        <v>0</v>
      </c>
      <c r="E4314" s="130"/>
    </row>
    <row r="4315" spans="1:9" x14ac:dyDescent="0.25">
      <c r="A4315" s="1033">
        <v>102207</v>
      </c>
      <c r="B4315" s="129">
        <v>0</v>
      </c>
      <c r="E4315" s="130"/>
    </row>
    <row r="4316" spans="1:9" x14ac:dyDescent="0.25">
      <c r="A4316" s="1033">
        <v>102208</v>
      </c>
      <c r="B4316" s="129">
        <v>0</v>
      </c>
      <c r="E4316" s="130"/>
    </row>
    <row r="4317" spans="1:9" x14ac:dyDescent="0.25">
      <c r="A4317" s="1033">
        <v>102218</v>
      </c>
      <c r="B4317" s="129">
        <v>33290</v>
      </c>
      <c r="C4317" s="130">
        <v>324</v>
      </c>
      <c r="D4317" s="130">
        <v>16</v>
      </c>
      <c r="E4317" s="130">
        <v>325</v>
      </c>
      <c r="F4317" s="1031">
        <v>-67181.67</v>
      </c>
      <c r="G4317" s="1031">
        <v>1833.43</v>
      </c>
      <c r="H4317" s="1031">
        <v>-65348.24</v>
      </c>
      <c r="I4317" s="1032" t="s">
        <v>1776</v>
      </c>
    </row>
    <row r="4318" spans="1:9" x14ac:dyDescent="0.25">
      <c r="A4318" s="1033"/>
      <c r="C4318" s="130">
        <v>324</v>
      </c>
      <c r="D4318" s="130">
        <v>16</v>
      </c>
      <c r="E4318" s="130" t="s">
        <v>1777</v>
      </c>
      <c r="F4318" s="1031">
        <v>32589.54</v>
      </c>
      <c r="G4318" s="1031">
        <v>8495.9699999999993</v>
      </c>
      <c r="H4318" s="1031">
        <v>41085.51</v>
      </c>
      <c r="I4318" s="1032" t="s">
        <v>1778</v>
      </c>
    </row>
    <row r="4319" spans="1:9" x14ac:dyDescent="0.25">
      <c r="A4319" s="1033"/>
      <c r="C4319" s="130">
        <v>324</v>
      </c>
      <c r="D4319" s="130">
        <v>16</v>
      </c>
      <c r="E4319" s="130">
        <v>326</v>
      </c>
      <c r="F4319" s="1031">
        <v>-972</v>
      </c>
      <c r="G4319" s="1031">
        <v>315</v>
      </c>
      <c r="H4319" s="1031">
        <v>-657</v>
      </c>
      <c r="I4319" s="1032" t="s">
        <v>1779</v>
      </c>
    </row>
    <row r="4320" spans="1:9" x14ac:dyDescent="0.25">
      <c r="A4320" s="1033"/>
      <c r="C4320" s="130">
        <v>324</v>
      </c>
      <c r="D4320" s="130">
        <v>16</v>
      </c>
      <c r="E4320" s="130" t="s">
        <v>1780</v>
      </c>
      <c r="F4320" s="1031">
        <v>-65560.800000000003</v>
      </c>
      <c r="G4320" s="1031">
        <v>57190.94</v>
      </c>
      <c r="H4320" s="1031">
        <v>-8369.86</v>
      </c>
      <c r="I4320" s="1032" t="s">
        <v>1781</v>
      </c>
    </row>
    <row r="4321" spans="1:9" x14ac:dyDescent="0.25">
      <c r="A4321" s="1033">
        <v>102306</v>
      </c>
      <c r="B4321" s="129">
        <v>0</v>
      </c>
      <c r="E4321" s="130"/>
    </row>
    <row r="4322" spans="1:9" x14ac:dyDescent="0.25">
      <c r="A4322" s="1033">
        <v>102308</v>
      </c>
      <c r="B4322" s="129">
        <v>0</v>
      </c>
      <c r="E4322" s="130"/>
    </row>
    <row r="4323" spans="1:9" x14ac:dyDescent="0.25">
      <c r="A4323" s="1033">
        <v>102318</v>
      </c>
      <c r="B4323" s="129">
        <v>-45932</v>
      </c>
      <c r="C4323" s="130" t="s">
        <v>1782</v>
      </c>
      <c r="D4323" s="130">
        <v>16</v>
      </c>
      <c r="E4323" s="130">
        <v>324</v>
      </c>
      <c r="F4323" s="1031">
        <v>-195643.86</v>
      </c>
      <c r="G4323" s="1031">
        <v>61861.66</v>
      </c>
      <c r="H4323" s="1031">
        <v>-133782.20000000001</v>
      </c>
      <c r="I4323" s="1032" t="s">
        <v>1783</v>
      </c>
    </row>
    <row r="4324" spans="1:9" x14ac:dyDescent="0.25">
      <c r="A4324" s="1033"/>
      <c r="C4324" s="130" t="s">
        <v>1782</v>
      </c>
      <c r="D4324" s="130">
        <v>16</v>
      </c>
      <c r="E4324" s="130" t="s">
        <v>1784</v>
      </c>
      <c r="F4324" s="1031">
        <v>103191.97</v>
      </c>
      <c r="G4324" s="1031">
        <v>76521.95</v>
      </c>
      <c r="H4324" s="1031">
        <v>179713.92000000001</v>
      </c>
      <c r="I4324" s="1032" t="s">
        <v>1785</v>
      </c>
    </row>
    <row r="4325" spans="1:9" x14ac:dyDescent="0.25">
      <c r="A4325" s="1033">
        <v>102408</v>
      </c>
      <c r="B4325" s="129">
        <v>5527567</v>
      </c>
      <c r="E4325" s="130"/>
    </row>
    <row r="4326" spans="1:9" x14ac:dyDescent="0.25">
      <c r="A4326" s="1033">
        <v>102418</v>
      </c>
      <c r="B4326" s="129">
        <v>819185</v>
      </c>
      <c r="C4326" s="130">
        <v>327</v>
      </c>
      <c r="D4326" s="130">
        <v>16</v>
      </c>
      <c r="E4326" s="130">
        <v>327</v>
      </c>
      <c r="F4326" s="1031">
        <v>-819185.49</v>
      </c>
      <c r="G4326" s="1031">
        <v>0</v>
      </c>
      <c r="H4326" s="1031">
        <v>-819185.49</v>
      </c>
      <c r="I4326" s="1032" t="s">
        <v>1786</v>
      </c>
    </row>
    <row r="4327" spans="1:9" x14ac:dyDescent="0.25">
      <c r="A4327" s="1033">
        <v>102518</v>
      </c>
      <c r="B4327" s="129">
        <v>87165</v>
      </c>
      <c r="C4327" s="130">
        <v>328</v>
      </c>
      <c r="D4327" s="130">
        <v>16</v>
      </c>
      <c r="E4327" s="130">
        <v>328</v>
      </c>
      <c r="F4327" s="1031">
        <v>-118264.2</v>
      </c>
      <c r="G4327" s="1031">
        <v>31098.74</v>
      </c>
      <c r="H4327" s="1031">
        <v>-87165.46</v>
      </c>
      <c r="I4327" s="1032" t="s">
        <v>1787</v>
      </c>
    </row>
    <row r="4328" spans="1:9" x14ac:dyDescent="0.25">
      <c r="A4328" s="1033">
        <v>102605</v>
      </c>
      <c r="B4328" s="129">
        <v>15</v>
      </c>
      <c r="C4328" s="130" t="s">
        <v>1788</v>
      </c>
      <c r="D4328" s="130">
        <v>16</v>
      </c>
      <c r="E4328" s="130" t="s">
        <v>1788</v>
      </c>
      <c r="F4328" s="1031">
        <v>0.08</v>
      </c>
      <c r="G4328" s="1031">
        <v>7.0000000000000007E-2</v>
      </c>
      <c r="H4328" s="1031">
        <v>0.15</v>
      </c>
      <c r="I4328" s="1032" t="s">
        <v>1789</v>
      </c>
    </row>
    <row r="4329" spans="1:9" x14ac:dyDescent="0.25">
      <c r="A4329" s="1033">
        <v>102606</v>
      </c>
      <c r="B4329" s="129">
        <v>4</v>
      </c>
      <c r="C4329" s="130">
        <v>156</v>
      </c>
      <c r="D4329" s="130">
        <v>16</v>
      </c>
      <c r="E4329" s="130">
        <v>156</v>
      </c>
      <c r="F4329" s="1031">
        <v>0</v>
      </c>
      <c r="G4329" s="1031">
        <v>0.04</v>
      </c>
      <c r="H4329" s="1031">
        <v>0.04</v>
      </c>
      <c r="I4329" s="1032" t="s">
        <v>1790</v>
      </c>
    </row>
    <row r="4330" spans="1:9" x14ac:dyDescent="0.25">
      <c r="A4330" s="1033">
        <v>102608</v>
      </c>
      <c r="B4330" s="129">
        <v>625584</v>
      </c>
      <c r="C4330" s="130" t="s">
        <v>67</v>
      </c>
      <c r="D4330" s="130">
        <v>16</v>
      </c>
      <c r="E4330" s="130" t="s">
        <v>67</v>
      </c>
      <c r="F4330" s="1031">
        <v>329069.17</v>
      </c>
      <c r="G4330" s="1031">
        <v>296514.74</v>
      </c>
      <c r="H4330" s="1031">
        <v>625583.91</v>
      </c>
      <c r="I4330" s="1032" t="s">
        <v>1791</v>
      </c>
    </row>
    <row r="4331" spans="1:9" x14ac:dyDescent="0.25">
      <c r="A4331" s="1033">
        <v>102618</v>
      </c>
      <c r="B4331" s="129">
        <v>0</v>
      </c>
      <c r="E4331" s="130"/>
    </row>
    <row r="4332" spans="1:9" x14ac:dyDescent="0.25">
      <c r="A4332" s="1033">
        <v>102705</v>
      </c>
      <c r="B4332" s="129">
        <v>8</v>
      </c>
      <c r="C4332" s="130" t="s">
        <v>1792</v>
      </c>
      <c r="D4332" s="130">
        <v>16</v>
      </c>
      <c r="E4332" s="130" t="s">
        <v>1792</v>
      </c>
      <c r="F4332" s="1031">
        <v>0.1</v>
      </c>
      <c r="G4332" s="1031">
        <v>-0.02</v>
      </c>
      <c r="H4332" s="1031">
        <v>0.08</v>
      </c>
      <c r="I4332" s="1032" t="s">
        <v>1793</v>
      </c>
    </row>
    <row r="4333" spans="1:9" x14ac:dyDescent="0.25">
      <c r="A4333" s="1033">
        <v>102706</v>
      </c>
      <c r="B4333" s="129">
        <v>4</v>
      </c>
      <c r="C4333" s="130" t="s">
        <v>1794</v>
      </c>
      <c r="D4333" s="130">
        <v>16</v>
      </c>
      <c r="E4333" s="130" t="s">
        <v>1794</v>
      </c>
      <c r="F4333" s="1031">
        <v>0</v>
      </c>
      <c r="G4333" s="1031">
        <v>0.04</v>
      </c>
      <c r="H4333" s="1031">
        <v>0.04</v>
      </c>
      <c r="I4333" s="1032" t="s">
        <v>1795</v>
      </c>
    </row>
    <row r="4334" spans="1:9" x14ac:dyDescent="0.25">
      <c r="A4334" s="1033">
        <v>102708</v>
      </c>
      <c r="B4334" s="129">
        <v>316413</v>
      </c>
      <c r="C4334" s="130" t="s">
        <v>68</v>
      </c>
      <c r="D4334" s="130">
        <v>16</v>
      </c>
      <c r="E4334" s="130" t="s">
        <v>68</v>
      </c>
      <c r="F4334" s="1031">
        <v>387327.34</v>
      </c>
      <c r="G4334" s="1031">
        <v>-70914.44</v>
      </c>
      <c r="H4334" s="1031">
        <v>316412.90000000002</v>
      </c>
      <c r="I4334" s="1032" t="s">
        <v>1796</v>
      </c>
    </row>
    <row r="4335" spans="1:9" x14ac:dyDescent="0.25">
      <c r="A4335" s="1033">
        <v>102718</v>
      </c>
      <c r="B4335" s="129">
        <v>0</v>
      </c>
      <c r="E4335" s="130"/>
    </row>
    <row r="4336" spans="1:9" x14ac:dyDescent="0.25">
      <c r="A4336" s="1033">
        <v>102805</v>
      </c>
      <c r="B4336" s="129">
        <v>0</v>
      </c>
      <c r="E4336" s="130"/>
    </row>
    <row r="4337" spans="1:9" x14ac:dyDescent="0.25">
      <c r="A4337" s="1033">
        <v>102806</v>
      </c>
      <c r="B4337" s="129">
        <v>0</v>
      </c>
      <c r="E4337" s="130"/>
    </row>
    <row r="4338" spans="1:9" x14ac:dyDescent="0.25">
      <c r="A4338" s="1033">
        <v>102808</v>
      </c>
      <c r="B4338" s="129">
        <v>0</v>
      </c>
      <c r="E4338" s="130"/>
    </row>
    <row r="4339" spans="1:9" x14ac:dyDescent="0.25">
      <c r="A4339" s="1033">
        <v>102818</v>
      </c>
      <c r="B4339" s="129">
        <v>317191</v>
      </c>
      <c r="C4339" s="130">
        <v>331</v>
      </c>
      <c r="D4339" s="130">
        <v>16</v>
      </c>
      <c r="E4339" s="130" t="s">
        <v>1797</v>
      </c>
      <c r="F4339" s="1031">
        <v>-18000</v>
      </c>
      <c r="G4339" s="1031">
        <v>-1280.3699999999999</v>
      </c>
      <c r="H4339" s="1031">
        <v>-19280.37</v>
      </c>
      <c r="I4339" s="1032" t="s">
        <v>1798</v>
      </c>
    </row>
    <row r="4340" spans="1:9" x14ac:dyDescent="0.25">
      <c r="A4340" s="1033"/>
      <c r="C4340" s="130">
        <v>331</v>
      </c>
      <c r="D4340" s="130">
        <v>16</v>
      </c>
      <c r="E4340" s="130" t="s">
        <v>1799</v>
      </c>
      <c r="F4340" s="1031">
        <v>-67000</v>
      </c>
      <c r="G4340" s="1031">
        <v>12929.43</v>
      </c>
      <c r="H4340" s="1031">
        <v>-54070.57</v>
      </c>
      <c r="I4340" s="1032" t="s">
        <v>1800</v>
      </c>
    </row>
    <row r="4341" spans="1:9" x14ac:dyDescent="0.25">
      <c r="A4341" s="1033"/>
      <c r="C4341" s="130">
        <v>331</v>
      </c>
      <c r="D4341" s="130">
        <v>16</v>
      </c>
      <c r="E4341" s="130" t="s">
        <v>1801</v>
      </c>
      <c r="F4341" s="1031">
        <v>-16307</v>
      </c>
      <c r="G4341" s="1031">
        <v>0</v>
      </c>
      <c r="H4341" s="1031">
        <v>-16307</v>
      </c>
      <c r="I4341" s="1032" t="s">
        <v>1802</v>
      </c>
    </row>
    <row r="4342" spans="1:9" x14ac:dyDescent="0.25">
      <c r="A4342" s="1033"/>
      <c r="C4342" s="130">
        <v>331</v>
      </c>
      <c r="D4342" s="130">
        <v>16</v>
      </c>
      <c r="E4342" s="130" t="s">
        <v>1803</v>
      </c>
      <c r="F4342" s="1031">
        <v>-21068.75</v>
      </c>
      <c r="G4342" s="1031">
        <v>0</v>
      </c>
      <c r="H4342" s="1031">
        <v>-21068.75</v>
      </c>
      <c r="I4342" s="1032" t="s">
        <v>1804</v>
      </c>
    </row>
    <row r="4343" spans="1:9" x14ac:dyDescent="0.25">
      <c r="A4343" s="1033"/>
      <c r="C4343" s="130">
        <v>331</v>
      </c>
      <c r="D4343" s="130">
        <v>16</v>
      </c>
      <c r="E4343" s="130" t="s">
        <v>1805</v>
      </c>
      <c r="F4343" s="1031">
        <v>-34400.239999999998</v>
      </c>
      <c r="G4343" s="1031">
        <v>12132.39</v>
      </c>
      <c r="H4343" s="1031">
        <v>-22267.85</v>
      </c>
      <c r="I4343" s="1032" t="s">
        <v>1806</v>
      </c>
    </row>
    <row r="4344" spans="1:9" x14ac:dyDescent="0.25">
      <c r="A4344" s="1033"/>
      <c r="C4344" s="130">
        <v>331</v>
      </c>
      <c r="D4344" s="130">
        <v>16</v>
      </c>
      <c r="E4344" s="130" t="s">
        <v>1807</v>
      </c>
      <c r="F4344" s="1031">
        <v>-46981.8</v>
      </c>
      <c r="G4344" s="1031">
        <v>-295.33999999999997</v>
      </c>
      <c r="H4344" s="1031">
        <v>-47277.14</v>
      </c>
      <c r="I4344" s="1032" t="s">
        <v>1808</v>
      </c>
    </row>
    <row r="4345" spans="1:9" x14ac:dyDescent="0.25">
      <c r="A4345" s="1033"/>
      <c r="C4345" s="130">
        <v>331</v>
      </c>
      <c r="D4345" s="130">
        <v>16</v>
      </c>
      <c r="E4345" s="130" t="s">
        <v>1809</v>
      </c>
      <c r="F4345" s="1031">
        <v>0</v>
      </c>
      <c r="G4345" s="1031">
        <v>-700</v>
      </c>
      <c r="H4345" s="1031">
        <v>-700</v>
      </c>
      <c r="I4345" s="1032" t="s">
        <v>1810</v>
      </c>
    </row>
    <row r="4346" spans="1:9" x14ac:dyDescent="0.25">
      <c r="A4346" s="1033"/>
      <c r="C4346" s="130">
        <v>331</v>
      </c>
      <c r="D4346" s="130">
        <v>16</v>
      </c>
      <c r="E4346" s="130" t="s">
        <v>1811</v>
      </c>
      <c r="F4346" s="1031">
        <v>-23775.78</v>
      </c>
      <c r="G4346" s="1031">
        <v>300</v>
      </c>
      <c r="H4346" s="1031">
        <v>-23475.78</v>
      </c>
      <c r="I4346" s="1032" t="s">
        <v>1812</v>
      </c>
    </row>
    <row r="4347" spans="1:9" x14ac:dyDescent="0.25">
      <c r="A4347" s="1033"/>
      <c r="C4347" s="130">
        <v>331</v>
      </c>
      <c r="D4347" s="130">
        <v>16</v>
      </c>
      <c r="E4347" s="130">
        <v>332</v>
      </c>
      <c r="F4347" s="1031">
        <v>-97343.6</v>
      </c>
      <c r="G4347" s="1031">
        <v>-13105</v>
      </c>
      <c r="H4347" s="1031">
        <v>-110448.6</v>
      </c>
      <c r="I4347" s="1032" t="s">
        <v>1813</v>
      </c>
    </row>
    <row r="4348" spans="1:9" x14ac:dyDescent="0.25">
      <c r="A4348" s="1033"/>
      <c r="C4348" s="130">
        <v>331</v>
      </c>
      <c r="D4348" s="130">
        <v>16</v>
      </c>
      <c r="E4348" s="130" t="s">
        <v>1814</v>
      </c>
      <c r="F4348" s="1031">
        <v>-2265.3000000000002</v>
      </c>
      <c r="G4348" s="1031">
        <v>-29.7</v>
      </c>
      <c r="H4348" s="1031">
        <v>-2295</v>
      </c>
      <c r="I4348" s="1032" t="s">
        <v>1815</v>
      </c>
    </row>
    <row r="4349" spans="1:9" x14ac:dyDescent="0.25">
      <c r="A4349" s="1033">
        <v>102905</v>
      </c>
      <c r="B4349" s="129">
        <v>22</v>
      </c>
      <c r="C4349" s="130" t="s">
        <v>1816</v>
      </c>
      <c r="D4349" s="130">
        <v>16</v>
      </c>
      <c r="E4349" s="130" t="s">
        <v>1816</v>
      </c>
      <c r="F4349" s="1031">
        <v>0.16</v>
      </c>
      <c r="G4349" s="1031">
        <v>0.06</v>
      </c>
      <c r="H4349" s="1031">
        <v>0.22</v>
      </c>
      <c r="I4349" s="1032" t="s">
        <v>1817</v>
      </c>
    </row>
    <row r="4350" spans="1:9" x14ac:dyDescent="0.25">
      <c r="A4350" s="1033">
        <v>102906</v>
      </c>
      <c r="B4350" s="129">
        <v>9</v>
      </c>
      <c r="C4350" s="130" t="s">
        <v>1818</v>
      </c>
      <c r="D4350" s="130">
        <v>16</v>
      </c>
      <c r="E4350" s="130" t="s">
        <v>1818</v>
      </c>
      <c r="F4350" s="1031">
        <v>0</v>
      </c>
      <c r="G4350" s="1031">
        <v>0.09</v>
      </c>
      <c r="H4350" s="1031">
        <v>0.09</v>
      </c>
      <c r="I4350" s="1032" t="s">
        <v>1819</v>
      </c>
    </row>
    <row r="4351" spans="1:9" x14ac:dyDescent="0.25">
      <c r="A4351" s="1033">
        <v>102908</v>
      </c>
      <c r="B4351" s="129">
        <v>689760</v>
      </c>
      <c r="C4351" s="130" t="s">
        <v>70</v>
      </c>
      <c r="D4351" s="130">
        <v>16</v>
      </c>
      <c r="E4351" s="130" t="s">
        <v>70</v>
      </c>
      <c r="F4351" s="1031">
        <v>495493.87</v>
      </c>
      <c r="G4351" s="1031">
        <v>194266.61</v>
      </c>
      <c r="H4351" s="1031">
        <v>689760.48</v>
      </c>
      <c r="I4351" s="1032" t="s">
        <v>1820</v>
      </c>
    </row>
    <row r="4352" spans="1:9" x14ac:dyDescent="0.25">
      <c r="A4352" s="1033">
        <v>102918</v>
      </c>
      <c r="B4352" s="129">
        <v>1406296</v>
      </c>
      <c r="E4352" s="130"/>
    </row>
    <row r="4353" spans="1:9" x14ac:dyDescent="0.25">
      <c r="A4353" s="1033">
        <v>103005</v>
      </c>
      <c r="B4353" s="129">
        <v>0</v>
      </c>
      <c r="E4353" s="130"/>
    </row>
    <row r="4354" spans="1:9" x14ac:dyDescent="0.25">
      <c r="A4354" s="1033">
        <v>103006</v>
      </c>
      <c r="B4354" s="129">
        <v>0</v>
      </c>
      <c r="E4354" s="130"/>
    </row>
    <row r="4355" spans="1:9" x14ac:dyDescent="0.25">
      <c r="A4355" s="1033">
        <v>103008</v>
      </c>
      <c r="B4355" s="129">
        <v>0</v>
      </c>
      <c r="E4355" s="130"/>
    </row>
    <row r="4356" spans="1:9" x14ac:dyDescent="0.25">
      <c r="A4356" s="1033">
        <v>103108</v>
      </c>
      <c r="B4356" s="129">
        <v>1631757</v>
      </c>
      <c r="E4356" s="130"/>
    </row>
    <row r="4357" spans="1:9" x14ac:dyDescent="0.25">
      <c r="A4357" s="1033">
        <v>103118</v>
      </c>
      <c r="B4357" s="129">
        <v>8572446</v>
      </c>
      <c r="E4357" s="130"/>
    </row>
    <row r="4358" spans="1:9" x14ac:dyDescent="0.25">
      <c r="A4358" s="1033">
        <v>103308</v>
      </c>
      <c r="B4358" s="129">
        <v>316621</v>
      </c>
      <c r="C4358" s="130" t="s">
        <v>72</v>
      </c>
      <c r="D4358" s="130">
        <v>16</v>
      </c>
      <c r="E4358" s="130" t="s">
        <v>72</v>
      </c>
      <c r="F4358" s="1031">
        <v>322793.65999999997</v>
      </c>
      <c r="G4358" s="1031">
        <v>-6022.94</v>
      </c>
      <c r="H4358" s="1031">
        <v>316770.71999999997</v>
      </c>
      <c r="I4358" s="1032" t="s">
        <v>1821</v>
      </c>
    </row>
    <row r="4359" spans="1:9" x14ac:dyDescent="0.25">
      <c r="A4359" s="1033"/>
      <c r="C4359" s="130" t="s">
        <v>72</v>
      </c>
      <c r="D4359" s="130">
        <v>16</v>
      </c>
      <c r="E4359" s="130" t="s">
        <v>1822</v>
      </c>
      <c r="F4359" s="1031">
        <v>0</v>
      </c>
      <c r="G4359" s="1031">
        <v>-149.69</v>
      </c>
      <c r="H4359" s="1031">
        <v>-149.69</v>
      </c>
      <c r="I4359" s="1032" t="s">
        <v>1823</v>
      </c>
    </row>
    <row r="4360" spans="1:9" x14ac:dyDescent="0.25">
      <c r="A4360" s="1033">
        <v>103318</v>
      </c>
      <c r="B4360" s="129">
        <v>0</v>
      </c>
      <c r="E4360" s="130"/>
    </row>
    <row r="4361" spans="1:9" x14ac:dyDescent="0.25">
      <c r="A4361" s="1033">
        <v>103408</v>
      </c>
      <c r="B4361" s="129">
        <v>0</v>
      </c>
      <c r="E4361" s="130"/>
    </row>
    <row r="4362" spans="1:9" x14ac:dyDescent="0.25">
      <c r="A4362" s="1033">
        <v>103418</v>
      </c>
      <c r="B4362" s="129">
        <v>0</v>
      </c>
      <c r="E4362" s="130"/>
    </row>
    <row r="4363" spans="1:9" x14ac:dyDescent="0.25">
      <c r="A4363" s="1033">
        <v>103508</v>
      </c>
      <c r="B4363" s="129">
        <v>0</v>
      </c>
      <c r="E4363" s="130"/>
    </row>
    <row r="4364" spans="1:9" x14ac:dyDescent="0.25">
      <c r="A4364" s="1033">
        <v>103518</v>
      </c>
      <c r="B4364" s="129">
        <v>0</v>
      </c>
      <c r="E4364" s="130"/>
    </row>
    <row r="4365" spans="1:9" x14ac:dyDescent="0.25">
      <c r="A4365" s="1033">
        <v>103608</v>
      </c>
      <c r="B4365" s="129">
        <v>0</v>
      </c>
      <c r="E4365" s="130"/>
    </row>
    <row r="4366" spans="1:9" x14ac:dyDescent="0.25">
      <c r="A4366" s="1033">
        <v>103618</v>
      </c>
      <c r="B4366" s="129">
        <v>1101731</v>
      </c>
      <c r="C4366" s="130">
        <v>337</v>
      </c>
      <c r="D4366" s="130">
        <v>16</v>
      </c>
      <c r="E4366" s="130" t="s">
        <v>1824</v>
      </c>
      <c r="F4366" s="1031">
        <v>-1101731</v>
      </c>
      <c r="G4366" s="1031">
        <v>0</v>
      </c>
      <c r="H4366" s="1031">
        <v>-1101731</v>
      </c>
      <c r="I4366" s="1032" t="s">
        <v>1825</v>
      </c>
    </row>
    <row r="4367" spans="1:9" x14ac:dyDescent="0.25">
      <c r="A4367" s="1033">
        <v>103708</v>
      </c>
      <c r="B4367" s="129">
        <v>0</v>
      </c>
      <c r="E4367" s="130"/>
    </row>
    <row r="4368" spans="1:9" x14ac:dyDescent="0.25">
      <c r="A4368" s="1033">
        <v>103808</v>
      </c>
      <c r="B4368" s="129">
        <v>0</v>
      </c>
      <c r="E4368" s="130"/>
    </row>
    <row r="4369" spans="1:9" x14ac:dyDescent="0.25">
      <c r="A4369" s="1033">
        <v>103818</v>
      </c>
      <c r="B4369" s="129">
        <v>1101731</v>
      </c>
      <c r="E4369" s="130"/>
    </row>
    <row r="4370" spans="1:9" x14ac:dyDescent="0.25">
      <c r="A4370" s="1033">
        <v>103908</v>
      </c>
      <c r="B4370" s="129">
        <v>316621</v>
      </c>
      <c r="E4370" s="130"/>
    </row>
    <row r="4371" spans="1:9" x14ac:dyDescent="0.25">
      <c r="A4371" s="1033">
        <v>103918</v>
      </c>
      <c r="B4371" s="129">
        <v>9674177</v>
      </c>
      <c r="E4371" s="130"/>
    </row>
    <row r="4372" spans="1:9" x14ac:dyDescent="0.25">
      <c r="A4372" s="1033">
        <v>104108</v>
      </c>
      <c r="B4372" s="129">
        <v>0</v>
      </c>
      <c r="E4372" s="130"/>
    </row>
    <row r="4373" spans="1:9" x14ac:dyDescent="0.25">
      <c r="A4373" s="1033">
        <v>104208</v>
      </c>
      <c r="B4373" s="129">
        <v>0</v>
      </c>
      <c r="E4373" s="130"/>
    </row>
    <row r="4374" spans="1:9" x14ac:dyDescent="0.25">
      <c r="A4374" s="1033">
        <v>104308</v>
      </c>
      <c r="B4374" s="129">
        <v>3655</v>
      </c>
      <c r="C4374" s="130">
        <v>247</v>
      </c>
      <c r="D4374" s="130">
        <v>16</v>
      </c>
      <c r="E4374" s="130">
        <v>247</v>
      </c>
      <c r="F4374" s="1031">
        <v>-1780.42</v>
      </c>
      <c r="G4374" s="1031">
        <v>5435.82</v>
      </c>
      <c r="H4374" s="1031">
        <v>3655.4</v>
      </c>
      <c r="I4374" s="1032" t="s">
        <v>1826</v>
      </c>
    </row>
    <row r="4375" spans="1:9" x14ac:dyDescent="0.25">
      <c r="A4375" s="1033">
        <v>104318</v>
      </c>
      <c r="B4375" s="129">
        <v>1051751</v>
      </c>
      <c r="C4375" s="130">
        <v>145</v>
      </c>
      <c r="D4375" s="130">
        <v>16</v>
      </c>
      <c r="E4375" s="130">
        <v>145</v>
      </c>
      <c r="F4375" s="1031">
        <v>0</v>
      </c>
      <c r="G4375" s="1031">
        <v>1051751</v>
      </c>
      <c r="H4375" s="1031">
        <v>1051751</v>
      </c>
      <c r="I4375" s="1032" t="s">
        <v>1827</v>
      </c>
    </row>
    <row r="4376" spans="1:9" x14ac:dyDescent="0.25">
      <c r="A4376" s="1033">
        <v>104408</v>
      </c>
      <c r="B4376" s="129">
        <v>9435</v>
      </c>
      <c r="C4376" s="130">
        <v>248</v>
      </c>
      <c r="D4376" s="130">
        <v>16</v>
      </c>
      <c r="E4376" s="130">
        <v>248</v>
      </c>
      <c r="F4376" s="1031">
        <v>1781.28</v>
      </c>
      <c r="G4376" s="1031">
        <v>7653.55</v>
      </c>
      <c r="H4376" s="1031">
        <v>9434.83</v>
      </c>
      <c r="I4376" s="1032" t="s">
        <v>1828</v>
      </c>
    </row>
    <row r="4377" spans="1:9" x14ac:dyDescent="0.25">
      <c r="A4377" s="1033">
        <v>104508</v>
      </c>
      <c r="B4377" s="129">
        <v>176609</v>
      </c>
      <c r="C4377" s="130">
        <v>249</v>
      </c>
      <c r="D4377" s="130">
        <v>16</v>
      </c>
      <c r="E4377" s="130">
        <v>249</v>
      </c>
      <c r="F4377" s="1031">
        <v>177456.03</v>
      </c>
      <c r="G4377" s="1031">
        <v>-846.72</v>
      </c>
      <c r="H4377" s="1031">
        <v>176609.31</v>
      </c>
      <c r="I4377" s="1032" t="s">
        <v>1829</v>
      </c>
    </row>
    <row r="4378" spans="1:9" x14ac:dyDescent="0.25">
      <c r="A4378" s="1033">
        <v>104608</v>
      </c>
      <c r="B4378" s="129">
        <v>189699</v>
      </c>
      <c r="E4378" s="130"/>
    </row>
    <row r="4379" spans="1:9" x14ac:dyDescent="0.25">
      <c r="A4379" s="1033">
        <v>104708</v>
      </c>
      <c r="B4379" s="129">
        <v>7665644</v>
      </c>
      <c r="E4379" s="130"/>
    </row>
    <row r="4380" spans="1:9" x14ac:dyDescent="0.25">
      <c r="A4380" s="1033">
        <v>104818</v>
      </c>
      <c r="B4380" s="129">
        <v>0</v>
      </c>
      <c r="E4380" s="130"/>
    </row>
    <row r="4381" spans="1:9" x14ac:dyDescent="0.25">
      <c r="A4381" s="1033">
        <v>104908</v>
      </c>
      <c r="B4381" s="129">
        <v>0</v>
      </c>
      <c r="E4381" s="130"/>
    </row>
    <row r="4382" spans="1:9" x14ac:dyDescent="0.25">
      <c r="A4382" s="1033">
        <v>104918</v>
      </c>
      <c r="B4382" s="129">
        <v>4390686</v>
      </c>
      <c r="C4382" s="130">
        <v>360</v>
      </c>
      <c r="D4382" s="130">
        <v>16</v>
      </c>
      <c r="E4382" s="130">
        <v>360</v>
      </c>
      <c r="F4382" s="1031">
        <v>-4390685.5999999996</v>
      </c>
      <c r="G4382" s="1031">
        <v>0</v>
      </c>
      <c r="H4382" s="1031">
        <v>-4390685.5999999996</v>
      </c>
      <c r="I4382" s="1032" t="s">
        <v>433</v>
      </c>
    </row>
    <row r="4383" spans="1:9" x14ac:dyDescent="0.25">
      <c r="A4383" s="1033">
        <v>105008</v>
      </c>
      <c r="B4383" s="129">
        <v>0</v>
      </c>
      <c r="E4383" s="130"/>
    </row>
    <row r="4384" spans="1:9" x14ac:dyDescent="0.25">
      <c r="A4384" s="1033">
        <v>105018</v>
      </c>
      <c r="B4384" s="129">
        <v>0</v>
      </c>
      <c r="E4384" s="130"/>
    </row>
    <row r="4385" spans="1:9" x14ac:dyDescent="0.25">
      <c r="A4385" s="1033">
        <v>105108</v>
      </c>
      <c r="B4385" s="129">
        <v>0</v>
      </c>
      <c r="E4385" s="130"/>
    </row>
    <row r="4386" spans="1:9" x14ac:dyDescent="0.25">
      <c r="A4386" s="1033">
        <v>105118</v>
      </c>
      <c r="B4386" s="129">
        <v>3866489</v>
      </c>
      <c r="C4386" s="130">
        <v>370</v>
      </c>
      <c r="D4386" s="130">
        <v>16</v>
      </c>
      <c r="E4386" s="130">
        <v>370</v>
      </c>
      <c r="F4386" s="1031">
        <v>-3866488.74</v>
      </c>
      <c r="G4386" s="1031">
        <v>0</v>
      </c>
      <c r="H4386" s="1031">
        <v>-3866488.74</v>
      </c>
      <c r="I4386" s="1032" t="s">
        <v>1830</v>
      </c>
    </row>
    <row r="4387" spans="1:9" x14ac:dyDescent="0.25">
      <c r="A4387" s="1033">
        <v>105208</v>
      </c>
      <c r="B4387" s="129">
        <v>12292</v>
      </c>
      <c r="C4387" s="130">
        <v>270</v>
      </c>
      <c r="D4387" s="130">
        <v>16</v>
      </c>
      <c r="E4387" s="130" t="s">
        <v>1831</v>
      </c>
      <c r="F4387" s="1031">
        <v>1756.77</v>
      </c>
      <c r="G4387" s="1031">
        <v>-8805</v>
      </c>
      <c r="H4387" s="1031">
        <v>-7048.23</v>
      </c>
      <c r="I4387" s="1032" t="s">
        <v>1832</v>
      </c>
    </row>
    <row r="4388" spans="1:9" x14ac:dyDescent="0.25">
      <c r="A4388" s="1033"/>
      <c r="C4388" s="130">
        <v>270</v>
      </c>
      <c r="D4388" s="130">
        <v>16</v>
      </c>
      <c r="E4388" s="130" t="s">
        <v>1833</v>
      </c>
      <c r="F4388" s="1031">
        <v>-5091.5200000000004</v>
      </c>
      <c r="G4388" s="1031">
        <v>1500</v>
      </c>
      <c r="H4388" s="1031">
        <v>-3591.52</v>
      </c>
      <c r="I4388" s="1032" t="s">
        <v>1834</v>
      </c>
    </row>
    <row r="4389" spans="1:9" x14ac:dyDescent="0.25">
      <c r="A4389" s="1033"/>
      <c r="C4389" s="130">
        <v>270</v>
      </c>
      <c r="D4389" s="130">
        <v>16</v>
      </c>
      <c r="E4389" s="130" t="s">
        <v>1835</v>
      </c>
      <c r="F4389" s="1031">
        <v>2445</v>
      </c>
      <c r="G4389" s="1031">
        <v>-2000</v>
      </c>
      <c r="H4389" s="1031">
        <v>445</v>
      </c>
      <c r="I4389" s="1032" t="s">
        <v>1836</v>
      </c>
    </row>
    <row r="4390" spans="1:9" x14ac:dyDescent="0.25">
      <c r="A4390" s="1033"/>
      <c r="C4390" s="130">
        <v>270</v>
      </c>
      <c r="D4390" s="130">
        <v>16</v>
      </c>
      <c r="E4390" s="130">
        <v>274</v>
      </c>
      <c r="F4390" s="1031">
        <v>1583.33</v>
      </c>
      <c r="G4390" s="1031">
        <v>3166.67</v>
      </c>
      <c r="H4390" s="1031">
        <v>4750</v>
      </c>
      <c r="I4390" s="1032" t="s">
        <v>1837</v>
      </c>
    </row>
    <row r="4391" spans="1:9" x14ac:dyDescent="0.25">
      <c r="A4391" s="1033"/>
      <c r="C4391" s="130">
        <v>270</v>
      </c>
      <c r="D4391" s="130">
        <v>16</v>
      </c>
      <c r="E4391" s="130" t="s">
        <v>1838</v>
      </c>
      <c r="F4391" s="1031">
        <v>-5000</v>
      </c>
      <c r="G4391" s="1031">
        <v>-7050</v>
      </c>
      <c r="H4391" s="1031">
        <v>-12050</v>
      </c>
      <c r="I4391" s="1032" t="s">
        <v>1839</v>
      </c>
    </row>
    <row r="4392" spans="1:9" x14ac:dyDescent="0.25">
      <c r="A4392" s="1033"/>
      <c r="C4392" s="130">
        <v>270</v>
      </c>
      <c r="D4392" s="130">
        <v>16</v>
      </c>
      <c r="E4392" s="130" t="s">
        <v>1840</v>
      </c>
      <c r="F4392" s="1031">
        <v>0</v>
      </c>
      <c r="G4392" s="1031">
        <v>-2111.42</v>
      </c>
      <c r="H4392" s="1031">
        <v>-2111.42</v>
      </c>
      <c r="I4392" s="1032" t="s">
        <v>1841</v>
      </c>
    </row>
    <row r="4393" spans="1:9" x14ac:dyDescent="0.25">
      <c r="A4393" s="1033"/>
      <c r="C4393" s="130">
        <v>270</v>
      </c>
      <c r="D4393" s="130">
        <v>16</v>
      </c>
      <c r="E4393" s="130" t="s">
        <v>1842</v>
      </c>
      <c r="F4393" s="1031">
        <v>0</v>
      </c>
      <c r="G4393" s="1031">
        <v>-4542.26</v>
      </c>
      <c r="H4393" s="1031">
        <v>-4542.26</v>
      </c>
      <c r="I4393" s="1032" t="s">
        <v>1843</v>
      </c>
    </row>
    <row r="4394" spans="1:9" x14ac:dyDescent="0.25">
      <c r="A4394" s="1033"/>
      <c r="C4394" s="130">
        <v>270</v>
      </c>
      <c r="D4394" s="130">
        <v>16</v>
      </c>
      <c r="E4394" s="130" t="s">
        <v>1844</v>
      </c>
      <c r="F4394" s="1031">
        <v>114466.61</v>
      </c>
      <c r="G4394" s="1031">
        <v>-77259.399999999994</v>
      </c>
      <c r="H4394" s="1031">
        <v>37207.21</v>
      </c>
      <c r="I4394" s="1032" t="s">
        <v>1845</v>
      </c>
    </row>
    <row r="4395" spans="1:9" x14ac:dyDescent="0.25">
      <c r="A4395" s="1033"/>
      <c r="C4395" s="130">
        <v>270</v>
      </c>
      <c r="D4395" s="130">
        <v>16</v>
      </c>
      <c r="E4395" s="130" t="s">
        <v>1846</v>
      </c>
      <c r="F4395" s="1031">
        <v>1825</v>
      </c>
      <c r="G4395" s="1031">
        <v>-220</v>
      </c>
      <c r="H4395" s="1031">
        <v>1605</v>
      </c>
      <c r="I4395" s="1032" t="s">
        <v>1847</v>
      </c>
    </row>
    <row r="4396" spans="1:9" x14ac:dyDescent="0.25">
      <c r="A4396" s="1033"/>
      <c r="C4396" s="130">
        <v>270</v>
      </c>
      <c r="D4396" s="130">
        <v>16</v>
      </c>
      <c r="E4396" s="130">
        <v>279</v>
      </c>
      <c r="F4396" s="1031">
        <v>16128.4</v>
      </c>
      <c r="G4396" s="1031">
        <v>-16128.4</v>
      </c>
      <c r="H4396" s="1031">
        <v>0</v>
      </c>
      <c r="I4396" s="1032" t="s">
        <v>1848</v>
      </c>
    </row>
    <row r="4397" spans="1:9" x14ac:dyDescent="0.25">
      <c r="A4397" s="1033"/>
      <c r="C4397" s="130">
        <v>270</v>
      </c>
      <c r="D4397" s="130">
        <v>16</v>
      </c>
      <c r="E4397" s="130" t="s">
        <v>1849</v>
      </c>
      <c r="F4397" s="1031">
        <v>0</v>
      </c>
      <c r="G4397" s="1031">
        <v>-2371.79</v>
      </c>
      <c r="H4397" s="1031">
        <v>-2371.79</v>
      </c>
      <c r="I4397" s="1032" t="s">
        <v>1850</v>
      </c>
    </row>
    <row r="4398" spans="1:9" x14ac:dyDescent="0.25">
      <c r="A4398" s="1033">
        <v>105218</v>
      </c>
      <c r="B4398" s="129">
        <v>0</v>
      </c>
      <c r="E4398" s="130"/>
    </row>
    <row r="4399" spans="1:9" x14ac:dyDescent="0.25">
      <c r="A4399" s="1033">
        <v>105308</v>
      </c>
      <c r="B4399" s="129">
        <v>12292</v>
      </c>
      <c r="E4399" s="130"/>
    </row>
    <row r="4400" spans="1:9" x14ac:dyDescent="0.25">
      <c r="A4400" s="1033">
        <v>105606</v>
      </c>
      <c r="B4400" s="129">
        <v>0</v>
      </c>
      <c r="E4400" s="130"/>
    </row>
    <row r="4401" spans="1:9" x14ac:dyDescent="0.25">
      <c r="A4401" s="1033">
        <v>105608</v>
      </c>
      <c r="B4401" s="129">
        <v>0</v>
      </c>
      <c r="E4401" s="130"/>
    </row>
    <row r="4402" spans="1:9" x14ac:dyDescent="0.25">
      <c r="A4402" s="1033">
        <v>105618</v>
      </c>
      <c r="B4402" s="129">
        <v>0</v>
      </c>
      <c r="E4402" s="130"/>
    </row>
    <row r="4403" spans="1:9" x14ac:dyDescent="0.25">
      <c r="A4403" s="1033">
        <v>105706</v>
      </c>
      <c r="B4403" s="129">
        <v>0</v>
      </c>
      <c r="E4403" s="130"/>
    </row>
    <row r="4404" spans="1:9" x14ac:dyDescent="0.25">
      <c r="A4404" s="1033">
        <v>105708</v>
      </c>
      <c r="B4404" s="129">
        <v>0</v>
      </c>
      <c r="E4404" s="130"/>
    </row>
    <row r="4405" spans="1:9" x14ac:dyDescent="0.25">
      <c r="A4405" s="1033">
        <v>105718</v>
      </c>
      <c r="B4405" s="129">
        <v>0</v>
      </c>
      <c r="E4405" s="130"/>
    </row>
    <row r="4406" spans="1:9" x14ac:dyDescent="0.25">
      <c r="A4406" s="1033">
        <v>105808</v>
      </c>
      <c r="B4406" s="129">
        <v>0</v>
      </c>
      <c r="E4406" s="130"/>
    </row>
    <row r="4407" spans="1:9" x14ac:dyDescent="0.25">
      <c r="A4407" s="1033">
        <v>105908</v>
      </c>
      <c r="B4407" s="129">
        <v>9671467</v>
      </c>
      <c r="E4407" s="130"/>
    </row>
    <row r="4408" spans="1:9" x14ac:dyDescent="0.25">
      <c r="A4408" s="1033">
        <v>106110</v>
      </c>
      <c r="B4408" s="129">
        <v>4</v>
      </c>
      <c r="C4408" s="130" t="s">
        <v>1851</v>
      </c>
      <c r="D4408" s="130">
        <v>16</v>
      </c>
      <c r="E4408" s="130" t="s">
        <v>1851</v>
      </c>
      <c r="F4408" s="1031">
        <v>0</v>
      </c>
      <c r="G4408" s="1031">
        <v>0.04</v>
      </c>
      <c r="H4408" s="1031">
        <v>0.04</v>
      </c>
      <c r="I4408" s="1032" t="s">
        <v>1852</v>
      </c>
    </row>
    <row r="4409" spans="1:9" x14ac:dyDescent="0.25">
      <c r="A4409" s="1033">
        <v>106111</v>
      </c>
      <c r="B4409" s="129">
        <v>5</v>
      </c>
      <c r="C4409" s="130" t="s">
        <v>1853</v>
      </c>
      <c r="D4409" s="130">
        <v>16</v>
      </c>
      <c r="E4409" s="130" t="s">
        <v>1853</v>
      </c>
      <c r="F4409" s="1031">
        <v>0</v>
      </c>
      <c r="G4409" s="1031">
        <v>0.05</v>
      </c>
      <c r="H4409" s="1031">
        <v>0.05</v>
      </c>
      <c r="I4409" s="1032" t="s">
        <v>1854</v>
      </c>
    </row>
    <row r="4410" spans="1:9" x14ac:dyDescent="0.25">
      <c r="A4410" s="1033">
        <v>106112</v>
      </c>
      <c r="B4410" s="129">
        <v>5</v>
      </c>
      <c r="C4410" s="130" t="s">
        <v>1855</v>
      </c>
      <c r="D4410" s="130">
        <v>16</v>
      </c>
      <c r="E4410" s="130" t="s">
        <v>1855</v>
      </c>
      <c r="F4410" s="1031">
        <v>0</v>
      </c>
      <c r="G4410" s="1031">
        <v>0.05</v>
      </c>
      <c r="H4410" s="1031">
        <v>0.05</v>
      </c>
      <c r="I4410" s="1032" t="s">
        <v>1856</v>
      </c>
    </row>
    <row r="4411" spans="1:9" x14ac:dyDescent="0.25">
      <c r="A4411" s="1033">
        <v>106113</v>
      </c>
      <c r="B4411" s="129">
        <v>0</v>
      </c>
      <c r="E4411" s="130"/>
    </row>
    <row r="4412" spans="1:9" x14ac:dyDescent="0.25">
      <c r="A4412" s="1033">
        <v>106114</v>
      </c>
      <c r="B4412" s="129">
        <v>13</v>
      </c>
      <c r="C4412" s="130" t="s">
        <v>1857</v>
      </c>
      <c r="D4412" s="130">
        <v>16</v>
      </c>
      <c r="E4412" s="130" t="s">
        <v>1857</v>
      </c>
      <c r="F4412" s="1031">
        <v>0</v>
      </c>
      <c r="G4412" s="1031">
        <v>0.13</v>
      </c>
      <c r="H4412" s="1031">
        <v>0.13</v>
      </c>
      <c r="I4412" s="1032" t="s">
        <v>1858</v>
      </c>
    </row>
    <row r="4413" spans="1:9" x14ac:dyDescent="0.25">
      <c r="A4413" s="1033">
        <v>106115</v>
      </c>
      <c r="B4413" s="129">
        <v>0</v>
      </c>
      <c r="E4413" s="130"/>
    </row>
    <row r="4414" spans="1:9" x14ac:dyDescent="0.25">
      <c r="A4414" s="1033">
        <v>106116</v>
      </c>
      <c r="B4414" s="129">
        <v>13</v>
      </c>
      <c r="C4414" s="130" t="s">
        <v>1859</v>
      </c>
      <c r="D4414" s="130">
        <v>16</v>
      </c>
      <c r="E4414" s="130" t="s">
        <v>1859</v>
      </c>
      <c r="F4414" s="1031">
        <v>0</v>
      </c>
      <c r="G4414" s="1031">
        <v>0.13</v>
      </c>
      <c r="H4414" s="1031">
        <v>0.13</v>
      </c>
      <c r="I4414" s="1032" t="s">
        <v>1860</v>
      </c>
    </row>
    <row r="4415" spans="1:9" x14ac:dyDescent="0.25">
      <c r="A4415" s="1033">
        <v>106205</v>
      </c>
      <c r="B4415" s="129">
        <v>0</v>
      </c>
      <c r="E4415" s="130"/>
    </row>
    <row r="4416" spans="1:9" x14ac:dyDescent="0.25">
      <c r="A4416" s="1033">
        <v>106208</v>
      </c>
      <c r="B4416" s="129">
        <v>0</v>
      </c>
      <c r="E4416" s="130"/>
    </row>
    <row r="4417" spans="1:5" x14ac:dyDescent="0.25">
      <c r="A4417" s="1033">
        <v>106210</v>
      </c>
      <c r="B4417" s="129">
        <v>0</v>
      </c>
      <c r="E4417" s="130"/>
    </row>
    <row r="4418" spans="1:5" x14ac:dyDescent="0.25">
      <c r="A4418" s="1033">
        <v>106211</v>
      </c>
      <c r="B4418" s="129">
        <v>0</v>
      </c>
      <c r="E4418" s="130"/>
    </row>
    <row r="4419" spans="1:5" x14ac:dyDescent="0.25">
      <c r="A4419" s="1033">
        <v>106212</v>
      </c>
      <c r="B4419" s="129">
        <v>0</v>
      </c>
      <c r="E4419" s="130"/>
    </row>
    <row r="4420" spans="1:5" x14ac:dyDescent="0.25">
      <c r="A4420" s="1033">
        <v>106213</v>
      </c>
      <c r="B4420" s="129">
        <v>0</v>
      </c>
      <c r="E4420" s="130"/>
    </row>
    <row r="4421" spans="1:5" x14ac:dyDescent="0.25">
      <c r="A4421" s="1033">
        <v>106214</v>
      </c>
      <c r="B4421" s="129">
        <v>0</v>
      </c>
      <c r="E4421" s="130"/>
    </row>
    <row r="4422" spans="1:5" x14ac:dyDescent="0.25">
      <c r="A4422" s="1033">
        <v>106215</v>
      </c>
      <c r="B4422" s="129">
        <v>0</v>
      </c>
      <c r="E4422" s="130"/>
    </row>
    <row r="4423" spans="1:5" x14ac:dyDescent="0.25">
      <c r="A4423" s="1033">
        <v>106216</v>
      </c>
      <c r="B4423" s="129">
        <v>0</v>
      </c>
      <c r="E4423" s="130"/>
    </row>
    <row r="4424" spans="1:5" x14ac:dyDescent="0.25">
      <c r="A4424" s="1033">
        <v>106305</v>
      </c>
      <c r="B4424" s="129">
        <v>0</v>
      </c>
      <c r="E4424" s="130"/>
    </row>
    <row r="4425" spans="1:5" x14ac:dyDescent="0.25">
      <c r="A4425" s="1033">
        <v>106306</v>
      </c>
      <c r="B4425" s="129">
        <v>0</v>
      </c>
      <c r="E4425" s="130"/>
    </row>
    <row r="4426" spans="1:5" x14ac:dyDescent="0.25">
      <c r="A4426" s="1033">
        <v>106308</v>
      </c>
      <c r="B4426" s="129">
        <v>0</v>
      </c>
      <c r="E4426" s="130"/>
    </row>
    <row r="4427" spans="1:5" x14ac:dyDescent="0.25">
      <c r="A4427" s="1033">
        <v>106310</v>
      </c>
      <c r="B4427" s="129">
        <v>0</v>
      </c>
      <c r="E4427" s="130"/>
    </row>
    <row r="4428" spans="1:5" x14ac:dyDescent="0.25">
      <c r="A4428" s="1033">
        <v>106311</v>
      </c>
      <c r="B4428" s="129">
        <v>0</v>
      </c>
      <c r="E4428" s="130"/>
    </row>
    <row r="4429" spans="1:5" x14ac:dyDescent="0.25">
      <c r="A4429" s="1033">
        <v>106312</v>
      </c>
      <c r="B4429" s="129">
        <v>0</v>
      </c>
      <c r="E4429" s="130"/>
    </row>
    <row r="4430" spans="1:5" x14ac:dyDescent="0.25">
      <c r="A4430" s="1033">
        <v>106313</v>
      </c>
      <c r="B4430" s="129">
        <v>0</v>
      </c>
      <c r="E4430" s="130"/>
    </row>
    <row r="4431" spans="1:5" x14ac:dyDescent="0.25">
      <c r="A4431" s="1033">
        <v>106314</v>
      </c>
      <c r="B4431" s="129">
        <v>0</v>
      </c>
      <c r="E4431" s="130"/>
    </row>
    <row r="4432" spans="1:5" x14ac:dyDescent="0.25">
      <c r="A4432" s="1033">
        <v>106315</v>
      </c>
      <c r="B4432" s="129">
        <v>0</v>
      </c>
      <c r="E4432" s="130"/>
    </row>
    <row r="4433" spans="1:9" x14ac:dyDescent="0.25">
      <c r="A4433" s="1033">
        <v>106316</v>
      </c>
      <c r="B4433" s="129">
        <v>0</v>
      </c>
      <c r="E4433" s="130"/>
    </row>
    <row r="4434" spans="1:9" x14ac:dyDescent="0.25">
      <c r="A4434" s="1033">
        <v>106405</v>
      </c>
      <c r="B4434" s="129">
        <v>671205</v>
      </c>
      <c r="C4434" s="130">
        <v>282</v>
      </c>
      <c r="D4434" s="130">
        <v>16</v>
      </c>
      <c r="E4434" s="130">
        <v>282</v>
      </c>
      <c r="F4434" s="1031">
        <v>661204.79</v>
      </c>
      <c r="G4434" s="1031">
        <v>10000</v>
      </c>
      <c r="H4434" s="1031">
        <v>671204.79</v>
      </c>
      <c r="I4434" s="1032" t="s">
        <v>1861</v>
      </c>
    </row>
    <row r="4435" spans="1:9" x14ac:dyDescent="0.25">
      <c r="A4435" s="1033">
        <v>106406</v>
      </c>
      <c r="B4435" s="129">
        <v>455943</v>
      </c>
      <c r="C4435" s="130">
        <v>352</v>
      </c>
      <c r="D4435" s="130">
        <v>16</v>
      </c>
      <c r="E4435" s="130">
        <v>352</v>
      </c>
      <c r="F4435" s="1031">
        <v>-451692.97</v>
      </c>
      <c r="G4435" s="1031">
        <v>-4250</v>
      </c>
      <c r="H4435" s="1031">
        <v>-455942.97</v>
      </c>
      <c r="I4435" s="1032" t="s">
        <v>1862</v>
      </c>
    </row>
    <row r="4436" spans="1:9" x14ac:dyDescent="0.25">
      <c r="A4436" s="1033">
        <v>106408</v>
      </c>
      <c r="B4436" s="129">
        <v>215262</v>
      </c>
      <c r="E4436" s="130"/>
    </row>
    <row r="4437" spans="1:9" x14ac:dyDescent="0.25">
      <c r="A4437" s="1033">
        <v>106410</v>
      </c>
      <c r="B4437" s="129">
        <v>0</v>
      </c>
      <c r="E4437" s="130"/>
    </row>
    <row r="4438" spans="1:9" x14ac:dyDescent="0.25">
      <c r="A4438" s="1033">
        <v>106411</v>
      </c>
      <c r="B4438" s="129">
        <v>0</v>
      </c>
      <c r="E4438" s="130"/>
    </row>
    <row r="4439" spans="1:9" x14ac:dyDescent="0.25">
      <c r="A4439" s="1033">
        <v>106412</v>
      </c>
      <c r="B4439" s="129">
        <v>0</v>
      </c>
      <c r="E4439" s="130"/>
    </row>
    <row r="4440" spans="1:9" x14ac:dyDescent="0.25">
      <c r="A4440" s="1033">
        <v>106413</v>
      </c>
      <c r="B4440" s="129">
        <v>0</v>
      </c>
      <c r="E4440" s="130"/>
    </row>
    <row r="4441" spans="1:9" x14ac:dyDescent="0.25">
      <c r="A4441" s="1033">
        <v>106414</v>
      </c>
      <c r="B4441" s="129">
        <v>0</v>
      </c>
      <c r="E4441" s="130"/>
    </row>
    <row r="4442" spans="1:9" x14ac:dyDescent="0.25">
      <c r="A4442" s="1033">
        <v>106415</v>
      </c>
      <c r="B4442" s="129">
        <v>0</v>
      </c>
      <c r="E4442" s="130"/>
    </row>
    <row r="4443" spans="1:9" x14ac:dyDescent="0.25">
      <c r="A4443" s="1033">
        <v>106416</v>
      </c>
      <c r="B4443" s="129">
        <v>0</v>
      </c>
      <c r="E4443" s="130"/>
    </row>
    <row r="4444" spans="1:9" x14ac:dyDescent="0.25">
      <c r="A4444" s="1033">
        <v>106505</v>
      </c>
      <c r="B4444" s="129">
        <v>17171</v>
      </c>
      <c r="C4444" s="130">
        <v>283</v>
      </c>
      <c r="D4444" s="130">
        <v>16</v>
      </c>
      <c r="E4444" s="130">
        <v>283</v>
      </c>
      <c r="F4444" s="1031">
        <v>17171.47</v>
      </c>
      <c r="G4444" s="1031">
        <v>0</v>
      </c>
      <c r="H4444" s="1031">
        <v>17171.47</v>
      </c>
      <c r="I4444" s="1032" t="s">
        <v>1863</v>
      </c>
    </row>
    <row r="4445" spans="1:9" x14ac:dyDescent="0.25">
      <c r="A4445" s="1033">
        <v>106506</v>
      </c>
      <c r="B4445" s="129">
        <v>15553</v>
      </c>
      <c r="C4445" s="130">
        <v>353</v>
      </c>
      <c r="D4445" s="130">
        <v>16</v>
      </c>
      <c r="E4445" s="130">
        <v>353</v>
      </c>
      <c r="F4445" s="1031">
        <v>-15502.86</v>
      </c>
      <c r="G4445" s="1031">
        <v>-50</v>
      </c>
      <c r="H4445" s="1031">
        <v>-15552.86</v>
      </c>
      <c r="I4445" s="1032" t="s">
        <v>1864</v>
      </c>
    </row>
    <row r="4446" spans="1:9" x14ac:dyDescent="0.25">
      <c r="A4446" s="1033">
        <v>106508</v>
      </c>
      <c r="B4446" s="129">
        <v>1618</v>
      </c>
      <c r="E4446" s="130"/>
    </row>
    <row r="4447" spans="1:9" x14ac:dyDescent="0.25">
      <c r="A4447" s="1033">
        <v>106510</v>
      </c>
      <c r="B4447" s="129">
        <v>0</v>
      </c>
      <c r="E4447" s="130"/>
    </row>
    <row r="4448" spans="1:9" x14ac:dyDescent="0.25">
      <c r="A4448" s="1033">
        <v>106511</v>
      </c>
      <c r="B4448" s="129">
        <v>0</v>
      </c>
      <c r="E4448" s="130"/>
    </row>
    <row r="4449" spans="1:9" x14ac:dyDescent="0.25">
      <c r="A4449" s="1033">
        <v>106512</v>
      </c>
      <c r="B4449" s="129">
        <v>0</v>
      </c>
      <c r="E4449" s="130"/>
    </row>
    <row r="4450" spans="1:9" x14ac:dyDescent="0.25">
      <c r="A4450" s="1033">
        <v>106513</v>
      </c>
      <c r="B4450" s="129">
        <v>0</v>
      </c>
      <c r="E4450" s="130"/>
    </row>
    <row r="4451" spans="1:9" x14ac:dyDescent="0.25">
      <c r="A4451" s="1033">
        <v>106514</v>
      </c>
      <c r="B4451" s="129">
        <v>0</v>
      </c>
      <c r="E4451" s="130"/>
    </row>
    <row r="4452" spans="1:9" x14ac:dyDescent="0.25">
      <c r="A4452" s="1033">
        <v>106515</v>
      </c>
      <c r="B4452" s="129">
        <v>0</v>
      </c>
      <c r="E4452" s="130"/>
    </row>
    <row r="4453" spans="1:9" x14ac:dyDescent="0.25">
      <c r="A4453" s="1033">
        <v>106516</v>
      </c>
      <c r="B4453" s="129">
        <v>0</v>
      </c>
      <c r="E4453" s="130"/>
    </row>
    <row r="4454" spans="1:9" x14ac:dyDescent="0.25">
      <c r="A4454" s="1033">
        <v>106605</v>
      </c>
      <c r="B4454" s="129">
        <v>739443</v>
      </c>
      <c r="C4454" s="130">
        <v>284</v>
      </c>
      <c r="D4454" s="130">
        <v>16</v>
      </c>
      <c r="E4454" s="130" t="s">
        <v>1865</v>
      </c>
      <c r="F4454" s="1031">
        <v>381227.14</v>
      </c>
      <c r="G4454" s="1031">
        <v>109701.21</v>
      </c>
      <c r="H4454" s="1031">
        <v>490928.35</v>
      </c>
      <c r="I4454" s="1032" t="s">
        <v>1866</v>
      </c>
    </row>
    <row r="4455" spans="1:9" x14ac:dyDescent="0.25">
      <c r="A4455" s="1033"/>
      <c r="C4455" s="130">
        <v>284</v>
      </c>
      <c r="D4455" s="130">
        <v>16</v>
      </c>
      <c r="E4455" s="130" t="s">
        <v>1867</v>
      </c>
      <c r="F4455" s="1031">
        <v>77175.42</v>
      </c>
      <c r="G4455" s="1031">
        <v>0</v>
      </c>
      <c r="H4455" s="1031">
        <v>77175.42</v>
      </c>
      <c r="I4455" s="1032" t="s">
        <v>1868</v>
      </c>
    </row>
    <row r="4456" spans="1:9" x14ac:dyDescent="0.25">
      <c r="A4456" s="1033"/>
      <c r="C4456" s="130">
        <v>284</v>
      </c>
      <c r="D4456" s="130">
        <v>16</v>
      </c>
      <c r="E4456" s="130" t="s">
        <v>1869</v>
      </c>
      <c r="F4456" s="1031">
        <v>171339.58</v>
      </c>
      <c r="G4456" s="1031">
        <v>0</v>
      </c>
      <c r="H4456" s="1031">
        <v>171339.58</v>
      </c>
      <c r="I4456" s="1032" t="s">
        <v>1870</v>
      </c>
    </row>
    <row r="4457" spans="1:9" x14ac:dyDescent="0.25">
      <c r="A4457" s="1033">
        <v>106606</v>
      </c>
      <c r="B4457" s="129">
        <v>482638</v>
      </c>
      <c r="C4457" s="130">
        <v>354</v>
      </c>
      <c r="D4457" s="130">
        <v>16</v>
      </c>
      <c r="E4457" s="130" t="s">
        <v>1871</v>
      </c>
      <c r="F4457" s="1031">
        <v>-264227.96000000002</v>
      </c>
      <c r="G4457" s="1031">
        <v>-2500</v>
      </c>
      <c r="H4457" s="1031">
        <v>-266727.96000000002</v>
      </c>
      <c r="I4457" s="1032" t="s">
        <v>1872</v>
      </c>
    </row>
    <row r="4458" spans="1:9" x14ac:dyDescent="0.25">
      <c r="A4458" s="1033"/>
      <c r="C4458" s="130">
        <v>354</v>
      </c>
      <c r="D4458" s="130">
        <v>16</v>
      </c>
      <c r="E4458" s="130" t="s">
        <v>1873</v>
      </c>
      <c r="F4458" s="1031">
        <v>-62289.65</v>
      </c>
      <c r="G4458" s="1031">
        <v>-500</v>
      </c>
      <c r="H4458" s="1031">
        <v>-62789.65</v>
      </c>
      <c r="I4458" s="1032" t="s">
        <v>1874</v>
      </c>
    </row>
    <row r="4459" spans="1:9" x14ac:dyDescent="0.25">
      <c r="A4459" s="1033"/>
      <c r="C4459" s="130">
        <v>354</v>
      </c>
      <c r="D4459" s="130">
        <v>16</v>
      </c>
      <c r="E4459" s="130" t="s">
        <v>1875</v>
      </c>
      <c r="F4459" s="1031">
        <v>-151869.94</v>
      </c>
      <c r="G4459" s="1031">
        <v>-1250</v>
      </c>
      <c r="H4459" s="1031">
        <v>-153119.94</v>
      </c>
      <c r="I4459" s="1032" t="s">
        <v>1876</v>
      </c>
    </row>
    <row r="4460" spans="1:9" x14ac:dyDescent="0.25">
      <c r="A4460" s="1033">
        <v>106608</v>
      </c>
      <c r="B4460" s="129">
        <v>256805</v>
      </c>
      <c r="E4460" s="130"/>
    </row>
    <row r="4461" spans="1:9" x14ac:dyDescent="0.25">
      <c r="A4461" s="1033">
        <v>106610</v>
      </c>
      <c r="B4461" s="129">
        <v>0</v>
      </c>
      <c r="E4461" s="130"/>
    </row>
    <row r="4462" spans="1:9" x14ac:dyDescent="0.25">
      <c r="A4462" s="1033">
        <v>106611</v>
      </c>
      <c r="B4462" s="129">
        <v>0</v>
      </c>
      <c r="E4462" s="130"/>
    </row>
    <row r="4463" spans="1:9" x14ac:dyDescent="0.25">
      <c r="A4463" s="1033">
        <v>106612</v>
      </c>
      <c r="B4463" s="129">
        <v>0</v>
      </c>
      <c r="E4463" s="130"/>
    </row>
    <row r="4464" spans="1:9" x14ac:dyDescent="0.25">
      <c r="A4464" s="1033">
        <v>106613</v>
      </c>
      <c r="B4464" s="129">
        <v>0</v>
      </c>
      <c r="E4464" s="130"/>
    </row>
    <row r="4465" spans="1:9" x14ac:dyDescent="0.25">
      <c r="A4465" s="1033">
        <v>106614</v>
      </c>
      <c r="B4465" s="129">
        <v>0</v>
      </c>
      <c r="E4465" s="130"/>
    </row>
    <row r="4466" spans="1:9" x14ac:dyDescent="0.25">
      <c r="A4466" s="1033">
        <v>106615</v>
      </c>
      <c r="B4466" s="129">
        <v>0</v>
      </c>
      <c r="E4466" s="130"/>
    </row>
    <row r="4467" spans="1:9" x14ac:dyDescent="0.25">
      <c r="A4467" s="1033">
        <v>106616</v>
      </c>
      <c r="B4467" s="129">
        <v>0</v>
      </c>
      <c r="E4467" s="130"/>
    </row>
    <row r="4468" spans="1:9" x14ac:dyDescent="0.25">
      <c r="A4468" s="1033">
        <v>106705</v>
      </c>
      <c r="B4468" s="129">
        <v>2145</v>
      </c>
      <c r="C4468" s="130">
        <v>285</v>
      </c>
      <c r="D4468" s="130">
        <v>16</v>
      </c>
      <c r="E4468" s="130">
        <v>285</v>
      </c>
      <c r="F4468" s="1031">
        <v>2144.98</v>
      </c>
      <c r="G4468" s="1031">
        <v>0</v>
      </c>
      <c r="H4468" s="1031">
        <v>2144.98</v>
      </c>
      <c r="I4468" s="1032" t="s">
        <v>1877</v>
      </c>
    </row>
    <row r="4469" spans="1:9" x14ac:dyDescent="0.25">
      <c r="A4469" s="1033">
        <v>106706</v>
      </c>
      <c r="B4469" s="129">
        <v>2145</v>
      </c>
      <c r="C4469" s="130">
        <v>355</v>
      </c>
      <c r="D4469" s="130">
        <v>16</v>
      </c>
      <c r="E4469" s="130">
        <v>355</v>
      </c>
      <c r="F4469" s="1031">
        <v>-2144.98</v>
      </c>
      <c r="G4469" s="1031">
        <v>0</v>
      </c>
      <c r="H4469" s="1031">
        <v>-2144.98</v>
      </c>
      <c r="I4469" s="1032" t="s">
        <v>1878</v>
      </c>
    </row>
    <row r="4470" spans="1:9" x14ac:dyDescent="0.25">
      <c r="A4470" s="1033">
        <v>106708</v>
      </c>
      <c r="B4470" s="129">
        <v>0</v>
      </c>
      <c r="E4470" s="130"/>
    </row>
    <row r="4471" spans="1:9" x14ac:dyDescent="0.25">
      <c r="A4471" s="1033">
        <v>106710</v>
      </c>
      <c r="B4471" s="129">
        <v>0</v>
      </c>
      <c r="E4471" s="130"/>
    </row>
    <row r="4472" spans="1:9" x14ac:dyDescent="0.25">
      <c r="A4472" s="1033">
        <v>106711</v>
      </c>
      <c r="B4472" s="129">
        <v>0</v>
      </c>
      <c r="E4472" s="130"/>
    </row>
    <row r="4473" spans="1:9" x14ac:dyDescent="0.25">
      <c r="A4473" s="1033">
        <v>106712</v>
      </c>
      <c r="B4473" s="129">
        <v>0</v>
      </c>
      <c r="E4473" s="130"/>
    </row>
    <row r="4474" spans="1:9" x14ac:dyDescent="0.25">
      <c r="A4474" s="1033">
        <v>106713</v>
      </c>
      <c r="B4474" s="129">
        <v>0</v>
      </c>
      <c r="E4474" s="130"/>
    </row>
    <row r="4475" spans="1:9" x14ac:dyDescent="0.25">
      <c r="A4475" s="1033">
        <v>106714</v>
      </c>
      <c r="B4475" s="129">
        <v>0</v>
      </c>
      <c r="E4475" s="130"/>
    </row>
    <row r="4476" spans="1:9" x14ac:dyDescent="0.25">
      <c r="A4476" s="1033">
        <v>106715</v>
      </c>
      <c r="B4476" s="129">
        <v>0</v>
      </c>
      <c r="E4476" s="130"/>
    </row>
    <row r="4477" spans="1:9" x14ac:dyDescent="0.25">
      <c r="A4477" s="1033">
        <v>106716</v>
      </c>
      <c r="B4477" s="129">
        <v>0</v>
      </c>
      <c r="E4477" s="130"/>
    </row>
    <row r="4478" spans="1:9" x14ac:dyDescent="0.25">
      <c r="A4478" s="1033">
        <v>106805</v>
      </c>
      <c r="B4478" s="129">
        <v>1378347</v>
      </c>
      <c r="C4478" s="130">
        <v>286</v>
      </c>
      <c r="D4478" s="130">
        <v>16</v>
      </c>
      <c r="E4478" s="130">
        <v>286</v>
      </c>
      <c r="F4478" s="1031">
        <v>1377346.87</v>
      </c>
      <c r="G4478" s="1031">
        <v>1000</v>
      </c>
      <c r="H4478" s="1031">
        <v>1378346.87</v>
      </c>
      <c r="I4478" s="1032" t="s">
        <v>1879</v>
      </c>
    </row>
    <row r="4479" spans="1:9" x14ac:dyDescent="0.25">
      <c r="A4479" s="1033">
        <v>106806</v>
      </c>
      <c r="B4479" s="129">
        <v>737353</v>
      </c>
      <c r="C4479" s="130">
        <v>356</v>
      </c>
      <c r="D4479" s="130">
        <v>16</v>
      </c>
      <c r="E4479" s="130">
        <v>356</v>
      </c>
      <c r="F4479" s="1031">
        <v>-726602.96</v>
      </c>
      <c r="G4479" s="1031">
        <v>-10750</v>
      </c>
      <c r="H4479" s="1031">
        <v>-737352.96</v>
      </c>
      <c r="I4479" s="1032" t="s">
        <v>1880</v>
      </c>
    </row>
    <row r="4480" spans="1:9" x14ac:dyDescent="0.25">
      <c r="A4480" s="1033">
        <v>106808</v>
      </c>
      <c r="B4480" s="129">
        <v>640994</v>
      </c>
      <c r="E4480" s="130"/>
    </row>
    <row r="4481" spans="1:5" x14ac:dyDescent="0.25">
      <c r="A4481" s="1033">
        <v>106810</v>
      </c>
      <c r="B4481" s="129">
        <v>0</v>
      </c>
      <c r="E4481" s="130"/>
    </row>
    <row r="4482" spans="1:5" x14ac:dyDescent="0.25">
      <c r="A4482" s="1033">
        <v>106811</v>
      </c>
      <c r="B4482" s="129">
        <v>0</v>
      </c>
      <c r="E4482" s="130"/>
    </row>
    <row r="4483" spans="1:5" x14ac:dyDescent="0.25">
      <c r="A4483" s="1033">
        <v>106812</v>
      </c>
      <c r="B4483" s="129">
        <v>0</v>
      </c>
      <c r="E4483" s="130"/>
    </row>
    <row r="4484" spans="1:5" x14ac:dyDescent="0.25">
      <c r="A4484" s="1033">
        <v>106813</v>
      </c>
      <c r="B4484" s="129">
        <v>0</v>
      </c>
      <c r="E4484" s="130"/>
    </row>
    <row r="4485" spans="1:5" x14ac:dyDescent="0.25">
      <c r="A4485" s="1033">
        <v>106814</v>
      </c>
      <c r="B4485" s="129">
        <v>0</v>
      </c>
      <c r="E4485" s="130"/>
    </row>
    <row r="4486" spans="1:5" x14ac:dyDescent="0.25">
      <c r="A4486" s="1033">
        <v>106815</v>
      </c>
      <c r="B4486" s="129">
        <v>0</v>
      </c>
      <c r="E4486" s="130"/>
    </row>
    <row r="4487" spans="1:5" x14ac:dyDescent="0.25">
      <c r="A4487" s="1033">
        <v>106816</v>
      </c>
      <c r="B4487" s="129">
        <v>0</v>
      </c>
      <c r="E4487" s="130"/>
    </row>
    <row r="4488" spans="1:5" x14ac:dyDescent="0.25">
      <c r="A4488" s="1033">
        <v>106905</v>
      </c>
      <c r="B4488" s="129">
        <v>0</v>
      </c>
      <c r="E4488" s="130"/>
    </row>
    <row r="4489" spans="1:5" x14ac:dyDescent="0.25">
      <c r="A4489" s="1033">
        <v>106906</v>
      </c>
      <c r="B4489" s="129">
        <v>0</v>
      </c>
      <c r="E4489" s="130"/>
    </row>
    <row r="4490" spans="1:5" x14ac:dyDescent="0.25">
      <c r="A4490" s="1033">
        <v>106908</v>
      </c>
      <c r="B4490" s="129">
        <v>0</v>
      </c>
      <c r="E4490" s="130"/>
    </row>
    <row r="4491" spans="1:5" x14ac:dyDescent="0.25">
      <c r="A4491" s="1033">
        <v>106910</v>
      </c>
      <c r="B4491" s="129">
        <v>0</v>
      </c>
      <c r="E4491" s="130"/>
    </row>
    <row r="4492" spans="1:5" x14ac:dyDescent="0.25">
      <c r="A4492" s="1033">
        <v>106911</v>
      </c>
      <c r="B4492" s="129">
        <v>0</v>
      </c>
      <c r="E4492" s="130"/>
    </row>
    <row r="4493" spans="1:5" x14ac:dyDescent="0.25">
      <c r="A4493" s="1033">
        <v>106912</v>
      </c>
      <c r="B4493" s="129">
        <v>0</v>
      </c>
      <c r="E4493" s="130"/>
    </row>
    <row r="4494" spans="1:5" x14ac:dyDescent="0.25">
      <c r="A4494" s="1033">
        <v>106913</v>
      </c>
      <c r="B4494" s="129">
        <v>0</v>
      </c>
      <c r="E4494" s="130"/>
    </row>
    <row r="4495" spans="1:5" x14ac:dyDescent="0.25">
      <c r="A4495" s="1033">
        <v>106914</v>
      </c>
      <c r="B4495" s="129">
        <v>0</v>
      </c>
      <c r="E4495" s="130"/>
    </row>
    <row r="4496" spans="1:5" x14ac:dyDescent="0.25">
      <c r="A4496" s="1033">
        <v>106915</v>
      </c>
      <c r="B4496" s="129">
        <v>0</v>
      </c>
      <c r="E4496" s="130"/>
    </row>
    <row r="4497" spans="1:5" x14ac:dyDescent="0.25">
      <c r="A4497" s="1033">
        <v>106916</v>
      </c>
      <c r="B4497" s="129">
        <v>0</v>
      </c>
      <c r="E4497" s="130"/>
    </row>
    <row r="4498" spans="1:5" x14ac:dyDescent="0.25">
      <c r="A4498" s="1033">
        <v>107008</v>
      </c>
      <c r="B4498" s="129">
        <v>1114679</v>
      </c>
      <c r="E4498" s="130"/>
    </row>
    <row r="4499" spans="1:5" x14ac:dyDescent="0.25">
      <c r="A4499" s="1033">
        <v>107010</v>
      </c>
      <c r="B4499" s="129">
        <v>0</v>
      </c>
      <c r="E4499" s="130"/>
    </row>
    <row r="4500" spans="1:5" x14ac:dyDescent="0.25">
      <c r="A4500" s="1033">
        <v>107011</v>
      </c>
      <c r="B4500" s="129">
        <v>0</v>
      </c>
      <c r="E4500" s="130"/>
    </row>
    <row r="4501" spans="1:5" x14ac:dyDescent="0.25">
      <c r="A4501" s="1033">
        <v>107012</v>
      </c>
      <c r="B4501" s="129">
        <v>0</v>
      </c>
      <c r="E4501" s="130"/>
    </row>
    <row r="4502" spans="1:5" x14ac:dyDescent="0.25">
      <c r="A4502" s="1033">
        <v>107013</v>
      </c>
      <c r="B4502" s="129">
        <v>0</v>
      </c>
      <c r="E4502" s="130"/>
    </row>
    <row r="4503" spans="1:5" x14ac:dyDescent="0.25">
      <c r="A4503" s="1033">
        <v>107014</v>
      </c>
      <c r="B4503" s="129">
        <v>0</v>
      </c>
      <c r="E4503" s="130"/>
    </row>
    <row r="4504" spans="1:5" x14ac:dyDescent="0.25">
      <c r="A4504" s="1033">
        <v>107015</v>
      </c>
      <c r="B4504" s="129">
        <v>0</v>
      </c>
      <c r="E4504" s="130"/>
    </row>
    <row r="4505" spans="1:5" x14ac:dyDescent="0.25">
      <c r="A4505" s="1033">
        <v>107016</v>
      </c>
      <c r="B4505" s="129">
        <v>0</v>
      </c>
      <c r="E4505" s="130"/>
    </row>
    <row r="4506" spans="1:5" x14ac:dyDescent="0.25">
      <c r="A4506" s="1033">
        <v>107110</v>
      </c>
      <c r="B4506" s="129">
        <v>0</v>
      </c>
      <c r="E4506" s="130"/>
    </row>
    <row r="4507" spans="1:5" x14ac:dyDescent="0.25">
      <c r="A4507" s="1033">
        <v>107111</v>
      </c>
      <c r="B4507" s="129">
        <v>0</v>
      </c>
      <c r="E4507" s="130"/>
    </row>
    <row r="4508" spans="1:5" x14ac:dyDescent="0.25">
      <c r="A4508" s="1033">
        <v>107112</v>
      </c>
      <c r="B4508" s="129">
        <v>0</v>
      </c>
      <c r="E4508" s="130"/>
    </row>
    <row r="4509" spans="1:5" x14ac:dyDescent="0.25">
      <c r="A4509" s="1033">
        <v>107113</v>
      </c>
      <c r="B4509" s="129">
        <v>0</v>
      </c>
      <c r="E4509" s="130"/>
    </row>
    <row r="4510" spans="1:5" x14ac:dyDescent="0.25">
      <c r="A4510" s="1033">
        <v>107114</v>
      </c>
      <c r="B4510" s="129">
        <v>0</v>
      </c>
      <c r="E4510" s="130"/>
    </row>
    <row r="4511" spans="1:5" x14ac:dyDescent="0.25">
      <c r="A4511" s="1033">
        <v>107115</v>
      </c>
      <c r="B4511" s="129">
        <v>0</v>
      </c>
      <c r="E4511" s="130"/>
    </row>
    <row r="4512" spans="1:5" x14ac:dyDescent="0.25">
      <c r="A4512" s="1033">
        <v>107116</v>
      </c>
      <c r="B4512" s="129">
        <v>0</v>
      </c>
      <c r="E4512" s="130"/>
    </row>
    <row r="4513" spans="1:9" x14ac:dyDescent="0.25">
      <c r="A4513" s="1033">
        <v>107208</v>
      </c>
      <c r="B4513" s="129">
        <v>3000</v>
      </c>
      <c r="C4513" s="130">
        <v>290</v>
      </c>
      <c r="D4513" s="130">
        <v>16</v>
      </c>
      <c r="E4513" s="130">
        <v>290</v>
      </c>
      <c r="F4513" s="1031">
        <v>3000</v>
      </c>
      <c r="G4513" s="1031">
        <v>0</v>
      </c>
      <c r="H4513" s="1031">
        <v>3000</v>
      </c>
      <c r="I4513" s="1032" t="s">
        <v>1881</v>
      </c>
    </row>
    <row r="4514" spans="1:9" x14ac:dyDescent="0.25">
      <c r="A4514" s="1033">
        <v>107210</v>
      </c>
      <c r="B4514" s="129">
        <v>0</v>
      </c>
      <c r="E4514" s="130"/>
    </row>
    <row r="4515" spans="1:9" x14ac:dyDescent="0.25">
      <c r="A4515" s="1033">
        <v>107211</v>
      </c>
      <c r="B4515" s="129">
        <v>0</v>
      </c>
      <c r="E4515" s="130"/>
    </row>
    <row r="4516" spans="1:9" x14ac:dyDescent="0.25">
      <c r="A4516" s="1033">
        <v>107212</v>
      </c>
      <c r="B4516" s="129">
        <v>0</v>
      </c>
      <c r="E4516" s="130"/>
    </row>
    <row r="4517" spans="1:9" x14ac:dyDescent="0.25">
      <c r="A4517" s="1033">
        <v>107213</v>
      </c>
      <c r="B4517" s="129">
        <v>0</v>
      </c>
      <c r="E4517" s="130"/>
    </row>
    <row r="4518" spans="1:9" x14ac:dyDescent="0.25">
      <c r="A4518" s="1033">
        <v>107214</v>
      </c>
      <c r="B4518" s="129">
        <v>0</v>
      </c>
      <c r="E4518" s="130"/>
    </row>
    <row r="4519" spans="1:9" x14ac:dyDescent="0.25">
      <c r="A4519" s="1033">
        <v>107215</v>
      </c>
      <c r="B4519" s="129">
        <v>0</v>
      </c>
      <c r="E4519" s="130"/>
    </row>
    <row r="4520" spans="1:9" x14ac:dyDescent="0.25">
      <c r="A4520" s="1033">
        <v>107216</v>
      </c>
      <c r="B4520" s="129">
        <v>0</v>
      </c>
      <c r="E4520" s="130"/>
    </row>
    <row r="4521" spans="1:9" x14ac:dyDescent="0.25">
      <c r="A4521" s="1033">
        <v>107308</v>
      </c>
      <c r="B4521" s="129">
        <v>0</v>
      </c>
      <c r="E4521" s="130"/>
    </row>
    <row r="4522" spans="1:9" x14ac:dyDescent="0.25">
      <c r="A4522" s="1033">
        <v>107310</v>
      </c>
      <c r="B4522" s="129">
        <v>4</v>
      </c>
      <c r="E4522" s="130"/>
    </row>
    <row r="4523" spans="1:9" x14ac:dyDescent="0.25">
      <c r="A4523" s="1033">
        <v>107311</v>
      </c>
      <c r="B4523" s="129">
        <v>5</v>
      </c>
      <c r="E4523" s="130"/>
    </row>
    <row r="4524" spans="1:9" x14ac:dyDescent="0.25">
      <c r="A4524" s="1033">
        <v>107312</v>
      </c>
      <c r="B4524" s="129">
        <v>5</v>
      </c>
      <c r="E4524" s="130"/>
    </row>
    <row r="4525" spans="1:9" x14ac:dyDescent="0.25">
      <c r="A4525" s="1033">
        <v>107313</v>
      </c>
      <c r="B4525" s="129">
        <v>0</v>
      </c>
      <c r="E4525" s="130"/>
    </row>
    <row r="4526" spans="1:9" x14ac:dyDescent="0.25">
      <c r="A4526" s="1033">
        <v>107314</v>
      </c>
      <c r="B4526" s="129">
        <v>13</v>
      </c>
      <c r="E4526" s="130"/>
    </row>
    <row r="4527" spans="1:9" x14ac:dyDescent="0.25">
      <c r="A4527" s="1033">
        <v>107315</v>
      </c>
      <c r="B4527" s="129">
        <v>0</v>
      </c>
      <c r="E4527" s="130"/>
    </row>
    <row r="4528" spans="1:9" x14ac:dyDescent="0.25">
      <c r="A4528" s="1033">
        <v>107316</v>
      </c>
      <c r="B4528" s="129">
        <v>13</v>
      </c>
      <c r="E4528" s="130"/>
    </row>
    <row r="4529" spans="1:9" x14ac:dyDescent="0.25">
      <c r="A4529" s="1033">
        <v>107408</v>
      </c>
      <c r="B4529" s="129">
        <v>0</v>
      </c>
      <c r="E4529" s="130"/>
    </row>
    <row r="4530" spans="1:9" x14ac:dyDescent="0.25">
      <c r="A4530" s="1033">
        <v>107508</v>
      </c>
      <c r="B4530" s="129">
        <v>0</v>
      </c>
      <c r="E4530" s="130"/>
    </row>
    <row r="4531" spans="1:9" x14ac:dyDescent="0.25">
      <c r="A4531" s="1033">
        <v>107608</v>
      </c>
      <c r="B4531" s="129">
        <v>4854961</v>
      </c>
      <c r="C4531" s="130">
        <v>296</v>
      </c>
      <c r="D4531" s="130">
        <v>16</v>
      </c>
      <c r="E4531" s="130">
        <v>296</v>
      </c>
      <c r="F4531" s="1031">
        <v>4854961.3099999996</v>
      </c>
      <c r="G4531" s="1031">
        <v>0</v>
      </c>
      <c r="H4531" s="1031">
        <v>4854961.3099999996</v>
      </c>
      <c r="I4531" s="1032" t="s">
        <v>1882</v>
      </c>
    </row>
    <row r="4532" spans="1:9" x14ac:dyDescent="0.25">
      <c r="A4532" s="1033">
        <v>107708</v>
      </c>
      <c r="B4532" s="129">
        <v>2200000</v>
      </c>
      <c r="C4532" s="130">
        <v>297</v>
      </c>
      <c r="D4532" s="130">
        <v>16</v>
      </c>
      <c r="E4532" s="130">
        <v>297</v>
      </c>
      <c r="F4532" s="1031">
        <v>2350000</v>
      </c>
      <c r="G4532" s="1031">
        <v>-150000</v>
      </c>
      <c r="H4532" s="1031">
        <v>2200000</v>
      </c>
      <c r="I4532" s="1032" t="s">
        <v>1883</v>
      </c>
    </row>
    <row r="4533" spans="1:9" x14ac:dyDescent="0.25">
      <c r="A4533" s="1033">
        <v>107808</v>
      </c>
      <c r="B4533" s="129">
        <v>7057961</v>
      </c>
      <c r="E4533" s="130"/>
    </row>
    <row r="4534" spans="1:9" x14ac:dyDescent="0.25">
      <c r="A4534" s="1033">
        <v>107908</v>
      </c>
      <c r="B4534" s="129">
        <v>17844107</v>
      </c>
      <c r="E4534" s="130"/>
    </row>
    <row r="4535" spans="1:9" x14ac:dyDescent="0.25">
      <c r="A4535" s="1033">
        <v>106117</v>
      </c>
      <c r="B4535" s="129">
        <v>-87245</v>
      </c>
      <c r="E4535" s="130"/>
    </row>
    <row r="4536" spans="1:9" x14ac:dyDescent="0.25">
      <c r="A4536" s="1033">
        <v>106217</v>
      </c>
      <c r="B4536" s="129">
        <v>0</v>
      </c>
      <c r="E4536" s="130"/>
    </row>
    <row r="4537" spans="1:9" x14ac:dyDescent="0.25">
      <c r="A4537" s="1033">
        <v>106317</v>
      </c>
      <c r="B4537" s="129">
        <v>0</v>
      </c>
      <c r="E4537" s="130"/>
    </row>
    <row r="4538" spans="1:9" x14ac:dyDescent="0.25">
      <c r="A4538" s="1033">
        <v>106417</v>
      </c>
      <c r="B4538" s="129">
        <v>0</v>
      </c>
      <c r="E4538" s="130"/>
    </row>
    <row r="4539" spans="1:9" x14ac:dyDescent="0.25">
      <c r="A4539" s="1033">
        <v>106517</v>
      </c>
      <c r="B4539" s="129">
        <v>0</v>
      </c>
      <c r="E4539" s="130"/>
    </row>
    <row r="4540" spans="1:9" x14ac:dyDescent="0.25">
      <c r="A4540" s="1033">
        <v>106617</v>
      </c>
      <c r="B4540" s="129">
        <v>0</v>
      </c>
      <c r="E4540" s="130"/>
    </row>
    <row r="4541" spans="1:9" x14ac:dyDescent="0.25">
      <c r="A4541" s="1033">
        <v>106717</v>
      </c>
      <c r="B4541" s="129">
        <v>0</v>
      </c>
      <c r="E4541" s="130"/>
    </row>
    <row r="4542" spans="1:9" x14ac:dyDescent="0.25">
      <c r="A4542" s="1033">
        <v>106817</v>
      </c>
      <c r="B4542" s="129">
        <v>0</v>
      </c>
      <c r="E4542" s="130"/>
    </row>
    <row r="4543" spans="1:9" x14ac:dyDescent="0.25">
      <c r="A4543" s="1033">
        <v>106917</v>
      </c>
      <c r="B4543" s="129">
        <v>0</v>
      </c>
      <c r="E4543" s="130"/>
    </row>
    <row r="4544" spans="1:9" x14ac:dyDescent="0.25">
      <c r="A4544" s="1033">
        <v>107017</v>
      </c>
      <c r="B4544" s="129">
        <v>0</v>
      </c>
      <c r="E4544" s="130"/>
    </row>
    <row r="4545" spans="1:5" x14ac:dyDescent="0.25">
      <c r="A4545" s="1033">
        <v>107117</v>
      </c>
      <c r="B4545" s="129">
        <v>0</v>
      </c>
      <c r="E4545" s="130"/>
    </row>
    <row r="4546" spans="1:5" x14ac:dyDescent="0.25">
      <c r="A4546" s="1033">
        <v>107217</v>
      </c>
      <c r="B4546" s="129">
        <v>0</v>
      </c>
      <c r="E4546" s="130"/>
    </row>
    <row r="4547" spans="1:5" x14ac:dyDescent="0.25">
      <c r="A4547" s="1033">
        <v>1005418</v>
      </c>
      <c r="B4547" s="129">
        <v>6</v>
      </c>
      <c r="E4547" s="130"/>
    </row>
    <row r="4548" spans="1:5" x14ac:dyDescent="0.25">
      <c r="A4548" s="1033">
        <v>1005420</v>
      </c>
      <c r="B4548" s="129">
        <v>6</v>
      </c>
      <c r="E4548" s="130"/>
    </row>
    <row r="4549" spans="1:5" x14ac:dyDescent="0.25">
      <c r="A4549" s="1033">
        <v>1000208</v>
      </c>
      <c r="B4549" s="129">
        <v>6852</v>
      </c>
      <c r="E4549" s="130"/>
    </row>
    <row r="4550" spans="1:5" x14ac:dyDescent="0.25">
      <c r="A4550" s="1033">
        <v>1000308</v>
      </c>
      <c r="B4550" s="129">
        <v>51421</v>
      </c>
      <c r="E4550" s="130"/>
    </row>
    <row r="4551" spans="1:5" x14ac:dyDescent="0.25">
      <c r="A4551" s="1033">
        <v>1000408</v>
      </c>
      <c r="B4551" s="129">
        <v>24296</v>
      </c>
      <c r="E4551" s="130"/>
    </row>
    <row r="4552" spans="1:5" x14ac:dyDescent="0.25">
      <c r="A4552" s="1033">
        <v>1000608</v>
      </c>
      <c r="B4552" s="129">
        <v>625584</v>
      </c>
      <c r="E4552" s="130"/>
    </row>
    <row r="4553" spans="1:5" x14ac:dyDescent="0.25">
      <c r="A4553" s="1033">
        <v>1000610</v>
      </c>
      <c r="B4553" s="129">
        <v>15</v>
      </c>
      <c r="E4553" s="130"/>
    </row>
    <row r="4554" spans="1:5" x14ac:dyDescent="0.25">
      <c r="A4554" s="1033">
        <v>1000614</v>
      </c>
      <c r="B4554" s="129">
        <v>464736</v>
      </c>
      <c r="E4554" s="130"/>
    </row>
    <row r="4555" spans="1:5" x14ac:dyDescent="0.25">
      <c r="A4555" s="1033">
        <v>1000616</v>
      </c>
      <c r="B4555" s="129">
        <v>11</v>
      </c>
      <c r="E4555" s="130"/>
    </row>
    <row r="4556" spans="1:5" x14ac:dyDescent="0.25">
      <c r="A4556" s="1033">
        <v>1000708</v>
      </c>
      <c r="B4556" s="129">
        <v>316413</v>
      </c>
      <c r="E4556" s="130"/>
    </row>
    <row r="4557" spans="1:5" x14ac:dyDescent="0.25">
      <c r="A4557" s="1033">
        <v>1000710</v>
      </c>
      <c r="B4557" s="129">
        <v>8</v>
      </c>
      <c r="E4557" s="130"/>
    </row>
    <row r="4558" spans="1:5" x14ac:dyDescent="0.25">
      <c r="A4558" s="1033">
        <v>1000714</v>
      </c>
      <c r="B4558" s="129">
        <v>134405</v>
      </c>
      <c r="E4558" s="130"/>
    </row>
    <row r="4559" spans="1:5" x14ac:dyDescent="0.25">
      <c r="A4559" s="1033">
        <v>1000716</v>
      </c>
      <c r="B4559" s="129">
        <v>4</v>
      </c>
      <c r="E4559" s="130"/>
    </row>
    <row r="4560" spans="1:5" x14ac:dyDescent="0.25">
      <c r="A4560" s="1033">
        <v>1000808</v>
      </c>
      <c r="B4560" s="129">
        <v>0</v>
      </c>
      <c r="E4560" s="130"/>
    </row>
    <row r="4561" spans="1:9" x14ac:dyDescent="0.25">
      <c r="A4561" s="1033">
        <v>1000810</v>
      </c>
      <c r="B4561" s="129">
        <v>0</v>
      </c>
      <c r="E4561" s="130"/>
    </row>
    <row r="4562" spans="1:9" x14ac:dyDescent="0.25">
      <c r="A4562" s="1033">
        <v>1000814</v>
      </c>
      <c r="B4562" s="129">
        <v>0</v>
      </c>
      <c r="E4562" s="130"/>
    </row>
    <row r="4563" spans="1:9" x14ac:dyDescent="0.25">
      <c r="A4563" s="1033">
        <v>1000816</v>
      </c>
      <c r="B4563" s="129">
        <v>0</v>
      </c>
      <c r="E4563" s="130"/>
    </row>
    <row r="4564" spans="1:9" x14ac:dyDescent="0.25">
      <c r="A4564" s="1033">
        <v>1000908</v>
      </c>
      <c r="B4564" s="129">
        <v>689760</v>
      </c>
      <c r="E4564" s="130"/>
    </row>
    <row r="4565" spans="1:9" x14ac:dyDescent="0.25">
      <c r="A4565" s="1033">
        <v>1000910</v>
      </c>
      <c r="B4565" s="129">
        <v>22</v>
      </c>
      <c r="E4565" s="130"/>
    </row>
    <row r="4566" spans="1:9" x14ac:dyDescent="0.25">
      <c r="A4566" s="1033">
        <v>1000914</v>
      </c>
      <c r="B4566" s="129">
        <v>408151</v>
      </c>
      <c r="E4566" s="130"/>
    </row>
    <row r="4567" spans="1:9" x14ac:dyDescent="0.25">
      <c r="A4567" s="1033">
        <v>1000916</v>
      </c>
      <c r="B4567" s="129">
        <v>13</v>
      </c>
      <c r="E4567" s="130"/>
    </row>
    <row r="4568" spans="1:9" x14ac:dyDescent="0.25">
      <c r="A4568" s="1033">
        <v>1005818</v>
      </c>
      <c r="B4568" s="129">
        <v>6</v>
      </c>
      <c r="E4568" s="130"/>
    </row>
    <row r="4569" spans="1:9" x14ac:dyDescent="0.25">
      <c r="A4569" s="1033">
        <v>1005820</v>
      </c>
      <c r="B4569" s="129">
        <v>6</v>
      </c>
      <c r="E4569" s="130"/>
    </row>
    <row r="4570" spans="1:9" x14ac:dyDescent="0.25">
      <c r="A4570" s="1033">
        <v>1006218</v>
      </c>
      <c r="B4570" s="129">
        <v>54232</v>
      </c>
      <c r="E4570" s="130"/>
    </row>
    <row r="4571" spans="1:9" x14ac:dyDescent="0.25">
      <c r="A4571" s="1033">
        <v>1006220</v>
      </c>
      <c r="B4571" s="129">
        <v>54232</v>
      </c>
      <c r="E4571" s="130"/>
    </row>
    <row r="4572" spans="1:9" x14ac:dyDescent="0.25">
      <c r="A4572" s="1033">
        <v>906712</v>
      </c>
      <c r="B4572" s="129">
        <v>710</v>
      </c>
      <c r="E4572" s="130"/>
    </row>
    <row r="4573" spans="1:9" x14ac:dyDescent="0.25">
      <c r="A4573" s="1033">
        <v>906714</v>
      </c>
      <c r="B4573" s="129">
        <v>294309</v>
      </c>
      <c r="E4573" s="130"/>
    </row>
    <row r="4574" spans="1:9" x14ac:dyDescent="0.25">
      <c r="A4574" s="1033">
        <v>906716</v>
      </c>
      <c r="B4574" s="129">
        <v>141784</v>
      </c>
      <c r="C4574" s="130" t="s">
        <v>113</v>
      </c>
      <c r="D4574" s="130">
        <v>16</v>
      </c>
      <c r="E4574" s="130" t="s">
        <v>113</v>
      </c>
      <c r="F4574" s="1031">
        <v>0</v>
      </c>
      <c r="G4574" s="1031">
        <v>-19603.05</v>
      </c>
      <c r="H4574" s="1031">
        <v>-19603.05</v>
      </c>
      <c r="I4574" s="1032" t="s">
        <v>1153</v>
      </c>
    </row>
    <row r="4575" spans="1:9" x14ac:dyDescent="0.25">
      <c r="A4575" s="1033"/>
      <c r="C4575" s="130" t="s">
        <v>1154</v>
      </c>
      <c r="D4575" s="130">
        <v>16</v>
      </c>
      <c r="E4575" s="130" t="s">
        <v>1154</v>
      </c>
      <c r="F4575" s="1031">
        <v>0</v>
      </c>
      <c r="G4575" s="1031">
        <v>3891.38</v>
      </c>
      <c r="H4575" s="1031">
        <v>3891.38</v>
      </c>
      <c r="I4575" s="1032" t="s">
        <v>1155</v>
      </c>
    </row>
    <row r="4576" spans="1:9" x14ac:dyDescent="0.25">
      <c r="A4576" s="1033"/>
      <c r="C4576" s="130" t="s">
        <v>114</v>
      </c>
      <c r="D4576" s="130">
        <v>16</v>
      </c>
      <c r="E4576" s="130" t="s">
        <v>114</v>
      </c>
      <c r="F4576" s="1031">
        <v>0</v>
      </c>
      <c r="G4576" s="1031">
        <v>-20517.75</v>
      </c>
      <c r="H4576" s="1031">
        <v>-20517.75</v>
      </c>
      <c r="I4576" s="1032" t="s">
        <v>1158</v>
      </c>
    </row>
    <row r="4577" spans="1:9" x14ac:dyDescent="0.25">
      <c r="A4577" s="1033"/>
      <c r="C4577" s="130" t="s">
        <v>1159</v>
      </c>
      <c r="D4577" s="130">
        <v>16</v>
      </c>
      <c r="E4577" s="130" t="s">
        <v>1159</v>
      </c>
      <c r="F4577" s="1031">
        <v>0</v>
      </c>
      <c r="G4577" s="1031">
        <v>4044.13</v>
      </c>
      <c r="H4577" s="1031">
        <v>4044.13</v>
      </c>
      <c r="I4577" s="1032" t="s">
        <v>1160</v>
      </c>
    </row>
    <row r="4578" spans="1:9" x14ac:dyDescent="0.25">
      <c r="A4578" s="1033"/>
      <c r="C4578" s="130" t="s">
        <v>171</v>
      </c>
      <c r="D4578" s="130">
        <v>16</v>
      </c>
      <c r="E4578" s="130" t="s">
        <v>171</v>
      </c>
      <c r="F4578" s="1031">
        <v>0</v>
      </c>
      <c r="G4578" s="1031">
        <v>-1783.61</v>
      </c>
      <c r="H4578" s="1031">
        <v>-1783.61</v>
      </c>
      <c r="I4578" s="1032" t="s">
        <v>1163</v>
      </c>
    </row>
    <row r="4579" spans="1:9" x14ac:dyDescent="0.25">
      <c r="A4579" s="1033"/>
      <c r="C4579" s="130" t="s">
        <v>1164</v>
      </c>
      <c r="D4579" s="130">
        <v>16</v>
      </c>
      <c r="E4579" s="130" t="s">
        <v>1164</v>
      </c>
      <c r="F4579" s="1031">
        <v>0</v>
      </c>
      <c r="G4579" s="1031">
        <v>270.45999999999998</v>
      </c>
      <c r="H4579" s="1031">
        <v>270.45999999999998</v>
      </c>
      <c r="I4579" s="1032" t="s">
        <v>1165</v>
      </c>
    </row>
    <row r="4580" spans="1:9" x14ac:dyDescent="0.25">
      <c r="A4580" s="1033"/>
      <c r="C4580" s="130" t="s">
        <v>117</v>
      </c>
      <c r="D4580" s="130">
        <v>16</v>
      </c>
      <c r="E4580" s="130" t="s">
        <v>117</v>
      </c>
      <c r="F4580" s="1031">
        <v>0</v>
      </c>
      <c r="G4580" s="1031">
        <v>-1762.56</v>
      </c>
      <c r="H4580" s="1031">
        <v>-1762.56</v>
      </c>
      <c r="I4580" s="1032" t="s">
        <v>1168</v>
      </c>
    </row>
    <row r="4581" spans="1:9" x14ac:dyDescent="0.25">
      <c r="A4581" s="1033"/>
      <c r="C4581" s="130" t="s">
        <v>1169</v>
      </c>
      <c r="D4581" s="130">
        <v>16</v>
      </c>
      <c r="E4581" s="130" t="s">
        <v>1169</v>
      </c>
      <c r="F4581" s="1031">
        <v>0</v>
      </c>
      <c r="G4581" s="1031">
        <v>498.19</v>
      </c>
      <c r="H4581" s="1031">
        <v>498.19</v>
      </c>
      <c r="I4581" s="1032" t="s">
        <v>1170</v>
      </c>
    </row>
    <row r="4582" spans="1:9" x14ac:dyDescent="0.25">
      <c r="A4582" s="1033"/>
      <c r="C4582" s="130" t="s">
        <v>118</v>
      </c>
      <c r="D4582" s="130">
        <v>16</v>
      </c>
      <c r="E4582" s="130" t="s">
        <v>118</v>
      </c>
      <c r="F4582" s="1031">
        <v>0</v>
      </c>
      <c r="G4582" s="1031">
        <v>-3828.09</v>
      </c>
      <c r="H4582" s="1031">
        <v>-3828.09</v>
      </c>
      <c r="I4582" s="1032" t="s">
        <v>1173</v>
      </c>
    </row>
    <row r="4583" spans="1:9" x14ac:dyDescent="0.25">
      <c r="A4583" s="1033"/>
      <c r="C4583" s="130" t="s">
        <v>1174</v>
      </c>
      <c r="D4583" s="130">
        <v>16</v>
      </c>
      <c r="E4583" s="130" t="s">
        <v>1174</v>
      </c>
      <c r="F4583" s="1031">
        <v>0</v>
      </c>
      <c r="G4583" s="1031">
        <v>1222</v>
      </c>
      <c r="H4583" s="1031">
        <v>1222</v>
      </c>
      <c r="I4583" s="1032" t="s">
        <v>1175</v>
      </c>
    </row>
    <row r="4584" spans="1:9" x14ac:dyDescent="0.25">
      <c r="A4584" s="1033"/>
      <c r="C4584" s="130" t="s">
        <v>120</v>
      </c>
      <c r="D4584" s="130">
        <v>16</v>
      </c>
      <c r="E4584" s="130" t="s">
        <v>120</v>
      </c>
      <c r="F4584" s="1031">
        <v>0</v>
      </c>
      <c r="G4584" s="1031">
        <v>-1631.55</v>
      </c>
      <c r="H4584" s="1031">
        <v>-1631.55</v>
      </c>
      <c r="I4584" s="1032" t="s">
        <v>1178</v>
      </c>
    </row>
    <row r="4585" spans="1:9" x14ac:dyDescent="0.25">
      <c r="A4585" s="1033"/>
      <c r="C4585" s="130" t="s">
        <v>1179</v>
      </c>
      <c r="D4585" s="130">
        <v>16</v>
      </c>
      <c r="E4585" s="130" t="s">
        <v>1179</v>
      </c>
      <c r="F4585" s="1031">
        <v>0</v>
      </c>
      <c r="G4585" s="1031">
        <v>894</v>
      </c>
      <c r="H4585" s="1031">
        <v>894</v>
      </c>
      <c r="I4585" s="1032" t="s">
        <v>1180</v>
      </c>
    </row>
    <row r="4586" spans="1:9" x14ac:dyDescent="0.25">
      <c r="A4586" s="1033"/>
      <c r="C4586" s="130" t="s">
        <v>121</v>
      </c>
      <c r="D4586" s="130">
        <v>16</v>
      </c>
      <c r="E4586" s="130" t="s">
        <v>121</v>
      </c>
      <c r="F4586" s="1031">
        <v>0</v>
      </c>
      <c r="G4586" s="1031">
        <v>-1240.8</v>
      </c>
      <c r="H4586" s="1031">
        <v>-1240.8</v>
      </c>
      <c r="I4586" s="1032" t="s">
        <v>1183</v>
      </c>
    </row>
    <row r="4587" spans="1:9" x14ac:dyDescent="0.25">
      <c r="A4587" s="1033"/>
      <c r="C4587" s="130" t="s">
        <v>1184</v>
      </c>
      <c r="D4587" s="130">
        <v>16</v>
      </c>
      <c r="E4587" s="130" t="s">
        <v>1184</v>
      </c>
      <c r="F4587" s="1031">
        <v>0</v>
      </c>
      <c r="G4587" s="1031">
        <v>867</v>
      </c>
      <c r="H4587" s="1031">
        <v>867</v>
      </c>
      <c r="I4587" s="1032" t="s">
        <v>1185</v>
      </c>
    </row>
    <row r="4588" spans="1:9" x14ac:dyDescent="0.25">
      <c r="A4588" s="1033"/>
      <c r="C4588" s="130" t="s">
        <v>173</v>
      </c>
      <c r="D4588" s="130">
        <v>16</v>
      </c>
      <c r="E4588" s="130" t="s">
        <v>173</v>
      </c>
      <c r="F4588" s="1031">
        <v>0</v>
      </c>
      <c r="G4588" s="1031">
        <v>-236.7</v>
      </c>
      <c r="H4588" s="1031">
        <v>-236.7</v>
      </c>
      <c r="I4588" s="1032" t="s">
        <v>1188</v>
      </c>
    </row>
    <row r="4589" spans="1:9" x14ac:dyDescent="0.25">
      <c r="A4589" s="1033"/>
      <c r="C4589" s="130" t="s">
        <v>1189</v>
      </c>
      <c r="D4589" s="130">
        <v>16</v>
      </c>
      <c r="E4589" s="130" t="s">
        <v>1189</v>
      </c>
      <c r="F4589" s="1031">
        <v>0</v>
      </c>
      <c r="G4589" s="1031">
        <v>126</v>
      </c>
      <c r="H4589" s="1031">
        <v>126</v>
      </c>
      <c r="I4589" s="1032" t="s">
        <v>1190</v>
      </c>
    </row>
    <row r="4590" spans="1:9" x14ac:dyDescent="0.25">
      <c r="A4590" s="1033"/>
      <c r="C4590" s="130" t="s">
        <v>124</v>
      </c>
      <c r="D4590" s="130">
        <v>16</v>
      </c>
      <c r="E4590" s="130" t="s">
        <v>124</v>
      </c>
      <c r="F4590" s="1031">
        <v>0</v>
      </c>
      <c r="G4590" s="1031">
        <v>-12238.2</v>
      </c>
      <c r="H4590" s="1031">
        <v>-12238.2</v>
      </c>
      <c r="I4590" s="1032" t="s">
        <v>1193</v>
      </c>
    </row>
    <row r="4591" spans="1:9" x14ac:dyDescent="0.25">
      <c r="A4591" s="1033"/>
      <c r="C4591" s="130" t="s">
        <v>1194</v>
      </c>
      <c r="D4591" s="130">
        <v>16</v>
      </c>
      <c r="E4591" s="130" t="s">
        <v>1194</v>
      </c>
      <c r="F4591" s="1031">
        <v>0</v>
      </c>
      <c r="G4591" s="1031">
        <v>5269.89</v>
      </c>
      <c r="H4591" s="1031">
        <v>5269.89</v>
      </c>
      <c r="I4591" s="1032" t="s">
        <v>1195</v>
      </c>
    </row>
    <row r="4592" spans="1:9" x14ac:dyDescent="0.25">
      <c r="A4592" s="1033"/>
      <c r="C4592" s="130" t="s">
        <v>125</v>
      </c>
      <c r="D4592" s="130">
        <v>16</v>
      </c>
      <c r="E4592" s="130" t="s">
        <v>125</v>
      </c>
      <c r="F4592" s="1031">
        <v>0</v>
      </c>
      <c r="G4592" s="1031">
        <v>-6177.57</v>
      </c>
      <c r="H4592" s="1031">
        <v>-6177.57</v>
      </c>
      <c r="I4592" s="1032" t="s">
        <v>1198</v>
      </c>
    </row>
    <row r="4593" spans="1:9" x14ac:dyDescent="0.25">
      <c r="A4593" s="1033"/>
      <c r="C4593" s="130" t="s">
        <v>1199</v>
      </c>
      <c r="D4593" s="130">
        <v>16</v>
      </c>
      <c r="E4593" s="130" t="s">
        <v>1199</v>
      </c>
      <c r="F4593" s="1031">
        <v>0</v>
      </c>
      <c r="G4593" s="1031">
        <v>2487.06</v>
      </c>
      <c r="H4593" s="1031">
        <v>2487.06</v>
      </c>
      <c r="I4593" s="1032" t="s">
        <v>1200</v>
      </c>
    </row>
    <row r="4594" spans="1:9" x14ac:dyDescent="0.25">
      <c r="A4594" s="1033"/>
      <c r="C4594" s="130" t="s">
        <v>174</v>
      </c>
      <c r="D4594" s="130">
        <v>16</v>
      </c>
      <c r="E4594" s="130" t="s">
        <v>174</v>
      </c>
      <c r="F4594" s="1031">
        <v>0</v>
      </c>
      <c r="G4594" s="1031">
        <v>-1041.3</v>
      </c>
      <c r="H4594" s="1031">
        <v>-1041.3</v>
      </c>
      <c r="I4594" s="1032" t="s">
        <v>1203</v>
      </c>
    </row>
    <row r="4595" spans="1:9" x14ac:dyDescent="0.25">
      <c r="A4595" s="1033"/>
      <c r="C4595" s="130" t="s">
        <v>1204</v>
      </c>
      <c r="D4595" s="130">
        <v>16</v>
      </c>
      <c r="E4595" s="130" t="s">
        <v>1204</v>
      </c>
      <c r="F4595" s="1031">
        <v>0</v>
      </c>
      <c r="G4595" s="1031">
        <v>202.55</v>
      </c>
      <c r="H4595" s="1031">
        <v>202.55</v>
      </c>
      <c r="I4595" s="1032" t="s">
        <v>1205</v>
      </c>
    </row>
    <row r="4596" spans="1:9" x14ac:dyDescent="0.25">
      <c r="A4596" s="1033"/>
      <c r="C4596" s="130" t="s">
        <v>128</v>
      </c>
      <c r="D4596" s="130">
        <v>16</v>
      </c>
      <c r="E4596" s="130" t="s">
        <v>128</v>
      </c>
      <c r="F4596" s="1031">
        <v>0</v>
      </c>
      <c r="G4596" s="1031">
        <v>-6507.77</v>
      </c>
      <c r="H4596" s="1031">
        <v>-6507.77</v>
      </c>
      <c r="I4596" s="1032" t="s">
        <v>1210</v>
      </c>
    </row>
    <row r="4597" spans="1:9" x14ac:dyDescent="0.25">
      <c r="A4597" s="1033"/>
      <c r="C4597" s="130" t="s">
        <v>128</v>
      </c>
      <c r="D4597" s="130">
        <v>16</v>
      </c>
      <c r="E4597" s="130" t="s">
        <v>1211</v>
      </c>
      <c r="F4597" s="1031">
        <v>0</v>
      </c>
      <c r="G4597" s="1031">
        <v>-3106.15</v>
      </c>
      <c r="H4597" s="1031">
        <v>-3106.15</v>
      </c>
      <c r="I4597" s="1032" t="s">
        <v>1212</v>
      </c>
    </row>
    <row r="4598" spans="1:9" x14ac:dyDescent="0.25">
      <c r="A4598" s="1033"/>
      <c r="C4598" s="130" t="s">
        <v>1213</v>
      </c>
      <c r="D4598" s="130">
        <v>16</v>
      </c>
      <c r="E4598" s="130" t="s">
        <v>1213</v>
      </c>
      <c r="F4598" s="1031">
        <v>0</v>
      </c>
      <c r="G4598" s="1031">
        <v>1378.06</v>
      </c>
      <c r="H4598" s="1031">
        <v>1378.06</v>
      </c>
      <c r="I4598" s="1032" t="s">
        <v>1214</v>
      </c>
    </row>
    <row r="4599" spans="1:9" x14ac:dyDescent="0.25">
      <c r="A4599" s="1033"/>
      <c r="C4599" s="130" t="s">
        <v>1213</v>
      </c>
      <c r="D4599" s="130">
        <v>16</v>
      </c>
      <c r="E4599" s="130" t="s">
        <v>1215</v>
      </c>
      <c r="F4599" s="1031">
        <v>0</v>
      </c>
      <c r="G4599" s="1031">
        <v>1846</v>
      </c>
      <c r="H4599" s="1031">
        <v>1846</v>
      </c>
      <c r="I4599" s="1032" t="s">
        <v>1216</v>
      </c>
    </row>
    <row r="4600" spans="1:9" x14ac:dyDescent="0.25">
      <c r="A4600" s="1033"/>
      <c r="C4600" s="130" t="s">
        <v>155</v>
      </c>
      <c r="D4600" s="130">
        <v>16</v>
      </c>
      <c r="E4600" s="130" t="s">
        <v>155</v>
      </c>
      <c r="F4600" s="1031">
        <v>0</v>
      </c>
      <c r="G4600" s="1031">
        <v>-8273.66</v>
      </c>
      <c r="H4600" s="1031">
        <v>-8273.66</v>
      </c>
      <c r="I4600" s="1032" t="s">
        <v>1221</v>
      </c>
    </row>
    <row r="4601" spans="1:9" x14ac:dyDescent="0.25">
      <c r="A4601" s="1033"/>
      <c r="C4601" s="130" t="s">
        <v>155</v>
      </c>
      <c r="D4601" s="130">
        <v>16</v>
      </c>
      <c r="E4601" s="130" t="s">
        <v>2</v>
      </c>
      <c r="F4601" s="1031">
        <v>0</v>
      </c>
      <c r="G4601" s="1031">
        <v>-4103.68</v>
      </c>
      <c r="H4601" s="1031">
        <v>-4103.68</v>
      </c>
      <c r="I4601" s="1032" t="s">
        <v>1222</v>
      </c>
    </row>
    <row r="4602" spans="1:9" x14ac:dyDescent="0.25">
      <c r="A4602" s="1033"/>
      <c r="C4602" s="130" t="s">
        <v>1223</v>
      </c>
      <c r="D4602" s="130">
        <v>16</v>
      </c>
      <c r="E4602" s="130" t="s">
        <v>1223</v>
      </c>
      <c r="F4602" s="1031">
        <v>0</v>
      </c>
      <c r="G4602" s="1031">
        <v>2007.77</v>
      </c>
      <c r="H4602" s="1031">
        <v>2007.77</v>
      </c>
      <c r="I4602" s="1032" t="s">
        <v>1224</v>
      </c>
    </row>
    <row r="4603" spans="1:9" x14ac:dyDescent="0.25">
      <c r="A4603" s="1033"/>
      <c r="C4603" s="130" t="s">
        <v>1223</v>
      </c>
      <c r="D4603" s="130">
        <v>16</v>
      </c>
      <c r="E4603" s="130" t="s">
        <v>1225</v>
      </c>
      <c r="F4603" s="1031">
        <v>0</v>
      </c>
      <c r="G4603" s="1031">
        <v>3229.5</v>
      </c>
      <c r="H4603" s="1031">
        <v>3229.5</v>
      </c>
      <c r="I4603" s="1032" t="s">
        <v>1226</v>
      </c>
    </row>
    <row r="4604" spans="1:9" x14ac:dyDescent="0.25">
      <c r="A4604" s="1033"/>
      <c r="C4604" s="130" t="s">
        <v>175</v>
      </c>
      <c r="D4604" s="130">
        <v>16</v>
      </c>
      <c r="E4604" s="130" t="s">
        <v>175</v>
      </c>
      <c r="F4604" s="1031">
        <v>0</v>
      </c>
      <c r="G4604" s="1031">
        <v>-1958.35</v>
      </c>
      <c r="H4604" s="1031">
        <v>-1958.35</v>
      </c>
      <c r="I4604" s="1032" t="s">
        <v>1231</v>
      </c>
    </row>
    <row r="4605" spans="1:9" x14ac:dyDescent="0.25">
      <c r="A4605" s="1033"/>
      <c r="C4605" s="130" t="s">
        <v>175</v>
      </c>
      <c r="D4605" s="130">
        <v>16</v>
      </c>
      <c r="E4605" s="130" t="s">
        <v>1232</v>
      </c>
      <c r="F4605" s="1031">
        <v>0</v>
      </c>
      <c r="G4605" s="1031">
        <v>-916.8</v>
      </c>
      <c r="H4605" s="1031">
        <v>-916.8</v>
      </c>
      <c r="I4605" s="1032" t="s">
        <v>1233</v>
      </c>
    </row>
    <row r="4606" spans="1:9" x14ac:dyDescent="0.25">
      <c r="A4606" s="1033"/>
      <c r="C4606" s="130" t="s">
        <v>1234</v>
      </c>
      <c r="D4606" s="130">
        <v>16</v>
      </c>
      <c r="E4606" s="130" t="s">
        <v>1234</v>
      </c>
      <c r="F4606" s="1031">
        <v>0</v>
      </c>
      <c r="G4606" s="1031">
        <v>442.16</v>
      </c>
      <c r="H4606" s="1031">
        <v>442.16</v>
      </c>
      <c r="I4606" s="1032" t="s">
        <v>1235</v>
      </c>
    </row>
    <row r="4607" spans="1:9" x14ac:dyDescent="0.25">
      <c r="A4607" s="1033"/>
      <c r="C4607" s="130" t="s">
        <v>1234</v>
      </c>
      <c r="D4607" s="130">
        <v>16</v>
      </c>
      <c r="E4607" s="130" t="s">
        <v>1236</v>
      </c>
      <c r="F4607" s="1031">
        <v>0</v>
      </c>
      <c r="G4607" s="1031">
        <v>495</v>
      </c>
      <c r="H4607" s="1031">
        <v>495</v>
      </c>
      <c r="I4607" s="1032" t="s">
        <v>1237</v>
      </c>
    </row>
    <row r="4608" spans="1:9" x14ac:dyDescent="0.25">
      <c r="A4608" s="1033"/>
      <c r="C4608" s="130" t="s">
        <v>8</v>
      </c>
      <c r="D4608" s="130">
        <v>16</v>
      </c>
      <c r="E4608" s="130" t="s">
        <v>1241</v>
      </c>
      <c r="F4608" s="1031">
        <v>0</v>
      </c>
      <c r="G4608" s="1031">
        <v>-2399.4499999999998</v>
      </c>
      <c r="H4608" s="1031">
        <v>-2399.4499999999998</v>
      </c>
      <c r="I4608" s="1032" t="s">
        <v>1242</v>
      </c>
    </row>
    <row r="4609" spans="1:9" x14ac:dyDescent="0.25">
      <c r="A4609" s="1033"/>
      <c r="C4609" s="130" t="s">
        <v>1243</v>
      </c>
      <c r="D4609" s="130">
        <v>16</v>
      </c>
      <c r="E4609" s="130" t="s">
        <v>1244</v>
      </c>
      <c r="F4609" s="1031">
        <v>0</v>
      </c>
      <c r="G4609" s="1031">
        <v>1443</v>
      </c>
      <c r="H4609" s="1031">
        <v>1443</v>
      </c>
      <c r="I4609" s="1032" t="s">
        <v>1245</v>
      </c>
    </row>
    <row r="4610" spans="1:9" x14ac:dyDescent="0.25">
      <c r="A4610" s="1033"/>
      <c r="C4610" s="130" t="s">
        <v>4</v>
      </c>
      <c r="D4610" s="130">
        <v>16</v>
      </c>
      <c r="E4610" s="130" t="s">
        <v>4</v>
      </c>
      <c r="F4610" s="1031">
        <v>0</v>
      </c>
      <c r="G4610" s="1031">
        <v>567.4</v>
      </c>
      <c r="H4610" s="1031">
        <v>567.4</v>
      </c>
      <c r="I4610" s="1032" t="s">
        <v>1246</v>
      </c>
    </row>
    <row r="4611" spans="1:9" x14ac:dyDescent="0.25">
      <c r="A4611" s="1033"/>
      <c r="C4611" s="130" t="s">
        <v>5</v>
      </c>
      <c r="D4611" s="130">
        <v>16</v>
      </c>
      <c r="E4611" s="130" t="s">
        <v>5</v>
      </c>
      <c r="F4611" s="1031">
        <v>0</v>
      </c>
      <c r="G4611" s="1031">
        <v>378.27</v>
      </c>
      <c r="H4611" s="1031">
        <v>378.27</v>
      </c>
      <c r="I4611" s="1032" t="s">
        <v>1247</v>
      </c>
    </row>
    <row r="4612" spans="1:9" x14ac:dyDescent="0.25">
      <c r="A4612" s="1033"/>
      <c r="C4612" s="130" t="s">
        <v>10</v>
      </c>
      <c r="D4612" s="130">
        <v>16</v>
      </c>
      <c r="E4612" s="130" t="s">
        <v>10</v>
      </c>
      <c r="F4612" s="1031">
        <v>0</v>
      </c>
      <c r="G4612" s="1031">
        <v>-19085.54</v>
      </c>
      <c r="H4612" s="1031">
        <v>-19085.54</v>
      </c>
      <c r="I4612" s="1032" t="s">
        <v>1058</v>
      </c>
    </row>
    <row r="4613" spans="1:9" x14ac:dyDescent="0.25">
      <c r="A4613" s="1033"/>
      <c r="C4613" s="130" t="s">
        <v>1059</v>
      </c>
      <c r="D4613" s="130">
        <v>16</v>
      </c>
      <c r="E4613" s="130" t="s">
        <v>1059</v>
      </c>
      <c r="F4613" s="1031">
        <v>0</v>
      </c>
      <c r="G4613" s="1031">
        <v>11534.05</v>
      </c>
      <c r="H4613" s="1031">
        <v>11534.05</v>
      </c>
      <c r="I4613" s="1032" t="s">
        <v>1060</v>
      </c>
    </row>
    <row r="4614" spans="1:9" x14ac:dyDescent="0.25">
      <c r="A4614" s="1033"/>
      <c r="C4614" s="130" t="s">
        <v>11</v>
      </c>
      <c r="D4614" s="130">
        <v>16</v>
      </c>
      <c r="E4614" s="130" t="s">
        <v>11</v>
      </c>
      <c r="F4614" s="1031">
        <v>0</v>
      </c>
      <c r="G4614" s="1031">
        <v>-21532.83</v>
      </c>
      <c r="H4614" s="1031">
        <v>-21532.83</v>
      </c>
      <c r="I4614" s="1032" t="s">
        <v>1063</v>
      </c>
    </row>
    <row r="4615" spans="1:9" x14ac:dyDescent="0.25">
      <c r="A4615" s="1033"/>
      <c r="C4615" s="130" t="s">
        <v>1064</v>
      </c>
      <c r="D4615" s="130">
        <v>16</v>
      </c>
      <c r="E4615" s="130" t="s">
        <v>1064</v>
      </c>
      <c r="F4615" s="1031">
        <v>0</v>
      </c>
      <c r="G4615" s="1031">
        <v>11722.34</v>
      </c>
      <c r="H4615" s="1031">
        <v>11722.34</v>
      </c>
      <c r="I4615" s="1032" t="s">
        <v>1065</v>
      </c>
    </row>
    <row r="4616" spans="1:9" x14ac:dyDescent="0.25">
      <c r="A4616" s="1033"/>
      <c r="C4616" s="130" t="s">
        <v>177</v>
      </c>
      <c r="D4616" s="130">
        <v>16</v>
      </c>
      <c r="E4616" s="130" t="s">
        <v>177</v>
      </c>
      <c r="F4616" s="1031">
        <v>0</v>
      </c>
      <c r="G4616" s="1031">
        <v>-1747.4</v>
      </c>
      <c r="H4616" s="1031">
        <v>-1747.4</v>
      </c>
      <c r="I4616" s="1032" t="s">
        <v>1068</v>
      </c>
    </row>
    <row r="4617" spans="1:9" x14ac:dyDescent="0.25">
      <c r="A4617" s="1033"/>
      <c r="C4617" s="130" t="s">
        <v>1069</v>
      </c>
      <c r="D4617" s="130">
        <v>16</v>
      </c>
      <c r="E4617" s="130" t="s">
        <v>1069</v>
      </c>
      <c r="F4617" s="1031">
        <v>0</v>
      </c>
      <c r="G4617" s="1031">
        <v>1061.99</v>
      </c>
      <c r="H4617" s="1031">
        <v>1061.99</v>
      </c>
      <c r="I4617" s="1032" t="s">
        <v>1070</v>
      </c>
    </row>
    <row r="4618" spans="1:9" x14ac:dyDescent="0.25">
      <c r="A4618" s="1033"/>
      <c r="C4618" s="130" t="s">
        <v>14</v>
      </c>
      <c r="D4618" s="130">
        <v>16</v>
      </c>
      <c r="E4618" s="130" t="s">
        <v>14</v>
      </c>
      <c r="F4618" s="1031">
        <v>0</v>
      </c>
      <c r="G4618" s="1031">
        <v>-1730.65</v>
      </c>
      <c r="H4618" s="1031">
        <v>-1730.65</v>
      </c>
      <c r="I4618" s="1032" t="s">
        <v>1073</v>
      </c>
    </row>
    <row r="4619" spans="1:9" x14ac:dyDescent="0.25">
      <c r="A4619" s="1033"/>
      <c r="C4619" s="130" t="s">
        <v>1074</v>
      </c>
      <c r="D4619" s="130">
        <v>16</v>
      </c>
      <c r="E4619" s="130" t="s">
        <v>1074</v>
      </c>
      <c r="F4619" s="1031">
        <v>0</v>
      </c>
      <c r="G4619" s="1031">
        <v>1236.1199999999999</v>
      </c>
      <c r="H4619" s="1031">
        <v>1236.1199999999999</v>
      </c>
      <c r="I4619" s="1032" t="s">
        <v>1075</v>
      </c>
    </row>
    <row r="4620" spans="1:9" x14ac:dyDescent="0.25">
      <c r="A4620" s="1033"/>
      <c r="C4620" s="130" t="s">
        <v>17</v>
      </c>
      <c r="D4620" s="130">
        <v>16</v>
      </c>
      <c r="E4620" s="130" t="s">
        <v>17</v>
      </c>
      <c r="F4620" s="1031">
        <v>0</v>
      </c>
      <c r="G4620" s="1031">
        <v>-3507.35</v>
      </c>
      <c r="H4620" s="1031">
        <v>-3507.35</v>
      </c>
      <c r="I4620" s="1032" t="s">
        <v>1078</v>
      </c>
    </row>
    <row r="4621" spans="1:9" x14ac:dyDescent="0.25">
      <c r="A4621" s="1033"/>
      <c r="C4621" s="130" t="s">
        <v>1079</v>
      </c>
      <c r="D4621" s="130">
        <v>16</v>
      </c>
      <c r="E4621" s="130" t="s">
        <v>1079</v>
      </c>
      <c r="F4621" s="1031">
        <v>0</v>
      </c>
      <c r="G4621" s="1031">
        <v>2505.09</v>
      </c>
      <c r="H4621" s="1031">
        <v>2505.09</v>
      </c>
      <c r="I4621" s="1032" t="s">
        <v>1080</v>
      </c>
    </row>
    <row r="4622" spans="1:9" x14ac:dyDescent="0.25">
      <c r="A4622" s="1033"/>
      <c r="C4622" s="130" t="s">
        <v>41</v>
      </c>
      <c r="D4622" s="130">
        <v>16</v>
      </c>
      <c r="E4622" s="130" t="s">
        <v>41</v>
      </c>
      <c r="F4622" s="1031">
        <v>0</v>
      </c>
      <c r="G4622" s="1031">
        <v>-33248.720000000001</v>
      </c>
      <c r="H4622" s="1031">
        <v>-33248.720000000001</v>
      </c>
      <c r="I4622" s="1032" t="s">
        <v>1085</v>
      </c>
    </row>
    <row r="4623" spans="1:9" x14ac:dyDescent="0.25">
      <c r="A4623" s="1033"/>
      <c r="C4623" s="130" t="s">
        <v>1086</v>
      </c>
      <c r="D4623" s="130">
        <v>16</v>
      </c>
      <c r="E4623" s="130" t="s">
        <v>1086</v>
      </c>
      <c r="F4623" s="1031">
        <v>0</v>
      </c>
      <c r="G4623" s="1031">
        <v>24079.71</v>
      </c>
      <c r="H4623" s="1031">
        <v>24079.71</v>
      </c>
      <c r="I4623" s="1032" t="s">
        <v>1087</v>
      </c>
    </row>
    <row r="4624" spans="1:9" x14ac:dyDescent="0.25">
      <c r="A4624" s="1033"/>
      <c r="C4624" s="130" t="s">
        <v>42</v>
      </c>
      <c r="D4624" s="130">
        <v>16</v>
      </c>
      <c r="E4624" s="130" t="s">
        <v>42</v>
      </c>
      <c r="F4624" s="1031">
        <v>0</v>
      </c>
      <c r="G4624" s="1031">
        <v>-12553.68</v>
      </c>
      <c r="H4624" s="1031">
        <v>-12553.68</v>
      </c>
      <c r="I4624" s="1032" t="s">
        <v>1090</v>
      </c>
    </row>
    <row r="4625" spans="1:9" x14ac:dyDescent="0.25">
      <c r="A4625" s="1033"/>
      <c r="C4625" s="130" t="s">
        <v>1091</v>
      </c>
      <c r="D4625" s="130">
        <v>16</v>
      </c>
      <c r="E4625" s="130" t="s">
        <v>1091</v>
      </c>
      <c r="F4625" s="1031">
        <v>0</v>
      </c>
      <c r="G4625" s="1031">
        <v>8964.18</v>
      </c>
      <c r="H4625" s="1031">
        <v>8964.18</v>
      </c>
      <c r="I4625" s="1032" t="s">
        <v>1092</v>
      </c>
    </row>
    <row r="4626" spans="1:9" x14ac:dyDescent="0.25">
      <c r="A4626" s="1033"/>
      <c r="C4626" s="130" t="s">
        <v>180</v>
      </c>
      <c r="D4626" s="130">
        <v>16</v>
      </c>
      <c r="E4626" s="130" t="s">
        <v>180</v>
      </c>
      <c r="F4626" s="1031">
        <v>0</v>
      </c>
      <c r="G4626" s="1031">
        <v>-8580.3700000000008</v>
      </c>
      <c r="H4626" s="1031">
        <v>-8580.3700000000008</v>
      </c>
      <c r="I4626" s="1032" t="s">
        <v>1093</v>
      </c>
    </row>
    <row r="4627" spans="1:9" x14ac:dyDescent="0.25">
      <c r="A4627" s="1033"/>
      <c r="C4627" s="130" t="s">
        <v>1094</v>
      </c>
      <c r="D4627" s="130">
        <v>16</v>
      </c>
      <c r="E4627" s="130" t="s">
        <v>1094</v>
      </c>
      <c r="F4627" s="1031">
        <v>0</v>
      </c>
      <c r="G4627" s="1031">
        <v>6128.62</v>
      </c>
      <c r="H4627" s="1031">
        <v>6128.62</v>
      </c>
      <c r="I4627" s="1032" t="s">
        <v>1095</v>
      </c>
    </row>
    <row r="4628" spans="1:9" x14ac:dyDescent="0.25">
      <c r="A4628" s="1033"/>
      <c r="C4628" s="130" t="s">
        <v>45</v>
      </c>
      <c r="D4628" s="130">
        <v>16</v>
      </c>
      <c r="E4628" s="130" t="s">
        <v>45</v>
      </c>
      <c r="F4628" s="1031">
        <v>0</v>
      </c>
      <c r="G4628" s="1031">
        <v>-5152.3999999999996</v>
      </c>
      <c r="H4628" s="1031">
        <v>-5152.3999999999996</v>
      </c>
      <c r="I4628" s="1032" t="s">
        <v>1098</v>
      </c>
    </row>
    <row r="4629" spans="1:9" x14ac:dyDescent="0.25">
      <c r="A4629" s="1033"/>
      <c r="C4629" s="130" t="s">
        <v>1099</v>
      </c>
      <c r="D4629" s="130">
        <v>16</v>
      </c>
      <c r="E4629" s="130" t="s">
        <v>1099</v>
      </c>
      <c r="F4629" s="1031">
        <v>0</v>
      </c>
      <c r="G4629" s="1031">
        <v>3079.27</v>
      </c>
      <c r="H4629" s="1031">
        <v>3079.27</v>
      </c>
      <c r="I4629" s="1032" t="s">
        <v>1100</v>
      </c>
    </row>
    <row r="4630" spans="1:9" x14ac:dyDescent="0.25">
      <c r="A4630" s="1033"/>
      <c r="C4630" s="130" t="s">
        <v>46</v>
      </c>
      <c r="D4630" s="130">
        <v>16</v>
      </c>
      <c r="E4630" s="130" t="s">
        <v>46</v>
      </c>
      <c r="F4630" s="1031">
        <v>0</v>
      </c>
      <c r="G4630" s="1031">
        <v>-5700.83</v>
      </c>
      <c r="H4630" s="1031">
        <v>-5700.83</v>
      </c>
      <c r="I4630" s="1032" t="s">
        <v>1103</v>
      </c>
    </row>
    <row r="4631" spans="1:9" x14ac:dyDescent="0.25">
      <c r="A4631" s="1033"/>
      <c r="C4631" s="130" t="s">
        <v>1104</v>
      </c>
      <c r="D4631" s="130">
        <v>16</v>
      </c>
      <c r="E4631" s="130" t="s">
        <v>1104</v>
      </c>
      <c r="F4631" s="1031">
        <v>0</v>
      </c>
      <c r="G4631" s="1031">
        <v>3036.58</v>
      </c>
      <c r="H4631" s="1031">
        <v>3036.58</v>
      </c>
      <c r="I4631" s="1032" t="s">
        <v>1105</v>
      </c>
    </row>
    <row r="4632" spans="1:9" x14ac:dyDescent="0.25">
      <c r="A4632" s="1033"/>
      <c r="C4632" s="130" t="s">
        <v>181</v>
      </c>
      <c r="D4632" s="130">
        <v>16</v>
      </c>
      <c r="E4632" s="130" t="s">
        <v>181</v>
      </c>
      <c r="F4632" s="1031">
        <v>0</v>
      </c>
      <c r="G4632" s="1031">
        <v>-44.29</v>
      </c>
      <c r="H4632" s="1031">
        <v>-44.29</v>
      </c>
      <c r="I4632" s="1032" t="s">
        <v>1108</v>
      </c>
    </row>
    <row r="4633" spans="1:9" x14ac:dyDescent="0.25">
      <c r="A4633" s="1033"/>
      <c r="C4633" s="130" t="s">
        <v>1109</v>
      </c>
      <c r="D4633" s="130">
        <v>16</v>
      </c>
      <c r="E4633" s="130" t="s">
        <v>1109</v>
      </c>
      <c r="F4633" s="1031">
        <v>0</v>
      </c>
      <c r="G4633" s="1031">
        <v>26.59</v>
      </c>
      <c r="H4633" s="1031">
        <v>26.59</v>
      </c>
      <c r="I4633" s="1032" t="s">
        <v>1110</v>
      </c>
    </row>
    <row r="4634" spans="1:9" x14ac:dyDescent="0.25">
      <c r="A4634" s="1033"/>
      <c r="C4634" s="130" t="s">
        <v>49</v>
      </c>
      <c r="D4634" s="130">
        <v>16</v>
      </c>
      <c r="E4634" s="130" t="s">
        <v>49</v>
      </c>
      <c r="F4634" s="1031">
        <v>0</v>
      </c>
      <c r="G4634" s="1031">
        <v>-10061.200000000001</v>
      </c>
      <c r="H4634" s="1031">
        <v>-10061.200000000001</v>
      </c>
      <c r="I4634" s="1032" t="s">
        <v>1113</v>
      </c>
    </row>
    <row r="4635" spans="1:9" x14ac:dyDescent="0.25">
      <c r="A4635" s="1033"/>
      <c r="C4635" s="130" t="s">
        <v>1114</v>
      </c>
      <c r="D4635" s="130">
        <v>16</v>
      </c>
      <c r="E4635" s="130" t="s">
        <v>1114</v>
      </c>
      <c r="F4635" s="1031">
        <v>0</v>
      </c>
      <c r="G4635" s="1031">
        <v>6998.24</v>
      </c>
      <c r="H4635" s="1031">
        <v>6998.24</v>
      </c>
      <c r="I4635" s="1032" t="s">
        <v>1115</v>
      </c>
    </row>
    <row r="4636" spans="1:9" x14ac:dyDescent="0.25">
      <c r="A4636" s="1033"/>
      <c r="C4636" s="130" t="s">
        <v>91</v>
      </c>
      <c r="D4636" s="130">
        <v>16</v>
      </c>
      <c r="E4636" s="130" t="s">
        <v>91</v>
      </c>
      <c r="F4636" s="1031">
        <v>0</v>
      </c>
      <c r="G4636" s="1031">
        <v>15.48</v>
      </c>
      <c r="H4636" s="1031">
        <v>15.48</v>
      </c>
      <c r="I4636" s="1032" t="s">
        <v>1118</v>
      </c>
    </row>
    <row r="4637" spans="1:9" x14ac:dyDescent="0.25">
      <c r="A4637" s="1033"/>
      <c r="C4637" s="130" t="s">
        <v>1119</v>
      </c>
      <c r="D4637" s="130">
        <v>16</v>
      </c>
      <c r="E4637" s="130" t="s">
        <v>1119</v>
      </c>
      <c r="F4637" s="1031">
        <v>0</v>
      </c>
      <c r="G4637" s="1031">
        <v>-26.12</v>
      </c>
      <c r="H4637" s="1031">
        <v>-26.12</v>
      </c>
      <c r="I4637" s="1032" t="s">
        <v>1120</v>
      </c>
    </row>
    <row r="4638" spans="1:9" x14ac:dyDescent="0.25">
      <c r="A4638" s="1033"/>
      <c r="C4638" s="130" t="s">
        <v>92</v>
      </c>
      <c r="D4638" s="130">
        <v>16</v>
      </c>
      <c r="E4638" s="130" t="s">
        <v>92</v>
      </c>
      <c r="F4638" s="1031">
        <v>0</v>
      </c>
      <c r="G4638" s="1031">
        <v>-1952.79</v>
      </c>
      <c r="H4638" s="1031">
        <v>-1952.79</v>
      </c>
      <c r="I4638" s="1032" t="s">
        <v>1123</v>
      </c>
    </row>
    <row r="4639" spans="1:9" x14ac:dyDescent="0.25">
      <c r="A4639" s="1033"/>
      <c r="C4639" s="130" t="s">
        <v>1124</v>
      </c>
      <c r="D4639" s="130">
        <v>16</v>
      </c>
      <c r="E4639" s="130" t="s">
        <v>1124</v>
      </c>
      <c r="F4639" s="1031">
        <v>0</v>
      </c>
      <c r="G4639" s="1031">
        <v>1347.06</v>
      </c>
      <c r="H4639" s="1031">
        <v>1347.06</v>
      </c>
      <c r="I4639" s="1032" t="s">
        <v>1125</v>
      </c>
    </row>
    <row r="4640" spans="1:9" x14ac:dyDescent="0.25">
      <c r="A4640" s="1033"/>
      <c r="C4640" s="130" t="s">
        <v>97</v>
      </c>
      <c r="D4640" s="130">
        <v>16</v>
      </c>
      <c r="E4640" s="130" t="s">
        <v>97</v>
      </c>
      <c r="F4640" s="1031">
        <v>0</v>
      </c>
      <c r="G4640" s="1031">
        <v>-30135.23</v>
      </c>
      <c r="H4640" s="1031">
        <v>-30135.23</v>
      </c>
      <c r="I4640" s="1032" t="s">
        <v>1128</v>
      </c>
    </row>
    <row r="4641" spans="1:9" x14ac:dyDescent="0.25">
      <c r="A4641" s="1033"/>
      <c r="C4641" s="130" t="s">
        <v>1129</v>
      </c>
      <c r="D4641" s="130">
        <v>16</v>
      </c>
      <c r="E4641" s="130" t="s">
        <v>1129</v>
      </c>
      <c r="F4641" s="1031">
        <v>0</v>
      </c>
      <c r="G4641" s="1031">
        <v>22429.05</v>
      </c>
      <c r="H4641" s="1031">
        <v>22429.05</v>
      </c>
      <c r="I4641" s="1032" t="s">
        <v>1130</v>
      </c>
    </row>
    <row r="4642" spans="1:9" x14ac:dyDescent="0.25">
      <c r="A4642" s="1033"/>
      <c r="C4642" s="130" t="s">
        <v>1129</v>
      </c>
      <c r="D4642" s="130">
        <v>16</v>
      </c>
      <c r="E4642" s="130" t="s">
        <v>1131</v>
      </c>
      <c r="F4642" s="1031">
        <v>0</v>
      </c>
      <c r="G4642" s="1031">
        <v>674.43</v>
      </c>
      <c r="H4642" s="1031">
        <v>674.43</v>
      </c>
      <c r="I4642" s="1032" t="s">
        <v>1132</v>
      </c>
    </row>
    <row r="4643" spans="1:9" x14ac:dyDescent="0.25">
      <c r="A4643" s="1033"/>
      <c r="C4643" s="130" t="s">
        <v>1137</v>
      </c>
      <c r="D4643" s="130">
        <v>16</v>
      </c>
      <c r="E4643" s="130" t="s">
        <v>1137</v>
      </c>
      <c r="F4643" s="1031">
        <v>0</v>
      </c>
      <c r="G4643" s="1031">
        <v>-35233.71</v>
      </c>
      <c r="H4643" s="1031">
        <v>-35233.71</v>
      </c>
      <c r="I4643" s="1032" t="s">
        <v>1138</v>
      </c>
    </row>
    <row r="4644" spans="1:9" x14ac:dyDescent="0.25">
      <c r="A4644" s="1033"/>
      <c r="C4644" s="130" t="s">
        <v>1139</v>
      </c>
      <c r="D4644" s="130">
        <v>16</v>
      </c>
      <c r="E4644" s="130" t="s">
        <v>1139</v>
      </c>
      <c r="F4644" s="1031">
        <v>0</v>
      </c>
      <c r="G4644" s="1031">
        <v>-2732.14</v>
      </c>
      <c r="H4644" s="1031">
        <v>-2732.14</v>
      </c>
      <c r="I4644" s="1032" t="s">
        <v>1140</v>
      </c>
    </row>
    <row r="4645" spans="1:9" x14ac:dyDescent="0.25">
      <c r="A4645" s="1033"/>
      <c r="C4645" s="130" t="s">
        <v>1139</v>
      </c>
      <c r="D4645" s="130">
        <v>16</v>
      </c>
      <c r="E4645" s="130" t="s">
        <v>1141</v>
      </c>
      <c r="F4645" s="1031">
        <v>0</v>
      </c>
      <c r="G4645" s="1031">
        <v>-3996.72</v>
      </c>
      <c r="H4645" s="1031">
        <v>-3996.72</v>
      </c>
      <c r="I4645" s="1032" t="s">
        <v>1142</v>
      </c>
    </row>
    <row r="4646" spans="1:9" x14ac:dyDescent="0.25">
      <c r="A4646" s="1033"/>
      <c r="C4646" s="130" t="s">
        <v>1143</v>
      </c>
      <c r="D4646" s="130">
        <v>16</v>
      </c>
      <c r="E4646" s="130" t="s">
        <v>1143</v>
      </c>
      <c r="F4646" s="1031">
        <v>0</v>
      </c>
      <c r="G4646" s="1031">
        <v>25837.03</v>
      </c>
      <c r="H4646" s="1031">
        <v>25837.03</v>
      </c>
      <c r="I4646" s="1032" t="s">
        <v>1144</v>
      </c>
    </row>
    <row r="4647" spans="1:9" x14ac:dyDescent="0.25">
      <c r="A4647" s="1033"/>
      <c r="C4647" s="130" t="s">
        <v>1145</v>
      </c>
      <c r="D4647" s="130">
        <v>16</v>
      </c>
      <c r="E4647" s="130" t="s">
        <v>1145</v>
      </c>
      <c r="F4647" s="1031">
        <v>0</v>
      </c>
      <c r="G4647" s="1031">
        <v>1781.05</v>
      </c>
      <c r="H4647" s="1031">
        <v>1781.05</v>
      </c>
      <c r="I4647" s="1032" t="s">
        <v>1146</v>
      </c>
    </row>
    <row r="4648" spans="1:9" x14ac:dyDescent="0.25">
      <c r="A4648" s="1033"/>
      <c r="C4648" s="130" t="s">
        <v>1145</v>
      </c>
      <c r="D4648" s="130">
        <v>16</v>
      </c>
      <c r="E4648" s="130" t="s">
        <v>1147</v>
      </c>
      <c r="F4648" s="1031">
        <v>0</v>
      </c>
      <c r="G4648" s="1031">
        <v>2553.25</v>
      </c>
      <c r="H4648" s="1031">
        <v>2553.25</v>
      </c>
      <c r="I4648" s="1032" t="s">
        <v>1148</v>
      </c>
    </row>
    <row r="4649" spans="1:9" x14ac:dyDescent="0.25">
      <c r="A4649" s="1033"/>
      <c r="C4649" s="130" t="s">
        <v>1149</v>
      </c>
      <c r="D4649" s="130">
        <v>16</v>
      </c>
      <c r="E4649" s="130" t="s">
        <v>1149</v>
      </c>
      <c r="F4649" s="1031">
        <v>0</v>
      </c>
      <c r="G4649" s="1031">
        <v>-14000.68</v>
      </c>
      <c r="H4649" s="1031">
        <v>-14000.68</v>
      </c>
      <c r="I4649" s="1032" t="s">
        <v>1150</v>
      </c>
    </row>
    <row r="4650" spans="1:9" x14ac:dyDescent="0.25">
      <c r="A4650" s="1033">
        <v>906718</v>
      </c>
      <c r="B4650" s="129">
        <v>482</v>
      </c>
      <c r="E4650" s="130"/>
    </row>
    <row r="4651" spans="1:9" x14ac:dyDescent="0.25">
      <c r="A4651" s="1033">
        <v>906722</v>
      </c>
      <c r="B4651" s="129">
        <v>710</v>
      </c>
      <c r="E4651" s="130"/>
    </row>
    <row r="4652" spans="1:9" x14ac:dyDescent="0.25">
      <c r="A4652" s="1033">
        <v>906724</v>
      </c>
      <c r="B4652" s="129">
        <v>294309</v>
      </c>
      <c r="E4652" s="130"/>
    </row>
    <row r="4653" spans="1:9" x14ac:dyDescent="0.25">
      <c r="A4653" s="1033">
        <v>906726</v>
      </c>
      <c r="B4653" s="129">
        <v>141784</v>
      </c>
      <c r="C4653" s="130" t="s">
        <v>113</v>
      </c>
      <c r="D4653" s="130">
        <v>16</v>
      </c>
      <c r="E4653" s="130" t="s">
        <v>113</v>
      </c>
      <c r="F4653" s="1031">
        <v>0</v>
      </c>
      <c r="G4653" s="1031">
        <v>-19603.05</v>
      </c>
      <c r="H4653" s="1031">
        <v>-19603.05</v>
      </c>
      <c r="I4653" s="1032" t="s">
        <v>1153</v>
      </c>
    </row>
    <row r="4654" spans="1:9" x14ac:dyDescent="0.25">
      <c r="A4654" s="1033"/>
      <c r="C4654" s="130" t="s">
        <v>1154</v>
      </c>
      <c r="D4654" s="130">
        <v>16</v>
      </c>
      <c r="E4654" s="130" t="s">
        <v>1154</v>
      </c>
      <c r="F4654" s="1031">
        <v>0</v>
      </c>
      <c r="G4654" s="1031">
        <v>3891.38</v>
      </c>
      <c r="H4654" s="1031">
        <v>3891.38</v>
      </c>
      <c r="I4654" s="1032" t="s">
        <v>1155</v>
      </c>
    </row>
    <row r="4655" spans="1:9" x14ac:dyDescent="0.25">
      <c r="A4655" s="1033"/>
      <c r="C4655" s="130" t="s">
        <v>114</v>
      </c>
      <c r="D4655" s="130">
        <v>16</v>
      </c>
      <c r="E4655" s="130" t="s">
        <v>114</v>
      </c>
      <c r="F4655" s="1031">
        <v>0</v>
      </c>
      <c r="G4655" s="1031">
        <v>-20517.75</v>
      </c>
      <c r="H4655" s="1031">
        <v>-20517.75</v>
      </c>
      <c r="I4655" s="1032" t="s">
        <v>1158</v>
      </c>
    </row>
    <row r="4656" spans="1:9" x14ac:dyDescent="0.25">
      <c r="A4656" s="1033"/>
      <c r="C4656" s="130" t="s">
        <v>1159</v>
      </c>
      <c r="D4656" s="130">
        <v>16</v>
      </c>
      <c r="E4656" s="130" t="s">
        <v>1159</v>
      </c>
      <c r="F4656" s="1031">
        <v>0</v>
      </c>
      <c r="G4656" s="1031">
        <v>4044.13</v>
      </c>
      <c r="H4656" s="1031">
        <v>4044.13</v>
      </c>
      <c r="I4656" s="1032" t="s">
        <v>1160</v>
      </c>
    </row>
    <row r="4657" spans="1:9" x14ac:dyDescent="0.25">
      <c r="A4657" s="1033"/>
      <c r="C4657" s="130" t="s">
        <v>171</v>
      </c>
      <c r="D4657" s="130">
        <v>16</v>
      </c>
      <c r="E4657" s="130" t="s">
        <v>171</v>
      </c>
      <c r="F4657" s="1031">
        <v>0</v>
      </c>
      <c r="G4657" s="1031">
        <v>-1783.61</v>
      </c>
      <c r="H4657" s="1031">
        <v>-1783.61</v>
      </c>
      <c r="I4657" s="1032" t="s">
        <v>1163</v>
      </c>
    </row>
    <row r="4658" spans="1:9" x14ac:dyDescent="0.25">
      <c r="A4658" s="1033"/>
      <c r="C4658" s="130" t="s">
        <v>1164</v>
      </c>
      <c r="D4658" s="130">
        <v>16</v>
      </c>
      <c r="E4658" s="130" t="s">
        <v>1164</v>
      </c>
      <c r="F4658" s="1031">
        <v>0</v>
      </c>
      <c r="G4658" s="1031">
        <v>270.45999999999998</v>
      </c>
      <c r="H4658" s="1031">
        <v>270.45999999999998</v>
      </c>
      <c r="I4658" s="1032" t="s">
        <v>1165</v>
      </c>
    </row>
    <row r="4659" spans="1:9" x14ac:dyDescent="0.25">
      <c r="A4659" s="1033"/>
      <c r="C4659" s="130" t="s">
        <v>117</v>
      </c>
      <c r="D4659" s="130">
        <v>16</v>
      </c>
      <c r="E4659" s="130" t="s">
        <v>117</v>
      </c>
      <c r="F4659" s="1031">
        <v>0</v>
      </c>
      <c r="G4659" s="1031">
        <v>-1762.56</v>
      </c>
      <c r="H4659" s="1031">
        <v>-1762.56</v>
      </c>
      <c r="I4659" s="1032" t="s">
        <v>1168</v>
      </c>
    </row>
    <row r="4660" spans="1:9" x14ac:dyDescent="0.25">
      <c r="A4660" s="1033"/>
      <c r="C4660" s="130" t="s">
        <v>1169</v>
      </c>
      <c r="D4660" s="130">
        <v>16</v>
      </c>
      <c r="E4660" s="130" t="s">
        <v>1169</v>
      </c>
      <c r="F4660" s="1031">
        <v>0</v>
      </c>
      <c r="G4660" s="1031">
        <v>498.19</v>
      </c>
      <c r="H4660" s="1031">
        <v>498.19</v>
      </c>
      <c r="I4660" s="1032" t="s">
        <v>1170</v>
      </c>
    </row>
    <row r="4661" spans="1:9" x14ac:dyDescent="0.25">
      <c r="A4661" s="1033"/>
      <c r="C4661" s="130" t="s">
        <v>118</v>
      </c>
      <c r="D4661" s="130">
        <v>16</v>
      </c>
      <c r="E4661" s="130" t="s">
        <v>118</v>
      </c>
      <c r="F4661" s="1031">
        <v>0</v>
      </c>
      <c r="G4661" s="1031">
        <v>-3828.09</v>
      </c>
      <c r="H4661" s="1031">
        <v>-3828.09</v>
      </c>
      <c r="I4661" s="1032" t="s">
        <v>1173</v>
      </c>
    </row>
    <row r="4662" spans="1:9" x14ac:dyDescent="0.25">
      <c r="A4662" s="1033"/>
      <c r="C4662" s="130" t="s">
        <v>1174</v>
      </c>
      <c r="D4662" s="130">
        <v>16</v>
      </c>
      <c r="E4662" s="130" t="s">
        <v>1174</v>
      </c>
      <c r="F4662" s="1031">
        <v>0</v>
      </c>
      <c r="G4662" s="1031">
        <v>1222</v>
      </c>
      <c r="H4662" s="1031">
        <v>1222</v>
      </c>
      <c r="I4662" s="1032" t="s">
        <v>1175</v>
      </c>
    </row>
    <row r="4663" spans="1:9" x14ac:dyDescent="0.25">
      <c r="A4663" s="1033"/>
      <c r="C4663" s="130" t="s">
        <v>120</v>
      </c>
      <c r="D4663" s="130">
        <v>16</v>
      </c>
      <c r="E4663" s="130" t="s">
        <v>120</v>
      </c>
      <c r="F4663" s="1031">
        <v>0</v>
      </c>
      <c r="G4663" s="1031">
        <v>-1631.55</v>
      </c>
      <c r="H4663" s="1031">
        <v>-1631.55</v>
      </c>
      <c r="I4663" s="1032" t="s">
        <v>1178</v>
      </c>
    </row>
    <row r="4664" spans="1:9" x14ac:dyDescent="0.25">
      <c r="A4664" s="1033"/>
      <c r="C4664" s="130" t="s">
        <v>1179</v>
      </c>
      <c r="D4664" s="130">
        <v>16</v>
      </c>
      <c r="E4664" s="130" t="s">
        <v>1179</v>
      </c>
      <c r="F4664" s="1031">
        <v>0</v>
      </c>
      <c r="G4664" s="1031">
        <v>894</v>
      </c>
      <c r="H4664" s="1031">
        <v>894</v>
      </c>
      <c r="I4664" s="1032" t="s">
        <v>1180</v>
      </c>
    </row>
    <row r="4665" spans="1:9" x14ac:dyDescent="0.25">
      <c r="A4665" s="1033"/>
      <c r="C4665" s="130" t="s">
        <v>121</v>
      </c>
      <c r="D4665" s="130">
        <v>16</v>
      </c>
      <c r="E4665" s="130" t="s">
        <v>121</v>
      </c>
      <c r="F4665" s="1031">
        <v>0</v>
      </c>
      <c r="G4665" s="1031">
        <v>-1240.8</v>
      </c>
      <c r="H4665" s="1031">
        <v>-1240.8</v>
      </c>
      <c r="I4665" s="1032" t="s">
        <v>1183</v>
      </c>
    </row>
    <row r="4666" spans="1:9" x14ac:dyDescent="0.25">
      <c r="A4666" s="1033"/>
      <c r="C4666" s="130" t="s">
        <v>1184</v>
      </c>
      <c r="D4666" s="130">
        <v>16</v>
      </c>
      <c r="E4666" s="130" t="s">
        <v>1184</v>
      </c>
      <c r="F4666" s="1031">
        <v>0</v>
      </c>
      <c r="G4666" s="1031">
        <v>867</v>
      </c>
      <c r="H4666" s="1031">
        <v>867</v>
      </c>
      <c r="I4666" s="1032" t="s">
        <v>1185</v>
      </c>
    </row>
    <row r="4667" spans="1:9" x14ac:dyDescent="0.25">
      <c r="A4667" s="1033"/>
      <c r="C4667" s="130" t="s">
        <v>173</v>
      </c>
      <c r="D4667" s="130">
        <v>16</v>
      </c>
      <c r="E4667" s="130" t="s">
        <v>173</v>
      </c>
      <c r="F4667" s="1031">
        <v>0</v>
      </c>
      <c r="G4667" s="1031">
        <v>-236.7</v>
      </c>
      <c r="H4667" s="1031">
        <v>-236.7</v>
      </c>
      <c r="I4667" s="1032" t="s">
        <v>1188</v>
      </c>
    </row>
    <row r="4668" spans="1:9" x14ac:dyDescent="0.25">
      <c r="A4668" s="1033"/>
      <c r="C4668" s="130" t="s">
        <v>1189</v>
      </c>
      <c r="D4668" s="130">
        <v>16</v>
      </c>
      <c r="E4668" s="130" t="s">
        <v>1189</v>
      </c>
      <c r="F4668" s="1031">
        <v>0</v>
      </c>
      <c r="G4668" s="1031">
        <v>126</v>
      </c>
      <c r="H4668" s="1031">
        <v>126</v>
      </c>
      <c r="I4668" s="1032" t="s">
        <v>1190</v>
      </c>
    </row>
    <row r="4669" spans="1:9" x14ac:dyDescent="0.25">
      <c r="A4669" s="1033"/>
      <c r="C4669" s="130" t="s">
        <v>124</v>
      </c>
      <c r="D4669" s="130">
        <v>16</v>
      </c>
      <c r="E4669" s="130" t="s">
        <v>124</v>
      </c>
      <c r="F4669" s="1031">
        <v>0</v>
      </c>
      <c r="G4669" s="1031">
        <v>-12238.2</v>
      </c>
      <c r="H4669" s="1031">
        <v>-12238.2</v>
      </c>
      <c r="I4669" s="1032" t="s">
        <v>1193</v>
      </c>
    </row>
    <row r="4670" spans="1:9" x14ac:dyDescent="0.25">
      <c r="A4670" s="1033"/>
      <c r="C4670" s="130" t="s">
        <v>1194</v>
      </c>
      <c r="D4670" s="130">
        <v>16</v>
      </c>
      <c r="E4670" s="130" t="s">
        <v>1194</v>
      </c>
      <c r="F4670" s="1031">
        <v>0</v>
      </c>
      <c r="G4670" s="1031">
        <v>5269.89</v>
      </c>
      <c r="H4670" s="1031">
        <v>5269.89</v>
      </c>
      <c r="I4670" s="1032" t="s">
        <v>1195</v>
      </c>
    </row>
    <row r="4671" spans="1:9" x14ac:dyDescent="0.25">
      <c r="A4671" s="1033"/>
      <c r="C4671" s="130" t="s">
        <v>125</v>
      </c>
      <c r="D4671" s="130">
        <v>16</v>
      </c>
      <c r="E4671" s="130" t="s">
        <v>125</v>
      </c>
      <c r="F4671" s="1031">
        <v>0</v>
      </c>
      <c r="G4671" s="1031">
        <v>-6177.57</v>
      </c>
      <c r="H4671" s="1031">
        <v>-6177.57</v>
      </c>
      <c r="I4671" s="1032" t="s">
        <v>1198</v>
      </c>
    </row>
    <row r="4672" spans="1:9" x14ac:dyDescent="0.25">
      <c r="A4672" s="1033"/>
      <c r="C4672" s="130" t="s">
        <v>1199</v>
      </c>
      <c r="D4672" s="130">
        <v>16</v>
      </c>
      <c r="E4672" s="130" t="s">
        <v>1199</v>
      </c>
      <c r="F4672" s="1031">
        <v>0</v>
      </c>
      <c r="G4672" s="1031">
        <v>2487.06</v>
      </c>
      <c r="H4672" s="1031">
        <v>2487.06</v>
      </c>
      <c r="I4672" s="1032" t="s">
        <v>1200</v>
      </c>
    </row>
    <row r="4673" spans="1:9" x14ac:dyDescent="0.25">
      <c r="A4673" s="1033"/>
      <c r="C4673" s="130" t="s">
        <v>174</v>
      </c>
      <c r="D4673" s="130">
        <v>16</v>
      </c>
      <c r="E4673" s="130" t="s">
        <v>174</v>
      </c>
      <c r="F4673" s="1031">
        <v>0</v>
      </c>
      <c r="G4673" s="1031">
        <v>-1041.3</v>
      </c>
      <c r="H4673" s="1031">
        <v>-1041.3</v>
      </c>
      <c r="I4673" s="1032" t="s">
        <v>1203</v>
      </c>
    </row>
    <row r="4674" spans="1:9" x14ac:dyDescent="0.25">
      <c r="A4674" s="1033"/>
      <c r="C4674" s="130" t="s">
        <v>1204</v>
      </c>
      <c r="D4674" s="130">
        <v>16</v>
      </c>
      <c r="E4674" s="130" t="s">
        <v>1204</v>
      </c>
      <c r="F4674" s="1031">
        <v>0</v>
      </c>
      <c r="G4674" s="1031">
        <v>202.55</v>
      </c>
      <c r="H4674" s="1031">
        <v>202.55</v>
      </c>
      <c r="I4674" s="1032" t="s">
        <v>1205</v>
      </c>
    </row>
    <row r="4675" spans="1:9" x14ac:dyDescent="0.25">
      <c r="A4675" s="1033"/>
      <c r="C4675" s="130" t="s">
        <v>128</v>
      </c>
      <c r="D4675" s="130">
        <v>16</v>
      </c>
      <c r="E4675" s="130" t="s">
        <v>128</v>
      </c>
      <c r="F4675" s="1031">
        <v>0</v>
      </c>
      <c r="G4675" s="1031">
        <v>-6507.77</v>
      </c>
      <c r="H4675" s="1031">
        <v>-6507.77</v>
      </c>
      <c r="I4675" s="1032" t="s">
        <v>1210</v>
      </c>
    </row>
    <row r="4676" spans="1:9" x14ac:dyDescent="0.25">
      <c r="A4676" s="1033"/>
      <c r="C4676" s="130" t="s">
        <v>128</v>
      </c>
      <c r="D4676" s="130">
        <v>16</v>
      </c>
      <c r="E4676" s="130" t="s">
        <v>1211</v>
      </c>
      <c r="F4676" s="1031">
        <v>0</v>
      </c>
      <c r="G4676" s="1031">
        <v>-3106.15</v>
      </c>
      <c r="H4676" s="1031">
        <v>-3106.15</v>
      </c>
      <c r="I4676" s="1032" t="s">
        <v>1212</v>
      </c>
    </row>
    <row r="4677" spans="1:9" x14ac:dyDescent="0.25">
      <c r="A4677" s="1033"/>
      <c r="C4677" s="130" t="s">
        <v>1213</v>
      </c>
      <c r="D4677" s="130">
        <v>16</v>
      </c>
      <c r="E4677" s="130" t="s">
        <v>1213</v>
      </c>
      <c r="F4677" s="1031">
        <v>0</v>
      </c>
      <c r="G4677" s="1031">
        <v>1378.06</v>
      </c>
      <c r="H4677" s="1031">
        <v>1378.06</v>
      </c>
      <c r="I4677" s="1032" t="s">
        <v>1214</v>
      </c>
    </row>
    <row r="4678" spans="1:9" x14ac:dyDescent="0.25">
      <c r="A4678" s="1033"/>
      <c r="C4678" s="130" t="s">
        <v>1213</v>
      </c>
      <c r="D4678" s="130">
        <v>16</v>
      </c>
      <c r="E4678" s="130" t="s">
        <v>1215</v>
      </c>
      <c r="F4678" s="1031">
        <v>0</v>
      </c>
      <c r="G4678" s="1031">
        <v>1846</v>
      </c>
      <c r="H4678" s="1031">
        <v>1846</v>
      </c>
      <c r="I4678" s="1032" t="s">
        <v>1216</v>
      </c>
    </row>
    <row r="4679" spans="1:9" x14ac:dyDescent="0.25">
      <c r="A4679" s="1033"/>
      <c r="C4679" s="130" t="s">
        <v>155</v>
      </c>
      <c r="D4679" s="130">
        <v>16</v>
      </c>
      <c r="E4679" s="130" t="s">
        <v>155</v>
      </c>
      <c r="F4679" s="1031">
        <v>0</v>
      </c>
      <c r="G4679" s="1031">
        <v>-8273.66</v>
      </c>
      <c r="H4679" s="1031">
        <v>-8273.66</v>
      </c>
      <c r="I4679" s="1032" t="s">
        <v>1221</v>
      </c>
    </row>
    <row r="4680" spans="1:9" x14ac:dyDescent="0.25">
      <c r="A4680" s="1033"/>
      <c r="C4680" s="130" t="s">
        <v>155</v>
      </c>
      <c r="D4680" s="130">
        <v>16</v>
      </c>
      <c r="E4680" s="130" t="s">
        <v>2</v>
      </c>
      <c r="F4680" s="1031">
        <v>0</v>
      </c>
      <c r="G4680" s="1031">
        <v>-4103.68</v>
      </c>
      <c r="H4680" s="1031">
        <v>-4103.68</v>
      </c>
      <c r="I4680" s="1032" t="s">
        <v>1222</v>
      </c>
    </row>
    <row r="4681" spans="1:9" x14ac:dyDescent="0.25">
      <c r="A4681" s="1033"/>
      <c r="C4681" s="130" t="s">
        <v>1223</v>
      </c>
      <c r="D4681" s="130">
        <v>16</v>
      </c>
      <c r="E4681" s="130" t="s">
        <v>1223</v>
      </c>
      <c r="F4681" s="1031">
        <v>0</v>
      </c>
      <c r="G4681" s="1031">
        <v>2007.77</v>
      </c>
      <c r="H4681" s="1031">
        <v>2007.77</v>
      </c>
      <c r="I4681" s="1032" t="s">
        <v>1224</v>
      </c>
    </row>
    <row r="4682" spans="1:9" x14ac:dyDescent="0.25">
      <c r="A4682" s="1033"/>
      <c r="C4682" s="130" t="s">
        <v>1223</v>
      </c>
      <c r="D4682" s="130">
        <v>16</v>
      </c>
      <c r="E4682" s="130" t="s">
        <v>1225</v>
      </c>
      <c r="F4682" s="1031">
        <v>0</v>
      </c>
      <c r="G4682" s="1031">
        <v>3229.5</v>
      </c>
      <c r="H4682" s="1031">
        <v>3229.5</v>
      </c>
      <c r="I4682" s="1032" t="s">
        <v>1226</v>
      </c>
    </row>
    <row r="4683" spans="1:9" x14ac:dyDescent="0.25">
      <c r="A4683" s="1033"/>
      <c r="C4683" s="130" t="s">
        <v>175</v>
      </c>
      <c r="D4683" s="130">
        <v>16</v>
      </c>
      <c r="E4683" s="130" t="s">
        <v>175</v>
      </c>
      <c r="F4683" s="1031">
        <v>0</v>
      </c>
      <c r="G4683" s="1031">
        <v>-1958.35</v>
      </c>
      <c r="H4683" s="1031">
        <v>-1958.35</v>
      </c>
      <c r="I4683" s="1032" t="s">
        <v>1231</v>
      </c>
    </row>
    <row r="4684" spans="1:9" x14ac:dyDescent="0.25">
      <c r="A4684" s="1033"/>
      <c r="C4684" s="130" t="s">
        <v>175</v>
      </c>
      <c r="D4684" s="130">
        <v>16</v>
      </c>
      <c r="E4684" s="130" t="s">
        <v>1232</v>
      </c>
      <c r="F4684" s="1031">
        <v>0</v>
      </c>
      <c r="G4684" s="1031">
        <v>-916.8</v>
      </c>
      <c r="H4684" s="1031">
        <v>-916.8</v>
      </c>
      <c r="I4684" s="1032" t="s">
        <v>1233</v>
      </c>
    </row>
    <row r="4685" spans="1:9" x14ac:dyDescent="0.25">
      <c r="A4685" s="1033"/>
      <c r="C4685" s="130" t="s">
        <v>1234</v>
      </c>
      <c r="D4685" s="130">
        <v>16</v>
      </c>
      <c r="E4685" s="130" t="s">
        <v>1234</v>
      </c>
      <c r="F4685" s="1031">
        <v>0</v>
      </c>
      <c r="G4685" s="1031">
        <v>442.16</v>
      </c>
      <c r="H4685" s="1031">
        <v>442.16</v>
      </c>
      <c r="I4685" s="1032" t="s">
        <v>1235</v>
      </c>
    </row>
    <row r="4686" spans="1:9" x14ac:dyDescent="0.25">
      <c r="A4686" s="1033"/>
      <c r="C4686" s="130" t="s">
        <v>1234</v>
      </c>
      <c r="D4686" s="130">
        <v>16</v>
      </c>
      <c r="E4686" s="130" t="s">
        <v>1236</v>
      </c>
      <c r="F4686" s="1031">
        <v>0</v>
      </c>
      <c r="G4686" s="1031">
        <v>495</v>
      </c>
      <c r="H4686" s="1031">
        <v>495</v>
      </c>
      <c r="I4686" s="1032" t="s">
        <v>1237</v>
      </c>
    </row>
    <row r="4687" spans="1:9" x14ac:dyDescent="0.25">
      <c r="A4687" s="1033"/>
      <c r="C4687" s="130" t="s">
        <v>4</v>
      </c>
      <c r="D4687" s="130">
        <v>16</v>
      </c>
      <c r="E4687" s="130" t="s">
        <v>4</v>
      </c>
      <c r="F4687" s="1031">
        <v>0</v>
      </c>
      <c r="G4687" s="1031">
        <v>567.4</v>
      </c>
      <c r="H4687" s="1031">
        <v>567.4</v>
      </c>
      <c r="I4687" s="1032" t="s">
        <v>1246</v>
      </c>
    </row>
    <row r="4688" spans="1:9" x14ac:dyDescent="0.25">
      <c r="A4688" s="1033"/>
      <c r="C4688" s="130" t="s">
        <v>5</v>
      </c>
      <c r="D4688" s="130">
        <v>16</v>
      </c>
      <c r="E4688" s="130" t="s">
        <v>5</v>
      </c>
      <c r="F4688" s="1031">
        <v>0</v>
      </c>
      <c r="G4688" s="1031">
        <v>378.27</v>
      </c>
      <c r="H4688" s="1031">
        <v>378.27</v>
      </c>
      <c r="I4688" s="1032" t="s">
        <v>1247</v>
      </c>
    </row>
    <row r="4689" spans="1:9" x14ac:dyDescent="0.25">
      <c r="A4689" s="1033"/>
      <c r="C4689" s="130" t="s">
        <v>8</v>
      </c>
      <c r="D4689" s="130">
        <v>16</v>
      </c>
      <c r="E4689" s="130" t="s">
        <v>1241</v>
      </c>
      <c r="F4689" s="1031">
        <v>0</v>
      </c>
      <c r="G4689" s="1031">
        <v>-2399.4499999999998</v>
      </c>
      <c r="H4689" s="1031">
        <v>-2399.4499999999998</v>
      </c>
      <c r="I4689" s="1032" t="s">
        <v>1242</v>
      </c>
    </row>
    <row r="4690" spans="1:9" x14ac:dyDescent="0.25">
      <c r="A4690" s="1033"/>
      <c r="C4690" s="130" t="s">
        <v>1243</v>
      </c>
      <c r="D4690" s="130">
        <v>16</v>
      </c>
      <c r="E4690" s="130" t="s">
        <v>1244</v>
      </c>
      <c r="F4690" s="1031">
        <v>0</v>
      </c>
      <c r="G4690" s="1031">
        <v>1443</v>
      </c>
      <c r="H4690" s="1031">
        <v>1443</v>
      </c>
      <c r="I4690" s="1032" t="s">
        <v>1245</v>
      </c>
    </row>
    <row r="4691" spans="1:9" x14ac:dyDescent="0.25">
      <c r="A4691" s="1033"/>
      <c r="C4691" s="130" t="s">
        <v>10</v>
      </c>
      <c r="D4691" s="130">
        <v>16</v>
      </c>
      <c r="E4691" s="130" t="s">
        <v>10</v>
      </c>
      <c r="F4691" s="1031">
        <v>0</v>
      </c>
      <c r="G4691" s="1031">
        <v>-19085.54</v>
      </c>
      <c r="H4691" s="1031">
        <v>-19085.54</v>
      </c>
      <c r="I4691" s="1032" t="s">
        <v>1058</v>
      </c>
    </row>
    <row r="4692" spans="1:9" x14ac:dyDescent="0.25">
      <c r="A4692" s="1033"/>
      <c r="C4692" s="130" t="s">
        <v>1059</v>
      </c>
      <c r="D4692" s="130">
        <v>16</v>
      </c>
      <c r="E4692" s="130" t="s">
        <v>1059</v>
      </c>
      <c r="F4692" s="1031">
        <v>0</v>
      </c>
      <c r="G4692" s="1031">
        <v>11534.05</v>
      </c>
      <c r="H4692" s="1031">
        <v>11534.05</v>
      </c>
      <c r="I4692" s="1032" t="s">
        <v>1060</v>
      </c>
    </row>
    <row r="4693" spans="1:9" x14ac:dyDescent="0.25">
      <c r="A4693" s="1033"/>
      <c r="C4693" s="130" t="s">
        <v>11</v>
      </c>
      <c r="D4693" s="130">
        <v>16</v>
      </c>
      <c r="E4693" s="130" t="s">
        <v>11</v>
      </c>
      <c r="F4693" s="1031">
        <v>0</v>
      </c>
      <c r="G4693" s="1031">
        <v>-21532.83</v>
      </c>
      <c r="H4693" s="1031">
        <v>-21532.83</v>
      </c>
      <c r="I4693" s="1032" t="s">
        <v>1063</v>
      </c>
    </row>
    <row r="4694" spans="1:9" x14ac:dyDescent="0.25">
      <c r="A4694" s="1033"/>
      <c r="C4694" s="130" t="s">
        <v>1064</v>
      </c>
      <c r="D4694" s="130">
        <v>16</v>
      </c>
      <c r="E4694" s="130" t="s">
        <v>1064</v>
      </c>
      <c r="F4694" s="1031">
        <v>0</v>
      </c>
      <c r="G4694" s="1031">
        <v>11722.34</v>
      </c>
      <c r="H4694" s="1031">
        <v>11722.34</v>
      </c>
      <c r="I4694" s="1032" t="s">
        <v>1065</v>
      </c>
    </row>
    <row r="4695" spans="1:9" x14ac:dyDescent="0.25">
      <c r="A4695" s="1033"/>
      <c r="C4695" s="130" t="s">
        <v>177</v>
      </c>
      <c r="D4695" s="130">
        <v>16</v>
      </c>
      <c r="E4695" s="130" t="s">
        <v>177</v>
      </c>
      <c r="F4695" s="1031">
        <v>0</v>
      </c>
      <c r="G4695" s="1031">
        <v>-1747.4</v>
      </c>
      <c r="H4695" s="1031">
        <v>-1747.4</v>
      </c>
      <c r="I4695" s="1032" t="s">
        <v>1068</v>
      </c>
    </row>
    <row r="4696" spans="1:9" x14ac:dyDescent="0.25">
      <c r="A4696" s="1033"/>
      <c r="C4696" s="130" t="s">
        <v>1069</v>
      </c>
      <c r="D4696" s="130">
        <v>16</v>
      </c>
      <c r="E4696" s="130" t="s">
        <v>1069</v>
      </c>
      <c r="F4696" s="1031">
        <v>0</v>
      </c>
      <c r="G4696" s="1031">
        <v>1061.99</v>
      </c>
      <c r="H4696" s="1031">
        <v>1061.99</v>
      </c>
      <c r="I4696" s="1032" t="s">
        <v>1070</v>
      </c>
    </row>
    <row r="4697" spans="1:9" x14ac:dyDescent="0.25">
      <c r="A4697" s="1033"/>
      <c r="C4697" s="130" t="s">
        <v>14</v>
      </c>
      <c r="D4697" s="130">
        <v>16</v>
      </c>
      <c r="E4697" s="130" t="s">
        <v>14</v>
      </c>
      <c r="F4697" s="1031">
        <v>0</v>
      </c>
      <c r="G4697" s="1031">
        <v>-1730.65</v>
      </c>
      <c r="H4697" s="1031">
        <v>-1730.65</v>
      </c>
      <c r="I4697" s="1032" t="s">
        <v>1073</v>
      </c>
    </row>
    <row r="4698" spans="1:9" x14ac:dyDescent="0.25">
      <c r="A4698" s="1033"/>
      <c r="C4698" s="130" t="s">
        <v>1074</v>
      </c>
      <c r="D4698" s="130">
        <v>16</v>
      </c>
      <c r="E4698" s="130" t="s">
        <v>1074</v>
      </c>
      <c r="F4698" s="1031">
        <v>0</v>
      </c>
      <c r="G4698" s="1031">
        <v>1236.1199999999999</v>
      </c>
      <c r="H4698" s="1031">
        <v>1236.1199999999999</v>
      </c>
      <c r="I4698" s="1032" t="s">
        <v>1075</v>
      </c>
    </row>
    <row r="4699" spans="1:9" x14ac:dyDescent="0.25">
      <c r="A4699" s="1033"/>
      <c r="C4699" s="130" t="s">
        <v>17</v>
      </c>
      <c r="D4699" s="130">
        <v>16</v>
      </c>
      <c r="E4699" s="130" t="s">
        <v>17</v>
      </c>
      <c r="F4699" s="1031">
        <v>0</v>
      </c>
      <c r="G4699" s="1031">
        <v>-3507.35</v>
      </c>
      <c r="H4699" s="1031">
        <v>-3507.35</v>
      </c>
      <c r="I4699" s="1032" t="s">
        <v>1078</v>
      </c>
    </row>
    <row r="4700" spans="1:9" x14ac:dyDescent="0.25">
      <c r="A4700" s="1033"/>
      <c r="C4700" s="130" t="s">
        <v>1079</v>
      </c>
      <c r="D4700" s="130">
        <v>16</v>
      </c>
      <c r="E4700" s="130" t="s">
        <v>1079</v>
      </c>
      <c r="F4700" s="1031">
        <v>0</v>
      </c>
      <c r="G4700" s="1031">
        <v>2505.09</v>
      </c>
      <c r="H4700" s="1031">
        <v>2505.09</v>
      </c>
      <c r="I4700" s="1032" t="s">
        <v>1080</v>
      </c>
    </row>
    <row r="4701" spans="1:9" x14ac:dyDescent="0.25">
      <c r="A4701" s="1033"/>
      <c r="C4701" s="130" t="s">
        <v>41</v>
      </c>
      <c r="D4701" s="130">
        <v>16</v>
      </c>
      <c r="E4701" s="130" t="s">
        <v>41</v>
      </c>
      <c r="F4701" s="1031">
        <v>0</v>
      </c>
      <c r="G4701" s="1031">
        <v>-33248.720000000001</v>
      </c>
      <c r="H4701" s="1031">
        <v>-33248.720000000001</v>
      </c>
      <c r="I4701" s="1032" t="s">
        <v>1085</v>
      </c>
    </row>
    <row r="4702" spans="1:9" x14ac:dyDescent="0.25">
      <c r="A4702" s="1033"/>
      <c r="C4702" s="130" t="s">
        <v>1086</v>
      </c>
      <c r="D4702" s="130">
        <v>16</v>
      </c>
      <c r="E4702" s="130" t="s">
        <v>1086</v>
      </c>
      <c r="F4702" s="1031">
        <v>0</v>
      </c>
      <c r="G4702" s="1031">
        <v>24079.71</v>
      </c>
      <c r="H4702" s="1031">
        <v>24079.71</v>
      </c>
      <c r="I4702" s="1032" t="s">
        <v>1087</v>
      </c>
    </row>
    <row r="4703" spans="1:9" x14ac:dyDescent="0.25">
      <c r="A4703" s="1033"/>
      <c r="C4703" s="130" t="s">
        <v>42</v>
      </c>
      <c r="D4703" s="130">
        <v>16</v>
      </c>
      <c r="E4703" s="130" t="s">
        <v>42</v>
      </c>
      <c r="F4703" s="1031">
        <v>0</v>
      </c>
      <c r="G4703" s="1031">
        <v>-12553.68</v>
      </c>
      <c r="H4703" s="1031">
        <v>-12553.68</v>
      </c>
      <c r="I4703" s="1032" t="s">
        <v>1090</v>
      </c>
    </row>
    <row r="4704" spans="1:9" x14ac:dyDescent="0.25">
      <c r="A4704" s="1033"/>
      <c r="C4704" s="130" t="s">
        <v>1091</v>
      </c>
      <c r="D4704" s="130">
        <v>16</v>
      </c>
      <c r="E4704" s="130" t="s">
        <v>1091</v>
      </c>
      <c r="F4704" s="1031">
        <v>0</v>
      </c>
      <c r="G4704" s="1031">
        <v>8964.18</v>
      </c>
      <c r="H4704" s="1031">
        <v>8964.18</v>
      </c>
      <c r="I4704" s="1032" t="s">
        <v>1092</v>
      </c>
    </row>
    <row r="4705" spans="1:9" x14ac:dyDescent="0.25">
      <c r="A4705" s="1033"/>
      <c r="C4705" s="130" t="s">
        <v>180</v>
      </c>
      <c r="D4705" s="130">
        <v>16</v>
      </c>
      <c r="E4705" s="130" t="s">
        <v>180</v>
      </c>
      <c r="F4705" s="1031">
        <v>0</v>
      </c>
      <c r="G4705" s="1031">
        <v>-8580.3700000000008</v>
      </c>
      <c r="H4705" s="1031">
        <v>-8580.3700000000008</v>
      </c>
      <c r="I4705" s="1032" t="s">
        <v>1093</v>
      </c>
    </row>
    <row r="4706" spans="1:9" x14ac:dyDescent="0.25">
      <c r="A4706" s="1033"/>
      <c r="C4706" s="130" t="s">
        <v>1094</v>
      </c>
      <c r="D4706" s="130">
        <v>16</v>
      </c>
      <c r="E4706" s="130" t="s">
        <v>1094</v>
      </c>
      <c r="F4706" s="1031">
        <v>0</v>
      </c>
      <c r="G4706" s="1031">
        <v>6128.62</v>
      </c>
      <c r="H4706" s="1031">
        <v>6128.62</v>
      </c>
      <c r="I4706" s="1032" t="s">
        <v>1095</v>
      </c>
    </row>
    <row r="4707" spans="1:9" x14ac:dyDescent="0.25">
      <c r="A4707" s="1033"/>
      <c r="C4707" s="130" t="s">
        <v>45</v>
      </c>
      <c r="D4707" s="130">
        <v>16</v>
      </c>
      <c r="E4707" s="130" t="s">
        <v>45</v>
      </c>
      <c r="F4707" s="1031">
        <v>0</v>
      </c>
      <c r="G4707" s="1031">
        <v>-5152.3999999999996</v>
      </c>
      <c r="H4707" s="1031">
        <v>-5152.3999999999996</v>
      </c>
      <c r="I4707" s="1032" t="s">
        <v>1098</v>
      </c>
    </row>
    <row r="4708" spans="1:9" x14ac:dyDescent="0.25">
      <c r="A4708" s="1033"/>
      <c r="C4708" s="130" t="s">
        <v>1099</v>
      </c>
      <c r="D4708" s="130">
        <v>16</v>
      </c>
      <c r="E4708" s="130" t="s">
        <v>1099</v>
      </c>
      <c r="F4708" s="1031">
        <v>0</v>
      </c>
      <c r="G4708" s="1031">
        <v>3079.27</v>
      </c>
      <c r="H4708" s="1031">
        <v>3079.27</v>
      </c>
      <c r="I4708" s="1032" t="s">
        <v>1100</v>
      </c>
    </row>
    <row r="4709" spans="1:9" x14ac:dyDescent="0.25">
      <c r="A4709" s="1033"/>
      <c r="C4709" s="130" t="s">
        <v>46</v>
      </c>
      <c r="D4709" s="130">
        <v>16</v>
      </c>
      <c r="E4709" s="130" t="s">
        <v>46</v>
      </c>
      <c r="F4709" s="1031">
        <v>0</v>
      </c>
      <c r="G4709" s="1031">
        <v>-5700.83</v>
      </c>
      <c r="H4709" s="1031">
        <v>-5700.83</v>
      </c>
      <c r="I4709" s="1032" t="s">
        <v>1103</v>
      </c>
    </row>
    <row r="4710" spans="1:9" x14ac:dyDescent="0.25">
      <c r="A4710" s="1033"/>
      <c r="C4710" s="130" t="s">
        <v>1104</v>
      </c>
      <c r="D4710" s="130">
        <v>16</v>
      </c>
      <c r="E4710" s="130" t="s">
        <v>1104</v>
      </c>
      <c r="F4710" s="1031">
        <v>0</v>
      </c>
      <c r="G4710" s="1031">
        <v>3036.58</v>
      </c>
      <c r="H4710" s="1031">
        <v>3036.58</v>
      </c>
      <c r="I4710" s="1032" t="s">
        <v>1105</v>
      </c>
    </row>
    <row r="4711" spans="1:9" x14ac:dyDescent="0.25">
      <c r="A4711" s="1033"/>
      <c r="C4711" s="130" t="s">
        <v>181</v>
      </c>
      <c r="D4711" s="130">
        <v>16</v>
      </c>
      <c r="E4711" s="130" t="s">
        <v>181</v>
      </c>
      <c r="F4711" s="1031">
        <v>0</v>
      </c>
      <c r="G4711" s="1031">
        <v>-44.29</v>
      </c>
      <c r="H4711" s="1031">
        <v>-44.29</v>
      </c>
      <c r="I4711" s="1032" t="s">
        <v>1108</v>
      </c>
    </row>
    <row r="4712" spans="1:9" x14ac:dyDescent="0.25">
      <c r="A4712" s="1033"/>
      <c r="C4712" s="130" t="s">
        <v>1109</v>
      </c>
      <c r="D4712" s="130">
        <v>16</v>
      </c>
      <c r="E4712" s="130" t="s">
        <v>1109</v>
      </c>
      <c r="F4712" s="1031">
        <v>0</v>
      </c>
      <c r="G4712" s="1031">
        <v>26.59</v>
      </c>
      <c r="H4712" s="1031">
        <v>26.59</v>
      </c>
      <c r="I4712" s="1032" t="s">
        <v>1110</v>
      </c>
    </row>
    <row r="4713" spans="1:9" x14ac:dyDescent="0.25">
      <c r="A4713" s="1033"/>
      <c r="C4713" s="130" t="s">
        <v>49</v>
      </c>
      <c r="D4713" s="130">
        <v>16</v>
      </c>
      <c r="E4713" s="130" t="s">
        <v>49</v>
      </c>
      <c r="F4713" s="1031">
        <v>0</v>
      </c>
      <c r="G4713" s="1031">
        <v>-10061.200000000001</v>
      </c>
      <c r="H4713" s="1031">
        <v>-10061.200000000001</v>
      </c>
      <c r="I4713" s="1032" t="s">
        <v>1113</v>
      </c>
    </row>
    <row r="4714" spans="1:9" x14ac:dyDescent="0.25">
      <c r="A4714" s="1033"/>
      <c r="C4714" s="130" t="s">
        <v>1114</v>
      </c>
      <c r="D4714" s="130">
        <v>16</v>
      </c>
      <c r="E4714" s="130" t="s">
        <v>1114</v>
      </c>
      <c r="F4714" s="1031">
        <v>0</v>
      </c>
      <c r="G4714" s="1031">
        <v>6998.24</v>
      </c>
      <c r="H4714" s="1031">
        <v>6998.24</v>
      </c>
      <c r="I4714" s="1032" t="s">
        <v>1115</v>
      </c>
    </row>
    <row r="4715" spans="1:9" x14ac:dyDescent="0.25">
      <c r="A4715" s="1033"/>
      <c r="C4715" s="130" t="s">
        <v>91</v>
      </c>
      <c r="D4715" s="130">
        <v>16</v>
      </c>
      <c r="E4715" s="130" t="s">
        <v>91</v>
      </c>
      <c r="F4715" s="1031">
        <v>0</v>
      </c>
      <c r="G4715" s="1031">
        <v>15.48</v>
      </c>
      <c r="H4715" s="1031">
        <v>15.48</v>
      </c>
      <c r="I4715" s="1032" t="s">
        <v>1118</v>
      </c>
    </row>
    <row r="4716" spans="1:9" x14ac:dyDescent="0.25">
      <c r="A4716" s="1033"/>
      <c r="C4716" s="130" t="s">
        <v>1119</v>
      </c>
      <c r="D4716" s="130">
        <v>16</v>
      </c>
      <c r="E4716" s="130" t="s">
        <v>1119</v>
      </c>
      <c r="F4716" s="1031">
        <v>0</v>
      </c>
      <c r="G4716" s="1031">
        <v>-26.12</v>
      </c>
      <c r="H4716" s="1031">
        <v>-26.12</v>
      </c>
      <c r="I4716" s="1032" t="s">
        <v>1120</v>
      </c>
    </row>
    <row r="4717" spans="1:9" x14ac:dyDescent="0.25">
      <c r="A4717" s="1033"/>
      <c r="C4717" s="130" t="s">
        <v>92</v>
      </c>
      <c r="D4717" s="130">
        <v>16</v>
      </c>
      <c r="E4717" s="130" t="s">
        <v>92</v>
      </c>
      <c r="F4717" s="1031">
        <v>0</v>
      </c>
      <c r="G4717" s="1031">
        <v>-1952.79</v>
      </c>
      <c r="H4717" s="1031">
        <v>-1952.79</v>
      </c>
      <c r="I4717" s="1032" t="s">
        <v>1123</v>
      </c>
    </row>
    <row r="4718" spans="1:9" x14ac:dyDescent="0.25">
      <c r="A4718" s="1033"/>
      <c r="C4718" s="130" t="s">
        <v>1124</v>
      </c>
      <c r="D4718" s="130">
        <v>16</v>
      </c>
      <c r="E4718" s="130" t="s">
        <v>1124</v>
      </c>
      <c r="F4718" s="1031">
        <v>0</v>
      </c>
      <c r="G4718" s="1031">
        <v>1347.06</v>
      </c>
      <c r="H4718" s="1031">
        <v>1347.06</v>
      </c>
      <c r="I4718" s="1032" t="s">
        <v>1125</v>
      </c>
    </row>
    <row r="4719" spans="1:9" x14ac:dyDescent="0.25">
      <c r="A4719" s="1033"/>
      <c r="C4719" s="130" t="s">
        <v>97</v>
      </c>
      <c r="D4719" s="130">
        <v>16</v>
      </c>
      <c r="E4719" s="130" t="s">
        <v>97</v>
      </c>
      <c r="F4719" s="1031">
        <v>0</v>
      </c>
      <c r="G4719" s="1031">
        <v>-30135.23</v>
      </c>
      <c r="H4719" s="1031">
        <v>-30135.23</v>
      </c>
      <c r="I4719" s="1032" t="s">
        <v>1128</v>
      </c>
    </row>
    <row r="4720" spans="1:9" x14ac:dyDescent="0.25">
      <c r="A4720" s="1033"/>
      <c r="C4720" s="130" t="s">
        <v>1129</v>
      </c>
      <c r="D4720" s="130">
        <v>16</v>
      </c>
      <c r="E4720" s="130" t="s">
        <v>1129</v>
      </c>
      <c r="F4720" s="1031">
        <v>0</v>
      </c>
      <c r="G4720" s="1031">
        <v>22429.05</v>
      </c>
      <c r="H4720" s="1031">
        <v>22429.05</v>
      </c>
      <c r="I4720" s="1032" t="s">
        <v>1130</v>
      </c>
    </row>
    <row r="4721" spans="1:9" x14ac:dyDescent="0.25">
      <c r="A4721" s="1033"/>
      <c r="C4721" s="130" t="s">
        <v>1129</v>
      </c>
      <c r="D4721" s="130">
        <v>16</v>
      </c>
      <c r="E4721" s="130" t="s">
        <v>1131</v>
      </c>
      <c r="F4721" s="1031">
        <v>0</v>
      </c>
      <c r="G4721" s="1031">
        <v>674.43</v>
      </c>
      <c r="H4721" s="1031">
        <v>674.43</v>
      </c>
      <c r="I4721" s="1032" t="s">
        <v>1132</v>
      </c>
    </row>
    <row r="4722" spans="1:9" x14ac:dyDescent="0.25">
      <c r="A4722" s="1033"/>
      <c r="C4722" s="130" t="s">
        <v>1137</v>
      </c>
      <c r="D4722" s="130">
        <v>16</v>
      </c>
      <c r="E4722" s="130" t="s">
        <v>1137</v>
      </c>
      <c r="F4722" s="1031">
        <v>0</v>
      </c>
      <c r="G4722" s="1031">
        <v>-35233.71</v>
      </c>
      <c r="H4722" s="1031">
        <v>-35233.71</v>
      </c>
      <c r="I4722" s="1032" t="s">
        <v>1138</v>
      </c>
    </row>
    <row r="4723" spans="1:9" x14ac:dyDescent="0.25">
      <c r="A4723" s="1033"/>
      <c r="C4723" s="130" t="s">
        <v>1139</v>
      </c>
      <c r="D4723" s="130">
        <v>16</v>
      </c>
      <c r="E4723" s="130" t="s">
        <v>1139</v>
      </c>
      <c r="F4723" s="1031">
        <v>0</v>
      </c>
      <c r="G4723" s="1031">
        <v>-2732.14</v>
      </c>
      <c r="H4723" s="1031">
        <v>-2732.14</v>
      </c>
      <c r="I4723" s="1032" t="s">
        <v>1140</v>
      </c>
    </row>
    <row r="4724" spans="1:9" x14ac:dyDescent="0.25">
      <c r="A4724" s="1033"/>
      <c r="C4724" s="130" t="s">
        <v>1139</v>
      </c>
      <c r="D4724" s="130">
        <v>16</v>
      </c>
      <c r="E4724" s="130" t="s">
        <v>1141</v>
      </c>
      <c r="F4724" s="1031">
        <v>0</v>
      </c>
      <c r="G4724" s="1031">
        <v>-3996.72</v>
      </c>
      <c r="H4724" s="1031">
        <v>-3996.72</v>
      </c>
      <c r="I4724" s="1032" t="s">
        <v>1142</v>
      </c>
    </row>
    <row r="4725" spans="1:9" x14ac:dyDescent="0.25">
      <c r="A4725" s="1033"/>
      <c r="C4725" s="130" t="s">
        <v>1143</v>
      </c>
      <c r="D4725" s="130">
        <v>16</v>
      </c>
      <c r="E4725" s="130" t="s">
        <v>1143</v>
      </c>
      <c r="F4725" s="1031">
        <v>0</v>
      </c>
      <c r="G4725" s="1031">
        <v>25837.03</v>
      </c>
      <c r="H4725" s="1031">
        <v>25837.03</v>
      </c>
      <c r="I4725" s="1032" t="s">
        <v>1144</v>
      </c>
    </row>
    <row r="4726" spans="1:9" x14ac:dyDescent="0.25">
      <c r="A4726" s="1033"/>
      <c r="C4726" s="130" t="s">
        <v>1145</v>
      </c>
      <c r="D4726" s="130">
        <v>16</v>
      </c>
      <c r="E4726" s="130" t="s">
        <v>1145</v>
      </c>
      <c r="F4726" s="1031">
        <v>0</v>
      </c>
      <c r="G4726" s="1031">
        <v>1781.05</v>
      </c>
      <c r="H4726" s="1031">
        <v>1781.05</v>
      </c>
      <c r="I4726" s="1032" t="s">
        <v>1146</v>
      </c>
    </row>
    <row r="4727" spans="1:9" x14ac:dyDescent="0.25">
      <c r="A4727" s="1033"/>
      <c r="C4727" s="130" t="s">
        <v>1145</v>
      </c>
      <c r="D4727" s="130">
        <v>16</v>
      </c>
      <c r="E4727" s="130" t="s">
        <v>1147</v>
      </c>
      <c r="F4727" s="1031">
        <v>0</v>
      </c>
      <c r="G4727" s="1031">
        <v>2553.25</v>
      </c>
      <c r="H4727" s="1031">
        <v>2553.25</v>
      </c>
      <c r="I4727" s="1032" t="s">
        <v>1148</v>
      </c>
    </row>
    <row r="4728" spans="1:9" x14ac:dyDescent="0.25">
      <c r="A4728" s="1033"/>
      <c r="C4728" s="130" t="s">
        <v>1149</v>
      </c>
      <c r="D4728" s="130">
        <v>16</v>
      </c>
      <c r="E4728" s="130" t="s">
        <v>1149</v>
      </c>
      <c r="F4728" s="1031">
        <v>0</v>
      </c>
      <c r="G4728" s="1031">
        <v>-14000.68</v>
      </c>
      <c r="H4728" s="1031">
        <v>-14000.68</v>
      </c>
      <c r="I4728" s="1032" t="s">
        <v>1150</v>
      </c>
    </row>
    <row r="4729" spans="1:9" x14ac:dyDescent="0.25">
      <c r="A4729" s="1033">
        <v>906728</v>
      </c>
      <c r="B4729" s="129">
        <v>482</v>
      </c>
      <c r="E4729" s="130"/>
    </row>
    <row r="4730" spans="1:9" x14ac:dyDescent="0.25">
      <c r="A4730" s="1033">
        <v>702912</v>
      </c>
      <c r="B4730" s="129">
        <v>0</v>
      </c>
      <c r="E4730" s="130"/>
    </row>
    <row r="4731" spans="1:9" x14ac:dyDescent="0.25">
      <c r="A4731" s="1033">
        <v>702914</v>
      </c>
      <c r="B4731" s="129">
        <v>0</v>
      </c>
      <c r="E4731" s="130"/>
    </row>
    <row r="4732" spans="1:9" x14ac:dyDescent="0.25">
      <c r="A4732" s="1033">
        <v>702916</v>
      </c>
      <c r="B4732" s="129">
        <v>0</v>
      </c>
      <c r="E4732" s="130"/>
    </row>
    <row r="4733" spans="1:9" x14ac:dyDescent="0.25">
      <c r="A4733" s="1033">
        <v>702922</v>
      </c>
      <c r="B4733" s="129">
        <v>0</v>
      </c>
      <c r="E4733" s="130"/>
    </row>
    <row r="4734" spans="1:9" x14ac:dyDescent="0.25">
      <c r="A4734" s="1033">
        <v>702924</v>
      </c>
      <c r="B4734" s="129">
        <v>0</v>
      </c>
      <c r="E4734" s="130"/>
    </row>
    <row r="4735" spans="1:9" x14ac:dyDescent="0.25">
      <c r="A4735" s="1033">
        <v>702926</v>
      </c>
      <c r="B4735" s="129">
        <v>0</v>
      </c>
      <c r="E4735" s="130"/>
    </row>
    <row r="4736" spans="1:9" x14ac:dyDescent="0.25">
      <c r="A4736" s="1033">
        <v>703112</v>
      </c>
      <c r="B4736" s="129">
        <v>37</v>
      </c>
      <c r="E4736" s="130"/>
    </row>
    <row r="4737" spans="1:9" x14ac:dyDescent="0.25">
      <c r="A4737" s="1033">
        <v>703114</v>
      </c>
      <c r="B4737" s="129">
        <v>42813</v>
      </c>
      <c r="E4737" s="130"/>
    </row>
    <row r="4738" spans="1:9" x14ac:dyDescent="0.25">
      <c r="A4738" s="1033">
        <v>703116</v>
      </c>
      <c r="B4738" s="129">
        <v>26692</v>
      </c>
      <c r="C4738" s="130" t="s">
        <v>1351</v>
      </c>
      <c r="D4738" s="130">
        <v>16</v>
      </c>
      <c r="E4738" s="130" t="s">
        <v>1351</v>
      </c>
      <c r="F4738" s="1031">
        <v>0</v>
      </c>
      <c r="G4738" s="1031">
        <v>-6580</v>
      </c>
      <c r="H4738" s="1031">
        <v>-6580</v>
      </c>
      <c r="I4738" s="1032" t="s">
        <v>1352</v>
      </c>
    </row>
    <row r="4739" spans="1:9" x14ac:dyDescent="0.25">
      <c r="A4739" s="1033"/>
      <c r="C4739" s="130" t="s">
        <v>1351</v>
      </c>
      <c r="D4739" s="130">
        <v>16</v>
      </c>
      <c r="E4739" s="130" t="s">
        <v>1353</v>
      </c>
      <c r="F4739" s="1031">
        <v>0</v>
      </c>
      <c r="G4739" s="1031">
        <v>-10494</v>
      </c>
      <c r="H4739" s="1031">
        <v>-10494</v>
      </c>
      <c r="I4739" s="1032" t="s">
        <v>1354</v>
      </c>
    </row>
    <row r="4740" spans="1:9" x14ac:dyDescent="0.25">
      <c r="A4740" s="1033"/>
      <c r="C4740" s="130" t="s">
        <v>1351</v>
      </c>
      <c r="D4740" s="130">
        <v>16</v>
      </c>
      <c r="E4740" s="130" t="s">
        <v>1355</v>
      </c>
      <c r="F4740" s="1031">
        <v>0</v>
      </c>
      <c r="G4740" s="1031">
        <v>-15190</v>
      </c>
      <c r="H4740" s="1031">
        <v>-15190</v>
      </c>
      <c r="I4740" s="1032" t="s">
        <v>1356</v>
      </c>
    </row>
    <row r="4741" spans="1:9" x14ac:dyDescent="0.25">
      <c r="A4741" s="1033"/>
      <c r="C4741" s="130" t="s">
        <v>1351</v>
      </c>
      <c r="D4741" s="130">
        <v>16</v>
      </c>
      <c r="E4741" s="130" t="s">
        <v>1357</v>
      </c>
      <c r="F4741" s="1031">
        <v>0</v>
      </c>
      <c r="G4741" s="1031">
        <v>-8330</v>
      </c>
      <c r="H4741" s="1031">
        <v>-8330</v>
      </c>
      <c r="I4741" s="1032" t="s">
        <v>1358</v>
      </c>
    </row>
    <row r="4742" spans="1:9" x14ac:dyDescent="0.25">
      <c r="A4742" s="1033"/>
      <c r="C4742" s="130" t="s">
        <v>1351</v>
      </c>
      <c r="D4742" s="130">
        <v>16</v>
      </c>
      <c r="E4742" s="130" t="s">
        <v>78</v>
      </c>
      <c r="F4742" s="1031">
        <v>0</v>
      </c>
      <c r="G4742" s="1031">
        <v>-499</v>
      </c>
      <c r="H4742" s="1031">
        <v>-499</v>
      </c>
      <c r="I4742" s="1032" t="s">
        <v>1359</v>
      </c>
    </row>
    <row r="4743" spans="1:9" x14ac:dyDescent="0.25">
      <c r="A4743" s="1033"/>
      <c r="C4743" s="130" t="s">
        <v>1360</v>
      </c>
      <c r="D4743" s="130">
        <v>16</v>
      </c>
      <c r="E4743" s="130" t="s">
        <v>1360</v>
      </c>
      <c r="F4743" s="1031">
        <v>0</v>
      </c>
      <c r="G4743" s="1031">
        <v>980</v>
      </c>
      <c r="H4743" s="1031">
        <v>980</v>
      </c>
      <c r="I4743" s="1032" t="s">
        <v>1361</v>
      </c>
    </row>
    <row r="4744" spans="1:9" x14ac:dyDescent="0.25">
      <c r="A4744" s="1033"/>
      <c r="C4744" s="130" t="s">
        <v>1360</v>
      </c>
      <c r="D4744" s="130">
        <v>16</v>
      </c>
      <c r="E4744" s="130" t="s">
        <v>1362</v>
      </c>
      <c r="F4744" s="1031">
        <v>0</v>
      </c>
      <c r="G4744" s="1031">
        <v>7764</v>
      </c>
      <c r="H4744" s="1031">
        <v>7764</v>
      </c>
      <c r="I4744" s="1032" t="s">
        <v>1363</v>
      </c>
    </row>
    <row r="4745" spans="1:9" x14ac:dyDescent="0.25">
      <c r="A4745" s="1033"/>
      <c r="C4745" s="130" t="s">
        <v>1360</v>
      </c>
      <c r="D4745" s="130">
        <v>16</v>
      </c>
      <c r="E4745" s="130" t="s">
        <v>1364</v>
      </c>
      <c r="F4745" s="1031">
        <v>0</v>
      </c>
      <c r="G4745" s="1031">
        <v>6043.71</v>
      </c>
      <c r="H4745" s="1031">
        <v>6043.71</v>
      </c>
      <c r="I4745" s="1032" t="s">
        <v>1365</v>
      </c>
    </row>
    <row r="4746" spans="1:9" x14ac:dyDescent="0.25">
      <c r="A4746" s="1033"/>
      <c r="C4746" s="130" t="s">
        <v>1360</v>
      </c>
      <c r="D4746" s="130">
        <v>16</v>
      </c>
      <c r="E4746" s="130" t="s">
        <v>1366</v>
      </c>
      <c r="F4746" s="1031">
        <v>0</v>
      </c>
      <c r="G4746" s="1031">
        <v>220</v>
      </c>
      <c r="H4746" s="1031">
        <v>220</v>
      </c>
      <c r="I4746" s="1032" t="s">
        <v>1367</v>
      </c>
    </row>
    <row r="4747" spans="1:9" x14ac:dyDescent="0.25">
      <c r="A4747" s="1033"/>
      <c r="C4747" s="130" t="s">
        <v>1370</v>
      </c>
      <c r="D4747" s="130">
        <v>16</v>
      </c>
      <c r="E4747" s="130" t="s">
        <v>1370</v>
      </c>
      <c r="F4747" s="1031">
        <v>0</v>
      </c>
      <c r="G4747" s="1031">
        <v>-1720</v>
      </c>
      <c r="H4747" s="1031">
        <v>-1720</v>
      </c>
      <c r="I4747" s="1032" t="s">
        <v>1371</v>
      </c>
    </row>
    <row r="4748" spans="1:9" x14ac:dyDescent="0.25">
      <c r="A4748" s="1033"/>
      <c r="C4748" s="130" t="s">
        <v>1372</v>
      </c>
      <c r="D4748" s="130">
        <v>16</v>
      </c>
      <c r="E4748" s="130" t="s">
        <v>1372</v>
      </c>
      <c r="F4748" s="1031">
        <v>0</v>
      </c>
      <c r="G4748" s="1031">
        <v>1113</v>
      </c>
      <c r="H4748" s="1031">
        <v>1113</v>
      </c>
      <c r="I4748" s="1032" t="s">
        <v>1373</v>
      </c>
    </row>
    <row r="4749" spans="1:9" x14ac:dyDescent="0.25">
      <c r="A4749" s="1033">
        <v>703122</v>
      </c>
      <c r="B4749" s="129">
        <v>37</v>
      </c>
      <c r="E4749" s="130"/>
    </row>
    <row r="4750" spans="1:9" x14ac:dyDescent="0.25">
      <c r="A4750" s="1033">
        <v>703124</v>
      </c>
      <c r="B4750" s="129">
        <v>42813</v>
      </c>
      <c r="E4750" s="130"/>
    </row>
    <row r="4751" spans="1:9" x14ac:dyDescent="0.25">
      <c r="A4751" s="1033">
        <v>703126</v>
      </c>
      <c r="B4751" s="129">
        <v>26692</v>
      </c>
      <c r="C4751" s="130" t="s">
        <v>1351</v>
      </c>
      <c r="D4751" s="130">
        <v>16</v>
      </c>
      <c r="E4751" s="130" t="s">
        <v>1351</v>
      </c>
      <c r="F4751" s="1031">
        <v>0</v>
      </c>
      <c r="G4751" s="1031">
        <v>-6580</v>
      </c>
      <c r="H4751" s="1031">
        <v>-6580</v>
      </c>
      <c r="I4751" s="1032" t="s">
        <v>1352</v>
      </c>
    </row>
    <row r="4752" spans="1:9" x14ac:dyDescent="0.25">
      <c r="A4752" s="1033"/>
      <c r="C4752" s="130" t="s">
        <v>1351</v>
      </c>
      <c r="D4752" s="130">
        <v>16</v>
      </c>
      <c r="E4752" s="130" t="s">
        <v>1353</v>
      </c>
      <c r="F4752" s="1031">
        <v>0</v>
      </c>
      <c r="G4752" s="1031">
        <v>-10494</v>
      </c>
      <c r="H4752" s="1031">
        <v>-10494</v>
      </c>
      <c r="I4752" s="1032" t="s">
        <v>1354</v>
      </c>
    </row>
    <row r="4753" spans="1:9" x14ac:dyDescent="0.25">
      <c r="A4753" s="1033"/>
      <c r="C4753" s="130" t="s">
        <v>1351</v>
      </c>
      <c r="D4753" s="130">
        <v>16</v>
      </c>
      <c r="E4753" s="130" t="s">
        <v>1355</v>
      </c>
      <c r="F4753" s="1031">
        <v>0</v>
      </c>
      <c r="G4753" s="1031">
        <v>-15190</v>
      </c>
      <c r="H4753" s="1031">
        <v>-15190</v>
      </c>
      <c r="I4753" s="1032" t="s">
        <v>1356</v>
      </c>
    </row>
    <row r="4754" spans="1:9" x14ac:dyDescent="0.25">
      <c r="A4754" s="1033"/>
      <c r="C4754" s="130" t="s">
        <v>1351</v>
      </c>
      <c r="D4754" s="130">
        <v>16</v>
      </c>
      <c r="E4754" s="130" t="s">
        <v>1357</v>
      </c>
      <c r="F4754" s="1031">
        <v>0</v>
      </c>
      <c r="G4754" s="1031">
        <v>-8330</v>
      </c>
      <c r="H4754" s="1031">
        <v>-8330</v>
      </c>
      <c r="I4754" s="1032" t="s">
        <v>1358</v>
      </c>
    </row>
    <row r="4755" spans="1:9" x14ac:dyDescent="0.25">
      <c r="A4755" s="1033"/>
      <c r="C4755" s="130" t="s">
        <v>1351</v>
      </c>
      <c r="D4755" s="130">
        <v>16</v>
      </c>
      <c r="E4755" s="130" t="s">
        <v>78</v>
      </c>
      <c r="F4755" s="1031">
        <v>0</v>
      </c>
      <c r="G4755" s="1031">
        <v>-499</v>
      </c>
      <c r="H4755" s="1031">
        <v>-499</v>
      </c>
      <c r="I4755" s="1032" t="s">
        <v>1359</v>
      </c>
    </row>
    <row r="4756" spans="1:9" x14ac:dyDescent="0.25">
      <c r="A4756" s="1033"/>
      <c r="C4756" s="130" t="s">
        <v>1360</v>
      </c>
      <c r="D4756" s="130">
        <v>16</v>
      </c>
      <c r="E4756" s="130" t="s">
        <v>1360</v>
      </c>
      <c r="F4756" s="1031">
        <v>0</v>
      </c>
      <c r="G4756" s="1031">
        <v>980</v>
      </c>
      <c r="H4756" s="1031">
        <v>980</v>
      </c>
      <c r="I4756" s="1032" t="s">
        <v>1361</v>
      </c>
    </row>
    <row r="4757" spans="1:9" x14ac:dyDescent="0.25">
      <c r="A4757" s="1033"/>
      <c r="C4757" s="130" t="s">
        <v>1360</v>
      </c>
      <c r="D4757" s="130">
        <v>16</v>
      </c>
      <c r="E4757" s="130" t="s">
        <v>1362</v>
      </c>
      <c r="F4757" s="1031">
        <v>0</v>
      </c>
      <c r="G4757" s="1031">
        <v>7764</v>
      </c>
      <c r="H4757" s="1031">
        <v>7764</v>
      </c>
      <c r="I4757" s="1032" t="s">
        <v>1363</v>
      </c>
    </row>
    <row r="4758" spans="1:9" x14ac:dyDescent="0.25">
      <c r="A4758" s="1033"/>
      <c r="C4758" s="130" t="s">
        <v>1360</v>
      </c>
      <c r="D4758" s="130">
        <v>16</v>
      </c>
      <c r="E4758" s="130" t="s">
        <v>1364</v>
      </c>
      <c r="F4758" s="1031">
        <v>0</v>
      </c>
      <c r="G4758" s="1031">
        <v>6043.71</v>
      </c>
      <c r="H4758" s="1031">
        <v>6043.71</v>
      </c>
      <c r="I4758" s="1032" t="s">
        <v>1365</v>
      </c>
    </row>
    <row r="4759" spans="1:9" x14ac:dyDescent="0.25">
      <c r="A4759" s="1033"/>
      <c r="C4759" s="130" t="s">
        <v>1360</v>
      </c>
      <c r="D4759" s="130">
        <v>16</v>
      </c>
      <c r="E4759" s="130" t="s">
        <v>1366</v>
      </c>
      <c r="F4759" s="1031">
        <v>0</v>
      </c>
      <c r="G4759" s="1031">
        <v>220</v>
      </c>
      <c r="H4759" s="1031">
        <v>220</v>
      </c>
      <c r="I4759" s="1032" t="s">
        <v>1367</v>
      </c>
    </row>
    <row r="4760" spans="1:9" x14ac:dyDescent="0.25">
      <c r="A4760" s="1033"/>
      <c r="C4760" s="130" t="s">
        <v>1370</v>
      </c>
      <c r="D4760" s="130">
        <v>16</v>
      </c>
      <c r="E4760" s="130" t="s">
        <v>1370</v>
      </c>
      <c r="F4760" s="1031">
        <v>0</v>
      </c>
      <c r="G4760" s="1031">
        <v>-1720</v>
      </c>
      <c r="H4760" s="1031">
        <v>-1720</v>
      </c>
      <c r="I4760" s="1032" t="s">
        <v>1371</v>
      </c>
    </row>
    <row r="4761" spans="1:9" x14ac:dyDescent="0.25">
      <c r="A4761" s="1033"/>
      <c r="C4761" s="130" t="s">
        <v>1372</v>
      </c>
      <c r="D4761" s="130">
        <v>16</v>
      </c>
      <c r="E4761" s="130" t="s">
        <v>1372</v>
      </c>
      <c r="F4761" s="1031">
        <v>0</v>
      </c>
      <c r="G4761" s="1031">
        <v>1113</v>
      </c>
      <c r="H4761" s="1031">
        <v>1113</v>
      </c>
      <c r="I4761" s="1032" t="s">
        <v>1373</v>
      </c>
    </row>
    <row r="4762" spans="1:9" x14ac:dyDescent="0.25">
      <c r="A4762" s="1033">
        <v>707216</v>
      </c>
      <c r="B4762" s="129">
        <v>4886</v>
      </c>
      <c r="C4762" s="130">
        <v>643</v>
      </c>
      <c r="D4762" s="130">
        <v>16</v>
      </c>
      <c r="E4762" s="130">
        <v>643</v>
      </c>
      <c r="F4762" s="1031">
        <v>0</v>
      </c>
      <c r="G4762" s="1031">
        <v>4886.08</v>
      </c>
      <c r="H4762" s="1031">
        <v>4886.08</v>
      </c>
      <c r="I4762" s="1032" t="s">
        <v>1884</v>
      </c>
    </row>
    <row r="4763" spans="1:9" x14ac:dyDescent="0.25">
      <c r="A4763" s="1033">
        <v>707218</v>
      </c>
      <c r="B4763" s="129">
        <v>1222</v>
      </c>
      <c r="E4763" s="130"/>
    </row>
    <row r="4764" spans="1:9" x14ac:dyDescent="0.25">
      <c r="A4764" s="1033">
        <v>707226</v>
      </c>
      <c r="B4764" s="129">
        <v>4886</v>
      </c>
      <c r="C4764" s="130">
        <v>643</v>
      </c>
      <c r="D4764" s="130">
        <v>16</v>
      </c>
      <c r="E4764" s="130">
        <v>643</v>
      </c>
      <c r="F4764" s="1031">
        <v>0</v>
      </c>
      <c r="G4764" s="1031">
        <v>4886.08</v>
      </c>
      <c r="H4764" s="1031">
        <v>4886.08</v>
      </c>
      <c r="I4764" s="1032" t="s">
        <v>1884</v>
      </c>
    </row>
    <row r="4765" spans="1:9" x14ac:dyDescent="0.25">
      <c r="A4765" s="1033">
        <v>707228</v>
      </c>
      <c r="B4765" s="129">
        <v>1222</v>
      </c>
      <c r="E4765" s="130"/>
    </row>
    <row r="4766" spans="1:9" x14ac:dyDescent="0.25">
      <c r="A4766" s="1033">
        <v>707312</v>
      </c>
      <c r="B4766" s="129">
        <v>10</v>
      </c>
      <c r="C4766" s="130" t="s">
        <v>1323</v>
      </c>
      <c r="D4766" s="130">
        <v>16</v>
      </c>
      <c r="E4766" s="130" t="s">
        <v>1323</v>
      </c>
      <c r="F4766" s="1031">
        <v>0</v>
      </c>
      <c r="G4766" s="1031">
        <v>-0.1</v>
      </c>
      <c r="H4766" s="1031">
        <v>-0.1</v>
      </c>
      <c r="I4766" s="1032" t="s">
        <v>1324</v>
      </c>
    </row>
    <row r="4767" spans="1:9" x14ac:dyDescent="0.25">
      <c r="A4767" s="1033">
        <v>707314</v>
      </c>
      <c r="B4767" s="129">
        <v>267800</v>
      </c>
      <c r="C4767" s="130" t="s">
        <v>1885</v>
      </c>
      <c r="D4767" s="130">
        <v>16</v>
      </c>
      <c r="E4767" s="130" t="s">
        <v>1885</v>
      </c>
      <c r="F4767" s="1031">
        <v>0</v>
      </c>
      <c r="G4767" s="1031">
        <v>-267800</v>
      </c>
      <c r="H4767" s="1031">
        <v>-267800</v>
      </c>
      <c r="I4767" s="1032" t="s">
        <v>1886</v>
      </c>
    </row>
    <row r="4768" spans="1:9" x14ac:dyDescent="0.25">
      <c r="A4768" s="1033">
        <v>707316</v>
      </c>
      <c r="B4768" s="129">
        <v>3836</v>
      </c>
      <c r="C4768" s="130" t="s">
        <v>1887</v>
      </c>
      <c r="D4768" s="130">
        <v>16</v>
      </c>
      <c r="E4768" s="130" t="s">
        <v>1887</v>
      </c>
      <c r="F4768" s="1031">
        <v>0</v>
      </c>
      <c r="G4768" s="1031">
        <v>263964.26</v>
      </c>
      <c r="H4768" s="1031">
        <v>263964.26</v>
      </c>
      <c r="I4768" s="1032" t="s">
        <v>1888</v>
      </c>
    </row>
    <row r="4769" spans="1:9" x14ac:dyDescent="0.25">
      <c r="A4769" s="1033"/>
      <c r="C4769" s="130" t="s">
        <v>1885</v>
      </c>
      <c r="D4769" s="130">
        <v>16</v>
      </c>
      <c r="E4769" s="130" t="s">
        <v>1885</v>
      </c>
      <c r="F4769" s="1031">
        <v>0</v>
      </c>
      <c r="G4769" s="1031">
        <v>-267800</v>
      </c>
      <c r="H4769" s="1031">
        <v>-267800</v>
      </c>
      <c r="I4769" s="1032" t="s">
        <v>1886</v>
      </c>
    </row>
    <row r="4770" spans="1:9" x14ac:dyDescent="0.25">
      <c r="A4770" s="1033">
        <v>707318</v>
      </c>
      <c r="B4770" s="129">
        <v>384</v>
      </c>
      <c r="E4770" s="130"/>
    </row>
    <row r="4771" spans="1:9" x14ac:dyDescent="0.25">
      <c r="A4771" s="1033">
        <v>707324</v>
      </c>
      <c r="B4771" s="129">
        <v>267800</v>
      </c>
      <c r="C4771" s="130" t="s">
        <v>1885</v>
      </c>
      <c r="D4771" s="130">
        <v>16</v>
      </c>
      <c r="E4771" s="130" t="s">
        <v>1885</v>
      </c>
      <c r="F4771" s="1031">
        <v>0</v>
      </c>
      <c r="G4771" s="1031">
        <v>-267800</v>
      </c>
      <c r="H4771" s="1031">
        <v>-267800</v>
      </c>
      <c r="I4771" s="1032" t="s">
        <v>1886</v>
      </c>
    </row>
    <row r="4772" spans="1:9" x14ac:dyDescent="0.25">
      <c r="A4772" s="1033">
        <v>707326</v>
      </c>
      <c r="B4772" s="129">
        <v>3836</v>
      </c>
      <c r="C4772" s="130" t="s">
        <v>1887</v>
      </c>
      <c r="D4772" s="130">
        <v>16</v>
      </c>
      <c r="E4772" s="130" t="s">
        <v>1887</v>
      </c>
      <c r="F4772" s="1031">
        <v>0</v>
      </c>
      <c r="G4772" s="1031">
        <v>263964.26</v>
      </c>
      <c r="H4772" s="1031">
        <v>263964.26</v>
      </c>
      <c r="I4772" s="1032" t="s">
        <v>1888</v>
      </c>
    </row>
    <row r="4773" spans="1:9" x14ac:dyDescent="0.25">
      <c r="A4773" s="1033"/>
      <c r="C4773" s="130" t="s">
        <v>1885</v>
      </c>
      <c r="D4773" s="130">
        <v>16</v>
      </c>
      <c r="E4773" s="130" t="s">
        <v>1885</v>
      </c>
      <c r="F4773" s="1031">
        <v>0</v>
      </c>
      <c r="G4773" s="1031">
        <v>-267800</v>
      </c>
      <c r="H4773" s="1031">
        <v>-267800</v>
      </c>
      <c r="I4773" s="1032" t="s">
        <v>1886</v>
      </c>
    </row>
    <row r="4774" spans="1:9" x14ac:dyDescent="0.25">
      <c r="A4774" s="1033">
        <v>707328</v>
      </c>
      <c r="B4774" s="129">
        <v>384</v>
      </c>
      <c r="E4774" s="130"/>
    </row>
    <row r="4775" spans="1:9" x14ac:dyDescent="0.25">
      <c r="A4775" s="1033">
        <v>707414</v>
      </c>
      <c r="B4775" s="129">
        <v>1473</v>
      </c>
      <c r="C4775" s="130">
        <v>451</v>
      </c>
      <c r="D4775" s="130">
        <v>16</v>
      </c>
      <c r="E4775" s="130">
        <v>451</v>
      </c>
      <c r="F4775" s="1031">
        <v>0</v>
      </c>
      <c r="G4775" s="1031">
        <v>-798</v>
      </c>
      <c r="H4775" s="1031">
        <v>-798</v>
      </c>
      <c r="I4775" s="1032" t="s">
        <v>1889</v>
      </c>
    </row>
    <row r="4776" spans="1:9" x14ac:dyDescent="0.25">
      <c r="A4776" s="1033"/>
      <c r="C4776" s="130">
        <v>453</v>
      </c>
      <c r="D4776" s="130">
        <v>16</v>
      </c>
      <c r="E4776" s="130">
        <v>453</v>
      </c>
      <c r="F4776" s="1031">
        <v>0</v>
      </c>
      <c r="G4776" s="1031">
        <v>-675</v>
      </c>
      <c r="H4776" s="1031">
        <v>-675</v>
      </c>
      <c r="I4776" s="1032" t="s">
        <v>1890</v>
      </c>
    </row>
    <row r="4777" spans="1:9" x14ac:dyDescent="0.25">
      <c r="A4777" s="1033">
        <v>707416</v>
      </c>
      <c r="B4777" s="129">
        <v>1333</v>
      </c>
      <c r="C4777" s="130">
        <v>451</v>
      </c>
      <c r="D4777" s="130">
        <v>16</v>
      </c>
      <c r="E4777" s="130">
        <v>451</v>
      </c>
      <c r="F4777" s="1031">
        <v>0</v>
      </c>
      <c r="G4777" s="1031">
        <v>-798</v>
      </c>
      <c r="H4777" s="1031">
        <v>-798</v>
      </c>
      <c r="I4777" s="1032" t="s">
        <v>1889</v>
      </c>
    </row>
    <row r="4778" spans="1:9" x14ac:dyDescent="0.25">
      <c r="A4778" s="1033"/>
      <c r="C4778" s="130">
        <v>453</v>
      </c>
      <c r="D4778" s="130">
        <v>16</v>
      </c>
      <c r="E4778" s="130">
        <v>453</v>
      </c>
      <c r="F4778" s="1031">
        <v>0</v>
      </c>
      <c r="G4778" s="1031">
        <v>-675</v>
      </c>
      <c r="H4778" s="1031">
        <v>-675</v>
      </c>
      <c r="I4778" s="1032" t="s">
        <v>1890</v>
      </c>
    </row>
    <row r="4779" spans="1:9" x14ac:dyDescent="0.25">
      <c r="A4779" s="1033"/>
      <c r="C4779" s="130">
        <v>651</v>
      </c>
      <c r="D4779" s="130">
        <v>16</v>
      </c>
      <c r="E4779" s="130">
        <v>651</v>
      </c>
      <c r="F4779" s="1031">
        <v>0</v>
      </c>
      <c r="G4779" s="1031">
        <v>140</v>
      </c>
      <c r="H4779" s="1031">
        <v>140</v>
      </c>
      <c r="I4779" s="1032" t="s">
        <v>1891</v>
      </c>
    </row>
    <row r="4780" spans="1:9" x14ac:dyDescent="0.25">
      <c r="A4780" s="1033">
        <v>707418</v>
      </c>
      <c r="B4780" s="129">
        <v>444</v>
      </c>
      <c r="E4780" s="130"/>
    </row>
    <row r="4781" spans="1:9" x14ac:dyDescent="0.25">
      <c r="A4781" s="1033">
        <v>707424</v>
      </c>
      <c r="B4781" s="129">
        <v>1473</v>
      </c>
      <c r="C4781" s="130">
        <v>451</v>
      </c>
      <c r="D4781" s="130">
        <v>16</v>
      </c>
      <c r="E4781" s="130">
        <v>451</v>
      </c>
      <c r="F4781" s="1031">
        <v>0</v>
      </c>
      <c r="G4781" s="1031">
        <v>-798</v>
      </c>
      <c r="H4781" s="1031">
        <v>-798</v>
      </c>
      <c r="I4781" s="1032" t="s">
        <v>1889</v>
      </c>
    </row>
    <row r="4782" spans="1:9" x14ac:dyDescent="0.25">
      <c r="A4782" s="1033"/>
      <c r="C4782" s="130">
        <v>453</v>
      </c>
      <c r="D4782" s="130">
        <v>16</v>
      </c>
      <c r="E4782" s="130">
        <v>453</v>
      </c>
      <c r="F4782" s="1031">
        <v>0</v>
      </c>
      <c r="G4782" s="1031">
        <v>-675</v>
      </c>
      <c r="H4782" s="1031">
        <v>-675</v>
      </c>
      <c r="I4782" s="1032" t="s">
        <v>1890</v>
      </c>
    </row>
    <row r="4783" spans="1:9" x14ac:dyDescent="0.25">
      <c r="A4783" s="1033">
        <v>707426</v>
      </c>
      <c r="B4783" s="129">
        <v>1333</v>
      </c>
      <c r="C4783" s="130">
        <v>451</v>
      </c>
      <c r="D4783" s="130">
        <v>16</v>
      </c>
      <c r="E4783" s="130">
        <v>451</v>
      </c>
      <c r="F4783" s="1031">
        <v>0</v>
      </c>
      <c r="G4783" s="1031">
        <v>-798</v>
      </c>
      <c r="H4783" s="1031">
        <v>-798</v>
      </c>
      <c r="I4783" s="1032" t="s">
        <v>1889</v>
      </c>
    </row>
    <row r="4784" spans="1:9" x14ac:dyDescent="0.25">
      <c r="A4784" s="1033"/>
      <c r="C4784" s="130">
        <v>453</v>
      </c>
      <c r="D4784" s="130">
        <v>16</v>
      </c>
      <c r="E4784" s="130">
        <v>453</v>
      </c>
      <c r="F4784" s="1031">
        <v>0</v>
      </c>
      <c r="G4784" s="1031">
        <v>-675</v>
      </c>
      <c r="H4784" s="1031">
        <v>-675</v>
      </c>
      <c r="I4784" s="1032" t="s">
        <v>1890</v>
      </c>
    </row>
    <row r="4785" spans="1:9" x14ac:dyDescent="0.25">
      <c r="A4785" s="1033"/>
      <c r="C4785" s="130">
        <v>651</v>
      </c>
      <c r="D4785" s="130">
        <v>16</v>
      </c>
      <c r="E4785" s="130">
        <v>651</v>
      </c>
      <c r="F4785" s="1031">
        <v>0</v>
      </c>
      <c r="G4785" s="1031">
        <v>140</v>
      </c>
      <c r="H4785" s="1031">
        <v>140</v>
      </c>
      <c r="I4785" s="1032" t="s">
        <v>1891</v>
      </c>
    </row>
    <row r="4786" spans="1:9" x14ac:dyDescent="0.25">
      <c r="A4786" s="1033">
        <v>707428</v>
      </c>
      <c r="B4786" s="129">
        <v>444</v>
      </c>
      <c r="E4786" s="130"/>
    </row>
    <row r="4787" spans="1:9" x14ac:dyDescent="0.25">
      <c r="A4787" s="1033">
        <v>707814</v>
      </c>
      <c r="B4787" s="129">
        <v>378264</v>
      </c>
      <c r="E4787" s="130"/>
    </row>
    <row r="4788" spans="1:9" x14ac:dyDescent="0.25">
      <c r="A4788" s="1033">
        <v>707816</v>
      </c>
      <c r="B4788" s="129">
        <v>10383</v>
      </c>
      <c r="C4788" s="130">
        <v>442</v>
      </c>
      <c r="D4788" s="130">
        <v>16</v>
      </c>
      <c r="E4788" s="130">
        <v>442</v>
      </c>
      <c r="F4788" s="1031">
        <v>0</v>
      </c>
      <c r="G4788" s="1031">
        <v>-108991</v>
      </c>
      <c r="H4788" s="1031">
        <v>-108991</v>
      </c>
      <c r="I4788" s="1032" t="s">
        <v>1321</v>
      </c>
    </row>
    <row r="4789" spans="1:9" x14ac:dyDescent="0.25">
      <c r="A4789" s="1033"/>
      <c r="C4789" s="130">
        <v>642</v>
      </c>
      <c r="D4789" s="130">
        <v>16</v>
      </c>
      <c r="E4789" s="130">
        <v>642</v>
      </c>
      <c r="F4789" s="1031">
        <v>0</v>
      </c>
      <c r="G4789" s="1031">
        <v>98891.09</v>
      </c>
      <c r="H4789" s="1031">
        <v>98891.09</v>
      </c>
      <c r="I4789" s="1032" t="s">
        <v>1322</v>
      </c>
    </row>
    <row r="4790" spans="1:9" x14ac:dyDescent="0.25">
      <c r="A4790" s="1033"/>
      <c r="C4790" s="130">
        <v>643</v>
      </c>
      <c r="D4790" s="130">
        <v>16</v>
      </c>
      <c r="E4790" s="130">
        <v>643</v>
      </c>
      <c r="F4790" s="1031">
        <v>0</v>
      </c>
      <c r="G4790" s="1031">
        <v>4886.08</v>
      </c>
      <c r="H4790" s="1031">
        <v>4886.08</v>
      </c>
      <c r="I4790" s="1032" t="s">
        <v>1884</v>
      </c>
    </row>
    <row r="4791" spans="1:9" x14ac:dyDescent="0.25">
      <c r="A4791" s="1033"/>
      <c r="C4791" s="130" t="s">
        <v>1887</v>
      </c>
      <c r="D4791" s="130">
        <v>16</v>
      </c>
      <c r="E4791" s="130" t="s">
        <v>1887</v>
      </c>
      <c r="F4791" s="1031">
        <v>0</v>
      </c>
      <c r="G4791" s="1031">
        <v>263964.26</v>
      </c>
      <c r="H4791" s="1031">
        <v>263964.26</v>
      </c>
      <c r="I4791" s="1032" t="s">
        <v>1888</v>
      </c>
    </row>
    <row r="4792" spans="1:9" x14ac:dyDescent="0.25">
      <c r="A4792" s="1033"/>
      <c r="C4792" s="130" t="s">
        <v>1885</v>
      </c>
      <c r="D4792" s="130">
        <v>16</v>
      </c>
      <c r="E4792" s="130" t="s">
        <v>1885</v>
      </c>
      <c r="F4792" s="1031">
        <v>0</v>
      </c>
      <c r="G4792" s="1031">
        <v>-267800</v>
      </c>
      <c r="H4792" s="1031">
        <v>-267800</v>
      </c>
      <c r="I4792" s="1032" t="s">
        <v>1886</v>
      </c>
    </row>
    <row r="4793" spans="1:9" x14ac:dyDescent="0.25">
      <c r="A4793" s="1033"/>
      <c r="C4793" s="130">
        <v>451</v>
      </c>
      <c r="D4793" s="130">
        <v>16</v>
      </c>
      <c r="E4793" s="130">
        <v>451</v>
      </c>
      <c r="F4793" s="1031">
        <v>0</v>
      </c>
      <c r="G4793" s="1031">
        <v>-798</v>
      </c>
      <c r="H4793" s="1031">
        <v>-798</v>
      </c>
      <c r="I4793" s="1032" t="s">
        <v>1889</v>
      </c>
    </row>
    <row r="4794" spans="1:9" x14ac:dyDescent="0.25">
      <c r="A4794" s="1033"/>
      <c r="C4794" s="130">
        <v>453</v>
      </c>
      <c r="D4794" s="130">
        <v>16</v>
      </c>
      <c r="E4794" s="130">
        <v>453</v>
      </c>
      <c r="F4794" s="1031">
        <v>0</v>
      </c>
      <c r="G4794" s="1031">
        <v>-675</v>
      </c>
      <c r="H4794" s="1031">
        <v>-675</v>
      </c>
      <c r="I4794" s="1032" t="s">
        <v>1890</v>
      </c>
    </row>
    <row r="4795" spans="1:9" x14ac:dyDescent="0.25">
      <c r="A4795" s="1033"/>
      <c r="C4795" s="130">
        <v>651</v>
      </c>
      <c r="D4795" s="130">
        <v>16</v>
      </c>
      <c r="E4795" s="130">
        <v>651</v>
      </c>
      <c r="F4795" s="1031">
        <v>0</v>
      </c>
      <c r="G4795" s="1031">
        <v>140</v>
      </c>
      <c r="H4795" s="1031">
        <v>140</v>
      </c>
      <c r="I4795" s="1032" t="s">
        <v>1891</v>
      </c>
    </row>
    <row r="4796" spans="1:9" x14ac:dyDescent="0.25">
      <c r="A4796" s="1033">
        <v>707824</v>
      </c>
      <c r="B4796" s="129">
        <v>378264</v>
      </c>
      <c r="E4796" s="130"/>
    </row>
    <row r="4797" spans="1:9" x14ac:dyDescent="0.25">
      <c r="A4797" s="1033">
        <v>707826</v>
      </c>
      <c r="B4797" s="129">
        <v>10383</v>
      </c>
      <c r="C4797" s="130">
        <v>442</v>
      </c>
      <c r="D4797" s="130">
        <v>16</v>
      </c>
      <c r="E4797" s="130">
        <v>442</v>
      </c>
      <c r="F4797" s="1031">
        <v>0</v>
      </c>
      <c r="G4797" s="1031">
        <v>-108991</v>
      </c>
      <c r="H4797" s="1031">
        <v>-108991</v>
      </c>
      <c r="I4797" s="1032" t="s">
        <v>1321</v>
      </c>
    </row>
    <row r="4798" spans="1:9" x14ac:dyDescent="0.25">
      <c r="A4798" s="1033"/>
      <c r="C4798" s="130">
        <v>642</v>
      </c>
      <c r="D4798" s="130">
        <v>16</v>
      </c>
      <c r="E4798" s="130">
        <v>642</v>
      </c>
      <c r="F4798" s="1031">
        <v>0</v>
      </c>
      <c r="G4798" s="1031">
        <v>98891.09</v>
      </c>
      <c r="H4798" s="1031">
        <v>98891.09</v>
      </c>
      <c r="I4798" s="1032" t="s">
        <v>1322</v>
      </c>
    </row>
    <row r="4799" spans="1:9" x14ac:dyDescent="0.25">
      <c r="A4799" s="1033"/>
      <c r="C4799" s="130">
        <v>643</v>
      </c>
      <c r="D4799" s="130">
        <v>16</v>
      </c>
      <c r="E4799" s="130">
        <v>643</v>
      </c>
      <c r="F4799" s="1031">
        <v>0</v>
      </c>
      <c r="G4799" s="1031">
        <v>4886.08</v>
      </c>
      <c r="H4799" s="1031">
        <v>4886.08</v>
      </c>
      <c r="I4799" s="1032" t="s">
        <v>1884</v>
      </c>
    </row>
    <row r="4800" spans="1:9" x14ac:dyDescent="0.25">
      <c r="A4800" s="1033"/>
      <c r="C4800" s="130" t="s">
        <v>1887</v>
      </c>
      <c r="D4800" s="130">
        <v>16</v>
      </c>
      <c r="E4800" s="130" t="s">
        <v>1887</v>
      </c>
      <c r="F4800" s="1031">
        <v>0</v>
      </c>
      <c r="G4800" s="1031">
        <v>263964.26</v>
      </c>
      <c r="H4800" s="1031">
        <v>263964.26</v>
      </c>
      <c r="I4800" s="1032" t="s">
        <v>1888</v>
      </c>
    </row>
    <row r="4801" spans="1:9" x14ac:dyDescent="0.25">
      <c r="A4801" s="1033"/>
      <c r="C4801" s="130" t="s">
        <v>1885</v>
      </c>
      <c r="D4801" s="130">
        <v>16</v>
      </c>
      <c r="E4801" s="130" t="s">
        <v>1885</v>
      </c>
      <c r="F4801" s="1031">
        <v>0</v>
      </c>
      <c r="G4801" s="1031">
        <v>-267800</v>
      </c>
      <c r="H4801" s="1031">
        <v>-267800</v>
      </c>
      <c r="I4801" s="1032" t="s">
        <v>1886</v>
      </c>
    </row>
    <row r="4802" spans="1:9" x14ac:dyDescent="0.25">
      <c r="A4802" s="1033"/>
      <c r="C4802" s="130">
        <v>451</v>
      </c>
      <c r="D4802" s="130">
        <v>16</v>
      </c>
      <c r="E4802" s="130">
        <v>451</v>
      </c>
      <c r="F4802" s="1031">
        <v>0</v>
      </c>
      <c r="G4802" s="1031">
        <v>-798</v>
      </c>
      <c r="H4802" s="1031">
        <v>-798</v>
      </c>
      <c r="I4802" s="1032" t="s">
        <v>1889</v>
      </c>
    </row>
    <row r="4803" spans="1:9" x14ac:dyDescent="0.25">
      <c r="A4803" s="1033"/>
      <c r="C4803" s="130">
        <v>453</v>
      </c>
      <c r="D4803" s="130">
        <v>16</v>
      </c>
      <c r="E4803" s="130">
        <v>453</v>
      </c>
      <c r="F4803" s="1031">
        <v>0</v>
      </c>
      <c r="G4803" s="1031">
        <v>-675</v>
      </c>
      <c r="H4803" s="1031">
        <v>-675</v>
      </c>
      <c r="I4803" s="1032" t="s">
        <v>1890</v>
      </c>
    </row>
    <row r="4804" spans="1:9" x14ac:dyDescent="0.25">
      <c r="A4804" s="1033"/>
      <c r="C4804" s="130">
        <v>651</v>
      </c>
      <c r="D4804" s="130">
        <v>16</v>
      </c>
      <c r="E4804" s="130">
        <v>651</v>
      </c>
      <c r="F4804" s="1031">
        <v>0</v>
      </c>
      <c r="G4804" s="1031">
        <v>140</v>
      </c>
      <c r="H4804" s="1031">
        <v>140</v>
      </c>
      <c r="I4804" s="1032" t="s">
        <v>1891</v>
      </c>
    </row>
    <row r="4805" spans="1:9" x14ac:dyDescent="0.25">
      <c r="A4805" s="1033">
        <v>707914</v>
      </c>
      <c r="B4805" s="129">
        <v>877325</v>
      </c>
      <c r="E4805" s="130"/>
    </row>
    <row r="4806" spans="1:9" x14ac:dyDescent="0.25">
      <c r="A4806" s="1033">
        <v>707916</v>
      </c>
      <c r="B4806" s="129">
        <v>46136</v>
      </c>
      <c r="C4806" s="130" t="s">
        <v>1252</v>
      </c>
      <c r="D4806" s="130">
        <v>16</v>
      </c>
      <c r="E4806" s="130" t="s">
        <v>1252</v>
      </c>
      <c r="F4806" s="1031">
        <v>0</v>
      </c>
      <c r="G4806" s="1031">
        <v>-156545.9</v>
      </c>
      <c r="H4806" s="1031">
        <v>-156545.9</v>
      </c>
      <c r="I4806" s="1032" t="s">
        <v>1253</v>
      </c>
    </row>
    <row r="4807" spans="1:9" x14ac:dyDescent="0.25">
      <c r="A4807" s="1033"/>
      <c r="C4807" s="130" t="s">
        <v>1254</v>
      </c>
      <c r="D4807" s="130">
        <v>16</v>
      </c>
      <c r="E4807" s="130" t="s">
        <v>1254</v>
      </c>
      <c r="F4807" s="1031">
        <v>0</v>
      </c>
      <c r="G4807" s="1031">
        <v>-124587.36</v>
      </c>
      <c r="H4807" s="1031">
        <v>-124587.36</v>
      </c>
      <c r="I4807" s="1032" t="s">
        <v>1255</v>
      </c>
    </row>
    <row r="4808" spans="1:9" x14ac:dyDescent="0.25">
      <c r="A4808" s="1033"/>
      <c r="C4808" s="130" t="s">
        <v>1256</v>
      </c>
      <c r="D4808" s="130">
        <v>16</v>
      </c>
      <c r="E4808" s="130" t="s">
        <v>1256</v>
      </c>
      <c r="F4808" s="1031">
        <v>0</v>
      </c>
      <c r="G4808" s="1031">
        <v>147238.17000000001</v>
      </c>
      <c r="H4808" s="1031">
        <v>147238.17000000001</v>
      </c>
      <c r="I4808" s="1032" t="s">
        <v>1257</v>
      </c>
    </row>
    <row r="4809" spans="1:9" x14ac:dyDescent="0.25">
      <c r="A4809" s="1033"/>
      <c r="C4809" s="130" t="s">
        <v>1258</v>
      </c>
      <c r="D4809" s="130">
        <v>16</v>
      </c>
      <c r="E4809" s="130" t="s">
        <v>1258</v>
      </c>
      <c r="F4809" s="1031">
        <v>0</v>
      </c>
      <c r="G4809" s="1031">
        <v>110639.33</v>
      </c>
      <c r="H4809" s="1031">
        <v>110639.33</v>
      </c>
      <c r="I4809" s="1032" t="s">
        <v>1259</v>
      </c>
    </row>
    <row r="4810" spans="1:9" x14ac:dyDescent="0.25">
      <c r="A4810" s="1033"/>
      <c r="C4810" s="130" t="s">
        <v>1260</v>
      </c>
      <c r="D4810" s="130">
        <v>16</v>
      </c>
      <c r="E4810" s="130" t="s">
        <v>1260</v>
      </c>
      <c r="F4810" s="1031">
        <v>0</v>
      </c>
      <c r="G4810" s="1031">
        <v>2432.12</v>
      </c>
      <c r="H4810" s="1031">
        <v>2432.12</v>
      </c>
      <c r="I4810" s="1032" t="s">
        <v>1261</v>
      </c>
    </row>
    <row r="4811" spans="1:9" x14ac:dyDescent="0.25">
      <c r="A4811" s="1033"/>
      <c r="C4811" s="130" t="s">
        <v>1262</v>
      </c>
      <c r="D4811" s="130">
        <v>16</v>
      </c>
      <c r="E4811" s="130" t="s">
        <v>1262</v>
      </c>
      <c r="F4811" s="1031">
        <v>0</v>
      </c>
      <c r="G4811" s="1031">
        <v>5723.83</v>
      </c>
      <c r="H4811" s="1031">
        <v>5723.83</v>
      </c>
      <c r="I4811" s="1032" t="s">
        <v>1263</v>
      </c>
    </row>
    <row r="4812" spans="1:9" x14ac:dyDescent="0.25">
      <c r="A4812" s="1033"/>
      <c r="C4812" s="130" t="s">
        <v>1268</v>
      </c>
      <c r="D4812" s="130">
        <v>16</v>
      </c>
      <c r="E4812" s="130" t="s">
        <v>1268</v>
      </c>
      <c r="F4812" s="1031">
        <v>0</v>
      </c>
      <c r="G4812" s="1031">
        <v>-23684</v>
      </c>
      <c r="H4812" s="1031">
        <v>-23684</v>
      </c>
      <c r="I4812" s="1032" t="s">
        <v>1269</v>
      </c>
    </row>
    <row r="4813" spans="1:9" x14ac:dyDescent="0.25">
      <c r="A4813" s="1033"/>
      <c r="C4813" s="130" t="s">
        <v>1270</v>
      </c>
      <c r="D4813" s="130">
        <v>16</v>
      </c>
      <c r="E4813" s="130" t="s">
        <v>1270</v>
      </c>
      <c r="F4813" s="1031">
        <v>0</v>
      </c>
      <c r="G4813" s="1031">
        <v>-42500</v>
      </c>
      <c r="H4813" s="1031">
        <v>-42500</v>
      </c>
      <c r="I4813" s="1032" t="s">
        <v>1271</v>
      </c>
    </row>
    <row r="4814" spans="1:9" x14ac:dyDescent="0.25">
      <c r="A4814" s="1033"/>
      <c r="C4814" s="130" t="s">
        <v>1272</v>
      </c>
      <c r="D4814" s="130">
        <v>16</v>
      </c>
      <c r="E4814" s="130" t="s">
        <v>1272</v>
      </c>
      <c r="F4814" s="1031">
        <v>0</v>
      </c>
      <c r="G4814" s="1031">
        <v>22351.67</v>
      </c>
      <c r="H4814" s="1031">
        <v>22351.67</v>
      </c>
      <c r="I4814" s="1032" t="s">
        <v>1273</v>
      </c>
    </row>
    <row r="4815" spans="1:9" x14ac:dyDescent="0.25">
      <c r="A4815" s="1033"/>
      <c r="C4815" s="130" t="s">
        <v>1274</v>
      </c>
      <c r="D4815" s="130">
        <v>16</v>
      </c>
      <c r="E4815" s="130" t="s">
        <v>1274</v>
      </c>
      <c r="F4815" s="1031">
        <v>0</v>
      </c>
      <c r="G4815" s="1031">
        <v>35931.440000000002</v>
      </c>
      <c r="H4815" s="1031">
        <v>35931.440000000002</v>
      </c>
      <c r="I4815" s="1032" t="s">
        <v>1275</v>
      </c>
    </row>
    <row r="4816" spans="1:9" x14ac:dyDescent="0.25">
      <c r="A4816" s="1033"/>
      <c r="C4816" s="130" t="s">
        <v>1276</v>
      </c>
      <c r="D4816" s="130">
        <v>16</v>
      </c>
      <c r="E4816" s="130" t="s">
        <v>1276</v>
      </c>
      <c r="F4816" s="1031">
        <v>0</v>
      </c>
      <c r="G4816" s="1031">
        <v>1332.33</v>
      </c>
      <c r="H4816" s="1031">
        <v>1332.33</v>
      </c>
      <c r="I4816" s="1032" t="s">
        <v>1277</v>
      </c>
    </row>
    <row r="4817" spans="1:9" x14ac:dyDescent="0.25">
      <c r="A4817" s="1033"/>
      <c r="C4817" s="130" t="s">
        <v>1278</v>
      </c>
      <c r="D4817" s="130">
        <v>16</v>
      </c>
      <c r="E4817" s="130" t="s">
        <v>1278</v>
      </c>
      <c r="F4817" s="1031">
        <v>0</v>
      </c>
      <c r="G4817" s="1031">
        <v>5173.7700000000004</v>
      </c>
      <c r="H4817" s="1031">
        <v>5173.7700000000004</v>
      </c>
      <c r="I4817" s="1032" t="s">
        <v>1279</v>
      </c>
    </row>
    <row r="4818" spans="1:9" x14ac:dyDescent="0.25">
      <c r="A4818" s="1033"/>
      <c r="C4818" s="130" t="s">
        <v>1282</v>
      </c>
      <c r="D4818" s="130">
        <v>16</v>
      </c>
      <c r="E4818" s="130" t="s">
        <v>1282</v>
      </c>
      <c r="F4818" s="1031">
        <v>0</v>
      </c>
      <c r="G4818" s="1031">
        <v>-123000</v>
      </c>
      <c r="H4818" s="1031">
        <v>-123000</v>
      </c>
      <c r="I4818" s="1032" t="s">
        <v>1283</v>
      </c>
    </row>
    <row r="4819" spans="1:9" x14ac:dyDescent="0.25">
      <c r="A4819" s="1033"/>
      <c r="C4819" s="130" t="s">
        <v>1284</v>
      </c>
      <c r="D4819" s="130">
        <v>16</v>
      </c>
      <c r="E4819" s="130" t="s">
        <v>1284</v>
      </c>
      <c r="F4819" s="1031">
        <v>0</v>
      </c>
      <c r="G4819" s="1031">
        <v>90.83</v>
      </c>
      <c r="H4819" s="1031">
        <v>90.83</v>
      </c>
      <c r="I4819" s="1032" t="s">
        <v>1285</v>
      </c>
    </row>
    <row r="4820" spans="1:9" x14ac:dyDescent="0.25">
      <c r="A4820" s="1033"/>
      <c r="C4820" s="130" t="s">
        <v>1286</v>
      </c>
      <c r="D4820" s="130">
        <v>16</v>
      </c>
      <c r="E4820" s="130" t="s">
        <v>1286</v>
      </c>
      <c r="F4820" s="1031">
        <v>0</v>
      </c>
      <c r="G4820" s="1031">
        <v>121962.32</v>
      </c>
      <c r="H4820" s="1031">
        <v>121962.32</v>
      </c>
      <c r="I4820" s="1032" t="s">
        <v>1287</v>
      </c>
    </row>
    <row r="4821" spans="1:9" x14ac:dyDescent="0.25">
      <c r="A4821" s="1033"/>
      <c r="C4821" s="130">
        <v>450</v>
      </c>
      <c r="D4821" s="130">
        <v>16</v>
      </c>
      <c r="E4821" s="130" t="s">
        <v>220</v>
      </c>
      <c r="F4821" s="1031">
        <v>0</v>
      </c>
      <c r="G4821" s="1031">
        <v>-4879.12</v>
      </c>
      <c r="H4821" s="1031">
        <v>-4879.12</v>
      </c>
      <c r="I4821" s="1032" t="s">
        <v>1292</v>
      </c>
    </row>
    <row r="4822" spans="1:9" x14ac:dyDescent="0.25">
      <c r="A4822" s="1033"/>
      <c r="C4822" s="130">
        <v>450</v>
      </c>
      <c r="D4822" s="130">
        <v>16</v>
      </c>
      <c r="E4822" s="130">
        <v>450</v>
      </c>
      <c r="F4822" s="1031">
        <v>0</v>
      </c>
      <c r="G4822" s="1031">
        <v>-2394</v>
      </c>
      <c r="H4822" s="1031">
        <v>-2394</v>
      </c>
      <c r="I4822" s="1032" t="s">
        <v>1293</v>
      </c>
    </row>
    <row r="4823" spans="1:9" x14ac:dyDescent="0.25">
      <c r="A4823" s="1033"/>
      <c r="C4823" s="130">
        <v>450</v>
      </c>
      <c r="D4823" s="130">
        <v>16</v>
      </c>
      <c r="E4823" s="130" t="s">
        <v>1294</v>
      </c>
      <c r="F4823" s="1031">
        <v>0</v>
      </c>
      <c r="G4823" s="1031">
        <v>-4760</v>
      </c>
      <c r="H4823" s="1031">
        <v>-4760</v>
      </c>
      <c r="I4823" s="1032" t="s">
        <v>1295</v>
      </c>
    </row>
    <row r="4824" spans="1:9" x14ac:dyDescent="0.25">
      <c r="A4824" s="1033"/>
      <c r="C4824" s="130">
        <v>450</v>
      </c>
      <c r="D4824" s="130">
        <v>16</v>
      </c>
      <c r="E4824" s="130">
        <v>650</v>
      </c>
      <c r="F4824" s="1031">
        <v>0</v>
      </c>
      <c r="G4824" s="1031">
        <v>420</v>
      </c>
      <c r="H4824" s="1031">
        <v>420</v>
      </c>
      <c r="I4824" s="1032" t="s">
        <v>1296</v>
      </c>
    </row>
    <row r="4825" spans="1:9" x14ac:dyDescent="0.25">
      <c r="A4825" s="1033"/>
      <c r="C4825" s="130" t="s">
        <v>1302</v>
      </c>
      <c r="D4825" s="130">
        <v>16</v>
      </c>
      <c r="E4825" s="130" t="s">
        <v>1303</v>
      </c>
      <c r="F4825" s="1031">
        <v>0</v>
      </c>
      <c r="G4825" s="1031">
        <v>210</v>
      </c>
      <c r="H4825" s="1031">
        <v>210</v>
      </c>
      <c r="I4825" s="1032" t="s">
        <v>1304</v>
      </c>
    </row>
    <row r="4826" spans="1:9" x14ac:dyDescent="0.25">
      <c r="A4826" s="1033"/>
      <c r="C4826" s="130" t="s">
        <v>1302</v>
      </c>
      <c r="D4826" s="130">
        <v>16</v>
      </c>
      <c r="E4826" s="130" t="s">
        <v>1305</v>
      </c>
      <c r="F4826" s="1031">
        <v>0</v>
      </c>
      <c r="G4826" s="1031">
        <v>-1197</v>
      </c>
      <c r="H4826" s="1031">
        <v>-1197</v>
      </c>
      <c r="I4826" s="1032" t="s">
        <v>1306</v>
      </c>
    </row>
    <row r="4827" spans="1:9" x14ac:dyDescent="0.25">
      <c r="A4827" s="1033"/>
      <c r="C4827" s="130" t="s">
        <v>1302</v>
      </c>
      <c r="D4827" s="130">
        <v>16</v>
      </c>
      <c r="E4827" s="130" t="s">
        <v>1307</v>
      </c>
      <c r="F4827" s="1031">
        <v>0</v>
      </c>
      <c r="G4827" s="1031">
        <v>-1898.33</v>
      </c>
      <c r="H4827" s="1031">
        <v>-1898.33</v>
      </c>
      <c r="I4827" s="1032" t="s">
        <v>1308</v>
      </c>
    </row>
    <row r="4828" spans="1:9" x14ac:dyDescent="0.25">
      <c r="A4828" s="1033"/>
      <c r="C4828" s="130">
        <v>452</v>
      </c>
      <c r="D4828" s="130">
        <v>16</v>
      </c>
      <c r="E4828" s="130">
        <v>452</v>
      </c>
      <c r="F4828" s="1031">
        <v>0</v>
      </c>
      <c r="G4828" s="1031">
        <v>-6829</v>
      </c>
      <c r="H4828" s="1031">
        <v>-6829</v>
      </c>
      <c r="I4828" s="1032" t="s">
        <v>1311</v>
      </c>
    </row>
    <row r="4829" spans="1:9" x14ac:dyDescent="0.25">
      <c r="A4829" s="1033"/>
      <c r="C4829" s="130">
        <v>652</v>
      </c>
      <c r="D4829" s="130">
        <v>16</v>
      </c>
      <c r="E4829" s="130">
        <v>652</v>
      </c>
      <c r="F4829" s="1031">
        <v>0</v>
      </c>
      <c r="G4829" s="1031">
        <v>4329</v>
      </c>
      <c r="H4829" s="1031">
        <v>4329</v>
      </c>
      <c r="I4829" s="1032" t="s">
        <v>1312</v>
      </c>
    </row>
    <row r="4830" spans="1:9" x14ac:dyDescent="0.25">
      <c r="A4830" s="1033"/>
      <c r="C4830" s="130" t="s">
        <v>1315</v>
      </c>
      <c r="D4830" s="130">
        <v>16</v>
      </c>
      <c r="E4830" s="130" t="s">
        <v>1315</v>
      </c>
      <c r="F4830" s="1031">
        <v>0</v>
      </c>
      <c r="G4830" s="1031">
        <v>-7417.19</v>
      </c>
      <c r="H4830" s="1031">
        <v>-7417.19</v>
      </c>
      <c r="I4830" s="1032" t="s">
        <v>1316</v>
      </c>
    </row>
    <row r="4831" spans="1:9" x14ac:dyDescent="0.25">
      <c r="A4831" s="1033"/>
      <c r="C4831" s="130" t="s">
        <v>1317</v>
      </c>
      <c r="D4831" s="130">
        <v>16</v>
      </c>
      <c r="E4831" s="130" t="s">
        <v>1317</v>
      </c>
      <c r="F4831" s="1031">
        <v>0</v>
      </c>
      <c r="G4831" s="1031">
        <v>6103</v>
      </c>
      <c r="H4831" s="1031">
        <v>6103</v>
      </c>
      <c r="I4831" s="1032" t="s">
        <v>1318</v>
      </c>
    </row>
    <row r="4832" spans="1:9" x14ac:dyDescent="0.25">
      <c r="A4832" s="1033"/>
      <c r="C4832" s="130">
        <v>442</v>
      </c>
      <c r="D4832" s="130">
        <v>16</v>
      </c>
      <c r="E4832" s="130">
        <v>442</v>
      </c>
      <c r="F4832" s="1031">
        <v>0</v>
      </c>
      <c r="G4832" s="1031">
        <v>-108991</v>
      </c>
      <c r="H4832" s="1031">
        <v>-108991</v>
      </c>
      <c r="I4832" s="1032" t="s">
        <v>1321</v>
      </c>
    </row>
    <row r="4833" spans="1:9" x14ac:dyDescent="0.25">
      <c r="A4833" s="1033"/>
      <c r="C4833" s="130">
        <v>642</v>
      </c>
      <c r="D4833" s="130">
        <v>16</v>
      </c>
      <c r="E4833" s="130">
        <v>642</v>
      </c>
      <c r="F4833" s="1031">
        <v>0</v>
      </c>
      <c r="G4833" s="1031">
        <v>98891.09</v>
      </c>
      <c r="H4833" s="1031">
        <v>98891.09</v>
      </c>
      <c r="I4833" s="1032" t="s">
        <v>1322</v>
      </c>
    </row>
    <row r="4834" spans="1:9" x14ac:dyDescent="0.25">
      <c r="A4834" s="1033"/>
      <c r="C4834" s="130">
        <v>643</v>
      </c>
      <c r="D4834" s="130">
        <v>16</v>
      </c>
      <c r="E4834" s="130">
        <v>643</v>
      </c>
      <c r="F4834" s="1031">
        <v>0</v>
      </c>
      <c r="G4834" s="1031">
        <v>4886.08</v>
      </c>
      <c r="H4834" s="1031">
        <v>4886.08</v>
      </c>
      <c r="I4834" s="1032" t="s">
        <v>1884</v>
      </c>
    </row>
    <row r="4835" spans="1:9" x14ac:dyDescent="0.25">
      <c r="A4835" s="1033"/>
      <c r="C4835" s="130" t="s">
        <v>1887</v>
      </c>
      <c r="D4835" s="130">
        <v>16</v>
      </c>
      <c r="E4835" s="130" t="s">
        <v>1887</v>
      </c>
      <c r="F4835" s="1031">
        <v>0</v>
      </c>
      <c r="G4835" s="1031">
        <v>263964.26</v>
      </c>
      <c r="H4835" s="1031">
        <v>263964.26</v>
      </c>
      <c r="I4835" s="1032" t="s">
        <v>1888</v>
      </c>
    </row>
    <row r="4836" spans="1:9" x14ac:dyDescent="0.25">
      <c r="A4836" s="1033"/>
      <c r="C4836" s="130" t="s">
        <v>1885</v>
      </c>
      <c r="D4836" s="130">
        <v>16</v>
      </c>
      <c r="E4836" s="130" t="s">
        <v>1885</v>
      </c>
      <c r="F4836" s="1031">
        <v>0</v>
      </c>
      <c r="G4836" s="1031">
        <v>-267800</v>
      </c>
      <c r="H4836" s="1031">
        <v>-267800</v>
      </c>
      <c r="I4836" s="1032" t="s">
        <v>1886</v>
      </c>
    </row>
    <row r="4837" spans="1:9" x14ac:dyDescent="0.25">
      <c r="A4837" s="1033"/>
      <c r="C4837" s="130">
        <v>451</v>
      </c>
      <c r="D4837" s="130">
        <v>16</v>
      </c>
      <c r="E4837" s="130">
        <v>451</v>
      </c>
      <c r="F4837" s="1031">
        <v>0</v>
      </c>
      <c r="G4837" s="1031">
        <v>-798</v>
      </c>
      <c r="H4837" s="1031">
        <v>-798</v>
      </c>
      <c r="I4837" s="1032" t="s">
        <v>1889</v>
      </c>
    </row>
    <row r="4838" spans="1:9" x14ac:dyDescent="0.25">
      <c r="A4838" s="1033"/>
      <c r="C4838" s="130">
        <v>453</v>
      </c>
      <c r="D4838" s="130">
        <v>16</v>
      </c>
      <c r="E4838" s="130">
        <v>453</v>
      </c>
      <c r="F4838" s="1031">
        <v>0</v>
      </c>
      <c r="G4838" s="1031">
        <v>-675</v>
      </c>
      <c r="H4838" s="1031">
        <v>-675</v>
      </c>
      <c r="I4838" s="1032" t="s">
        <v>1890</v>
      </c>
    </row>
    <row r="4839" spans="1:9" x14ac:dyDescent="0.25">
      <c r="A4839" s="1033"/>
      <c r="C4839" s="130">
        <v>651</v>
      </c>
      <c r="D4839" s="130">
        <v>16</v>
      </c>
      <c r="E4839" s="130">
        <v>651</v>
      </c>
      <c r="F4839" s="1031">
        <v>0</v>
      </c>
      <c r="G4839" s="1031">
        <v>140</v>
      </c>
      <c r="H4839" s="1031">
        <v>140</v>
      </c>
      <c r="I4839" s="1032" t="s">
        <v>1891</v>
      </c>
    </row>
    <row r="4840" spans="1:9" x14ac:dyDescent="0.25">
      <c r="A4840" s="1033">
        <v>707924</v>
      </c>
      <c r="B4840" s="129">
        <v>877325</v>
      </c>
      <c r="E4840" s="130"/>
    </row>
    <row r="4841" spans="1:9" x14ac:dyDescent="0.25">
      <c r="A4841" s="1033">
        <v>707926</v>
      </c>
      <c r="B4841" s="129">
        <v>46136</v>
      </c>
      <c r="C4841" s="130" t="s">
        <v>1252</v>
      </c>
      <c r="D4841" s="130">
        <v>16</v>
      </c>
      <c r="E4841" s="130" t="s">
        <v>1252</v>
      </c>
      <c r="F4841" s="1031">
        <v>0</v>
      </c>
      <c r="G4841" s="1031">
        <v>-156545.9</v>
      </c>
      <c r="H4841" s="1031">
        <v>-156545.9</v>
      </c>
      <c r="I4841" s="1032" t="s">
        <v>1253</v>
      </c>
    </row>
    <row r="4842" spans="1:9" x14ac:dyDescent="0.25">
      <c r="A4842" s="1033"/>
      <c r="C4842" s="130" t="s">
        <v>1254</v>
      </c>
      <c r="D4842" s="130">
        <v>16</v>
      </c>
      <c r="E4842" s="130" t="s">
        <v>1254</v>
      </c>
      <c r="F4842" s="1031">
        <v>0</v>
      </c>
      <c r="G4842" s="1031">
        <v>-124587.36</v>
      </c>
      <c r="H4842" s="1031">
        <v>-124587.36</v>
      </c>
      <c r="I4842" s="1032" t="s">
        <v>1255</v>
      </c>
    </row>
    <row r="4843" spans="1:9" x14ac:dyDescent="0.25">
      <c r="A4843" s="1033"/>
      <c r="C4843" s="130" t="s">
        <v>1256</v>
      </c>
      <c r="D4843" s="130">
        <v>16</v>
      </c>
      <c r="E4843" s="130" t="s">
        <v>1256</v>
      </c>
      <c r="F4843" s="1031">
        <v>0</v>
      </c>
      <c r="G4843" s="1031">
        <v>147238.17000000001</v>
      </c>
      <c r="H4843" s="1031">
        <v>147238.17000000001</v>
      </c>
      <c r="I4843" s="1032" t="s">
        <v>1257</v>
      </c>
    </row>
    <row r="4844" spans="1:9" x14ac:dyDescent="0.25">
      <c r="A4844" s="1033"/>
      <c r="C4844" s="130" t="s">
        <v>1258</v>
      </c>
      <c r="D4844" s="130">
        <v>16</v>
      </c>
      <c r="E4844" s="130" t="s">
        <v>1258</v>
      </c>
      <c r="F4844" s="1031">
        <v>0</v>
      </c>
      <c r="G4844" s="1031">
        <v>110639.33</v>
      </c>
      <c r="H4844" s="1031">
        <v>110639.33</v>
      </c>
      <c r="I4844" s="1032" t="s">
        <v>1259</v>
      </c>
    </row>
    <row r="4845" spans="1:9" x14ac:dyDescent="0.25">
      <c r="A4845" s="1033"/>
      <c r="C4845" s="130" t="s">
        <v>1260</v>
      </c>
      <c r="D4845" s="130">
        <v>16</v>
      </c>
      <c r="E4845" s="130" t="s">
        <v>1260</v>
      </c>
      <c r="F4845" s="1031">
        <v>0</v>
      </c>
      <c r="G4845" s="1031">
        <v>2432.12</v>
      </c>
      <c r="H4845" s="1031">
        <v>2432.12</v>
      </c>
      <c r="I4845" s="1032" t="s">
        <v>1261</v>
      </c>
    </row>
    <row r="4846" spans="1:9" x14ac:dyDescent="0.25">
      <c r="A4846" s="1033"/>
      <c r="C4846" s="130" t="s">
        <v>1262</v>
      </c>
      <c r="D4846" s="130">
        <v>16</v>
      </c>
      <c r="E4846" s="130" t="s">
        <v>1262</v>
      </c>
      <c r="F4846" s="1031">
        <v>0</v>
      </c>
      <c r="G4846" s="1031">
        <v>5723.83</v>
      </c>
      <c r="H4846" s="1031">
        <v>5723.83</v>
      </c>
      <c r="I4846" s="1032" t="s">
        <v>1263</v>
      </c>
    </row>
    <row r="4847" spans="1:9" x14ac:dyDescent="0.25">
      <c r="A4847" s="1033"/>
      <c r="C4847" s="130" t="s">
        <v>1268</v>
      </c>
      <c r="D4847" s="130">
        <v>16</v>
      </c>
      <c r="E4847" s="130" t="s">
        <v>1268</v>
      </c>
      <c r="F4847" s="1031">
        <v>0</v>
      </c>
      <c r="G4847" s="1031">
        <v>-23684</v>
      </c>
      <c r="H4847" s="1031">
        <v>-23684</v>
      </c>
      <c r="I4847" s="1032" t="s">
        <v>1269</v>
      </c>
    </row>
    <row r="4848" spans="1:9" x14ac:dyDescent="0.25">
      <c r="A4848" s="1033"/>
      <c r="C4848" s="130" t="s">
        <v>1270</v>
      </c>
      <c r="D4848" s="130">
        <v>16</v>
      </c>
      <c r="E4848" s="130" t="s">
        <v>1270</v>
      </c>
      <c r="F4848" s="1031">
        <v>0</v>
      </c>
      <c r="G4848" s="1031">
        <v>-42500</v>
      </c>
      <c r="H4848" s="1031">
        <v>-42500</v>
      </c>
      <c r="I4848" s="1032" t="s">
        <v>1271</v>
      </c>
    </row>
    <row r="4849" spans="1:9" x14ac:dyDescent="0.25">
      <c r="A4849" s="1033"/>
      <c r="C4849" s="130" t="s">
        <v>1272</v>
      </c>
      <c r="D4849" s="130">
        <v>16</v>
      </c>
      <c r="E4849" s="130" t="s">
        <v>1272</v>
      </c>
      <c r="F4849" s="1031">
        <v>0</v>
      </c>
      <c r="G4849" s="1031">
        <v>22351.67</v>
      </c>
      <c r="H4849" s="1031">
        <v>22351.67</v>
      </c>
      <c r="I4849" s="1032" t="s">
        <v>1273</v>
      </c>
    </row>
    <row r="4850" spans="1:9" x14ac:dyDescent="0.25">
      <c r="A4850" s="1033"/>
      <c r="C4850" s="130" t="s">
        <v>1274</v>
      </c>
      <c r="D4850" s="130">
        <v>16</v>
      </c>
      <c r="E4850" s="130" t="s">
        <v>1274</v>
      </c>
      <c r="F4850" s="1031">
        <v>0</v>
      </c>
      <c r="G4850" s="1031">
        <v>35931.440000000002</v>
      </c>
      <c r="H4850" s="1031">
        <v>35931.440000000002</v>
      </c>
      <c r="I4850" s="1032" t="s">
        <v>1275</v>
      </c>
    </row>
    <row r="4851" spans="1:9" x14ac:dyDescent="0.25">
      <c r="A4851" s="1033"/>
      <c r="C4851" s="130" t="s">
        <v>1276</v>
      </c>
      <c r="D4851" s="130">
        <v>16</v>
      </c>
      <c r="E4851" s="130" t="s">
        <v>1276</v>
      </c>
      <c r="F4851" s="1031">
        <v>0</v>
      </c>
      <c r="G4851" s="1031">
        <v>1332.33</v>
      </c>
      <c r="H4851" s="1031">
        <v>1332.33</v>
      </c>
      <c r="I4851" s="1032" t="s">
        <v>1277</v>
      </c>
    </row>
    <row r="4852" spans="1:9" x14ac:dyDescent="0.25">
      <c r="A4852" s="1033"/>
      <c r="C4852" s="130" t="s">
        <v>1278</v>
      </c>
      <c r="D4852" s="130">
        <v>16</v>
      </c>
      <c r="E4852" s="130" t="s">
        <v>1278</v>
      </c>
      <c r="F4852" s="1031">
        <v>0</v>
      </c>
      <c r="G4852" s="1031">
        <v>5173.7700000000004</v>
      </c>
      <c r="H4852" s="1031">
        <v>5173.7700000000004</v>
      </c>
      <c r="I4852" s="1032" t="s">
        <v>1279</v>
      </c>
    </row>
    <row r="4853" spans="1:9" x14ac:dyDescent="0.25">
      <c r="A4853" s="1033"/>
      <c r="C4853" s="130" t="s">
        <v>1282</v>
      </c>
      <c r="D4853" s="130">
        <v>16</v>
      </c>
      <c r="E4853" s="130" t="s">
        <v>1282</v>
      </c>
      <c r="F4853" s="1031">
        <v>0</v>
      </c>
      <c r="G4853" s="1031">
        <v>-123000</v>
      </c>
      <c r="H4853" s="1031">
        <v>-123000</v>
      </c>
      <c r="I4853" s="1032" t="s">
        <v>1283</v>
      </c>
    </row>
    <row r="4854" spans="1:9" x14ac:dyDescent="0.25">
      <c r="A4854" s="1033"/>
      <c r="C4854" s="130" t="s">
        <v>1284</v>
      </c>
      <c r="D4854" s="130">
        <v>16</v>
      </c>
      <c r="E4854" s="130" t="s">
        <v>1284</v>
      </c>
      <c r="F4854" s="1031">
        <v>0</v>
      </c>
      <c r="G4854" s="1031">
        <v>90.83</v>
      </c>
      <c r="H4854" s="1031">
        <v>90.83</v>
      </c>
      <c r="I4854" s="1032" t="s">
        <v>1285</v>
      </c>
    </row>
    <row r="4855" spans="1:9" x14ac:dyDescent="0.25">
      <c r="A4855" s="1033"/>
      <c r="C4855" s="130" t="s">
        <v>1286</v>
      </c>
      <c r="D4855" s="130">
        <v>16</v>
      </c>
      <c r="E4855" s="130" t="s">
        <v>1286</v>
      </c>
      <c r="F4855" s="1031">
        <v>0</v>
      </c>
      <c r="G4855" s="1031">
        <v>121962.32</v>
      </c>
      <c r="H4855" s="1031">
        <v>121962.32</v>
      </c>
      <c r="I4855" s="1032" t="s">
        <v>1287</v>
      </c>
    </row>
    <row r="4856" spans="1:9" x14ac:dyDescent="0.25">
      <c r="A4856" s="1033"/>
      <c r="C4856" s="130">
        <v>450</v>
      </c>
      <c r="D4856" s="130">
        <v>16</v>
      </c>
      <c r="E4856" s="130" t="s">
        <v>220</v>
      </c>
      <c r="F4856" s="1031">
        <v>0</v>
      </c>
      <c r="G4856" s="1031">
        <v>-4879.12</v>
      </c>
      <c r="H4856" s="1031">
        <v>-4879.12</v>
      </c>
      <c r="I4856" s="1032" t="s">
        <v>1292</v>
      </c>
    </row>
    <row r="4857" spans="1:9" x14ac:dyDescent="0.25">
      <c r="A4857" s="1033"/>
      <c r="C4857" s="130">
        <v>450</v>
      </c>
      <c r="D4857" s="130">
        <v>16</v>
      </c>
      <c r="E4857" s="130">
        <v>450</v>
      </c>
      <c r="F4857" s="1031">
        <v>0</v>
      </c>
      <c r="G4857" s="1031">
        <v>-2394</v>
      </c>
      <c r="H4857" s="1031">
        <v>-2394</v>
      </c>
      <c r="I4857" s="1032" t="s">
        <v>1293</v>
      </c>
    </row>
    <row r="4858" spans="1:9" x14ac:dyDescent="0.25">
      <c r="A4858" s="1033"/>
      <c r="C4858" s="130">
        <v>450</v>
      </c>
      <c r="D4858" s="130">
        <v>16</v>
      </c>
      <c r="E4858" s="130" t="s">
        <v>1294</v>
      </c>
      <c r="F4858" s="1031">
        <v>0</v>
      </c>
      <c r="G4858" s="1031">
        <v>-4760</v>
      </c>
      <c r="H4858" s="1031">
        <v>-4760</v>
      </c>
      <c r="I4858" s="1032" t="s">
        <v>1295</v>
      </c>
    </row>
    <row r="4859" spans="1:9" x14ac:dyDescent="0.25">
      <c r="A4859" s="1033"/>
      <c r="C4859" s="130">
        <v>450</v>
      </c>
      <c r="D4859" s="130">
        <v>16</v>
      </c>
      <c r="E4859" s="130">
        <v>650</v>
      </c>
      <c r="F4859" s="1031">
        <v>0</v>
      </c>
      <c r="G4859" s="1031">
        <v>420</v>
      </c>
      <c r="H4859" s="1031">
        <v>420</v>
      </c>
      <c r="I4859" s="1032" t="s">
        <v>1296</v>
      </c>
    </row>
    <row r="4860" spans="1:9" x14ac:dyDescent="0.25">
      <c r="A4860" s="1033"/>
      <c r="C4860" s="130" t="s">
        <v>1302</v>
      </c>
      <c r="D4860" s="130">
        <v>16</v>
      </c>
      <c r="E4860" s="130" t="s">
        <v>1303</v>
      </c>
      <c r="F4860" s="1031">
        <v>0</v>
      </c>
      <c r="G4860" s="1031">
        <v>210</v>
      </c>
      <c r="H4860" s="1031">
        <v>210</v>
      </c>
      <c r="I4860" s="1032" t="s">
        <v>1304</v>
      </c>
    </row>
    <row r="4861" spans="1:9" x14ac:dyDescent="0.25">
      <c r="A4861" s="1033"/>
      <c r="C4861" s="130" t="s">
        <v>1302</v>
      </c>
      <c r="D4861" s="130">
        <v>16</v>
      </c>
      <c r="E4861" s="130" t="s">
        <v>1305</v>
      </c>
      <c r="F4861" s="1031">
        <v>0</v>
      </c>
      <c r="G4861" s="1031">
        <v>-1197</v>
      </c>
      <c r="H4861" s="1031">
        <v>-1197</v>
      </c>
      <c r="I4861" s="1032" t="s">
        <v>1306</v>
      </c>
    </row>
    <row r="4862" spans="1:9" x14ac:dyDescent="0.25">
      <c r="A4862" s="1033"/>
      <c r="C4862" s="130" t="s">
        <v>1302</v>
      </c>
      <c r="D4862" s="130">
        <v>16</v>
      </c>
      <c r="E4862" s="130" t="s">
        <v>1307</v>
      </c>
      <c r="F4862" s="1031">
        <v>0</v>
      </c>
      <c r="G4862" s="1031">
        <v>-1898.33</v>
      </c>
      <c r="H4862" s="1031">
        <v>-1898.33</v>
      </c>
      <c r="I4862" s="1032" t="s">
        <v>1308</v>
      </c>
    </row>
    <row r="4863" spans="1:9" x14ac:dyDescent="0.25">
      <c r="A4863" s="1033"/>
      <c r="C4863" s="130">
        <v>452</v>
      </c>
      <c r="D4863" s="130">
        <v>16</v>
      </c>
      <c r="E4863" s="130">
        <v>452</v>
      </c>
      <c r="F4863" s="1031">
        <v>0</v>
      </c>
      <c r="G4863" s="1031">
        <v>-6829</v>
      </c>
      <c r="H4863" s="1031">
        <v>-6829</v>
      </c>
      <c r="I4863" s="1032" t="s">
        <v>1311</v>
      </c>
    </row>
    <row r="4864" spans="1:9" x14ac:dyDescent="0.25">
      <c r="A4864" s="1033"/>
      <c r="C4864" s="130">
        <v>652</v>
      </c>
      <c r="D4864" s="130">
        <v>16</v>
      </c>
      <c r="E4864" s="130">
        <v>652</v>
      </c>
      <c r="F4864" s="1031">
        <v>0</v>
      </c>
      <c r="G4864" s="1031">
        <v>4329</v>
      </c>
      <c r="H4864" s="1031">
        <v>4329</v>
      </c>
      <c r="I4864" s="1032" t="s">
        <v>1312</v>
      </c>
    </row>
    <row r="4865" spans="1:9" x14ac:dyDescent="0.25">
      <c r="A4865" s="1033"/>
      <c r="C4865" s="130" t="s">
        <v>1315</v>
      </c>
      <c r="D4865" s="130">
        <v>16</v>
      </c>
      <c r="E4865" s="130" t="s">
        <v>1315</v>
      </c>
      <c r="F4865" s="1031">
        <v>0</v>
      </c>
      <c r="G4865" s="1031">
        <v>-7417.19</v>
      </c>
      <c r="H4865" s="1031">
        <v>-7417.19</v>
      </c>
      <c r="I4865" s="1032" t="s">
        <v>1316</v>
      </c>
    </row>
    <row r="4866" spans="1:9" x14ac:dyDescent="0.25">
      <c r="A4866" s="1033"/>
      <c r="C4866" s="130" t="s">
        <v>1317</v>
      </c>
      <c r="D4866" s="130">
        <v>16</v>
      </c>
      <c r="E4866" s="130" t="s">
        <v>1317</v>
      </c>
      <c r="F4866" s="1031">
        <v>0</v>
      </c>
      <c r="G4866" s="1031">
        <v>6103</v>
      </c>
      <c r="H4866" s="1031">
        <v>6103</v>
      </c>
      <c r="I4866" s="1032" t="s">
        <v>1318</v>
      </c>
    </row>
    <row r="4867" spans="1:9" x14ac:dyDescent="0.25">
      <c r="A4867" s="1033"/>
      <c r="C4867" s="130">
        <v>442</v>
      </c>
      <c r="D4867" s="130">
        <v>16</v>
      </c>
      <c r="E4867" s="130">
        <v>442</v>
      </c>
      <c r="F4867" s="1031">
        <v>0</v>
      </c>
      <c r="G4867" s="1031">
        <v>-108991</v>
      </c>
      <c r="H4867" s="1031">
        <v>-108991</v>
      </c>
      <c r="I4867" s="1032" t="s">
        <v>1321</v>
      </c>
    </row>
    <row r="4868" spans="1:9" x14ac:dyDescent="0.25">
      <c r="A4868" s="1033"/>
      <c r="C4868" s="130">
        <v>642</v>
      </c>
      <c r="D4868" s="130">
        <v>16</v>
      </c>
      <c r="E4868" s="130">
        <v>642</v>
      </c>
      <c r="F4868" s="1031">
        <v>0</v>
      </c>
      <c r="G4868" s="1031">
        <v>98891.09</v>
      </c>
      <c r="H4868" s="1031">
        <v>98891.09</v>
      </c>
      <c r="I4868" s="1032" t="s">
        <v>1322</v>
      </c>
    </row>
    <row r="4869" spans="1:9" x14ac:dyDescent="0.25">
      <c r="A4869" s="1033"/>
      <c r="C4869" s="130">
        <v>643</v>
      </c>
      <c r="D4869" s="130">
        <v>16</v>
      </c>
      <c r="E4869" s="130">
        <v>643</v>
      </c>
      <c r="F4869" s="1031">
        <v>0</v>
      </c>
      <c r="G4869" s="1031">
        <v>4886.08</v>
      </c>
      <c r="H4869" s="1031">
        <v>4886.08</v>
      </c>
      <c r="I4869" s="1032" t="s">
        <v>1884</v>
      </c>
    </row>
    <row r="4870" spans="1:9" x14ac:dyDescent="0.25">
      <c r="A4870" s="1033"/>
      <c r="C4870" s="130" t="s">
        <v>1887</v>
      </c>
      <c r="D4870" s="130">
        <v>16</v>
      </c>
      <c r="E4870" s="130" t="s">
        <v>1887</v>
      </c>
      <c r="F4870" s="1031">
        <v>0</v>
      </c>
      <c r="G4870" s="1031">
        <v>263964.26</v>
      </c>
      <c r="H4870" s="1031">
        <v>263964.26</v>
      </c>
      <c r="I4870" s="1032" t="s">
        <v>1888</v>
      </c>
    </row>
    <row r="4871" spans="1:9" x14ac:dyDescent="0.25">
      <c r="A4871" s="1033"/>
      <c r="C4871" s="130" t="s">
        <v>1885</v>
      </c>
      <c r="D4871" s="130">
        <v>16</v>
      </c>
      <c r="E4871" s="130" t="s">
        <v>1885</v>
      </c>
      <c r="F4871" s="1031">
        <v>0</v>
      </c>
      <c r="G4871" s="1031">
        <v>-267800</v>
      </c>
      <c r="H4871" s="1031">
        <v>-267800</v>
      </c>
      <c r="I4871" s="1032" t="s">
        <v>1886</v>
      </c>
    </row>
    <row r="4872" spans="1:9" x14ac:dyDescent="0.25">
      <c r="A4872" s="1033"/>
      <c r="C4872" s="130">
        <v>451</v>
      </c>
      <c r="D4872" s="130">
        <v>16</v>
      </c>
      <c r="E4872" s="130">
        <v>451</v>
      </c>
      <c r="F4872" s="1031">
        <v>0</v>
      </c>
      <c r="G4872" s="1031">
        <v>-798</v>
      </c>
      <c r="H4872" s="1031">
        <v>-798</v>
      </c>
      <c r="I4872" s="1032" t="s">
        <v>1889</v>
      </c>
    </row>
    <row r="4873" spans="1:9" x14ac:dyDescent="0.25">
      <c r="A4873" s="1033"/>
      <c r="C4873" s="130">
        <v>453</v>
      </c>
      <c r="D4873" s="130">
        <v>16</v>
      </c>
      <c r="E4873" s="130">
        <v>453</v>
      </c>
      <c r="F4873" s="1031">
        <v>0</v>
      </c>
      <c r="G4873" s="1031">
        <v>-675</v>
      </c>
      <c r="H4873" s="1031">
        <v>-675</v>
      </c>
      <c r="I4873" s="1032" t="s">
        <v>1890</v>
      </c>
    </row>
    <row r="4874" spans="1:9" x14ac:dyDescent="0.25">
      <c r="A4874" s="1033"/>
      <c r="C4874" s="130">
        <v>651</v>
      </c>
      <c r="D4874" s="130">
        <v>16</v>
      </c>
      <c r="E4874" s="130">
        <v>651</v>
      </c>
      <c r="F4874" s="1031">
        <v>0</v>
      </c>
      <c r="G4874" s="1031">
        <v>140</v>
      </c>
      <c r="H4874" s="1031">
        <v>140</v>
      </c>
      <c r="I4874" s="1032" t="s">
        <v>1891</v>
      </c>
    </row>
    <row r="4875" spans="1:9" x14ac:dyDescent="0.25">
      <c r="A4875" s="1033">
        <v>602912</v>
      </c>
      <c r="B4875" s="129">
        <v>0</v>
      </c>
      <c r="E4875" s="130"/>
    </row>
    <row r="4876" spans="1:9" x14ac:dyDescent="0.25">
      <c r="A4876" s="1033">
        <v>602914</v>
      </c>
      <c r="B4876" s="129">
        <v>0</v>
      </c>
      <c r="E4876" s="130"/>
    </row>
    <row r="4877" spans="1:9" x14ac:dyDescent="0.25">
      <c r="A4877" s="1033">
        <v>602916</v>
      </c>
      <c r="B4877" s="129">
        <v>0</v>
      </c>
      <c r="E4877" s="130"/>
    </row>
    <row r="4878" spans="1:9" x14ac:dyDescent="0.25">
      <c r="A4878" s="1033">
        <v>602918</v>
      </c>
      <c r="B4878" s="129">
        <v>0</v>
      </c>
      <c r="E4878" s="130"/>
    </row>
    <row r="4879" spans="1:9" x14ac:dyDescent="0.25">
      <c r="A4879" s="1033">
        <v>602922</v>
      </c>
      <c r="B4879" s="129">
        <v>0</v>
      </c>
      <c r="E4879" s="130"/>
    </row>
    <row r="4880" spans="1:9" x14ac:dyDescent="0.25">
      <c r="A4880" s="1033">
        <v>602924</v>
      </c>
      <c r="B4880" s="129">
        <v>0</v>
      </c>
      <c r="E4880" s="130"/>
    </row>
    <row r="4881" spans="1:9" x14ac:dyDescent="0.25">
      <c r="A4881" s="1033">
        <v>602926</v>
      </c>
      <c r="B4881" s="129">
        <v>0</v>
      </c>
      <c r="E4881" s="130"/>
    </row>
    <row r="4882" spans="1:9" x14ac:dyDescent="0.25">
      <c r="A4882" s="1033">
        <v>602928</v>
      </c>
      <c r="B4882" s="129">
        <v>0</v>
      </c>
      <c r="E4882" s="130"/>
    </row>
    <row r="4883" spans="1:9" x14ac:dyDescent="0.25">
      <c r="A4883" s="1033">
        <v>603512</v>
      </c>
      <c r="B4883" s="129">
        <v>0</v>
      </c>
      <c r="E4883" s="130"/>
    </row>
    <row r="4884" spans="1:9" x14ac:dyDescent="0.25">
      <c r="A4884" s="1033">
        <v>603514</v>
      </c>
      <c r="B4884" s="129">
        <v>0</v>
      </c>
      <c r="E4884" s="130"/>
    </row>
    <row r="4885" spans="1:9" x14ac:dyDescent="0.25">
      <c r="A4885" s="1033">
        <v>603516</v>
      </c>
      <c r="B4885" s="129">
        <v>0</v>
      </c>
      <c r="E4885" s="130"/>
    </row>
    <row r="4886" spans="1:9" x14ac:dyDescent="0.25">
      <c r="A4886" s="1033">
        <v>603518</v>
      </c>
      <c r="B4886" s="129">
        <v>0</v>
      </c>
      <c r="E4886" s="130"/>
    </row>
    <row r="4887" spans="1:9" x14ac:dyDescent="0.25">
      <c r="A4887" s="1033">
        <v>603522</v>
      </c>
      <c r="B4887" s="129">
        <v>0</v>
      </c>
      <c r="E4887" s="130"/>
    </row>
    <row r="4888" spans="1:9" x14ac:dyDescent="0.25">
      <c r="A4888" s="1033">
        <v>603524</v>
      </c>
      <c r="B4888" s="129">
        <v>0</v>
      </c>
      <c r="E4888" s="130"/>
    </row>
    <row r="4889" spans="1:9" x14ac:dyDescent="0.25">
      <c r="A4889" s="1033">
        <v>603526</v>
      </c>
      <c r="B4889" s="129">
        <v>0</v>
      </c>
      <c r="E4889" s="130"/>
    </row>
    <row r="4890" spans="1:9" x14ac:dyDescent="0.25">
      <c r="A4890" s="1033">
        <v>603528</v>
      </c>
      <c r="B4890" s="129">
        <v>0</v>
      </c>
      <c r="E4890" s="130"/>
    </row>
    <row r="4891" spans="1:9" x14ac:dyDescent="0.25">
      <c r="A4891" s="1033">
        <v>604312</v>
      </c>
      <c r="B4891" s="129">
        <v>12</v>
      </c>
      <c r="E4891" s="130"/>
    </row>
    <row r="4892" spans="1:9" x14ac:dyDescent="0.25">
      <c r="A4892" s="1033">
        <v>604314</v>
      </c>
      <c r="B4892" s="129">
        <v>983698</v>
      </c>
      <c r="E4892" s="130"/>
    </row>
    <row r="4893" spans="1:9" x14ac:dyDescent="0.25">
      <c r="A4893" s="1033">
        <v>604316</v>
      </c>
      <c r="B4893" s="129">
        <v>40358</v>
      </c>
      <c r="C4893" s="130" t="s">
        <v>165</v>
      </c>
      <c r="D4893" s="130">
        <v>16</v>
      </c>
      <c r="E4893" s="130" t="s">
        <v>165</v>
      </c>
      <c r="F4893" s="1031">
        <v>0</v>
      </c>
      <c r="G4893" s="1031">
        <v>-71130.86</v>
      </c>
      <c r="H4893" s="1031">
        <v>-71130.86</v>
      </c>
      <c r="I4893" s="1032" t="s">
        <v>1376</v>
      </c>
    </row>
    <row r="4894" spans="1:9" x14ac:dyDescent="0.25">
      <c r="A4894" s="1033"/>
      <c r="C4894" s="130" t="s">
        <v>1377</v>
      </c>
      <c r="D4894" s="130">
        <v>16</v>
      </c>
      <c r="E4894" s="130" t="s">
        <v>1377</v>
      </c>
      <c r="F4894" s="1031">
        <v>0</v>
      </c>
      <c r="G4894" s="1031">
        <v>70143.81</v>
      </c>
      <c r="H4894" s="1031">
        <v>70143.81</v>
      </c>
      <c r="I4894" s="1032" t="s">
        <v>1378</v>
      </c>
    </row>
    <row r="4895" spans="1:9" x14ac:dyDescent="0.25">
      <c r="A4895" s="1033"/>
      <c r="C4895" s="130" t="s">
        <v>57</v>
      </c>
      <c r="D4895" s="130">
        <v>16</v>
      </c>
      <c r="E4895" s="130" t="s">
        <v>57</v>
      </c>
      <c r="F4895" s="1031">
        <v>0</v>
      </c>
      <c r="G4895" s="1031">
        <v>-86373.5</v>
      </c>
      <c r="H4895" s="1031">
        <v>-86373.5</v>
      </c>
      <c r="I4895" s="1032" t="s">
        <v>1380</v>
      </c>
    </row>
    <row r="4896" spans="1:9" x14ac:dyDescent="0.25">
      <c r="A4896" s="1033"/>
      <c r="C4896" s="130" t="s">
        <v>1381</v>
      </c>
      <c r="D4896" s="130">
        <v>16</v>
      </c>
      <c r="E4896" s="130" t="s">
        <v>1381</v>
      </c>
      <c r="F4896" s="1031">
        <v>0</v>
      </c>
      <c r="G4896" s="1031">
        <v>82336.14</v>
      </c>
      <c r="H4896" s="1031">
        <v>82336.14</v>
      </c>
      <c r="I4896" s="1032" t="s">
        <v>1380</v>
      </c>
    </row>
    <row r="4897" spans="1:9" x14ac:dyDescent="0.25">
      <c r="A4897" s="1033"/>
      <c r="C4897" s="130" t="s">
        <v>267</v>
      </c>
      <c r="D4897" s="130">
        <v>16</v>
      </c>
      <c r="E4897" s="130" t="s">
        <v>267</v>
      </c>
      <c r="F4897" s="1031">
        <v>0</v>
      </c>
      <c r="G4897" s="1031">
        <v>-63350.5</v>
      </c>
      <c r="H4897" s="1031">
        <v>-63350.5</v>
      </c>
      <c r="I4897" s="1032" t="s">
        <v>1384</v>
      </c>
    </row>
    <row r="4898" spans="1:9" x14ac:dyDescent="0.25">
      <c r="A4898" s="1033"/>
      <c r="C4898" s="130" t="s">
        <v>1385</v>
      </c>
      <c r="D4898" s="130">
        <v>16</v>
      </c>
      <c r="E4898" s="130" t="s">
        <v>1385</v>
      </c>
      <c r="F4898" s="1031">
        <v>0</v>
      </c>
      <c r="G4898" s="1031">
        <v>62100.5</v>
      </c>
      <c r="H4898" s="1031">
        <v>62100.5</v>
      </c>
      <c r="I4898" s="1032" t="s">
        <v>1386</v>
      </c>
    </row>
    <row r="4899" spans="1:9" x14ac:dyDescent="0.25">
      <c r="A4899" s="1033"/>
      <c r="C4899" s="130" t="s">
        <v>283</v>
      </c>
      <c r="D4899" s="130">
        <v>16</v>
      </c>
      <c r="E4899" s="130" t="s">
        <v>283</v>
      </c>
      <c r="F4899" s="1031">
        <v>0</v>
      </c>
      <c r="G4899" s="1031">
        <v>-73322</v>
      </c>
      <c r="H4899" s="1031">
        <v>-73322</v>
      </c>
      <c r="I4899" s="1032" t="s">
        <v>1389</v>
      </c>
    </row>
    <row r="4900" spans="1:9" x14ac:dyDescent="0.25">
      <c r="A4900" s="1033"/>
      <c r="C4900" s="130" t="s">
        <v>1390</v>
      </c>
      <c r="D4900" s="130">
        <v>16</v>
      </c>
      <c r="E4900" s="130" t="s">
        <v>1390</v>
      </c>
      <c r="F4900" s="1031">
        <v>0</v>
      </c>
      <c r="G4900" s="1031">
        <v>71413.2</v>
      </c>
      <c r="H4900" s="1031">
        <v>71413.2</v>
      </c>
      <c r="I4900" s="1032" t="s">
        <v>1391</v>
      </c>
    </row>
    <row r="4901" spans="1:9" x14ac:dyDescent="0.25">
      <c r="A4901" s="1033"/>
      <c r="C4901" s="130" t="s">
        <v>268</v>
      </c>
      <c r="D4901" s="130">
        <v>16</v>
      </c>
      <c r="E4901" s="130" t="s">
        <v>268</v>
      </c>
      <c r="F4901" s="1031">
        <v>0</v>
      </c>
      <c r="G4901" s="1031">
        <v>-84886.5</v>
      </c>
      <c r="H4901" s="1031">
        <v>-84886.5</v>
      </c>
      <c r="I4901" s="1032" t="s">
        <v>1394</v>
      </c>
    </row>
    <row r="4902" spans="1:9" x14ac:dyDescent="0.25">
      <c r="A4902" s="1033"/>
      <c r="C4902" s="130" t="s">
        <v>1395</v>
      </c>
      <c r="D4902" s="130">
        <v>16</v>
      </c>
      <c r="E4902" s="130" t="s">
        <v>1395</v>
      </c>
      <c r="F4902" s="1031">
        <v>0</v>
      </c>
      <c r="G4902" s="1031">
        <v>78271.8</v>
      </c>
      <c r="H4902" s="1031">
        <v>78271.8</v>
      </c>
      <c r="I4902" s="1032" t="s">
        <v>1396</v>
      </c>
    </row>
    <row r="4903" spans="1:9" x14ac:dyDescent="0.25">
      <c r="A4903" s="1033"/>
      <c r="C4903" s="130">
        <v>432</v>
      </c>
      <c r="D4903" s="130">
        <v>16</v>
      </c>
      <c r="E4903" s="130">
        <v>432</v>
      </c>
      <c r="F4903" s="1031">
        <v>0</v>
      </c>
      <c r="G4903" s="1031">
        <v>-100923.5</v>
      </c>
      <c r="H4903" s="1031">
        <v>-100923.5</v>
      </c>
      <c r="I4903" s="1032" t="s">
        <v>1399</v>
      </c>
    </row>
    <row r="4904" spans="1:9" x14ac:dyDescent="0.25">
      <c r="A4904" s="1033"/>
      <c r="C4904" s="130">
        <v>632</v>
      </c>
      <c r="D4904" s="130">
        <v>16</v>
      </c>
      <c r="E4904" s="130">
        <v>632</v>
      </c>
      <c r="F4904" s="1031">
        <v>0</v>
      </c>
      <c r="G4904" s="1031">
        <v>96040.18</v>
      </c>
      <c r="H4904" s="1031">
        <v>96040.18</v>
      </c>
      <c r="I4904" s="1032" t="s">
        <v>1400</v>
      </c>
    </row>
    <row r="4905" spans="1:9" x14ac:dyDescent="0.25">
      <c r="A4905" s="1033"/>
      <c r="C4905" s="130" t="s">
        <v>291</v>
      </c>
      <c r="D4905" s="130">
        <v>16</v>
      </c>
      <c r="E4905" s="130" t="s">
        <v>291</v>
      </c>
      <c r="F4905" s="1031">
        <v>0</v>
      </c>
      <c r="G4905" s="1031">
        <v>-122189.22</v>
      </c>
      <c r="H4905" s="1031">
        <v>-122189.22</v>
      </c>
      <c r="I4905" s="1032" t="s">
        <v>1403</v>
      </c>
    </row>
    <row r="4906" spans="1:9" x14ac:dyDescent="0.25">
      <c r="A4906" s="1033"/>
      <c r="C4906" s="130" t="s">
        <v>1404</v>
      </c>
      <c r="D4906" s="130">
        <v>16</v>
      </c>
      <c r="E4906" s="130" t="s">
        <v>1404</v>
      </c>
      <c r="F4906" s="1031">
        <v>0</v>
      </c>
      <c r="G4906" s="1031">
        <v>120939.22</v>
      </c>
      <c r="H4906" s="1031">
        <v>120939.22</v>
      </c>
      <c r="I4906" s="1032" t="s">
        <v>1405</v>
      </c>
    </row>
    <row r="4907" spans="1:9" x14ac:dyDescent="0.25">
      <c r="A4907" s="1033"/>
      <c r="C4907" s="130">
        <v>416</v>
      </c>
      <c r="D4907" s="130">
        <v>16</v>
      </c>
      <c r="E4907" s="130">
        <v>416</v>
      </c>
      <c r="F4907" s="1031">
        <v>0</v>
      </c>
      <c r="G4907" s="1031">
        <v>-165736.57999999999</v>
      </c>
      <c r="H4907" s="1031">
        <v>-165736.57999999999</v>
      </c>
      <c r="I4907" s="1032" t="s">
        <v>1331</v>
      </c>
    </row>
    <row r="4908" spans="1:9" x14ac:dyDescent="0.25">
      <c r="A4908" s="1033"/>
      <c r="C4908" s="130">
        <v>616</v>
      </c>
      <c r="D4908" s="130">
        <v>16</v>
      </c>
      <c r="E4908" s="130">
        <v>616</v>
      </c>
      <c r="F4908" s="1031">
        <v>0</v>
      </c>
      <c r="G4908" s="1031">
        <v>158419.29</v>
      </c>
      <c r="H4908" s="1031">
        <v>158419.29</v>
      </c>
      <c r="I4908" s="1032" t="s">
        <v>1332</v>
      </c>
    </row>
    <row r="4909" spans="1:9" x14ac:dyDescent="0.25">
      <c r="A4909" s="1033"/>
      <c r="C4909" s="130" t="s">
        <v>61</v>
      </c>
      <c r="D4909" s="130">
        <v>16</v>
      </c>
      <c r="E4909" s="130" t="s">
        <v>61</v>
      </c>
      <c r="F4909" s="1031">
        <v>0</v>
      </c>
      <c r="G4909" s="1031">
        <v>-215782.6</v>
      </c>
      <c r="H4909" s="1031">
        <v>-215782.6</v>
      </c>
      <c r="I4909" s="1032" t="s">
        <v>1335</v>
      </c>
    </row>
    <row r="4910" spans="1:9" x14ac:dyDescent="0.25">
      <c r="A4910" s="1033"/>
      <c r="C4910" s="130" t="s">
        <v>1336</v>
      </c>
      <c r="D4910" s="130">
        <v>16</v>
      </c>
      <c r="E4910" s="130" t="s">
        <v>1336</v>
      </c>
      <c r="F4910" s="1031">
        <v>0</v>
      </c>
      <c r="G4910" s="1031">
        <v>203675.76</v>
      </c>
      <c r="H4910" s="1031">
        <v>203675.76</v>
      </c>
      <c r="I4910" s="1032" t="s">
        <v>1337</v>
      </c>
    </row>
    <row r="4911" spans="1:9" x14ac:dyDescent="0.25">
      <c r="A4911" s="1033">
        <v>604318</v>
      </c>
      <c r="B4911" s="129">
        <v>3363</v>
      </c>
      <c r="E4911" s="130"/>
    </row>
    <row r="4912" spans="1:9" x14ac:dyDescent="0.25">
      <c r="A4912" s="1033">
        <v>604322</v>
      </c>
      <c r="B4912" s="129">
        <v>12</v>
      </c>
      <c r="E4912" s="130"/>
    </row>
    <row r="4913" spans="1:9" x14ac:dyDescent="0.25">
      <c r="A4913" s="1033">
        <v>604324</v>
      </c>
      <c r="B4913" s="129">
        <v>983698</v>
      </c>
      <c r="E4913" s="130"/>
    </row>
    <row r="4914" spans="1:9" x14ac:dyDescent="0.25">
      <c r="A4914" s="1033">
        <v>604326</v>
      </c>
      <c r="B4914" s="129">
        <v>40358</v>
      </c>
      <c r="C4914" s="130">
        <v>416</v>
      </c>
      <c r="D4914" s="130">
        <v>16</v>
      </c>
      <c r="E4914" s="130">
        <v>416</v>
      </c>
      <c r="F4914" s="1031">
        <v>0</v>
      </c>
      <c r="G4914" s="1031">
        <v>-165736.57999999999</v>
      </c>
      <c r="H4914" s="1031">
        <v>-165736.57999999999</v>
      </c>
      <c r="I4914" s="1032" t="s">
        <v>1331</v>
      </c>
    </row>
    <row r="4915" spans="1:9" x14ac:dyDescent="0.25">
      <c r="A4915" s="1033"/>
      <c r="C4915" s="130">
        <v>616</v>
      </c>
      <c r="D4915" s="130">
        <v>16</v>
      </c>
      <c r="E4915" s="130">
        <v>616</v>
      </c>
      <c r="F4915" s="1031">
        <v>0</v>
      </c>
      <c r="G4915" s="1031">
        <v>158419.29</v>
      </c>
      <c r="H4915" s="1031">
        <v>158419.29</v>
      </c>
      <c r="I4915" s="1032" t="s">
        <v>1332</v>
      </c>
    </row>
    <row r="4916" spans="1:9" x14ac:dyDescent="0.25">
      <c r="A4916" s="1033"/>
      <c r="C4916" s="130" t="s">
        <v>61</v>
      </c>
      <c r="D4916" s="130">
        <v>16</v>
      </c>
      <c r="E4916" s="130" t="s">
        <v>61</v>
      </c>
      <c r="F4916" s="1031">
        <v>0</v>
      </c>
      <c r="G4916" s="1031">
        <v>-215782.6</v>
      </c>
      <c r="H4916" s="1031">
        <v>-215782.6</v>
      </c>
      <c r="I4916" s="1032" t="s">
        <v>1335</v>
      </c>
    </row>
    <row r="4917" spans="1:9" x14ac:dyDescent="0.25">
      <c r="A4917" s="1033"/>
      <c r="C4917" s="130" t="s">
        <v>1336</v>
      </c>
      <c r="D4917" s="130">
        <v>16</v>
      </c>
      <c r="E4917" s="130" t="s">
        <v>1336</v>
      </c>
      <c r="F4917" s="1031">
        <v>0</v>
      </c>
      <c r="G4917" s="1031">
        <v>203675.76</v>
      </c>
      <c r="H4917" s="1031">
        <v>203675.76</v>
      </c>
      <c r="I4917" s="1032" t="s">
        <v>1337</v>
      </c>
    </row>
    <row r="4918" spans="1:9" x14ac:dyDescent="0.25">
      <c r="A4918" s="1033"/>
      <c r="C4918" s="130" t="s">
        <v>165</v>
      </c>
      <c r="D4918" s="130">
        <v>16</v>
      </c>
      <c r="E4918" s="130" t="s">
        <v>165</v>
      </c>
      <c r="F4918" s="1031">
        <v>0</v>
      </c>
      <c r="G4918" s="1031">
        <v>-71130.86</v>
      </c>
      <c r="H4918" s="1031">
        <v>-71130.86</v>
      </c>
      <c r="I4918" s="1032" t="s">
        <v>1376</v>
      </c>
    </row>
    <row r="4919" spans="1:9" x14ac:dyDescent="0.25">
      <c r="A4919" s="1033"/>
      <c r="C4919" s="130" t="s">
        <v>1377</v>
      </c>
      <c r="D4919" s="130">
        <v>16</v>
      </c>
      <c r="E4919" s="130" t="s">
        <v>1377</v>
      </c>
      <c r="F4919" s="1031">
        <v>0</v>
      </c>
      <c r="G4919" s="1031">
        <v>70143.81</v>
      </c>
      <c r="H4919" s="1031">
        <v>70143.81</v>
      </c>
      <c r="I4919" s="1032" t="s">
        <v>1378</v>
      </c>
    </row>
    <row r="4920" spans="1:9" x14ac:dyDescent="0.25">
      <c r="A4920" s="1033"/>
      <c r="C4920" s="130" t="s">
        <v>57</v>
      </c>
      <c r="D4920" s="130">
        <v>16</v>
      </c>
      <c r="E4920" s="130" t="s">
        <v>57</v>
      </c>
      <c r="F4920" s="1031">
        <v>0</v>
      </c>
      <c r="G4920" s="1031">
        <v>-86373.5</v>
      </c>
      <c r="H4920" s="1031">
        <v>-86373.5</v>
      </c>
      <c r="I4920" s="1032" t="s">
        <v>1380</v>
      </c>
    </row>
    <row r="4921" spans="1:9" x14ac:dyDescent="0.25">
      <c r="A4921" s="1033"/>
      <c r="C4921" s="130" t="s">
        <v>1381</v>
      </c>
      <c r="D4921" s="130">
        <v>16</v>
      </c>
      <c r="E4921" s="130" t="s">
        <v>1381</v>
      </c>
      <c r="F4921" s="1031">
        <v>0</v>
      </c>
      <c r="G4921" s="1031">
        <v>82336.14</v>
      </c>
      <c r="H4921" s="1031">
        <v>82336.14</v>
      </c>
      <c r="I4921" s="1032" t="s">
        <v>1380</v>
      </c>
    </row>
    <row r="4922" spans="1:9" x14ac:dyDescent="0.25">
      <c r="A4922" s="1033"/>
      <c r="C4922" s="130" t="s">
        <v>267</v>
      </c>
      <c r="D4922" s="130">
        <v>16</v>
      </c>
      <c r="E4922" s="130" t="s">
        <v>267</v>
      </c>
      <c r="F4922" s="1031">
        <v>0</v>
      </c>
      <c r="G4922" s="1031">
        <v>-63350.5</v>
      </c>
      <c r="H4922" s="1031">
        <v>-63350.5</v>
      </c>
      <c r="I4922" s="1032" t="s">
        <v>1384</v>
      </c>
    </row>
    <row r="4923" spans="1:9" x14ac:dyDescent="0.25">
      <c r="A4923" s="1033"/>
      <c r="C4923" s="130" t="s">
        <v>1385</v>
      </c>
      <c r="D4923" s="130">
        <v>16</v>
      </c>
      <c r="E4923" s="130" t="s">
        <v>1385</v>
      </c>
      <c r="F4923" s="1031">
        <v>0</v>
      </c>
      <c r="G4923" s="1031">
        <v>62100.5</v>
      </c>
      <c r="H4923" s="1031">
        <v>62100.5</v>
      </c>
      <c r="I4923" s="1032" t="s">
        <v>1386</v>
      </c>
    </row>
    <row r="4924" spans="1:9" x14ac:dyDescent="0.25">
      <c r="A4924" s="1033"/>
      <c r="C4924" s="130" t="s">
        <v>283</v>
      </c>
      <c r="D4924" s="130">
        <v>16</v>
      </c>
      <c r="E4924" s="130" t="s">
        <v>283</v>
      </c>
      <c r="F4924" s="1031">
        <v>0</v>
      </c>
      <c r="G4924" s="1031">
        <v>-73322</v>
      </c>
      <c r="H4924" s="1031">
        <v>-73322</v>
      </c>
      <c r="I4924" s="1032" t="s">
        <v>1389</v>
      </c>
    </row>
    <row r="4925" spans="1:9" x14ac:dyDescent="0.25">
      <c r="A4925" s="1033"/>
      <c r="C4925" s="130" t="s">
        <v>1390</v>
      </c>
      <c r="D4925" s="130">
        <v>16</v>
      </c>
      <c r="E4925" s="130" t="s">
        <v>1390</v>
      </c>
      <c r="F4925" s="1031">
        <v>0</v>
      </c>
      <c r="G4925" s="1031">
        <v>71413.2</v>
      </c>
      <c r="H4925" s="1031">
        <v>71413.2</v>
      </c>
      <c r="I4925" s="1032" t="s">
        <v>1391</v>
      </c>
    </row>
    <row r="4926" spans="1:9" x14ac:dyDescent="0.25">
      <c r="A4926" s="1033"/>
      <c r="C4926" s="130" t="s">
        <v>268</v>
      </c>
      <c r="D4926" s="130">
        <v>16</v>
      </c>
      <c r="E4926" s="130" t="s">
        <v>268</v>
      </c>
      <c r="F4926" s="1031">
        <v>0</v>
      </c>
      <c r="G4926" s="1031">
        <v>-84886.5</v>
      </c>
      <c r="H4926" s="1031">
        <v>-84886.5</v>
      </c>
      <c r="I4926" s="1032" t="s">
        <v>1394</v>
      </c>
    </row>
    <row r="4927" spans="1:9" x14ac:dyDescent="0.25">
      <c r="A4927" s="1033"/>
      <c r="C4927" s="130" t="s">
        <v>1395</v>
      </c>
      <c r="D4927" s="130">
        <v>16</v>
      </c>
      <c r="E4927" s="130" t="s">
        <v>1395</v>
      </c>
      <c r="F4927" s="1031">
        <v>0</v>
      </c>
      <c r="G4927" s="1031">
        <v>78271.8</v>
      </c>
      <c r="H4927" s="1031">
        <v>78271.8</v>
      </c>
      <c r="I4927" s="1032" t="s">
        <v>1396</v>
      </c>
    </row>
    <row r="4928" spans="1:9" x14ac:dyDescent="0.25">
      <c r="A4928" s="1033"/>
      <c r="C4928" s="130">
        <v>432</v>
      </c>
      <c r="D4928" s="130">
        <v>16</v>
      </c>
      <c r="E4928" s="130">
        <v>432</v>
      </c>
      <c r="F4928" s="1031">
        <v>0</v>
      </c>
      <c r="G4928" s="1031">
        <v>-100923.5</v>
      </c>
      <c r="H4928" s="1031">
        <v>-100923.5</v>
      </c>
      <c r="I4928" s="1032" t="s">
        <v>1399</v>
      </c>
    </row>
    <row r="4929" spans="1:9" x14ac:dyDescent="0.25">
      <c r="A4929" s="1033"/>
      <c r="C4929" s="130">
        <v>632</v>
      </c>
      <c r="D4929" s="130">
        <v>16</v>
      </c>
      <c r="E4929" s="130">
        <v>632</v>
      </c>
      <c r="F4929" s="1031">
        <v>0</v>
      </c>
      <c r="G4929" s="1031">
        <v>96040.18</v>
      </c>
      <c r="H4929" s="1031">
        <v>96040.18</v>
      </c>
      <c r="I4929" s="1032" t="s">
        <v>1400</v>
      </c>
    </row>
    <row r="4930" spans="1:9" x14ac:dyDescent="0.25">
      <c r="A4930" s="1033"/>
      <c r="C4930" s="130" t="s">
        <v>291</v>
      </c>
      <c r="D4930" s="130">
        <v>16</v>
      </c>
      <c r="E4930" s="130" t="s">
        <v>291</v>
      </c>
      <c r="F4930" s="1031">
        <v>0</v>
      </c>
      <c r="G4930" s="1031">
        <v>-122189.22</v>
      </c>
      <c r="H4930" s="1031">
        <v>-122189.22</v>
      </c>
      <c r="I4930" s="1032" t="s">
        <v>1403</v>
      </c>
    </row>
    <row r="4931" spans="1:9" x14ac:dyDescent="0.25">
      <c r="A4931" s="1033"/>
      <c r="C4931" s="130" t="s">
        <v>1404</v>
      </c>
      <c r="D4931" s="130">
        <v>16</v>
      </c>
      <c r="E4931" s="130" t="s">
        <v>1404</v>
      </c>
      <c r="F4931" s="1031">
        <v>0</v>
      </c>
      <c r="G4931" s="1031">
        <v>120939.22</v>
      </c>
      <c r="H4931" s="1031">
        <v>120939.22</v>
      </c>
      <c r="I4931" s="1032" t="s">
        <v>1405</v>
      </c>
    </row>
    <row r="4932" spans="1:9" x14ac:dyDescent="0.25">
      <c r="A4932" s="1033">
        <v>604328</v>
      </c>
      <c r="B4932" s="129">
        <v>3363</v>
      </c>
      <c r="E4932" s="130"/>
    </row>
    <row r="4933" spans="1:9" x14ac:dyDescent="0.25">
      <c r="A4933" s="1033">
        <v>604614</v>
      </c>
      <c r="E4933" s="130"/>
    </row>
    <row r="4934" spans="1:9" x14ac:dyDescent="0.25">
      <c r="A4934" s="1033">
        <v>604618</v>
      </c>
      <c r="E4934" s="130"/>
    </row>
    <row r="4935" spans="1:9" x14ac:dyDescent="0.25">
      <c r="A4935" s="1033">
        <v>604624</v>
      </c>
      <c r="E4935" s="130"/>
    </row>
    <row r="4936" spans="1:9" x14ac:dyDescent="0.25">
      <c r="A4936" s="1033">
        <v>604628</v>
      </c>
      <c r="E4936" s="130"/>
    </row>
    <row r="4937" spans="1:9" x14ac:dyDescent="0.25">
      <c r="A4937" s="1033">
        <v>604714</v>
      </c>
      <c r="E4937" s="130"/>
    </row>
    <row r="4938" spans="1:9" x14ac:dyDescent="0.25">
      <c r="A4938" s="1033">
        <v>604718</v>
      </c>
      <c r="E4938" s="130"/>
    </row>
    <row r="4939" spans="1:9" x14ac:dyDescent="0.25">
      <c r="A4939" s="1033">
        <v>604724</v>
      </c>
      <c r="E4939" s="130"/>
    </row>
    <row r="4940" spans="1:9" x14ac:dyDescent="0.25">
      <c r="A4940" s="1033">
        <v>604728</v>
      </c>
      <c r="E4940" s="130"/>
    </row>
    <row r="4941" spans="1:9" x14ac:dyDescent="0.25">
      <c r="A4941" s="1033">
        <v>604812</v>
      </c>
      <c r="B4941" s="129">
        <v>14</v>
      </c>
      <c r="E4941" s="130"/>
    </row>
    <row r="4942" spans="1:9" x14ac:dyDescent="0.25">
      <c r="A4942" s="1033">
        <v>604814</v>
      </c>
      <c r="B4942" s="129">
        <v>1119660</v>
      </c>
      <c r="E4942" s="130"/>
    </row>
    <row r="4943" spans="1:9" x14ac:dyDescent="0.25">
      <c r="A4943" s="1033">
        <v>604816</v>
      </c>
      <c r="B4943" s="129">
        <v>69585</v>
      </c>
      <c r="C4943" s="130" t="s">
        <v>165</v>
      </c>
      <c r="D4943" s="130">
        <v>16</v>
      </c>
      <c r="E4943" s="130" t="s">
        <v>165</v>
      </c>
      <c r="F4943" s="1031">
        <v>0</v>
      </c>
      <c r="G4943" s="1031">
        <v>-71130.86</v>
      </c>
      <c r="H4943" s="1031">
        <v>-71130.86</v>
      </c>
      <c r="I4943" s="1032" t="s">
        <v>1376</v>
      </c>
    </row>
    <row r="4944" spans="1:9" x14ac:dyDescent="0.25">
      <c r="A4944" s="1033"/>
      <c r="C4944" s="130" t="s">
        <v>1377</v>
      </c>
      <c r="D4944" s="130">
        <v>16</v>
      </c>
      <c r="E4944" s="130" t="s">
        <v>1377</v>
      </c>
      <c r="F4944" s="1031">
        <v>0</v>
      </c>
      <c r="G4944" s="1031">
        <v>70143.81</v>
      </c>
      <c r="H4944" s="1031">
        <v>70143.81</v>
      </c>
      <c r="I4944" s="1032" t="s">
        <v>1378</v>
      </c>
    </row>
    <row r="4945" spans="1:9" x14ac:dyDescent="0.25">
      <c r="A4945" s="1033"/>
      <c r="C4945" s="130" t="s">
        <v>57</v>
      </c>
      <c r="D4945" s="130">
        <v>16</v>
      </c>
      <c r="E4945" s="130" t="s">
        <v>57</v>
      </c>
      <c r="F4945" s="1031">
        <v>0</v>
      </c>
      <c r="G4945" s="1031">
        <v>-86373.5</v>
      </c>
      <c r="H4945" s="1031">
        <v>-86373.5</v>
      </c>
      <c r="I4945" s="1032" t="s">
        <v>1380</v>
      </c>
    </row>
    <row r="4946" spans="1:9" x14ac:dyDescent="0.25">
      <c r="A4946" s="1033"/>
      <c r="C4946" s="130" t="s">
        <v>1381</v>
      </c>
      <c r="D4946" s="130">
        <v>16</v>
      </c>
      <c r="E4946" s="130" t="s">
        <v>1381</v>
      </c>
      <c r="F4946" s="1031">
        <v>0</v>
      </c>
      <c r="G4946" s="1031">
        <v>82336.14</v>
      </c>
      <c r="H4946" s="1031">
        <v>82336.14</v>
      </c>
      <c r="I4946" s="1032" t="s">
        <v>1380</v>
      </c>
    </row>
    <row r="4947" spans="1:9" x14ac:dyDescent="0.25">
      <c r="A4947" s="1033"/>
      <c r="C4947" s="130" t="s">
        <v>267</v>
      </c>
      <c r="D4947" s="130">
        <v>16</v>
      </c>
      <c r="E4947" s="130" t="s">
        <v>267</v>
      </c>
      <c r="F4947" s="1031">
        <v>0</v>
      </c>
      <c r="G4947" s="1031">
        <v>-63350.5</v>
      </c>
      <c r="H4947" s="1031">
        <v>-63350.5</v>
      </c>
      <c r="I4947" s="1032" t="s">
        <v>1384</v>
      </c>
    </row>
    <row r="4948" spans="1:9" x14ac:dyDescent="0.25">
      <c r="A4948" s="1033"/>
      <c r="C4948" s="130" t="s">
        <v>1385</v>
      </c>
      <c r="D4948" s="130">
        <v>16</v>
      </c>
      <c r="E4948" s="130" t="s">
        <v>1385</v>
      </c>
      <c r="F4948" s="1031">
        <v>0</v>
      </c>
      <c r="G4948" s="1031">
        <v>62100.5</v>
      </c>
      <c r="H4948" s="1031">
        <v>62100.5</v>
      </c>
      <c r="I4948" s="1032" t="s">
        <v>1386</v>
      </c>
    </row>
    <row r="4949" spans="1:9" x14ac:dyDescent="0.25">
      <c r="A4949" s="1033"/>
      <c r="C4949" s="130" t="s">
        <v>283</v>
      </c>
      <c r="D4949" s="130">
        <v>16</v>
      </c>
      <c r="E4949" s="130" t="s">
        <v>283</v>
      </c>
      <c r="F4949" s="1031">
        <v>0</v>
      </c>
      <c r="G4949" s="1031">
        <v>-73322</v>
      </c>
      <c r="H4949" s="1031">
        <v>-73322</v>
      </c>
      <c r="I4949" s="1032" t="s">
        <v>1389</v>
      </c>
    </row>
    <row r="4950" spans="1:9" x14ac:dyDescent="0.25">
      <c r="A4950" s="1033"/>
      <c r="C4950" s="130" t="s">
        <v>1390</v>
      </c>
      <c r="D4950" s="130">
        <v>16</v>
      </c>
      <c r="E4950" s="130" t="s">
        <v>1390</v>
      </c>
      <c r="F4950" s="1031">
        <v>0</v>
      </c>
      <c r="G4950" s="1031">
        <v>71413.2</v>
      </c>
      <c r="H4950" s="1031">
        <v>71413.2</v>
      </c>
      <c r="I4950" s="1032" t="s">
        <v>1391</v>
      </c>
    </row>
    <row r="4951" spans="1:9" x14ac:dyDescent="0.25">
      <c r="A4951" s="1033"/>
      <c r="C4951" s="130" t="s">
        <v>268</v>
      </c>
      <c r="D4951" s="130">
        <v>16</v>
      </c>
      <c r="E4951" s="130" t="s">
        <v>268</v>
      </c>
      <c r="F4951" s="1031">
        <v>0</v>
      </c>
      <c r="G4951" s="1031">
        <v>-84886.5</v>
      </c>
      <c r="H4951" s="1031">
        <v>-84886.5</v>
      </c>
      <c r="I4951" s="1032" t="s">
        <v>1394</v>
      </c>
    </row>
    <row r="4952" spans="1:9" x14ac:dyDescent="0.25">
      <c r="A4952" s="1033"/>
      <c r="C4952" s="130" t="s">
        <v>1395</v>
      </c>
      <c r="D4952" s="130">
        <v>16</v>
      </c>
      <c r="E4952" s="130" t="s">
        <v>1395</v>
      </c>
      <c r="F4952" s="1031">
        <v>0</v>
      </c>
      <c r="G4952" s="1031">
        <v>78271.8</v>
      </c>
      <c r="H4952" s="1031">
        <v>78271.8</v>
      </c>
      <c r="I4952" s="1032" t="s">
        <v>1396</v>
      </c>
    </row>
    <row r="4953" spans="1:9" x14ac:dyDescent="0.25">
      <c r="A4953" s="1033"/>
      <c r="C4953" s="130">
        <v>432</v>
      </c>
      <c r="D4953" s="130">
        <v>16</v>
      </c>
      <c r="E4953" s="130">
        <v>432</v>
      </c>
      <c r="F4953" s="1031">
        <v>0</v>
      </c>
      <c r="G4953" s="1031">
        <v>-100923.5</v>
      </c>
      <c r="H4953" s="1031">
        <v>-100923.5</v>
      </c>
      <c r="I4953" s="1032" t="s">
        <v>1399</v>
      </c>
    </row>
    <row r="4954" spans="1:9" x14ac:dyDescent="0.25">
      <c r="A4954" s="1033"/>
      <c r="C4954" s="130">
        <v>632</v>
      </c>
      <c r="D4954" s="130">
        <v>16</v>
      </c>
      <c r="E4954" s="130">
        <v>632</v>
      </c>
      <c r="F4954" s="1031">
        <v>0</v>
      </c>
      <c r="G4954" s="1031">
        <v>96040.18</v>
      </c>
      <c r="H4954" s="1031">
        <v>96040.18</v>
      </c>
      <c r="I4954" s="1032" t="s">
        <v>1400</v>
      </c>
    </row>
    <row r="4955" spans="1:9" x14ac:dyDescent="0.25">
      <c r="A4955" s="1033"/>
      <c r="C4955" s="130" t="s">
        <v>291</v>
      </c>
      <c r="D4955" s="130">
        <v>16</v>
      </c>
      <c r="E4955" s="130" t="s">
        <v>291</v>
      </c>
      <c r="F4955" s="1031">
        <v>0</v>
      </c>
      <c r="G4955" s="1031">
        <v>-122189.22</v>
      </c>
      <c r="H4955" s="1031">
        <v>-122189.22</v>
      </c>
      <c r="I4955" s="1032" t="s">
        <v>1403</v>
      </c>
    </row>
    <row r="4956" spans="1:9" x14ac:dyDescent="0.25">
      <c r="A4956" s="1033"/>
      <c r="C4956" s="130" t="s">
        <v>1404</v>
      </c>
      <c r="D4956" s="130">
        <v>16</v>
      </c>
      <c r="E4956" s="130" t="s">
        <v>1404</v>
      </c>
      <c r="F4956" s="1031">
        <v>0</v>
      </c>
      <c r="G4956" s="1031">
        <v>120939.22</v>
      </c>
      <c r="H4956" s="1031">
        <v>120939.22</v>
      </c>
      <c r="I4956" s="1032" t="s">
        <v>1405</v>
      </c>
    </row>
    <row r="4957" spans="1:9" x14ac:dyDescent="0.25">
      <c r="A4957" s="1033"/>
      <c r="C4957" s="130">
        <v>416</v>
      </c>
      <c r="D4957" s="130">
        <v>16</v>
      </c>
      <c r="E4957" s="130">
        <v>416</v>
      </c>
      <c r="F4957" s="1031">
        <v>0</v>
      </c>
      <c r="G4957" s="1031">
        <v>-165736.57999999999</v>
      </c>
      <c r="H4957" s="1031">
        <v>-165736.57999999999</v>
      </c>
      <c r="I4957" s="1032" t="s">
        <v>1331</v>
      </c>
    </row>
    <row r="4958" spans="1:9" x14ac:dyDescent="0.25">
      <c r="A4958" s="1033"/>
      <c r="C4958" s="130">
        <v>616</v>
      </c>
      <c r="D4958" s="130">
        <v>16</v>
      </c>
      <c r="E4958" s="130">
        <v>616</v>
      </c>
      <c r="F4958" s="1031">
        <v>0</v>
      </c>
      <c r="G4958" s="1031">
        <v>158419.29</v>
      </c>
      <c r="H4958" s="1031">
        <v>158419.29</v>
      </c>
      <c r="I4958" s="1032" t="s">
        <v>1332</v>
      </c>
    </row>
    <row r="4959" spans="1:9" x14ac:dyDescent="0.25">
      <c r="A4959" s="1033"/>
      <c r="C4959" s="130" t="s">
        <v>61</v>
      </c>
      <c r="D4959" s="130">
        <v>16</v>
      </c>
      <c r="E4959" s="130" t="s">
        <v>61</v>
      </c>
      <c r="F4959" s="1031">
        <v>0</v>
      </c>
      <c r="G4959" s="1031">
        <v>-215782.6</v>
      </c>
      <c r="H4959" s="1031">
        <v>-215782.6</v>
      </c>
      <c r="I4959" s="1032" t="s">
        <v>1335</v>
      </c>
    </row>
    <row r="4960" spans="1:9" x14ac:dyDescent="0.25">
      <c r="A4960" s="1033"/>
      <c r="C4960" s="130" t="s">
        <v>1336</v>
      </c>
      <c r="D4960" s="130">
        <v>16</v>
      </c>
      <c r="E4960" s="130" t="s">
        <v>1336</v>
      </c>
      <c r="F4960" s="1031">
        <v>0</v>
      </c>
      <c r="G4960" s="1031">
        <v>203675.76</v>
      </c>
      <c r="H4960" s="1031">
        <v>203675.76</v>
      </c>
      <c r="I4960" s="1032" t="s">
        <v>1337</v>
      </c>
    </row>
    <row r="4961" spans="1:9" x14ac:dyDescent="0.25">
      <c r="A4961" s="1033"/>
      <c r="C4961" s="130">
        <v>418</v>
      </c>
      <c r="D4961" s="130">
        <v>16</v>
      </c>
      <c r="E4961" s="130">
        <v>418</v>
      </c>
      <c r="F4961" s="1031">
        <v>0</v>
      </c>
      <c r="G4961" s="1031">
        <v>-135962</v>
      </c>
      <c r="H4961" s="1031">
        <v>-135962</v>
      </c>
      <c r="I4961" s="1032" t="s">
        <v>1340</v>
      </c>
    </row>
    <row r="4962" spans="1:9" x14ac:dyDescent="0.25">
      <c r="A4962" s="1033"/>
      <c r="C4962" s="130">
        <v>618</v>
      </c>
      <c r="D4962" s="130">
        <v>16</v>
      </c>
      <c r="E4962" s="130">
        <v>618</v>
      </c>
      <c r="F4962" s="1031">
        <v>0</v>
      </c>
      <c r="G4962" s="1031">
        <v>133462</v>
      </c>
      <c r="H4962" s="1031">
        <v>133462</v>
      </c>
      <c r="I4962" s="1032" t="s">
        <v>1341</v>
      </c>
    </row>
    <row r="4963" spans="1:9" x14ac:dyDescent="0.25">
      <c r="A4963" s="1033"/>
      <c r="C4963" s="130" t="s">
        <v>157</v>
      </c>
      <c r="D4963" s="130">
        <v>16</v>
      </c>
      <c r="E4963" s="130" t="s">
        <v>157</v>
      </c>
      <c r="F4963" s="1031">
        <v>0</v>
      </c>
      <c r="G4963" s="1031">
        <v>-26726.6</v>
      </c>
      <c r="H4963" s="1031">
        <v>-26726.6</v>
      </c>
      <c r="I4963" s="1032" t="s">
        <v>1342</v>
      </c>
    </row>
    <row r="4964" spans="1:9" x14ac:dyDescent="0.25">
      <c r="A4964" s="1033">
        <v>604818</v>
      </c>
      <c r="B4964" s="129">
        <v>4970</v>
      </c>
      <c r="E4964" s="130"/>
    </row>
    <row r="4965" spans="1:9" x14ac:dyDescent="0.25">
      <c r="A4965" s="1033">
        <v>604822</v>
      </c>
      <c r="B4965" s="129">
        <v>14</v>
      </c>
      <c r="E4965" s="130"/>
    </row>
    <row r="4966" spans="1:9" x14ac:dyDescent="0.25">
      <c r="A4966" s="1033">
        <v>604824</v>
      </c>
      <c r="B4966" s="129">
        <v>1119660</v>
      </c>
      <c r="E4966" s="130"/>
    </row>
    <row r="4967" spans="1:9" x14ac:dyDescent="0.25">
      <c r="A4967" s="1033">
        <v>604826</v>
      </c>
      <c r="B4967" s="129">
        <v>69585</v>
      </c>
      <c r="C4967" s="130">
        <v>416</v>
      </c>
      <c r="D4967" s="130">
        <v>16</v>
      </c>
      <c r="E4967" s="130">
        <v>416</v>
      </c>
      <c r="F4967" s="1031">
        <v>0</v>
      </c>
      <c r="G4967" s="1031">
        <v>-165736.57999999999</v>
      </c>
      <c r="H4967" s="1031">
        <v>-165736.57999999999</v>
      </c>
      <c r="I4967" s="1032" t="s">
        <v>1331</v>
      </c>
    </row>
    <row r="4968" spans="1:9" x14ac:dyDescent="0.25">
      <c r="A4968" s="1033"/>
      <c r="C4968" s="130">
        <v>616</v>
      </c>
      <c r="D4968" s="130">
        <v>16</v>
      </c>
      <c r="E4968" s="130">
        <v>616</v>
      </c>
      <c r="F4968" s="1031">
        <v>0</v>
      </c>
      <c r="G4968" s="1031">
        <v>158419.29</v>
      </c>
      <c r="H4968" s="1031">
        <v>158419.29</v>
      </c>
      <c r="I4968" s="1032" t="s">
        <v>1332</v>
      </c>
    </row>
    <row r="4969" spans="1:9" x14ac:dyDescent="0.25">
      <c r="A4969" s="1033"/>
      <c r="C4969" s="130" t="s">
        <v>61</v>
      </c>
      <c r="D4969" s="130">
        <v>16</v>
      </c>
      <c r="E4969" s="130" t="s">
        <v>61</v>
      </c>
      <c r="F4969" s="1031">
        <v>0</v>
      </c>
      <c r="G4969" s="1031">
        <v>-215782.6</v>
      </c>
      <c r="H4969" s="1031">
        <v>-215782.6</v>
      </c>
      <c r="I4969" s="1032" t="s">
        <v>1335</v>
      </c>
    </row>
    <row r="4970" spans="1:9" x14ac:dyDescent="0.25">
      <c r="A4970" s="1033"/>
      <c r="C4970" s="130" t="s">
        <v>1336</v>
      </c>
      <c r="D4970" s="130">
        <v>16</v>
      </c>
      <c r="E4970" s="130" t="s">
        <v>1336</v>
      </c>
      <c r="F4970" s="1031">
        <v>0</v>
      </c>
      <c r="G4970" s="1031">
        <v>203675.76</v>
      </c>
      <c r="H4970" s="1031">
        <v>203675.76</v>
      </c>
      <c r="I4970" s="1032" t="s">
        <v>1337</v>
      </c>
    </row>
    <row r="4971" spans="1:9" x14ac:dyDescent="0.25">
      <c r="A4971" s="1033"/>
      <c r="C4971" s="130" t="s">
        <v>165</v>
      </c>
      <c r="D4971" s="130">
        <v>16</v>
      </c>
      <c r="E4971" s="130" t="s">
        <v>165</v>
      </c>
      <c r="F4971" s="1031">
        <v>0</v>
      </c>
      <c r="G4971" s="1031">
        <v>-71130.86</v>
      </c>
      <c r="H4971" s="1031">
        <v>-71130.86</v>
      </c>
      <c r="I4971" s="1032" t="s">
        <v>1376</v>
      </c>
    </row>
    <row r="4972" spans="1:9" x14ac:dyDescent="0.25">
      <c r="A4972" s="1033"/>
      <c r="C4972" s="130" t="s">
        <v>1377</v>
      </c>
      <c r="D4972" s="130">
        <v>16</v>
      </c>
      <c r="E4972" s="130" t="s">
        <v>1377</v>
      </c>
      <c r="F4972" s="1031">
        <v>0</v>
      </c>
      <c r="G4972" s="1031">
        <v>70143.81</v>
      </c>
      <c r="H4972" s="1031">
        <v>70143.81</v>
      </c>
      <c r="I4972" s="1032" t="s">
        <v>1378</v>
      </c>
    </row>
    <row r="4973" spans="1:9" x14ac:dyDescent="0.25">
      <c r="A4973" s="1033"/>
      <c r="C4973" s="130" t="s">
        <v>57</v>
      </c>
      <c r="D4973" s="130">
        <v>16</v>
      </c>
      <c r="E4973" s="130" t="s">
        <v>57</v>
      </c>
      <c r="F4973" s="1031">
        <v>0</v>
      </c>
      <c r="G4973" s="1031">
        <v>-86373.5</v>
      </c>
      <c r="H4973" s="1031">
        <v>-86373.5</v>
      </c>
      <c r="I4973" s="1032" t="s">
        <v>1380</v>
      </c>
    </row>
    <row r="4974" spans="1:9" x14ac:dyDescent="0.25">
      <c r="A4974" s="1033"/>
      <c r="C4974" s="130" t="s">
        <v>1381</v>
      </c>
      <c r="D4974" s="130">
        <v>16</v>
      </c>
      <c r="E4974" s="130" t="s">
        <v>1381</v>
      </c>
      <c r="F4974" s="1031">
        <v>0</v>
      </c>
      <c r="G4974" s="1031">
        <v>82336.14</v>
      </c>
      <c r="H4974" s="1031">
        <v>82336.14</v>
      </c>
      <c r="I4974" s="1032" t="s">
        <v>1380</v>
      </c>
    </row>
    <row r="4975" spans="1:9" x14ac:dyDescent="0.25">
      <c r="A4975" s="1033"/>
      <c r="C4975" s="130" t="s">
        <v>267</v>
      </c>
      <c r="D4975" s="130">
        <v>16</v>
      </c>
      <c r="E4975" s="130" t="s">
        <v>267</v>
      </c>
      <c r="F4975" s="1031">
        <v>0</v>
      </c>
      <c r="G4975" s="1031">
        <v>-63350.5</v>
      </c>
      <c r="H4975" s="1031">
        <v>-63350.5</v>
      </c>
      <c r="I4975" s="1032" t="s">
        <v>1384</v>
      </c>
    </row>
    <row r="4976" spans="1:9" x14ac:dyDescent="0.25">
      <c r="A4976" s="1033"/>
      <c r="C4976" s="130" t="s">
        <v>1385</v>
      </c>
      <c r="D4976" s="130">
        <v>16</v>
      </c>
      <c r="E4976" s="130" t="s">
        <v>1385</v>
      </c>
      <c r="F4976" s="1031">
        <v>0</v>
      </c>
      <c r="G4976" s="1031">
        <v>62100.5</v>
      </c>
      <c r="H4976" s="1031">
        <v>62100.5</v>
      </c>
      <c r="I4976" s="1032" t="s">
        <v>1386</v>
      </c>
    </row>
    <row r="4977" spans="1:9" x14ac:dyDescent="0.25">
      <c r="A4977" s="1033"/>
      <c r="C4977" s="130" t="s">
        <v>283</v>
      </c>
      <c r="D4977" s="130">
        <v>16</v>
      </c>
      <c r="E4977" s="130" t="s">
        <v>283</v>
      </c>
      <c r="F4977" s="1031">
        <v>0</v>
      </c>
      <c r="G4977" s="1031">
        <v>-73322</v>
      </c>
      <c r="H4977" s="1031">
        <v>-73322</v>
      </c>
      <c r="I4977" s="1032" t="s">
        <v>1389</v>
      </c>
    </row>
    <row r="4978" spans="1:9" x14ac:dyDescent="0.25">
      <c r="A4978" s="1033"/>
      <c r="C4978" s="130" t="s">
        <v>1390</v>
      </c>
      <c r="D4978" s="130">
        <v>16</v>
      </c>
      <c r="E4978" s="130" t="s">
        <v>1390</v>
      </c>
      <c r="F4978" s="1031">
        <v>0</v>
      </c>
      <c r="G4978" s="1031">
        <v>71413.2</v>
      </c>
      <c r="H4978" s="1031">
        <v>71413.2</v>
      </c>
      <c r="I4978" s="1032" t="s">
        <v>1391</v>
      </c>
    </row>
    <row r="4979" spans="1:9" x14ac:dyDescent="0.25">
      <c r="A4979" s="1033"/>
      <c r="C4979" s="130" t="s">
        <v>268</v>
      </c>
      <c r="D4979" s="130">
        <v>16</v>
      </c>
      <c r="E4979" s="130" t="s">
        <v>268</v>
      </c>
      <c r="F4979" s="1031">
        <v>0</v>
      </c>
      <c r="G4979" s="1031">
        <v>-84886.5</v>
      </c>
      <c r="H4979" s="1031">
        <v>-84886.5</v>
      </c>
      <c r="I4979" s="1032" t="s">
        <v>1394</v>
      </c>
    </row>
    <row r="4980" spans="1:9" x14ac:dyDescent="0.25">
      <c r="A4980" s="1033"/>
      <c r="C4980" s="130" t="s">
        <v>1395</v>
      </c>
      <c r="D4980" s="130">
        <v>16</v>
      </c>
      <c r="E4980" s="130" t="s">
        <v>1395</v>
      </c>
      <c r="F4980" s="1031">
        <v>0</v>
      </c>
      <c r="G4980" s="1031">
        <v>78271.8</v>
      </c>
      <c r="H4980" s="1031">
        <v>78271.8</v>
      </c>
      <c r="I4980" s="1032" t="s">
        <v>1396</v>
      </c>
    </row>
    <row r="4981" spans="1:9" x14ac:dyDescent="0.25">
      <c r="A4981" s="1033"/>
      <c r="C4981" s="130">
        <v>432</v>
      </c>
      <c r="D4981" s="130">
        <v>16</v>
      </c>
      <c r="E4981" s="130">
        <v>432</v>
      </c>
      <c r="F4981" s="1031">
        <v>0</v>
      </c>
      <c r="G4981" s="1031">
        <v>-100923.5</v>
      </c>
      <c r="H4981" s="1031">
        <v>-100923.5</v>
      </c>
      <c r="I4981" s="1032" t="s">
        <v>1399</v>
      </c>
    </row>
    <row r="4982" spans="1:9" x14ac:dyDescent="0.25">
      <c r="A4982" s="1033"/>
      <c r="C4982" s="130">
        <v>632</v>
      </c>
      <c r="D4982" s="130">
        <v>16</v>
      </c>
      <c r="E4982" s="130">
        <v>632</v>
      </c>
      <c r="F4982" s="1031">
        <v>0</v>
      </c>
      <c r="G4982" s="1031">
        <v>96040.18</v>
      </c>
      <c r="H4982" s="1031">
        <v>96040.18</v>
      </c>
      <c r="I4982" s="1032" t="s">
        <v>1400</v>
      </c>
    </row>
    <row r="4983" spans="1:9" x14ac:dyDescent="0.25">
      <c r="A4983" s="1033"/>
      <c r="C4983" s="130" t="s">
        <v>291</v>
      </c>
      <c r="D4983" s="130">
        <v>16</v>
      </c>
      <c r="E4983" s="130" t="s">
        <v>291</v>
      </c>
      <c r="F4983" s="1031">
        <v>0</v>
      </c>
      <c r="G4983" s="1031">
        <v>-122189.22</v>
      </c>
      <c r="H4983" s="1031">
        <v>-122189.22</v>
      </c>
      <c r="I4983" s="1032" t="s">
        <v>1403</v>
      </c>
    </row>
    <row r="4984" spans="1:9" x14ac:dyDescent="0.25">
      <c r="A4984" s="1033"/>
      <c r="C4984" s="130" t="s">
        <v>1404</v>
      </c>
      <c r="D4984" s="130">
        <v>16</v>
      </c>
      <c r="E4984" s="130" t="s">
        <v>1404</v>
      </c>
      <c r="F4984" s="1031">
        <v>0</v>
      </c>
      <c r="G4984" s="1031">
        <v>120939.22</v>
      </c>
      <c r="H4984" s="1031">
        <v>120939.22</v>
      </c>
      <c r="I4984" s="1032" t="s">
        <v>1405</v>
      </c>
    </row>
    <row r="4985" spans="1:9" x14ac:dyDescent="0.25">
      <c r="A4985" s="1033"/>
      <c r="C4985" s="130">
        <v>418</v>
      </c>
      <c r="D4985" s="130">
        <v>16</v>
      </c>
      <c r="E4985" s="130">
        <v>418</v>
      </c>
      <c r="F4985" s="1031">
        <v>0</v>
      </c>
      <c r="G4985" s="1031">
        <v>-135962</v>
      </c>
      <c r="H4985" s="1031">
        <v>-135962</v>
      </c>
      <c r="I4985" s="1032" t="s">
        <v>1340</v>
      </c>
    </row>
    <row r="4986" spans="1:9" x14ac:dyDescent="0.25">
      <c r="A4986" s="1033"/>
      <c r="C4986" s="130">
        <v>618</v>
      </c>
      <c r="D4986" s="130">
        <v>16</v>
      </c>
      <c r="E4986" s="130">
        <v>618</v>
      </c>
      <c r="F4986" s="1031">
        <v>0</v>
      </c>
      <c r="G4986" s="1031">
        <v>133462</v>
      </c>
      <c r="H4986" s="1031">
        <v>133462</v>
      </c>
      <c r="I4986" s="1032" t="s">
        <v>1341</v>
      </c>
    </row>
    <row r="4987" spans="1:9" x14ac:dyDescent="0.25">
      <c r="A4987" s="1033"/>
      <c r="C4987" s="130" t="s">
        <v>157</v>
      </c>
      <c r="D4987" s="130">
        <v>16</v>
      </c>
      <c r="E4987" s="130" t="s">
        <v>157</v>
      </c>
      <c r="F4987" s="1031">
        <v>0</v>
      </c>
      <c r="G4987" s="1031">
        <v>-26726.6</v>
      </c>
      <c r="H4987" s="1031">
        <v>-26726.6</v>
      </c>
      <c r="I4987" s="1032" t="s">
        <v>1342</v>
      </c>
    </row>
    <row r="4988" spans="1:9" x14ac:dyDescent="0.25">
      <c r="A4988" s="1033">
        <v>604828</v>
      </c>
      <c r="B4988" s="129">
        <v>4970</v>
      </c>
      <c r="E4988" s="130"/>
    </row>
    <row r="4989" spans="1:9" x14ac:dyDescent="0.25">
      <c r="A4989" s="1033">
        <v>605018</v>
      </c>
      <c r="B4989" s="129">
        <v>767</v>
      </c>
      <c r="E4989" s="130"/>
    </row>
    <row r="4990" spans="1:9" x14ac:dyDescent="0.25">
      <c r="A4990" s="1033">
        <v>605028</v>
      </c>
      <c r="B4990" s="129">
        <v>767</v>
      </c>
      <c r="E4990" s="130"/>
    </row>
    <row r="4991" spans="1:9" x14ac:dyDescent="0.25">
      <c r="A4991" s="1033">
        <v>605118</v>
      </c>
      <c r="B4991" s="129">
        <v>0</v>
      </c>
      <c r="E4991" s="130"/>
    </row>
    <row r="4992" spans="1:9" x14ac:dyDescent="0.25">
      <c r="A4992" s="1033">
        <v>605128</v>
      </c>
      <c r="B4992" s="129">
        <v>0</v>
      </c>
      <c r="E4992" s="130"/>
    </row>
    <row r="4993" spans="1:9" x14ac:dyDescent="0.25">
      <c r="A4993" s="1033">
        <v>605218</v>
      </c>
      <c r="B4993" s="129">
        <v>202</v>
      </c>
      <c r="E4993" s="130"/>
    </row>
    <row r="4994" spans="1:9" x14ac:dyDescent="0.25">
      <c r="A4994" s="1033">
        <v>605228</v>
      </c>
      <c r="B4994" s="129">
        <v>202</v>
      </c>
      <c r="E4994" s="130"/>
    </row>
    <row r="4995" spans="1:9" x14ac:dyDescent="0.25">
      <c r="A4995" s="1033">
        <v>605318</v>
      </c>
      <c r="B4995" s="129">
        <v>721</v>
      </c>
      <c r="E4995" s="130"/>
    </row>
    <row r="4996" spans="1:9" x14ac:dyDescent="0.25">
      <c r="A4996" s="1033">
        <v>605328</v>
      </c>
      <c r="B4996" s="129">
        <v>721</v>
      </c>
      <c r="E4996" s="130"/>
    </row>
    <row r="4997" spans="1:9" x14ac:dyDescent="0.25">
      <c r="A4997" s="1033">
        <v>605418</v>
      </c>
      <c r="B4997" s="129">
        <v>0</v>
      </c>
      <c r="E4997" s="130"/>
    </row>
    <row r="4998" spans="1:9" x14ac:dyDescent="0.25">
      <c r="A4998" s="1033">
        <v>605428</v>
      </c>
      <c r="B4998" s="129">
        <v>0</v>
      </c>
      <c r="E4998" s="130"/>
    </row>
    <row r="4999" spans="1:9" x14ac:dyDescent="0.25">
      <c r="A4999" s="1033">
        <v>605518</v>
      </c>
      <c r="B4999" s="129">
        <v>0</v>
      </c>
      <c r="E4999" s="130"/>
    </row>
    <row r="5000" spans="1:9" x14ac:dyDescent="0.25">
      <c r="A5000" s="1033">
        <v>605528</v>
      </c>
      <c r="B5000" s="129">
        <v>0</v>
      </c>
      <c r="E5000" s="130"/>
    </row>
    <row r="5001" spans="1:9" x14ac:dyDescent="0.25">
      <c r="A5001" s="1033">
        <v>605618</v>
      </c>
      <c r="B5001" s="129">
        <v>0</v>
      </c>
      <c r="E5001" s="130"/>
    </row>
    <row r="5002" spans="1:9" x14ac:dyDescent="0.25">
      <c r="A5002" s="1033">
        <v>605628</v>
      </c>
      <c r="B5002" s="129">
        <v>0</v>
      </c>
      <c r="E5002" s="130"/>
    </row>
    <row r="5003" spans="1:9" x14ac:dyDescent="0.25">
      <c r="A5003" s="1033">
        <v>605812</v>
      </c>
      <c r="B5003" s="129">
        <v>7</v>
      </c>
      <c r="E5003" s="130"/>
    </row>
    <row r="5004" spans="1:9" x14ac:dyDescent="0.25">
      <c r="A5004" s="1033">
        <v>605814</v>
      </c>
      <c r="B5004" s="129">
        <v>602178</v>
      </c>
      <c r="E5004" s="130"/>
    </row>
    <row r="5005" spans="1:9" x14ac:dyDescent="0.25">
      <c r="A5005" s="1033">
        <v>605816</v>
      </c>
      <c r="B5005" s="129">
        <v>20933</v>
      </c>
      <c r="C5005" s="130" t="s">
        <v>165</v>
      </c>
      <c r="D5005" s="130">
        <v>16</v>
      </c>
      <c r="E5005" s="130" t="s">
        <v>165</v>
      </c>
      <c r="F5005" s="1031">
        <v>0</v>
      </c>
      <c r="G5005" s="1031">
        <v>-71130.86</v>
      </c>
      <c r="H5005" s="1031">
        <v>-71130.86</v>
      </c>
      <c r="I5005" s="1032" t="s">
        <v>1376</v>
      </c>
    </row>
    <row r="5006" spans="1:9" x14ac:dyDescent="0.25">
      <c r="A5006" s="1033"/>
      <c r="C5006" s="130" t="s">
        <v>1377</v>
      </c>
      <c r="D5006" s="130">
        <v>16</v>
      </c>
      <c r="E5006" s="130" t="s">
        <v>1377</v>
      </c>
      <c r="F5006" s="1031">
        <v>0</v>
      </c>
      <c r="G5006" s="1031">
        <v>70143.81</v>
      </c>
      <c r="H5006" s="1031">
        <v>70143.81</v>
      </c>
      <c r="I5006" s="1032" t="s">
        <v>1378</v>
      </c>
    </row>
    <row r="5007" spans="1:9" x14ac:dyDescent="0.25">
      <c r="A5007" s="1033"/>
      <c r="C5007" s="130" t="s">
        <v>57</v>
      </c>
      <c r="D5007" s="130">
        <v>16</v>
      </c>
      <c r="E5007" s="130" t="s">
        <v>57</v>
      </c>
      <c r="F5007" s="1031">
        <v>0</v>
      </c>
      <c r="G5007" s="1031">
        <v>-86373.5</v>
      </c>
      <c r="H5007" s="1031">
        <v>-86373.5</v>
      </c>
      <c r="I5007" s="1032" t="s">
        <v>1380</v>
      </c>
    </row>
    <row r="5008" spans="1:9" x14ac:dyDescent="0.25">
      <c r="A5008" s="1033"/>
      <c r="C5008" s="130" t="s">
        <v>1381</v>
      </c>
      <c r="D5008" s="130">
        <v>16</v>
      </c>
      <c r="E5008" s="130" t="s">
        <v>1381</v>
      </c>
      <c r="F5008" s="1031">
        <v>0</v>
      </c>
      <c r="G5008" s="1031">
        <v>82336.14</v>
      </c>
      <c r="H5008" s="1031">
        <v>82336.14</v>
      </c>
      <c r="I5008" s="1032" t="s">
        <v>1380</v>
      </c>
    </row>
    <row r="5009" spans="1:9" x14ac:dyDescent="0.25">
      <c r="A5009" s="1033"/>
      <c r="C5009" s="130" t="s">
        <v>267</v>
      </c>
      <c r="D5009" s="130">
        <v>16</v>
      </c>
      <c r="E5009" s="130" t="s">
        <v>267</v>
      </c>
      <c r="F5009" s="1031">
        <v>0</v>
      </c>
      <c r="G5009" s="1031">
        <v>-63350.5</v>
      </c>
      <c r="H5009" s="1031">
        <v>-63350.5</v>
      </c>
      <c r="I5009" s="1032" t="s">
        <v>1384</v>
      </c>
    </row>
    <row r="5010" spans="1:9" x14ac:dyDescent="0.25">
      <c r="A5010" s="1033"/>
      <c r="C5010" s="130" t="s">
        <v>1385</v>
      </c>
      <c r="D5010" s="130">
        <v>16</v>
      </c>
      <c r="E5010" s="130" t="s">
        <v>1385</v>
      </c>
      <c r="F5010" s="1031">
        <v>0</v>
      </c>
      <c r="G5010" s="1031">
        <v>62100.5</v>
      </c>
      <c r="H5010" s="1031">
        <v>62100.5</v>
      </c>
      <c r="I5010" s="1032" t="s">
        <v>1386</v>
      </c>
    </row>
    <row r="5011" spans="1:9" x14ac:dyDescent="0.25">
      <c r="A5011" s="1033"/>
      <c r="C5011" s="130" t="s">
        <v>283</v>
      </c>
      <c r="D5011" s="130">
        <v>16</v>
      </c>
      <c r="E5011" s="130" t="s">
        <v>283</v>
      </c>
      <c r="F5011" s="1031">
        <v>0</v>
      </c>
      <c r="G5011" s="1031">
        <v>-73322</v>
      </c>
      <c r="H5011" s="1031">
        <v>-73322</v>
      </c>
      <c r="I5011" s="1032" t="s">
        <v>1389</v>
      </c>
    </row>
    <row r="5012" spans="1:9" x14ac:dyDescent="0.25">
      <c r="A5012" s="1033"/>
      <c r="C5012" s="130" t="s">
        <v>1390</v>
      </c>
      <c r="D5012" s="130">
        <v>16</v>
      </c>
      <c r="E5012" s="130" t="s">
        <v>1390</v>
      </c>
      <c r="F5012" s="1031">
        <v>0</v>
      </c>
      <c r="G5012" s="1031">
        <v>71413.2</v>
      </c>
      <c r="H5012" s="1031">
        <v>71413.2</v>
      </c>
      <c r="I5012" s="1032" t="s">
        <v>1391</v>
      </c>
    </row>
    <row r="5013" spans="1:9" x14ac:dyDescent="0.25">
      <c r="A5013" s="1033"/>
      <c r="C5013" s="130" t="s">
        <v>268</v>
      </c>
      <c r="D5013" s="130">
        <v>16</v>
      </c>
      <c r="E5013" s="130" t="s">
        <v>268</v>
      </c>
      <c r="F5013" s="1031">
        <v>0</v>
      </c>
      <c r="G5013" s="1031">
        <v>-84886.5</v>
      </c>
      <c r="H5013" s="1031">
        <v>-84886.5</v>
      </c>
      <c r="I5013" s="1032" t="s">
        <v>1394</v>
      </c>
    </row>
    <row r="5014" spans="1:9" x14ac:dyDescent="0.25">
      <c r="A5014" s="1033"/>
      <c r="C5014" s="130" t="s">
        <v>1395</v>
      </c>
      <c r="D5014" s="130">
        <v>16</v>
      </c>
      <c r="E5014" s="130" t="s">
        <v>1395</v>
      </c>
      <c r="F5014" s="1031">
        <v>0</v>
      </c>
      <c r="G5014" s="1031">
        <v>78271.8</v>
      </c>
      <c r="H5014" s="1031">
        <v>78271.8</v>
      </c>
      <c r="I5014" s="1032" t="s">
        <v>1396</v>
      </c>
    </row>
    <row r="5015" spans="1:9" x14ac:dyDescent="0.25">
      <c r="A5015" s="1033"/>
      <c r="C5015" s="130">
        <v>432</v>
      </c>
      <c r="D5015" s="130">
        <v>16</v>
      </c>
      <c r="E5015" s="130">
        <v>432</v>
      </c>
      <c r="F5015" s="1031">
        <v>0</v>
      </c>
      <c r="G5015" s="1031">
        <v>-100923.5</v>
      </c>
      <c r="H5015" s="1031">
        <v>-100923.5</v>
      </c>
      <c r="I5015" s="1032" t="s">
        <v>1399</v>
      </c>
    </row>
    <row r="5016" spans="1:9" x14ac:dyDescent="0.25">
      <c r="A5016" s="1033"/>
      <c r="C5016" s="130">
        <v>632</v>
      </c>
      <c r="D5016" s="130">
        <v>16</v>
      </c>
      <c r="E5016" s="130">
        <v>632</v>
      </c>
      <c r="F5016" s="1031">
        <v>0</v>
      </c>
      <c r="G5016" s="1031">
        <v>96040.18</v>
      </c>
      <c r="H5016" s="1031">
        <v>96040.18</v>
      </c>
      <c r="I5016" s="1032" t="s">
        <v>1400</v>
      </c>
    </row>
    <row r="5017" spans="1:9" x14ac:dyDescent="0.25">
      <c r="A5017" s="1033"/>
      <c r="C5017" s="130" t="s">
        <v>291</v>
      </c>
      <c r="D5017" s="130">
        <v>16</v>
      </c>
      <c r="E5017" s="130" t="s">
        <v>291</v>
      </c>
      <c r="F5017" s="1031">
        <v>0</v>
      </c>
      <c r="G5017" s="1031">
        <v>-122189.22</v>
      </c>
      <c r="H5017" s="1031">
        <v>-122189.22</v>
      </c>
      <c r="I5017" s="1032" t="s">
        <v>1403</v>
      </c>
    </row>
    <row r="5018" spans="1:9" x14ac:dyDescent="0.25">
      <c r="A5018" s="1033"/>
      <c r="C5018" s="130" t="s">
        <v>1404</v>
      </c>
      <c r="D5018" s="130">
        <v>16</v>
      </c>
      <c r="E5018" s="130" t="s">
        <v>1404</v>
      </c>
      <c r="F5018" s="1031">
        <v>0</v>
      </c>
      <c r="G5018" s="1031">
        <v>120939.22</v>
      </c>
      <c r="H5018" s="1031">
        <v>120939.22</v>
      </c>
      <c r="I5018" s="1032" t="s">
        <v>1405</v>
      </c>
    </row>
    <row r="5019" spans="1:9" x14ac:dyDescent="0.25">
      <c r="A5019" s="1033">
        <v>605818</v>
      </c>
      <c r="B5019" s="129">
        <v>2990</v>
      </c>
      <c r="E5019" s="130"/>
    </row>
    <row r="5020" spans="1:9" x14ac:dyDescent="0.25">
      <c r="A5020" s="1033">
        <v>605822</v>
      </c>
      <c r="B5020" s="129">
        <v>7</v>
      </c>
      <c r="E5020" s="130"/>
    </row>
    <row r="5021" spans="1:9" x14ac:dyDescent="0.25">
      <c r="A5021" s="1033">
        <v>605824</v>
      </c>
      <c r="B5021" s="129">
        <v>602178</v>
      </c>
      <c r="E5021" s="130"/>
    </row>
    <row r="5022" spans="1:9" x14ac:dyDescent="0.25">
      <c r="A5022" s="1033">
        <v>605826</v>
      </c>
      <c r="B5022" s="129">
        <v>20933</v>
      </c>
      <c r="C5022" s="130" t="s">
        <v>165</v>
      </c>
      <c r="D5022" s="130">
        <v>16</v>
      </c>
      <c r="E5022" s="130" t="s">
        <v>165</v>
      </c>
      <c r="F5022" s="1031">
        <v>0</v>
      </c>
      <c r="G5022" s="1031">
        <v>-71130.86</v>
      </c>
      <c r="H5022" s="1031">
        <v>-71130.86</v>
      </c>
      <c r="I5022" s="1032" t="s">
        <v>1376</v>
      </c>
    </row>
    <row r="5023" spans="1:9" x14ac:dyDescent="0.25">
      <c r="A5023" s="1033"/>
      <c r="C5023" s="130" t="s">
        <v>1377</v>
      </c>
      <c r="D5023" s="130">
        <v>16</v>
      </c>
      <c r="E5023" s="130" t="s">
        <v>1377</v>
      </c>
      <c r="F5023" s="1031">
        <v>0</v>
      </c>
      <c r="G5023" s="1031">
        <v>70143.81</v>
      </c>
      <c r="H5023" s="1031">
        <v>70143.81</v>
      </c>
      <c r="I5023" s="1032" t="s">
        <v>1378</v>
      </c>
    </row>
    <row r="5024" spans="1:9" x14ac:dyDescent="0.25">
      <c r="A5024" s="1033"/>
      <c r="C5024" s="130" t="s">
        <v>57</v>
      </c>
      <c r="D5024" s="130">
        <v>16</v>
      </c>
      <c r="E5024" s="130" t="s">
        <v>57</v>
      </c>
      <c r="F5024" s="1031">
        <v>0</v>
      </c>
      <c r="G5024" s="1031">
        <v>-86373.5</v>
      </c>
      <c r="H5024" s="1031">
        <v>-86373.5</v>
      </c>
      <c r="I5024" s="1032" t="s">
        <v>1380</v>
      </c>
    </row>
    <row r="5025" spans="1:9" x14ac:dyDescent="0.25">
      <c r="A5025" s="1033"/>
      <c r="C5025" s="130" t="s">
        <v>1381</v>
      </c>
      <c r="D5025" s="130">
        <v>16</v>
      </c>
      <c r="E5025" s="130" t="s">
        <v>1381</v>
      </c>
      <c r="F5025" s="1031">
        <v>0</v>
      </c>
      <c r="G5025" s="1031">
        <v>82336.14</v>
      </c>
      <c r="H5025" s="1031">
        <v>82336.14</v>
      </c>
      <c r="I5025" s="1032" t="s">
        <v>1380</v>
      </c>
    </row>
    <row r="5026" spans="1:9" x14ac:dyDescent="0.25">
      <c r="A5026" s="1033"/>
      <c r="C5026" s="130" t="s">
        <v>267</v>
      </c>
      <c r="D5026" s="130">
        <v>16</v>
      </c>
      <c r="E5026" s="130" t="s">
        <v>267</v>
      </c>
      <c r="F5026" s="1031">
        <v>0</v>
      </c>
      <c r="G5026" s="1031">
        <v>-63350.5</v>
      </c>
      <c r="H5026" s="1031">
        <v>-63350.5</v>
      </c>
      <c r="I5026" s="1032" t="s">
        <v>1384</v>
      </c>
    </row>
    <row r="5027" spans="1:9" x14ac:dyDescent="0.25">
      <c r="A5027" s="1033"/>
      <c r="C5027" s="130" t="s">
        <v>1385</v>
      </c>
      <c r="D5027" s="130">
        <v>16</v>
      </c>
      <c r="E5027" s="130" t="s">
        <v>1385</v>
      </c>
      <c r="F5027" s="1031">
        <v>0</v>
      </c>
      <c r="G5027" s="1031">
        <v>62100.5</v>
      </c>
      <c r="H5027" s="1031">
        <v>62100.5</v>
      </c>
      <c r="I5027" s="1032" t="s">
        <v>1386</v>
      </c>
    </row>
    <row r="5028" spans="1:9" x14ac:dyDescent="0.25">
      <c r="A5028" s="1033"/>
      <c r="C5028" s="130" t="s">
        <v>283</v>
      </c>
      <c r="D5028" s="130">
        <v>16</v>
      </c>
      <c r="E5028" s="130" t="s">
        <v>283</v>
      </c>
      <c r="F5028" s="1031">
        <v>0</v>
      </c>
      <c r="G5028" s="1031">
        <v>-73322</v>
      </c>
      <c r="H5028" s="1031">
        <v>-73322</v>
      </c>
      <c r="I5028" s="1032" t="s">
        <v>1389</v>
      </c>
    </row>
    <row r="5029" spans="1:9" x14ac:dyDescent="0.25">
      <c r="A5029" s="1033"/>
      <c r="C5029" s="130" t="s">
        <v>1390</v>
      </c>
      <c r="D5029" s="130">
        <v>16</v>
      </c>
      <c r="E5029" s="130" t="s">
        <v>1390</v>
      </c>
      <c r="F5029" s="1031">
        <v>0</v>
      </c>
      <c r="G5029" s="1031">
        <v>71413.2</v>
      </c>
      <c r="H5029" s="1031">
        <v>71413.2</v>
      </c>
      <c r="I5029" s="1032" t="s">
        <v>1391</v>
      </c>
    </row>
    <row r="5030" spans="1:9" x14ac:dyDescent="0.25">
      <c r="A5030" s="1033"/>
      <c r="C5030" s="130" t="s">
        <v>268</v>
      </c>
      <c r="D5030" s="130">
        <v>16</v>
      </c>
      <c r="E5030" s="130" t="s">
        <v>268</v>
      </c>
      <c r="F5030" s="1031">
        <v>0</v>
      </c>
      <c r="G5030" s="1031">
        <v>-84886.5</v>
      </c>
      <c r="H5030" s="1031">
        <v>-84886.5</v>
      </c>
      <c r="I5030" s="1032" t="s">
        <v>1394</v>
      </c>
    </row>
    <row r="5031" spans="1:9" x14ac:dyDescent="0.25">
      <c r="A5031" s="1033"/>
      <c r="C5031" s="130" t="s">
        <v>1395</v>
      </c>
      <c r="D5031" s="130">
        <v>16</v>
      </c>
      <c r="E5031" s="130" t="s">
        <v>1395</v>
      </c>
      <c r="F5031" s="1031">
        <v>0</v>
      </c>
      <c r="G5031" s="1031">
        <v>78271.8</v>
      </c>
      <c r="H5031" s="1031">
        <v>78271.8</v>
      </c>
      <c r="I5031" s="1032" t="s">
        <v>1396</v>
      </c>
    </row>
    <row r="5032" spans="1:9" x14ac:dyDescent="0.25">
      <c r="A5032" s="1033"/>
      <c r="C5032" s="130">
        <v>432</v>
      </c>
      <c r="D5032" s="130">
        <v>16</v>
      </c>
      <c r="E5032" s="130">
        <v>432</v>
      </c>
      <c r="F5032" s="1031">
        <v>0</v>
      </c>
      <c r="G5032" s="1031">
        <v>-100923.5</v>
      </c>
      <c r="H5032" s="1031">
        <v>-100923.5</v>
      </c>
      <c r="I5032" s="1032" t="s">
        <v>1399</v>
      </c>
    </row>
    <row r="5033" spans="1:9" x14ac:dyDescent="0.25">
      <c r="A5033" s="1033"/>
      <c r="C5033" s="130">
        <v>632</v>
      </c>
      <c r="D5033" s="130">
        <v>16</v>
      </c>
      <c r="E5033" s="130">
        <v>632</v>
      </c>
      <c r="F5033" s="1031">
        <v>0</v>
      </c>
      <c r="G5033" s="1031">
        <v>96040.18</v>
      </c>
      <c r="H5033" s="1031">
        <v>96040.18</v>
      </c>
      <c r="I5033" s="1032" t="s">
        <v>1400</v>
      </c>
    </row>
    <row r="5034" spans="1:9" x14ac:dyDescent="0.25">
      <c r="A5034" s="1033"/>
      <c r="C5034" s="130" t="s">
        <v>291</v>
      </c>
      <c r="D5034" s="130">
        <v>16</v>
      </c>
      <c r="E5034" s="130" t="s">
        <v>291</v>
      </c>
      <c r="F5034" s="1031">
        <v>0</v>
      </c>
      <c r="G5034" s="1031">
        <v>-122189.22</v>
      </c>
      <c r="H5034" s="1031">
        <v>-122189.22</v>
      </c>
      <c r="I5034" s="1032" t="s">
        <v>1403</v>
      </c>
    </row>
    <row r="5035" spans="1:9" x14ac:dyDescent="0.25">
      <c r="A5035" s="1033"/>
      <c r="C5035" s="130" t="s">
        <v>1404</v>
      </c>
      <c r="D5035" s="130">
        <v>16</v>
      </c>
      <c r="E5035" s="130" t="s">
        <v>1404</v>
      </c>
      <c r="F5035" s="1031">
        <v>0</v>
      </c>
      <c r="G5035" s="1031">
        <v>120939.22</v>
      </c>
      <c r="H5035" s="1031">
        <v>120939.22</v>
      </c>
      <c r="I5035" s="1032" t="s">
        <v>1405</v>
      </c>
    </row>
    <row r="5036" spans="1:9" x14ac:dyDescent="0.25">
      <c r="A5036" s="1033">
        <v>605828</v>
      </c>
      <c r="B5036" s="129">
        <v>2990</v>
      </c>
      <c r="E5036" s="130"/>
    </row>
    <row r="5037" spans="1:9" x14ac:dyDescent="0.25">
      <c r="A5037" s="1033">
        <v>605912</v>
      </c>
      <c r="B5037" s="129">
        <v>5</v>
      </c>
      <c r="E5037" s="130"/>
    </row>
    <row r="5038" spans="1:9" x14ac:dyDescent="0.25">
      <c r="A5038" s="1033">
        <v>605914</v>
      </c>
      <c r="B5038" s="129">
        <v>381520</v>
      </c>
      <c r="E5038" s="130"/>
    </row>
    <row r="5039" spans="1:9" x14ac:dyDescent="0.25">
      <c r="A5039" s="1033">
        <v>605916</v>
      </c>
      <c r="B5039" s="129">
        <v>19425</v>
      </c>
      <c r="C5039" s="130">
        <v>416</v>
      </c>
      <c r="D5039" s="130">
        <v>16</v>
      </c>
      <c r="E5039" s="130">
        <v>416</v>
      </c>
      <c r="F5039" s="1031">
        <v>0</v>
      </c>
      <c r="G5039" s="1031">
        <v>-165736.57999999999</v>
      </c>
      <c r="H5039" s="1031">
        <v>-165736.57999999999</v>
      </c>
      <c r="I5039" s="1032" t="s">
        <v>1331</v>
      </c>
    </row>
    <row r="5040" spans="1:9" x14ac:dyDescent="0.25">
      <c r="A5040" s="1033"/>
      <c r="C5040" s="130">
        <v>616</v>
      </c>
      <c r="D5040" s="130">
        <v>16</v>
      </c>
      <c r="E5040" s="130">
        <v>616</v>
      </c>
      <c r="F5040" s="1031">
        <v>0</v>
      </c>
      <c r="G5040" s="1031">
        <v>158419.29</v>
      </c>
      <c r="H5040" s="1031">
        <v>158419.29</v>
      </c>
      <c r="I5040" s="1032" t="s">
        <v>1332</v>
      </c>
    </row>
    <row r="5041" spans="1:9" x14ac:dyDescent="0.25">
      <c r="A5041" s="1033"/>
      <c r="C5041" s="130" t="s">
        <v>61</v>
      </c>
      <c r="D5041" s="130">
        <v>16</v>
      </c>
      <c r="E5041" s="130" t="s">
        <v>61</v>
      </c>
      <c r="F5041" s="1031">
        <v>0</v>
      </c>
      <c r="G5041" s="1031">
        <v>-215782.6</v>
      </c>
      <c r="H5041" s="1031">
        <v>-215782.6</v>
      </c>
      <c r="I5041" s="1032" t="s">
        <v>1335</v>
      </c>
    </row>
    <row r="5042" spans="1:9" x14ac:dyDescent="0.25">
      <c r="A5042" s="1033"/>
      <c r="C5042" s="130" t="s">
        <v>1336</v>
      </c>
      <c r="D5042" s="130">
        <v>16</v>
      </c>
      <c r="E5042" s="130" t="s">
        <v>1336</v>
      </c>
      <c r="F5042" s="1031">
        <v>0</v>
      </c>
      <c r="G5042" s="1031">
        <v>203675.76</v>
      </c>
      <c r="H5042" s="1031">
        <v>203675.76</v>
      </c>
      <c r="I5042" s="1032" t="s">
        <v>1337</v>
      </c>
    </row>
    <row r="5043" spans="1:9" x14ac:dyDescent="0.25">
      <c r="A5043" s="1033">
        <v>605918</v>
      </c>
      <c r="B5043" s="129">
        <v>3885</v>
      </c>
      <c r="E5043" s="130"/>
    </row>
    <row r="5044" spans="1:9" x14ac:dyDescent="0.25">
      <c r="A5044" s="1033">
        <v>605922</v>
      </c>
      <c r="B5044" s="129">
        <v>5</v>
      </c>
      <c r="E5044" s="130"/>
    </row>
    <row r="5045" spans="1:9" x14ac:dyDescent="0.25">
      <c r="A5045" s="1033">
        <v>605924</v>
      </c>
      <c r="B5045" s="129">
        <v>381520</v>
      </c>
      <c r="E5045" s="130"/>
    </row>
    <row r="5046" spans="1:9" x14ac:dyDescent="0.25">
      <c r="A5046" s="1033">
        <v>605926</v>
      </c>
      <c r="B5046" s="129">
        <v>19425</v>
      </c>
      <c r="C5046" s="130">
        <v>416</v>
      </c>
      <c r="D5046" s="130">
        <v>16</v>
      </c>
      <c r="E5046" s="130">
        <v>416</v>
      </c>
      <c r="F5046" s="1031">
        <v>0</v>
      </c>
      <c r="G5046" s="1031">
        <v>-165736.57999999999</v>
      </c>
      <c r="H5046" s="1031">
        <v>-165736.57999999999</v>
      </c>
      <c r="I5046" s="1032" t="s">
        <v>1331</v>
      </c>
    </row>
    <row r="5047" spans="1:9" x14ac:dyDescent="0.25">
      <c r="A5047" s="1033"/>
      <c r="C5047" s="130">
        <v>616</v>
      </c>
      <c r="D5047" s="130">
        <v>16</v>
      </c>
      <c r="E5047" s="130">
        <v>616</v>
      </c>
      <c r="F5047" s="1031">
        <v>0</v>
      </c>
      <c r="G5047" s="1031">
        <v>158419.29</v>
      </c>
      <c r="H5047" s="1031">
        <v>158419.29</v>
      </c>
      <c r="I5047" s="1032" t="s">
        <v>1332</v>
      </c>
    </row>
    <row r="5048" spans="1:9" x14ac:dyDescent="0.25">
      <c r="A5048" s="1033"/>
      <c r="C5048" s="130" t="s">
        <v>61</v>
      </c>
      <c r="D5048" s="130">
        <v>16</v>
      </c>
      <c r="E5048" s="130" t="s">
        <v>61</v>
      </c>
      <c r="F5048" s="1031">
        <v>0</v>
      </c>
      <c r="G5048" s="1031">
        <v>-215782.6</v>
      </c>
      <c r="H5048" s="1031">
        <v>-215782.6</v>
      </c>
      <c r="I5048" s="1032" t="s">
        <v>1335</v>
      </c>
    </row>
    <row r="5049" spans="1:9" x14ac:dyDescent="0.25">
      <c r="A5049" s="1033"/>
      <c r="C5049" s="130" t="s">
        <v>1336</v>
      </c>
      <c r="D5049" s="130">
        <v>16</v>
      </c>
      <c r="E5049" s="130" t="s">
        <v>1336</v>
      </c>
      <c r="F5049" s="1031">
        <v>0</v>
      </c>
      <c r="G5049" s="1031">
        <v>203675.76</v>
      </c>
      <c r="H5049" s="1031">
        <v>203675.76</v>
      </c>
      <c r="I5049" s="1032" t="s">
        <v>1337</v>
      </c>
    </row>
    <row r="5050" spans="1:9" x14ac:dyDescent="0.25">
      <c r="A5050" s="1033">
        <v>605928</v>
      </c>
      <c r="B5050" s="129">
        <v>3885</v>
      </c>
      <c r="E5050" s="130"/>
    </row>
    <row r="5051" spans="1:9" x14ac:dyDescent="0.25">
      <c r="A5051" s="1033">
        <v>606012</v>
      </c>
      <c r="B5051" s="129">
        <v>0</v>
      </c>
      <c r="E5051" s="130"/>
    </row>
    <row r="5052" spans="1:9" x14ac:dyDescent="0.25">
      <c r="A5052" s="1033">
        <v>606014</v>
      </c>
      <c r="B5052" s="129">
        <v>0</v>
      </c>
      <c r="E5052" s="130"/>
    </row>
    <row r="5053" spans="1:9" x14ac:dyDescent="0.25">
      <c r="A5053" s="1033">
        <v>606016</v>
      </c>
      <c r="B5053" s="129">
        <v>0</v>
      </c>
      <c r="E5053" s="130"/>
    </row>
    <row r="5054" spans="1:9" x14ac:dyDescent="0.25">
      <c r="A5054" s="1033">
        <v>606018</v>
      </c>
      <c r="B5054" s="129">
        <v>0</v>
      </c>
      <c r="E5054" s="130"/>
    </row>
    <row r="5055" spans="1:9" x14ac:dyDescent="0.25">
      <c r="A5055" s="1033">
        <v>606022</v>
      </c>
      <c r="B5055" s="129">
        <v>0</v>
      </c>
      <c r="E5055" s="130"/>
    </row>
    <row r="5056" spans="1:9" x14ac:dyDescent="0.25">
      <c r="A5056" s="1033">
        <v>606024</v>
      </c>
      <c r="B5056" s="129">
        <v>0</v>
      </c>
      <c r="E5056" s="130"/>
    </row>
    <row r="5057" spans="1:5" x14ac:dyDescent="0.25">
      <c r="A5057" s="1033">
        <v>606026</v>
      </c>
      <c r="B5057" s="129">
        <v>0</v>
      </c>
      <c r="E5057" s="130"/>
    </row>
    <row r="5058" spans="1:5" x14ac:dyDescent="0.25">
      <c r="A5058" s="1033">
        <v>606028</v>
      </c>
      <c r="B5058" s="129">
        <v>0</v>
      </c>
      <c r="E5058" s="130"/>
    </row>
    <row r="5059" spans="1:5" x14ac:dyDescent="0.25">
      <c r="A5059" s="1033">
        <v>400104</v>
      </c>
      <c r="B5059" s="129">
        <v>97328</v>
      </c>
      <c r="E5059" s="130"/>
    </row>
    <row r="5060" spans="1:5" x14ac:dyDescent="0.25">
      <c r="A5060" s="1033">
        <v>400106</v>
      </c>
      <c r="B5060" s="129">
        <v>97328</v>
      </c>
      <c r="E5060" s="130"/>
    </row>
    <row r="5061" spans="1:5" x14ac:dyDescent="0.25">
      <c r="A5061" s="1033">
        <v>400108</v>
      </c>
      <c r="B5061" s="129">
        <v>196981</v>
      </c>
      <c r="E5061" s="130"/>
    </row>
    <row r="5062" spans="1:5" x14ac:dyDescent="0.25">
      <c r="A5062" s="1033">
        <v>400110</v>
      </c>
      <c r="B5062" s="129">
        <v>196981</v>
      </c>
      <c r="E5062" s="130"/>
    </row>
    <row r="5063" spans="1:5" x14ac:dyDescent="0.25">
      <c r="A5063" s="1033">
        <v>400112</v>
      </c>
      <c r="B5063" s="129">
        <v>0</v>
      </c>
      <c r="E5063" s="130"/>
    </row>
    <row r="5064" spans="1:5" x14ac:dyDescent="0.25">
      <c r="A5064" s="1033">
        <v>400114</v>
      </c>
      <c r="B5064" s="129">
        <v>0</v>
      </c>
      <c r="E5064" s="130"/>
    </row>
    <row r="5065" spans="1:5" x14ac:dyDescent="0.25">
      <c r="A5065" s="1033">
        <v>400116</v>
      </c>
      <c r="B5065" s="129">
        <v>0</v>
      </c>
      <c r="E5065" s="130"/>
    </row>
    <row r="5066" spans="1:5" x14ac:dyDescent="0.25">
      <c r="A5066" s="1033">
        <v>400118</v>
      </c>
      <c r="B5066" s="129">
        <v>0</v>
      </c>
      <c r="E5066" s="130"/>
    </row>
    <row r="5067" spans="1:5" x14ac:dyDescent="0.25">
      <c r="A5067" s="1033">
        <v>400120</v>
      </c>
      <c r="B5067" s="129">
        <v>0</v>
      </c>
      <c r="E5067" s="130"/>
    </row>
    <row r="5068" spans="1:5" x14ac:dyDescent="0.25">
      <c r="A5068" s="1033">
        <v>400122</v>
      </c>
      <c r="B5068" s="129">
        <v>0</v>
      </c>
      <c r="E5068" s="130"/>
    </row>
    <row r="5069" spans="1:5" x14ac:dyDescent="0.25">
      <c r="A5069" s="1033">
        <v>400204</v>
      </c>
      <c r="B5069" s="129">
        <v>65770</v>
      </c>
      <c r="E5069" s="130"/>
    </row>
    <row r="5070" spans="1:5" x14ac:dyDescent="0.25">
      <c r="A5070" s="1033">
        <v>400206</v>
      </c>
      <c r="B5070" s="129">
        <v>65770</v>
      </c>
      <c r="E5070" s="130"/>
    </row>
    <row r="5071" spans="1:5" x14ac:dyDescent="0.25">
      <c r="A5071" s="1033">
        <v>400208</v>
      </c>
      <c r="B5071" s="129">
        <v>76014</v>
      </c>
      <c r="E5071" s="130"/>
    </row>
    <row r="5072" spans="1:5" x14ac:dyDescent="0.25">
      <c r="A5072" s="1033">
        <v>400210</v>
      </c>
      <c r="B5072" s="129">
        <v>76014</v>
      </c>
      <c r="E5072" s="130"/>
    </row>
    <row r="5073" spans="1:5" x14ac:dyDescent="0.25">
      <c r="A5073" s="1033">
        <v>400212</v>
      </c>
      <c r="B5073" s="129">
        <v>0</v>
      </c>
      <c r="E5073" s="130"/>
    </row>
    <row r="5074" spans="1:5" x14ac:dyDescent="0.25">
      <c r="A5074" s="1033">
        <v>400214</v>
      </c>
      <c r="B5074" s="129">
        <v>0</v>
      </c>
      <c r="E5074" s="130"/>
    </row>
    <row r="5075" spans="1:5" x14ac:dyDescent="0.25">
      <c r="A5075" s="1033">
        <v>400216</v>
      </c>
      <c r="B5075" s="129">
        <v>0</v>
      </c>
      <c r="E5075" s="130"/>
    </row>
    <row r="5076" spans="1:5" x14ac:dyDescent="0.25">
      <c r="A5076" s="1033">
        <v>400218</v>
      </c>
      <c r="B5076" s="129">
        <v>0</v>
      </c>
      <c r="E5076" s="130"/>
    </row>
    <row r="5077" spans="1:5" x14ac:dyDescent="0.25">
      <c r="A5077" s="1033">
        <v>400220</v>
      </c>
      <c r="B5077" s="129">
        <v>0</v>
      </c>
      <c r="E5077" s="130"/>
    </row>
    <row r="5078" spans="1:5" x14ac:dyDescent="0.25">
      <c r="A5078" s="1033">
        <v>400222</v>
      </c>
      <c r="B5078" s="129">
        <v>0</v>
      </c>
      <c r="E5078" s="130"/>
    </row>
    <row r="5079" spans="1:5" x14ac:dyDescent="0.25">
      <c r="A5079" s="1033">
        <v>405404</v>
      </c>
      <c r="B5079" s="129">
        <v>-58841</v>
      </c>
      <c r="E5079" s="130"/>
    </row>
    <row r="5080" spans="1:5" x14ac:dyDescent="0.25">
      <c r="A5080" s="1033">
        <v>405406</v>
      </c>
      <c r="B5080" s="129">
        <v>-58841</v>
      </c>
      <c r="E5080" s="130"/>
    </row>
    <row r="5081" spans="1:5" x14ac:dyDescent="0.25">
      <c r="A5081" s="1033">
        <v>405408</v>
      </c>
      <c r="B5081" s="129">
        <v>14339</v>
      </c>
      <c r="E5081" s="130"/>
    </row>
    <row r="5082" spans="1:5" x14ac:dyDescent="0.25">
      <c r="A5082" s="1033">
        <v>405410</v>
      </c>
      <c r="B5082" s="129">
        <v>14339</v>
      </c>
      <c r="E5082" s="130"/>
    </row>
    <row r="5083" spans="1:5" x14ac:dyDescent="0.25">
      <c r="A5083" s="1033">
        <v>405412</v>
      </c>
      <c r="B5083" s="129">
        <v>0</v>
      </c>
      <c r="E5083" s="130"/>
    </row>
    <row r="5084" spans="1:5" x14ac:dyDescent="0.25">
      <c r="A5084" s="1033">
        <v>405414</v>
      </c>
      <c r="B5084" s="129">
        <v>0</v>
      </c>
      <c r="E5084" s="130"/>
    </row>
    <row r="5085" spans="1:5" x14ac:dyDescent="0.25">
      <c r="A5085" s="1033">
        <v>405416</v>
      </c>
      <c r="B5085" s="129">
        <v>0</v>
      </c>
      <c r="E5085" s="130"/>
    </row>
    <row r="5086" spans="1:5" x14ac:dyDescent="0.25">
      <c r="A5086" s="1033">
        <v>405418</v>
      </c>
      <c r="B5086" s="129">
        <v>0</v>
      </c>
      <c r="E5086" s="130"/>
    </row>
    <row r="5087" spans="1:5" x14ac:dyDescent="0.25">
      <c r="A5087" s="1033">
        <v>405420</v>
      </c>
      <c r="B5087" s="129">
        <v>0</v>
      </c>
      <c r="E5087" s="130"/>
    </row>
    <row r="5088" spans="1:5" x14ac:dyDescent="0.25">
      <c r="A5088" s="1033">
        <v>405422</v>
      </c>
      <c r="B5088" s="129">
        <v>0</v>
      </c>
      <c r="E5088" s="130"/>
    </row>
    <row r="5089" spans="1:5" x14ac:dyDescent="0.25">
      <c r="A5089" s="1033">
        <v>300104</v>
      </c>
      <c r="B5089" s="129">
        <v>1162473</v>
      </c>
      <c r="E5089" s="130"/>
    </row>
    <row r="5090" spans="1:5" x14ac:dyDescent="0.25">
      <c r="A5090" s="1033">
        <v>300106</v>
      </c>
      <c r="B5090" s="129">
        <v>1162473</v>
      </c>
      <c r="E5090" s="130"/>
    </row>
    <row r="5091" spans="1:5" x14ac:dyDescent="0.25">
      <c r="A5091" s="1033">
        <v>300108</v>
      </c>
      <c r="B5091" s="129">
        <v>877325</v>
      </c>
      <c r="E5091" s="130"/>
    </row>
    <row r="5092" spans="1:5" x14ac:dyDescent="0.25">
      <c r="A5092" s="1033">
        <v>300110</v>
      </c>
      <c r="B5092" s="129">
        <v>877325</v>
      </c>
      <c r="E5092" s="130"/>
    </row>
    <row r="5093" spans="1:5" x14ac:dyDescent="0.25">
      <c r="A5093" s="1033">
        <v>300112</v>
      </c>
      <c r="B5093" s="129">
        <v>0</v>
      </c>
      <c r="E5093" s="130"/>
    </row>
    <row r="5094" spans="1:5" x14ac:dyDescent="0.25">
      <c r="A5094" s="1033">
        <v>300114</v>
      </c>
      <c r="B5094" s="129">
        <v>0</v>
      </c>
      <c r="E5094" s="130"/>
    </row>
    <row r="5095" spans="1:5" x14ac:dyDescent="0.25">
      <c r="A5095" s="1033">
        <v>300116</v>
      </c>
      <c r="B5095" s="129">
        <v>0</v>
      </c>
      <c r="E5095" s="130"/>
    </row>
    <row r="5096" spans="1:5" x14ac:dyDescent="0.25">
      <c r="A5096" s="1033">
        <v>300118</v>
      </c>
      <c r="B5096" s="129">
        <v>0</v>
      </c>
      <c r="E5096" s="130"/>
    </row>
    <row r="5097" spans="1:5" x14ac:dyDescent="0.25">
      <c r="A5097" s="1033">
        <v>300204</v>
      </c>
      <c r="B5097" s="129">
        <v>96277</v>
      </c>
      <c r="E5097" s="130"/>
    </row>
    <row r="5098" spans="1:5" x14ac:dyDescent="0.25">
      <c r="A5098" s="1033">
        <v>300206</v>
      </c>
      <c r="B5098" s="129">
        <v>96277</v>
      </c>
      <c r="E5098" s="130"/>
    </row>
    <row r="5099" spans="1:5" x14ac:dyDescent="0.25">
      <c r="A5099" s="1033">
        <v>300208</v>
      </c>
      <c r="B5099" s="129">
        <v>46136</v>
      </c>
      <c r="E5099" s="130"/>
    </row>
    <row r="5100" spans="1:5" x14ac:dyDescent="0.25">
      <c r="A5100" s="1033">
        <v>300210</v>
      </c>
      <c r="B5100" s="129">
        <v>46136</v>
      </c>
      <c r="E5100" s="130"/>
    </row>
    <row r="5101" spans="1:5" x14ac:dyDescent="0.25">
      <c r="A5101" s="1033">
        <v>300212</v>
      </c>
      <c r="B5101" s="129">
        <v>0</v>
      </c>
      <c r="E5101" s="130"/>
    </row>
    <row r="5102" spans="1:5" x14ac:dyDescent="0.25">
      <c r="A5102" s="1033">
        <v>300214</v>
      </c>
      <c r="B5102" s="129">
        <v>0</v>
      </c>
      <c r="E5102" s="130"/>
    </row>
    <row r="5103" spans="1:5" x14ac:dyDescent="0.25">
      <c r="A5103" s="1033">
        <v>300216</v>
      </c>
      <c r="B5103" s="129">
        <v>0</v>
      </c>
      <c r="E5103" s="130"/>
    </row>
    <row r="5104" spans="1:5" x14ac:dyDescent="0.25">
      <c r="A5104" s="1033">
        <v>300218</v>
      </c>
      <c r="B5104" s="129">
        <v>0</v>
      </c>
      <c r="E5104" s="130"/>
    </row>
    <row r="5105" spans="1:5" x14ac:dyDescent="0.25">
      <c r="A5105" s="1033">
        <v>306004</v>
      </c>
      <c r="B5105" s="129">
        <v>-74223</v>
      </c>
      <c r="E5105" s="130"/>
    </row>
    <row r="5106" spans="1:5" x14ac:dyDescent="0.25">
      <c r="A5106" s="1033">
        <v>306006</v>
      </c>
      <c r="B5106" s="129">
        <v>-74223</v>
      </c>
      <c r="E5106" s="130"/>
    </row>
    <row r="5107" spans="1:5" x14ac:dyDescent="0.25">
      <c r="A5107" s="1033">
        <v>306008</v>
      </c>
      <c r="B5107" s="129">
        <v>-22752</v>
      </c>
      <c r="E5107" s="130"/>
    </row>
    <row r="5108" spans="1:5" x14ac:dyDescent="0.25">
      <c r="A5108" s="1033">
        <v>306010</v>
      </c>
      <c r="B5108" s="129">
        <v>-22752</v>
      </c>
      <c r="E5108" s="130"/>
    </row>
    <row r="5109" spans="1:5" x14ac:dyDescent="0.25">
      <c r="A5109" s="1033">
        <v>306012</v>
      </c>
      <c r="B5109" s="129">
        <v>0</v>
      </c>
      <c r="E5109" s="130"/>
    </row>
    <row r="5110" spans="1:5" x14ac:dyDescent="0.25">
      <c r="A5110" s="1033">
        <v>306014</v>
      </c>
      <c r="B5110" s="129">
        <v>0</v>
      </c>
      <c r="E5110" s="130"/>
    </row>
    <row r="5111" spans="1:5" x14ac:dyDescent="0.25">
      <c r="A5111" s="1033">
        <v>306016</v>
      </c>
      <c r="B5111" s="129">
        <v>0</v>
      </c>
      <c r="E5111" s="130"/>
    </row>
    <row r="5112" spans="1:5" x14ac:dyDescent="0.25">
      <c r="A5112" s="1033">
        <v>306018</v>
      </c>
      <c r="B5112" s="129">
        <v>0</v>
      </c>
      <c r="E5112" s="130"/>
    </row>
    <row r="5113" spans="1:5" x14ac:dyDescent="0.25">
      <c r="A5113" s="1033">
        <v>200114</v>
      </c>
      <c r="B5113" s="129">
        <v>2334107</v>
      </c>
      <c r="E5113" s="130"/>
    </row>
    <row r="5114" spans="1:5" x14ac:dyDescent="0.25">
      <c r="A5114" s="1033">
        <v>200118</v>
      </c>
      <c r="B5114" s="129">
        <v>2334107</v>
      </c>
      <c r="E5114" s="130"/>
    </row>
    <row r="5115" spans="1:5" x14ac:dyDescent="0.25">
      <c r="A5115" s="1033">
        <v>200124</v>
      </c>
      <c r="B5115" s="129">
        <v>0</v>
      </c>
      <c r="E5115" s="130"/>
    </row>
    <row r="5116" spans="1:5" x14ac:dyDescent="0.25">
      <c r="A5116" s="1033">
        <v>200128</v>
      </c>
      <c r="B5116" s="129">
        <v>0</v>
      </c>
      <c r="E5116" s="130"/>
    </row>
    <row r="5117" spans="1:5" x14ac:dyDescent="0.25">
      <c r="A5117" s="1033">
        <v>200214</v>
      </c>
      <c r="B5117" s="129">
        <v>284197</v>
      </c>
      <c r="E5117" s="130"/>
    </row>
    <row r="5118" spans="1:5" x14ac:dyDescent="0.25">
      <c r="A5118" s="1033">
        <v>200216</v>
      </c>
      <c r="B5118" s="129">
        <v>122</v>
      </c>
      <c r="E5118" s="130"/>
    </row>
    <row r="5119" spans="1:5" x14ac:dyDescent="0.25">
      <c r="A5119" s="1033">
        <v>200218</v>
      </c>
      <c r="B5119" s="129">
        <v>284197</v>
      </c>
      <c r="E5119" s="130"/>
    </row>
    <row r="5120" spans="1:5" x14ac:dyDescent="0.25">
      <c r="A5120" s="1033">
        <v>200220</v>
      </c>
      <c r="B5120" s="129">
        <v>122</v>
      </c>
      <c r="E5120" s="130"/>
    </row>
    <row r="5121" spans="1:5" x14ac:dyDescent="0.25">
      <c r="A5121" s="1033">
        <v>200224</v>
      </c>
      <c r="B5121" s="129">
        <v>0</v>
      </c>
      <c r="E5121" s="130"/>
    </row>
    <row r="5122" spans="1:5" x14ac:dyDescent="0.25">
      <c r="A5122" s="1033">
        <v>200226</v>
      </c>
      <c r="B5122" s="129">
        <v>0</v>
      </c>
      <c r="E5122" s="130"/>
    </row>
    <row r="5123" spans="1:5" x14ac:dyDescent="0.25">
      <c r="A5123" s="1033">
        <v>200228</v>
      </c>
      <c r="B5123" s="129">
        <v>0</v>
      </c>
      <c r="E5123" s="130"/>
    </row>
    <row r="5124" spans="1:5" x14ac:dyDescent="0.25">
      <c r="A5124" s="1033">
        <v>200230</v>
      </c>
      <c r="B5124" s="129">
        <v>0</v>
      </c>
      <c r="E5124" s="130"/>
    </row>
    <row r="5125" spans="1:5" x14ac:dyDescent="0.25">
      <c r="A5125" s="1033">
        <v>200414</v>
      </c>
      <c r="B5125" s="129">
        <v>19573</v>
      </c>
      <c r="E5125" s="130"/>
    </row>
    <row r="5126" spans="1:5" x14ac:dyDescent="0.25">
      <c r="A5126" s="1033">
        <v>200416</v>
      </c>
      <c r="B5126" s="129">
        <v>69</v>
      </c>
      <c r="E5126" s="130"/>
    </row>
    <row r="5127" spans="1:5" x14ac:dyDescent="0.25">
      <c r="A5127" s="1033">
        <v>200418</v>
      </c>
      <c r="B5127" s="129">
        <v>19573</v>
      </c>
      <c r="E5127" s="130"/>
    </row>
    <row r="5128" spans="1:5" x14ac:dyDescent="0.25">
      <c r="A5128" s="1033">
        <v>200420</v>
      </c>
      <c r="B5128" s="129">
        <v>69</v>
      </c>
      <c r="E5128" s="130"/>
    </row>
    <row r="5129" spans="1:5" x14ac:dyDescent="0.25">
      <c r="A5129" s="1033">
        <v>200424</v>
      </c>
      <c r="B5129" s="129">
        <v>0</v>
      </c>
      <c r="E5129" s="130"/>
    </row>
    <row r="5130" spans="1:5" x14ac:dyDescent="0.25">
      <c r="A5130" s="1033">
        <v>200426</v>
      </c>
      <c r="B5130" s="129">
        <v>0</v>
      </c>
      <c r="E5130" s="130"/>
    </row>
    <row r="5131" spans="1:5" x14ac:dyDescent="0.25">
      <c r="A5131" s="1033">
        <v>200428</v>
      </c>
      <c r="B5131" s="129">
        <v>0</v>
      </c>
      <c r="E5131" s="130"/>
    </row>
    <row r="5132" spans="1:5" x14ac:dyDescent="0.25">
      <c r="A5132" s="1033">
        <v>200430</v>
      </c>
      <c r="B5132" s="129">
        <v>0</v>
      </c>
      <c r="E5132" s="130"/>
    </row>
    <row r="5133" spans="1:5" x14ac:dyDescent="0.25">
      <c r="A5133" s="1033">
        <v>200514</v>
      </c>
      <c r="B5133" s="129">
        <v>8200</v>
      </c>
      <c r="E5133" s="130"/>
    </row>
    <row r="5134" spans="1:5" x14ac:dyDescent="0.25">
      <c r="A5134" s="1033">
        <v>200516</v>
      </c>
      <c r="B5134" s="129">
        <v>29</v>
      </c>
      <c r="E5134" s="130"/>
    </row>
    <row r="5135" spans="1:5" x14ac:dyDescent="0.25">
      <c r="A5135" s="1033">
        <v>200518</v>
      </c>
      <c r="B5135" s="129">
        <v>8200</v>
      </c>
      <c r="E5135" s="130"/>
    </row>
    <row r="5136" spans="1:5" x14ac:dyDescent="0.25">
      <c r="A5136" s="1033">
        <v>200520</v>
      </c>
      <c r="B5136" s="129">
        <v>29</v>
      </c>
      <c r="E5136" s="130"/>
    </row>
    <row r="5137" spans="1:5" x14ac:dyDescent="0.25">
      <c r="A5137" s="1033">
        <v>200524</v>
      </c>
      <c r="B5137" s="129">
        <v>0</v>
      </c>
      <c r="E5137" s="130"/>
    </row>
    <row r="5138" spans="1:5" x14ac:dyDescent="0.25">
      <c r="A5138" s="1033">
        <v>200526</v>
      </c>
      <c r="B5138" s="129">
        <v>0</v>
      </c>
      <c r="E5138" s="130"/>
    </row>
    <row r="5139" spans="1:5" x14ac:dyDescent="0.25">
      <c r="A5139" s="1033">
        <v>200528</v>
      </c>
      <c r="B5139" s="129">
        <v>0</v>
      </c>
      <c r="E5139" s="130"/>
    </row>
    <row r="5140" spans="1:5" x14ac:dyDescent="0.25">
      <c r="A5140" s="1033">
        <v>200530</v>
      </c>
      <c r="B5140" s="129">
        <v>0</v>
      </c>
      <c r="E5140" s="130"/>
    </row>
    <row r="5141" spans="1:5" x14ac:dyDescent="0.25">
      <c r="A5141" s="1033">
        <v>200614</v>
      </c>
      <c r="B5141" s="129">
        <v>4406</v>
      </c>
      <c r="E5141" s="130"/>
    </row>
    <row r="5142" spans="1:5" x14ac:dyDescent="0.25">
      <c r="A5142" s="1033">
        <v>200616</v>
      </c>
      <c r="B5142" s="129">
        <v>16</v>
      </c>
      <c r="E5142" s="130"/>
    </row>
    <row r="5143" spans="1:5" x14ac:dyDescent="0.25">
      <c r="A5143" s="1033">
        <v>200618</v>
      </c>
      <c r="B5143" s="129">
        <v>4406</v>
      </c>
      <c r="E5143" s="130"/>
    </row>
    <row r="5144" spans="1:5" x14ac:dyDescent="0.25">
      <c r="A5144" s="1033">
        <v>200620</v>
      </c>
      <c r="B5144" s="129">
        <v>16</v>
      </c>
      <c r="E5144" s="130"/>
    </row>
    <row r="5145" spans="1:5" x14ac:dyDescent="0.25">
      <c r="A5145" s="1033">
        <v>200624</v>
      </c>
      <c r="B5145" s="129">
        <v>0</v>
      </c>
      <c r="E5145" s="130"/>
    </row>
    <row r="5146" spans="1:5" x14ac:dyDescent="0.25">
      <c r="A5146" s="1033">
        <v>200626</v>
      </c>
      <c r="B5146" s="129">
        <v>0</v>
      </c>
      <c r="E5146" s="130"/>
    </row>
    <row r="5147" spans="1:5" x14ac:dyDescent="0.25">
      <c r="A5147" s="1033">
        <v>200628</v>
      </c>
      <c r="B5147" s="129">
        <v>0</v>
      </c>
      <c r="E5147" s="130"/>
    </row>
    <row r="5148" spans="1:5" x14ac:dyDescent="0.25">
      <c r="A5148" s="1033">
        <v>200630</v>
      </c>
      <c r="B5148" s="129">
        <v>0</v>
      </c>
      <c r="E5148" s="130"/>
    </row>
    <row r="5149" spans="1:5" x14ac:dyDescent="0.25">
      <c r="A5149" s="1033">
        <v>200714</v>
      </c>
      <c r="B5149" s="129">
        <v>27482</v>
      </c>
      <c r="E5149" s="130"/>
    </row>
    <row r="5150" spans="1:5" x14ac:dyDescent="0.25">
      <c r="A5150" s="1033">
        <v>200716</v>
      </c>
      <c r="B5150" s="129">
        <v>97</v>
      </c>
      <c r="E5150" s="130"/>
    </row>
    <row r="5151" spans="1:5" x14ac:dyDescent="0.25">
      <c r="A5151" s="1033">
        <v>200718</v>
      </c>
      <c r="B5151" s="129">
        <v>27482</v>
      </c>
      <c r="E5151" s="130"/>
    </row>
    <row r="5152" spans="1:5" x14ac:dyDescent="0.25">
      <c r="A5152" s="1033">
        <v>200720</v>
      </c>
      <c r="B5152" s="129">
        <v>97</v>
      </c>
      <c r="E5152" s="130"/>
    </row>
    <row r="5153" spans="1:5" x14ac:dyDescent="0.25">
      <c r="A5153" s="1033">
        <v>200724</v>
      </c>
      <c r="B5153" s="129">
        <v>0</v>
      </c>
      <c r="E5153" s="130"/>
    </row>
    <row r="5154" spans="1:5" x14ac:dyDescent="0.25">
      <c r="A5154" s="1033">
        <v>200726</v>
      </c>
      <c r="B5154" s="129">
        <v>0</v>
      </c>
      <c r="E5154" s="130"/>
    </row>
    <row r="5155" spans="1:5" x14ac:dyDescent="0.25">
      <c r="A5155" s="1033">
        <v>200728</v>
      </c>
      <c r="B5155" s="129">
        <v>0</v>
      </c>
      <c r="E5155" s="130"/>
    </row>
    <row r="5156" spans="1:5" x14ac:dyDescent="0.25">
      <c r="A5156" s="1033">
        <v>200730</v>
      </c>
      <c r="B5156" s="129">
        <v>0</v>
      </c>
      <c r="E5156" s="130"/>
    </row>
    <row r="5157" spans="1:5" x14ac:dyDescent="0.25">
      <c r="A5157" s="1033">
        <v>200814</v>
      </c>
      <c r="B5157" s="129">
        <v>-1845</v>
      </c>
      <c r="E5157" s="130"/>
    </row>
    <row r="5158" spans="1:5" x14ac:dyDescent="0.25">
      <c r="A5158" s="1033">
        <v>200816</v>
      </c>
      <c r="B5158" s="129">
        <v>-6</v>
      </c>
      <c r="E5158" s="130"/>
    </row>
    <row r="5159" spans="1:5" x14ac:dyDescent="0.25">
      <c r="A5159" s="1033">
        <v>200818</v>
      </c>
      <c r="B5159" s="129">
        <v>-1845</v>
      </c>
      <c r="E5159" s="130"/>
    </row>
    <row r="5160" spans="1:5" x14ac:dyDescent="0.25">
      <c r="A5160" s="1033">
        <v>200820</v>
      </c>
      <c r="B5160" s="129">
        <v>-6</v>
      </c>
      <c r="E5160" s="130"/>
    </row>
    <row r="5161" spans="1:5" x14ac:dyDescent="0.25">
      <c r="A5161" s="1033">
        <v>200824</v>
      </c>
      <c r="B5161" s="129">
        <v>0</v>
      </c>
      <c r="E5161" s="130"/>
    </row>
    <row r="5162" spans="1:5" x14ac:dyDescent="0.25">
      <c r="A5162" s="1033">
        <v>200826</v>
      </c>
      <c r="B5162" s="129">
        <v>0</v>
      </c>
      <c r="E5162" s="130"/>
    </row>
    <row r="5163" spans="1:5" x14ac:dyDescent="0.25">
      <c r="A5163" s="1033">
        <v>200828</v>
      </c>
      <c r="B5163" s="129">
        <v>0</v>
      </c>
      <c r="E5163" s="130"/>
    </row>
    <row r="5164" spans="1:5" x14ac:dyDescent="0.25">
      <c r="A5164" s="1033">
        <v>200830</v>
      </c>
      <c r="B5164" s="129">
        <v>0</v>
      </c>
      <c r="E5164" s="130"/>
    </row>
    <row r="5165" spans="1:5" x14ac:dyDescent="0.25">
      <c r="A5165" s="1033">
        <v>200914</v>
      </c>
      <c r="B5165" s="129">
        <v>2400</v>
      </c>
      <c r="E5165" s="130"/>
    </row>
    <row r="5166" spans="1:5" x14ac:dyDescent="0.25">
      <c r="A5166" s="1033">
        <v>200916</v>
      </c>
      <c r="B5166" s="129">
        <v>8</v>
      </c>
      <c r="E5166" s="130"/>
    </row>
    <row r="5167" spans="1:5" x14ac:dyDescent="0.25">
      <c r="A5167" s="1033">
        <v>200918</v>
      </c>
      <c r="B5167" s="129">
        <v>2400</v>
      </c>
      <c r="E5167" s="130"/>
    </row>
    <row r="5168" spans="1:5" x14ac:dyDescent="0.25">
      <c r="A5168" s="1033">
        <v>200920</v>
      </c>
      <c r="B5168" s="129">
        <v>8</v>
      </c>
      <c r="E5168" s="130"/>
    </row>
    <row r="5169" spans="1:5" x14ac:dyDescent="0.25">
      <c r="A5169" s="1033">
        <v>200924</v>
      </c>
      <c r="B5169" s="129">
        <v>0</v>
      </c>
      <c r="E5169" s="130"/>
    </row>
    <row r="5170" spans="1:5" x14ac:dyDescent="0.25">
      <c r="A5170" s="1033">
        <v>200926</v>
      </c>
      <c r="B5170" s="129">
        <v>0</v>
      </c>
      <c r="E5170" s="130"/>
    </row>
    <row r="5171" spans="1:5" x14ac:dyDescent="0.25">
      <c r="A5171" s="1033">
        <v>200928</v>
      </c>
      <c r="B5171" s="129">
        <v>0</v>
      </c>
      <c r="E5171" s="130"/>
    </row>
    <row r="5172" spans="1:5" x14ac:dyDescent="0.25">
      <c r="A5172" s="1033">
        <v>200930</v>
      </c>
      <c r="B5172" s="129">
        <v>0</v>
      </c>
      <c r="E5172" s="130"/>
    </row>
    <row r="5173" spans="1:5" x14ac:dyDescent="0.25">
      <c r="A5173" s="1033">
        <v>201014</v>
      </c>
      <c r="B5173" s="129">
        <v>25200</v>
      </c>
      <c r="E5173" s="130"/>
    </row>
    <row r="5174" spans="1:5" x14ac:dyDescent="0.25">
      <c r="A5174" s="1033">
        <v>201016</v>
      </c>
      <c r="B5174" s="129">
        <v>89</v>
      </c>
      <c r="E5174" s="130"/>
    </row>
    <row r="5175" spans="1:5" x14ac:dyDescent="0.25">
      <c r="A5175" s="1033">
        <v>201018</v>
      </c>
      <c r="B5175" s="129">
        <v>25200</v>
      </c>
      <c r="E5175" s="130"/>
    </row>
    <row r="5176" spans="1:5" x14ac:dyDescent="0.25">
      <c r="A5176" s="1033">
        <v>201020</v>
      </c>
      <c r="B5176" s="129">
        <v>89</v>
      </c>
      <c r="E5176" s="130"/>
    </row>
    <row r="5177" spans="1:5" x14ac:dyDescent="0.25">
      <c r="A5177" s="1033">
        <v>201024</v>
      </c>
      <c r="B5177" s="129">
        <v>0</v>
      </c>
      <c r="E5177" s="130"/>
    </row>
    <row r="5178" spans="1:5" x14ac:dyDescent="0.25">
      <c r="A5178" s="1033">
        <v>201026</v>
      </c>
      <c r="B5178" s="129">
        <v>0</v>
      </c>
      <c r="E5178" s="130"/>
    </row>
    <row r="5179" spans="1:5" x14ac:dyDescent="0.25">
      <c r="A5179" s="1033">
        <v>201028</v>
      </c>
      <c r="B5179" s="129">
        <v>0</v>
      </c>
      <c r="E5179" s="130"/>
    </row>
    <row r="5180" spans="1:5" x14ac:dyDescent="0.25">
      <c r="A5180" s="1033">
        <v>201030</v>
      </c>
      <c r="B5180" s="129">
        <v>0</v>
      </c>
      <c r="E5180" s="130"/>
    </row>
    <row r="5181" spans="1:5" x14ac:dyDescent="0.25">
      <c r="A5181" s="1033">
        <v>201114</v>
      </c>
      <c r="B5181" s="129">
        <v>0</v>
      </c>
      <c r="E5181" s="130"/>
    </row>
    <row r="5182" spans="1:5" x14ac:dyDescent="0.25">
      <c r="A5182" s="1033">
        <v>201116</v>
      </c>
      <c r="B5182" s="129">
        <v>0</v>
      </c>
      <c r="E5182" s="130"/>
    </row>
    <row r="5183" spans="1:5" x14ac:dyDescent="0.25">
      <c r="A5183" s="1033">
        <v>201118</v>
      </c>
      <c r="B5183" s="129">
        <v>0</v>
      </c>
      <c r="E5183" s="130"/>
    </row>
    <row r="5184" spans="1:5" x14ac:dyDescent="0.25">
      <c r="A5184" s="1033">
        <v>201120</v>
      </c>
      <c r="B5184" s="129">
        <v>0</v>
      </c>
      <c r="E5184" s="130"/>
    </row>
    <row r="5185" spans="1:5" x14ac:dyDescent="0.25">
      <c r="A5185" s="1033">
        <v>201124</v>
      </c>
      <c r="B5185" s="129">
        <v>0</v>
      </c>
      <c r="E5185" s="130"/>
    </row>
    <row r="5186" spans="1:5" x14ac:dyDescent="0.25">
      <c r="A5186" s="1033">
        <v>201126</v>
      </c>
      <c r="B5186" s="129">
        <v>0</v>
      </c>
      <c r="E5186" s="130"/>
    </row>
    <row r="5187" spans="1:5" x14ac:dyDescent="0.25">
      <c r="A5187" s="1033">
        <v>201128</v>
      </c>
      <c r="B5187" s="129">
        <v>0</v>
      </c>
      <c r="E5187" s="130"/>
    </row>
    <row r="5188" spans="1:5" x14ac:dyDescent="0.25">
      <c r="A5188" s="1033">
        <v>201130</v>
      </c>
      <c r="B5188" s="129">
        <v>0</v>
      </c>
      <c r="E5188" s="130"/>
    </row>
    <row r="5189" spans="1:5" x14ac:dyDescent="0.25">
      <c r="A5189" s="1033">
        <v>201214</v>
      </c>
      <c r="B5189" s="129">
        <v>80616</v>
      </c>
      <c r="E5189" s="130"/>
    </row>
    <row r="5190" spans="1:5" x14ac:dyDescent="0.25">
      <c r="A5190" s="1033">
        <v>201216</v>
      </c>
      <c r="B5190" s="129">
        <v>284</v>
      </c>
      <c r="E5190" s="130"/>
    </row>
    <row r="5191" spans="1:5" x14ac:dyDescent="0.25">
      <c r="A5191" s="1033">
        <v>201218</v>
      </c>
      <c r="B5191" s="129">
        <v>80616</v>
      </c>
      <c r="E5191" s="130"/>
    </row>
    <row r="5192" spans="1:5" x14ac:dyDescent="0.25">
      <c r="A5192" s="1033">
        <v>201220</v>
      </c>
      <c r="B5192" s="129">
        <v>284</v>
      </c>
      <c r="E5192" s="130"/>
    </row>
    <row r="5193" spans="1:5" x14ac:dyDescent="0.25">
      <c r="A5193" s="1033">
        <v>201224</v>
      </c>
      <c r="B5193" s="129">
        <v>0</v>
      </c>
      <c r="E5193" s="130"/>
    </row>
    <row r="5194" spans="1:5" x14ac:dyDescent="0.25">
      <c r="A5194" s="1033">
        <v>201226</v>
      </c>
      <c r="B5194" s="129">
        <v>0</v>
      </c>
      <c r="E5194" s="130"/>
    </row>
    <row r="5195" spans="1:5" x14ac:dyDescent="0.25">
      <c r="A5195" s="1033">
        <v>201228</v>
      </c>
      <c r="B5195" s="129">
        <v>0</v>
      </c>
      <c r="E5195" s="130"/>
    </row>
    <row r="5196" spans="1:5" x14ac:dyDescent="0.25">
      <c r="A5196" s="1033">
        <v>201230</v>
      </c>
      <c r="B5196" s="129">
        <v>0</v>
      </c>
      <c r="E5196" s="130"/>
    </row>
    <row r="5197" spans="1:5" x14ac:dyDescent="0.25">
      <c r="A5197" s="1033">
        <v>201314</v>
      </c>
      <c r="B5197" s="129">
        <v>14940</v>
      </c>
      <c r="E5197" s="130"/>
    </row>
    <row r="5198" spans="1:5" x14ac:dyDescent="0.25">
      <c r="A5198" s="1033">
        <v>201316</v>
      </c>
      <c r="B5198" s="129">
        <v>53</v>
      </c>
      <c r="E5198" s="130"/>
    </row>
    <row r="5199" spans="1:5" x14ac:dyDescent="0.25">
      <c r="A5199" s="1033">
        <v>201318</v>
      </c>
      <c r="B5199" s="129">
        <v>14940</v>
      </c>
      <c r="E5199" s="130"/>
    </row>
    <row r="5200" spans="1:5" x14ac:dyDescent="0.25">
      <c r="A5200" s="1033">
        <v>201320</v>
      </c>
      <c r="B5200" s="129">
        <v>53</v>
      </c>
      <c r="E5200" s="130"/>
    </row>
    <row r="5201" spans="1:5" x14ac:dyDescent="0.25">
      <c r="A5201" s="1033">
        <v>201324</v>
      </c>
      <c r="B5201" s="129">
        <v>0</v>
      </c>
      <c r="E5201" s="130"/>
    </row>
    <row r="5202" spans="1:5" x14ac:dyDescent="0.25">
      <c r="A5202" s="1033">
        <v>201326</v>
      </c>
      <c r="B5202" s="129">
        <v>0</v>
      </c>
      <c r="E5202" s="130"/>
    </row>
    <row r="5203" spans="1:5" x14ac:dyDescent="0.25">
      <c r="A5203" s="1033">
        <v>201328</v>
      </c>
      <c r="B5203" s="129">
        <v>0</v>
      </c>
      <c r="E5203" s="130"/>
    </row>
    <row r="5204" spans="1:5" x14ac:dyDescent="0.25">
      <c r="A5204" s="1033">
        <v>201330</v>
      </c>
      <c r="B5204" s="129">
        <v>0</v>
      </c>
      <c r="E5204" s="130"/>
    </row>
    <row r="5205" spans="1:5" x14ac:dyDescent="0.25">
      <c r="A5205" s="1033">
        <v>201414</v>
      </c>
      <c r="B5205" s="129">
        <v>33673</v>
      </c>
      <c r="E5205" s="130"/>
    </row>
    <row r="5206" spans="1:5" x14ac:dyDescent="0.25">
      <c r="A5206" s="1033">
        <v>201416</v>
      </c>
      <c r="B5206" s="129">
        <v>118</v>
      </c>
      <c r="E5206" s="130"/>
    </row>
    <row r="5207" spans="1:5" x14ac:dyDescent="0.25">
      <c r="A5207" s="1033">
        <v>201418</v>
      </c>
      <c r="B5207" s="129">
        <v>33673</v>
      </c>
      <c r="E5207" s="130"/>
    </row>
    <row r="5208" spans="1:5" x14ac:dyDescent="0.25">
      <c r="A5208" s="1033">
        <v>201420</v>
      </c>
      <c r="B5208" s="129">
        <v>118</v>
      </c>
      <c r="E5208" s="130"/>
    </row>
    <row r="5209" spans="1:5" x14ac:dyDescent="0.25">
      <c r="A5209" s="1033">
        <v>201424</v>
      </c>
      <c r="B5209" s="129">
        <v>0</v>
      </c>
      <c r="E5209" s="130"/>
    </row>
    <row r="5210" spans="1:5" x14ac:dyDescent="0.25">
      <c r="A5210" s="1033">
        <v>201426</v>
      </c>
      <c r="B5210" s="129">
        <v>0</v>
      </c>
      <c r="E5210" s="130"/>
    </row>
    <row r="5211" spans="1:5" x14ac:dyDescent="0.25">
      <c r="A5211" s="1033">
        <v>201428</v>
      </c>
      <c r="B5211" s="129">
        <v>0</v>
      </c>
      <c r="E5211" s="130"/>
    </row>
    <row r="5212" spans="1:5" x14ac:dyDescent="0.25">
      <c r="A5212" s="1033">
        <v>201430</v>
      </c>
      <c r="B5212" s="129">
        <v>0</v>
      </c>
      <c r="E5212" s="130"/>
    </row>
    <row r="5213" spans="1:5" x14ac:dyDescent="0.25">
      <c r="A5213" s="1033">
        <v>201514</v>
      </c>
      <c r="B5213" s="129">
        <v>23131</v>
      </c>
      <c r="E5213" s="130"/>
    </row>
    <row r="5214" spans="1:5" x14ac:dyDescent="0.25">
      <c r="A5214" s="1033">
        <v>201516</v>
      </c>
      <c r="B5214" s="129">
        <v>81</v>
      </c>
      <c r="E5214" s="130"/>
    </row>
    <row r="5215" spans="1:5" x14ac:dyDescent="0.25">
      <c r="A5215" s="1033">
        <v>201518</v>
      </c>
      <c r="B5215" s="129">
        <v>23131</v>
      </c>
      <c r="E5215" s="130"/>
    </row>
    <row r="5216" spans="1:5" x14ac:dyDescent="0.25">
      <c r="A5216" s="1033">
        <v>201520</v>
      </c>
      <c r="B5216" s="129">
        <v>81</v>
      </c>
      <c r="E5216" s="130"/>
    </row>
    <row r="5217" spans="1:5" x14ac:dyDescent="0.25">
      <c r="A5217" s="1033">
        <v>201524</v>
      </c>
      <c r="B5217" s="129">
        <v>0</v>
      </c>
      <c r="E5217" s="130"/>
    </row>
    <row r="5218" spans="1:5" x14ac:dyDescent="0.25">
      <c r="A5218" s="1033">
        <v>201526</v>
      </c>
      <c r="B5218" s="129">
        <v>0</v>
      </c>
      <c r="E5218" s="130"/>
    </row>
    <row r="5219" spans="1:5" x14ac:dyDescent="0.25">
      <c r="A5219" s="1033">
        <v>201528</v>
      </c>
      <c r="B5219" s="129">
        <v>0</v>
      </c>
      <c r="E5219" s="130"/>
    </row>
    <row r="5220" spans="1:5" x14ac:dyDescent="0.25">
      <c r="A5220" s="1033">
        <v>201530</v>
      </c>
      <c r="B5220" s="129">
        <v>0</v>
      </c>
      <c r="E5220" s="130"/>
    </row>
    <row r="5221" spans="1:5" x14ac:dyDescent="0.25">
      <c r="A5221" s="1033">
        <v>201614</v>
      </c>
      <c r="B5221" s="129">
        <v>10355</v>
      </c>
      <c r="E5221" s="130"/>
    </row>
    <row r="5222" spans="1:5" x14ac:dyDescent="0.25">
      <c r="A5222" s="1033">
        <v>201616</v>
      </c>
      <c r="B5222" s="129">
        <v>36</v>
      </c>
      <c r="E5222" s="130"/>
    </row>
    <row r="5223" spans="1:5" x14ac:dyDescent="0.25">
      <c r="A5223" s="1033">
        <v>201618</v>
      </c>
      <c r="B5223" s="129">
        <v>10355</v>
      </c>
      <c r="E5223" s="130"/>
    </row>
    <row r="5224" spans="1:5" x14ac:dyDescent="0.25">
      <c r="A5224" s="1033">
        <v>201620</v>
      </c>
      <c r="B5224" s="129">
        <v>36</v>
      </c>
      <c r="E5224" s="130"/>
    </row>
    <row r="5225" spans="1:5" x14ac:dyDescent="0.25">
      <c r="A5225" s="1033">
        <v>201624</v>
      </c>
      <c r="B5225" s="129">
        <v>0</v>
      </c>
      <c r="E5225" s="130"/>
    </row>
    <row r="5226" spans="1:5" x14ac:dyDescent="0.25">
      <c r="A5226" s="1033">
        <v>201626</v>
      </c>
      <c r="B5226" s="129">
        <v>0</v>
      </c>
      <c r="E5226" s="130"/>
    </row>
    <row r="5227" spans="1:5" x14ac:dyDescent="0.25">
      <c r="A5227" s="1033">
        <v>201628</v>
      </c>
      <c r="B5227" s="129">
        <v>0</v>
      </c>
      <c r="E5227" s="130"/>
    </row>
    <row r="5228" spans="1:5" x14ac:dyDescent="0.25">
      <c r="A5228" s="1033">
        <v>201630</v>
      </c>
      <c r="B5228" s="129">
        <v>0</v>
      </c>
      <c r="E5228" s="130"/>
    </row>
    <row r="5229" spans="1:5" x14ac:dyDescent="0.25">
      <c r="A5229" s="1033">
        <v>201714</v>
      </c>
      <c r="B5229" s="129">
        <v>20389</v>
      </c>
      <c r="E5229" s="130"/>
    </row>
    <row r="5230" spans="1:5" x14ac:dyDescent="0.25">
      <c r="A5230" s="1033">
        <v>201716</v>
      </c>
      <c r="B5230" s="129">
        <v>72</v>
      </c>
      <c r="E5230" s="130"/>
    </row>
    <row r="5231" spans="1:5" x14ac:dyDescent="0.25">
      <c r="A5231" s="1033">
        <v>201718</v>
      </c>
      <c r="B5231" s="129">
        <v>20389</v>
      </c>
      <c r="E5231" s="130"/>
    </row>
    <row r="5232" spans="1:5" x14ac:dyDescent="0.25">
      <c r="A5232" s="1033">
        <v>201720</v>
      </c>
      <c r="B5232" s="129">
        <v>72</v>
      </c>
      <c r="E5232" s="130"/>
    </row>
    <row r="5233" spans="1:5" x14ac:dyDescent="0.25">
      <c r="A5233" s="1033">
        <v>201724</v>
      </c>
      <c r="B5233" s="129">
        <v>0</v>
      </c>
      <c r="E5233" s="130"/>
    </row>
    <row r="5234" spans="1:5" x14ac:dyDescent="0.25">
      <c r="A5234" s="1033">
        <v>201726</v>
      </c>
      <c r="B5234" s="129">
        <v>0</v>
      </c>
      <c r="E5234" s="130"/>
    </row>
    <row r="5235" spans="1:5" x14ac:dyDescent="0.25">
      <c r="A5235" s="1033">
        <v>201728</v>
      </c>
      <c r="B5235" s="129">
        <v>0</v>
      </c>
      <c r="E5235" s="130"/>
    </row>
    <row r="5236" spans="1:5" x14ac:dyDescent="0.25">
      <c r="A5236" s="1033">
        <v>201730</v>
      </c>
      <c r="B5236" s="129">
        <v>0</v>
      </c>
      <c r="E5236" s="130"/>
    </row>
    <row r="5237" spans="1:5" x14ac:dyDescent="0.25">
      <c r="A5237" s="1033">
        <v>201814</v>
      </c>
      <c r="B5237" s="129">
        <v>32785</v>
      </c>
      <c r="E5237" s="130"/>
    </row>
    <row r="5238" spans="1:5" x14ac:dyDescent="0.25">
      <c r="A5238" s="1033">
        <v>201816</v>
      </c>
      <c r="B5238" s="129">
        <v>115</v>
      </c>
      <c r="E5238" s="130"/>
    </row>
    <row r="5239" spans="1:5" x14ac:dyDescent="0.25">
      <c r="A5239" s="1033">
        <v>201818</v>
      </c>
      <c r="B5239" s="129">
        <v>32785</v>
      </c>
      <c r="E5239" s="130"/>
    </row>
    <row r="5240" spans="1:5" x14ac:dyDescent="0.25">
      <c r="A5240" s="1033">
        <v>201820</v>
      </c>
      <c r="B5240" s="129">
        <v>115</v>
      </c>
      <c r="E5240" s="130"/>
    </row>
    <row r="5241" spans="1:5" x14ac:dyDescent="0.25">
      <c r="A5241" s="1033">
        <v>201824</v>
      </c>
      <c r="B5241" s="129">
        <v>0</v>
      </c>
      <c r="E5241" s="130"/>
    </row>
    <row r="5242" spans="1:5" x14ac:dyDescent="0.25">
      <c r="A5242" s="1033">
        <v>201826</v>
      </c>
      <c r="B5242" s="129">
        <v>0</v>
      </c>
      <c r="E5242" s="130"/>
    </row>
    <row r="5243" spans="1:5" x14ac:dyDescent="0.25">
      <c r="A5243" s="1033">
        <v>201828</v>
      </c>
      <c r="B5243" s="129">
        <v>0</v>
      </c>
      <c r="E5243" s="130"/>
    </row>
    <row r="5244" spans="1:5" x14ac:dyDescent="0.25">
      <c r="A5244" s="1033">
        <v>201830</v>
      </c>
      <c r="B5244" s="129">
        <v>0</v>
      </c>
      <c r="E5244" s="130"/>
    </row>
    <row r="5245" spans="1:5" x14ac:dyDescent="0.25">
      <c r="A5245" s="1033">
        <v>201914</v>
      </c>
      <c r="B5245" s="129">
        <v>35169</v>
      </c>
      <c r="E5245" s="130"/>
    </row>
    <row r="5246" spans="1:5" x14ac:dyDescent="0.25">
      <c r="A5246" s="1033">
        <v>201916</v>
      </c>
      <c r="B5246" s="129">
        <v>124</v>
      </c>
      <c r="E5246" s="130"/>
    </row>
    <row r="5247" spans="1:5" x14ac:dyDescent="0.25">
      <c r="A5247" s="1033">
        <v>201918</v>
      </c>
      <c r="B5247" s="129">
        <v>35169</v>
      </c>
      <c r="E5247" s="130"/>
    </row>
    <row r="5248" spans="1:5" x14ac:dyDescent="0.25">
      <c r="A5248" s="1033">
        <v>201920</v>
      </c>
      <c r="B5248" s="129">
        <v>124</v>
      </c>
      <c r="E5248" s="130"/>
    </row>
    <row r="5249" spans="1:5" x14ac:dyDescent="0.25">
      <c r="A5249" s="1033">
        <v>201924</v>
      </c>
      <c r="B5249" s="129">
        <v>0</v>
      </c>
      <c r="E5249" s="130"/>
    </row>
    <row r="5250" spans="1:5" x14ac:dyDescent="0.25">
      <c r="A5250" s="1033">
        <v>201926</v>
      </c>
      <c r="B5250" s="129">
        <v>0</v>
      </c>
      <c r="E5250" s="130"/>
    </row>
    <row r="5251" spans="1:5" x14ac:dyDescent="0.25">
      <c r="A5251" s="1033">
        <v>201928</v>
      </c>
      <c r="B5251" s="129">
        <v>0</v>
      </c>
      <c r="E5251" s="130"/>
    </row>
    <row r="5252" spans="1:5" x14ac:dyDescent="0.25">
      <c r="A5252" s="1033">
        <v>201930</v>
      </c>
      <c r="B5252" s="129">
        <v>0</v>
      </c>
      <c r="E5252" s="130"/>
    </row>
    <row r="5253" spans="1:5" x14ac:dyDescent="0.25">
      <c r="A5253" s="1033">
        <v>202014</v>
      </c>
      <c r="B5253" s="129">
        <v>15788</v>
      </c>
      <c r="E5253" s="130"/>
    </row>
    <row r="5254" spans="1:5" x14ac:dyDescent="0.25">
      <c r="A5254" s="1033">
        <v>202016</v>
      </c>
      <c r="B5254" s="129">
        <v>56</v>
      </c>
      <c r="E5254" s="130"/>
    </row>
    <row r="5255" spans="1:5" x14ac:dyDescent="0.25">
      <c r="A5255" s="1033">
        <v>202018</v>
      </c>
      <c r="B5255" s="129">
        <v>15788</v>
      </c>
      <c r="E5255" s="130"/>
    </row>
    <row r="5256" spans="1:5" x14ac:dyDescent="0.25">
      <c r="A5256" s="1033">
        <v>202020</v>
      </c>
      <c r="B5256" s="129">
        <v>56</v>
      </c>
      <c r="E5256" s="130"/>
    </row>
    <row r="5257" spans="1:5" x14ac:dyDescent="0.25">
      <c r="A5257" s="1033">
        <v>202024</v>
      </c>
      <c r="B5257" s="129">
        <v>0</v>
      </c>
      <c r="E5257" s="130"/>
    </row>
    <row r="5258" spans="1:5" x14ac:dyDescent="0.25">
      <c r="A5258" s="1033">
        <v>202026</v>
      </c>
      <c r="B5258" s="129">
        <v>0</v>
      </c>
      <c r="E5258" s="130"/>
    </row>
    <row r="5259" spans="1:5" x14ac:dyDescent="0.25">
      <c r="A5259" s="1033">
        <v>202028</v>
      </c>
      <c r="B5259" s="129">
        <v>0</v>
      </c>
      <c r="E5259" s="130"/>
    </row>
    <row r="5260" spans="1:5" x14ac:dyDescent="0.25">
      <c r="A5260" s="1033">
        <v>202030</v>
      </c>
      <c r="B5260" s="129">
        <v>0</v>
      </c>
      <c r="E5260" s="130"/>
    </row>
    <row r="5261" spans="1:5" x14ac:dyDescent="0.25">
      <c r="A5261" s="1033">
        <v>202114</v>
      </c>
      <c r="B5261" s="129">
        <v>5006</v>
      </c>
      <c r="E5261" s="130"/>
    </row>
    <row r="5262" spans="1:5" x14ac:dyDescent="0.25">
      <c r="A5262" s="1033">
        <v>202116</v>
      </c>
      <c r="B5262" s="129">
        <v>18</v>
      </c>
      <c r="E5262" s="130"/>
    </row>
    <row r="5263" spans="1:5" x14ac:dyDescent="0.25">
      <c r="A5263" s="1033">
        <v>202118</v>
      </c>
      <c r="B5263" s="129">
        <v>5006</v>
      </c>
      <c r="E5263" s="130"/>
    </row>
    <row r="5264" spans="1:5" x14ac:dyDescent="0.25">
      <c r="A5264" s="1033">
        <v>202120</v>
      </c>
      <c r="B5264" s="129">
        <v>18</v>
      </c>
      <c r="E5264" s="130"/>
    </row>
    <row r="5265" spans="1:5" x14ac:dyDescent="0.25">
      <c r="A5265" s="1033">
        <v>202124</v>
      </c>
      <c r="B5265" s="129">
        <v>0</v>
      </c>
      <c r="E5265" s="130"/>
    </row>
    <row r="5266" spans="1:5" x14ac:dyDescent="0.25">
      <c r="A5266" s="1033">
        <v>202126</v>
      </c>
      <c r="B5266" s="129">
        <v>0</v>
      </c>
      <c r="E5266" s="130"/>
    </row>
    <row r="5267" spans="1:5" x14ac:dyDescent="0.25">
      <c r="A5267" s="1033">
        <v>202128</v>
      </c>
      <c r="B5267" s="129">
        <v>0</v>
      </c>
      <c r="E5267" s="130"/>
    </row>
    <row r="5268" spans="1:5" x14ac:dyDescent="0.25">
      <c r="A5268" s="1033">
        <v>202130</v>
      </c>
      <c r="B5268" s="129">
        <v>0</v>
      </c>
      <c r="E5268" s="130"/>
    </row>
    <row r="5269" spans="1:5" x14ac:dyDescent="0.25">
      <c r="A5269" s="1033">
        <v>202214</v>
      </c>
      <c r="B5269" s="129">
        <v>0</v>
      </c>
      <c r="E5269" s="130"/>
    </row>
    <row r="5270" spans="1:5" x14ac:dyDescent="0.25">
      <c r="A5270" s="1033">
        <v>202216</v>
      </c>
      <c r="B5270" s="129">
        <v>0</v>
      </c>
      <c r="E5270" s="130"/>
    </row>
    <row r="5271" spans="1:5" x14ac:dyDescent="0.25">
      <c r="A5271" s="1033">
        <v>202218</v>
      </c>
      <c r="B5271" s="129">
        <v>0</v>
      </c>
      <c r="E5271" s="130"/>
    </row>
    <row r="5272" spans="1:5" x14ac:dyDescent="0.25">
      <c r="A5272" s="1033">
        <v>202220</v>
      </c>
      <c r="B5272" s="129">
        <v>0</v>
      </c>
      <c r="E5272" s="130"/>
    </row>
    <row r="5273" spans="1:5" x14ac:dyDescent="0.25">
      <c r="A5273" s="1033">
        <v>202224</v>
      </c>
      <c r="B5273" s="129">
        <v>0</v>
      </c>
      <c r="E5273" s="130"/>
    </row>
    <row r="5274" spans="1:5" x14ac:dyDescent="0.25">
      <c r="A5274" s="1033">
        <v>202226</v>
      </c>
      <c r="B5274" s="129">
        <v>0</v>
      </c>
      <c r="E5274" s="130"/>
    </row>
    <row r="5275" spans="1:5" x14ac:dyDescent="0.25">
      <c r="A5275" s="1033">
        <v>202228</v>
      </c>
      <c r="B5275" s="129">
        <v>0</v>
      </c>
      <c r="E5275" s="130"/>
    </row>
    <row r="5276" spans="1:5" x14ac:dyDescent="0.25">
      <c r="A5276" s="1033">
        <v>202230</v>
      </c>
      <c r="B5276" s="129">
        <v>0</v>
      </c>
      <c r="E5276" s="130"/>
    </row>
    <row r="5277" spans="1:5" x14ac:dyDescent="0.25">
      <c r="A5277" s="1033">
        <v>202314</v>
      </c>
      <c r="B5277" s="129">
        <v>191236</v>
      </c>
      <c r="E5277" s="130"/>
    </row>
    <row r="5278" spans="1:5" x14ac:dyDescent="0.25">
      <c r="A5278" s="1033">
        <v>202316</v>
      </c>
      <c r="B5278" s="129">
        <v>673</v>
      </c>
      <c r="E5278" s="130"/>
    </row>
    <row r="5279" spans="1:5" x14ac:dyDescent="0.25">
      <c r="A5279" s="1033">
        <v>202318</v>
      </c>
      <c r="B5279" s="129">
        <v>191236</v>
      </c>
      <c r="E5279" s="130"/>
    </row>
    <row r="5280" spans="1:5" x14ac:dyDescent="0.25">
      <c r="A5280" s="1033">
        <v>202320</v>
      </c>
      <c r="B5280" s="129">
        <v>673</v>
      </c>
      <c r="E5280" s="130"/>
    </row>
    <row r="5281" spans="1:5" x14ac:dyDescent="0.25">
      <c r="A5281" s="1033">
        <v>202324</v>
      </c>
      <c r="B5281" s="129">
        <v>0</v>
      </c>
      <c r="E5281" s="130"/>
    </row>
    <row r="5282" spans="1:5" x14ac:dyDescent="0.25">
      <c r="A5282" s="1033">
        <v>202326</v>
      </c>
      <c r="B5282" s="129">
        <v>0</v>
      </c>
      <c r="E5282" s="130"/>
    </row>
    <row r="5283" spans="1:5" x14ac:dyDescent="0.25">
      <c r="A5283" s="1033">
        <v>202328</v>
      </c>
      <c r="B5283" s="129">
        <v>0</v>
      </c>
      <c r="E5283" s="130"/>
    </row>
    <row r="5284" spans="1:5" x14ac:dyDescent="0.25">
      <c r="A5284" s="1033">
        <v>202330</v>
      </c>
      <c r="B5284" s="129">
        <v>0</v>
      </c>
      <c r="E5284" s="130"/>
    </row>
    <row r="5285" spans="1:5" x14ac:dyDescent="0.25">
      <c r="A5285" s="1033">
        <v>202514</v>
      </c>
      <c r="B5285" s="129">
        <v>1898</v>
      </c>
      <c r="E5285" s="130"/>
    </row>
    <row r="5286" spans="1:5" x14ac:dyDescent="0.25">
      <c r="A5286" s="1033">
        <v>202516</v>
      </c>
      <c r="B5286" s="129">
        <v>7</v>
      </c>
      <c r="E5286" s="130"/>
    </row>
    <row r="5287" spans="1:5" x14ac:dyDescent="0.25">
      <c r="A5287" s="1033">
        <v>202518</v>
      </c>
      <c r="B5287" s="129">
        <v>1898</v>
      </c>
      <c r="E5287" s="130"/>
    </row>
    <row r="5288" spans="1:5" x14ac:dyDescent="0.25">
      <c r="A5288" s="1033">
        <v>202520</v>
      </c>
      <c r="B5288" s="129">
        <v>7</v>
      </c>
      <c r="E5288" s="130"/>
    </row>
    <row r="5289" spans="1:5" x14ac:dyDescent="0.25">
      <c r="A5289" s="1033">
        <v>202524</v>
      </c>
      <c r="B5289" s="129">
        <v>0</v>
      </c>
      <c r="E5289" s="130"/>
    </row>
    <row r="5290" spans="1:5" x14ac:dyDescent="0.25">
      <c r="A5290" s="1033">
        <v>202526</v>
      </c>
      <c r="B5290" s="129">
        <v>0</v>
      </c>
      <c r="E5290" s="130"/>
    </row>
    <row r="5291" spans="1:5" x14ac:dyDescent="0.25">
      <c r="A5291" s="1033">
        <v>202528</v>
      </c>
      <c r="B5291" s="129">
        <v>0</v>
      </c>
      <c r="E5291" s="130"/>
    </row>
    <row r="5292" spans="1:5" x14ac:dyDescent="0.25">
      <c r="A5292" s="1033">
        <v>202530</v>
      </c>
      <c r="B5292" s="129">
        <v>0</v>
      </c>
      <c r="E5292" s="130"/>
    </row>
    <row r="5293" spans="1:5" x14ac:dyDescent="0.25">
      <c r="A5293" s="1033">
        <v>202614</v>
      </c>
      <c r="B5293" s="129">
        <v>10344</v>
      </c>
      <c r="E5293" s="130"/>
    </row>
    <row r="5294" spans="1:5" x14ac:dyDescent="0.25">
      <c r="A5294" s="1033">
        <v>202616</v>
      </c>
      <c r="B5294" s="129">
        <v>36</v>
      </c>
      <c r="E5294" s="130"/>
    </row>
    <row r="5295" spans="1:5" x14ac:dyDescent="0.25">
      <c r="A5295" s="1033">
        <v>202618</v>
      </c>
      <c r="B5295" s="129">
        <v>10344</v>
      </c>
      <c r="E5295" s="130"/>
    </row>
    <row r="5296" spans="1:5" x14ac:dyDescent="0.25">
      <c r="A5296" s="1033">
        <v>202620</v>
      </c>
      <c r="B5296" s="129">
        <v>36</v>
      </c>
      <c r="E5296" s="130"/>
    </row>
    <row r="5297" spans="1:5" x14ac:dyDescent="0.25">
      <c r="A5297" s="1033">
        <v>202624</v>
      </c>
      <c r="B5297" s="129">
        <v>0</v>
      </c>
      <c r="E5297" s="130"/>
    </row>
    <row r="5298" spans="1:5" x14ac:dyDescent="0.25">
      <c r="A5298" s="1033">
        <v>202626</v>
      </c>
      <c r="B5298" s="129">
        <v>0</v>
      </c>
      <c r="E5298" s="130"/>
    </row>
    <row r="5299" spans="1:5" x14ac:dyDescent="0.25">
      <c r="A5299" s="1033">
        <v>202628</v>
      </c>
      <c r="B5299" s="129">
        <v>0</v>
      </c>
      <c r="E5299" s="130"/>
    </row>
    <row r="5300" spans="1:5" x14ac:dyDescent="0.25">
      <c r="A5300" s="1033">
        <v>202630</v>
      </c>
      <c r="B5300" s="129">
        <v>0</v>
      </c>
      <c r="E5300" s="130"/>
    </row>
    <row r="5301" spans="1:5" x14ac:dyDescent="0.25">
      <c r="A5301" s="1033">
        <v>202714</v>
      </c>
      <c r="B5301" s="129">
        <v>1196</v>
      </c>
      <c r="E5301" s="130"/>
    </row>
    <row r="5302" spans="1:5" x14ac:dyDescent="0.25">
      <c r="A5302" s="1033">
        <v>202716</v>
      </c>
      <c r="B5302" s="129">
        <v>4</v>
      </c>
      <c r="E5302" s="130"/>
    </row>
    <row r="5303" spans="1:5" x14ac:dyDescent="0.25">
      <c r="A5303" s="1033">
        <v>202718</v>
      </c>
      <c r="B5303" s="129">
        <v>1196</v>
      </c>
      <c r="E5303" s="130"/>
    </row>
    <row r="5304" spans="1:5" x14ac:dyDescent="0.25">
      <c r="A5304" s="1033">
        <v>202720</v>
      </c>
      <c r="B5304" s="129">
        <v>4</v>
      </c>
      <c r="E5304" s="130"/>
    </row>
    <row r="5305" spans="1:5" x14ac:dyDescent="0.25">
      <c r="A5305" s="1033">
        <v>202724</v>
      </c>
      <c r="B5305" s="129">
        <v>0</v>
      </c>
      <c r="E5305" s="130"/>
    </row>
    <row r="5306" spans="1:5" x14ac:dyDescent="0.25">
      <c r="A5306" s="1033">
        <v>202726</v>
      </c>
      <c r="B5306" s="129">
        <v>0</v>
      </c>
      <c r="E5306" s="130"/>
    </row>
    <row r="5307" spans="1:5" x14ac:dyDescent="0.25">
      <c r="A5307" s="1033">
        <v>202728</v>
      </c>
      <c r="B5307" s="129">
        <v>0</v>
      </c>
      <c r="E5307" s="130"/>
    </row>
    <row r="5308" spans="1:5" x14ac:dyDescent="0.25">
      <c r="A5308" s="1033">
        <v>202730</v>
      </c>
      <c r="B5308" s="129">
        <v>0</v>
      </c>
      <c r="E5308" s="130"/>
    </row>
    <row r="5309" spans="1:5" x14ac:dyDescent="0.25">
      <c r="A5309" s="1033">
        <v>202814</v>
      </c>
      <c r="B5309" s="129">
        <v>1035</v>
      </c>
      <c r="E5309" s="130"/>
    </row>
    <row r="5310" spans="1:5" x14ac:dyDescent="0.25">
      <c r="A5310" s="1033">
        <v>202816</v>
      </c>
      <c r="B5310" s="129">
        <v>4</v>
      </c>
      <c r="E5310" s="130"/>
    </row>
    <row r="5311" spans="1:5" x14ac:dyDescent="0.25">
      <c r="A5311" s="1033">
        <v>202818</v>
      </c>
      <c r="B5311" s="129">
        <v>1035</v>
      </c>
      <c r="E5311" s="130"/>
    </row>
    <row r="5312" spans="1:5" x14ac:dyDescent="0.25">
      <c r="A5312" s="1033">
        <v>202820</v>
      </c>
      <c r="B5312" s="129">
        <v>4</v>
      </c>
      <c r="E5312" s="130"/>
    </row>
    <row r="5313" spans="1:5" x14ac:dyDescent="0.25">
      <c r="A5313" s="1033">
        <v>202824</v>
      </c>
      <c r="B5313" s="129">
        <v>0</v>
      </c>
      <c r="E5313" s="130"/>
    </row>
    <row r="5314" spans="1:5" x14ac:dyDescent="0.25">
      <c r="A5314" s="1033">
        <v>202826</v>
      </c>
      <c r="B5314" s="129">
        <v>0</v>
      </c>
      <c r="E5314" s="130"/>
    </row>
    <row r="5315" spans="1:5" x14ac:dyDescent="0.25">
      <c r="A5315" s="1033">
        <v>202828</v>
      </c>
      <c r="B5315" s="129">
        <v>0</v>
      </c>
      <c r="E5315" s="130"/>
    </row>
    <row r="5316" spans="1:5" x14ac:dyDescent="0.25">
      <c r="A5316" s="1033">
        <v>202830</v>
      </c>
      <c r="B5316" s="129">
        <v>0</v>
      </c>
      <c r="E5316" s="130"/>
    </row>
    <row r="5317" spans="1:5" x14ac:dyDescent="0.25">
      <c r="A5317" s="1033">
        <v>202914</v>
      </c>
      <c r="B5317" s="129">
        <v>552</v>
      </c>
      <c r="E5317" s="130"/>
    </row>
    <row r="5318" spans="1:5" x14ac:dyDescent="0.25">
      <c r="A5318" s="1033">
        <v>202916</v>
      </c>
      <c r="B5318" s="129">
        <v>2</v>
      </c>
      <c r="E5318" s="130"/>
    </row>
    <row r="5319" spans="1:5" x14ac:dyDescent="0.25">
      <c r="A5319" s="1033">
        <v>202918</v>
      </c>
      <c r="B5319" s="129">
        <v>552</v>
      </c>
      <c r="E5319" s="130"/>
    </row>
    <row r="5320" spans="1:5" x14ac:dyDescent="0.25">
      <c r="A5320" s="1033">
        <v>202920</v>
      </c>
      <c r="B5320" s="129">
        <v>2</v>
      </c>
      <c r="E5320" s="130"/>
    </row>
    <row r="5321" spans="1:5" x14ac:dyDescent="0.25">
      <c r="A5321" s="1033">
        <v>202924</v>
      </c>
      <c r="B5321" s="129">
        <v>0</v>
      </c>
      <c r="E5321" s="130"/>
    </row>
    <row r="5322" spans="1:5" x14ac:dyDescent="0.25">
      <c r="A5322" s="1033">
        <v>202926</v>
      </c>
      <c r="B5322" s="129">
        <v>0</v>
      </c>
      <c r="E5322" s="130"/>
    </row>
    <row r="5323" spans="1:5" x14ac:dyDescent="0.25">
      <c r="A5323" s="1033">
        <v>202928</v>
      </c>
      <c r="B5323" s="129">
        <v>0</v>
      </c>
      <c r="E5323" s="130"/>
    </row>
    <row r="5324" spans="1:5" x14ac:dyDescent="0.25">
      <c r="A5324" s="1033">
        <v>202930</v>
      </c>
      <c r="B5324" s="129">
        <v>0</v>
      </c>
      <c r="E5324" s="130"/>
    </row>
    <row r="5325" spans="1:5" x14ac:dyDescent="0.25">
      <c r="A5325" s="1033">
        <v>203014</v>
      </c>
      <c r="B5325" s="129">
        <v>0</v>
      </c>
      <c r="E5325" s="130"/>
    </row>
    <row r="5326" spans="1:5" x14ac:dyDescent="0.25">
      <c r="A5326" s="1033">
        <v>203016</v>
      </c>
      <c r="B5326" s="129">
        <v>0</v>
      </c>
      <c r="E5326" s="130"/>
    </row>
    <row r="5327" spans="1:5" x14ac:dyDescent="0.25">
      <c r="A5327" s="1033">
        <v>203018</v>
      </c>
      <c r="B5327" s="129">
        <v>0</v>
      </c>
      <c r="E5327" s="130"/>
    </row>
    <row r="5328" spans="1:5" x14ac:dyDescent="0.25">
      <c r="A5328" s="1033">
        <v>203020</v>
      </c>
      <c r="B5328" s="129">
        <v>0</v>
      </c>
      <c r="E5328" s="130"/>
    </row>
    <row r="5329" spans="1:5" x14ac:dyDescent="0.25">
      <c r="A5329" s="1033">
        <v>203024</v>
      </c>
      <c r="B5329" s="129">
        <v>0</v>
      </c>
      <c r="E5329" s="130"/>
    </row>
    <row r="5330" spans="1:5" x14ac:dyDescent="0.25">
      <c r="A5330" s="1033">
        <v>203026</v>
      </c>
      <c r="B5330" s="129">
        <v>0</v>
      </c>
      <c r="E5330" s="130"/>
    </row>
    <row r="5331" spans="1:5" x14ac:dyDescent="0.25">
      <c r="A5331" s="1033">
        <v>203028</v>
      </c>
      <c r="B5331" s="129">
        <v>0</v>
      </c>
      <c r="E5331" s="130"/>
    </row>
    <row r="5332" spans="1:5" x14ac:dyDescent="0.25">
      <c r="A5332" s="1033">
        <v>203030</v>
      </c>
      <c r="B5332" s="129">
        <v>0</v>
      </c>
      <c r="E5332" s="130"/>
    </row>
    <row r="5333" spans="1:5" x14ac:dyDescent="0.25">
      <c r="A5333" s="1033">
        <v>203114</v>
      </c>
      <c r="B5333" s="129">
        <v>1811</v>
      </c>
      <c r="E5333" s="130"/>
    </row>
    <row r="5334" spans="1:5" x14ac:dyDescent="0.25">
      <c r="A5334" s="1033">
        <v>203116</v>
      </c>
      <c r="B5334" s="129">
        <v>6</v>
      </c>
      <c r="E5334" s="130"/>
    </row>
    <row r="5335" spans="1:5" x14ac:dyDescent="0.25">
      <c r="A5335" s="1033">
        <v>203118</v>
      </c>
      <c r="B5335" s="129">
        <v>1811</v>
      </c>
      <c r="E5335" s="130"/>
    </row>
    <row r="5336" spans="1:5" x14ac:dyDescent="0.25">
      <c r="A5336" s="1033">
        <v>203120</v>
      </c>
      <c r="B5336" s="129">
        <v>6</v>
      </c>
      <c r="E5336" s="130"/>
    </row>
    <row r="5337" spans="1:5" x14ac:dyDescent="0.25">
      <c r="A5337" s="1033">
        <v>203124</v>
      </c>
      <c r="B5337" s="129">
        <v>0</v>
      </c>
      <c r="E5337" s="130"/>
    </row>
    <row r="5338" spans="1:5" x14ac:dyDescent="0.25">
      <c r="A5338" s="1033">
        <v>203126</v>
      </c>
      <c r="B5338" s="129">
        <v>0</v>
      </c>
      <c r="E5338" s="130"/>
    </row>
    <row r="5339" spans="1:5" x14ac:dyDescent="0.25">
      <c r="A5339" s="1033">
        <v>203128</v>
      </c>
      <c r="B5339" s="129">
        <v>0</v>
      </c>
      <c r="E5339" s="130"/>
    </row>
    <row r="5340" spans="1:5" x14ac:dyDescent="0.25">
      <c r="A5340" s="1033">
        <v>203130</v>
      </c>
      <c r="B5340" s="129">
        <v>0</v>
      </c>
      <c r="E5340" s="130"/>
    </row>
    <row r="5341" spans="1:5" x14ac:dyDescent="0.25">
      <c r="A5341" s="1033">
        <v>203214</v>
      </c>
      <c r="B5341" s="129">
        <v>13937</v>
      </c>
      <c r="E5341" s="130"/>
    </row>
    <row r="5342" spans="1:5" x14ac:dyDescent="0.25">
      <c r="A5342" s="1033">
        <v>203216</v>
      </c>
      <c r="B5342" s="129">
        <v>49</v>
      </c>
      <c r="E5342" s="130"/>
    </row>
    <row r="5343" spans="1:5" x14ac:dyDescent="0.25">
      <c r="A5343" s="1033">
        <v>203218</v>
      </c>
      <c r="B5343" s="129">
        <v>13937</v>
      </c>
      <c r="E5343" s="130"/>
    </row>
    <row r="5344" spans="1:5" x14ac:dyDescent="0.25">
      <c r="A5344" s="1033">
        <v>203220</v>
      </c>
      <c r="B5344" s="129">
        <v>49</v>
      </c>
      <c r="E5344" s="130"/>
    </row>
    <row r="5345" spans="1:5" x14ac:dyDescent="0.25">
      <c r="A5345" s="1033">
        <v>203224</v>
      </c>
      <c r="B5345" s="129">
        <v>0</v>
      </c>
      <c r="E5345" s="130"/>
    </row>
    <row r="5346" spans="1:5" x14ac:dyDescent="0.25">
      <c r="A5346" s="1033">
        <v>203226</v>
      </c>
      <c r="B5346" s="129">
        <v>0</v>
      </c>
      <c r="E5346" s="130"/>
    </row>
    <row r="5347" spans="1:5" x14ac:dyDescent="0.25">
      <c r="A5347" s="1033">
        <v>203228</v>
      </c>
      <c r="B5347" s="129">
        <v>0</v>
      </c>
      <c r="E5347" s="130"/>
    </row>
    <row r="5348" spans="1:5" x14ac:dyDescent="0.25">
      <c r="A5348" s="1033">
        <v>203230</v>
      </c>
      <c r="B5348" s="129">
        <v>0</v>
      </c>
      <c r="E5348" s="130"/>
    </row>
    <row r="5349" spans="1:5" x14ac:dyDescent="0.25">
      <c r="A5349" s="1033">
        <v>203314</v>
      </c>
      <c r="B5349" s="129">
        <v>10687</v>
      </c>
      <c r="E5349" s="130"/>
    </row>
    <row r="5350" spans="1:5" x14ac:dyDescent="0.25">
      <c r="A5350" s="1033">
        <v>203316</v>
      </c>
      <c r="B5350" s="129">
        <v>38</v>
      </c>
      <c r="E5350" s="130"/>
    </row>
    <row r="5351" spans="1:5" x14ac:dyDescent="0.25">
      <c r="A5351" s="1033">
        <v>203318</v>
      </c>
      <c r="B5351" s="129">
        <v>10687</v>
      </c>
      <c r="E5351" s="130"/>
    </row>
    <row r="5352" spans="1:5" x14ac:dyDescent="0.25">
      <c r="A5352" s="1033">
        <v>203320</v>
      </c>
      <c r="B5352" s="129">
        <v>38</v>
      </c>
      <c r="E5352" s="130"/>
    </row>
    <row r="5353" spans="1:5" x14ac:dyDescent="0.25">
      <c r="A5353" s="1033">
        <v>203324</v>
      </c>
      <c r="B5353" s="129">
        <v>0</v>
      </c>
      <c r="E5353" s="130"/>
    </row>
    <row r="5354" spans="1:5" x14ac:dyDescent="0.25">
      <c r="A5354" s="1033">
        <v>203326</v>
      </c>
      <c r="B5354" s="129">
        <v>0</v>
      </c>
      <c r="E5354" s="130"/>
    </row>
    <row r="5355" spans="1:5" x14ac:dyDescent="0.25">
      <c r="A5355" s="1033">
        <v>203328</v>
      </c>
      <c r="B5355" s="129">
        <v>0</v>
      </c>
      <c r="E5355" s="130"/>
    </row>
    <row r="5356" spans="1:5" x14ac:dyDescent="0.25">
      <c r="A5356" s="1033">
        <v>203330</v>
      </c>
      <c r="B5356" s="129">
        <v>0</v>
      </c>
      <c r="E5356" s="130"/>
    </row>
    <row r="5357" spans="1:5" x14ac:dyDescent="0.25">
      <c r="A5357" s="1033">
        <v>203414</v>
      </c>
      <c r="B5357" s="129">
        <v>1583</v>
      </c>
      <c r="E5357" s="130"/>
    </row>
    <row r="5358" spans="1:5" x14ac:dyDescent="0.25">
      <c r="A5358" s="1033">
        <v>203416</v>
      </c>
      <c r="B5358" s="129">
        <v>6</v>
      </c>
      <c r="E5358" s="130"/>
    </row>
    <row r="5359" spans="1:5" x14ac:dyDescent="0.25">
      <c r="A5359" s="1033">
        <v>203418</v>
      </c>
      <c r="B5359" s="129">
        <v>1583</v>
      </c>
      <c r="E5359" s="130"/>
    </row>
    <row r="5360" spans="1:5" x14ac:dyDescent="0.25">
      <c r="A5360" s="1033">
        <v>203420</v>
      </c>
      <c r="B5360" s="129">
        <v>6</v>
      </c>
      <c r="E5360" s="130"/>
    </row>
    <row r="5361" spans="1:5" x14ac:dyDescent="0.25">
      <c r="A5361" s="1033">
        <v>203424</v>
      </c>
      <c r="B5361" s="129">
        <v>0</v>
      </c>
      <c r="E5361" s="130"/>
    </row>
    <row r="5362" spans="1:5" x14ac:dyDescent="0.25">
      <c r="A5362" s="1033">
        <v>203426</v>
      </c>
      <c r="B5362" s="129">
        <v>0</v>
      </c>
      <c r="E5362" s="130"/>
    </row>
    <row r="5363" spans="1:5" x14ac:dyDescent="0.25">
      <c r="A5363" s="1033">
        <v>203428</v>
      </c>
      <c r="B5363" s="129">
        <v>0</v>
      </c>
      <c r="E5363" s="130"/>
    </row>
    <row r="5364" spans="1:5" x14ac:dyDescent="0.25">
      <c r="A5364" s="1033">
        <v>203430</v>
      </c>
      <c r="B5364" s="129">
        <v>0</v>
      </c>
      <c r="E5364" s="130"/>
    </row>
    <row r="5365" spans="1:5" x14ac:dyDescent="0.25">
      <c r="A5365" s="1033">
        <v>203514</v>
      </c>
      <c r="B5365" s="129">
        <v>353</v>
      </c>
      <c r="E5365" s="130"/>
    </row>
    <row r="5366" spans="1:5" x14ac:dyDescent="0.25">
      <c r="A5366" s="1033">
        <v>203516</v>
      </c>
      <c r="B5366" s="129">
        <v>1</v>
      </c>
      <c r="E5366" s="130"/>
    </row>
    <row r="5367" spans="1:5" x14ac:dyDescent="0.25">
      <c r="A5367" s="1033">
        <v>203518</v>
      </c>
      <c r="B5367" s="129">
        <v>353</v>
      </c>
      <c r="E5367" s="130"/>
    </row>
    <row r="5368" spans="1:5" x14ac:dyDescent="0.25">
      <c r="A5368" s="1033">
        <v>203520</v>
      </c>
      <c r="B5368" s="129">
        <v>1</v>
      </c>
      <c r="E5368" s="130"/>
    </row>
    <row r="5369" spans="1:5" x14ac:dyDescent="0.25">
      <c r="A5369" s="1033">
        <v>203524</v>
      </c>
      <c r="B5369" s="129">
        <v>0</v>
      </c>
      <c r="E5369" s="130"/>
    </row>
    <row r="5370" spans="1:5" x14ac:dyDescent="0.25">
      <c r="A5370" s="1033">
        <v>203526</v>
      </c>
      <c r="B5370" s="129">
        <v>0</v>
      </c>
      <c r="E5370" s="130"/>
    </row>
    <row r="5371" spans="1:5" x14ac:dyDescent="0.25">
      <c r="A5371" s="1033">
        <v>203528</v>
      </c>
      <c r="B5371" s="129">
        <v>0</v>
      </c>
      <c r="E5371" s="130"/>
    </row>
    <row r="5372" spans="1:5" x14ac:dyDescent="0.25">
      <c r="A5372" s="1033">
        <v>203530</v>
      </c>
      <c r="B5372" s="129">
        <v>0</v>
      </c>
      <c r="E5372" s="130"/>
    </row>
    <row r="5373" spans="1:5" x14ac:dyDescent="0.25">
      <c r="A5373" s="1033">
        <v>203614</v>
      </c>
      <c r="B5373" s="129">
        <v>6307</v>
      </c>
      <c r="E5373" s="130"/>
    </row>
    <row r="5374" spans="1:5" x14ac:dyDescent="0.25">
      <c r="A5374" s="1033">
        <v>203616</v>
      </c>
      <c r="B5374" s="129">
        <v>22</v>
      </c>
      <c r="E5374" s="130"/>
    </row>
    <row r="5375" spans="1:5" x14ac:dyDescent="0.25">
      <c r="A5375" s="1033">
        <v>203618</v>
      </c>
      <c r="B5375" s="129">
        <v>6307</v>
      </c>
      <c r="E5375" s="130"/>
    </row>
    <row r="5376" spans="1:5" x14ac:dyDescent="0.25">
      <c r="A5376" s="1033">
        <v>203620</v>
      </c>
      <c r="B5376" s="129">
        <v>22</v>
      </c>
      <c r="E5376" s="130"/>
    </row>
    <row r="5377" spans="1:5" x14ac:dyDescent="0.25">
      <c r="A5377" s="1033">
        <v>203624</v>
      </c>
      <c r="B5377" s="129">
        <v>0</v>
      </c>
      <c r="E5377" s="130"/>
    </row>
    <row r="5378" spans="1:5" x14ac:dyDescent="0.25">
      <c r="A5378" s="1033">
        <v>203626</v>
      </c>
      <c r="B5378" s="129">
        <v>0</v>
      </c>
      <c r="E5378" s="130"/>
    </row>
    <row r="5379" spans="1:5" x14ac:dyDescent="0.25">
      <c r="A5379" s="1033">
        <v>203628</v>
      </c>
      <c r="B5379" s="129">
        <v>0</v>
      </c>
      <c r="E5379" s="130"/>
    </row>
    <row r="5380" spans="1:5" x14ac:dyDescent="0.25">
      <c r="A5380" s="1033">
        <v>203630</v>
      </c>
      <c r="B5380" s="129">
        <v>0</v>
      </c>
      <c r="E5380" s="130"/>
    </row>
    <row r="5381" spans="1:5" x14ac:dyDescent="0.25">
      <c r="A5381" s="1033">
        <v>203714</v>
      </c>
      <c r="B5381" s="129">
        <v>1235</v>
      </c>
      <c r="E5381" s="130"/>
    </row>
    <row r="5382" spans="1:5" x14ac:dyDescent="0.25">
      <c r="A5382" s="1033">
        <v>203716</v>
      </c>
      <c r="B5382" s="129">
        <v>4</v>
      </c>
      <c r="E5382" s="130"/>
    </row>
    <row r="5383" spans="1:5" x14ac:dyDescent="0.25">
      <c r="A5383" s="1033">
        <v>203718</v>
      </c>
      <c r="B5383" s="129">
        <v>1235</v>
      </c>
      <c r="E5383" s="130"/>
    </row>
    <row r="5384" spans="1:5" x14ac:dyDescent="0.25">
      <c r="A5384" s="1033">
        <v>203720</v>
      </c>
      <c r="B5384" s="129">
        <v>4</v>
      </c>
      <c r="E5384" s="130"/>
    </row>
    <row r="5385" spans="1:5" x14ac:dyDescent="0.25">
      <c r="A5385" s="1033">
        <v>203724</v>
      </c>
      <c r="B5385" s="129">
        <v>0</v>
      </c>
      <c r="E5385" s="130"/>
    </row>
    <row r="5386" spans="1:5" x14ac:dyDescent="0.25">
      <c r="A5386" s="1033">
        <v>203726</v>
      </c>
      <c r="B5386" s="129">
        <v>0</v>
      </c>
      <c r="E5386" s="130"/>
    </row>
    <row r="5387" spans="1:5" x14ac:dyDescent="0.25">
      <c r="A5387" s="1033">
        <v>203728</v>
      </c>
      <c r="B5387" s="129">
        <v>0</v>
      </c>
      <c r="E5387" s="130"/>
    </row>
    <row r="5388" spans="1:5" x14ac:dyDescent="0.25">
      <c r="A5388" s="1033">
        <v>203730</v>
      </c>
      <c r="B5388" s="129">
        <v>0</v>
      </c>
      <c r="E5388" s="130"/>
    </row>
    <row r="5389" spans="1:5" x14ac:dyDescent="0.25">
      <c r="A5389" s="1033">
        <v>203814</v>
      </c>
      <c r="B5389" s="129">
        <v>3421</v>
      </c>
      <c r="E5389" s="130"/>
    </row>
    <row r="5390" spans="1:5" x14ac:dyDescent="0.25">
      <c r="A5390" s="1033">
        <v>203816</v>
      </c>
      <c r="B5390" s="129">
        <v>12</v>
      </c>
      <c r="E5390" s="130"/>
    </row>
    <row r="5391" spans="1:5" x14ac:dyDescent="0.25">
      <c r="A5391" s="1033">
        <v>203818</v>
      </c>
      <c r="B5391" s="129">
        <v>3421</v>
      </c>
      <c r="E5391" s="130"/>
    </row>
    <row r="5392" spans="1:5" x14ac:dyDescent="0.25">
      <c r="A5392" s="1033">
        <v>203820</v>
      </c>
      <c r="B5392" s="129">
        <v>12</v>
      </c>
      <c r="E5392" s="130"/>
    </row>
    <row r="5393" spans="1:5" x14ac:dyDescent="0.25">
      <c r="A5393" s="1033">
        <v>203824</v>
      </c>
      <c r="B5393" s="129">
        <v>0</v>
      </c>
      <c r="E5393" s="130"/>
    </row>
    <row r="5394" spans="1:5" x14ac:dyDescent="0.25">
      <c r="A5394" s="1033">
        <v>203826</v>
      </c>
      <c r="B5394" s="129">
        <v>0</v>
      </c>
      <c r="E5394" s="130"/>
    </row>
    <row r="5395" spans="1:5" x14ac:dyDescent="0.25">
      <c r="A5395" s="1033">
        <v>203828</v>
      </c>
      <c r="B5395" s="129">
        <v>0</v>
      </c>
      <c r="E5395" s="130"/>
    </row>
    <row r="5396" spans="1:5" x14ac:dyDescent="0.25">
      <c r="A5396" s="1033">
        <v>203830</v>
      </c>
      <c r="B5396" s="129">
        <v>0</v>
      </c>
      <c r="E5396" s="130"/>
    </row>
    <row r="5397" spans="1:5" x14ac:dyDescent="0.25">
      <c r="A5397" s="1033">
        <v>203914</v>
      </c>
      <c r="B5397" s="129">
        <v>1163</v>
      </c>
      <c r="E5397" s="130"/>
    </row>
    <row r="5398" spans="1:5" x14ac:dyDescent="0.25">
      <c r="A5398" s="1033">
        <v>203916</v>
      </c>
      <c r="B5398" s="129">
        <v>4</v>
      </c>
      <c r="E5398" s="130"/>
    </row>
    <row r="5399" spans="1:5" x14ac:dyDescent="0.25">
      <c r="A5399" s="1033">
        <v>203918</v>
      </c>
      <c r="B5399" s="129">
        <v>1163</v>
      </c>
      <c r="E5399" s="130"/>
    </row>
    <row r="5400" spans="1:5" x14ac:dyDescent="0.25">
      <c r="A5400" s="1033">
        <v>203920</v>
      </c>
      <c r="B5400" s="129">
        <v>4</v>
      </c>
      <c r="E5400" s="130"/>
    </row>
    <row r="5401" spans="1:5" x14ac:dyDescent="0.25">
      <c r="A5401" s="1033">
        <v>203924</v>
      </c>
      <c r="B5401" s="129">
        <v>0</v>
      </c>
      <c r="E5401" s="130"/>
    </row>
    <row r="5402" spans="1:5" x14ac:dyDescent="0.25">
      <c r="A5402" s="1033">
        <v>203926</v>
      </c>
      <c r="B5402" s="129">
        <v>0</v>
      </c>
      <c r="E5402" s="130"/>
    </row>
    <row r="5403" spans="1:5" x14ac:dyDescent="0.25">
      <c r="A5403" s="1033">
        <v>203928</v>
      </c>
      <c r="B5403" s="129">
        <v>0</v>
      </c>
      <c r="E5403" s="130"/>
    </row>
    <row r="5404" spans="1:5" x14ac:dyDescent="0.25">
      <c r="A5404" s="1033">
        <v>203930</v>
      </c>
      <c r="B5404" s="129">
        <v>0</v>
      </c>
      <c r="E5404" s="130"/>
    </row>
    <row r="5405" spans="1:5" x14ac:dyDescent="0.25">
      <c r="A5405" s="1033">
        <v>204014</v>
      </c>
      <c r="B5405" s="129">
        <v>2084</v>
      </c>
      <c r="E5405" s="130"/>
    </row>
    <row r="5406" spans="1:5" x14ac:dyDescent="0.25">
      <c r="A5406" s="1033">
        <v>204016</v>
      </c>
      <c r="B5406" s="129">
        <v>7</v>
      </c>
      <c r="E5406" s="130"/>
    </row>
    <row r="5407" spans="1:5" x14ac:dyDescent="0.25">
      <c r="A5407" s="1033">
        <v>204018</v>
      </c>
      <c r="B5407" s="129">
        <v>2084</v>
      </c>
      <c r="E5407" s="130"/>
    </row>
    <row r="5408" spans="1:5" x14ac:dyDescent="0.25">
      <c r="A5408" s="1033">
        <v>204020</v>
      </c>
      <c r="B5408" s="129">
        <v>7</v>
      </c>
      <c r="E5408" s="130"/>
    </row>
    <row r="5409" spans="1:5" x14ac:dyDescent="0.25">
      <c r="A5409" s="1033">
        <v>204024</v>
      </c>
      <c r="B5409" s="129">
        <v>0</v>
      </c>
      <c r="E5409" s="130"/>
    </row>
    <row r="5410" spans="1:5" x14ac:dyDescent="0.25">
      <c r="A5410" s="1033">
        <v>204026</v>
      </c>
      <c r="B5410" s="129">
        <v>0</v>
      </c>
      <c r="E5410" s="130"/>
    </row>
    <row r="5411" spans="1:5" x14ac:dyDescent="0.25">
      <c r="A5411" s="1033">
        <v>204028</v>
      </c>
      <c r="B5411" s="129">
        <v>0</v>
      </c>
      <c r="E5411" s="130"/>
    </row>
    <row r="5412" spans="1:5" x14ac:dyDescent="0.25">
      <c r="A5412" s="1033">
        <v>204030</v>
      </c>
      <c r="B5412" s="129">
        <v>0</v>
      </c>
      <c r="E5412" s="130"/>
    </row>
    <row r="5413" spans="1:5" x14ac:dyDescent="0.25">
      <c r="A5413" s="1033">
        <v>204114</v>
      </c>
      <c r="B5413" s="129">
        <v>0</v>
      </c>
      <c r="E5413" s="130"/>
    </row>
    <row r="5414" spans="1:5" x14ac:dyDescent="0.25">
      <c r="A5414" s="1033">
        <v>204116</v>
      </c>
      <c r="B5414" s="129">
        <v>0</v>
      </c>
      <c r="E5414" s="130"/>
    </row>
    <row r="5415" spans="1:5" x14ac:dyDescent="0.25">
      <c r="A5415" s="1033">
        <v>204118</v>
      </c>
      <c r="B5415" s="129">
        <v>0</v>
      </c>
      <c r="E5415" s="130"/>
    </row>
    <row r="5416" spans="1:5" x14ac:dyDescent="0.25">
      <c r="A5416" s="1033">
        <v>204120</v>
      </c>
      <c r="B5416" s="129">
        <v>0</v>
      </c>
      <c r="E5416" s="130"/>
    </row>
    <row r="5417" spans="1:5" x14ac:dyDescent="0.25">
      <c r="A5417" s="1033">
        <v>204124</v>
      </c>
      <c r="B5417" s="129">
        <v>0</v>
      </c>
      <c r="E5417" s="130"/>
    </row>
    <row r="5418" spans="1:5" x14ac:dyDescent="0.25">
      <c r="A5418" s="1033">
        <v>204126</v>
      </c>
      <c r="B5418" s="129">
        <v>0</v>
      </c>
      <c r="E5418" s="130"/>
    </row>
    <row r="5419" spans="1:5" x14ac:dyDescent="0.25">
      <c r="A5419" s="1033">
        <v>204128</v>
      </c>
      <c r="B5419" s="129">
        <v>0</v>
      </c>
      <c r="E5419" s="130"/>
    </row>
    <row r="5420" spans="1:5" x14ac:dyDescent="0.25">
      <c r="A5420" s="1033">
        <v>204130</v>
      </c>
      <c r="B5420" s="129">
        <v>0</v>
      </c>
      <c r="E5420" s="130"/>
    </row>
    <row r="5421" spans="1:5" x14ac:dyDescent="0.25">
      <c r="A5421" s="1033">
        <v>204214</v>
      </c>
      <c r="B5421" s="129">
        <v>4358</v>
      </c>
      <c r="E5421" s="130"/>
    </row>
    <row r="5422" spans="1:5" x14ac:dyDescent="0.25">
      <c r="A5422" s="1033">
        <v>204216</v>
      </c>
      <c r="B5422" s="129">
        <v>15</v>
      </c>
      <c r="E5422" s="130"/>
    </row>
    <row r="5423" spans="1:5" x14ac:dyDescent="0.25">
      <c r="A5423" s="1033">
        <v>204218</v>
      </c>
      <c r="B5423" s="129">
        <v>4358</v>
      </c>
      <c r="E5423" s="130"/>
    </row>
    <row r="5424" spans="1:5" x14ac:dyDescent="0.25">
      <c r="A5424" s="1033">
        <v>204220</v>
      </c>
      <c r="B5424" s="129">
        <v>15</v>
      </c>
      <c r="E5424" s="130"/>
    </row>
    <row r="5425" spans="1:5" x14ac:dyDescent="0.25">
      <c r="A5425" s="1033">
        <v>204224</v>
      </c>
      <c r="B5425" s="129">
        <v>0</v>
      </c>
      <c r="E5425" s="130"/>
    </row>
    <row r="5426" spans="1:5" x14ac:dyDescent="0.25">
      <c r="A5426" s="1033">
        <v>204226</v>
      </c>
      <c r="B5426" s="129">
        <v>0</v>
      </c>
      <c r="E5426" s="130"/>
    </row>
    <row r="5427" spans="1:5" x14ac:dyDescent="0.25">
      <c r="A5427" s="1033">
        <v>204228</v>
      </c>
      <c r="B5427" s="129">
        <v>0</v>
      </c>
      <c r="E5427" s="130"/>
    </row>
    <row r="5428" spans="1:5" x14ac:dyDescent="0.25">
      <c r="A5428" s="1033">
        <v>204230</v>
      </c>
      <c r="B5428" s="129">
        <v>0</v>
      </c>
      <c r="E5428" s="130"/>
    </row>
    <row r="5429" spans="1:5" x14ac:dyDescent="0.25">
      <c r="A5429" s="1033">
        <v>204314</v>
      </c>
      <c r="B5429" s="129">
        <v>3222</v>
      </c>
      <c r="E5429" s="130"/>
    </row>
    <row r="5430" spans="1:5" x14ac:dyDescent="0.25">
      <c r="A5430" s="1033">
        <v>204316</v>
      </c>
      <c r="B5430" s="129">
        <v>11</v>
      </c>
      <c r="E5430" s="130"/>
    </row>
    <row r="5431" spans="1:5" x14ac:dyDescent="0.25">
      <c r="A5431" s="1033">
        <v>204318</v>
      </c>
      <c r="B5431" s="129">
        <v>3222</v>
      </c>
      <c r="E5431" s="130"/>
    </row>
    <row r="5432" spans="1:5" x14ac:dyDescent="0.25">
      <c r="A5432" s="1033">
        <v>204320</v>
      </c>
      <c r="B5432" s="129">
        <v>11</v>
      </c>
      <c r="E5432" s="130"/>
    </row>
    <row r="5433" spans="1:5" x14ac:dyDescent="0.25">
      <c r="A5433" s="1033">
        <v>204324</v>
      </c>
      <c r="B5433" s="129">
        <v>0</v>
      </c>
      <c r="E5433" s="130"/>
    </row>
    <row r="5434" spans="1:5" x14ac:dyDescent="0.25">
      <c r="A5434" s="1033">
        <v>204326</v>
      </c>
      <c r="B5434" s="129">
        <v>0</v>
      </c>
      <c r="E5434" s="130"/>
    </row>
    <row r="5435" spans="1:5" x14ac:dyDescent="0.25">
      <c r="A5435" s="1033">
        <v>204328</v>
      </c>
      <c r="B5435" s="129">
        <v>0</v>
      </c>
      <c r="E5435" s="130"/>
    </row>
    <row r="5436" spans="1:5" x14ac:dyDescent="0.25">
      <c r="A5436" s="1033">
        <v>204330</v>
      </c>
      <c r="B5436" s="129">
        <v>0</v>
      </c>
      <c r="E5436" s="130"/>
    </row>
    <row r="5437" spans="1:5" x14ac:dyDescent="0.25">
      <c r="A5437" s="1033">
        <v>204414</v>
      </c>
      <c r="B5437" s="129">
        <v>65186</v>
      </c>
      <c r="E5437" s="130"/>
    </row>
    <row r="5438" spans="1:5" x14ac:dyDescent="0.25">
      <c r="A5438" s="1033">
        <v>204416</v>
      </c>
      <c r="B5438" s="129">
        <v>229</v>
      </c>
      <c r="E5438" s="130"/>
    </row>
    <row r="5439" spans="1:5" x14ac:dyDescent="0.25">
      <c r="A5439" s="1033">
        <v>204418</v>
      </c>
      <c r="B5439" s="129">
        <v>65186</v>
      </c>
      <c r="E5439" s="130"/>
    </row>
    <row r="5440" spans="1:5" x14ac:dyDescent="0.25">
      <c r="A5440" s="1033">
        <v>204420</v>
      </c>
      <c r="B5440" s="129">
        <v>229</v>
      </c>
      <c r="E5440" s="130"/>
    </row>
    <row r="5441" spans="1:5" x14ac:dyDescent="0.25">
      <c r="A5441" s="1033">
        <v>204424</v>
      </c>
      <c r="B5441" s="129">
        <v>0</v>
      </c>
      <c r="E5441" s="130"/>
    </row>
    <row r="5442" spans="1:5" x14ac:dyDescent="0.25">
      <c r="A5442" s="1033">
        <v>204426</v>
      </c>
      <c r="B5442" s="129">
        <v>0</v>
      </c>
      <c r="E5442" s="130"/>
    </row>
    <row r="5443" spans="1:5" x14ac:dyDescent="0.25">
      <c r="A5443" s="1033">
        <v>204428</v>
      </c>
      <c r="B5443" s="129">
        <v>0</v>
      </c>
      <c r="E5443" s="130"/>
    </row>
    <row r="5444" spans="1:5" x14ac:dyDescent="0.25">
      <c r="A5444" s="1033">
        <v>204430</v>
      </c>
      <c r="B5444" s="129">
        <v>0</v>
      </c>
      <c r="E5444" s="130"/>
    </row>
    <row r="5445" spans="1:5" x14ac:dyDescent="0.25">
      <c r="A5445" s="1033">
        <v>204514</v>
      </c>
      <c r="B5445" s="129">
        <v>50000</v>
      </c>
      <c r="E5445" s="130"/>
    </row>
    <row r="5446" spans="1:5" x14ac:dyDescent="0.25">
      <c r="A5446" s="1033">
        <v>204516</v>
      </c>
      <c r="B5446" s="129">
        <v>176</v>
      </c>
      <c r="E5446" s="130"/>
    </row>
    <row r="5447" spans="1:5" x14ac:dyDescent="0.25">
      <c r="A5447" s="1033">
        <v>204518</v>
      </c>
      <c r="B5447" s="129">
        <v>50000</v>
      </c>
      <c r="E5447" s="130"/>
    </row>
    <row r="5448" spans="1:5" x14ac:dyDescent="0.25">
      <c r="A5448" s="1033">
        <v>204520</v>
      </c>
      <c r="B5448" s="129">
        <v>176</v>
      </c>
      <c r="E5448" s="130"/>
    </row>
    <row r="5449" spans="1:5" x14ac:dyDescent="0.25">
      <c r="A5449" s="1033">
        <v>204524</v>
      </c>
      <c r="B5449" s="129">
        <v>0</v>
      </c>
      <c r="E5449" s="130"/>
    </row>
    <row r="5450" spans="1:5" x14ac:dyDescent="0.25">
      <c r="A5450" s="1033">
        <v>204526</v>
      </c>
      <c r="B5450" s="129">
        <v>0</v>
      </c>
      <c r="E5450" s="130"/>
    </row>
    <row r="5451" spans="1:5" x14ac:dyDescent="0.25">
      <c r="A5451" s="1033">
        <v>204528</v>
      </c>
      <c r="B5451" s="129">
        <v>0</v>
      </c>
      <c r="E5451" s="130"/>
    </row>
    <row r="5452" spans="1:5" x14ac:dyDescent="0.25">
      <c r="A5452" s="1033">
        <v>204530</v>
      </c>
      <c r="B5452" s="129">
        <v>0</v>
      </c>
      <c r="E5452" s="130"/>
    </row>
    <row r="5453" spans="1:5" x14ac:dyDescent="0.25">
      <c r="A5453" s="1033">
        <v>204614</v>
      </c>
      <c r="B5453" s="129">
        <v>10751</v>
      </c>
      <c r="E5453" s="130"/>
    </row>
    <row r="5454" spans="1:5" x14ac:dyDescent="0.25">
      <c r="A5454" s="1033">
        <v>204616</v>
      </c>
      <c r="B5454" s="129">
        <v>38</v>
      </c>
      <c r="E5454" s="130"/>
    </row>
    <row r="5455" spans="1:5" x14ac:dyDescent="0.25">
      <c r="A5455" s="1033">
        <v>204618</v>
      </c>
      <c r="B5455" s="129">
        <v>10751</v>
      </c>
      <c r="E5455" s="130"/>
    </row>
    <row r="5456" spans="1:5" x14ac:dyDescent="0.25">
      <c r="A5456" s="1033">
        <v>204620</v>
      </c>
      <c r="B5456" s="129">
        <v>38</v>
      </c>
      <c r="E5456" s="130"/>
    </row>
    <row r="5457" spans="1:5" x14ac:dyDescent="0.25">
      <c r="A5457" s="1033">
        <v>204624</v>
      </c>
      <c r="B5457" s="129">
        <v>0</v>
      </c>
      <c r="E5457" s="130"/>
    </row>
    <row r="5458" spans="1:5" x14ac:dyDescent="0.25">
      <c r="A5458" s="1033">
        <v>204626</v>
      </c>
      <c r="B5458" s="129">
        <v>0</v>
      </c>
      <c r="E5458" s="130"/>
    </row>
    <row r="5459" spans="1:5" x14ac:dyDescent="0.25">
      <c r="A5459" s="1033">
        <v>204628</v>
      </c>
      <c r="B5459" s="129">
        <v>0</v>
      </c>
      <c r="E5459" s="130"/>
    </row>
    <row r="5460" spans="1:5" x14ac:dyDescent="0.25">
      <c r="A5460" s="1033">
        <v>204630</v>
      </c>
      <c r="B5460" s="129">
        <v>0</v>
      </c>
      <c r="E5460" s="130"/>
    </row>
    <row r="5461" spans="1:5" x14ac:dyDescent="0.25">
      <c r="A5461" s="1033">
        <v>204714</v>
      </c>
      <c r="B5461" s="129">
        <v>0</v>
      </c>
      <c r="E5461" s="130"/>
    </row>
    <row r="5462" spans="1:5" x14ac:dyDescent="0.25">
      <c r="A5462" s="1033">
        <v>204716</v>
      </c>
      <c r="B5462" s="129">
        <v>0</v>
      </c>
      <c r="E5462" s="130"/>
    </row>
    <row r="5463" spans="1:5" x14ac:dyDescent="0.25">
      <c r="A5463" s="1033">
        <v>204718</v>
      </c>
      <c r="B5463" s="129">
        <v>0</v>
      </c>
      <c r="E5463" s="130"/>
    </row>
    <row r="5464" spans="1:5" x14ac:dyDescent="0.25">
      <c r="A5464" s="1033">
        <v>204720</v>
      </c>
      <c r="B5464" s="129">
        <v>0</v>
      </c>
      <c r="E5464" s="130"/>
    </row>
    <row r="5465" spans="1:5" x14ac:dyDescent="0.25">
      <c r="A5465" s="1033">
        <v>204724</v>
      </c>
      <c r="B5465" s="129">
        <v>0</v>
      </c>
      <c r="E5465" s="130"/>
    </row>
    <row r="5466" spans="1:5" x14ac:dyDescent="0.25">
      <c r="A5466" s="1033">
        <v>204726</v>
      </c>
      <c r="B5466" s="129">
        <v>0</v>
      </c>
      <c r="E5466" s="130"/>
    </row>
    <row r="5467" spans="1:5" x14ac:dyDescent="0.25">
      <c r="A5467" s="1033">
        <v>204728</v>
      </c>
      <c r="B5467" s="129">
        <v>0</v>
      </c>
      <c r="E5467" s="130"/>
    </row>
    <row r="5468" spans="1:5" x14ac:dyDescent="0.25">
      <c r="A5468" s="1033">
        <v>204730</v>
      </c>
      <c r="B5468" s="129">
        <v>0</v>
      </c>
      <c r="E5468" s="130"/>
    </row>
    <row r="5469" spans="1:5" x14ac:dyDescent="0.25">
      <c r="A5469" s="1033">
        <v>204814</v>
      </c>
      <c r="B5469" s="129">
        <v>0</v>
      </c>
      <c r="E5469" s="130"/>
    </row>
    <row r="5470" spans="1:5" x14ac:dyDescent="0.25">
      <c r="A5470" s="1033">
        <v>204816</v>
      </c>
      <c r="B5470" s="129">
        <v>0</v>
      </c>
      <c r="E5470" s="130"/>
    </row>
    <row r="5471" spans="1:5" x14ac:dyDescent="0.25">
      <c r="A5471" s="1033">
        <v>204818</v>
      </c>
      <c r="B5471" s="129">
        <v>0</v>
      </c>
      <c r="E5471" s="130"/>
    </row>
    <row r="5472" spans="1:5" x14ac:dyDescent="0.25">
      <c r="A5472" s="1033">
        <v>204820</v>
      </c>
      <c r="B5472" s="129">
        <v>0</v>
      </c>
      <c r="E5472" s="130"/>
    </row>
    <row r="5473" spans="1:5" x14ac:dyDescent="0.25">
      <c r="A5473" s="1033">
        <v>204824</v>
      </c>
      <c r="B5473" s="129">
        <v>0</v>
      </c>
      <c r="E5473" s="130"/>
    </row>
    <row r="5474" spans="1:5" x14ac:dyDescent="0.25">
      <c r="A5474" s="1033">
        <v>204826</v>
      </c>
      <c r="B5474" s="129">
        <v>0</v>
      </c>
      <c r="E5474" s="130"/>
    </row>
    <row r="5475" spans="1:5" x14ac:dyDescent="0.25">
      <c r="A5475" s="1033">
        <v>204828</v>
      </c>
      <c r="B5475" s="129">
        <v>0</v>
      </c>
      <c r="E5475" s="130"/>
    </row>
    <row r="5476" spans="1:5" x14ac:dyDescent="0.25">
      <c r="A5476" s="1033">
        <v>204830</v>
      </c>
      <c r="B5476" s="129">
        <v>0</v>
      </c>
      <c r="E5476" s="130"/>
    </row>
    <row r="5477" spans="1:5" x14ac:dyDescent="0.25">
      <c r="A5477" s="1033">
        <v>204914</v>
      </c>
      <c r="B5477" s="129">
        <v>6164</v>
      </c>
      <c r="E5477" s="130"/>
    </row>
    <row r="5478" spans="1:5" x14ac:dyDescent="0.25">
      <c r="A5478" s="1033">
        <v>204916</v>
      </c>
      <c r="B5478" s="129">
        <v>22</v>
      </c>
      <c r="E5478" s="130"/>
    </row>
    <row r="5479" spans="1:5" x14ac:dyDescent="0.25">
      <c r="A5479" s="1033">
        <v>204918</v>
      </c>
      <c r="B5479" s="129">
        <v>6164</v>
      </c>
      <c r="E5479" s="130"/>
    </row>
    <row r="5480" spans="1:5" x14ac:dyDescent="0.25">
      <c r="A5480" s="1033">
        <v>204920</v>
      </c>
      <c r="B5480" s="129">
        <v>22</v>
      </c>
      <c r="E5480" s="130"/>
    </row>
    <row r="5481" spans="1:5" x14ac:dyDescent="0.25">
      <c r="A5481" s="1033">
        <v>204924</v>
      </c>
      <c r="B5481" s="129">
        <v>0</v>
      </c>
      <c r="E5481" s="130"/>
    </row>
    <row r="5482" spans="1:5" x14ac:dyDescent="0.25">
      <c r="A5482" s="1033">
        <v>204926</v>
      </c>
      <c r="B5482" s="129">
        <v>0</v>
      </c>
      <c r="E5482" s="130"/>
    </row>
    <row r="5483" spans="1:5" x14ac:dyDescent="0.25">
      <c r="A5483" s="1033">
        <v>204928</v>
      </c>
      <c r="B5483" s="129">
        <v>0</v>
      </c>
      <c r="E5483" s="130"/>
    </row>
    <row r="5484" spans="1:5" x14ac:dyDescent="0.25">
      <c r="A5484" s="1033">
        <v>204930</v>
      </c>
      <c r="B5484" s="129">
        <v>0</v>
      </c>
      <c r="E5484" s="130"/>
    </row>
    <row r="5485" spans="1:5" x14ac:dyDescent="0.25">
      <c r="A5485" s="1033">
        <v>205014</v>
      </c>
      <c r="B5485" s="129">
        <v>4853</v>
      </c>
      <c r="E5485" s="130"/>
    </row>
    <row r="5486" spans="1:5" x14ac:dyDescent="0.25">
      <c r="A5486" s="1033">
        <v>205016</v>
      </c>
      <c r="B5486" s="129">
        <v>17</v>
      </c>
      <c r="E5486" s="130"/>
    </row>
    <row r="5487" spans="1:5" x14ac:dyDescent="0.25">
      <c r="A5487" s="1033">
        <v>205018</v>
      </c>
      <c r="B5487" s="129">
        <v>4853</v>
      </c>
      <c r="E5487" s="130"/>
    </row>
    <row r="5488" spans="1:5" x14ac:dyDescent="0.25">
      <c r="A5488" s="1033">
        <v>205020</v>
      </c>
      <c r="B5488" s="129">
        <v>17</v>
      </c>
      <c r="E5488" s="130"/>
    </row>
    <row r="5489" spans="1:5" x14ac:dyDescent="0.25">
      <c r="A5489" s="1033">
        <v>205024</v>
      </c>
      <c r="B5489" s="129">
        <v>0</v>
      </c>
      <c r="E5489" s="130"/>
    </row>
    <row r="5490" spans="1:5" x14ac:dyDescent="0.25">
      <c r="A5490" s="1033">
        <v>205026</v>
      </c>
      <c r="B5490" s="129">
        <v>0</v>
      </c>
      <c r="E5490" s="130"/>
    </row>
    <row r="5491" spans="1:5" x14ac:dyDescent="0.25">
      <c r="A5491" s="1033">
        <v>205028</v>
      </c>
      <c r="B5491" s="129">
        <v>0</v>
      </c>
      <c r="E5491" s="130"/>
    </row>
    <row r="5492" spans="1:5" x14ac:dyDescent="0.25">
      <c r="A5492" s="1033">
        <v>205030</v>
      </c>
      <c r="B5492" s="129">
        <v>0</v>
      </c>
      <c r="E5492" s="130"/>
    </row>
    <row r="5493" spans="1:5" x14ac:dyDescent="0.25">
      <c r="A5493" s="1033">
        <v>205114</v>
      </c>
      <c r="B5493" s="129">
        <v>5103</v>
      </c>
      <c r="E5493" s="130"/>
    </row>
    <row r="5494" spans="1:5" x14ac:dyDescent="0.25">
      <c r="A5494" s="1033">
        <v>205116</v>
      </c>
      <c r="B5494" s="129">
        <v>18</v>
      </c>
      <c r="E5494" s="130"/>
    </row>
    <row r="5495" spans="1:5" x14ac:dyDescent="0.25">
      <c r="A5495" s="1033">
        <v>205118</v>
      </c>
      <c r="B5495" s="129">
        <v>5103</v>
      </c>
      <c r="E5495" s="130"/>
    </row>
    <row r="5496" spans="1:5" x14ac:dyDescent="0.25">
      <c r="A5496" s="1033">
        <v>205120</v>
      </c>
      <c r="B5496" s="129">
        <v>18</v>
      </c>
      <c r="E5496" s="130"/>
    </row>
    <row r="5497" spans="1:5" x14ac:dyDescent="0.25">
      <c r="A5497" s="1033">
        <v>205124</v>
      </c>
      <c r="B5497" s="129">
        <v>0</v>
      </c>
      <c r="E5497" s="130"/>
    </row>
    <row r="5498" spans="1:5" x14ac:dyDescent="0.25">
      <c r="A5498" s="1033">
        <v>205126</v>
      </c>
      <c r="B5498" s="129">
        <v>0</v>
      </c>
      <c r="E5498" s="130"/>
    </row>
    <row r="5499" spans="1:5" x14ac:dyDescent="0.25">
      <c r="A5499" s="1033">
        <v>205128</v>
      </c>
      <c r="B5499" s="129">
        <v>0</v>
      </c>
      <c r="E5499" s="130"/>
    </row>
    <row r="5500" spans="1:5" x14ac:dyDescent="0.25">
      <c r="A5500" s="1033">
        <v>205130</v>
      </c>
      <c r="B5500" s="129">
        <v>0</v>
      </c>
      <c r="E5500" s="130"/>
    </row>
    <row r="5501" spans="1:5" x14ac:dyDescent="0.25">
      <c r="A5501" s="1033">
        <v>205214</v>
      </c>
      <c r="B5501" s="129">
        <v>76871</v>
      </c>
      <c r="E5501" s="130"/>
    </row>
    <row r="5502" spans="1:5" x14ac:dyDescent="0.25">
      <c r="A5502" s="1033">
        <v>205216</v>
      </c>
      <c r="B5502" s="129">
        <v>270</v>
      </c>
      <c r="E5502" s="130"/>
    </row>
    <row r="5503" spans="1:5" x14ac:dyDescent="0.25">
      <c r="A5503" s="1033">
        <v>205218</v>
      </c>
      <c r="B5503" s="129">
        <v>76871</v>
      </c>
      <c r="E5503" s="130"/>
    </row>
    <row r="5504" spans="1:5" x14ac:dyDescent="0.25">
      <c r="A5504" s="1033">
        <v>205220</v>
      </c>
      <c r="B5504" s="129">
        <v>270</v>
      </c>
      <c r="E5504" s="130"/>
    </row>
    <row r="5505" spans="1:5" x14ac:dyDescent="0.25">
      <c r="A5505" s="1033">
        <v>205224</v>
      </c>
      <c r="B5505" s="129">
        <v>0</v>
      </c>
      <c r="E5505" s="130"/>
    </row>
    <row r="5506" spans="1:5" x14ac:dyDescent="0.25">
      <c r="A5506" s="1033">
        <v>205226</v>
      </c>
      <c r="B5506" s="129">
        <v>0</v>
      </c>
      <c r="E5506" s="130"/>
    </row>
    <row r="5507" spans="1:5" x14ac:dyDescent="0.25">
      <c r="A5507" s="1033">
        <v>205228</v>
      </c>
      <c r="B5507" s="129">
        <v>0</v>
      </c>
      <c r="E5507" s="130"/>
    </row>
    <row r="5508" spans="1:5" x14ac:dyDescent="0.25">
      <c r="A5508" s="1033">
        <v>205230</v>
      </c>
      <c r="B5508" s="129">
        <v>0</v>
      </c>
      <c r="E5508" s="130"/>
    </row>
    <row r="5509" spans="1:5" x14ac:dyDescent="0.25">
      <c r="A5509" s="1033">
        <v>205314</v>
      </c>
      <c r="B5509" s="129">
        <v>0</v>
      </c>
      <c r="E5509" s="130"/>
    </row>
    <row r="5510" spans="1:5" x14ac:dyDescent="0.25">
      <c r="A5510" s="1033">
        <v>205316</v>
      </c>
      <c r="B5510" s="129">
        <v>0</v>
      </c>
      <c r="E5510" s="130"/>
    </row>
    <row r="5511" spans="1:5" x14ac:dyDescent="0.25">
      <c r="A5511" s="1033">
        <v>205318</v>
      </c>
      <c r="B5511" s="129">
        <v>0</v>
      </c>
      <c r="E5511" s="130"/>
    </row>
    <row r="5512" spans="1:5" x14ac:dyDescent="0.25">
      <c r="A5512" s="1033">
        <v>205320</v>
      </c>
      <c r="B5512" s="129">
        <v>0</v>
      </c>
      <c r="E5512" s="130"/>
    </row>
    <row r="5513" spans="1:5" x14ac:dyDescent="0.25">
      <c r="A5513" s="1033">
        <v>205324</v>
      </c>
      <c r="B5513" s="129">
        <v>0</v>
      </c>
      <c r="E5513" s="130"/>
    </row>
    <row r="5514" spans="1:5" x14ac:dyDescent="0.25">
      <c r="A5514" s="1033">
        <v>205326</v>
      </c>
      <c r="B5514" s="129">
        <v>0</v>
      </c>
      <c r="E5514" s="130"/>
    </row>
    <row r="5515" spans="1:5" x14ac:dyDescent="0.25">
      <c r="A5515" s="1033">
        <v>205328</v>
      </c>
      <c r="B5515" s="129">
        <v>0</v>
      </c>
      <c r="E5515" s="130"/>
    </row>
    <row r="5516" spans="1:5" x14ac:dyDescent="0.25">
      <c r="A5516" s="1033">
        <v>205330</v>
      </c>
      <c r="B5516" s="129">
        <v>0</v>
      </c>
      <c r="E5516" s="130"/>
    </row>
    <row r="5517" spans="1:5" x14ac:dyDescent="0.25">
      <c r="A5517" s="1033">
        <v>205414</v>
      </c>
      <c r="B5517" s="129">
        <v>2641</v>
      </c>
      <c r="E5517" s="130"/>
    </row>
    <row r="5518" spans="1:5" x14ac:dyDescent="0.25">
      <c r="A5518" s="1033">
        <v>205416</v>
      </c>
      <c r="B5518" s="129">
        <v>9</v>
      </c>
      <c r="E5518" s="130"/>
    </row>
    <row r="5519" spans="1:5" x14ac:dyDescent="0.25">
      <c r="A5519" s="1033">
        <v>205418</v>
      </c>
      <c r="B5519" s="129">
        <v>2641</v>
      </c>
      <c r="E5519" s="130"/>
    </row>
    <row r="5520" spans="1:5" x14ac:dyDescent="0.25">
      <c r="A5520" s="1033">
        <v>205420</v>
      </c>
      <c r="B5520" s="129">
        <v>9</v>
      </c>
      <c r="E5520" s="130"/>
    </row>
    <row r="5521" spans="1:5" x14ac:dyDescent="0.25">
      <c r="A5521" s="1033">
        <v>205424</v>
      </c>
      <c r="B5521" s="129">
        <v>0</v>
      </c>
      <c r="E5521" s="130"/>
    </row>
    <row r="5522" spans="1:5" x14ac:dyDescent="0.25">
      <c r="A5522" s="1033">
        <v>205426</v>
      </c>
      <c r="B5522" s="129">
        <v>0</v>
      </c>
      <c r="E5522" s="130"/>
    </row>
    <row r="5523" spans="1:5" x14ac:dyDescent="0.25">
      <c r="A5523" s="1033">
        <v>205428</v>
      </c>
      <c r="B5523" s="129">
        <v>0</v>
      </c>
      <c r="E5523" s="130"/>
    </row>
    <row r="5524" spans="1:5" x14ac:dyDescent="0.25">
      <c r="A5524" s="1033">
        <v>205430</v>
      </c>
      <c r="B5524" s="129">
        <v>0</v>
      </c>
      <c r="E5524" s="130"/>
    </row>
    <row r="5525" spans="1:5" x14ac:dyDescent="0.25">
      <c r="A5525" s="1033">
        <v>205514</v>
      </c>
      <c r="B5525" s="129">
        <v>400</v>
      </c>
      <c r="E5525" s="130"/>
    </row>
    <row r="5526" spans="1:5" x14ac:dyDescent="0.25">
      <c r="A5526" s="1033">
        <v>205516</v>
      </c>
      <c r="B5526" s="129">
        <v>1</v>
      </c>
      <c r="E5526" s="130"/>
    </row>
    <row r="5527" spans="1:5" x14ac:dyDescent="0.25">
      <c r="A5527" s="1033">
        <v>205518</v>
      </c>
      <c r="B5527" s="129">
        <v>400</v>
      </c>
      <c r="E5527" s="130"/>
    </row>
    <row r="5528" spans="1:5" x14ac:dyDescent="0.25">
      <c r="A5528" s="1033">
        <v>205520</v>
      </c>
      <c r="B5528" s="129">
        <v>1</v>
      </c>
      <c r="E5528" s="130"/>
    </row>
    <row r="5529" spans="1:5" x14ac:dyDescent="0.25">
      <c r="A5529" s="1033">
        <v>205524</v>
      </c>
      <c r="B5529" s="129">
        <v>0</v>
      </c>
      <c r="E5529" s="130"/>
    </row>
    <row r="5530" spans="1:5" x14ac:dyDescent="0.25">
      <c r="A5530" s="1033">
        <v>205526</v>
      </c>
      <c r="B5530" s="129">
        <v>0</v>
      </c>
      <c r="E5530" s="130"/>
    </row>
    <row r="5531" spans="1:5" x14ac:dyDescent="0.25">
      <c r="A5531" s="1033">
        <v>205528</v>
      </c>
      <c r="B5531" s="129">
        <v>0</v>
      </c>
      <c r="E5531" s="130"/>
    </row>
    <row r="5532" spans="1:5" x14ac:dyDescent="0.25">
      <c r="A5532" s="1033">
        <v>205530</v>
      </c>
      <c r="B5532" s="129">
        <v>0</v>
      </c>
      <c r="E5532" s="130"/>
    </row>
    <row r="5533" spans="1:5" x14ac:dyDescent="0.25">
      <c r="A5533" s="1033">
        <v>205614</v>
      </c>
      <c r="B5533" s="129">
        <v>8551</v>
      </c>
      <c r="E5533" s="130"/>
    </row>
    <row r="5534" spans="1:5" x14ac:dyDescent="0.25">
      <c r="A5534" s="1033">
        <v>205616</v>
      </c>
      <c r="B5534" s="129">
        <v>30</v>
      </c>
      <c r="E5534" s="130"/>
    </row>
    <row r="5535" spans="1:5" x14ac:dyDescent="0.25">
      <c r="A5535" s="1033">
        <v>205618</v>
      </c>
      <c r="B5535" s="129">
        <v>8551</v>
      </c>
      <c r="E5535" s="130"/>
    </row>
    <row r="5536" spans="1:5" x14ac:dyDescent="0.25">
      <c r="A5536" s="1033">
        <v>205620</v>
      </c>
      <c r="B5536" s="129">
        <v>30</v>
      </c>
      <c r="E5536" s="130"/>
    </row>
    <row r="5537" spans="1:5" x14ac:dyDescent="0.25">
      <c r="A5537" s="1033">
        <v>205624</v>
      </c>
      <c r="B5537" s="129">
        <v>0</v>
      </c>
      <c r="E5537" s="130"/>
    </row>
    <row r="5538" spans="1:5" x14ac:dyDescent="0.25">
      <c r="A5538" s="1033">
        <v>205626</v>
      </c>
      <c r="B5538" s="129">
        <v>0</v>
      </c>
      <c r="E5538" s="130"/>
    </row>
    <row r="5539" spans="1:5" x14ac:dyDescent="0.25">
      <c r="A5539" s="1033">
        <v>205628</v>
      </c>
      <c r="B5539" s="129">
        <v>0</v>
      </c>
      <c r="E5539" s="130"/>
    </row>
    <row r="5540" spans="1:5" x14ac:dyDescent="0.25">
      <c r="A5540" s="1033">
        <v>205630</v>
      </c>
      <c r="B5540" s="129">
        <v>0</v>
      </c>
      <c r="E5540" s="130"/>
    </row>
    <row r="5541" spans="1:5" x14ac:dyDescent="0.25">
      <c r="A5541" s="1033">
        <v>205714</v>
      </c>
      <c r="B5541" s="129">
        <v>173</v>
      </c>
      <c r="E5541" s="130"/>
    </row>
    <row r="5542" spans="1:5" x14ac:dyDescent="0.25">
      <c r="A5542" s="1033">
        <v>205716</v>
      </c>
      <c r="B5542" s="129">
        <v>1</v>
      </c>
      <c r="E5542" s="130"/>
    </row>
    <row r="5543" spans="1:5" x14ac:dyDescent="0.25">
      <c r="A5543" s="1033">
        <v>205718</v>
      </c>
      <c r="B5543" s="129">
        <v>173</v>
      </c>
      <c r="E5543" s="130"/>
    </row>
    <row r="5544" spans="1:5" x14ac:dyDescent="0.25">
      <c r="A5544" s="1033">
        <v>205720</v>
      </c>
      <c r="B5544" s="129">
        <v>1</v>
      </c>
      <c r="E5544" s="130"/>
    </row>
    <row r="5545" spans="1:5" x14ac:dyDescent="0.25">
      <c r="A5545" s="1033">
        <v>205724</v>
      </c>
      <c r="B5545" s="129">
        <v>0</v>
      </c>
      <c r="E5545" s="130"/>
    </row>
    <row r="5546" spans="1:5" x14ac:dyDescent="0.25">
      <c r="A5546" s="1033">
        <v>205726</v>
      </c>
      <c r="B5546" s="129">
        <v>0</v>
      </c>
      <c r="E5546" s="130"/>
    </row>
    <row r="5547" spans="1:5" x14ac:dyDescent="0.25">
      <c r="A5547" s="1033">
        <v>205728</v>
      </c>
      <c r="B5547" s="129">
        <v>0</v>
      </c>
      <c r="E5547" s="130"/>
    </row>
    <row r="5548" spans="1:5" x14ac:dyDescent="0.25">
      <c r="A5548" s="1033">
        <v>205730</v>
      </c>
      <c r="B5548" s="129">
        <v>0</v>
      </c>
      <c r="E5548" s="130"/>
    </row>
    <row r="5549" spans="1:5" x14ac:dyDescent="0.25">
      <c r="A5549" s="1033">
        <v>205814</v>
      </c>
      <c r="B5549" s="129">
        <v>88636</v>
      </c>
      <c r="E5549" s="130"/>
    </row>
    <row r="5550" spans="1:5" x14ac:dyDescent="0.25">
      <c r="A5550" s="1033">
        <v>205816</v>
      </c>
      <c r="B5550" s="129">
        <v>312</v>
      </c>
      <c r="E5550" s="130"/>
    </row>
    <row r="5551" spans="1:5" x14ac:dyDescent="0.25">
      <c r="A5551" s="1033">
        <v>205818</v>
      </c>
      <c r="B5551" s="129">
        <v>88636</v>
      </c>
      <c r="E5551" s="130"/>
    </row>
    <row r="5552" spans="1:5" x14ac:dyDescent="0.25">
      <c r="A5552" s="1033">
        <v>205820</v>
      </c>
      <c r="B5552" s="129">
        <v>312</v>
      </c>
      <c r="E5552" s="130"/>
    </row>
    <row r="5553" spans="1:5" x14ac:dyDescent="0.25">
      <c r="A5553" s="1033">
        <v>205824</v>
      </c>
      <c r="B5553" s="129">
        <v>0</v>
      </c>
      <c r="E5553" s="130"/>
    </row>
    <row r="5554" spans="1:5" x14ac:dyDescent="0.25">
      <c r="A5554" s="1033">
        <v>205826</v>
      </c>
      <c r="B5554" s="129">
        <v>0</v>
      </c>
      <c r="E5554" s="130"/>
    </row>
    <row r="5555" spans="1:5" x14ac:dyDescent="0.25">
      <c r="A5555" s="1033">
        <v>205828</v>
      </c>
      <c r="B5555" s="129">
        <v>0</v>
      </c>
      <c r="E5555" s="130"/>
    </row>
    <row r="5556" spans="1:5" x14ac:dyDescent="0.25">
      <c r="A5556" s="1033">
        <v>205830</v>
      </c>
      <c r="B5556" s="129">
        <v>0</v>
      </c>
      <c r="E5556" s="130"/>
    </row>
    <row r="5557" spans="1:5" x14ac:dyDescent="0.25">
      <c r="A5557" s="1033">
        <v>205914</v>
      </c>
      <c r="B5557" s="129">
        <v>345058</v>
      </c>
      <c r="E5557" s="130"/>
    </row>
    <row r="5558" spans="1:5" x14ac:dyDescent="0.25">
      <c r="A5558" s="1033">
        <v>205916</v>
      </c>
      <c r="B5558" s="129">
        <v>1214</v>
      </c>
      <c r="E5558" s="130"/>
    </row>
    <row r="5559" spans="1:5" x14ac:dyDescent="0.25">
      <c r="A5559" s="1033">
        <v>205918</v>
      </c>
      <c r="B5559" s="129">
        <v>345058</v>
      </c>
      <c r="E5559" s="130"/>
    </row>
    <row r="5560" spans="1:5" x14ac:dyDescent="0.25">
      <c r="A5560" s="1033">
        <v>205920</v>
      </c>
      <c r="B5560" s="129">
        <v>1214</v>
      </c>
      <c r="E5560" s="130"/>
    </row>
    <row r="5561" spans="1:5" x14ac:dyDescent="0.25">
      <c r="A5561" s="1033">
        <v>205924</v>
      </c>
      <c r="B5561" s="129">
        <v>0</v>
      </c>
      <c r="E5561" s="130"/>
    </row>
    <row r="5562" spans="1:5" x14ac:dyDescent="0.25">
      <c r="A5562" s="1033">
        <v>205926</v>
      </c>
      <c r="B5562" s="129">
        <v>0</v>
      </c>
      <c r="E5562" s="130"/>
    </row>
    <row r="5563" spans="1:5" x14ac:dyDescent="0.25">
      <c r="A5563" s="1033">
        <v>205928</v>
      </c>
      <c r="B5563" s="129">
        <v>0</v>
      </c>
      <c r="E5563" s="130"/>
    </row>
    <row r="5564" spans="1:5" x14ac:dyDescent="0.25">
      <c r="A5564" s="1033">
        <v>205930</v>
      </c>
      <c r="B5564" s="129">
        <v>0</v>
      </c>
      <c r="E5564" s="130"/>
    </row>
    <row r="5565" spans="1:5" x14ac:dyDescent="0.25">
      <c r="A5565" s="1033">
        <v>206014</v>
      </c>
      <c r="B5565" s="129">
        <v>425674</v>
      </c>
      <c r="E5565" s="130"/>
    </row>
    <row r="5566" spans="1:5" x14ac:dyDescent="0.25">
      <c r="A5566" s="1033">
        <v>206016</v>
      </c>
      <c r="B5566" s="129">
        <v>1498</v>
      </c>
      <c r="E5566" s="130"/>
    </row>
    <row r="5567" spans="1:5" x14ac:dyDescent="0.25">
      <c r="A5567" s="1033">
        <v>206018</v>
      </c>
      <c r="B5567" s="129">
        <v>425674</v>
      </c>
      <c r="E5567" s="130"/>
    </row>
    <row r="5568" spans="1:5" x14ac:dyDescent="0.25">
      <c r="A5568" s="1033">
        <v>206020</v>
      </c>
      <c r="B5568" s="129">
        <v>1498</v>
      </c>
      <c r="E5568" s="130"/>
    </row>
    <row r="5569" spans="1:5" x14ac:dyDescent="0.25">
      <c r="A5569" s="1033">
        <v>206024</v>
      </c>
      <c r="B5569" s="129">
        <v>0</v>
      </c>
      <c r="E5569" s="130"/>
    </row>
    <row r="5570" spans="1:5" x14ac:dyDescent="0.25">
      <c r="A5570" s="1033">
        <v>206026</v>
      </c>
      <c r="B5570" s="129">
        <v>0</v>
      </c>
      <c r="E5570" s="130"/>
    </row>
    <row r="5571" spans="1:5" x14ac:dyDescent="0.25">
      <c r="A5571" s="1033">
        <v>206028</v>
      </c>
      <c r="B5571" s="129">
        <v>0</v>
      </c>
      <c r="E5571" s="130"/>
    </row>
    <row r="5572" spans="1:5" x14ac:dyDescent="0.25">
      <c r="A5572" s="1033">
        <v>206030</v>
      </c>
      <c r="B5572" s="129">
        <v>0</v>
      </c>
      <c r="E5572" s="130"/>
    </row>
    <row r="5573" spans="1:5" x14ac:dyDescent="0.25">
      <c r="A5573" s="1033">
        <v>206114</v>
      </c>
      <c r="B5573" s="129">
        <v>-141477</v>
      </c>
      <c r="E5573" s="130"/>
    </row>
    <row r="5574" spans="1:5" x14ac:dyDescent="0.25">
      <c r="A5574" s="1033">
        <v>206118</v>
      </c>
      <c r="B5574" s="129">
        <v>-141477</v>
      </c>
      <c r="E5574" s="130"/>
    </row>
    <row r="5575" spans="1:5" x14ac:dyDescent="0.25">
      <c r="A5575" s="1033">
        <v>206124</v>
      </c>
      <c r="B5575" s="129">
        <v>0</v>
      </c>
      <c r="E5575" s="130"/>
    </row>
    <row r="5576" spans="1:5" x14ac:dyDescent="0.25">
      <c r="A5576" s="1033">
        <v>206128</v>
      </c>
      <c r="B5576" s="129">
        <v>0</v>
      </c>
      <c r="E5576" s="130"/>
    </row>
    <row r="5577" spans="1:5" x14ac:dyDescent="0.25">
      <c r="A5577" s="1033">
        <v>206224</v>
      </c>
      <c r="B5577" s="129">
        <v>0</v>
      </c>
      <c r="E5577" s="130"/>
    </row>
    <row r="5578" spans="1:5" x14ac:dyDescent="0.25">
      <c r="A5578" s="1033">
        <v>206228</v>
      </c>
      <c r="B5578" s="129">
        <v>0</v>
      </c>
      <c r="E5578" s="130"/>
    </row>
    <row r="5579" spans="1:5" x14ac:dyDescent="0.25">
      <c r="A5579" s="1033">
        <v>206424</v>
      </c>
      <c r="B5579" s="129">
        <v>0</v>
      </c>
      <c r="E5579" s="130"/>
    </row>
    <row r="5580" spans="1:5" x14ac:dyDescent="0.25">
      <c r="A5580" s="1033">
        <v>206428</v>
      </c>
      <c r="B5580" s="129">
        <v>0</v>
      </c>
      <c r="E5580" s="130"/>
    </row>
    <row r="5581" spans="1:5" x14ac:dyDescent="0.25">
      <c r="A5581" s="1033">
        <v>206514</v>
      </c>
      <c r="B5581" s="129">
        <v>0</v>
      </c>
      <c r="E5581" s="130"/>
    </row>
    <row r="5582" spans="1:5" x14ac:dyDescent="0.25">
      <c r="A5582" s="1033">
        <v>206518</v>
      </c>
      <c r="B5582" s="129">
        <v>0</v>
      </c>
      <c r="E5582" s="130"/>
    </row>
    <row r="5583" spans="1:5" x14ac:dyDescent="0.25">
      <c r="A5583" s="1033">
        <v>206524</v>
      </c>
      <c r="B5583" s="129">
        <v>0</v>
      </c>
      <c r="E5583" s="130"/>
    </row>
    <row r="5584" spans="1:5" x14ac:dyDescent="0.25">
      <c r="A5584" s="1033">
        <v>206528</v>
      </c>
      <c r="B5584" s="129">
        <v>0</v>
      </c>
      <c r="E5584" s="130"/>
    </row>
    <row r="5585" spans="1:9" x14ac:dyDescent="0.25">
      <c r="A5585" s="1033">
        <v>206824</v>
      </c>
      <c r="B5585" s="129">
        <v>0</v>
      </c>
      <c r="E5585" s="130"/>
    </row>
    <row r="5586" spans="1:9" x14ac:dyDescent="0.25">
      <c r="A5586" s="1033">
        <v>206828</v>
      </c>
      <c r="B5586" s="129">
        <v>0</v>
      </c>
      <c r="E5586" s="130"/>
    </row>
    <row r="5587" spans="1:9" x14ac:dyDescent="0.25">
      <c r="A5587" s="1033">
        <v>100806</v>
      </c>
      <c r="B5587" s="129">
        <v>2734</v>
      </c>
      <c r="C5587" s="130" t="s">
        <v>949</v>
      </c>
      <c r="D5587" s="130">
        <v>16</v>
      </c>
      <c r="E5587" s="130" t="s">
        <v>949</v>
      </c>
      <c r="F5587" s="1031">
        <v>0</v>
      </c>
      <c r="G5587" s="1031">
        <v>1515</v>
      </c>
      <c r="H5587" s="1031">
        <v>1515</v>
      </c>
      <c r="I5587" s="1032" t="s">
        <v>950</v>
      </c>
    </row>
    <row r="5588" spans="1:9" x14ac:dyDescent="0.25">
      <c r="A5588" s="1033"/>
      <c r="C5588" s="130" t="s">
        <v>951</v>
      </c>
      <c r="D5588" s="130">
        <v>16</v>
      </c>
      <c r="E5588" s="130" t="s">
        <v>951</v>
      </c>
      <c r="F5588" s="1031">
        <v>0</v>
      </c>
      <c r="G5588" s="1031">
        <v>1219</v>
      </c>
      <c r="H5588" s="1031">
        <v>1219</v>
      </c>
      <c r="I5588" s="1032" t="s">
        <v>952</v>
      </c>
    </row>
    <row r="5589" spans="1:9" x14ac:dyDescent="0.25">
      <c r="A5589" s="1033">
        <v>100906</v>
      </c>
      <c r="B5589" s="129">
        <v>44442</v>
      </c>
      <c r="C5589" s="130" t="s">
        <v>953</v>
      </c>
      <c r="D5589" s="130">
        <v>16</v>
      </c>
      <c r="E5589" s="130" t="s">
        <v>953</v>
      </c>
      <c r="F5589" s="1031">
        <v>0</v>
      </c>
      <c r="G5589" s="1031">
        <v>30471</v>
      </c>
      <c r="H5589" s="1031">
        <v>30471</v>
      </c>
      <c r="I5589" s="1032" t="s">
        <v>954</v>
      </c>
    </row>
    <row r="5590" spans="1:9" x14ac:dyDescent="0.25">
      <c r="A5590" s="1033"/>
      <c r="C5590" s="130" t="s">
        <v>955</v>
      </c>
      <c r="D5590" s="130">
        <v>16</v>
      </c>
      <c r="E5590" s="130" t="s">
        <v>955</v>
      </c>
      <c r="F5590" s="1031">
        <v>0</v>
      </c>
      <c r="G5590" s="1031">
        <v>5153</v>
      </c>
      <c r="H5590" s="1031">
        <v>5153</v>
      </c>
      <c r="I5590" s="1032" t="s">
        <v>956</v>
      </c>
    </row>
    <row r="5591" spans="1:9" x14ac:dyDescent="0.25">
      <c r="A5591" s="1033"/>
      <c r="C5591" s="130" t="s">
        <v>957</v>
      </c>
      <c r="D5591" s="130">
        <v>16</v>
      </c>
      <c r="E5591" s="130" t="s">
        <v>957</v>
      </c>
      <c r="F5591" s="1031">
        <v>0</v>
      </c>
      <c r="G5591" s="1031">
        <v>2152</v>
      </c>
      <c r="H5591" s="1031">
        <v>2152</v>
      </c>
      <c r="I5591" s="1032" t="s">
        <v>958</v>
      </c>
    </row>
    <row r="5592" spans="1:9" x14ac:dyDescent="0.25">
      <c r="A5592" s="1033"/>
      <c r="C5592" s="130" t="s">
        <v>959</v>
      </c>
      <c r="D5592" s="130">
        <v>16</v>
      </c>
      <c r="E5592" s="130" t="s">
        <v>959</v>
      </c>
      <c r="F5592" s="1031">
        <v>0</v>
      </c>
      <c r="G5592" s="1031">
        <v>6666</v>
      </c>
      <c r="H5592" s="1031">
        <v>6666</v>
      </c>
      <c r="I5592" s="1032" t="s">
        <v>960</v>
      </c>
    </row>
    <row r="5593" spans="1:9" x14ac:dyDescent="0.25">
      <c r="A5593" s="1033">
        <v>104315</v>
      </c>
      <c r="B5593" s="129">
        <v>1099021</v>
      </c>
      <c r="E5593" s="130"/>
    </row>
    <row r="5594" spans="1:9" x14ac:dyDescent="0.25">
      <c r="A5594" s="1033">
        <v>107318</v>
      </c>
      <c r="B5594" s="129">
        <v>-87245</v>
      </c>
      <c r="E5594" s="130"/>
    </row>
    <row r="5595" spans="1:9" x14ac:dyDescent="0.25">
      <c r="A5595" s="1033">
        <v>107618</v>
      </c>
      <c r="B5595" s="129">
        <v>8169930</v>
      </c>
      <c r="E5595" s="130"/>
    </row>
    <row r="5596" spans="1:9" x14ac:dyDescent="0.25">
      <c r="A5596" s="1033">
        <v>107718</v>
      </c>
      <c r="B5596" s="129">
        <v>17844107</v>
      </c>
      <c r="E5596" s="130"/>
    </row>
    <row r="5597" spans="1:9" x14ac:dyDescent="0.25">
      <c r="A5597" s="1033">
        <v>1000214</v>
      </c>
      <c r="B5597" s="129">
        <v>4118</v>
      </c>
      <c r="E5597" s="130"/>
    </row>
    <row r="5598" spans="1:9" x14ac:dyDescent="0.25">
      <c r="A5598" s="1033">
        <v>1000314</v>
      </c>
      <c r="B5598" s="129">
        <v>6979</v>
      </c>
      <c r="E5598" s="130"/>
    </row>
    <row r="5599" spans="1:9" x14ac:dyDescent="0.25">
      <c r="A5599" s="1033">
        <v>1000414</v>
      </c>
      <c r="B5599" s="129">
        <v>22252</v>
      </c>
      <c r="E5599" s="130"/>
    </row>
    <row r="5600" spans="1:9" x14ac:dyDescent="0.25">
      <c r="A5600" s="1033">
        <v>1001208</v>
      </c>
      <c r="B5600" s="129">
        <v>294309</v>
      </c>
      <c r="E5600" s="130"/>
    </row>
    <row r="5601" spans="1:5" x14ac:dyDescent="0.25">
      <c r="A5601" s="1033">
        <v>1001214</v>
      </c>
      <c r="B5601" s="129">
        <v>141784</v>
      </c>
      <c r="E5601" s="130"/>
    </row>
    <row r="5602" spans="1:5" x14ac:dyDescent="0.25">
      <c r="A5602" s="1033">
        <v>1001216</v>
      </c>
      <c r="B5602" s="129">
        <v>482</v>
      </c>
      <c r="E5602" s="130"/>
    </row>
    <row r="5603" spans="1:5" x14ac:dyDescent="0.25">
      <c r="A5603" s="1033">
        <v>1001218</v>
      </c>
      <c r="B5603" s="129">
        <v>294309</v>
      </c>
      <c r="E5603" s="130"/>
    </row>
    <row r="5604" spans="1:5" x14ac:dyDescent="0.25">
      <c r="A5604" s="1033">
        <v>1001220</v>
      </c>
      <c r="B5604" s="129">
        <v>141784</v>
      </c>
      <c r="E5604" s="130"/>
    </row>
    <row r="5605" spans="1:5" x14ac:dyDescent="0.25">
      <c r="A5605" s="1033">
        <v>1001222</v>
      </c>
      <c r="B5605" s="129">
        <v>482</v>
      </c>
      <c r="E5605" s="130"/>
    </row>
    <row r="5606" spans="1:5" x14ac:dyDescent="0.25">
      <c r="A5606" s="1033">
        <v>1003804</v>
      </c>
      <c r="B5606" s="129">
        <v>122</v>
      </c>
      <c r="E5606" s="130"/>
    </row>
    <row r="5607" spans="1:5" x14ac:dyDescent="0.25">
      <c r="A5607" s="1033">
        <v>1003822</v>
      </c>
      <c r="B5607" s="129">
        <v>10</v>
      </c>
      <c r="E5607" s="130"/>
    </row>
    <row r="5608" spans="1:5" x14ac:dyDescent="0.25">
      <c r="A5608" s="1033">
        <v>1003904</v>
      </c>
      <c r="B5608" s="129">
        <v>182</v>
      </c>
      <c r="E5608" s="130"/>
    </row>
    <row r="5609" spans="1:5" x14ac:dyDescent="0.25">
      <c r="A5609" s="1033">
        <v>1003922</v>
      </c>
      <c r="B5609" s="129">
        <v>21</v>
      </c>
      <c r="E5609" s="130"/>
    </row>
    <row r="5610" spans="1:5" x14ac:dyDescent="0.25">
      <c r="A5610" s="1033">
        <v>1004021</v>
      </c>
      <c r="B5610" s="129">
        <v>41</v>
      </c>
      <c r="E5610" s="130"/>
    </row>
    <row r="5611" spans="1:5" x14ac:dyDescent="0.25">
      <c r="A5611" s="1033">
        <v>1004102</v>
      </c>
      <c r="B5611" s="129">
        <v>498</v>
      </c>
      <c r="E5611" s="130"/>
    </row>
    <row r="5612" spans="1:5" x14ac:dyDescent="0.25">
      <c r="A5612" s="1033">
        <v>1004118</v>
      </c>
      <c r="B5612" s="129">
        <v>47</v>
      </c>
      <c r="E5612" s="130"/>
    </row>
    <row r="5613" spans="1:5" x14ac:dyDescent="0.25">
      <c r="A5613" s="1033">
        <v>1004202</v>
      </c>
      <c r="B5613" s="129">
        <v>376</v>
      </c>
      <c r="E5613" s="130"/>
    </row>
    <row r="5614" spans="1:5" x14ac:dyDescent="0.25">
      <c r="A5614" s="1033">
        <v>1004302</v>
      </c>
      <c r="B5614" s="129">
        <v>119</v>
      </c>
      <c r="E5614" s="130"/>
    </row>
    <row r="5615" spans="1:5" x14ac:dyDescent="0.25">
      <c r="A5615" s="1033">
        <v>1004317</v>
      </c>
      <c r="B5615" s="129">
        <v>389</v>
      </c>
      <c r="E5615" s="130"/>
    </row>
    <row r="5616" spans="1:5" x14ac:dyDescent="0.25">
      <c r="A5616" s="1033">
        <v>1004522</v>
      </c>
      <c r="B5616" s="129">
        <v>0</v>
      </c>
      <c r="E5616" s="130"/>
    </row>
    <row r="5617" spans="1:9" x14ac:dyDescent="0.25">
      <c r="A5617" s="1033">
        <v>1004604</v>
      </c>
      <c r="B5617" s="129">
        <v>0</v>
      </c>
      <c r="E5617" s="130"/>
    </row>
    <row r="5618" spans="1:9" x14ac:dyDescent="0.25">
      <c r="A5618" s="1033">
        <v>1004622</v>
      </c>
      <c r="B5618" s="129">
        <v>0</v>
      </c>
      <c r="E5618" s="130"/>
    </row>
    <row r="5619" spans="1:9" x14ac:dyDescent="0.25">
      <c r="A5619" s="1033">
        <v>1004704</v>
      </c>
      <c r="B5619" s="129">
        <v>0</v>
      </c>
      <c r="E5619" s="130"/>
    </row>
    <row r="5620" spans="1:9" x14ac:dyDescent="0.25">
      <c r="A5620" s="1033">
        <v>1004721</v>
      </c>
      <c r="B5620" s="129">
        <v>0</v>
      </c>
      <c r="E5620" s="130"/>
    </row>
    <row r="5621" spans="1:9" x14ac:dyDescent="0.25">
      <c r="A5621" s="1033">
        <v>1004802</v>
      </c>
      <c r="B5621" s="129">
        <v>0</v>
      </c>
      <c r="E5621" s="130"/>
    </row>
    <row r="5622" spans="1:9" x14ac:dyDescent="0.25">
      <c r="A5622" s="1033">
        <v>1004818</v>
      </c>
      <c r="B5622" s="129">
        <v>0</v>
      </c>
      <c r="E5622" s="130"/>
    </row>
    <row r="5623" spans="1:9" x14ac:dyDescent="0.25">
      <c r="A5623" s="1033">
        <v>1004902</v>
      </c>
      <c r="B5623" s="129">
        <v>0</v>
      </c>
      <c r="E5623" s="130"/>
    </row>
    <row r="5624" spans="1:9" x14ac:dyDescent="0.25">
      <c r="A5624" s="1033">
        <v>1005002</v>
      </c>
      <c r="B5624" s="129">
        <v>0</v>
      </c>
      <c r="E5624" s="130"/>
    </row>
    <row r="5625" spans="1:9" x14ac:dyDescent="0.25">
      <c r="A5625" s="1033">
        <v>1005017</v>
      </c>
      <c r="B5625" s="129">
        <v>0</v>
      </c>
      <c r="E5625" s="130"/>
    </row>
    <row r="5626" spans="1:9" x14ac:dyDescent="0.25">
      <c r="A5626" s="1033">
        <v>702212</v>
      </c>
      <c r="B5626" s="129">
        <v>12</v>
      </c>
      <c r="E5626" s="130"/>
    </row>
    <row r="5627" spans="1:9" x14ac:dyDescent="0.25">
      <c r="A5627" s="1033">
        <v>702214</v>
      </c>
      <c r="B5627" s="129">
        <v>983698</v>
      </c>
      <c r="E5627" s="130"/>
    </row>
    <row r="5628" spans="1:9" x14ac:dyDescent="0.25">
      <c r="A5628" s="1033">
        <v>702216</v>
      </c>
      <c r="B5628" s="129">
        <v>40358</v>
      </c>
      <c r="C5628" s="130" t="s">
        <v>165</v>
      </c>
      <c r="D5628" s="130">
        <v>16</v>
      </c>
      <c r="E5628" s="130" t="s">
        <v>165</v>
      </c>
      <c r="F5628" s="1031">
        <v>0</v>
      </c>
      <c r="G5628" s="1031">
        <v>-71130.86</v>
      </c>
      <c r="H5628" s="1031">
        <v>-71130.86</v>
      </c>
      <c r="I5628" s="1032" t="s">
        <v>1376</v>
      </c>
    </row>
    <row r="5629" spans="1:9" x14ac:dyDescent="0.25">
      <c r="A5629" s="1033"/>
      <c r="C5629" s="130" t="s">
        <v>1377</v>
      </c>
      <c r="D5629" s="130">
        <v>16</v>
      </c>
      <c r="E5629" s="130" t="s">
        <v>1377</v>
      </c>
      <c r="F5629" s="1031">
        <v>0</v>
      </c>
      <c r="G5629" s="1031">
        <v>70143.81</v>
      </c>
      <c r="H5629" s="1031">
        <v>70143.81</v>
      </c>
      <c r="I5629" s="1032" t="s">
        <v>1378</v>
      </c>
    </row>
    <row r="5630" spans="1:9" x14ac:dyDescent="0.25">
      <c r="A5630" s="1033"/>
      <c r="C5630" s="130" t="s">
        <v>57</v>
      </c>
      <c r="D5630" s="130">
        <v>16</v>
      </c>
      <c r="E5630" s="130" t="s">
        <v>57</v>
      </c>
      <c r="F5630" s="1031">
        <v>0</v>
      </c>
      <c r="G5630" s="1031">
        <v>-86373.5</v>
      </c>
      <c r="H5630" s="1031">
        <v>-86373.5</v>
      </c>
      <c r="I5630" s="1032" t="s">
        <v>1380</v>
      </c>
    </row>
    <row r="5631" spans="1:9" x14ac:dyDescent="0.25">
      <c r="A5631" s="1033"/>
      <c r="C5631" s="130" t="s">
        <v>1381</v>
      </c>
      <c r="D5631" s="130">
        <v>16</v>
      </c>
      <c r="E5631" s="130" t="s">
        <v>1381</v>
      </c>
      <c r="F5631" s="1031">
        <v>0</v>
      </c>
      <c r="G5631" s="1031">
        <v>82336.14</v>
      </c>
      <c r="H5631" s="1031">
        <v>82336.14</v>
      </c>
      <c r="I5631" s="1032" t="s">
        <v>1380</v>
      </c>
    </row>
    <row r="5632" spans="1:9" x14ac:dyDescent="0.25">
      <c r="A5632" s="1033"/>
      <c r="C5632" s="130" t="s">
        <v>267</v>
      </c>
      <c r="D5632" s="130">
        <v>16</v>
      </c>
      <c r="E5632" s="130" t="s">
        <v>267</v>
      </c>
      <c r="F5632" s="1031">
        <v>0</v>
      </c>
      <c r="G5632" s="1031">
        <v>-63350.5</v>
      </c>
      <c r="H5632" s="1031">
        <v>-63350.5</v>
      </c>
      <c r="I5632" s="1032" t="s">
        <v>1384</v>
      </c>
    </row>
    <row r="5633" spans="1:9" x14ac:dyDescent="0.25">
      <c r="A5633" s="1033"/>
      <c r="C5633" s="130" t="s">
        <v>1385</v>
      </c>
      <c r="D5633" s="130">
        <v>16</v>
      </c>
      <c r="E5633" s="130" t="s">
        <v>1385</v>
      </c>
      <c r="F5633" s="1031">
        <v>0</v>
      </c>
      <c r="G5633" s="1031">
        <v>62100.5</v>
      </c>
      <c r="H5633" s="1031">
        <v>62100.5</v>
      </c>
      <c r="I5633" s="1032" t="s">
        <v>1386</v>
      </c>
    </row>
    <row r="5634" spans="1:9" x14ac:dyDescent="0.25">
      <c r="A5634" s="1033"/>
      <c r="C5634" s="130" t="s">
        <v>283</v>
      </c>
      <c r="D5634" s="130">
        <v>16</v>
      </c>
      <c r="E5634" s="130" t="s">
        <v>283</v>
      </c>
      <c r="F5634" s="1031">
        <v>0</v>
      </c>
      <c r="G5634" s="1031">
        <v>-73322</v>
      </c>
      <c r="H5634" s="1031">
        <v>-73322</v>
      </c>
      <c r="I5634" s="1032" t="s">
        <v>1389</v>
      </c>
    </row>
    <row r="5635" spans="1:9" x14ac:dyDescent="0.25">
      <c r="A5635" s="1033"/>
      <c r="C5635" s="130" t="s">
        <v>1390</v>
      </c>
      <c r="D5635" s="130">
        <v>16</v>
      </c>
      <c r="E5635" s="130" t="s">
        <v>1390</v>
      </c>
      <c r="F5635" s="1031">
        <v>0</v>
      </c>
      <c r="G5635" s="1031">
        <v>71413.2</v>
      </c>
      <c r="H5635" s="1031">
        <v>71413.2</v>
      </c>
      <c r="I5635" s="1032" t="s">
        <v>1391</v>
      </c>
    </row>
    <row r="5636" spans="1:9" x14ac:dyDescent="0.25">
      <c r="A5636" s="1033"/>
      <c r="C5636" s="130" t="s">
        <v>268</v>
      </c>
      <c r="D5636" s="130">
        <v>16</v>
      </c>
      <c r="E5636" s="130" t="s">
        <v>268</v>
      </c>
      <c r="F5636" s="1031">
        <v>0</v>
      </c>
      <c r="G5636" s="1031">
        <v>-84886.5</v>
      </c>
      <c r="H5636" s="1031">
        <v>-84886.5</v>
      </c>
      <c r="I5636" s="1032" t="s">
        <v>1394</v>
      </c>
    </row>
    <row r="5637" spans="1:9" x14ac:dyDescent="0.25">
      <c r="A5637" s="1033"/>
      <c r="C5637" s="130" t="s">
        <v>1395</v>
      </c>
      <c r="D5637" s="130">
        <v>16</v>
      </c>
      <c r="E5637" s="130" t="s">
        <v>1395</v>
      </c>
      <c r="F5637" s="1031">
        <v>0</v>
      </c>
      <c r="G5637" s="1031">
        <v>78271.8</v>
      </c>
      <c r="H5637" s="1031">
        <v>78271.8</v>
      </c>
      <c r="I5637" s="1032" t="s">
        <v>1396</v>
      </c>
    </row>
    <row r="5638" spans="1:9" x14ac:dyDescent="0.25">
      <c r="A5638" s="1033"/>
      <c r="C5638" s="130">
        <v>432</v>
      </c>
      <c r="D5638" s="130">
        <v>16</v>
      </c>
      <c r="E5638" s="130">
        <v>432</v>
      </c>
      <c r="F5638" s="1031">
        <v>0</v>
      </c>
      <c r="G5638" s="1031">
        <v>-100923.5</v>
      </c>
      <c r="H5638" s="1031">
        <v>-100923.5</v>
      </c>
      <c r="I5638" s="1032" t="s">
        <v>1399</v>
      </c>
    </row>
    <row r="5639" spans="1:9" x14ac:dyDescent="0.25">
      <c r="A5639" s="1033"/>
      <c r="C5639" s="130">
        <v>632</v>
      </c>
      <c r="D5639" s="130">
        <v>16</v>
      </c>
      <c r="E5639" s="130">
        <v>632</v>
      </c>
      <c r="F5639" s="1031">
        <v>0</v>
      </c>
      <c r="G5639" s="1031">
        <v>96040.18</v>
      </c>
      <c r="H5639" s="1031">
        <v>96040.18</v>
      </c>
      <c r="I5639" s="1032" t="s">
        <v>1400</v>
      </c>
    </row>
    <row r="5640" spans="1:9" x14ac:dyDescent="0.25">
      <c r="A5640" s="1033"/>
      <c r="C5640" s="130" t="s">
        <v>291</v>
      </c>
      <c r="D5640" s="130">
        <v>16</v>
      </c>
      <c r="E5640" s="130" t="s">
        <v>291</v>
      </c>
      <c r="F5640" s="1031">
        <v>0</v>
      </c>
      <c r="G5640" s="1031">
        <v>-122189.22</v>
      </c>
      <c r="H5640" s="1031">
        <v>-122189.22</v>
      </c>
      <c r="I5640" s="1032" t="s">
        <v>1403</v>
      </c>
    </row>
    <row r="5641" spans="1:9" x14ac:dyDescent="0.25">
      <c r="A5641" s="1033"/>
      <c r="C5641" s="130" t="s">
        <v>1404</v>
      </c>
      <c r="D5641" s="130">
        <v>16</v>
      </c>
      <c r="E5641" s="130" t="s">
        <v>1404</v>
      </c>
      <c r="F5641" s="1031">
        <v>0</v>
      </c>
      <c r="G5641" s="1031">
        <v>120939.22</v>
      </c>
      <c r="H5641" s="1031">
        <v>120939.22</v>
      </c>
      <c r="I5641" s="1032" t="s">
        <v>1405</v>
      </c>
    </row>
    <row r="5642" spans="1:9" x14ac:dyDescent="0.25">
      <c r="A5642" s="1033"/>
      <c r="C5642" s="130">
        <v>416</v>
      </c>
      <c r="D5642" s="130">
        <v>16</v>
      </c>
      <c r="E5642" s="130">
        <v>416</v>
      </c>
      <c r="F5642" s="1031">
        <v>0</v>
      </c>
      <c r="G5642" s="1031">
        <v>-165736.57999999999</v>
      </c>
      <c r="H5642" s="1031">
        <v>-165736.57999999999</v>
      </c>
      <c r="I5642" s="1032" t="s">
        <v>1331</v>
      </c>
    </row>
    <row r="5643" spans="1:9" x14ac:dyDescent="0.25">
      <c r="A5643" s="1033"/>
      <c r="C5643" s="130">
        <v>616</v>
      </c>
      <c r="D5643" s="130">
        <v>16</v>
      </c>
      <c r="E5643" s="130">
        <v>616</v>
      </c>
      <c r="F5643" s="1031">
        <v>0</v>
      </c>
      <c r="G5643" s="1031">
        <v>158419.29</v>
      </c>
      <c r="H5643" s="1031">
        <v>158419.29</v>
      </c>
      <c r="I5643" s="1032" t="s">
        <v>1332</v>
      </c>
    </row>
    <row r="5644" spans="1:9" x14ac:dyDescent="0.25">
      <c r="A5644" s="1033"/>
      <c r="C5644" s="130" t="s">
        <v>61</v>
      </c>
      <c r="D5644" s="130">
        <v>16</v>
      </c>
      <c r="E5644" s="130" t="s">
        <v>61</v>
      </c>
      <c r="F5644" s="1031">
        <v>0</v>
      </c>
      <c r="G5644" s="1031">
        <v>-215782.6</v>
      </c>
      <c r="H5644" s="1031">
        <v>-215782.6</v>
      </c>
      <c r="I5644" s="1032" t="s">
        <v>1335</v>
      </c>
    </row>
    <row r="5645" spans="1:9" x14ac:dyDescent="0.25">
      <c r="A5645" s="1033"/>
      <c r="C5645" s="130" t="s">
        <v>1336</v>
      </c>
      <c r="D5645" s="130">
        <v>16</v>
      </c>
      <c r="E5645" s="130" t="s">
        <v>1336</v>
      </c>
      <c r="F5645" s="1031">
        <v>0</v>
      </c>
      <c r="G5645" s="1031">
        <v>203675.76</v>
      </c>
      <c r="H5645" s="1031">
        <v>203675.76</v>
      </c>
      <c r="I5645" s="1032" t="s">
        <v>1337</v>
      </c>
    </row>
    <row r="5646" spans="1:9" x14ac:dyDescent="0.25">
      <c r="A5646" s="1033">
        <v>702218</v>
      </c>
      <c r="B5646" s="129">
        <v>3363</v>
      </c>
      <c r="E5646" s="130"/>
    </row>
    <row r="5647" spans="1:9" x14ac:dyDescent="0.25">
      <c r="A5647" s="1033">
        <v>702222</v>
      </c>
      <c r="B5647" s="129">
        <v>12</v>
      </c>
      <c r="E5647" s="130"/>
    </row>
    <row r="5648" spans="1:9" x14ac:dyDescent="0.25">
      <c r="A5648" s="1033">
        <v>702224</v>
      </c>
      <c r="B5648" s="129">
        <v>983698</v>
      </c>
      <c r="E5648" s="130"/>
    </row>
    <row r="5649" spans="1:9" x14ac:dyDescent="0.25">
      <c r="A5649" s="1033">
        <v>702226</v>
      </c>
      <c r="B5649" s="129">
        <v>40358</v>
      </c>
      <c r="C5649" s="130">
        <v>416</v>
      </c>
      <c r="D5649" s="130">
        <v>16</v>
      </c>
      <c r="E5649" s="130">
        <v>416</v>
      </c>
      <c r="F5649" s="1031">
        <v>0</v>
      </c>
      <c r="G5649" s="1031">
        <v>-165736.57999999999</v>
      </c>
      <c r="H5649" s="1031">
        <v>-165736.57999999999</v>
      </c>
      <c r="I5649" s="1032" t="s">
        <v>1331</v>
      </c>
    </row>
    <row r="5650" spans="1:9" x14ac:dyDescent="0.25">
      <c r="A5650" s="1033"/>
      <c r="C5650" s="130">
        <v>616</v>
      </c>
      <c r="D5650" s="130">
        <v>16</v>
      </c>
      <c r="E5650" s="130">
        <v>616</v>
      </c>
      <c r="F5650" s="1031">
        <v>0</v>
      </c>
      <c r="G5650" s="1031">
        <v>158419.29</v>
      </c>
      <c r="H5650" s="1031">
        <v>158419.29</v>
      </c>
      <c r="I5650" s="1032" t="s">
        <v>1332</v>
      </c>
    </row>
    <row r="5651" spans="1:9" x14ac:dyDescent="0.25">
      <c r="A5651" s="1033"/>
      <c r="C5651" s="130" t="s">
        <v>61</v>
      </c>
      <c r="D5651" s="130">
        <v>16</v>
      </c>
      <c r="E5651" s="130" t="s">
        <v>61</v>
      </c>
      <c r="F5651" s="1031">
        <v>0</v>
      </c>
      <c r="G5651" s="1031">
        <v>-215782.6</v>
      </c>
      <c r="H5651" s="1031">
        <v>-215782.6</v>
      </c>
      <c r="I5651" s="1032" t="s">
        <v>1335</v>
      </c>
    </row>
    <row r="5652" spans="1:9" x14ac:dyDescent="0.25">
      <c r="A5652" s="1033"/>
      <c r="C5652" s="130" t="s">
        <v>1336</v>
      </c>
      <c r="D5652" s="130">
        <v>16</v>
      </c>
      <c r="E5652" s="130" t="s">
        <v>1336</v>
      </c>
      <c r="F5652" s="1031">
        <v>0</v>
      </c>
      <c r="G5652" s="1031">
        <v>203675.76</v>
      </c>
      <c r="H5652" s="1031">
        <v>203675.76</v>
      </c>
      <c r="I5652" s="1032" t="s">
        <v>1337</v>
      </c>
    </row>
    <row r="5653" spans="1:9" x14ac:dyDescent="0.25">
      <c r="A5653" s="1033"/>
      <c r="C5653" s="130" t="s">
        <v>165</v>
      </c>
      <c r="D5653" s="130">
        <v>16</v>
      </c>
      <c r="E5653" s="130" t="s">
        <v>165</v>
      </c>
      <c r="F5653" s="1031">
        <v>0</v>
      </c>
      <c r="G5653" s="1031">
        <v>-71130.86</v>
      </c>
      <c r="H5653" s="1031">
        <v>-71130.86</v>
      </c>
      <c r="I5653" s="1032" t="s">
        <v>1376</v>
      </c>
    </row>
    <row r="5654" spans="1:9" x14ac:dyDescent="0.25">
      <c r="A5654" s="1033"/>
      <c r="C5654" s="130" t="s">
        <v>1377</v>
      </c>
      <c r="D5654" s="130">
        <v>16</v>
      </c>
      <c r="E5654" s="130" t="s">
        <v>1377</v>
      </c>
      <c r="F5654" s="1031">
        <v>0</v>
      </c>
      <c r="G5654" s="1031">
        <v>70143.81</v>
      </c>
      <c r="H5654" s="1031">
        <v>70143.81</v>
      </c>
      <c r="I5654" s="1032" t="s">
        <v>1378</v>
      </c>
    </row>
    <row r="5655" spans="1:9" x14ac:dyDescent="0.25">
      <c r="A5655" s="1033"/>
      <c r="C5655" s="130" t="s">
        <v>57</v>
      </c>
      <c r="D5655" s="130">
        <v>16</v>
      </c>
      <c r="E5655" s="130" t="s">
        <v>57</v>
      </c>
      <c r="F5655" s="1031">
        <v>0</v>
      </c>
      <c r="G5655" s="1031">
        <v>-86373.5</v>
      </c>
      <c r="H5655" s="1031">
        <v>-86373.5</v>
      </c>
      <c r="I5655" s="1032" t="s">
        <v>1380</v>
      </c>
    </row>
    <row r="5656" spans="1:9" x14ac:dyDescent="0.25">
      <c r="A5656" s="1033"/>
      <c r="C5656" s="130" t="s">
        <v>1381</v>
      </c>
      <c r="D5656" s="130">
        <v>16</v>
      </c>
      <c r="E5656" s="130" t="s">
        <v>1381</v>
      </c>
      <c r="F5656" s="1031">
        <v>0</v>
      </c>
      <c r="G5656" s="1031">
        <v>82336.14</v>
      </c>
      <c r="H5656" s="1031">
        <v>82336.14</v>
      </c>
      <c r="I5656" s="1032" t="s">
        <v>1380</v>
      </c>
    </row>
    <row r="5657" spans="1:9" x14ac:dyDescent="0.25">
      <c r="A5657" s="1033"/>
      <c r="C5657" s="130" t="s">
        <v>267</v>
      </c>
      <c r="D5657" s="130">
        <v>16</v>
      </c>
      <c r="E5657" s="130" t="s">
        <v>267</v>
      </c>
      <c r="F5657" s="1031">
        <v>0</v>
      </c>
      <c r="G5657" s="1031">
        <v>-63350.5</v>
      </c>
      <c r="H5657" s="1031">
        <v>-63350.5</v>
      </c>
      <c r="I5657" s="1032" t="s">
        <v>1384</v>
      </c>
    </row>
    <row r="5658" spans="1:9" x14ac:dyDescent="0.25">
      <c r="A5658" s="1033"/>
      <c r="C5658" s="130" t="s">
        <v>1385</v>
      </c>
      <c r="D5658" s="130">
        <v>16</v>
      </c>
      <c r="E5658" s="130" t="s">
        <v>1385</v>
      </c>
      <c r="F5658" s="1031">
        <v>0</v>
      </c>
      <c r="G5658" s="1031">
        <v>62100.5</v>
      </c>
      <c r="H5658" s="1031">
        <v>62100.5</v>
      </c>
      <c r="I5658" s="1032" t="s">
        <v>1386</v>
      </c>
    </row>
    <row r="5659" spans="1:9" x14ac:dyDescent="0.25">
      <c r="A5659" s="1033"/>
      <c r="C5659" s="130" t="s">
        <v>283</v>
      </c>
      <c r="D5659" s="130">
        <v>16</v>
      </c>
      <c r="E5659" s="130" t="s">
        <v>283</v>
      </c>
      <c r="F5659" s="1031">
        <v>0</v>
      </c>
      <c r="G5659" s="1031">
        <v>-73322</v>
      </c>
      <c r="H5659" s="1031">
        <v>-73322</v>
      </c>
      <c r="I5659" s="1032" t="s">
        <v>1389</v>
      </c>
    </row>
    <row r="5660" spans="1:9" x14ac:dyDescent="0.25">
      <c r="A5660" s="1033"/>
      <c r="C5660" s="130" t="s">
        <v>1390</v>
      </c>
      <c r="D5660" s="130">
        <v>16</v>
      </c>
      <c r="E5660" s="130" t="s">
        <v>1390</v>
      </c>
      <c r="F5660" s="1031">
        <v>0</v>
      </c>
      <c r="G5660" s="1031">
        <v>71413.2</v>
      </c>
      <c r="H5660" s="1031">
        <v>71413.2</v>
      </c>
      <c r="I5660" s="1032" t="s">
        <v>1391</v>
      </c>
    </row>
    <row r="5661" spans="1:9" x14ac:dyDescent="0.25">
      <c r="A5661" s="1033"/>
      <c r="C5661" s="130" t="s">
        <v>268</v>
      </c>
      <c r="D5661" s="130">
        <v>16</v>
      </c>
      <c r="E5661" s="130" t="s">
        <v>268</v>
      </c>
      <c r="F5661" s="1031">
        <v>0</v>
      </c>
      <c r="G5661" s="1031">
        <v>-84886.5</v>
      </c>
      <c r="H5661" s="1031">
        <v>-84886.5</v>
      </c>
      <c r="I5661" s="1032" t="s">
        <v>1394</v>
      </c>
    </row>
    <row r="5662" spans="1:9" x14ac:dyDescent="0.25">
      <c r="A5662" s="1033"/>
      <c r="C5662" s="130" t="s">
        <v>1395</v>
      </c>
      <c r="D5662" s="130">
        <v>16</v>
      </c>
      <c r="E5662" s="130" t="s">
        <v>1395</v>
      </c>
      <c r="F5662" s="1031">
        <v>0</v>
      </c>
      <c r="G5662" s="1031">
        <v>78271.8</v>
      </c>
      <c r="H5662" s="1031">
        <v>78271.8</v>
      </c>
      <c r="I5662" s="1032" t="s">
        <v>1396</v>
      </c>
    </row>
    <row r="5663" spans="1:9" x14ac:dyDescent="0.25">
      <c r="A5663" s="1033"/>
      <c r="C5663" s="130">
        <v>432</v>
      </c>
      <c r="D5663" s="130">
        <v>16</v>
      </c>
      <c r="E5663" s="130">
        <v>432</v>
      </c>
      <c r="F5663" s="1031">
        <v>0</v>
      </c>
      <c r="G5663" s="1031">
        <v>-100923.5</v>
      </c>
      <c r="H5663" s="1031">
        <v>-100923.5</v>
      </c>
      <c r="I5663" s="1032" t="s">
        <v>1399</v>
      </c>
    </row>
    <row r="5664" spans="1:9" x14ac:dyDescent="0.25">
      <c r="A5664" s="1033"/>
      <c r="C5664" s="130">
        <v>632</v>
      </c>
      <c r="D5664" s="130">
        <v>16</v>
      </c>
      <c r="E5664" s="130">
        <v>632</v>
      </c>
      <c r="F5664" s="1031">
        <v>0</v>
      </c>
      <c r="G5664" s="1031">
        <v>96040.18</v>
      </c>
      <c r="H5664" s="1031">
        <v>96040.18</v>
      </c>
      <c r="I5664" s="1032" t="s">
        <v>1400</v>
      </c>
    </row>
    <row r="5665" spans="1:9" x14ac:dyDescent="0.25">
      <c r="A5665" s="1033"/>
      <c r="C5665" s="130" t="s">
        <v>291</v>
      </c>
      <c r="D5665" s="130">
        <v>16</v>
      </c>
      <c r="E5665" s="130" t="s">
        <v>291</v>
      </c>
      <c r="F5665" s="1031">
        <v>0</v>
      </c>
      <c r="G5665" s="1031">
        <v>-122189.22</v>
      </c>
      <c r="H5665" s="1031">
        <v>-122189.22</v>
      </c>
      <c r="I5665" s="1032" t="s">
        <v>1403</v>
      </c>
    </row>
    <row r="5666" spans="1:9" x14ac:dyDescent="0.25">
      <c r="A5666" s="1033"/>
      <c r="C5666" s="130" t="s">
        <v>1404</v>
      </c>
      <c r="D5666" s="130">
        <v>16</v>
      </c>
      <c r="E5666" s="130" t="s">
        <v>1404</v>
      </c>
      <c r="F5666" s="1031">
        <v>0</v>
      </c>
      <c r="G5666" s="1031">
        <v>120939.22</v>
      </c>
      <c r="H5666" s="1031">
        <v>120939.22</v>
      </c>
      <c r="I5666" s="1032" t="s">
        <v>1405</v>
      </c>
    </row>
    <row r="5667" spans="1:9" x14ac:dyDescent="0.25">
      <c r="A5667" s="1033">
        <v>702228</v>
      </c>
      <c r="B5667" s="129">
        <v>3363</v>
      </c>
      <c r="E5667" s="130"/>
    </row>
    <row r="5668" spans="1:9" x14ac:dyDescent="0.25">
      <c r="A5668" s="1033">
        <v>702918</v>
      </c>
      <c r="B5668" s="129">
        <v>0</v>
      </c>
      <c r="E5668" s="130"/>
    </row>
    <row r="5669" spans="1:9" x14ac:dyDescent="0.25">
      <c r="A5669" s="1033">
        <v>702928</v>
      </c>
      <c r="B5669" s="129">
        <v>0</v>
      </c>
      <c r="E5669" s="130"/>
    </row>
    <row r="5670" spans="1:9" x14ac:dyDescent="0.25">
      <c r="A5670" s="1033">
        <v>703212</v>
      </c>
      <c r="B5670" s="129">
        <v>14</v>
      </c>
      <c r="E5670" s="130"/>
    </row>
    <row r="5671" spans="1:9" x14ac:dyDescent="0.25">
      <c r="A5671" s="1033">
        <v>703214</v>
      </c>
      <c r="B5671" s="129">
        <v>1162473</v>
      </c>
      <c r="E5671" s="130"/>
    </row>
    <row r="5672" spans="1:9" x14ac:dyDescent="0.25">
      <c r="A5672" s="1033">
        <v>703216</v>
      </c>
      <c r="B5672" s="129">
        <v>96277</v>
      </c>
      <c r="C5672" s="130" t="s">
        <v>165</v>
      </c>
      <c r="D5672" s="130">
        <v>16</v>
      </c>
      <c r="E5672" s="130" t="s">
        <v>165</v>
      </c>
      <c r="F5672" s="1031">
        <v>0</v>
      </c>
      <c r="G5672" s="1031">
        <v>-71130.86</v>
      </c>
      <c r="H5672" s="1031">
        <v>-71130.86</v>
      </c>
      <c r="I5672" s="1032" t="s">
        <v>1376</v>
      </c>
    </row>
    <row r="5673" spans="1:9" x14ac:dyDescent="0.25">
      <c r="A5673" s="1033"/>
      <c r="C5673" s="130" t="s">
        <v>1377</v>
      </c>
      <c r="D5673" s="130">
        <v>16</v>
      </c>
      <c r="E5673" s="130" t="s">
        <v>1377</v>
      </c>
      <c r="F5673" s="1031">
        <v>0</v>
      </c>
      <c r="G5673" s="1031">
        <v>70143.81</v>
      </c>
      <c r="H5673" s="1031">
        <v>70143.81</v>
      </c>
      <c r="I5673" s="1032" t="s">
        <v>1378</v>
      </c>
    </row>
    <row r="5674" spans="1:9" x14ac:dyDescent="0.25">
      <c r="A5674" s="1033"/>
      <c r="C5674" s="130" t="s">
        <v>57</v>
      </c>
      <c r="D5674" s="130">
        <v>16</v>
      </c>
      <c r="E5674" s="130" t="s">
        <v>57</v>
      </c>
      <c r="F5674" s="1031">
        <v>0</v>
      </c>
      <c r="G5674" s="1031">
        <v>-86373.5</v>
      </c>
      <c r="H5674" s="1031">
        <v>-86373.5</v>
      </c>
      <c r="I5674" s="1032" t="s">
        <v>1380</v>
      </c>
    </row>
    <row r="5675" spans="1:9" x14ac:dyDescent="0.25">
      <c r="A5675" s="1033"/>
      <c r="C5675" s="130" t="s">
        <v>1381</v>
      </c>
      <c r="D5675" s="130">
        <v>16</v>
      </c>
      <c r="E5675" s="130" t="s">
        <v>1381</v>
      </c>
      <c r="F5675" s="1031">
        <v>0</v>
      </c>
      <c r="G5675" s="1031">
        <v>82336.14</v>
      </c>
      <c r="H5675" s="1031">
        <v>82336.14</v>
      </c>
      <c r="I5675" s="1032" t="s">
        <v>1380</v>
      </c>
    </row>
    <row r="5676" spans="1:9" x14ac:dyDescent="0.25">
      <c r="A5676" s="1033"/>
      <c r="C5676" s="130" t="s">
        <v>267</v>
      </c>
      <c r="D5676" s="130">
        <v>16</v>
      </c>
      <c r="E5676" s="130" t="s">
        <v>267</v>
      </c>
      <c r="F5676" s="1031">
        <v>0</v>
      </c>
      <c r="G5676" s="1031">
        <v>-63350.5</v>
      </c>
      <c r="H5676" s="1031">
        <v>-63350.5</v>
      </c>
      <c r="I5676" s="1032" t="s">
        <v>1384</v>
      </c>
    </row>
    <row r="5677" spans="1:9" x14ac:dyDescent="0.25">
      <c r="A5677" s="1033"/>
      <c r="C5677" s="130" t="s">
        <v>1385</v>
      </c>
      <c r="D5677" s="130">
        <v>16</v>
      </c>
      <c r="E5677" s="130" t="s">
        <v>1385</v>
      </c>
      <c r="F5677" s="1031">
        <v>0</v>
      </c>
      <c r="G5677" s="1031">
        <v>62100.5</v>
      </c>
      <c r="H5677" s="1031">
        <v>62100.5</v>
      </c>
      <c r="I5677" s="1032" t="s">
        <v>1386</v>
      </c>
    </row>
    <row r="5678" spans="1:9" x14ac:dyDescent="0.25">
      <c r="A5678" s="1033"/>
      <c r="C5678" s="130" t="s">
        <v>283</v>
      </c>
      <c r="D5678" s="130">
        <v>16</v>
      </c>
      <c r="E5678" s="130" t="s">
        <v>283</v>
      </c>
      <c r="F5678" s="1031">
        <v>0</v>
      </c>
      <c r="G5678" s="1031">
        <v>-73322</v>
      </c>
      <c r="H5678" s="1031">
        <v>-73322</v>
      </c>
      <c r="I5678" s="1032" t="s">
        <v>1389</v>
      </c>
    </row>
    <row r="5679" spans="1:9" x14ac:dyDescent="0.25">
      <c r="A5679" s="1033"/>
      <c r="C5679" s="130" t="s">
        <v>1390</v>
      </c>
      <c r="D5679" s="130">
        <v>16</v>
      </c>
      <c r="E5679" s="130" t="s">
        <v>1390</v>
      </c>
      <c r="F5679" s="1031">
        <v>0</v>
      </c>
      <c r="G5679" s="1031">
        <v>71413.2</v>
      </c>
      <c r="H5679" s="1031">
        <v>71413.2</v>
      </c>
      <c r="I5679" s="1032" t="s">
        <v>1391</v>
      </c>
    </row>
    <row r="5680" spans="1:9" x14ac:dyDescent="0.25">
      <c r="A5680" s="1033"/>
      <c r="C5680" s="130" t="s">
        <v>268</v>
      </c>
      <c r="D5680" s="130">
        <v>16</v>
      </c>
      <c r="E5680" s="130" t="s">
        <v>268</v>
      </c>
      <c r="F5680" s="1031">
        <v>0</v>
      </c>
      <c r="G5680" s="1031">
        <v>-84886.5</v>
      </c>
      <c r="H5680" s="1031">
        <v>-84886.5</v>
      </c>
      <c r="I5680" s="1032" t="s">
        <v>1394</v>
      </c>
    </row>
    <row r="5681" spans="1:9" x14ac:dyDescent="0.25">
      <c r="A5681" s="1033"/>
      <c r="C5681" s="130" t="s">
        <v>1395</v>
      </c>
      <c r="D5681" s="130">
        <v>16</v>
      </c>
      <c r="E5681" s="130" t="s">
        <v>1395</v>
      </c>
      <c r="F5681" s="1031">
        <v>0</v>
      </c>
      <c r="G5681" s="1031">
        <v>78271.8</v>
      </c>
      <c r="H5681" s="1031">
        <v>78271.8</v>
      </c>
      <c r="I5681" s="1032" t="s">
        <v>1396</v>
      </c>
    </row>
    <row r="5682" spans="1:9" x14ac:dyDescent="0.25">
      <c r="A5682" s="1033"/>
      <c r="C5682" s="130">
        <v>432</v>
      </c>
      <c r="D5682" s="130">
        <v>16</v>
      </c>
      <c r="E5682" s="130">
        <v>432</v>
      </c>
      <c r="F5682" s="1031">
        <v>0</v>
      </c>
      <c r="G5682" s="1031">
        <v>-100923.5</v>
      </c>
      <c r="H5682" s="1031">
        <v>-100923.5</v>
      </c>
      <c r="I5682" s="1032" t="s">
        <v>1399</v>
      </c>
    </row>
    <row r="5683" spans="1:9" x14ac:dyDescent="0.25">
      <c r="A5683" s="1033"/>
      <c r="C5683" s="130">
        <v>632</v>
      </c>
      <c r="D5683" s="130">
        <v>16</v>
      </c>
      <c r="E5683" s="130">
        <v>632</v>
      </c>
      <c r="F5683" s="1031">
        <v>0</v>
      </c>
      <c r="G5683" s="1031">
        <v>96040.18</v>
      </c>
      <c r="H5683" s="1031">
        <v>96040.18</v>
      </c>
      <c r="I5683" s="1032" t="s">
        <v>1400</v>
      </c>
    </row>
    <row r="5684" spans="1:9" x14ac:dyDescent="0.25">
      <c r="A5684" s="1033"/>
      <c r="C5684" s="130" t="s">
        <v>291</v>
      </c>
      <c r="D5684" s="130">
        <v>16</v>
      </c>
      <c r="E5684" s="130" t="s">
        <v>291</v>
      </c>
      <c r="F5684" s="1031">
        <v>0</v>
      </c>
      <c r="G5684" s="1031">
        <v>-122189.22</v>
      </c>
      <c r="H5684" s="1031">
        <v>-122189.22</v>
      </c>
      <c r="I5684" s="1032" t="s">
        <v>1403</v>
      </c>
    </row>
    <row r="5685" spans="1:9" x14ac:dyDescent="0.25">
      <c r="A5685" s="1033"/>
      <c r="C5685" s="130" t="s">
        <v>1404</v>
      </c>
      <c r="D5685" s="130">
        <v>16</v>
      </c>
      <c r="E5685" s="130" t="s">
        <v>1404</v>
      </c>
      <c r="F5685" s="1031">
        <v>0</v>
      </c>
      <c r="G5685" s="1031">
        <v>120939.22</v>
      </c>
      <c r="H5685" s="1031">
        <v>120939.22</v>
      </c>
      <c r="I5685" s="1032" t="s">
        <v>1405</v>
      </c>
    </row>
    <row r="5686" spans="1:9" x14ac:dyDescent="0.25">
      <c r="A5686" s="1033"/>
      <c r="C5686" s="130">
        <v>416</v>
      </c>
      <c r="D5686" s="130">
        <v>16</v>
      </c>
      <c r="E5686" s="130">
        <v>416</v>
      </c>
      <c r="F5686" s="1031">
        <v>0</v>
      </c>
      <c r="G5686" s="1031">
        <v>-165736.57999999999</v>
      </c>
      <c r="H5686" s="1031">
        <v>-165736.57999999999</v>
      </c>
      <c r="I5686" s="1032" t="s">
        <v>1331</v>
      </c>
    </row>
    <row r="5687" spans="1:9" x14ac:dyDescent="0.25">
      <c r="A5687" s="1033"/>
      <c r="C5687" s="130">
        <v>616</v>
      </c>
      <c r="D5687" s="130">
        <v>16</v>
      </c>
      <c r="E5687" s="130">
        <v>616</v>
      </c>
      <c r="F5687" s="1031">
        <v>0</v>
      </c>
      <c r="G5687" s="1031">
        <v>158419.29</v>
      </c>
      <c r="H5687" s="1031">
        <v>158419.29</v>
      </c>
      <c r="I5687" s="1032" t="s">
        <v>1332</v>
      </c>
    </row>
    <row r="5688" spans="1:9" x14ac:dyDescent="0.25">
      <c r="A5688" s="1033"/>
      <c r="C5688" s="130" t="s">
        <v>61</v>
      </c>
      <c r="D5688" s="130">
        <v>16</v>
      </c>
      <c r="E5688" s="130" t="s">
        <v>61</v>
      </c>
      <c r="F5688" s="1031">
        <v>0</v>
      </c>
      <c r="G5688" s="1031">
        <v>-215782.6</v>
      </c>
      <c r="H5688" s="1031">
        <v>-215782.6</v>
      </c>
      <c r="I5688" s="1032" t="s">
        <v>1335</v>
      </c>
    </row>
    <row r="5689" spans="1:9" x14ac:dyDescent="0.25">
      <c r="A5689" s="1033"/>
      <c r="C5689" s="130" t="s">
        <v>1336</v>
      </c>
      <c r="D5689" s="130">
        <v>16</v>
      </c>
      <c r="E5689" s="130" t="s">
        <v>1336</v>
      </c>
      <c r="F5689" s="1031">
        <v>0</v>
      </c>
      <c r="G5689" s="1031">
        <v>203675.76</v>
      </c>
      <c r="H5689" s="1031">
        <v>203675.76</v>
      </c>
      <c r="I5689" s="1032" t="s">
        <v>1337</v>
      </c>
    </row>
    <row r="5690" spans="1:9" x14ac:dyDescent="0.25">
      <c r="A5690" s="1033"/>
      <c r="C5690" s="130">
        <v>418</v>
      </c>
      <c r="D5690" s="130">
        <v>16</v>
      </c>
      <c r="E5690" s="130">
        <v>418</v>
      </c>
      <c r="F5690" s="1031">
        <v>0</v>
      </c>
      <c r="G5690" s="1031">
        <v>-135962</v>
      </c>
      <c r="H5690" s="1031">
        <v>-135962</v>
      </c>
      <c r="I5690" s="1032" t="s">
        <v>1340</v>
      </c>
    </row>
    <row r="5691" spans="1:9" x14ac:dyDescent="0.25">
      <c r="A5691" s="1033"/>
      <c r="C5691" s="130">
        <v>618</v>
      </c>
      <c r="D5691" s="130">
        <v>16</v>
      </c>
      <c r="E5691" s="130">
        <v>618</v>
      </c>
      <c r="F5691" s="1031">
        <v>0</v>
      </c>
      <c r="G5691" s="1031">
        <v>133462</v>
      </c>
      <c r="H5691" s="1031">
        <v>133462</v>
      </c>
      <c r="I5691" s="1032" t="s">
        <v>1341</v>
      </c>
    </row>
    <row r="5692" spans="1:9" x14ac:dyDescent="0.25">
      <c r="A5692" s="1033"/>
      <c r="C5692" s="130" t="s">
        <v>157</v>
      </c>
      <c r="D5692" s="130">
        <v>16</v>
      </c>
      <c r="E5692" s="130" t="s">
        <v>157</v>
      </c>
      <c r="F5692" s="1031">
        <v>0</v>
      </c>
      <c r="G5692" s="1031">
        <v>-26726.6</v>
      </c>
      <c r="H5692" s="1031">
        <v>-26726.6</v>
      </c>
      <c r="I5692" s="1032" t="s">
        <v>1342</v>
      </c>
    </row>
    <row r="5693" spans="1:9" x14ac:dyDescent="0.25">
      <c r="A5693" s="1033"/>
      <c r="C5693" s="130" t="s">
        <v>1351</v>
      </c>
      <c r="D5693" s="130">
        <v>16</v>
      </c>
      <c r="E5693" s="130" t="s">
        <v>1351</v>
      </c>
      <c r="F5693" s="1031">
        <v>0</v>
      </c>
      <c r="G5693" s="1031">
        <v>-6580</v>
      </c>
      <c r="H5693" s="1031">
        <v>-6580</v>
      </c>
      <c r="I5693" s="1032" t="s">
        <v>1352</v>
      </c>
    </row>
    <row r="5694" spans="1:9" x14ac:dyDescent="0.25">
      <c r="A5694" s="1033"/>
      <c r="C5694" s="130" t="s">
        <v>1351</v>
      </c>
      <c r="D5694" s="130">
        <v>16</v>
      </c>
      <c r="E5694" s="130" t="s">
        <v>1353</v>
      </c>
      <c r="F5694" s="1031">
        <v>0</v>
      </c>
      <c r="G5694" s="1031">
        <v>-10494</v>
      </c>
      <c r="H5694" s="1031">
        <v>-10494</v>
      </c>
      <c r="I5694" s="1032" t="s">
        <v>1354</v>
      </c>
    </row>
    <row r="5695" spans="1:9" x14ac:dyDescent="0.25">
      <c r="A5695" s="1033"/>
      <c r="C5695" s="130" t="s">
        <v>1351</v>
      </c>
      <c r="D5695" s="130">
        <v>16</v>
      </c>
      <c r="E5695" s="130" t="s">
        <v>1355</v>
      </c>
      <c r="F5695" s="1031">
        <v>0</v>
      </c>
      <c r="G5695" s="1031">
        <v>-15190</v>
      </c>
      <c r="H5695" s="1031">
        <v>-15190</v>
      </c>
      <c r="I5695" s="1032" t="s">
        <v>1356</v>
      </c>
    </row>
    <row r="5696" spans="1:9" x14ac:dyDescent="0.25">
      <c r="A5696" s="1033"/>
      <c r="C5696" s="130" t="s">
        <v>1351</v>
      </c>
      <c r="D5696" s="130">
        <v>16</v>
      </c>
      <c r="E5696" s="130" t="s">
        <v>1357</v>
      </c>
      <c r="F5696" s="1031">
        <v>0</v>
      </c>
      <c r="G5696" s="1031">
        <v>-8330</v>
      </c>
      <c r="H5696" s="1031">
        <v>-8330</v>
      </c>
      <c r="I5696" s="1032" t="s">
        <v>1358</v>
      </c>
    </row>
    <row r="5697" spans="1:9" x14ac:dyDescent="0.25">
      <c r="A5697" s="1033"/>
      <c r="C5697" s="130" t="s">
        <v>1351</v>
      </c>
      <c r="D5697" s="130">
        <v>16</v>
      </c>
      <c r="E5697" s="130" t="s">
        <v>78</v>
      </c>
      <c r="F5697" s="1031">
        <v>0</v>
      </c>
      <c r="G5697" s="1031">
        <v>-499</v>
      </c>
      <c r="H5697" s="1031">
        <v>-499</v>
      </c>
      <c r="I5697" s="1032" t="s">
        <v>1359</v>
      </c>
    </row>
    <row r="5698" spans="1:9" x14ac:dyDescent="0.25">
      <c r="A5698" s="1033"/>
      <c r="C5698" s="130" t="s">
        <v>1360</v>
      </c>
      <c r="D5698" s="130">
        <v>16</v>
      </c>
      <c r="E5698" s="130" t="s">
        <v>1360</v>
      </c>
      <c r="F5698" s="1031">
        <v>0</v>
      </c>
      <c r="G5698" s="1031">
        <v>980</v>
      </c>
      <c r="H5698" s="1031">
        <v>980</v>
      </c>
      <c r="I5698" s="1032" t="s">
        <v>1361</v>
      </c>
    </row>
    <row r="5699" spans="1:9" x14ac:dyDescent="0.25">
      <c r="A5699" s="1033"/>
      <c r="C5699" s="130" t="s">
        <v>1360</v>
      </c>
      <c r="D5699" s="130">
        <v>16</v>
      </c>
      <c r="E5699" s="130" t="s">
        <v>1362</v>
      </c>
      <c r="F5699" s="1031">
        <v>0</v>
      </c>
      <c r="G5699" s="1031">
        <v>7764</v>
      </c>
      <c r="H5699" s="1031">
        <v>7764</v>
      </c>
      <c r="I5699" s="1032" t="s">
        <v>1363</v>
      </c>
    </row>
    <row r="5700" spans="1:9" x14ac:dyDescent="0.25">
      <c r="A5700" s="1033"/>
      <c r="C5700" s="130" t="s">
        <v>1360</v>
      </c>
      <c r="D5700" s="130">
        <v>16</v>
      </c>
      <c r="E5700" s="130" t="s">
        <v>1364</v>
      </c>
      <c r="F5700" s="1031">
        <v>0</v>
      </c>
      <c r="G5700" s="1031">
        <v>6043.71</v>
      </c>
      <c r="H5700" s="1031">
        <v>6043.71</v>
      </c>
      <c r="I5700" s="1032" t="s">
        <v>1365</v>
      </c>
    </row>
    <row r="5701" spans="1:9" x14ac:dyDescent="0.25">
      <c r="A5701" s="1033"/>
      <c r="C5701" s="130" t="s">
        <v>1360</v>
      </c>
      <c r="D5701" s="130">
        <v>16</v>
      </c>
      <c r="E5701" s="130" t="s">
        <v>1366</v>
      </c>
      <c r="F5701" s="1031">
        <v>0</v>
      </c>
      <c r="G5701" s="1031">
        <v>220</v>
      </c>
      <c r="H5701" s="1031">
        <v>220</v>
      </c>
      <c r="I5701" s="1032" t="s">
        <v>1367</v>
      </c>
    </row>
    <row r="5702" spans="1:9" x14ac:dyDescent="0.25">
      <c r="A5702" s="1033"/>
      <c r="C5702" s="130" t="s">
        <v>1370</v>
      </c>
      <c r="D5702" s="130">
        <v>16</v>
      </c>
      <c r="E5702" s="130" t="s">
        <v>1370</v>
      </c>
      <c r="F5702" s="1031">
        <v>0</v>
      </c>
      <c r="G5702" s="1031">
        <v>-1720</v>
      </c>
      <c r="H5702" s="1031">
        <v>-1720</v>
      </c>
      <c r="I5702" s="1032" t="s">
        <v>1371</v>
      </c>
    </row>
    <row r="5703" spans="1:9" x14ac:dyDescent="0.25">
      <c r="A5703" s="1033"/>
      <c r="C5703" s="130" t="s">
        <v>1372</v>
      </c>
      <c r="D5703" s="130">
        <v>16</v>
      </c>
      <c r="E5703" s="130" t="s">
        <v>1372</v>
      </c>
      <c r="F5703" s="1031">
        <v>0</v>
      </c>
      <c r="G5703" s="1031">
        <v>1113</v>
      </c>
      <c r="H5703" s="1031">
        <v>1113</v>
      </c>
      <c r="I5703" s="1032" t="s">
        <v>1373</v>
      </c>
    </row>
    <row r="5704" spans="1:9" x14ac:dyDescent="0.25">
      <c r="A5704" s="1033">
        <v>703218</v>
      </c>
      <c r="B5704" s="129">
        <v>6877</v>
      </c>
      <c r="E5704" s="130"/>
    </row>
    <row r="5705" spans="1:9" x14ac:dyDescent="0.25">
      <c r="A5705" s="1033">
        <v>703222</v>
      </c>
      <c r="B5705" s="129">
        <v>14</v>
      </c>
      <c r="E5705" s="130"/>
    </row>
    <row r="5706" spans="1:9" x14ac:dyDescent="0.25">
      <c r="A5706" s="1033">
        <v>703224</v>
      </c>
      <c r="B5706" s="129">
        <v>1162473</v>
      </c>
      <c r="E5706" s="130"/>
    </row>
    <row r="5707" spans="1:9" x14ac:dyDescent="0.25">
      <c r="A5707" s="1033">
        <v>703226</v>
      </c>
      <c r="B5707" s="129">
        <v>96277</v>
      </c>
      <c r="C5707" s="130">
        <v>416</v>
      </c>
      <c r="D5707" s="130">
        <v>16</v>
      </c>
      <c r="E5707" s="130">
        <v>416</v>
      </c>
      <c r="F5707" s="1031">
        <v>0</v>
      </c>
      <c r="G5707" s="1031">
        <v>-165736.57999999999</v>
      </c>
      <c r="H5707" s="1031">
        <v>-165736.57999999999</v>
      </c>
      <c r="I5707" s="1032" t="s">
        <v>1331</v>
      </c>
    </row>
    <row r="5708" spans="1:9" x14ac:dyDescent="0.25">
      <c r="A5708" s="1033"/>
      <c r="C5708" s="130">
        <v>616</v>
      </c>
      <c r="D5708" s="130">
        <v>16</v>
      </c>
      <c r="E5708" s="130">
        <v>616</v>
      </c>
      <c r="F5708" s="1031">
        <v>0</v>
      </c>
      <c r="G5708" s="1031">
        <v>158419.29</v>
      </c>
      <c r="H5708" s="1031">
        <v>158419.29</v>
      </c>
      <c r="I5708" s="1032" t="s">
        <v>1332</v>
      </c>
    </row>
    <row r="5709" spans="1:9" x14ac:dyDescent="0.25">
      <c r="A5709" s="1033"/>
      <c r="C5709" s="130" t="s">
        <v>61</v>
      </c>
      <c r="D5709" s="130">
        <v>16</v>
      </c>
      <c r="E5709" s="130" t="s">
        <v>61</v>
      </c>
      <c r="F5709" s="1031">
        <v>0</v>
      </c>
      <c r="G5709" s="1031">
        <v>-215782.6</v>
      </c>
      <c r="H5709" s="1031">
        <v>-215782.6</v>
      </c>
      <c r="I5709" s="1032" t="s">
        <v>1335</v>
      </c>
    </row>
    <row r="5710" spans="1:9" x14ac:dyDescent="0.25">
      <c r="A5710" s="1033"/>
      <c r="C5710" s="130" t="s">
        <v>1336</v>
      </c>
      <c r="D5710" s="130">
        <v>16</v>
      </c>
      <c r="E5710" s="130" t="s">
        <v>1336</v>
      </c>
      <c r="F5710" s="1031">
        <v>0</v>
      </c>
      <c r="G5710" s="1031">
        <v>203675.76</v>
      </c>
      <c r="H5710" s="1031">
        <v>203675.76</v>
      </c>
      <c r="I5710" s="1032" t="s">
        <v>1337</v>
      </c>
    </row>
    <row r="5711" spans="1:9" x14ac:dyDescent="0.25">
      <c r="A5711" s="1033"/>
      <c r="C5711" s="130" t="s">
        <v>165</v>
      </c>
      <c r="D5711" s="130">
        <v>16</v>
      </c>
      <c r="E5711" s="130" t="s">
        <v>165</v>
      </c>
      <c r="F5711" s="1031">
        <v>0</v>
      </c>
      <c r="G5711" s="1031">
        <v>-71130.86</v>
      </c>
      <c r="H5711" s="1031">
        <v>-71130.86</v>
      </c>
      <c r="I5711" s="1032" t="s">
        <v>1376</v>
      </c>
    </row>
    <row r="5712" spans="1:9" x14ac:dyDescent="0.25">
      <c r="A5712" s="1033"/>
      <c r="C5712" s="130" t="s">
        <v>1377</v>
      </c>
      <c r="D5712" s="130">
        <v>16</v>
      </c>
      <c r="E5712" s="130" t="s">
        <v>1377</v>
      </c>
      <c r="F5712" s="1031">
        <v>0</v>
      </c>
      <c r="G5712" s="1031">
        <v>70143.81</v>
      </c>
      <c r="H5712" s="1031">
        <v>70143.81</v>
      </c>
      <c r="I5712" s="1032" t="s">
        <v>1378</v>
      </c>
    </row>
    <row r="5713" spans="1:9" x14ac:dyDescent="0.25">
      <c r="A5713" s="1033"/>
      <c r="C5713" s="130" t="s">
        <v>57</v>
      </c>
      <c r="D5713" s="130">
        <v>16</v>
      </c>
      <c r="E5713" s="130" t="s">
        <v>57</v>
      </c>
      <c r="F5713" s="1031">
        <v>0</v>
      </c>
      <c r="G5713" s="1031">
        <v>-86373.5</v>
      </c>
      <c r="H5713" s="1031">
        <v>-86373.5</v>
      </c>
      <c r="I5713" s="1032" t="s">
        <v>1380</v>
      </c>
    </row>
    <row r="5714" spans="1:9" x14ac:dyDescent="0.25">
      <c r="A5714" s="1033"/>
      <c r="C5714" s="130" t="s">
        <v>1381</v>
      </c>
      <c r="D5714" s="130">
        <v>16</v>
      </c>
      <c r="E5714" s="130" t="s">
        <v>1381</v>
      </c>
      <c r="F5714" s="1031">
        <v>0</v>
      </c>
      <c r="G5714" s="1031">
        <v>82336.14</v>
      </c>
      <c r="H5714" s="1031">
        <v>82336.14</v>
      </c>
      <c r="I5714" s="1032" t="s">
        <v>1380</v>
      </c>
    </row>
    <row r="5715" spans="1:9" x14ac:dyDescent="0.25">
      <c r="A5715" s="1033"/>
      <c r="C5715" s="130" t="s">
        <v>267</v>
      </c>
      <c r="D5715" s="130">
        <v>16</v>
      </c>
      <c r="E5715" s="130" t="s">
        <v>267</v>
      </c>
      <c r="F5715" s="1031">
        <v>0</v>
      </c>
      <c r="G5715" s="1031">
        <v>-63350.5</v>
      </c>
      <c r="H5715" s="1031">
        <v>-63350.5</v>
      </c>
      <c r="I5715" s="1032" t="s">
        <v>1384</v>
      </c>
    </row>
    <row r="5716" spans="1:9" x14ac:dyDescent="0.25">
      <c r="A5716" s="1033"/>
      <c r="C5716" s="130" t="s">
        <v>1385</v>
      </c>
      <c r="D5716" s="130">
        <v>16</v>
      </c>
      <c r="E5716" s="130" t="s">
        <v>1385</v>
      </c>
      <c r="F5716" s="1031">
        <v>0</v>
      </c>
      <c r="G5716" s="1031">
        <v>62100.5</v>
      </c>
      <c r="H5716" s="1031">
        <v>62100.5</v>
      </c>
      <c r="I5716" s="1032" t="s">
        <v>1386</v>
      </c>
    </row>
    <row r="5717" spans="1:9" x14ac:dyDescent="0.25">
      <c r="A5717" s="1033"/>
      <c r="C5717" s="130" t="s">
        <v>283</v>
      </c>
      <c r="D5717" s="130">
        <v>16</v>
      </c>
      <c r="E5717" s="130" t="s">
        <v>283</v>
      </c>
      <c r="F5717" s="1031">
        <v>0</v>
      </c>
      <c r="G5717" s="1031">
        <v>-73322</v>
      </c>
      <c r="H5717" s="1031">
        <v>-73322</v>
      </c>
      <c r="I5717" s="1032" t="s">
        <v>1389</v>
      </c>
    </row>
    <row r="5718" spans="1:9" x14ac:dyDescent="0.25">
      <c r="A5718" s="1033"/>
      <c r="C5718" s="130" t="s">
        <v>1390</v>
      </c>
      <c r="D5718" s="130">
        <v>16</v>
      </c>
      <c r="E5718" s="130" t="s">
        <v>1390</v>
      </c>
      <c r="F5718" s="1031">
        <v>0</v>
      </c>
      <c r="G5718" s="1031">
        <v>71413.2</v>
      </c>
      <c r="H5718" s="1031">
        <v>71413.2</v>
      </c>
      <c r="I5718" s="1032" t="s">
        <v>1391</v>
      </c>
    </row>
    <row r="5719" spans="1:9" x14ac:dyDescent="0.25">
      <c r="A5719" s="1033"/>
      <c r="C5719" s="130" t="s">
        <v>268</v>
      </c>
      <c r="D5719" s="130">
        <v>16</v>
      </c>
      <c r="E5719" s="130" t="s">
        <v>268</v>
      </c>
      <c r="F5719" s="1031">
        <v>0</v>
      </c>
      <c r="G5719" s="1031">
        <v>-84886.5</v>
      </c>
      <c r="H5719" s="1031">
        <v>-84886.5</v>
      </c>
      <c r="I5719" s="1032" t="s">
        <v>1394</v>
      </c>
    </row>
    <row r="5720" spans="1:9" x14ac:dyDescent="0.25">
      <c r="A5720" s="1033"/>
      <c r="C5720" s="130" t="s">
        <v>1395</v>
      </c>
      <c r="D5720" s="130">
        <v>16</v>
      </c>
      <c r="E5720" s="130" t="s">
        <v>1395</v>
      </c>
      <c r="F5720" s="1031">
        <v>0</v>
      </c>
      <c r="G5720" s="1031">
        <v>78271.8</v>
      </c>
      <c r="H5720" s="1031">
        <v>78271.8</v>
      </c>
      <c r="I5720" s="1032" t="s">
        <v>1396</v>
      </c>
    </row>
    <row r="5721" spans="1:9" x14ac:dyDescent="0.25">
      <c r="A5721" s="1033"/>
      <c r="C5721" s="130">
        <v>432</v>
      </c>
      <c r="D5721" s="130">
        <v>16</v>
      </c>
      <c r="E5721" s="130">
        <v>432</v>
      </c>
      <c r="F5721" s="1031">
        <v>0</v>
      </c>
      <c r="G5721" s="1031">
        <v>-100923.5</v>
      </c>
      <c r="H5721" s="1031">
        <v>-100923.5</v>
      </c>
      <c r="I5721" s="1032" t="s">
        <v>1399</v>
      </c>
    </row>
    <row r="5722" spans="1:9" x14ac:dyDescent="0.25">
      <c r="A5722" s="1033"/>
      <c r="C5722" s="130">
        <v>632</v>
      </c>
      <c r="D5722" s="130">
        <v>16</v>
      </c>
      <c r="E5722" s="130">
        <v>632</v>
      </c>
      <c r="F5722" s="1031">
        <v>0</v>
      </c>
      <c r="G5722" s="1031">
        <v>96040.18</v>
      </c>
      <c r="H5722" s="1031">
        <v>96040.18</v>
      </c>
      <c r="I5722" s="1032" t="s">
        <v>1400</v>
      </c>
    </row>
    <row r="5723" spans="1:9" x14ac:dyDescent="0.25">
      <c r="A5723" s="1033"/>
      <c r="C5723" s="130" t="s">
        <v>291</v>
      </c>
      <c r="D5723" s="130">
        <v>16</v>
      </c>
      <c r="E5723" s="130" t="s">
        <v>291</v>
      </c>
      <c r="F5723" s="1031">
        <v>0</v>
      </c>
      <c r="G5723" s="1031">
        <v>-122189.22</v>
      </c>
      <c r="H5723" s="1031">
        <v>-122189.22</v>
      </c>
      <c r="I5723" s="1032" t="s">
        <v>1403</v>
      </c>
    </row>
    <row r="5724" spans="1:9" x14ac:dyDescent="0.25">
      <c r="A5724" s="1033"/>
      <c r="C5724" s="130" t="s">
        <v>1404</v>
      </c>
      <c r="D5724" s="130">
        <v>16</v>
      </c>
      <c r="E5724" s="130" t="s">
        <v>1404</v>
      </c>
      <c r="F5724" s="1031">
        <v>0</v>
      </c>
      <c r="G5724" s="1031">
        <v>120939.22</v>
      </c>
      <c r="H5724" s="1031">
        <v>120939.22</v>
      </c>
      <c r="I5724" s="1032" t="s">
        <v>1405</v>
      </c>
    </row>
    <row r="5725" spans="1:9" x14ac:dyDescent="0.25">
      <c r="A5725" s="1033"/>
      <c r="C5725" s="130">
        <v>418</v>
      </c>
      <c r="D5725" s="130">
        <v>16</v>
      </c>
      <c r="E5725" s="130">
        <v>418</v>
      </c>
      <c r="F5725" s="1031">
        <v>0</v>
      </c>
      <c r="G5725" s="1031">
        <v>-135962</v>
      </c>
      <c r="H5725" s="1031">
        <v>-135962</v>
      </c>
      <c r="I5725" s="1032" t="s">
        <v>1340</v>
      </c>
    </row>
    <row r="5726" spans="1:9" x14ac:dyDescent="0.25">
      <c r="A5726" s="1033"/>
      <c r="C5726" s="130">
        <v>618</v>
      </c>
      <c r="D5726" s="130">
        <v>16</v>
      </c>
      <c r="E5726" s="130">
        <v>618</v>
      </c>
      <c r="F5726" s="1031">
        <v>0</v>
      </c>
      <c r="G5726" s="1031">
        <v>133462</v>
      </c>
      <c r="H5726" s="1031">
        <v>133462</v>
      </c>
      <c r="I5726" s="1032" t="s">
        <v>1341</v>
      </c>
    </row>
    <row r="5727" spans="1:9" x14ac:dyDescent="0.25">
      <c r="A5727" s="1033"/>
      <c r="C5727" s="130" t="s">
        <v>157</v>
      </c>
      <c r="D5727" s="130">
        <v>16</v>
      </c>
      <c r="E5727" s="130" t="s">
        <v>157</v>
      </c>
      <c r="F5727" s="1031">
        <v>0</v>
      </c>
      <c r="G5727" s="1031">
        <v>-26726.6</v>
      </c>
      <c r="H5727" s="1031">
        <v>-26726.6</v>
      </c>
      <c r="I5727" s="1032" t="s">
        <v>1342</v>
      </c>
    </row>
    <row r="5728" spans="1:9" x14ac:dyDescent="0.25">
      <c r="A5728" s="1033"/>
      <c r="C5728" s="130" t="s">
        <v>1351</v>
      </c>
      <c r="D5728" s="130">
        <v>16</v>
      </c>
      <c r="E5728" s="130" t="s">
        <v>1351</v>
      </c>
      <c r="F5728" s="1031">
        <v>0</v>
      </c>
      <c r="G5728" s="1031">
        <v>-6580</v>
      </c>
      <c r="H5728" s="1031">
        <v>-6580</v>
      </c>
      <c r="I5728" s="1032" t="s">
        <v>1352</v>
      </c>
    </row>
    <row r="5729" spans="1:9" x14ac:dyDescent="0.25">
      <c r="A5729" s="1033"/>
      <c r="C5729" s="130" t="s">
        <v>1351</v>
      </c>
      <c r="D5729" s="130">
        <v>16</v>
      </c>
      <c r="E5729" s="130" t="s">
        <v>1353</v>
      </c>
      <c r="F5729" s="1031">
        <v>0</v>
      </c>
      <c r="G5729" s="1031">
        <v>-10494</v>
      </c>
      <c r="H5729" s="1031">
        <v>-10494</v>
      </c>
      <c r="I5729" s="1032" t="s">
        <v>1354</v>
      </c>
    </row>
    <row r="5730" spans="1:9" x14ac:dyDescent="0.25">
      <c r="A5730" s="1033"/>
      <c r="C5730" s="130" t="s">
        <v>1351</v>
      </c>
      <c r="D5730" s="130">
        <v>16</v>
      </c>
      <c r="E5730" s="130" t="s">
        <v>1355</v>
      </c>
      <c r="F5730" s="1031">
        <v>0</v>
      </c>
      <c r="G5730" s="1031">
        <v>-15190</v>
      </c>
      <c r="H5730" s="1031">
        <v>-15190</v>
      </c>
      <c r="I5730" s="1032" t="s">
        <v>1356</v>
      </c>
    </row>
    <row r="5731" spans="1:9" x14ac:dyDescent="0.25">
      <c r="A5731" s="1033"/>
      <c r="C5731" s="130" t="s">
        <v>1351</v>
      </c>
      <c r="D5731" s="130">
        <v>16</v>
      </c>
      <c r="E5731" s="130" t="s">
        <v>1357</v>
      </c>
      <c r="F5731" s="1031">
        <v>0</v>
      </c>
      <c r="G5731" s="1031">
        <v>-8330</v>
      </c>
      <c r="H5731" s="1031">
        <v>-8330</v>
      </c>
      <c r="I5731" s="1032" t="s">
        <v>1358</v>
      </c>
    </row>
    <row r="5732" spans="1:9" x14ac:dyDescent="0.25">
      <c r="A5732" s="1033"/>
      <c r="C5732" s="130" t="s">
        <v>1351</v>
      </c>
      <c r="D5732" s="130">
        <v>16</v>
      </c>
      <c r="E5732" s="130" t="s">
        <v>78</v>
      </c>
      <c r="F5732" s="1031">
        <v>0</v>
      </c>
      <c r="G5732" s="1031">
        <v>-499</v>
      </c>
      <c r="H5732" s="1031">
        <v>-499</v>
      </c>
      <c r="I5732" s="1032" t="s">
        <v>1359</v>
      </c>
    </row>
    <row r="5733" spans="1:9" x14ac:dyDescent="0.25">
      <c r="A5733" s="1033"/>
      <c r="C5733" s="130" t="s">
        <v>1360</v>
      </c>
      <c r="D5733" s="130">
        <v>16</v>
      </c>
      <c r="E5733" s="130" t="s">
        <v>1360</v>
      </c>
      <c r="F5733" s="1031">
        <v>0</v>
      </c>
      <c r="G5733" s="1031">
        <v>980</v>
      </c>
      <c r="H5733" s="1031">
        <v>980</v>
      </c>
      <c r="I5733" s="1032" t="s">
        <v>1361</v>
      </c>
    </row>
    <row r="5734" spans="1:9" x14ac:dyDescent="0.25">
      <c r="A5734" s="1033"/>
      <c r="C5734" s="130" t="s">
        <v>1360</v>
      </c>
      <c r="D5734" s="130">
        <v>16</v>
      </c>
      <c r="E5734" s="130" t="s">
        <v>1362</v>
      </c>
      <c r="F5734" s="1031">
        <v>0</v>
      </c>
      <c r="G5734" s="1031">
        <v>7764</v>
      </c>
      <c r="H5734" s="1031">
        <v>7764</v>
      </c>
      <c r="I5734" s="1032" t="s">
        <v>1363</v>
      </c>
    </row>
    <row r="5735" spans="1:9" x14ac:dyDescent="0.25">
      <c r="A5735" s="1033"/>
      <c r="C5735" s="130" t="s">
        <v>1360</v>
      </c>
      <c r="D5735" s="130">
        <v>16</v>
      </c>
      <c r="E5735" s="130" t="s">
        <v>1364</v>
      </c>
      <c r="F5735" s="1031">
        <v>0</v>
      </c>
      <c r="G5735" s="1031">
        <v>6043.71</v>
      </c>
      <c r="H5735" s="1031">
        <v>6043.71</v>
      </c>
      <c r="I5735" s="1032" t="s">
        <v>1365</v>
      </c>
    </row>
    <row r="5736" spans="1:9" x14ac:dyDescent="0.25">
      <c r="A5736" s="1033"/>
      <c r="C5736" s="130" t="s">
        <v>1360</v>
      </c>
      <c r="D5736" s="130">
        <v>16</v>
      </c>
      <c r="E5736" s="130" t="s">
        <v>1366</v>
      </c>
      <c r="F5736" s="1031">
        <v>0</v>
      </c>
      <c r="G5736" s="1031">
        <v>220</v>
      </c>
      <c r="H5736" s="1031">
        <v>220</v>
      </c>
      <c r="I5736" s="1032" t="s">
        <v>1367</v>
      </c>
    </row>
    <row r="5737" spans="1:9" x14ac:dyDescent="0.25">
      <c r="A5737" s="1033"/>
      <c r="C5737" s="130" t="s">
        <v>1370</v>
      </c>
      <c r="D5737" s="130">
        <v>16</v>
      </c>
      <c r="E5737" s="130" t="s">
        <v>1370</v>
      </c>
      <c r="F5737" s="1031">
        <v>0</v>
      </c>
      <c r="G5737" s="1031">
        <v>-1720</v>
      </c>
      <c r="H5737" s="1031">
        <v>-1720</v>
      </c>
      <c r="I5737" s="1032" t="s">
        <v>1371</v>
      </c>
    </row>
    <row r="5738" spans="1:9" x14ac:dyDescent="0.25">
      <c r="A5738" s="1033"/>
      <c r="C5738" s="130" t="s">
        <v>1372</v>
      </c>
      <c r="D5738" s="130">
        <v>16</v>
      </c>
      <c r="E5738" s="130" t="s">
        <v>1372</v>
      </c>
      <c r="F5738" s="1031">
        <v>0</v>
      </c>
      <c r="G5738" s="1031">
        <v>1113</v>
      </c>
      <c r="H5738" s="1031">
        <v>1113</v>
      </c>
      <c r="I5738" s="1032" t="s">
        <v>1373</v>
      </c>
    </row>
    <row r="5739" spans="1:9" x14ac:dyDescent="0.25">
      <c r="A5739" s="1033">
        <v>703228</v>
      </c>
      <c r="B5739" s="129">
        <v>6877</v>
      </c>
      <c r="E5739" s="130"/>
    </row>
    <row r="5740" spans="1:9" x14ac:dyDescent="0.25">
      <c r="A5740" s="1033">
        <v>703612</v>
      </c>
      <c r="B5740" s="129">
        <v>14</v>
      </c>
      <c r="E5740" s="130"/>
    </row>
    <row r="5741" spans="1:9" x14ac:dyDescent="0.25">
      <c r="A5741" s="1033">
        <v>703614</v>
      </c>
      <c r="B5741" s="129">
        <v>1162473</v>
      </c>
      <c r="E5741" s="130"/>
    </row>
    <row r="5742" spans="1:9" x14ac:dyDescent="0.25">
      <c r="A5742" s="1033">
        <v>703616</v>
      </c>
      <c r="B5742" s="129">
        <v>96277</v>
      </c>
      <c r="C5742" s="130" t="s">
        <v>165</v>
      </c>
      <c r="D5742" s="130">
        <v>16</v>
      </c>
      <c r="E5742" s="130" t="s">
        <v>165</v>
      </c>
      <c r="F5742" s="1031">
        <v>0</v>
      </c>
      <c r="G5742" s="1031">
        <v>-71130.86</v>
      </c>
      <c r="H5742" s="1031">
        <v>-71130.86</v>
      </c>
      <c r="I5742" s="1032" t="s">
        <v>1376</v>
      </c>
    </row>
    <row r="5743" spans="1:9" x14ac:dyDescent="0.25">
      <c r="A5743" s="1033"/>
      <c r="C5743" s="130" t="s">
        <v>1377</v>
      </c>
      <c r="D5743" s="130">
        <v>16</v>
      </c>
      <c r="E5743" s="130" t="s">
        <v>1377</v>
      </c>
      <c r="F5743" s="1031">
        <v>0</v>
      </c>
      <c r="G5743" s="1031">
        <v>70143.81</v>
      </c>
      <c r="H5743" s="1031">
        <v>70143.81</v>
      </c>
      <c r="I5743" s="1032" t="s">
        <v>1378</v>
      </c>
    </row>
    <row r="5744" spans="1:9" x14ac:dyDescent="0.25">
      <c r="A5744" s="1033"/>
      <c r="C5744" s="130" t="s">
        <v>57</v>
      </c>
      <c r="D5744" s="130">
        <v>16</v>
      </c>
      <c r="E5744" s="130" t="s">
        <v>57</v>
      </c>
      <c r="F5744" s="1031">
        <v>0</v>
      </c>
      <c r="G5744" s="1031">
        <v>-86373.5</v>
      </c>
      <c r="H5744" s="1031">
        <v>-86373.5</v>
      </c>
      <c r="I5744" s="1032" t="s">
        <v>1380</v>
      </c>
    </row>
    <row r="5745" spans="1:9" x14ac:dyDescent="0.25">
      <c r="A5745" s="1033"/>
      <c r="C5745" s="130" t="s">
        <v>1381</v>
      </c>
      <c r="D5745" s="130">
        <v>16</v>
      </c>
      <c r="E5745" s="130" t="s">
        <v>1381</v>
      </c>
      <c r="F5745" s="1031">
        <v>0</v>
      </c>
      <c r="G5745" s="1031">
        <v>82336.14</v>
      </c>
      <c r="H5745" s="1031">
        <v>82336.14</v>
      </c>
      <c r="I5745" s="1032" t="s">
        <v>1380</v>
      </c>
    </row>
    <row r="5746" spans="1:9" x14ac:dyDescent="0.25">
      <c r="A5746" s="1033"/>
      <c r="C5746" s="130" t="s">
        <v>267</v>
      </c>
      <c r="D5746" s="130">
        <v>16</v>
      </c>
      <c r="E5746" s="130" t="s">
        <v>267</v>
      </c>
      <c r="F5746" s="1031">
        <v>0</v>
      </c>
      <c r="G5746" s="1031">
        <v>-63350.5</v>
      </c>
      <c r="H5746" s="1031">
        <v>-63350.5</v>
      </c>
      <c r="I5746" s="1032" t="s">
        <v>1384</v>
      </c>
    </row>
    <row r="5747" spans="1:9" x14ac:dyDescent="0.25">
      <c r="A5747" s="1033"/>
      <c r="C5747" s="130" t="s">
        <v>1385</v>
      </c>
      <c r="D5747" s="130">
        <v>16</v>
      </c>
      <c r="E5747" s="130" t="s">
        <v>1385</v>
      </c>
      <c r="F5747" s="1031">
        <v>0</v>
      </c>
      <c r="G5747" s="1031">
        <v>62100.5</v>
      </c>
      <c r="H5747" s="1031">
        <v>62100.5</v>
      </c>
      <c r="I5747" s="1032" t="s">
        <v>1386</v>
      </c>
    </row>
    <row r="5748" spans="1:9" x14ac:dyDescent="0.25">
      <c r="A5748" s="1033"/>
      <c r="C5748" s="130" t="s">
        <v>283</v>
      </c>
      <c r="D5748" s="130">
        <v>16</v>
      </c>
      <c r="E5748" s="130" t="s">
        <v>283</v>
      </c>
      <c r="F5748" s="1031">
        <v>0</v>
      </c>
      <c r="G5748" s="1031">
        <v>-73322</v>
      </c>
      <c r="H5748" s="1031">
        <v>-73322</v>
      </c>
      <c r="I5748" s="1032" t="s">
        <v>1389</v>
      </c>
    </row>
    <row r="5749" spans="1:9" x14ac:dyDescent="0.25">
      <c r="A5749" s="1033"/>
      <c r="C5749" s="130" t="s">
        <v>1390</v>
      </c>
      <c r="D5749" s="130">
        <v>16</v>
      </c>
      <c r="E5749" s="130" t="s">
        <v>1390</v>
      </c>
      <c r="F5749" s="1031">
        <v>0</v>
      </c>
      <c r="G5749" s="1031">
        <v>71413.2</v>
      </c>
      <c r="H5749" s="1031">
        <v>71413.2</v>
      </c>
      <c r="I5749" s="1032" t="s">
        <v>1391</v>
      </c>
    </row>
    <row r="5750" spans="1:9" x14ac:dyDescent="0.25">
      <c r="A5750" s="1033"/>
      <c r="C5750" s="130" t="s">
        <v>268</v>
      </c>
      <c r="D5750" s="130">
        <v>16</v>
      </c>
      <c r="E5750" s="130" t="s">
        <v>268</v>
      </c>
      <c r="F5750" s="1031">
        <v>0</v>
      </c>
      <c r="G5750" s="1031">
        <v>-84886.5</v>
      </c>
      <c r="H5750" s="1031">
        <v>-84886.5</v>
      </c>
      <c r="I5750" s="1032" t="s">
        <v>1394</v>
      </c>
    </row>
    <row r="5751" spans="1:9" x14ac:dyDescent="0.25">
      <c r="A5751" s="1033"/>
      <c r="C5751" s="130" t="s">
        <v>1395</v>
      </c>
      <c r="D5751" s="130">
        <v>16</v>
      </c>
      <c r="E5751" s="130" t="s">
        <v>1395</v>
      </c>
      <c r="F5751" s="1031">
        <v>0</v>
      </c>
      <c r="G5751" s="1031">
        <v>78271.8</v>
      </c>
      <c r="H5751" s="1031">
        <v>78271.8</v>
      </c>
      <c r="I5751" s="1032" t="s">
        <v>1396</v>
      </c>
    </row>
    <row r="5752" spans="1:9" x14ac:dyDescent="0.25">
      <c r="A5752" s="1033"/>
      <c r="C5752" s="130">
        <v>432</v>
      </c>
      <c r="D5752" s="130">
        <v>16</v>
      </c>
      <c r="E5752" s="130">
        <v>432</v>
      </c>
      <c r="F5752" s="1031">
        <v>0</v>
      </c>
      <c r="G5752" s="1031">
        <v>-100923.5</v>
      </c>
      <c r="H5752" s="1031">
        <v>-100923.5</v>
      </c>
      <c r="I5752" s="1032" t="s">
        <v>1399</v>
      </c>
    </row>
    <row r="5753" spans="1:9" x14ac:dyDescent="0.25">
      <c r="A5753" s="1033"/>
      <c r="C5753" s="130">
        <v>632</v>
      </c>
      <c r="D5753" s="130">
        <v>16</v>
      </c>
      <c r="E5753" s="130">
        <v>632</v>
      </c>
      <c r="F5753" s="1031">
        <v>0</v>
      </c>
      <c r="G5753" s="1031">
        <v>96040.18</v>
      </c>
      <c r="H5753" s="1031">
        <v>96040.18</v>
      </c>
      <c r="I5753" s="1032" t="s">
        <v>1400</v>
      </c>
    </row>
    <row r="5754" spans="1:9" x14ac:dyDescent="0.25">
      <c r="A5754" s="1033"/>
      <c r="C5754" s="130" t="s">
        <v>291</v>
      </c>
      <c r="D5754" s="130">
        <v>16</v>
      </c>
      <c r="E5754" s="130" t="s">
        <v>291</v>
      </c>
      <c r="F5754" s="1031">
        <v>0</v>
      </c>
      <c r="G5754" s="1031">
        <v>-122189.22</v>
      </c>
      <c r="H5754" s="1031">
        <v>-122189.22</v>
      </c>
      <c r="I5754" s="1032" t="s">
        <v>1403</v>
      </c>
    </row>
    <row r="5755" spans="1:9" x14ac:dyDescent="0.25">
      <c r="A5755" s="1033"/>
      <c r="C5755" s="130" t="s">
        <v>1404</v>
      </c>
      <c r="D5755" s="130">
        <v>16</v>
      </c>
      <c r="E5755" s="130" t="s">
        <v>1404</v>
      </c>
      <c r="F5755" s="1031">
        <v>0</v>
      </c>
      <c r="G5755" s="1031">
        <v>120939.22</v>
      </c>
      <c r="H5755" s="1031">
        <v>120939.22</v>
      </c>
      <c r="I5755" s="1032" t="s">
        <v>1405</v>
      </c>
    </row>
    <row r="5756" spans="1:9" x14ac:dyDescent="0.25">
      <c r="A5756" s="1033"/>
      <c r="C5756" s="130">
        <v>416</v>
      </c>
      <c r="D5756" s="130">
        <v>16</v>
      </c>
      <c r="E5756" s="130">
        <v>416</v>
      </c>
      <c r="F5756" s="1031">
        <v>0</v>
      </c>
      <c r="G5756" s="1031">
        <v>-165736.57999999999</v>
      </c>
      <c r="H5756" s="1031">
        <v>-165736.57999999999</v>
      </c>
      <c r="I5756" s="1032" t="s">
        <v>1331</v>
      </c>
    </row>
    <row r="5757" spans="1:9" x14ac:dyDescent="0.25">
      <c r="A5757" s="1033"/>
      <c r="C5757" s="130">
        <v>616</v>
      </c>
      <c r="D5757" s="130">
        <v>16</v>
      </c>
      <c r="E5757" s="130">
        <v>616</v>
      </c>
      <c r="F5757" s="1031">
        <v>0</v>
      </c>
      <c r="G5757" s="1031">
        <v>158419.29</v>
      </c>
      <c r="H5757" s="1031">
        <v>158419.29</v>
      </c>
      <c r="I5757" s="1032" t="s">
        <v>1332</v>
      </c>
    </row>
    <row r="5758" spans="1:9" x14ac:dyDescent="0.25">
      <c r="A5758" s="1033"/>
      <c r="C5758" s="130" t="s">
        <v>61</v>
      </c>
      <c r="D5758" s="130">
        <v>16</v>
      </c>
      <c r="E5758" s="130" t="s">
        <v>61</v>
      </c>
      <c r="F5758" s="1031">
        <v>0</v>
      </c>
      <c r="G5758" s="1031">
        <v>-215782.6</v>
      </c>
      <c r="H5758" s="1031">
        <v>-215782.6</v>
      </c>
      <c r="I5758" s="1032" t="s">
        <v>1335</v>
      </c>
    </row>
    <row r="5759" spans="1:9" x14ac:dyDescent="0.25">
      <c r="A5759" s="1033"/>
      <c r="C5759" s="130" t="s">
        <v>1336</v>
      </c>
      <c r="D5759" s="130">
        <v>16</v>
      </c>
      <c r="E5759" s="130" t="s">
        <v>1336</v>
      </c>
      <c r="F5759" s="1031">
        <v>0</v>
      </c>
      <c r="G5759" s="1031">
        <v>203675.76</v>
      </c>
      <c r="H5759" s="1031">
        <v>203675.76</v>
      </c>
      <c r="I5759" s="1032" t="s">
        <v>1337</v>
      </c>
    </row>
    <row r="5760" spans="1:9" x14ac:dyDescent="0.25">
      <c r="A5760" s="1033"/>
      <c r="C5760" s="130">
        <v>418</v>
      </c>
      <c r="D5760" s="130">
        <v>16</v>
      </c>
      <c r="E5760" s="130">
        <v>418</v>
      </c>
      <c r="F5760" s="1031">
        <v>0</v>
      </c>
      <c r="G5760" s="1031">
        <v>-135962</v>
      </c>
      <c r="H5760" s="1031">
        <v>-135962</v>
      </c>
      <c r="I5760" s="1032" t="s">
        <v>1340</v>
      </c>
    </row>
    <row r="5761" spans="1:9" x14ac:dyDescent="0.25">
      <c r="A5761" s="1033"/>
      <c r="C5761" s="130">
        <v>618</v>
      </c>
      <c r="D5761" s="130">
        <v>16</v>
      </c>
      <c r="E5761" s="130">
        <v>618</v>
      </c>
      <c r="F5761" s="1031">
        <v>0</v>
      </c>
      <c r="G5761" s="1031">
        <v>133462</v>
      </c>
      <c r="H5761" s="1031">
        <v>133462</v>
      </c>
      <c r="I5761" s="1032" t="s">
        <v>1341</v>
      </c>
    </row>
    <row r="5762" spans="1:9" x14ac:dyDescent="0.25">
      <c r="A5762" s="1033"/>
      <c r="C5762" s="130" t="s">
        <v>157</v>
      </c>
      <c r="D5762" s="130">
        <v>16</v>
      </c>
      <c r="E5762" s="130" t="s">
        <v>157</v>
      </c>
      <c r="F5762" s="1031">
        <v>0</v>
      </c>
      <c r="G5762" s="1031">
        <v>-26726.6</v>
      </c>
      <c r="H5762" s="1031">
        <v>-26726.6</v>
      </c>
      <c r="I5762" s="1032" t="s">
        <v>1342</v>
      </c>
    </row>
    <row r="5763" spans="1:9" x14ac:dyDescent="0.25">
      <c r="A5763" s="1033"/>
      <c r="C5763" s="130" t="s">
        <v>1351</v>
      </c>
      <c r="D5763" s="130">
        <v>16</v>
      </c>
      <c r="E5763" s="130" t="s">
        <v>1351</v>
      </c>
      <c r="F5763" s="1031">
        <v>0</v>
      </c>
      <c r="G5763" s="1031">
        <v>-6580</v>
      </c>
      <c r="H5763" s="1031">
        <v>-6580</v>
      </c>
      <c r="I5763" s="1032" t="s">
        <v>1352</v>
      </c>
    </row>
    <row r="5764" spans="1:9" x14ac:dyDescent="0.25">
      <c r="A5764" s="1033"/>
      <c r="C5764" s="130" t="s">
        <v>1351</v>
      </c>
      <c r="D5764" s="130">
        <v>16</v>
      </c>
      <c r="E5764" s="130" t="s">
        <v>1353</v>
      </c>
      <c r="F5764" s="1031">
        <v>0</v>
      </c>
      <c r="G5764" s="1031">
        <v>-10494</v>
      </c>
      <c r="H5764" s="1031">
        <v>-10494</v>
      </c>
      <c r="I5764" s="1032" t="s">
        <v>1354</v>
      </c>
    </row>
    <row r="5765" spans="1:9" x14ac:dyDescent="0.25">
      <c r="A5765" s="1033"/>
      <c r="C5765" s="130" t="s">
        <v>1351</v>
      </c>
      <c r="D5765" s="130">
        <v>16</v>
      </c>
      <c r="E5765" s="130" t="s">
        <v>1355</v>
      </c>
      <c r="F5765" s="1031">
        <v>0</v>
      </c>
      <c r="G5765" s="1031">
        <v>-15190</v>
      </c>
      <c r="H5765" s="1031">
        <v>-15190</v>
      </c>
      <c r="I5765" s="1032" t="s">
        <v>1356</v>
      </c>
    </row>
    <row r="5766" spans="1:9" x14ac:dyDescent="0.25">
      <c r="A5766" s="1033"/>
      <c r="C5766" s="130" t="s">
        <v>1351</v>
      </c>
      <c r="D5766" s="130">
        <v>16</v>
      </c>
      <c r="E5766" s="130" t="s">
        <v>1357</v>
      </c>
      <c r="F5766" s="1031">
        <v>0</v>
      </c>
      <c r="G5766" s="1031">
        <v>-8330</v>
      </c>
      <c r="H5766" s="1031">
        <v>-8330</v>
      </c>
      <c r="I5766" s="1032" t="s">
        <v>1358</v>
      </c>
    </row>
    <row r="5767" spans="1:9" x14ac:dyDescent="0.25">
      <c r="A5767" s="1033"/>
      <c r="C5767" s="130" t="s">
        <v>1351</v>
      </c>
      <c r="D5767" s="130">
        <v>16</v>
      </c>
      <c r="E5767" s="130" t="s">
        <v>78</v>
      </c>
      <c r="F5767" s="1031">
        <v>0</v>
      </c>
      <c r="G5767" s="1031">
        <v>-499</v>
      </c>
      <c r="H5767" s="1031">
        <v>-499</v>
      </c>
      <c r="I5767" s="1032" t="s">
        <v>1359</v>
      </c>
    </row>
    <row r="5768" spans="1:9" x14ac:dyDescent="0.25">
      <c r="A5768" s="1033"/>
      <c r="C5768" s="130" t="s">
        <v>1360</v>
      </c>
      <c r="D5768" s="130">
        <v>16</v>
      </c>
      <c r="E5768" s="130" t="s">
        <v>1360</v>
      </c>
      <c r="F5768" s="1031">
        <v>0</v>
      </c>
      <c r="G5768" s="1031">
        <v>980</v>
      </c>
      <c r="H5768" s="1031">
        <v>980</v>
      </c>
      <c r="I5768" s="1032" t="s">
        <v>1361</v>
      </c>
    </row>
    <row r="5769" spans="1:9" x14ac:dyDescent="0.25">
      <c r="A5769" s="1033"/>
      <c r="C5769" s="130" t="s">
        <v>1360</v>
      </c>
      <c r="D5769" s="130">
        <v>16</v>
      </c>
      <c r="E5769" s="130" t="s">
        <v>1362</v>
      </c>
      <c r="F5769" s="1031">
        <v>0</v>
      </c>
      <c r="G5769" s="1031">
        <v>7764</v>
      </c>
      <c r="H5769" s="1031">
        <v>7764</v>
      </c>
      <c r="I5769" s="1032" t="s">
        <v>1363</v>
      </c>
    </row>
    <row r="5770" spans="1:9" x14ac:dyDescent="0.25">
      <c r="A5770" s="1033"/>
      <c r="C5770" s="130" t="s">
        <v>1360</v>
      </c>
      <c r="D5770" s="130">
        <v>16</v>
      </c>
      <c r="E5770" s="130" t="s">
        <v>1364</v>
      </c>
      <c r="F5770" s="1031">
        <v>0</v>
      </c>
      <c r="G5770" s="1031">
        <v>6043.71</v>
      </c>
      <c r="H5770" s="1031">
        <v>6043.71</v>
      </c>
      <c r="I5770" s="1032" t="s">
        <v>1365</v>
      </c>
    </row>
    <row r="5771" spans="1:9" x14ac:dyDescent="0.25">
      <c r="A5771" s="1033"/>
      <c r="C5771" s="130" t="s">
        <v>1360</v>
      </c>
      <c r="D5771" s="130">
        <v>16</v>
      </c>
      <c r="E5771" s="130" t="s">
        <v>1366</v>
      </c>
      <c r="F5771" s="1031">
        <v>0</v>
      </c>
      <c r="G5771" s="1031">
        <v>220</v>
      </c>
      <c r="H5771" s="1031">
        <v>220</v>
      </c>
      <c r="I5771" s="1032" t="s">
        <v>1367</v>
      </c>
    </row>
    <row r="5772" spans="1:9" x14ac:dyDescent="0.25">
      <c r="A5772" s="1033"/>
      <c r="C5772" s="130" t="s">
        <v>1370</v>
      </c>
      <c r="D5772" s="130">
        <v>16</v>
      </c>
      <c r="E5772" s="130" t="s">
        <v>1370</v>
      </c>
      <c r="F5772" s="1031">
        <v>0</v>
      </c>
      <c r="G5772" s="1031">
        <v>-1720</v>
      </c>
      <c r="H5772" s="1031">
        <v>-1720</v>
      </c>
      <c r="I5772" s="1032" t="s">
        <v>1371</v>
      </c>
    </row>
    <row r="5773" spans="1:9" x14ac:dyDescent="0.25">
      <c r="A5773" s="1033"/>
      <c r="C5773" s="130" t="s">
        <v>1372</v>
      </c>
      <c r="D5773" s="130">
        <v>16</v>
      </c>
      <c r="E5773" s="130" t="s">
        <v>1372</v>
      </c>
      <c r="F5773" s="1031">
        <v>0</v>
      </c>
      <c r="G5773" s="1031">
        <v>1113</v>
      </c>
      <c r="H5773" s="1031">
        <v>1113</v>
      </c>
      <c r="I5773" s="1032" t="s">
        <v>1373</v>
      </c>
    </row>
    <row r="5774" spans="1:9" x14ac:dyDescent="0.25">
      <c r="A5774" s="1033">
        <v>703618</v>
      </c>
      <c r="B5774" s="129">
        <v>6877</v>
      </c>
      <c r="E5774" s="130"/>
    </row>
    <row r="5775" spans="1:9" x14ac:dyDescent="0.25">
      <c r="A5775" s="1033">
        <v>703622</v>
      </c>
      <c r="B5775" s="129">
        <v>14</v>
      </c>
      <c r="E5775" s="130"/>
    </row>
    <row r="5776" spans="1:9" x14ac:dyDescent="0.25">
      <c r="A5776" s="1033">
        <v>703624</v>
      </c>
      <c r="B5776" s="129">
        <v>1162473</v>
      </c>
      <c r="E5776" s="130"/>
    </row>
    <row r="5777" spans="1:9" x14ac:dyDescent="0.25">
      <c r="A5777" s="1033">
        <v>703626</v>
      </c>
      <c r="B5777" s="129">
        <v>96277</v>
      </c>
      <c r="C5777" s="130">
        <v>416</v>
      </c>
      <c r="D5777" s="130">
        <v>16</v>
      </c>
      <c r="E5777" s="130">
        <v>416</v>
      </c>
      <c r="F5777" s="1031">
        <v>0</v>
      </c>
      <c r="G5777" s="1031">
        <v>-165736.57999999999</v>
      </c>
      <c r="H5777" s="1031">
        <v>-165736.57999999999</v>
      </c>
      <c r="I5777" s="1032" t="s">
        <v>1331</v>
      </c>
    </row>
    <row r="5778" spans="1:9" x14ac:dyDescent="0.25">
      <c r="A5778" s="1033"/>
      <c r="C5778" s="130">
        <v>616</v>
      </c>
      <c r="D5778" s="130">
        <v>16</v>
      </c>
      <c r="E5778" s="130">
        <v>616</v>
      </c>
      <c r="F5778" s="1031">
        <v>0</v>
      </c>
      <c r="G5778" s="1031">
        <v>158419.29</v>
      </c>
      <c r="H5778" s="1031">
        <v>158419.29</v>
      </c>
      <c r="I5778" s="1032" t="s">
        <v>1332</v>
      </c>
    </row>
    <row r="5779" spans="1:9" x14ac:dyDescent="0.25">
      <c r="A5779" s="1033"/>
      <c r="C5779" s="130" t="s">
        <v>61</v>
      </c>
      <c r="D5779" s="130">
        <v>16</v>
      </c>
      <c r="E5779" s="130" t="s">
        <v>61</v>
      </c>
      <c r="F5779" s="1031">
        <v>0</v>
      </c>
      <c r="G5779" s="1031">
        <v>-215782.6</v>
      </c>
      <c r="H5779" s="1031">
        <v>-215782.6</v>
      </c>
      <c r="I5779" s="1032" t="s">
        <v>1335</v>
      </c>
    </row>
    <row r="5780" spans="1:9" x14ac:dyDescent="0.25">
      <c r="A5780" s="1033"/>
      <c r="C5780" s="130" t="s">
        <v>1336</v>
      </c>
      <c r="D5780" s="130">
        <v>16</v>
      </c>
      <c r="E5780" s="130" t="s">
        <v>1336</v>
      </c>
      <c r="F5780" s="1031">
        <v>0</v>
      </c>
      <c r="G5780" s="1031">
        <v>203675.76</v>
      </c>
      <c r="H5780" s="1031">
        <v>203675.76</v>
      </c>
      <c r="I5780" s="1032" t="s">
        <v>1337</v>
      </c>
    </row>
    <row r="5781" spans="1:9" x14ac:dyDescent="0.25">
      <c r="A5781" s="1033"/>
      <c r="C5781" s="130" t="s">
        <v>165</v>
      </c>
      <c r="D5781" s="130">
        <v>16</v>
      </c>
      <c r="E5781" s="130" t="s">
        <v>165</v>
      </c>
      <c r="F5781" s="1031">
        <v>0</v>
      </c>
      <c r="G5781" s="1031">
        <v>-71130.86</v>
      </c>
      <c r="H5781" s="1031">
        <v>-71130.86</v>
      </c>
      <c r="I5781" s="1032" t="s">
        <v>1376</v>
      </c>
    </row>
    <row r="5782" spans="1:9" x14ac:dyDescent="0.25">
      <c r="A5782" s="1033"/>
      <c r="C5782" s="130" t="s">
        <v>1377</v>
      </c>
      <c r="D5782" s="130">
        <v>16</v>
      </c>
      <c r="E5782" s="130" t="s">
        <v>1377</v>
      </c>
      <c r="F5782" s="1031">
        <v>0</v>
      </c>
      <c r="G5782" s="1031">
        <v>70143.81</v>
      </c>
      <c r="H5782" s="1031">
        <v>70143.81</v>
      </c>
      <c r="I5782" s="1032" t="s">
        <v>1378</v>
      </c>
    </row>
    <row r="5783" spans="1:9" x14ac:dyDescent="0.25">
      <c r="A5783" s="1033"/>
      <c r="C5783" s="130" t="s">
        <v>57</v>
      </c>
      <c r="D5783" s="130">
        <v>16</v>
      </c>
      <c r="E5783" s="130" t="s">
        <v>57</v>
      </c>
      <c r="F5783" s="1031">
        <v>0</v>
      </c>
      <c r="G5783" s="1031">
        <v>-86373.5</v>
      </c>
      <c r="H5783" s="1031">
        <v>-86373.5</v>
      </c>
      <c r="I5783" s="1032" t="s">
        <v>1380</v>
      </c>
    </row>
    <row r="5784" spans="1:9" x14ac:dyDescent="0.25">
      <c r="A5784" s="1033"/>
      <c r="C5784" s="130" t="s">
        <v>1381</v>
      </c>
      <c r="D5784" s="130">
        <v>16</v>
      </c>
      <c r="E5784" s="130" t="s">
        <v>1381</v>
      </c>
      <c r="F5784" s="1031">
        <v>0</v>
      </c>
      <c r="G5784" s="1031">
        <v>82336.14</v>
      </c>
      <c r="H5784" s="1031">
        <v>82336.14</v>
      </c>
      <c r="I5784" s="1032" t="s">
        <v>1380</v>
      </c>
    </row>
    <row r="5785" spans="1:9" x14ac:dyDescent="0.25">
      <c r="A5785" s="1033"/>
      <c r="C5785" s="130" t="s">
        <v>267</v>
      </c>
      <c r="D5785" s="130">
        <v>16</v>
      </c>
      <c r="E5785" s="130" t="s">
        <v>267</v>
      </c>
      <c r="F5785" s="1031">
        <v>0</v>
      </c>
      <c r="G5785" s="1031">
        <v>-63350.5</v>
      </c>
      <c r="H5785" s="1031">
        <v>-63350.5</v>
      </c>
      <c r="I5785" s="1032" t="s">
        <v>1384</v>
      </c>
    </row>
    <row r="5786" spans="1:9" x14ac:dyDescent="0.25">
      <c r="A5786" s="1033"/>
      <c r="C5786" s="130" t="s">
        <v>1385</v>
      </c>
      <c r="D5786" s="130">
        <v>16</v>
      </c>
      <c r="E5786" s="130" t="s">
        <v>1385</v>
      </c>
      <c r="F5786" s="1031">
        <v>0</v>
      </c>
      <c r="G5786" s="1031">
        <v>62100.5</v>
      </c>
      <c r="H5786" s="1031">
        <v>62100.5</v>
      </c>
      <c r="I5786" s="1032" t="s">
        <v>1386</v>
      </c>
    </row>
    <row r="5787" spans="1:9" x14ac:dyDescent="0.25">
      <c r="A5787" s="1033"/>
      <c r="C5787" s="130" t="s">
        <v>283</v>
      </c>
      <c r="D5787" s="130">
        <v>16</v>
      </c>
      <c r="E5787" s="130" t="s">
        <v>283</v>
      </c>
      <c r="F5787" s="1031">
        <v>0</v>
      </c>
      <c r="G5787" s="1031">
        <v>-73322</v>
      </c>
      <c r="H5787" s="1031">
        <v>-73322</v>
      </c>
      <c r="I5787" s="1032" t="s">
        <v>1389</v>
      </c>
    </row>
    <row r="5788" spans="1:9" x14ac:dyDescent="0.25">
      <c r="A5788" s="1033"/>
      <c r="C5788" s="130" t="s">
        <v>1390</v>
      </c>
      <c r="D5788" s="130">
        <v>16</v>
      </c>
      <c r="E5788" s="130" t="s">
        <v>1390</v>
      </c>
      <c r="F5788" s="1031">
        <v>0</v>
      </c>
      <c r="G5788" s="1031">
        <v>71413.2</v>
      </c>
      <c r="H5788" s="1031">
        <v>71413.2</v>
      </c>
      <c r="I5788" s="1032" t="s">
        <v>1391</v>
      </c>
    </row>
    <row r="5789" spans="1:9" x14ac:dyDescent="0.25">
      <c r="A5789" s="1033"/>
      <c r="C5789" s="130" t="s">
        <v>268</v>
      </c>
      <c r="D5789" s="130">
        <v>16</v>
      </c>
      <c r="E5789" s="130" t="s">
        <v>268</v>
      </c>
      <c r="F5789" s="1031">
        <v>0</v>
      </c>
      <c r="G5789" s="1031">
        <v>-84886.5</v>
      </c>
      <c r="H5789" s="1031">
        <v>-84886.5</v>
      </c>
      <c r="I5789" s="1032" t="s">
        <v>1394</v>
      </c>
    </row>
    <row r="5790" spans="1:9" x14ac:dyDescent="0.25">
      <c r="A5790" s="1033"/>
      <c r="C5790" s="130" t="s">
        <v>1395</v>
      </c>
      <c r="D5790" s="130">
        <v>16</v>
      </c>
      <c r="E5790" s="130" t="s">
        <v>1395</v>
      </c>
      <c r="F5790" s="1031">
        <v>0</v>
      </c>
      <c r="G5790" s="1031">
        <v>78271.8</v>
      </c>
      <c r="H5790" s="1031">
        <v>78271.8</v>
      </c>
      <c r="I5790" s="1032" t="s">
        <v>1396</v>
      </c>
    </row>
    <row r="5791" spans="1:9" x14ac:dyDescent="0.25">
      <c r="A5791" s="1033"/>
      <c r="C5791" s="130">
        <v>432</v>
      </c>
      <c r="D5791" s="130">
        <v>16</v>
      </c>
      <c r="E5791" s="130">
        <v>432</v>
      </c>
      <c r="F5791" s="1031">
        <v>0</v>
      </c>
      <c r="G5791" s="1031">
        <v>-100923.5</v>
      </c>
      <c r="H5791" s="1031">
        <v>-100923.5</v>
      </c>
      <c r="I5791" s="1032" t="s">
        <v>1399</v>
      </c>
    </row>
    <row r="5792" spans="1:9" x14ac:dyDescent="0.25">
      <c r="A5792" s="1033"/>
      <c r="C5792" s="130">
        <v>632</v>
      </c>
      <c r="D5792" s="130">
        <v>16</v>
      </c>
      <c r="E5792" s="130">
        <v>632</v>
      </c>
      <c r="F5792" s="1031">
        <v>0</v>
      </c>
      <c r="G5792" s="1031">
        <v>96040.18</v>
      </c>
      <c r="H5792" s="1031">
        <v>96040.18</v>
      </c>
      <c r="I5792" s="1032" t="s">
        <v>1400</v>
      </c>
    </row>
    <row r="5793" spans="1:9" x14ac:dyDescent="0.25">
      <c r="A5793" s="1033"/>
      <c r="C5793" s="130" t="s">
        <v>291</v>
      </c>
      <c r="D5793" s="130">
        <v>16</v>
      </c>
      <c r="E5793" s="130" t="s">
        <v>291</v>
      </c>
      <c r="F5793" s="1031">
        <v>0</v>
      </c>
      <c r="G5793" s="1031">
        <v>-122189.22</v>
      </c>
      <c r="H5793" s="1031">
        <v>-122189.22</v>
      </c>
      <c r="I5793" s="1032" t="s">
        <v>1403</v>
      </c>
    </row>
    <row r="5794" spans="1:9" x14ac:dyDescent="0.25">
      <c r="A5794" s="1033"/>
      <c r="C5794" s="130" t="s">
        <v>1404</v>
      </c>
      <c r="D5794" s="130">
        <v>16</v>
      </c>
      <c r="E5794" s="130" t="s">
        <v>1404</v>
      </c>
      <c r="F5794" s="1031">
        <v>0</v>
      </c>
      <c r="G5794" s="1031">
        <v>120939.22</v>
      </c>
      <c r="H5794" s="1031">
        <v>120939.22</v>
      </c>
      <c r="I5794" s="1032" t="s">
        <v>1405</v>
      </c>
    </row>
    <row r="5795" spans="1:9" x14ac:dyDescent="0.25">
      <c r="A5795" s="1033"/>
      <c r="C5795" s="130">
        <v>418</v>
      </c>
      <c r="D5795" s="130">
        <v>16</v>
      </c>
      <c r="E5795" s="130">
        <v>418</v>
      </c>
      <c r="F5795" s="1031">
        <v>0</v>
      </c>
      <c r="G5795" s="1031">
        <v>-135962</v>
      </c>
      <c r="H5795" s="1031">
        <v>-135962</v>
      </c>
      <c r="I5795" s="1032" t="s">
        <v>1340</v>
      </c>
    </row>
    <row r="5796" spans="1:9" x14ac:dyDescent="0.25">
      <c r="A5796" s="1033"/>
      <c r="C5796" s="130">
        <v>618</v>
      </c>
      <c r="D5796" s="130">
        <v>16</v>
      </c>
      <c r="E5796" s="130">
        <v>618</v>
      </c>
      <c r="F5796" s="1031">
        <v>0</v>
      </c>
      <c r="G5796" s="1031">
        <v>133462</v>
      </c>
      <c r="H5796" s="1031">
        <v>133462</v>
      </c>
      <c r="I5796" s="1032" t="s">
        <v>1341</v>
      </c>
    </row>
    <row r="5797" spans="1:9" x14ac:dyDescent="0.25">
      <c r="A5797" s="1033"/>
      <c r="C5797" s="130" t="s">
        <v>157</v>
      </c>
      <c r="D5797" s="130">
        <v>16</v>
      </c>
      <c r="E5797" s="130" t="s">
        <v>157</v>
      </c>
      <c r="F5797" s="1031">
        <v>0</v>
      </c>
      <c r="G5797" s="1031">
        <v>-26726.6</v>
      </c>
      <c r="H5797" s="1031">
        <v>-26726.6</v>
      </c>
      <c r="I5797" s="1032" t="s">
        <v>1342</v>
      </c>
    </row>
    <row r="5798" spans="1:9" x14ac:dyDescent="0.25">
      <c r="A5798" s="1033"/>
      <c r="C5798" s="130" t="s">
        <v>1351</v>
      </c>
      <c r="D5798" s="130">
        <v>16</v>
      </c>
      <c r="E5798" s="130" t="s">
        <v>1351</v>
      </c>
      <c r="F5798" s="1031">
        <v>0</v>
      </c>
      <c r="G5798" s="1031">
        <v>-6580</v>
      </c>
      <c r="H5798" s="1031">
        <v>-6580</v>
      </c>
      <c r="I5798" s="1032" t="s">
        <v>1352</v>
      </c>
    </row>
    <row r="5799" spans="1:9" x14ac:dyDescent="0.25">
      <c r="A5799" s="1033"/>
      <c r="C5799" s="130" t="s">
        <v>1351</v>
      </c>
      <c r="D5799" s="130">
        <v>16</v>
      </c>
      <c r="E5799" s="130" t="s">
        <v>1353</v>
      </c>
      <c r="F5799" s="1031">
        <v>0</v>
      </c>
      <c r="G5799" s="1031">
        <v>-10494</v>
      </c>
      <c r="H5799" s="1031">
        <v>-10494</v>
      </c>
      <c r="I5799" s="1032" t="s">
        <v>1354</v>
      </c>
    </row>
    <row r="5800" spans="1:9" x14ac:dyDescent="0.25">
      <c r="A5800" s="1033"/>
      <c r="C5800" s="130" t="s">
        <v>1351</v>
      </c>
      <c r="D5800" s="130">
        <v>16</v>
      </c>
      <c r="E5800" s="130" t="s">
        <v>1355</v>
      </c>
      <c r="F5800" s="1031">
        <v>0</v>
      </c>
      <c r="G5800" s="1031">
        <v>-15190</v>
      </c>
      <c r="H5800" s="1031">
        <v>-15190</v>
      </c>
      <c r="I5800" s="1032" t="s">
        <v>1356</v>
      </c>
    </row>
    <row r="5801" spans="1:9" x14ac:dyDescent="0.25">
      <c r="A5801" s="1033"/>
      <c r="C5801" s="130" t="s">
        <v>1351</v>
      </c>
      <c r="D5801" s="130">
        <v>16</v>
      </c>
      <c r="E5801" s="130" t="s">
        <v>1357</v>
      </c>
      <c r="F5801" s="1031">
        <v>0</v>
      </c>
      <c r="G5801" s="1031">
        <v>-8330</v>
      </c>
      <c r="H5801" s="1031">
        <v>-8330</v>
      </c>
      <c r="I5801" s="1032" t="s">
        <v>1358</v>
      </c>
    </row>
    <row r="5802" spans="1:9" x14ac:dyDescent="0.25">
      <c r="A5802" s="1033"/>
      <c r="C5802" s="130" t="s">
        <v>1351</v>
      </c>
      <c r="D5802" s="130">
        <v>16</v>
      </c>
      <c r="E5802" s="130" t="s">
        <v>78</v>
      </c>
      <c r="F5802" s="1031">
        <v>0</v>
      </c>
      <c r="G5802" s="1031">
        <v>-499</v>
      </c>
      <c r="H5802" s="1031">
        <v>-499</v>
      </c>
      <c r="I5802" s="1032" t="s">
        <v>1359</v>
      </c>
    </row>
    <row r="5803" spans="1:9" x14ac:dyDescent="0.25">
      <c r="A5803" s="1033"/>
      <c r="C5803" s="130" t="s">
        <v>1360</v>
      </c>
      <c r="D5803" s="130">
        <v>16</v>
      </c>
      <c r="E5803" s="130" t="s">
        <v>1360</v>
      </c>
      <c r="F5803" s="1031">
        <v>0</v>
      </c>
      <c r="G5803" s="1031">
        <v>980</v>
      </c>
      <c r="H5803" s="1031">
        <v>980</v>
      </c>
      <c r="I5803" s="1032" t="s">
        <v>1361</v>
      </c>
    </row>
    <row r="5804" spans="1:9" x14ac:dyDescent="0.25">
      <c r="A5804" s="1033"/>
      <c r="C5804" s="130" t="s">
        <v>1360</v>
      </c>
      <c r="D5804" s="130">
        <v>16</v>
      </c>
      <c r="E5804" s="130" t="s">
        <v>1362</v>
      </c>
      <c r="F5804" s="1031">
        <v>0</v>
      </c>
      <c r="G5804" s="1031">
        <v>7764</v>
      </c>
      <c r="H5804" s="1031">
        <v>7764</v>
      </c>
      <c r="I5804" s="1032" t="s">
        <v>1363</v>
      </c>
    </row>
    <row r="5805" spans="1:9" x14ac:dyDescent="0.25">
      <c r="A5805" s="1033"/>
      <c r="C5805" s="130" t="s">
        <v>1360</v>
      </c>
      <c r="D5805" s="130">
        <v>16</v>
      </c>
      <c r="E5805" s="130" t="s">
        <v>1364</v>
      </c>
      <c r="F5805" s="1031">
        <v>0</v>
      </c>
      <c r="G5805" s="1031">
        <v>6043.71</v>
      </c>
      <c r="H5805" s="1031">
        <v>6043.71</v>
      </c>
      <c r="I5805" s="1032" t="s">
        <v>1365</v>
      </c>
    </row>
    <row r="5806" spans="1:9" x14ac:dyDescent="0.25">
      <c r="A5806" s="1033"/>
      <c r="C5806" s="130" t="s">
        <v>1360</v>
      </c>
      <c r="D5806" s="130">
        <v>16</v>
      </c>
      <c r="E5806" s="130" t="s">
        <v>1366</v>
      </c>
      <c r="F5806" s="1031">
        <v>0</v>
      </c>
      <c r="G5806" s="1031">
        <v>220</v>
      </c>
      <c r="H5806" s="1031">
        <v>220</v>
      </c>
      <c r="I5806" s="1032" t="s">
        <v>1367</v>
      </c>
    </row>
    <row r="5807" spans="1:9" x14ac:dyDescent="0.25">
      <c r="A5807" s="1033"/>
      <c r="C5807" s="130" t="s">
        <v>1370</v>
      </c>
      <c r="D5807" s="130">
        <v>16</v>
      </c>
      <c r="E5807" s="130" t="s">
        <v>1370</v>
      </c>
      <c r="F5807" s="1031">
        <v>0</v>
      </c>
      <c r="G5807" s="1031">
        <v>-1720</v>
      </c>
      <c r="H5807" s="1031">
        <v>-1720</v>
      </c>
      <c r="I5807" s="1032" t="s">
        <v>1371</v>
      </c>
    </row>
    <row r="5808" spans="1:9" x14ac:dyDescent="0.25">
      <c r="A5808" s="1033"/>
      <c r="C5808" s="130" t="s">
        <v>1372</v>
      </c>
      <c r="D5808" s="130">
        <v>16</v>
      </c>
      <c r="E5808" s="130" t="s">
        <v>1372</v>
      </c>
      <c r="F5808" s="1031">
        <v>0</v>
      </c>
      <c r="G5808" s="1031">
        <v>1113</v>
      </c>
      <c r="H5808" s="1031">
        <v>1113</v>
      </c>
      <c r="I5808" s="1032" t="s">
        <v>1373</v>
      </c>
    </row>
    <row r="5809" spans="1:9" x14ac:dyDescent="0.25">
      <c r="A5809" s="1033">
        <v>703628</v>
      </c>
      <c r="B5809" s="129">
        <v>6877</v>
      </c>
      <c r="E5809" s="130"/>
    </row>
    <row r="5810" spans="1:9" x14ac:dyDescent="0.25">
      <c r="A5810" s="1033">
        <v>708014</v>
      </c>
      <c r="B5810" s="129">
        <v>2039798</v>
      </c>
      <c r="E5810" s="130"/>
    </row>
    <row r="5811" spans="1:9" x14ac:dyDescent="0.25">
      <c r="A5811" s="1033">
        <v>708016</v>
      </c>
      <c r="B5811" s="129">
        <v>142413</v>
      </c>
      <c r="C5811" s="130" t="s">
        <v>165</v>
      </c>
      <c r="D5811" s="130">
        <v>16</v>
      </c>
      <c r="E5811" s="130" t="s">
        <v>165</v>
      </c>
      <c r="F5811" s="1031">
        <v>0</v>
      </c>
      <c r="G5811" s="1031">
        <v>-71130.86</v>
      </c>
      <c r="H5811" s="1031">
        <v>-71130.86</v>
      </c>
      <c r="I5811" s="1032" t="s">
        <v>1376</v>
      </c>
    </row>
    <row r="5812" spans="1:9" x14ac:dyDescent="0.25">
      <c r="A5812" s="1033"/>
      <c r="C5812" s="130" t="s">
        <v>1377</v>
      </c>
      <c r="D5812" s="130">
        <v>16</v>
      </c>
      <c r="E5812" s="130" t="s">
        <v>1377</v>
      </c>
      <c r="F5812" s="1031">
        <v>0</v>
      </c>
      <c r="G5812" s="1031">
        <v>70143.81</v>
      </c>
      <c r="H5812" s="1031">
        <v>70143.81</v>
      </c>
      <c r="I5812" s="1032" t="s">
        <v>1378</v>
      </c>
    </row>
    <row r="5813" spans="1:9" x14ac:dyDescent="0.25">
      <c r="A5813" s="1033"/>
      <c r="C5813" s="130" t="s">
        <v>57</v>
      </c>
      <c r="D5813" s="130">
        <v>16</v>
      </c>
      <c r="E5813" s="130" t="s">
        <v>57</v>
      </c>
      <c r="F5813" s="1031">
        <v>0</v>
      </c>
      <c r="G5813" s="1031">
        <v>-86373.5</v>
      </c>
      <c r="H5813" s="1031">
        <v>-86373.5</v>
      </c>
      <c r="I5813" s="1032" t="s">
        <v>1380</v>
      </c>
    </row>
    <row r="5814" spans="1:9" x14ac:dyDescent="0.25">
      <c r="A5814" s="1033"/>
      <c r="C5814" s="130" t="s">
        <v>1381</v>
      </c>
      <c r="D5814" s="130">
        <v>16</v>
      </c>
      <c r="E5814" s="130" t="s">
        <v>1381</v>
      </c>
      <c r="F5814" s="1031">
        <v>0</v>
      </c>
      <c r="G5814" s="1031">
        <v>82336.14</v>
      </c>
      <c r="H5814" s="1031">
        <v>82336.14</v>
      </c>
      <c r="I5814" s="1032" t="s">
        <v>1380</v>
      </c>
    </row>
    <row r="5815" spans="1:9" x14ac:dyDescent="0.25">
      <c r="A5815" s="1033"/>
      <c r="C5815" s="130" t="s">
        <v>267</v>
      </c>
      <c r="D5815" s="130">
        <v>16</v>
      </c>
      <c r="E5815" s="130" t="s">
        <v>267</v>
      </c>
      <c r="F5815" s="1031">
        <v>0</v>
      </c>
      <c r="G5815" s="1031">
        <v>-63350.5</v>
      </c>
      <c r="H5815" s="1031">
        <v>-63350.5</v>
      </c>
      <c r="I5815" s="1032" t="s">
        <v>1384</v>
      </c>
    </row>
    <row r="5816" spans="1:9" x14ac:dyDescent="0.25">
      <c r="A5816" s="1033"/>
      <c r="C5816" s="130" t="s">
        <v>1385</v>
      </c>
      <c r="D5816" s="130">
        <v>16</v>
      </c>
      <c r="E5816" s="130" t="s">
        <v>1385</v>
      </c>
      <c r="F5816" s="1031">
        <v>0</v>
      </c>
      <c r="G5816" s="1031">
        <v>62100.5</v>
      </c>
      <c r="H5816" s="1031">
        <v>62100.5</v>
      </c>
      <c r="I5816" s="1032" t="s">
        <v>1386</v>
      </c>
    </row>
    <row r="5817" spans="1:9" x14ac:dyDescent="0.25">
      <c r="A5817" s="1033"/>
      <c r="C5817" s="130" t="s">
        <v>283</v>
      </c>
      <c r="D5817" s="130">
        <v>16</v>
      </c>
      <c r="E5817" s="130" t="s">
        <v>283</v>
      </c>
      <c r="F5817" s="1031">
        <v>0</v>
      </c>
      <c r="G5817" s="1031">
        <v>-73322</v>
      </c>
      <c r="H5817" s="1031">
        <v>-73322</v>
      </c>
      <c r="I5817" s="1032" t="s">
        <v>1389</v>
      </c>
    </row>
    <row r="5818" spans="1:9" x14ac:dyDescent="0.25">
      <c r="A5818" s="1033"/>
      <c r="C5818" s="130" t="s">
        <v>1390</v>
      </c>
      <c r="D5818" s="130">
        <v>16</v>
      </c>
      <c r="E5818" s="130" t="s">
        <v>1390</v>
      </c>
      <c r="F5818" s="1031">
        <v>0</v>
      </c>
      <c r="G5818" s="1031">
        <v>71413.2</v>
      </c>
      <c r="H5818" s="1031">
        <v>71413.2</v>
      </c>
      <c r="I5818" s="1032" t="s">
        <v>1391</v>
      </c>
    </row>
    <row r="5819" spans="1:9" x14ac:dyDescent="0.25">
      <c r="A5819" s="1033"/>
      <c r="C5819" s="130" t="s">
        <v>268</v>
      </c>
      <c r="D5819" s="130">
        <v>16</v>
      </c>
      <c r="E5819" s="130" t="s">
        <v>268</v>
      </c>
      <c r="F5819" s="1031">
        <v>0</v>
      </c>
      <c r="G5819" s="1031">
        <v>-84886.5</v>
      </c>
      <c r="H5819" s="1031">
        <v>-84886.5</v>
      </c>
      <c r="I5819" s="1032" t="s">
        <v>1394</v>
      </c>
    </row>
    <row r="5820" spans="1:9" x14ac:dyDescent="0.25">
      <c r="A5820" s="1033"/>
      <c r="C5820" s="130" t="s">
        <v>1395</v>
      </c>
      <c r="D5820" s="130">
        <v>16</v>
      </c>
      <c r="E5820" s="130" t="s">
        <v>1395</v>
      </c>
      <c r="F5820" s="1031">
        <v>0</v>
      </c>
      <c r="G5820" s="1031">
        <v>78271.8</v>
      </c>
      <c r="H5820" s="1031">
        <v>78271.8</v>
      </c>
      <c r="I5820" s="1032" t="s">
        <v>1396</v>
      </c>
    </row>
    <row r="5821" spans="1:9" x14ac:dyDescent="0.25">
      <c r="A5821" s="1033"/>
      <c r="C5821" s="130">
        <v>432</v>
      </c>
      <c r="D5821" s="130">
        <v>16</v>
      </c>
      <c r="E5821" s="130">
        <v>432</v>
      </c>
      <c r="F5821" s="1031">
        <v>0</v>
      </c>
      <c r="G5821" s="1031">
        <v>-100923.5</v>
      </c>
      <c r="H5821" s="1031">
        <v>-100923.5</v>
      </c>
      <c r="I5821" s="1032" t="s">
        <v>1399</v>
      </c>
    </row>
    <row r="5822" spans="1:9" x14ac:dyDescent="0.25">
      <c r="A5822" s="1033"/>
      <c r="C5822" s="130">
        <v>632</v>
      </c>
      <c r="D5822" s="130">
        <v>16</v>
      </c>
      <c r="E5822" s="130">
        <v>632</v>
      </c>
      <c r="F5822" s="1031">
        <v>0</v>
      </c>
      <c r="G5822" s="1031">
        <v>96040.18</v>
      </c>
      <c r="H5822" s="1031">
        <v>96040.18</v>
      </c>
      <c r="I5822" s="1032" t="s">
        <v>1400</v>
      </c>
    </row>
    <row r="5823" spans="1:9" x14ac:dyDescent="0.25">
      <c r="A5823" s="1033"/>
      <c r="C5823" s="130" t="s">
        <v>291</v>
      </c>
      <c r="D5823" s="130">
        <v>16</v>
      </c>
      <c r="E5823" s="130" t="s">
        <v>291</v>
      </c>
      <c r="F5823" s="1031">
        <v>0</v>
      </c>
      <c r="G5823" s="1031">
        <v>-122189.22</v>
      </c>
      <c r="H5823" s="1031">
        <v>-122189.22</v>
      </c>
      <c r="I5823" s="1032" t="s">
        <v>1403</v>
      </c>
    </row>
    <row r="5824" spans="1:9" x14ac:dyDescent="0.25">
      <c r="A5824" s="1033"/>
      <c r="C5824" s="130" t="s">
        <v>1404</v>
      </c>
      <c r="D5824" s="130">
        <v>16</v>
      </c>
      <c r="E5824" s="130" t="s">
        <v>1404</v>
      </c>
      <c r="F5824" s="1031">
        <v>0</v>
      </c>
      <c r="G5824" s="1031">
        <v>120939.22</v>
      </c>
      <c r="H5824" s="1031">
        <v>120939.22</v>
      </c>
      <c r="I5824" s="1032" t="s">
        <v>1405</v>
      </c>
    </row>
    <row r="5825" spans="1:9" x14ac:dyDescent="0.25">
      <c r="A5825" s="1033"/>
      <c r="C5825" s="130">
        <v>416</v>
      </c>
      <c r="D5825" s="130">
        <v>16</v>
      </c>
      <c r="E5825" s="130">
        <v>416</v>
      </c>
      <c r="F5825" s="1031">
        <v>0</v>
      </c>
      <c r="G5825" s="1031">
        <v>-165736.57999999999</v>
      </c>
      <c r="H5825" s="1031">
        <v>-165736.57999999999</v>
      </c>
      <c r="I5825" s="1032" t="s">
        <v>1331</v>
      </c>
    </row>
    <row r="5826" spans="1:9" x14ac:dyDescent="0.25">
      <c r="A5826" s="1033"/>
      <c r="C5826" s="130">
        <v>616</v>
      </c>
      <c r="D5826" s="130">
        <v>16</v>
      </c>
      <c r="E5826" s="130">
        <v>616</v>
      </c>
      <c r="F5826" s="1031">
        <v>0</v>
      </c>
      <c r="G5826" s="1031">
        <v>158419.29</v>
      </c>
      <c r="H5826" s="1031">
        <v>158419.29</v>
      </c>
      <c r="I5826" s="1032" t="s">
        <v>1332</v>
      </c>
    </row>
    <row r="5827" spans="1:9" x14ac:dyDescent="0.25">
      <c r="A5827" s="1033"/>
      <c r="C5827" s="130" t="s">
        <v>61</v>
      </c>
      <c r="D5827" s="130">
        <v>16</v>
      </c>
      <c r="E5827" s="130" t="s">
        <v>61</v>
      </c>
      <c r="F5827" s="1031">
        <v>0</v>
      </c>
      <c r="G5827" s="1031">
        <v>-215782.6</v>
      </c>
      <c r="H5827" s="1031">
        <v>-215782.6</v>
      </c>
      <c r="I5827" s="1032" t="s">
        <v>1335</v>
      </c>
    </row>
    <row r="5828" spans="1:9" x14ac:dyDescent="0.25">
      <c r="A5828" s="1033"/>
      <c r="C5828" s="130" t="s">
        <v>1336</v>
      </c>
      <c r="D5828" s="130">
        <v>16</v>
      </c>
      <c r="E5828" s="130" t="s">
        <v>1336</v>
      </c>
      <c r="F5828" s="1031">
        <v>0</v>
      </c>
      <c r="G5828" s="1031">
        <v>203675.76</v>
      </c>
      <c r="H5828" s="1031">
        <v>203675.76</v>
      </c>
      <c r="I5828" s="1032" t="s">
        <v>1337</v>
      </c>
    </row>
    <row r="5829" spans="1:9" x14ac:dyDescent="0.25">
      <c r="A5829" s="1033"/>
      <c r="C5829" s="130">
        <v>418</v>
      </c>
      <c r="D5829" s="130">
        <v>16</v>
      </c>
      <c r="E5829" s="130">
        <v>418</v>
      </c>
      <c r="F5829" s="1031">
        <v>0</v>
      </c>
      <c r="G5829" s="1031">
        <v>-135962</v>
      </c>
      <c r="H5829" s="1031">
        <v>-135962</v>
      </c>
      <c r="I5829" s="1032" t="s">
        <v>1340</v>
      </c>
    </row>
    <row r="5830" spans="1:9" x14ac:dyDescent="0.25">
      <c r="A5830" s="1033"/>
      <c r="C5830" s="130">
        <v>618</v>
      </c>
      <c r="D5830" s="130">
        <v>16</v>
      </c>
      <c r="E5830" s="130">
        <v>618</v>
      </c>
      <c r="F5830" s="1031">
        <v>0</v>
      </c>
      <c r="G5830" s="1031">
        <v>133462</v>
      </c>
      <c r="H5830" s="1031">
        <v>133462</v>
      </c>
      <c r="I5830" s="1032" t="s">
        <v>1341</v>
      </c>
    </row>
    <row r="5831" spans="1:9" x14ac:dyDescent="0.25">
      <c r="A5831" s="1033"/>
      <c r="C5831" s="130" t="s">
        <v>157</v>
      </c>
      <c r="D5831" s="130">
        <v>16</v>
      </c>
      <c r="E5831" s="130" t="s">
        <v>157</v>
      </c>
      <c r="F5831" s="1031">
        <v>0</v>
      </c>
      <c r="G5831" s="1031">
        <v>-26726.6</v>
      </c>
      <c r="H5831" s="1031">
        <v>-26726.6</v>
      </c>
      <c r="I5831" s="1032" t="s">
        <v>1342</v>
      </c>
    </row>
    <row r="5832" spans="1:9" x14ac:dyDescent="0.25">
      <c r="A5832" s="1033"/>
      <c r="C5832" s="130" t="s">
        <v>1351</v>
      </c>
      <c r="D5832" s="130">
        <v>16</v>
      </c>
      <c r="E5832" s="130" t="s">
        <v>1351</v>
      </c>
      <c r="F5832" s="1031">
        <v>0</v>
      </c>
      <c r="G5832" s="1031">
        <v>-6580</v>
      </c>
      <c r="H5832" s="1031">
        <v>-6580</v>
      </c>
      <c r="I5832" s="1032" t="s">
        <v>1352</v>
      </c>
    </row>
    <row r="5833" spans="1:9" x14ac:dyDescent="0.25">
      <c r="A5833" s="1033"/>
      <c r="C5833" s="130" t="s">
        <v>1351</v>
      </c>
      <c r="D5833" s="130">
        <v>16</v>
      </c>
      <c r="E5833" s="130" t="s">
        <v>1353</v>
      </c>
      <c r="F5833" s="1031">
        <v>0</v>
      </c>
      <c r="G5833" s="1031">
        <v>-10494</v>
      </c>
      <c r="H5833" s="1031">
        <v>-10494</v>
      </c>
      <c r="I5833" s="1032" t="s">
        <v>1354</v>
      </c>
    </row>
    <row r="5834" spans="1:9" x14ac:dyDescent="0.25">
      <c r="A5834" s="1033"/>
      <c r="C5834" s="130" t="s">
        <v>1351</v>
      </c>
      <c r="D5834" s="130">
        <v>16</v>
      </c>
      <c r="E5834" s="130" t="s">
        <v>1355</v>
      </c>
      <c r="F5834" s="1031">
        <v>0</v>
      </c>
      <c r="G5834" s="1031">
        <v>-15190</v>
      </c>
      <c r="H5834" s="1031">
        <v>-15190</v>
      </c>
      <c r="I5834" s="1032" t="s">
        <v>1356</v>
      </c>
    </row>
    <row r="5835" spans="1:9" x14ac:dyDescent="0.25">
      <c r="A5835" s="1033"/>
      <c r="C5835" s="130" t="s">
        <v>1351</v>
      </c>
      <c r="D5835" s="130">
        <v>16</v>
      </c>
      <c r="E5835" s="130" t="s">
        <v>1357</v>
      </c>
      <c r="F5835" s="1031">
        <v>0</v>
      </c>
      <c r="G5835" s="1031">
        <v>-8330</v>
      </c>
      <c r="H5835" s="1031">
        <v>-8330</v>
      </c>
      <c r="I5835" s="1032" t="s">
        <v>1358</v>
      </c>
    </row>
    <row r="5836" spans="1:9" x14ac:dyDescent="0.25">
      <c r="A5836" s="1033"/>
      <c r="C5836" s="130" t="s">
        <v>1351</v>
      </c>
      <c r="D5836" s="130">
        <v>16</v>
      </c>
      <c r="E5836" s="130" t="s">
        <v>78</v>
      </c>
      <c r="F5836" s="1031">
        <v>0</v>
      </c>
      <c r="G5836" s="1031">
        <v>-499</v>
      </c>
      <c r="H5836" s="1031">
        <v>-499</v>
      </c>
      <c r="I5836" s="1032" t="s">
        <v>1359</v>
      </c>
    </row>
    <row r="5837" spans="1:9" x14ac:dyDescent="0.25">
      <c r="A5837" s="1033"/>
      <c r="C5837" s="130" t="s">
        <v>1360</v>
      </c>
      <c r="D5837" s="130">
        <v>16</v>
      </c>
      <c r="E5837" s="130" t="s">
        <v>1360</v>
      </c>
      <c r="F5837" s="1031">
        <v>0</v>
      </c>
      <c r="G5837" s="1031">
        <v>980</v>
      </c>
      <c r="H5837" s="1031">
        <v>980</v>
      </c>
      <c r="I5837" s="1032" t="s">
        <v>1361</v>
      </c>
    </row>
    <row r="5838" spans="1:9" x14ac:dyDescent="0.25">
      <c r="A5838" s="1033"/>
      <c r="C5838" s="130" t="s">
        <v>1360</v>
      </c>
      <c r="D5838" s="130">
        <v>16</v>
      </c>
      <c r="E5838" s="130" t="s">
        <v>1362</v>
      </c>
      <c r="F5838" s="1031">
        <v>0</v>
      </c>
      <c r="G5838" s="1031">
        <v>7764</v>
      </c>
      <c r="H5838" s="1031">
        <v>7764</v>
      </c>
      <c r="I5838" s="1032" t="s">
        <v>1363</v>
      </c>
    </row>
    <row r="5839" spans="1:9" x14ac:dyDescent="0.25">
      <c r="A5839" s="1033"/>
      <c r="C5839" s="130" t="s">
        <v>1360</v>
      </c>
      <c r="D5839" s="130">
        <v>16</v>
      </c>
      <c r="E5839" s="130" t="s">
        <v>1364</v>
      </c>
      <c r="F5839" s="1031">
        <v>0</v>
      </c>
      <c r="G5839" s="1031">
        <v>6043.71</v>
      </c>
      <c r="H5839" s="1031">
        <v>6043.71</v>
      </c>
      <c r="I5839" s="1032" t="s">
        <v>1365</v>
      </c>
    </row>
    <row r="5840" spans="1:9" x14ac:dyDescent="0.25">
      <c r="A5840" s="1033"/>
      <c r="C5840" s="130" t="s">
        <v>1360</v>
      </c>
      <c r="D5840" s="130">
        <v>16</v>
      </c>
      <c r="E5840" s="130" t="s">
        <v>1366</v>
      </c>
      <c r="F5840" s="1031">
        <v>0</v>
      </c>
      <c r="G5840" s="1031">
        <v>220</v>
      </c>
      <c r="H5840" s="1031">
        <v>220</v>
      </c>
      <c r="I5840" s="1032" t="s">
        <v>1367</v>
      </c>
    </row>
    <row r="5841" spans="1:9" x14ac:dyDescent="0.25">
      <c r="A5841" s="1033"/>
      <c r="C5841" s="130" t="s">
        <v>1370</v>
      </c>
      <c r="D5841" s="130">
        <v>16</v>
      </c>
      <c r="E5841" s="130" t="s">
        <v>1370</v>
      </c>
      <c r="F5841" s="1031">
        <v>0</v>
      </c>
      <c r="G5841" s="1031">
        <v>-1720</v>
      </c>
      <c r="H5841" s="1031">
        <v>-1720</v>
      </c>
      <c r="I5841" s="1032" t="s">
        <v>1371</v>
      </c>
    </row>
    <row r="5842" spans="1:9" x14ac:dyDescent="0.25">
      <c r="A5842" s="1033"/>
      <c r="C5842" s="130" t="s">
        <v>1372</v>
      </c>
      <c r="D5842" s="130">
        <v>16</v>
      </c>
      <c r="E5842" s="130" t="s">
        <v>1372</v>
      </c>
      <c r="F5842" s="1031">
        <v>0</v>
      </c>
      <c r="G5842" s="1031">
        <v>1113</v>
      </c>
      <c r="H5842" s="1031">
        <v>1113</v>
      </c>
      <c r="I5842" s="1032" t="s">
        <v>1373</v>
      </c>
    </row>
    <row r="5843" spans="1:9" x14ac:dyDescent="0.25">
      <c r="A5843" s="1033"/>
      <c r="C5843" s="130" t="s">
        <v>1252</v>
      </c>
      <c r="D5843" s="130">
        <v>16</v>
      </c>
      <c r="E5843" s="130" t="s">
        <v>1252</v>
      </c>
      <c r="F5843" s="1031">
        <v>0</v>
      </c>
      <c r="G5843" s="1031">
        <v>-156545.9</v>
      </c>
      <c r="H5843" s="1031">
        <v>-156545.9</v>
      </c>
      <c r="I5843" s="1032" t="s">
        <v>1253</v>
      </c>
    </row>
    <row r="5844" spans="1:9" x14ac:dyDescent="0.25">
      <c r="A5844" s="1033"/>
      <c r="C5844" s="130" t="s">
        <v>1254</v>
      </c>
      <c r="D5844" s="130">
        <v>16</v>
      </c>
      <c r="E5844" s="130" t="s">
        <v>1254</v>
      </c>
      <c r="F5844" s="1031">
        <v>0</v>
      </c>
      <c r="G5844" s="1031">
        <v>-124587.36</v>
      </c>
      <c r="H5844" s="1031">
        <v>-124587.36</v>
      </c>
      <c r="I5844" s="1032" t="s">
        <v>1255</v>
      </c>
    </row>
    <row r="5845" spans="1:9" x14ac:dyDescent="0.25">
      <c r="A5845" s="1033"/>
      <c r="C5845" s="130" t="s">
        <v>1256</v>
      </c>
      <c r="D5845" s="130">
        <v>16</v>
      </c>
      <c r="E5845" s="130" t="s">
        <v>1256</v>
      </c>
      <c r="F5845" s="1031">
        <v>0</v>
      </c>
      <c r="G5845" s="1031">
        <v>147238.17000000001</v>
      </c>
      <c r="H5845" s="1031">
        <v>147238.17000000001</v>
      </c>
      <c r="I5845" s="1032" t="s">
        <v>1257</v>
      </c>
    </row>
    <row r="5846" spans="1:9" x14ac:dyDescent="0.25">
      <c r="A5846" s="1033"/>
      <c r="C5846" s="130" t="s">
        <v>1258</v>
      </c>
      <c r="D5846" s="130">
        <v>16</v>
      </c>
      <c r="E5846" s="130" t="s">
        <v>1258</v>
      </c>
      <c r="F5846" s="1031">
        <v>0</v>
      </c>
      <c r="G5846" s="1031">
        <v>110639.33</v>
      </c>
      <c r="H5846" s="1031">
        <v>110639.33</v>
      </c>
      <c r="I5846" s="1032" t="s">
        <v>1259</v>
      </c>
    </row>
    <row r="5847" spans="1:9" x14ac:dyDescent="0.25">
      <c r="A5847" s="1033"/>
      <c r="C5847" s="130" t="s">
        <v>1260</v>
      </c>
      <c r="D5847" s="130">
        <v>16</v>
      </c>
      <c r="E5847" s="130" t="s">
        <v>1260</v>
      </c>
      <c r="F5847" s="1031">
        <v>0</v>
      </c>
      <c r="G5847" s="1031">
        <v>2432.12</v>
      </c>
      <c r="H5847" s="1031">
        <v>2432.12</v>
      </c>
      <c r="I5847" s="1032" t="s">
        <v>1261</v>
      </c>
    </row>
    <row r="5848" spans="1:9" x14ac:dyDescent="0.25">
      <c r="A5848" s="1033"/>
      <c r="C5848" s="130" t="s">
        <v>1262</v>
      </c>
      <c r="D5848" s="130">
        <v>16</v>
      </c>
      <c r="E5848" s="130" t="s">
        <v>1262</v>
      </c>
      <c r="F5848" s="1031">
        <v>0</v>
      </c>
      <c r="G5848" s="1031">
        <v>5723.83</v>
      </c>
      <c r="H5848" s="1031">
        <v>5723.83</v>
      </c>
      <c r="I5848" s="1032" t="s">
        <v>1263</v>
      </c>
    </row>
    <row r="5849" spans="1:9" x14ac:dyDescent="0.25">
      <c r="A5849" s="1033"/>
      <c r="C5849" s="130" t="s">
        <v>1268</v>
      </c>
      <c r="D5849" s="130">
        <v>16</v>
      </c>
      <c r="E5849" s="130" t="s">
        <v>1268</v>
      </c>
      <c r="F5849" s="1031">
        <v>0</v>
      </c>
      <c r="G5849" s="1031">
        <v>-23684</v>
      </c>
      <c r="H5849" s="1031">
        <v>-23684</v>
      </c>
      <c r="I5849" s="1032" t="s">
        <v>1269</v>
      </c>
    </row>
    <row r="5850" spans="1:9" x14ac:dyDescent="0.25">
      <c r="A5850" s="1033"/>
      <c r="C5850" s="130" t="s">
        <v>1270</v>
      </c>
      <c r="D5850" s="130">
        <v>16</v>
      </c>
      <c r="E5850" s="130" t="s">
        <v>1270</v>
      </c>
      <c r="F5850" s="1031">
        <v>0</v>
      </c>
      <c r="G5850" s="1031">
        <v>-42500</v>
      </c>
      <c r="H5850" s="1031">
        <v>-42500</v>
      </c>
      <c r="I5850" s="1032" t="s">
        <v>1271</v>
      </c>
    </row>
    <row r="5851" spans="1:9" x14ac:dyDescent="0.25">
      <c r="A5851" s="1033"/>
      <c r="C5851" s="130" t="s">
        <v>1272</v>
      </c>
      <c r="D5851" s="130">
        <v>16</v>
      </c>
      <c r="E5851" s="130" t="s">
        <v>1272</v>
      </c>
      <c r="F5851" s="1031">
        <v>0</v>
      </c>
      <c r="G5851" s="1031">
        <v>22351.67</v>
      </c>
      <c r="H5851" s="1031">
        <v>22351.67</v>
      </c>
      <c r="I5851" s="1032" t="s">
        <v>1273</v>
      </c>
    </row>
    <row r="5852" spans="1:9" x14ac:dyDescent="0.25">
      <c r="A5852" s="1033"/>
      <c r="C5852" s="130" t="s">
        <v>1274</v>
      </c>
      <c r="D5852" s="130">
        <v>16</v>
      </c>
      <c r="E5852" s="130" t="s">
        <v>1274</v>
      </c>
      <c r="F5852" s="1031">
        <v>0</v>
      </c>
      <c r="G5852" s="1031">
        <v>35931.440000000002</v>
      </c>
      <c r="H5852" s="1031">
        <v>35931.440000000002</v>
      </c>
      <c r="I5852" s="1032" t="s">
        <v>1275</v>
      </c>
    </row>
    <row r="5853" spans="1:9" x14ac:dyDescent="0.25">
      <c r="A5853" s="1033"/>
      <c r="C5853" s="130" t="s">
        <v>1276</v>
      </c>
      <c r="D5853" s="130">
        <v>16</v>
      </c>
      <c r="E5853" s="130" t="s">
        <v>1276</v>
      </c>
      <c r="F5853" s="1031">
        <v>0</v>
      </c>
      <c r="G5853" s="1031">
        <v>1332.33</v>
      </c>
      <c r="H5853" s="1031">
        <v>1332.33</v>
      </c>
      <c r="I5853" s="1032" t="s">
        <v>1277</v>
      </c>
    </row>
    <row r="5854" spans="1:9" x14ac:dyDescent="0.25">
      <c r="A5854" s="1033"/>
      <c r="C5854" s="130" t="s">
        <v>1278</v>
      </c>
      <c r="D5854" s="130">
        <v>16</v>
      </c>
      <c r="E5854" s="130" t="s">
        <v>1278</v>
      </c>
      <c r="F5854" s="1031">
        <v>0</v>
      </c>
      <c r="G5854" s="1031">
        <v>5173.7700000000004</v>
      </c>
      <c r="H5854" s="1031">
        <v>5173.7700000000004</v>
      </c>
      <c r="I5854" s="1032" t="s">
        <v>1279</v>
      </c>
    </row>
    <row r="5855" spans="1:9" x14ac:dyDescent="0.25">
      <c r="A5855" s="1033"/>
      <c r="C5855" s="130" t="s">
        <v>1282</v>
      </c>
      <c r="D5855" s="130">
        <v>16</v>
      </c>
      <c r="E5855" s="130" t="s">
        <v>1282</v>
      </c>
      <c r="F5855" s="1031">
        <v>0</v>
      </c>
      <c r="G5855" s="1031">
        <v>-123000</v>
      </c>
      <c r="H5855" s="1031">
        <v>-123000</v>
      </c>
      <c r="I5855" s="1032" t="s">
        <v>1283</v>
      </c>
    </row>
    <row r="5856" spans="1:9" x14ac:dyDescent="0.25">
      <c r="A5856" s="1033"/>
      <c r="C5856" s="130" t="s">
        <v>1284</v>
      </c>
      <c r="D5856" s="130">
        <v>16</v>
      </c>
      <c r="E5856" s="130" t="s">
        <v>1284</v>
      </c>
      <c r="F5856" s="1031">
        <v>0</v>
      </c>
      <c r="G5856" s="1031">
        <v>90.83</v>
      </c>
      <c r="H5856" s="1031">
        <v>90.83</v>
      </c>
      <c r="I5856" s="1032" t="s">
        <v>1285</v>
      </c>
    </row>
    <row r="5857" spans="1:9" x14ac:dyDescent="0.25">
      <c r="A5857" s="1033"/>
      <c r="C5857" s="130" t="s">
        <v>1286</v>
      </c>
      <c r="D5857" s="130">
        <v>16</v>
      </c>
      <c r="E5857" s="130" t="s">
        <v>1286</v>
      </c>
      <c r="F5857" s="1031">
        <v>0</v>
      </c>
      <c r="G5857" s="1031">
        <v>121962.32</v>
      </c>
      <c r="H5857" s="1031">
        <v>121962.32</v>
      </c>
      <c r="I5857" s="1032" t="s">
        <v>1287</v>
      </c>
    </row>
    <row r="5858" spans="1:9" x14ac:dyDescent="0.25">
      <c r="A5858" s="1033"/>
      <c r="C5858" s="130">
        <v>450</v>
      </c>
      <c r="D5858" s="130">
        <v>16</v>
      </c>
      <c r="E5858" s="130" t="s">
        <v>220</v>
      </c>
      <c r="F5858" s="1031">
        <v>0</v>
      </c>
      <c r="G5858" s="1031">
        <v>-4879.12</v>
      </c>
      <c r="H5858" s="1031">
        <v>-4879.12</v>
      </c>
      <c r="I5858" s="1032" t="s">
        <v>1292</v>
      </c>
    </row>
    <row r="5859" spans="1:9" x14ac:dyDescent="0.25">
      <c r="A5859" s="1033"/>
      <c r="C5859" s="130">
        <v>450</v>
      </c>
      <c r="D5859" s="130">
        <v>16</v>
      </c>
      <c r="E5859" s="130">
        <v>450</v>
      </c>
      <c r="F5859" s="1031">
        <v>0</v>
      </c>
      <c r="G5859" s="1031">
        <v>-2394</v>
      </c>
      <c r="H5859" s="1031">
        <v>-2394</v>
      </c>
      <c r="I5859" s="1032" t="s">
        <v>1293</v>
      </c>
    </row>
    <row r="5860" spans="1:9" x14ac:dyDescent="0.25">
      <c r="A5860" s="1033"/>
      <c r="C5860" s="130">
        <v>450</v>
      </c>
      <c r="D5860" s="130">
        <v>16</v>
      </c>
      <c r="E5860" s="130" t="s">
        <v>1294</v>
      </c>
      <c r="F5860" s="1031">
        <v>0</v>
      </c>
      <c r="G5860" s="1031">
        <v>-4760</v>
      </c>
      <c r="H5860" s="1031">
        <v>-4760</v>
      </c>
      <c r="I5860" s="1032" t="s">
        <v>1295</v>
      </c>
    </row>
    <row r="5861" spans="1:9" x14ac:dyDescent="0.25">
      <c r="A5861" s="1033"/>
      <c r="C5861" s="130">
        <v>450</v>
      </c>
      <c r="D5861" s="130">
        <v>16</v>
      </c>
      <c r="E5861" s="130">
        <v>650</v>
      </c>
      <c r="F5861" s="1031">
        <v>0</v>
      </c>
      <c r="G5861" s="1031">
        <v>420</v>
      </c>
      <c r="H5861" s="1031">
        <v>420</v>
      </c>
      <c r="I5861" s="1032" t="s">
        <v>1296</v>
      </c>
    </row>
    <row r="5862" spans="1:9" x14ac:dyDescent="0.25">
      <c r="A5862" s="1033"/>
      <c r="C5862" s="130" t="s">
        <v>1302</v>
      </c>
      <c r="D5862" s="130">
        <v>16</v>
      </c>
      <c r="E5862" s="130" t="s">
        <v>1303</v>
      </c>
      <c r="F5862" s="1031">
        <v>0</v>
      </c>
      <c r="G5862" s="1031">
        <v>210</v>
      </c>
      <c r="H5862" s="1031">
        <v>210</v>
      </c>
      <c r="I5862" s="1032" t="s">
        <v>1304</v>
      </c>
    </row>
    <row r="5863" spans="1:9" x14ac:dyDescent="0.25">
      <c r="A5863" s="1033"/>
      <c r="C5863" s="130" t="s">
        <v>1302</v>
      </c>
      <c r="D5863" s="130">
        <v>16</v>
      </c>
      <c r="E5863" s="130" t="s">
        <v>1305</v>
      </c>
      <c r="F5863" s="1031">
        <v>0</v>
      </c>
      <c r="G5863" s="1031">
        <v>-1197</v>
      </c>
      <c r="H5863" s="1031">
        <v>-1197</v>
      </c>
      <c r="I5863" s="1032" t="s">
        <v>1306</v>
      </c>
    </row>
    <row r="5864" spans="1:9" x14ac:dyDescent="0.25">
      <c r="A5864" s="1033"/>
      <c r="C5864" s="130" t="s">
        <v>1302</v>
      </c>
      <c r="D5864" s="130">
        <v>16</v>
      </c>
      <c r="E5864" s="130" t="s">
        <v>1307</v>
      </c>
      <c r="F5864" s="1031">
        <v>0</v>
      </c>
      <c r="G5864" s="1031">
        <v>-1898.33</v>
      </c>
      <c r="H5864" s="1031">
        <v>-1898.33</v>
      </c>
      <c r="I5864" s="1032" t="s">
        <v>1308</v>
      </c>
    </row>
    <row r="5865" spans="1:9" x14ac:dyDescent="0.25">
      <c r="A5865" s="1033"/>
      <c r="C5865" s="130">
        <v>452</v>
      </c>
      <c r="D5865" s="130">
        <v>16</v>
      </c>
      <c r="E5865" s="130">
        <v>452</v>
      </c>
      <c r="F5865" s="1031">
        <v>0</v>
      </c>
      <c r="G5865" s="1031">
        <v>-6829</v>
      </c>
      <c r="H5865" s="1031">
        <v>-6829</v>
      </c>
      <c r="I5865" s="1032" t="s">
        <v>1311</v>
      </c>
    </row>
    <row r="5866" spans="1:9" x14ac:dyDescent="0.25">
      <c r="A5866" s="1033"/>
      <c r="C5866" s="130">
        <v>652</v>
      </c>
      <c r="D5866" s="130">
        <v>16</v>
      </c>
      <c r="E5866" s="130">
        <v>652</v>
      </c>
      <c r="F5866" s="1031">
        <v>0</v>
      </c>
      <c r="G5866" s="1031">
        <v>4329</v>
      </c>
      <c r="H5866" s="1031">
        <v>4329</v>
      </c>
      <c r="I5866" s="1032" t="s">
        <v>1312</v>
      </c>
    </row>
    <row r="5867" spans="1:9" x14ac:dyDescent="0.25">
      <c r="A5867" s="1033"/>
      <c r="C5867" s="130" t="s">
        <v>1315</v>
      </c>
      <c r="D5867" s="130">
        <v>16</v>
      </c>
      <c r="E5867" s="130" t="s">
        <v>1315</v>
      </c>
      <c r="F5867" s="1031">
        <v>0</v>
      </c>
      <c r="G5867" s="1031">
        <v>-7417.19</v>
      </c>
      <c r="H5867" s="1031">
        <v>-7417.19</v>
      </c>
      <c r="I5867" s="1032" t="s">
        <v>1316</v>
      </c>
    </row>
    <row r="5868" spans="1:9" x14ac:dyDescent="0.25">
      <c r="A5868" s="1033"/>
      <c r="C5868" s="130" t="s">
        <v>1317</v>
      </c>
      <c r="D5868" s="130">
        <v>16</v>
      </c>
      <c r="E5868" s="130" t="s">
        <v>1317</v>
      </c>
      <c r="F5868" s="1031">
        <v>0</v>
      </c>
      <c r="G5868" s="1031">
        <v>6103</v>
      </c>
      <c r="H5868" s="1031">
        <v>6103</v>
      </c>
      <c r="I5868" s="1032" t="s">
        <v>1318</v>
      </c>
    </row>
    <row r="5869" spans="1:9" x14ac:dyDescent="0.25">
      <c r="A5869" s="1033"/>
      <c r="C5869" s="130">
        <v>442</v>
      </c>
      <c r="D5869" s="130">
        <v>16</v>
      </c>
      <c r="E5869" s="130">
        <v>442</v>
      </c>
      <c r="F5869" s="1031">
        <v>0</v>
      </c>
      <c r="G5869" s="1031">
        <v>-108991</v>
      </c>
      <c r="H5869" s="1031">
        <v>-108991</v>
      </c>
      <c r="I5869" s="1032" t="s">
        <v>1321</v>
      </c>
    </row>
    <row r="5870" spans="1:9" x14ac:dyDescent="0.25">
      <c r="A5870" s="1033"/>
      <c r="C5870" s="130">
        <v>642</v>
      </c>
      <c r="D5870" s="130">
        <v>16</v>
      </c>
      <c r="E5870" s="130">
        <v>642</v>
      </c>
      <c r="F5870" s="1031">
        <v>0</v>
      </c>
      <c r="G5870" s="1031">
        <v>98891.09</v>
      </c>
      <c r="H5870" s="1031">
        <v>98891.09</v>
      </c>
      <c r="I5870" s="1032" t="s">
        <v>1322</v>
      </c>
    </row>
    <row r="5871" spans="1:9" x14ac:dyDescent="0.25">
      <c r="A5871" s="1033"/>
      <c r="C5871" s="130">
        <v>643</v>
      </c>
      <c r="D5871" s="130">
        <v>16</v>
      </c>
      <c r="E5871" s="130">
        <v>643</v>
      </c>
      <c r="F5871" s="1031">
        <v>0</v>
      </c>
      <c r="G5871" s="1031">
        <v>4886.08</v>
      </c>
      <c r="H5871" s="1031">
        <v>4886.08</v>
      </c>
      <c r="I5871" s="1032" t="s">
        <v>1884</v>
      </c>
    </row>
    <row r="5872" spans="1:9" x14ac:dyDescent="0.25">
      <c r="A5872" s="1033"/>
      <c r="C5872" s="130" t="s">
        <v>1887</v>
      </c>
      <c r="D5872" s="130">
        <v>16</v>
      </c>
      <c r="E5872" s="130" t="s">
        <v>1887</v>
      </c>
      <c r="F5872" s="1031">
        <v>0</v>
      </c>
      <c r="G5872" s="1031">
        <v>263964.26</v>
      </c>
      <c r="H5872" s="1031">
        <v>263964.26</v>
      </c>
      <c r="I5872" s="1032" t="s">
        <v>1888</v>
      </c>
    </row>
    <row r="5873" spans="1:9" x14ac:dyDescent="0.25">
      <c r="A5873" s="1033"/>
      <c r="C5873" s="130" t="s">
        <v>1885</v>
      </c>
      <c r="D5873" s="130">
        <v>16</v>
      </c>
      <c r="E5873" s="130" t="s">
        <v>1885</v>
      </c>
      <c r="F5873" s="1031">
        <v>0</v>
      </c>
      <c r="G5873" s="1031">
        <v>-267800</v>
      </c>
      <c r="H5873" s="1031">
        <v>-267800</v>
      </c>
      <c r="I5873" s="1032" t="s">
        <v>1886</v>
      </c>
    </row>
    <row r="5874" spans="1:9" x14ac:dyDescent="0.25">
      <c r="A5874" s="1033"/>
      <c r="C5874" s="130">
        <v>451</v>
      </c>
      <c r="D5874" s="130">
        <v>16</v>
      </c>
      <c r="E5874" s="130">
        <v>451</v>
      </c>
      <c r="F5874" s="1031">
        <v>0</v>
      </c>
      <c r="G5874" s="1031">
        <v>-798</v>
      </c>
      <c r="H5874" s="1031">
        <v>-798</v>
      </c>
      <c r="I5874" s="1032" t="s">
        <v>1889</v>
      </c>
    </row>
    <row r="5875" spans="1:9" x14ac:dyDescent="0.25">
      <c r="A5875" s="1033"/>
      <c r="C5875" s="130">
        <v>453</v>
      </c>
      <c r="D5875" s="130">
        <v>16</v>
      </c>
      <c r="E5875" s="130">
        <v>453</v>
      </c>
      <c r="F5875" s="1031">
        <v>0</v>
      </c>
      <c r="G5875" s="1031">
        <v>-675</v>
      </c>
      <c r="H5875" s="1031">
        <v>-675</v>
      </c>
      <c r="I5875" s="1032" t="s">
        <v>1890</v>
      </c>
    </row>
    <row r="5876" spans="1:9" x14ac:dyDescent="0.25">
      <c r="A5876" s="1033"/>
      <c r="C5876" s="130">
        <v>651</v>
      </c>
      <c r="D5876" s="130">
        <v>16</v>
      </c>
      <c r="E5876" s="130">
        <v>651</v>
      </c>
      <c r="F5876" s="1031">
        <v>0</v>
      </c>
      <c r="G5876" s="1031">
        <v>140</v>
      </c>
      <c r="H5876" s="1031">
        <v>140</v>
      </c>
      <c r="I5876" s="1032" t="s">
        <v>1891</v>
      </c>
    </row>
    <row r="5877" spans="1:9" x14ac:dyDescent="0.25">
      <c r="A5877" s="1033">
        <v>708024</v>
      </c>
      <c r="B5877" s="129">
        <v>2039798</v>
      </c>
      <c r="E5877" s="130"/>
    </row>
    <row r="5878" spans="1:9" x14ac:dyDescent="0.25">
      <c r="A5878" s="1033">
        <v>708026</v>
      </c>
      <c r="B5878" s="129">
        <v>142413</v>
      </c>
      <c r="C5878" s="130">
        <v>416</v>
      </c>
      <c r="D5878" s="130">
        <v>16</v>
      </c>
      <c r="E5878" s="130">
        <v>416</v>
      </c>
      <c r="F5878" s="1031">
        <v>0</v>
      </c>
      <c r="G5878" s="1031">
        <v>-165736.57999999999</v>
      </c>
      <c r="H5878" s="1031">
        <v>-165736.57999999999</v>
      </c>
      <c r="I5878" s="1032" t="s">
        <v>1331</v>
      </c>
    </row>
    <row r="5879" spans="1:9" x14ac:dyDescent="0.25">
      <c r="A5879" s="1033"/>
      <c r="C5879" s="130">
        <v>616</v>
      </c>
      <c r="D5879" s="130">
        <v>16</v>
      </c>
      <c r="E5879" s="130">
        <v>616</v>
      </c>
      <c r="F5879" s="1031">
        <v>0</v>
      </c>
      <c r="G5879" s="1031">
        <v>158419.29</v>
      </c>
      <c r="H5879" s="1031">
        <v>158419.29</v>
      </c>
      <c r="I5879" s="1032" t="s">
        <v>1332</v>
      </c>
    </row>
    <row r="5880" spans="1:9" x14ac:dyDescent="0.25">
      <c r="A5880" s="1033"/>
      <c r="C5880" s="130" t="s">
        <v>61</v>
      </c>
      <c r="D5880" s="130">
        <v>16</v>
      </c>
      <c r="E5880" s="130" t="s">
        <v>61</v>
      </c>
      <c r="F5880" s="1031">
        <v>0</v>
      </c>
      <c r="G5880" s="1031">
        <v>-215782.6</v>
      </c>
      <c r="H5880" s="1031">
        <v>-215782.6</v>
      </c>
      <c r="I5880" s="1032" t="s">
        <v>1335</v>
      </c>
    </row>
    <row r="5881" spans="1:9" x14ac:dyDescent="0.25">
      <c r="A5881" s="1033"/>
      <c r="C5881" s="130" t="s">
        <v>1336</v>
      </c>
      <c r="D5881" s="130">
        <v>16</v>
      </c>
      <c r="E5881" s="130" t="s">
        <v>1336</v>
      </c>
      <c r="F5881" s="1031">
        <v>0</v>
      </c>
      <c r="G5881" s="1031">
        <v>203675.76</v>
      </c>
      <c r="H5881" s="1031">
        <v>203675.76</v>
      </c>
      <c r="I5881" s="1032" t="s">
        <v>1337</v>
      </c>
    </row>
    <row r="5882" spans="1:9" x14ac:dyDescent="0.25">
      <c r="A5882" s="1033"/>
      <c r="C5882" s="130" t="s">
        <v>165</v>
      </c>
      <c r="D5882" s="130">
        <v>16</v>
      </c>
      <c r="E5882" s="130" t="s">
        <v>165</v>
      </c>
      <c r="F5882" s="1031">
        <v>0</v>
      </c>
      <c r="G5882" s="1031">
        <v>-71130.86</v>
      </c>
      <c r="H5882" s="1031">
        <v>-71130.86</v>
      </c>
      <c r="I5882" s="1032" t="s">
        <v>1376</v>
      </c>
    </row>
    <row r="5883" spans="1:9" x14ac:dyDescent="0.25">
      <c r="A5883" s="1033"/>
      <c r="C5883" s="130" t="s">
        <v>1377</v>
      </c>
      <c r="D5883" s="130">
        <v>16</v>
      </c>
      <c r="E5883" s="130" t="s">
        <v>1377</v>
      </c>
      <c r="F5883" s="1031">
        <v>0</v>
      </c>
      <c r="G5883" s="1031">
        <v>70143.81</v>
      </c>
      <c r="H5883" s="1031">
        <v>70143.81</v>
      </c>
      <c r="I5883" s="1032" t="s">
        <v>1378</v>
      </c>
    </row>
    <row r="5884" spans="1:9" x14ac:dyDescent="0.25">
      <c r="A5884" s="1033"/>
      <c r="C5884" s="130" t="s">
        <v>57</v>
      </c>
      <c r="D5884" s="130">
        <v>16</v>
      </c>
      <c r="E5884" s="130" t="s">
        <v>57</v>
      </c>
      <c r="F5884" s="1031">
        <v>0</v>
      </c>
      <c r="G5884" s="1031">
        <v>-86373.5</v>
      </c>
      <c r="H5884" s="1031">
        <v>-86373.5</v>
      </c>
      <c r="I5884" s="1032" t="s">
        <v>1380</v>
      </c>
    </row>
    <row r="5885" spans="1:9" x14ac:dyDescent="0.25">
      <c r="A5885" s="1033"/>
      <c r="C5885" s="130" t="s">
        <v>1381</v>
      </c>
      <c r="D5885" s="130">
        <v>16</v>
      </c>
      <c r="E5885" s="130" t="s">
        <v>1381</v>
      </c>
      <c r="F5885" s="1031">
        <v>0</v>
      </c>
      <c r="G5885" s="1031">
        <v>82336.14</v>
      </c>
      <c r="H5885" s="1031">
        <v>82336.14</v>
      </c>
      <c r="I5885" s="1032" t="s">
        <v>1380</v>
      </c>
    </row>
    <row r="5886" spans="1:9" x14ac:dyDescent="0.25">
      <c r="A5886" s="1033"/>
      <c r="C5886" s="130" t="s">
        <v>267</v>
      </c>
      <c r="D5886" s="130">
        <v>16</v>
      </c>
      <c r="E5886" s="130" t="s">
        <v>267</v>
      </c>
      <c r="F5886" s="1031">
        <v>0</v>
      </c>
      <c r="G5886" s="1031">
        <v>-63350.5</v>
      </c>
      <c r="H5886" s="1031">
        <v>-63350.5</v>
      </c>
      <c r="I5886" s="1032" t="s">
        <v>1384</v>
      </c>
    </row>
    <row r="5887" spans="1:9" x14ac:dyDescent="0.25">
      <c r="A5887" s="1033"/>
      <c r="C5887" s="130" t="s">
        <v>1385</v>
      </c>
      <c r="D5887" s="130">
        <v>16</v>
      </c>
      <c r="E5887" s="130" t="s">
        <v>1385</v>
      </c>
      <c r="F5887" s="1031">
        <v>0</v>
      </c>
      <c r="G5887" s="1031">
        <v>62100.5</v>
      </c>
      <c r="H5887" s="1031">
        <v>62100.5</v>
      </c>
      <c r="I5887" s="1032" t="s">
        <v>1386</v>
      </c>
    </row>
    <row r="5888" spans="1:9" x14ac:dyDescent="0.25">
      <c r="A5888" s="1033"/>
      <c r="C5888" s="130" t="s">
        <v>283</v>
      </c>
      <c r="D5888" s="130">
        <v>16</v>
      </c>
      <c r="E5888" s="130" t="s">
        <v>283</v>
      </c>
      <c r="F5888" s="1031">
        <v>0</v>
      </c>
      <c r="G5888" s="1031">
        <v>-73322</v>
      </c>
      <c r="H5888" s="1031">
        <v>-73322</v>
      </c>
      <c r="I5888" s="1032" t="s">
        <v>1389</v>
      </c>
    </row>
    <row r="5889" spans="1:9" x14ac:dyDescent="0.25">
      <c r="A5889" s="1033"/>
      <c r="C5889" s="130" t="s">
        <v>1390</v>
      </c>
      <c r="D5889" s="130">
        <v>16</v>
      </c>
      <c r="E5889" s="130" t="s">
        <v>1390</v>
      </c>
      <c r="F5889" s="1031">
        <v>0</v>
      </c>
      <c r="G5889" s="1031">
        <v>71413.2</v>
      </c>
      <c r="H5889" s="1031">
        <v>71413.2</v>
      </c>
      <c r="I5889" s="1032" t="s">
        <v>1391</v>
      </c>
    </row>
    <row r="5890" spans="1:9" x14ac:dyDescent="0.25">
      <c r="A5890" s="1033"/>
      <c r="C5890" s="130" t="s">
        <v>268</v>
      </c>
      <c r="D5890" s="130">
        <v>16</v>
      </c>
      <c r="E5890" s="130" t="s">
        <v>268</v>
      </c>
      <c r="F5890" s="1031">
        <v>0</v>
      </c>
      <c r="G5890" s="1031">
        <v>-84886.5</v>
      </c>
      <c r="H5890" s="1031">
        <v>-84886.5</v>
      </c>
      <c r="I5890" s="1032" t="s">
        <v>1394</v>
      </c>
    </row>
    <row r="5891" spans="1:9" x14ac:dyDescent="0.25">
      <c r="A5891" s="1033"/>
      <c r="C5891" s="130" t="s">
        <v>1395</v>
      </c>
      <c r="D5891" s="130">
        <v>16</v>
      </c>
      <c r="E5891" s="130" t="s">
        <v>1395</v>
      </c>
      <c r="F5891" s="1031">
        <v>0</v>
      </c>
      <c r="G5891" s="1031">
        <v>78271.8</v>
      </c>
      <c r="H5891" s="1031">
        <v>78271.8</v>
      </c>
      <c r="I5891" s="1032" t="s">
        <v>1396</v>
      </c>
    </row>
    <row r="5892" spans="1:9" x14ac:dyDescent="0.25">
      <c r="A5892" s="1033"/>
      <c r="C5892" s="130">
        <v>432</v>
      </c>
      <c r="D5892" s="130">
        <v>16</v>
      </c>
      <c r="E5892" s="130">
        <v>432</v>
      </c>
      <c r="F5892" s="1031">
        <v>0</v>
      </c>
      <c r="G5892" s="1031">
        <v>-100923.5</v>
      </c>
      <c r="H5892" s="1031">
        <v>-100923.5</v>
      </c>
      <c r="I5892" s="1032" t="s">
        <v>1399</v>
      </c>
    </row>
    <row r="5893" spans="1:9" x14ac:dyDescent="0.25">
      <c r="A5893" s="1033"/>
      <c r="C5893" s="130">
        <v>632</v>
      </c>
      <c r="D5893" s="130">
        <v>16</v>
      </c>
      <c r="E5893" s="130">
        <v>632</v>
      </c>
      <c r="F5893" s="1031">
        <v>0</v>
      </c>
      <c r="G5893" s="1031">
        <v>96040.18</v>
      </c>
      <c r="H5893" s="1031">
        <v>96040.18</v>
      </c>
      <c r="I5893" s="1032" t="s">
        <v>1400</v>
      </c>
    </row>
    <row r="5894" spans="1:9" x14ac:dyDescent="0.25">
      <c r="A5894" s="1033"/>
      <c r="C5894" s="130" t="s">
        <v>291</v>
      </c>
      <c r="D5894" s="130">
        <v>16</v>
      </c>
      <c r="E5894" s="130" t="s">
        <v>291</v>
      </c>
      <c r="F5894" s="1031">
        <v>0</v>
      </c>
      <c r="G5894" s="1031">
        <v>-122189.22</v>
      </c>
      <c r="H5894" s="1031">
        <v>-122189.22</v>
      </c>
      <c r="I5894" s="1032" t="s">
        <v>1403</v>
      </c>
    </row>
    <row r="5895" spans="1:9" x14ac:dyDescent="0.25">
      <c r="A5895" s="1033"/>
      <c r="C5895" s="130" t="s">
        <v>1404</v>
      </c>
      <c r="D5895" s="130">
        <v>16</v>
      </c>
      <c r="E5895" s="130" t="s">
        <v>1404</v>
      </c>
      <c r="F5895" s="1031">
        <v>0</v>
      </c>
      <c r="G5895" s="1031">
        <v>120939.22</v>
      </c>
      <c r="H5895" s="1031">
        <v>120939.22</v>
      </c>
      <c r="I5895" s="1032" t="s">
        <v>1405</v>
      </c>
    </row>
    <row r="5896" spans="1:9" x14ac:dyDescent="0.25">
      <c r="A5896" s="1033"/>
      <c r="C5896" s="130">
        <v>418</v>
      </c>
      <c r="D5896" s="130">
        <v>16</v>
      </c>
      <c r="E5896" s="130">
        <v>418</v>
      </c>
      <c r="F5896" s="1031">
        <v>0</v>
      </c>
      <c r="G5896" s="1031">
        <v>-135962</v>
      </c>
      <c r="H5896" s="1031">
        <v>-135962</v>
      </c>
      <c r="I5896" s="1032" t="s">
        <v>1340</v>
      </c>
    </row>
    <row r="5897" spans="1:9" x14ac:dyDescent="0.25">
      <c r="A5897" s="1033"/>
      <c r="C5897" s="130">
        <v>618</v>
      </c>
      <c r="D5897" s="130">
        <v>16</v>
      </c>
      <c r="E5897" s="130">
        <v>618</v>
      </c>
      <c r="F5897" s="1031">
        <v>0</v>
      </c>
      <c r="G5897" s="1031">
        <v>133462</v>
      </c>
      <c r="H5897" s="1031">
        <v>133462</v>
      </c>
      <c r="I5897" s="1032" t="s">
        <v>1341</v>
      </c>
    </row>
    <row r="5898" spans="1:9" x14ac:dyDescent="0.25">
      <c r="A5898" s="1033"/>
      <c r="C5898" s="130" t="s">
        <v>157</v>
      </c>
      <c r="D5898" s="130">
        <v>16</v>
      </c>
      <c r="E5898" s="130" t="s">
        <v>157</v>
      </c>
      <c r="F5898" s="1031">
        <v>0</v>
      </c>
      <c r="G5898" s="1031">
        <v>-26726.6</v>
      </c>
      <c r="H5898" s="1031">
        <v>-26726.6</v>
      </c>
      <c r="I5898" s="1032" t="s">
        <v>1342</v>
      </c>
    </row>
    <row r="5899" spans="1:9" x14ac:dyDescent="0.25">
      <c r="A5899" s="1033"/>
      <c r="C5899" s="130" t="s">
        <v>1351</v>
      </c>
      <c r="D5899" s="130">
        <v>16</v>
      </c>
      <c r="E5899" s="130" t="s">
        <v>1351</v>
      </c>
      <c r="F5899" s="1031">
        <v>0</v>
      </c>
      <c r="G5899" s="1031">
        <v>-6580</v>
      </c>
      <c r="H5899" s="1031">
        <v>-6580</v>
      </c>
      <c r="I5899" s="1032" t="s">
        <v>1352</v>
      </c>
    </row>
    <row r="5900" spans="1:9" x14ac:dyDescent="0.25">
      <c r="A5900" s="1033"/>
      <c r="C5900" s="130" t="s">
        <v>1351</v>
      </c>
      <c r="D5900" s="130">
        <v>16</v>
      </c>
      <c r="E5900" s="130" t="s">
        <v>1353</v>
      </c>
      <c r="F5900" s="1031">
        <v>0</v>
      </c>
      <c r="G5900" s="1031">
        <v>-10494</v>
      </c>
      <c r="H5900" s="1031">
        <v>-10494</v>
      </c>
      <c r="I5900" s="1032" t="s">
        <v>1354</v>
      </c>
    </row>
    <row r="5901" spans="1:9" x14ac:dyDescent="0.25">
      <c r="A5901" s="1033"/>
      <c r="C5901" s="130" t="s">
        <v>1351</v>
      </c>
      <c r="D5901" s="130">
        <v>16</v>
      </c>
      <c r="E5901" s="130" t="s">
        <v>1355</v>
      </c>
      <c r="F5901" s="1031">
        <v>0</v>
      </c>
      <c r="G5901" s="1031">
        <v>-15190</v>
      </c>
      <c r="H5901" s="1031">
        <v>-15190</v>
      </c>
      <c r="I5901" s="1032" t="s">
        <v>1356</v>
      </c>
    </row>
    <row r="5902" spans="1:9" x14ac:dyDescent="0.25">
      <c r="A5902" s="1033"/>
      <c r="C5902" s="130" t="s">
        <v>1351</v>
      </c>
      <c r="D5902" s="130">
        <v>16</v>
      </c>
      <c r="E5902" s="130" t="s">
        <v>1357</v>
      </c>
      <c r="F5902" s="1031">
        <v>0</v>
      </c>
      <c r="G5902" s="1031">
        <v>-8330</v>
      </c>
      <c r="H5902" s="1031">
        <v>-8330</v>
      </c>
      <c r="I5902" s="1032" t="s">
        <v>1358</v>
      </c>
    </row>
    <row r="5903" spans="1:9" x14ac:dyDescent="0.25">
      <c r="A5903" s="1033"/>
      <c r="C5903" s="130" t="s">
        <v>1351</v>
      </c>
      <c r="D5903" s="130">
        <v>16</v>
      </c>
      <c r="E5903" s="130" t="s">
        <v>78</v>
      </c>
      <c r="F5903" s="1031">
        <v>0</v>
      </c>
      <c r="G5903" s="1031">
        <v>-499</v>
      </c>
      <c r="H5903" s="1031">
        <v>-499</v>
      </c>
      <c r="I5903" s="1032" t="s">
        <v>1359</v>
      </c>
    </row>
    <row r="5904" spans="1:9" x14ac:dyDescent="0.25">
      <c r="A5904" s="1033"/>
      <c r="C5904" s="130" t="s">
        <v>1360</v>
      </c>
      <c r="D5904" s="130">
        <v>16</v>
      </c>
      <c r="E5904" s="130" t="s">
        <v>1360</v>
      </c>
      <c r="F5904" s="1031">
        <v>0</v>
      </c>
      <c r="G5904" s="1031">
        <v>980</v>
      </c>
      <c r="H5904" s="1031">
        <v>980</v>
      </c>
      <c r="I5904" s="1032" t="s">
        <v>1361</v>
      </c>
    </row>
    <row r="5905" spans="1:9" x14ac:dyDescent="0.25">
      <c r="A5905" s="1033"/>
      <c r="C5905" s="130" t="s">
        <v>1360</v>
      </c>
      <c r="D5905" s="130">
        <v>16</v>
      </c>
      <c r="E5905" s="130" t="s">
        <v>1362</v>
      </c>
      <c r="F5905" s="1031">
        <v>0</v>
      </c>
      <c r="G5905" s="1031">
        <v>7764</v>
      </c>
      <c r="H5905" s="1031">
        <v>7764</v>
      </c>
      <c r="I5905" s="1032" t="s">
        <v>1363</v>
      </c>
    </row>
    <row r="5906" spans="1:9" x14ac:dyDescent="0.25">
      <c r="A5906" s="1033"/>
      <c r="C5906" s="130" t="s">
        <v>1360</v>
      </c>
      <c r="D5906" s="130">
        <v>16</v>
      </c>
      <c r="E5906" s="130" t="s">
        <v>1364</v>
      </c>
      <c r="F5906" s="1031">
        <v>0</v>
      </c>
      <c r="G5906" s="1031">
        <v>6043.71</v>
      </c>
      <c r="H5906" s="1031">
        <v>6043.71</v>
      </c>
      <c r="I5906" s="1032" t="s">
        <v>1365</v>
      </c>
    </row>
    <row r="5907" spans="1:9" x14ac:dyDescent="0.25">
      <c r="A5907" s="1033"/>
      <c r="C5907" s="130" t="s">
        <v>1360</v>
      </c>
      <c r="D5907" s="130">
        <v>16</v>
      </c>
      <c r="E5907" s="130" t="s">
        <v>1366</v>
      </c>
      <c r="F5907" s="1031">
        <v>0</v>
      </c>
      <c r="G5907" s="1031">
        <v>220</v>
      </c>
      <c r="H5907" s="1031">
        <v>220</v>
      </c>
      <c r="I5907" s="1032" t="s">
        <v>1367</v>
      </c>
    </row>
    <row r="5908" spans="1:9" x14ac:dyDescent="0.25">
      <c r="A5908" s="1033"/>
      <c r="C5908" s="130" t="s">
        <v>1370</v>
      </c>
      <c r="D5908" s="130">
        <v>16</v>
      </c>
      <c r="E5908" s="130" t="s">
        <v>1370</v>
      </c>
      <c r="F5908" s="1031">
        <v>0</v>
      </c>
      <c r="G5908" s="1031">
        <v>-1720</v>
      </c>
      <c r="H5908" s="1031">
        <v>-1720</v>
      </c>
      <c r="I5908" s="1032" t="s">
        <v>1371</v>
      </c>
    </row>
    <row r="5909" spans="1:9" x14ac:dyDescent="0.25">
      <c r="A5909" s="1033"/>
      <c r="C5909" s="130" t="s">
        <v>1372</v>
      </c>
      <c r="D5909" s="130">
        <v>16</v>
      </c>
      <c r="E5909" s="130" t="s">
        <v>1372</v>
      </c>
      <c r="F5909" s="1031">
        <v>0</v>
      </c>
      <c r="G5909" s="1031">
        <v>1113</v>
      </c>
      <c r="H5909" s="1031">
        <v>1113</v>
      </c>
      <c r="I5909" s="1032" t="s">
        <v>1373</v>
      </c>
    </row>
    <row r="5910" spans="1:9" x14ac:dyDescent="0.25">
      <c r="A5910" s="1033"/>
      <c r="C5910" s="130" t="s">
        <v>1252</v>
      </c>
      <c r="D5910" s="130">
        <v>16</v>
      </c>
      <c r="E5910" s="130" t="s">
        <v>1252</v>
      </c>
      <c r="F5910" s="1031">
        <v>0</v>
      </c>
      <c r="G5910" s="1031">
        <v>-156545.9</v>
      </c>
      <c r="H5910" s="1031">
        <v>-156545.9</v>
      </c>
      <c r="I5910" s="1032" t="s">
        <v>1253</v>
      </c>
    </row>
    <row r="5911" spans="1:9" x14ac:dyDescent="0.25">
      <c r="A5911" s="1033"/>
      <c r="C5911" s="130" t="s">
        <v>1254</v>
      </c>
      <c r="D5911" s="130">
        <v>16</v>
      </c>
      <c r="E5911" s="130" t="s">
        <v>1254</v>
      </c>
      <c r="F5911" s="1031">
        <v>0</v>
      </c>
      <c r="G5911" s="1031">
        <v>-124587.36</v>
      </c>
      <c r="H5911" s="1031">
        <v>-124587.36</v>
      </c>
      <c r="I5911" s="1032" t="s">
        <v>1255</v>
      </c>
    </row>
    <row r="5912" spans="1:9" x14ac:dyDescent="0.25">
      <c r="A5912" s="1033"/>
      <c r="C5912" s="130" t="s">
        <v>1256</v>
      </c>
      <c r="D5912" s="130">
        <v>16</v>
      </c>
      <c r="E5912" s="130" t="s">
        <v>1256</v>
      </c>
      <c r="F5912" s="1031">
        <v>0</v>
      </c>
      <c r="G5912" s="1031">
        <v>147238.17000000001</v>
      </c>
      <c r="H5912" s="1031">
        <v>147238.17000000001</v>
      </c>
      <c r="I5912" s="1032" t="s">
        <v>1257</v>
      </c>
    </row>
    <row r="5913" spans="1:9" x14ac:dyDescent="0.25">
      <c r="A5913" s="1033"/>
      <c r="C5913" s="130" t="s">
        <v>1258</v>
      </c>
      <c r="D5913" s="130">
        <v>16</v>
      </c>
      <c r="E5913" s="130" t="s">
        <v>1258</v>
      </c>
      <c r="F5913" s="1031">
        <v>0</v>
      </c>
      <c r="G5913" s="1031">
        <v>110639.33</v>
      </c>
      <c r="H5913" s="1031">
        <v>110639.33</v>
      </c>
      <c r="I5913" s="1032" t="s">
        <v>1259</v>
      </c>
    </row>
    <row r="5914" spans="1:9" x14ac:dyDescent="0.25">
      <c r="A5914" s="1033"/>
      <c r="C5914" s="130" t="s">
        <v>1260</v>
      </c>
      <c r="D5914" s="130">
        <v>16</v>
      </c>
      <c r="E5914" s="130" t="s">
        <v>1260</v>
      </c>
      <c r="F5914" s="1031">
        <v>0</v>
      </c>
      <c r="G5914" s="1031">
        <v>2432.12</v>
      </c>
      <c r="H5914" s="1031">
        <v>2432.12</v>
      </c>
      <c r="I5914" s="1032" t="s">
        <v>1261</v>
      </c>
    </row>
    <row r="5915" spans="1:9" x14ac:dyDescent="0.25">
      <c r="A5915" s="1033"/>
      <c r="C5915" s="130" t="s">
        <v>1262</v>
      </c>
      <c r="D5915" s="130">
        <v>16</v>
      </c>
      <c r="E5915" s="130" t="s">
        <v>1262</v>
      </c>
      <c r="F5915" s="1031">
        <v>0</v>
      </c>
      <c r="G5915" s="1031">
        <v>5723.83</v>
      </c>
      <c r="H5915" s="1031">
        <v>5723.83</v>
      </c>
      <c r="I5915" s="1032" t="s">
        <v>1263</v>
      </c>
    </row>
    <row r="5916" spans="1:9" x14ac:dyDescent="0.25">
      <c r="A5916" s="1033"/>
      <c r="C5916" s="130" t="s">
        <v>1268</v>
      </c>
      <c r="D5916" s="130">
        <v>16</v>
      </c>
      <c r="E5916" s="130" t="s">
        <v>1268</v>
      </c>
      <c r="F5916" s="1031">
        <v>0</v>
      </c>
      <c r="G5916" s="1031">
        <v>-23684</v>
      </c>
      <c r="H5916" s="1031">
        <v>-23684</v>
      </c>
      <c r="I5916" s="1032" t="s">
        <v>1269</v>
      </c>
    </row>
    <row r="5917" spans="1:9" x14ac:dyDescent="0.25">
      <c r="A5917" s="1033"/>
      <c r="C5917" s="130" t="s">
        <v>1270</v>
      </c>
      <c r="D5917" s="130">
        <v>16</v>
      </c>
      <c r="E5917" s="130" t="s">
        <v>1270</v>
      </c>
      <c r="F5917" s="1031">
        <v>0</v>
      </c>
      <c r="G5917" s="1031">
        <v>-42500</v>
      </c>
      <c r="H5917" s="1031">
        <v>-42500</v>
      </c>
      <c r="I5917" s="1032" t="s">
        <v>1271</v>
      </c>
    </row>
    <row r="5918" spans="1:9" x14ac:dyDescent="0.25">
      <c r="A5918" s="1033"/>
      <c r="C5918" s="130" t="s">
        <v>1272</v>
      </c>
      <c r="D5918" s="130">
        <v>16</v>
      </c>
      <c r="E5918" s="130" t="s">
        <v>1272</v>
      </c>
      <c r="F5918" s="1031">
        <v>0</v>
      </c>
      <c r="G5918" s="1031">
        <v>22351.67</v>
      </c>
      <c r="H5918" s="1031">
        <v>22351.67</v>
      </c>
      <c r="I5918" s="1032" t="s">
        <v>1273</v>
      </c>
    </row>
    <row r="5919" spans="1:9" x14ac:dyDescent="0.25">
      <c r="A5919" s="1033"/>
      <c r="C5919" s="130" t="s">
        <v>1274</v>
      </c>
      <c r="D5919" s="130">
        <v>16</v>
      </c>
      <c r="E5919" s="130" t="s">
        <v>1274</v>
      </c>
      <c r="F5919" s="1031">
        <v>0</v>
      </c>
      <c r="G5919" s="1031">
        <v>35931.440000000002</v>
      </c>
      <c r="H5919" s="1031">
        <v>35931.440000000002</v>
      </c>
      <c r="I5919" s="1032" t="s">
        <v>1275</v>
      </c>
    </row>
    <row r="5920" spans="1:9" x14ac:dyDescent="0.25">
      <c r="A5920" s="1033"/>
      <c r="C5920" s="130" t="s">
        <v>1276</v>
      </c>
      <c r="D5920" s="130">
        <v>16</v>
      </c>
      <c r="E5920" s="130" t="s">
        <v>1276</v>
      </c>
      <c r="F5920" s="1031">
        <v>0</v>
      </c>
      <c r="G5920" s="1031">
        <v>1332.33</v>
      </c>
      <c r="H5920" s="1031">
        <v>1332.33</v>
      </c>
      <c r="I5920" s="1032" t="s">
        <v>1277</v>
      </c>
    </row>
    <row r="5921" spans="1:9" x14ac:dyDescent="0.25">
      <c r="A5921" s="1033"/>
      <c r="C5921" s="130" t="s">
        <v>1278</v>
      </c>
      <c r="D5921" s="130">
        <v>16</v>
      </c>
      <c r="E5921" s="130" t="s">
        <v>1278</v>
      </c>
      <c r="F5921" s="1031">
        <v>0</v>
      </c>
      <c r="G5921" s="1031">
        <v>5173.7700000000004</v>
      </c>
      <c r="H5921" s="1031">
        <v>5173.7700000000004</v>
      </c>
      <c r="I5921" s="1032" t="s">
        <v>1279</v>
      </c>
    </row>
    <row r="5922" spans="1:9" x14ac:dyDescent="0.25">
      <c r="A5922" s="1033"/>
      <c r="C5922" s="130" t="s">
        <v>1282</v>
      </c>
      <c r="D5922" s="130">
        <v>16</v>
      </c>
      <c r="E5922" s="130" t="s">
        <v>1282</v>
      </c>
      <c r="F5922" s="1031">
        <v>0</v>
      </c>
      <c r="G5922" s="1031">
        <v>-123000</v>
      </c>
      <c r="H5922" s="1031">
        <v>-123000</v>
      </c>
      <c r="I5922" s="1032" t="s">
        <v>1283</v>
      </c>
    </row>
    <row r="5923" spans="1:9" x14ac:dyDescent="0.25">
      <c r="A5923" s="1033"/>
      <c r="C5923" s="130" t="s">
        <v>1284</v>
      </c>
      <c r="D5923" s="130">
        <v>16</v>
      </c>
      <c r="E5923" s="130" t="s">
        <v>1284</v>
      </c>
      <c r="F5923" s="1031">
        <v>0</v>
      </c>
      <c r="G5923" s="1031">
        <v>90.83</v>
      </c>
      <c r="H5923" s="1031">
        <v>90.83</v>
      </c>
      <c r="I5923" s="1032" t="s">
        <v>1285</v>
      </c>
    </row>
    <row r="5924" spans="1:9" x14ac:dyDescent="0.25">
      <c r="A5924" s="1033"/>
      <c r="C5924" s="130" t="s">
        <v>1286</v>
      </c>
      <c r="D5924" s="130">
        <v>16</v>
      </c>
      <c r="E5924" s="130" t="s">
        <v>1286</v>
      </c>
      <c r="F5924" s="1031">
        <v>0</v>
      </c>
      <c r="G5924" s="1031">
        <v>121962.32</v>
      </c>
      <c r="H5924" s="1031">
        <v>121962.32</v>
      </c>
      <c r="I5924" s="1032" t="s">
        <v>1287</v>
      </c>
    </row>
    <row r="5925" spans="1:9" x14ac:dyDescent="0.25">
      <c r="A5925" s="1033"/>
      <c r="C5925" s="130">
        <v>450</v>
      </c>
      <c r="D5925" s="130">
        <v>16</v>
      </c>
      <c r="E5925" s="130" t="s">
        <v>220</v>
      </c>
      <c r="F5925" s="1031">
        <v>0</v>
      </c>
      <c r="G5925" s="1031">
        <v>-4879.12</v>
      </c>
      <c r="H5925" s="1031">
        <v>-4879.12</v>
      </c>
      <c r="I5925" s="1032" t="s">
        <v>1292</v>
      </c>
    </row>
    <row r="5926" spans="1:9" x14ac:dyDescent="0.25">
      <c r="A5926" s="1033"/>
      <c r="C5926" s="130">
        <v>450</v>
      </c>
      <c r="D5926" s="130">
        <v>16</v>
      </c>
      <c r="E5926" s="130">
        <v>450</v>
      </c>
      <c r="F5926" s="1031">
        <v>0</v>
      </c>
      <c r="G5926" s="1031">
        <v>-2394</v>
      </c>
      <c r="H5926" s="1031">
        <v>-2394</v>
      </c>
      <c r="I5926" s="1032" t="s">
        <v>1293</v>
      </c>
    </row>
    <row r="5927" spans="1:9" x14ac:dyDescent="0.25">
      <c r="A5927" s="1033"/>
      <c r="C5927" s="130">
        <v>450</v>
      </c>
      <c r="D5927" s="130">
        <v>16</v>
      </c>
      <c r="E5927" s="130" t="s">
        <v>1294</v>
      </c>
      <c r="F5927" s="1031">
        <v>0</v>
      </c>
      <c r="G5927" s="1031">
        <v>-4760</v>
      </c>
      <c r="H5927" s="1031">
        <v>-4760</v>
      </c>
      <c r="I5927" s="1032" t="s">
        <v>1295</v>
      </c>
    </row>
    <row r="5928" spans="1:9" x14ac:dyDescent="0.25">
      <c r="A5928" s="1033"/>
      <c r="C5928" s="130">
        <v>450</v>
      </c>
      <c r="D5928" s="130">
        <v>16</v>
      </c>
      <c r="E5928" s="130">
        <v>650</v>
      </c>
      <c r="F5928" s="1031">
        <v>0</v>
      </c>
      <c r="G5928" s="1031">
        <v>420</v>
      </c>
      <c r="H5928" s="1031">
        <v>420</v>
      </c>
      <c r="I5928" s="1032" t="s">
        <v>1296</v>
      </c>
    </row>
    <row r="5929" spans="1:9" x14ac:dyDescent="0.25">
      <c r="A5929" s="1033"/>
      <c r="C5929" s="130" t="s">
        <v>1302</v>
      </c>
      <c r="D5929" s="130">
        <v>16</v>
      </c>
      <c r="E5929" s="130" t="s">
        <v>1303</v>
      </c>
      <c r="F5929" s="1031">
        <v>0</v>
      </c>
      <c r="G5929" s="1031">
        <v>210</v>
      </c>
      <c r="H5929" s="1031">
        <v>210</v>
      </c>
      <c r="I5929" s="1032" t="s">
        <v>1304</v>
      </c>
    </row>
    <row r="5930" spans="1:9" x14ac:dyDescent="0.25">
      <c r="A5930" s="1033"/>
      <c r="C5930" s="130" t="s">
        <v>1302</v>
      </c>
      <c r="D5930" s="130">
        <v>16</v>
      </c>
      <c r="E5930" s="130" t="s">
        <v>1305</v>
      </c>
      <c r="F5930" s="1031">
        <v>0</v>
      </c>
      <c r="G5930" s="1031">
        <v>-1197</v>
      </c>
      <c r="H5930" s="1031">
        <v>-1197</v>
      </c>
      <c r="I5930" s="1032" t="s">
        <v>1306</v>
      </c>
    </row>
    <row r="5931" spans="1:9" x14ac:dyDescent="0.25">
      <c r="A5931" s="1033"/>
      <c r="C5931" s="130" t="s">
        <v>1302</v>
      </c>
      <c r="D5931" s="130">
        <v>16</v>
      </c>
      <c r="E5931" s="130" t="s">
        <v>1307</v>
      </c>
      <c r="F5931" s="1031">
        <v>0</v>
      </c>
      <c r="G5931" s="1031">
        <v>-1898.33</v>
      </c>
      <c r="H5931" s="1031">
        <v>-1898.33</v>
      </c>
      <c r="I5931" s="1032" t="s">
        <v>1308</v>
      </c>
    </row>
    <row r="5932" spans="1:9" x14ac:dyDescent="0.25">
      <c r="A5932" s="1033"/>
      <c r="C5932" s="130">
        <v>452</v>
      </c>
      <c r="D5932" s="130">
        <v>16</v>
      </c>
      <c r="E5932" s="130">
        <v>452</v>
      </c>
      <c r="F5932" s="1031">
        <v>0</v>
      </c>
      <c r="G5932" s="1031">
        <v>-6829</v>
      </c>
      <c r="H5932" s="1031">
        <v>-6829</v>
      </c>
      <c r="I5932" s="1032" t="s">
        <v>1311</v>
      </c>
    </row>
    <row r="5933" spans="1:9" x14ac:dyDescent="0.25">
      <c r="A5933" s="1033"/>
      <c r="C5933" s="130">
        <v>652</v>
      </c>
      <c r="D5933" s="130">
        <v>16</v>
      </c>
      <c r="E5933" s="130">
        <v>652</v>
      </c>
      <c r="F5933" s="1031">
        <v>0</v>
      </c>
      <c r="G5933" s="1031">
        <v>4329</v>
      </c>
      <c r="H5933" s="1031">
        <v>4329</v>
      </c>
      <c r="I5933" s="1032" t="s">
        <v>1312</v>
      </c>
    </row>
    <row r="5934" spans="1:9" x14ac:dyDescent="0.25">
      <c r="A5934" s="1033"/>
      <c r="C5934" s="130" t="s">
        <v>1315</v>
      </c>
      <c r="D5934" s="130">
        <v>16</v>
      </c>
      <c r="E5934" s="130" t="s">
        <v>1315</v>
      </c>
      <c r="F5934" s="1031">
        <v>0</v>
      </c>
      <c r="G5934" s="1031">
        <v>-7417.19</v>
      </c>
      <c r="H5934" s="1031">
        <v>-7417.19</v>
      </c>
      <c r="I5934" s="1032" t="s">
        <v>1316</v>
      </c>
    </row>
    <row r="5935" spans="1:9" x14ac:dyDescent="0.25">
      <c r="A5935" s="1033"/>
      <c r="C5935" s="130" t="s">
        <v>1317</v>
      </c>
      <c r="D5935" s="130">
        <v>16</v>
      </c>
      <c r="E5935" s="130" t="s">
        <v>1317</v>
      </c>
      <c r="F5935" s="1031">
        <v>0</v>
      </c>
      <c r="G5935" s="1031">
        <v>6103</v>
      </c>
      <c r="H5935" s="1031">
        <v>6103</v>
      </c>
      <c r="I5935" s="1032" t="s">
        <v>1318</v>
      </c>
    </row>
    <row r="5936" spans="1:9" x14ac:dyDescent="0.25">
      <c r="A5936" s="1033"/>
      <c r="C5936" s="130">
        <v>442</v>
      </c>
      <c r="D5936" s="130">
        <v>16</v>
      </c>
      <c r="E5936" s="130">
        <v>442</v>
      </c>
      <c r="F5936" s="1031">
        <v>0</v>
      </c>
      <c r="G5936" s="1031">
        <v>-108991</v>
      </c>
      <c r="H5936" s="1031">
        <v>-108991</v>
      </c>
      <c r="I5936" s="1032" t="s">
        <v>1321</v>
      </c>
    </row>
    <row r="5937" spans="1:9" x14ac:dyDescent="0.25">
      <c r="A5937" s="1033"/>
      <c r="C5937" s="130">
        <v>642</v>
      </c>
      <c r="D5937" s="130">
        <v>16</v>
      </c>
      <c r="E5937" s="130">
        <v>642</v>
      </c>
      <c r="F5937" s="1031">
        <v>0</v>
      </c>
      <c r="G5937" s="1031">
        <v>98891.09</v>
      </c>
      <c r="H5937" s="1031">
        <v>98891.09</v>
      </c>
      <c r="I5937" s="1032" t="s">
        <v>1322</v>
      </c>
    </row>
    <row r="5938" spans="1:9" x14ac:dyDescent="0.25">
      <c r="A5938" s="1033"/>
      <c r="C5938" s="130">
        <v>643</v>
      </c>
      <c r="D5938" s="130">
        <v>16</v>
      </c>
      <c r="E5938" s="130">
        <v>643</v>
      </c>
      <c r="F5938" s="1031">
        <v>0</v>
      </c>
      <c r="G5938" s="1031">
        <v>4886.08</v>
      </c>
      <c r="H5938" s="1031">
        <v>4886.08</v>
      </c>
      <c r="I5938" s="1032" t="s">
        <v>1884</v>
      </c>
    </row>
    <row r="5939" spans="1:9" x14ac:dyDescent="0.25">
      <c r="A5939" s="1033"/>
      <c r="C5939" s="130" t="s">
        <v>1887</v>
      </c>
      <c r="D5939" s="130">
        <v>16</v>
      </c>
      <c r="E5939" s="130" t="s">
        <v>1887</v>
      </c>
      <c r="F5939" s="1031">
        <v>0</v>
      </c>
      <c r="G5939" s="1031">
        <v>263964.26</v>
      </c>
      <c r="H5939" s="1031">
        <v>263964.26</v>
      </c>
      <c r="I5939" s="1032" t="s">
        <v>1888</v>
      </c>
    </row>
    <row r="5940" spans="1:9" x14ac:dyDescent="0.25">
      <c r="A5940" s="1033"/>
      <c r="C5940" s="130" t="s">
        <v>1885</v>
      </c>
      <c r="D5940" s="130">
        <v>16</v>
      </c>
      <c r="E5940" s="130" t="s">
        <v>1885</v>
      </c>
      <c r="F5940" s="1031">
        <v>0</v>
      </c>
      <c r="G5940" s="1031">
        <v>-267800</v>
      </c>
      <c r="H5940" s="1031">
        <v>-267800</v>
      </c>
      <c r="I5940" s="1032" t="s">
        <v>1886</v>
      </c>
    </row>
    <row r="5941" spans="1:9" x14ac:dyDescent="0.25">
      <c r="A5941" s="1033"/>
      <c r="C5941" s="130">
        <v>451</v>
      </c>
      <c r="D5941" s="130">
        <v>16</v>
      </c>
      <c r="E5941" s="130">
        <v>451</v>
      </c>
      <c r="F5941" s="1031">
        <v>0</v>
      </c>
      <c r="G5941" s="1031">
        <v>-798</v>
      </c>
      <c r="H5941" s="1031">
        <v>-798</v>
      </c>
      <c r="I5941" s="1032" t="s">
        <v>1889</v>
      </c>
    </row>
    <row r="5942" spans="1:9" x14ac:dyDescent="0.25">
      <c r="A5942" s="1033"/>
      <c r="C5942" s="130">
        <v>453</v>
      </c>
      <c r="D5942" s="130">
        <v>16</v>
      </c>
      <c r="E5942" s="130">
        <v>453</v>
      </c>
      <c r="F5942" s="1031">
        <v>0</v>
      </c>
      <c r="G5942" s="1031">
        <v>-675</v>
      </c>
      <c r="H5942" s="1031">
        <v>-675</v>
      </c>
      <c r="I5942" s="1032" t="s">
        <v>1890</v>
      </c>
    </row>
    <row r="5943" spans="1:9" x14ac:dyDescent="0.25">
      <c r="A5943" s="1033"/>
      <c r="C5943" s="130">
        <v>651</v>
      </c>
      <c r="D5943" s="130">
        <v>16</v>
      </c>
      <c r="E5943" s="130">
        <v>651</v>
      </c>
      <c r="F5943" s="1031">
        <v>0</v>
      </c>
      <c r="G5943" s="1031">
        <v>140</v>
      </c>
      <c r="H5943" s="1031">
        <v>140</v>
      </c>
      <c r="I5943" s="1032" t="s">
        <v>1891</v>
      </c>
    </row>
    <row r="5944" spans="1:9" x14ac:dyDescent="0.25">
      <c r="A5944" s="1033">
        <v>200104</v>
      </c>
      <c r="B5944" s="129">
        <v>2334107</v>
      </c>
      <c r="E5944" s="130"/>
    </row>
    <row r="5945" spans="1:9" x14ac:dyDescent="0.25">
      <c r="A5945" s="1033">
        <v>200108</v>
      </c>
      <c r="B5945" s="129">
        <v>2334107</v>
      </c>
      <c r="E5945" s="130"/>
    </row>
    <row r="5946" spans="1:9" x14ac:dyDescent="0.25">
      <c r="A5946" s="1033">
        <v>200204</v>
      </c>
      <c r="B5946" s="129">
        <v>284197</v>
      </c>
      <c r="E5946" s="130"/>
    </row>
    <row r="5947" spans="1:9" x14ac:dyDescent="0.25">
      <c r="A5947" s="1033">
        <v>200206</v>
      </c>
      <c r="B5947" s="129">
        <v>122</v>
      </c>
      <c r="E5947" s="130"/>
    </row>
    <row r="5948" spans="1:9" x14ac:dyDescent="0.25">
      <c r="A5948" s="1033">
        <v>200208</v>
      </c>
      <c r="B5948" s="129">
        <v>284197</v>
      </c>
      <c r="E5948" s="130"/>
    </row>
    <row r="5949" spans="1:9" x14ac:dyDescent="0.25">
      <c r="A5949" s="1033">
        <v>200210</v>
      </c>
      <c r="B5949" s="129">
        <v>122</v>
      </c>
      <c r="E5949" s="130"/>
    </row>
    <row r="5950" spans="1:9" x14ac:dyDescent="0.25">
      <c r="A5950" s="1033">
        <v>200404</v>
      </c>
      <c r="B5950" s="129">
        <v>19573</v>
      </c>
      <c r="E5950" s="130"/>
    </row>
    <row r="5951" spans="1:9" x14ac:dyDescent="0.25">
      <c r="A5951" s="1033">
        <v>200406</v>
      </c>
      <c r="B5951" s="129">
        <v>69</v>
      </c>
      <c r="E5951" s="130"/>
    </row>
    <row r="5952" spans="1:9" x14ac:dyDescent="0.25">
      <c r="A5952" s="1033">
        <v>200408</v>
      </c>
      <c r="B5952" s="129">
        <v>19573</v>
      </c>
      <c r="E5952" s="130"/>
    </row>
    <row r="5953" spans="1:5" x14ac:dyDescent="0.25">
      <c r="A5953" s="1033">
        <v>200410</v>
      </c>
      <c r="B5953" s="129">
        <v>69</v>
      </c>
      <c r="E5953" s="130"/>
    </row>
    <row r="5954" spans="1:5" x14ac:dyDescent="0.25">
      <c r="A5954" s="1033">
        <v>200504</v>
      </c>
      <c r="B5954" s="129">
        <v>8200</v>
      </c>
      <c r="E5954" s="130"/>
    </row>
    <row r="5955" spans="1:5" x14ac:dyDescent="0.25">
      <c r="A5955" s="1033">
        <v>200506</v>
      </c>
      <c r="B5955" s="129">
        <v>29</v>
      </c>
      <c r="E5955" s="130"/>
    </row>
    <row r="5956" spans="1:5" x14ac:dyDescent="0.25">
      <c r="A5956" s="1033">
        <v>200508</v>
      </c>
      <c r="B5956" s="129">
        <v>8200</v>
      </c>
      <c r="E5956" s="130"/>
    </row>
    <row r="5957" spans="1:5" x14ac:dyDescent="0.25">
      <c r="A5957" s="1033">
        <v>200510</v>
      </c>
      <c r="B5957" s="129">
        <v>29</v>
      </c>
      <c r="E5957" s="130"/>
    </row>
    <row r="5958" spans="1:5" x14ac:dyDescent="0.25">
      <c r="A5958" s="1033">
        <v>200604</v>
      </c>
      <c r="B5958" s="129">
        <v>4406</v>
      </c>
      <c r="E5958" s="130"/>
    </row>
    <row r="5959" spans="1:5" x14ac:dyDescent="0.25">
      <c r="A5959" s="1033">
        <v>200606</v>
      </c>
      <c r="B5959" s="129">
        <v>16</v>
      </c>
      <c r="E5959" s="130"/>
    </row>
    <row r="5960" spans="1:5" x14ac:dyDescent="0.25">
      <c r="A5960" s="1033">
        <v>200608</v>
      </c>
      <c r="B5960" s="129">
        <v>4406</v>
      </c>
      <c r="E5960" s="130"/>
    </row>
    <row r="5961" spans="1:5" x14ac:dyDescent="0.25">
      <c r="A5961" s="1033">
        <v>200610</v>
      </c>
      <c r="B5961" s="129">
        <v>16</v>
      </c>
      <c r="E5961" s="130"/>
    </row>
    <row r="5962" spans="1:5" x14ac:dyDescent="0.25">
      <c r="A5962" s="1033">
        <v>200704</v>
      </c>
      <c r="B5962" s="129">
        <v>27482</v>
      </c>
      <c r="E5962" s="130"/>
    </row>
    <row r="5963" spans="1:5" x14ac:dyDescent="0.25">
      <c r="A5963" s="1033">
        <v>200706</v>
      </c>
      <c r="B5963" s="129">
        <v>97</v>
      </c>
      <c r="E5963" s="130"/>
    </row>
    <row r="5964" spans="1:5" x14ac:dyDescent="0.25">
      <c r="A5964" s="1033">
        <v>200708</v>
      </c>
      <c r="B5964" s="129">
        <v>27482</v>
      </c>
      <c r="E5964" s="130"/>
    </row>
    <row r="5965" spans="1:5" x14ac:dyDescent="0.25">
      <c r="A5965" s="1033">
        <v>200710</v>
      </c>
      <c r="B5965" s="129">
        <v>97</v>
      </c>
      <c r="E5965" s="130"/>
    </row>
    <row r="5966" spans="1:5" x14ac:dyDescent="0.25">
      <c r="A5966" s="1033">
        <v>200804</v>
      </c>
      <c r="B5966" s="129">
        <v>-1845</v>
      </c>
      <c r="E5966" s="130"/>
    </row>
    <row r="5967" spans="1:5" x14ac:dyDescent="0.25">
      <c r="A5967" s="1033">
        <v>200806</v>
      </c>
      <c r="B5967" s="129">
        <v>-6</v>
      </c>
      <c r="E5967" s="130"/>
    </row>
    <row r="5968" spans="1:5" x14ac:dyDescent="0.25">
      <c r="A5968" s="1033">
        <v>200808</v>
      </c>
      <c r="B5968" s="129">
        <v>-1845</v>
      </c>
      <c r="E5968" s="130"/>
    </row>
    <row r="5969" spans="1:5" x14ac:dyDescent="0.25">
      <c r="A5969" s="1033">
        <v>200810</v>
      </c>
      <c r="B5969" s="129">
        <v>-6</v>
      </c>
      <c r="E5969" s="130"/>
    </row>
    <row r="5970" spans="1:5" x14ac:dyDescent="0.25">
      <c r="A5970" s="1033">
        <v>200904</v>
      </c>
      <c r="B5970" s="129">
        <v>2400</v>
      </c>
      <c r="E5970" s="130"/>
    </row>
    <row r="5971" spans="1:5" x14ac:dyDescent="0.25">
      <c r="A5971" s="1033">
        <v>200906</v>
      </c>
      <c r="B5971" s="129">
        <v>8</v>
      </c>
      <c r="E5971" s="130"/>
    </row>
    <row r="5972" spans="1:5" x14ac:dyDescent="0.25">
      <c r="A5972" s="1033">
        <v>200908</v>
      </c>
      <c r="B5972" s="129">
        <v>2400</v>
      </c>
      <c r="E5972" s="130"/>
    </row>
    <row r="5973" spans="1:5" x14ac:dyDescent="0.25">
      <c r="A5973" s="1033">
        <v>200910</v>
      </c>
      <c r="B5973" s="129">
        <v>8</v>
      </c>
      <c r="E5973" s="130"/>
    </row>
    <row r="5974" spans="1:5" x14ac:dyDescent="0.25">
      <c r="A5974" s="1033">
        <v>201004</v>
      </c>
      <c r="B5974" s="129">
        <v>25200</v>
      </c>
      <c r="E5974" s="130"/>
    </row>
    <row r="5975" spans="1:5" x14ac:dyDescent="0.25">
      <c r="A5975" s="1033">
        <v>201006</v>
      </c>
      <c r="B5975" s="129">
        <v>89</v>
      </c>
      <c r="E5975" s="130"/>
    </row>
    <row r="5976" spans="1:5" x14ac:dyDescent="0.25">
      <c r="A5976" s="1033">
        <v>201008</v>
      </c>
      <c r="B5976" s="129">
        <v>25200</v>
      </c>
      <c r="E5976" s="130"/>
    </row>
    <row r="5977" spans="1:5" x14ac:dyDescent="0.25">
      <c r="A5977" s="1033">
        <v>201010</v>
      </c>
      <c r="B5977" s="129">
        <v>89</v>
      </c>
      <c r="E5977" s="130"/>
    </row>
    <row r="5978" spans="1:5" x14ac:dyDescent="0.25">
      <c r="A5978" s="1033">
        <v>201104</v>
      </c>
      <c r="B5978" s="129">
        <v>0</v>
      </c>
      <c r="E5978" s="130"/>
    </row>
    <row r="5979" spans="1:5" x14ac:dyDescent="0.25">
      <c r="A5979" s="1033">
        <v>201106</v>
      </c>
      <c r="B5979" s="129">
        <v>0</v>
      </c>
      <c r="E5979" s="130"/>
    </row>
    <row r="5980" spans="1:5" x14ac:dyDescent="0.25">
      <c r="A5980" s="1033">
        <v>201108</v>
      </c>
      <c r="B5980" s="129">
        <v>0</v>
      </c>
      <c r="E5980" s="130"/>
    </row>
    <row r="5981" spans="1:5" x14ac:dyDescent="0.25">
      <c r="A5981" s="1033">
        <v>201110</v>
      </c>
      <c r="B5981" s="129">
        <v>0</v>
      </c>
      <c r="E5981" s="130"/>
    </row>
    <row r="5982" spans="1:5" x14ac:dyDescent="0.25">
      <c r="A5982" s="1033">
        <v>201204</v>
      </c>
      <c r="B5982" s="129">
        <v>80616</v>
      </c>
      <c r="E5982" s="130"/>
    </row>
    <row r="5983" spans="1:5" x14ac:dyDescent="0.25">
      <c r="A5983" s="1033">
        <v>201206</v>
      </c>
      <c r="B5983" s="129">
        <v>284</v>
      </c>
      <c r="E5983" s="130"/>
    </row>
    <row r="5984" spans="1:5" x14ac:dyDescent="0.25">
      <c r="A5984" s="1033">
        <v>201208</v>
      </c>
      <c r="B5984" s="129">
        <v>80616</v>
      </c>
      <c r="E5984" s="130"/>
    </row>
    <row r="5985" spans="1:5" x14ac:dyDescent="0.25">
      <c r="A5985" s="1033">
        <v>201210</v>
      </c>
      <c r="B5985" s="129">
        <v>284</v>
      </c>
      <c r="E5985" s="130"/>
    </row>
    <row r="5986" spans="1:5" x14ac:dyDescent="0.25">
      <c r="A5986" s="1033">
        <v>201304</v>
      </c>
      <c r="B5986" s="129">
        <v>14940</v>
      </c>
      <c r="E5986" s="130"/>
    </row>
    <row r="5987" spans="1:5" x14ac:dyDescent="0.25">
      <c r="A5987" s="1033">
        <v>201306</v>
      </c>
      <c r="B5987" s="129">
        <v>53</v>
      </c>
      <c r="E5987" s="130"/>
    </row>
    <row r="5988" spans="1:5" x14ac:dyDescent="0.25">
      <c r="A5988" s="1033">
        <v>201308</v>
      </c>
      <c r="B5988" s="129">
        <v>14940</v>
      </c>
      <c r="E5988" s="130"/>
    </row>
    <row r="5989" spans="1:5" x14ac:dyDescent="0.25">
      <c r="A5989" s="1033">
        <v>201310</v>
      </c>
      <c r="B5989" s="129">
        <v>53</v>
      </c>
      <c r="E5989" s="130"/>
    </row>
    <row r="5990" spans="1:5" x14ac:dyDescent="0.25">
      <c r="A5990" s="1033">
        <v>201404</v>
      </c>
      <c r="B5990" s="129">
        <v>33673</v>
      </c>
      <c r="E5990" s="130"/>
    </row>
    <row r="5991" spans="1:5" x14ac:dyDescent="0.25">
      <c r="A5991" s="1033">
        <v>201406</v>
      </c>
      <c r="B5991" s="129">
        <v>118</v>
      </c>
      <c r="E5991" s="130"/>
    </row>
    <row r="5992" spans="1:5" x14ac:dyDescent="0.25">
      <c r="A5992" s="1033">
        <v>201408</v>
      </c>
      <c r="B5992" s="129">
        <v>33673</v>
      </c>
      <c r="E5992" s="130"/>
    </row>
    <row r="5993" spans="1:5" x14ac:dyDescent="0.25">
      <c r="A5993" s="1033">
        <v>201410</v>
      </c>
      <c r="B5993" s="129">
        <v>118</v>
      </c>
      <c r="E5993" s="130"/>
    </row>
    <row r="5994" spans="1:5" x14ac:dyDescent="0.25">
      <c r="A5994" s="1033">
        <v>201504</v>
      </c>
      <c r="B5994" s="129">
        <v>23131</v>
      </c>
      <c r="E5994" s="130"/>
    </row>
    <row r="5995" spans="1:5" x14ac:dyDescent="0.25">
      <c r="A5995" s="1033">
        <v>201506</v>
      </c>
      <c r="B5995" s="129">
        <v>81</v>
      </c>
      <c r="E5995" s="130"/>
    </row>
    <row r="5996" spans="1:5" x14ac:dyDescent="0.25">
      <c r="A5996" s="1033">
        <v>201508</v>
      </c>
      <c r="B5996" s="129">
        <v>23131</v>
      </c>
      <c r="E5996" s="130"/>
    </row>
    <row r="5997" spans="1:5" x14ac:dyDescent="0.25">
      <c r="A5997" s="1033">
        <v>201510</v>
      </c>
      <c r="B5997" s="129">
        <v>81</v>
      </c>
      <c r="E5997" s="130"/>
    </row>
    <row r="5998" spans="1:5" x14ac:dyDescent="0.25">
      <c r="A5998" s="1033">
        <v>201604</v>
      </c>
      <c r="B5998" s="129">
        <v>10355</v>
      </c>
      <c r="E5998" s="130"/>
    </row>
    <row r="5999" spans="1:5" x14ac:dyDescent="0.25">
      <c r="A5999" s="1033">
        <v>201606</v>
      </c>
      <c r="B5999" s="129">
        <v>36</v>
      </c>
      <c r="E5999" s="130"/>
    </row>
    <row r="6000" spans="1:5" x14ac:dyDescent="0.25">
      <c r="A6000" s="1033">
        <v>201608</v>
      </c>
      <c r="B6000" s="129">
        <v>10355</v>
      </c>
      <c r="E6000" s="130"/>
    </row>
    <row r="6001" spans="1:5" x14ac:dyDescent="0.25">
      <c r="A6001" s="1033">
        <v>201610</v>
      </c>
      <c r="B6001" s="129">
        <v>36</v>
      </c>
      <c r="E6001" s="130"/>
    </row>
    <row r="6002" spans="1:5" x14ac:dyDescent="0.25">
      <c r="A6002" s="1033">
        <v>201704</v>
      </c>
      <c r="B6002" s="129">
        <v>20389</v>
      </c>
      <c r="E6002" s="130"/>
    </row>
    <row r="6003" spans="1:5" x14ac:dyDescent="0.25">
      <c r="A6003" s="1033">
        <v>201706</v>
      </c>
      <c r="B6003" s="129">
        <v>72</v>
      </c>
      <c r="E6003" s="130"/>
    </row>
    <row r="6004" spans="1:5" x14ac:dyDescent="0.25">
      <c r="A6004" s="1033">
        <v>201708</v>
      </c>
      <c r="B6004" s="129">
        <v>20389</v>
      </c>
      <c r="E6004" s="130"/>
    </row>
    <row r="6005" spans="1:5" x14ac:dyDescent="0.25">
      <c r="A6005" s="1033">
        <v>201710</v>
      </c>
      <c r="B6005" s="129">
        <v>72</v>
      </c>
      <c r="E6005" s="130"/>
    </row>
    <row r="6006" spans="1:5" x14ac:dyDescent="0.25">
      <c r="A6006" s="1033">
        <v>201804</v>
      </c>
      <c r="B6006" s="129">
        <v>32785</v>
      </c>
      <c r="E6006" s="130"/>
    </row>
    <row r="6007" spans="1:5" x14ac:dyDescent="0.25">
      <c r="A6007" s="1033">
        <v>201806</v>
      </c>
      <c r="B6007" s="129">
        <v>115</v>
      </c>
      <c r="E6007" s="130"/>
    </row>
    <row r="6008" spans="1:5" x14ac:dyDescent="0.25">
      <c r="A6008" s="1033">
        <v>201808</v>
      </c>
      <c r="B6008" s="129">
        <v>32785</v>
      </c>
      <c r="E6008" s="130"/>
    </row>
    <row r="6009" spans="1:5" x14ac:dyDescent="0.25">
      <c r="A6009" s="1033">
        <v>201810</v>
      </c>
      <c r="B6009" s="129">
        <v>115</v>
      </c>
      <c r="E6009" s="130"/>
    </row>
    <row r="6010" spans="1:5" x14ac:dyDescent="0.25">
      <c r="A6010" s="1033">
        <v>201904</v>
      </c>
      <c r="B6010" s="129">
        <v>35169</v>
      </c>
      <c r="E6010" s="130"/>
    </row>
    <row r="6011" spans="1:5" x14ac:dyDescent="0.25">
      <c r="A6011" s="1033">
        <v>201906</v>
      </c>
      <c r="B6011" s="129">
        <v>124</v>
      </c>
      <c r="E6011" s="130"/>
    </row>
    <row r="6012" spans="1:5" x14ac:dyDescent="0.25">
      <c r="A6012" s="1033">
        <v>201908</v>
      </c>
      <c r="B6012" s="129">
        <v>35169</v>
      </c>
      <c r="E6012" s="130"/>
    </row>
    <row r="6013" spans="1:5" x14ac:dyDescent="0.25">
      <c r="A6013" s="1033">
        <v>201910</v>
      </c>
      <c r="B6013" s="129">
        <v>124</v>
      </c>
      <c r="E6013" s="130"/>
    </row>
    <row r="6014" spans="1:5" x14ac:dyDescent="0.25">
      <c r="A6014" s="1033">
        <v>202004</v>
      </c>
      <c r="B6014" s="129">
        <v>15788</v>
      </c>
      <c r="E6014" s="130"/>
    </row>
    <row r="6015" spans="1:5" x14ac:dyDescent="0.25">
      <c r="A6015" s="1033">
        <v>202006</v>
      </c>
      <c r="B6015" s="129">
        <v>56</v>
      </c>
      <c r="E6015" s="130"/>
    </row>
    <row r="6016" spans="1:5" x14ac:dyDescent="0.25">
      <c r="A6016" s="1033">
        <v>202008</v>
      </c>
      <c r="B6016" s="129">
        <v>15788</v>
      </c>
      <c r="E6016" s="130"/>
    </row>
    <row r="6017" spans="1:5" x14ac:dyDescent="0.25">
      <c r="A6017" s="1033">
        <v>202010</v>
      </c>
      <c r="B6017" s="129">
        <v>56</v>
      </c>
      <c r="E6017" s="130"/>
    </row>
    <row r="6018" spans="1:5" x14ac:dyDescent="0.25">
      <c r="A6018" s="1033">
        <v>202104</v>
      </c>
      <c r="B6018" s="129">
        <v>5006</v>
      </c>
      <c r="E6018" s="130"/>
    </row>
    <row r="6019" spans="1:5" x14ac:dyDescent="0.25">
      <c r="A6019" s="1033">
        <v>202106</v>
      </c>
      <c r="B6019" s="129">
        <v>18</v>
      </c>
      <c r="E6019" s="130"/>
    </row>
    <row r="6020" spans="1:5" x14ac:dyDescent="0.25">
      <c r="A6020" s="1033">
        <v>202108</v>
      </c>
      <c r="B6020" s="129">
        <v>5006</v>
      </c>
      <c r="E6020" s="130"/>
    </row>
    <row r="6021" spans="1:5" x14ac:dyDescent="0.25">
      <c r="A6021" s="1033">
        <v>202110</v>
      </c>
      <c r="B6021" s="129">
        <v>18</v>
      </c>
      <c r="E6021" s="130"/>
    </row>
    <row r="6022" spans="1:5" x14ac:dyDescent="0.25">
      <c r="A6022" s="1033">
        <v>202204</v>
      </c>
      <c r="B6022" s="129">
        <v>0</v>
      </c>
      <c r="E6022" s="130"/>
    </row>
    <row r="6023" spans="1:5" x14ac:dyDescent="0.25">
      <c r="A6023" s="1033">
        <v>202206</v>
      </c>
      <c r="B6023" s="129">
        <v>0</v>
      </c>
      <c r="E6023" s="130"/>
    </row>
    <row r="6024" spans="1:5" x14ac:dyDescent="0.25">
      <c r="A6024" s="1033">
        <v>202208</v>
      </c>
      <c r="B6024" s="129">
        <v>0</v>
      </c>
      <c r="E6024" s="130"/>
    </row>
    <row r="6025" spans="1:5" x14ac:dyDescent="0.25">
      <c r="A6025" s="1033">
        <v>202210</v>
      </c>
      <c r="B6025" s="129">
        <v>0</v>
      </c>
      <c r="E6025" s="130"/>
    </row>
    <row r="6026" spans="1:5" x14ac:dyDescent="0.25">
      <c r="A6026" s="1033">
        <v>202304</v>
      </c>
      <c r="B6026" s="129">
        <v>191236</v>
      </c>
      <c r="E6026" s="130"/>
    </row>
    <row r="6027" spans="1:5" x14ac:dyDescent="0.25">
      <c r="A6027" s="1033">
        <v>202306</v>
      </c>
      <c r="B6027" s="129">
        <v>673</v>
      </c>
      <c r="E6027" s="130"/>
    </row>
    <row r="6028" spans="1:5" x14ac:dyDescent="0.25">
      <c r="A6028" s="1033">
        <v>202308</v>
      </c>
      <c r="B6028" s="129">
        <v>191236</v>
      </c>
      <c r="E6028" s="130"/>
    </row>
    <row r="6029" spans="1:5" x14ac:dyDescent="0.25">
      <c r="A6029" s="1033">
        <v>202310</v>
      </c>
      <c r="B6029" s="129">
        <v>673</v>
      </c>
      <c r="E6029" s="130"/>
    </row>
    <row r="6030" spans="1:5" x14ac:dyDescent="0.25">
      <c r="A6030" s="1033">
        <v>202504</v>
      </c>
      <c r="B6030" s="129">
        <v>1898</v>
      </c>
      <c r="E6030" s="130"/>
    </row>
    <row r="6031" spans="1:5" x14ac:dyDescent="0.25">
      <c r="A6031" s="1033">
        <v>202506</v>
      </c>
      <c r="B6031" s="129">
        <v>7</v>
      </c>
      <c r="E6031" s="130"/>
    </row>
    <row r="6032" spans="1:5" x14ac:dyDescent="0.25">
      <c r="A6032" s="1033">
        <v>202508</v>
      </c>
      <c r="B6032" s="129">
        <v>1898</v>
      </c>
      <c r="E6032" s="130"/>
    </row>
    <row r="6033" spans="1:5" x14ac:dyDescent="0.25">
      <c r="A6033" s="1033">
        <v>202510</v>
      </c>
      <c r="B6033" s="129">
        <v>7</v>
      </c>
      <c r="E6033" s="130"/>
    </row>
    <row r="6034" spans="1:5" x14ac:dyDescent="0.25">
      <c r="A6034" s="1033">
        <v>202604</v>
      </c>
      <c r="B6034" s="129">
        <v>10344</v>
      </c>
      <c r="E6034" s="130"/>
    </row>
    <row r="6035" spans="1:5" x14ac:dyDescent="0.25">
      <c r="A6035" s="1033">
        <v>202606</v>
      </c>
      <c r="B6035" s="129">
        <v>36</v>
      </c>
      <c r="E6035" s="130"/>
    </row>
    <row r="6036" spans="1:5" x14ac:dyDescent="0.25">
      <c r="A6036" s="1033">
        <v>202608</v>
      </c>
      <c r="B6036" s="129">
        <v>10344</v>
      </c>
      <c r="E6036" s="130"/>
    </row>
    <row r="6037" spans="1:5" x14ac:dyDescent="0.25">
      <c r="A6037" s="1033">
        <v>202610</v>
      </c>
      <c r="B6037" s="129">
        <v>36</v>
      </c>
      <c r="E6037" s="130"/>
    </row>
    <row r="6038" spans="1:5" x14ac:dyDescent="0.25">
      <c r="A6038" s="1033">
        <v>202704</v>
      </c>
      <c r="B6038" s="129">
        <v>1196</v>
      </c>
      <c r="E6038" s="130"/>
    </row>
    <row r="6039" spans="1:5" x14ac:dyDescent="0.25">
      <c r="A6039" s="1033">
        <v>202706</v>
      </c>
      <c r="B6039" s="129">
        <v>4</v>
      </c>
      <c r="E6039" s="130"/>
    </row>
    <row r="6040" spans="1:5" x14ac:dyDescent="0.25">
      <c r="A6040" s="1033">
        <v>202708</v>
      </c>
      <c r="B6040" s="129">
        <v>1196</v>
      </c>
      <c r="E6040" s="130"/>
    </row>
    <row r="6041" spans="1:5" x14ac:dyDescent="0.25">
      <c r="A6041" s="1033">
        <v>202710</v>
      </c>
      <c r="B6041" s="129">
        <v>4</v>
      </c>
      <c r="E6041" s="130"/>
    </row>
    <row r="6042" spans="1:5" x14ac:dyDescent="0.25">
      <c r="A6042" s="1033">
        <v>202804</v>
      </c>
      <c r="B6042" s="129">
        <v>1035</v>
      </c>
      <c r="E6042" s="130"/>
    </row>
    <row r="6043" spans="1:5" x14ac:dyDescent="0.25">
      <c r="A6043" s="1033">
        <v>202806</v>
      </c>
      <c r="B6043" s="129">
        <v>4</v>
      </c>
      <c r="E6043" s="130"/>
    </row>
    <row r="6044" spans="1:5" x14ac:dyDescent="0.25">
      <c r="A6044" s="1033">
        <v>202808</v>
      </c>
      <c r="B6044" s="129">
        <v>1035</v>
      </c>
      <c r="E6044" s="130"/>
    </row>
    <row r="6045" spans="1:5" x14ac:dyDescent="0.25">
      <c r="A6045" s="1033">
        <v>202810</v>
      </c>
      <c r="B6045" s="129">
        <v>4</v>
      </c>
      <c r="E6045" s="130"/>
    </row>
    <row r="6046" spans="1:5" x14ac:dyDescent="0.25">
      <c r="A6046" s="1033">
        <v>202904</v>
      </c>
      <c r="B6046" s="129">
        <v>552</v>
      </c>
      <c r="E6046" s="130"/>
    </row>
    <row r="6047" spans="1:5" x14ac:dyDescent="0.25">
      <c r="A6047" s="1033">
        <v>202906</v>
      </c>
      <c r="B6047" s="129">
        <v>2</v>
      </c>
      <c r="E6047" s="130"/>
    </row>
    <row r="6048" spans="1:5" x14ac:dyDescent="0.25">
      <c r="A6048" s="1033">
        <v>202908</v>
      </c>
      <c r="B6048" s="129">
        <v>552</v>
      </c>
      <c r="E6048" s="130"/>
    </row>
    <row r="6049" spans="1:5" x14ac:dyDescent="0.25">
      <c r="A6049" s="1033">
        <v>202910</v>
      </c>
      <c r="B6049" s="129">
        <v>2</v>
      </c>
      <c r="E6049" s="130"/>
    </row>
    <row r="6050" spans="1:5" x14ac:dyDescent="0.25">
      <c r="A6050" s="1033">
        <v>203004</v>
      </c>
      <c r="B6050" s="129">
        <v>0</v>
      </c>
      <c r="E6050" s="130"/>
    </row>
    <row r="6051" spans="1:5" x14ac:dyDescent="0.25">
      <c r="A6051" s="1033">
        <v>203006</v>
      </c>
      <c r="B6051" s="129">
        <v>0</v>
      </c>
      <c r="E6051" s="130"/>
    </row>
    <row r="6052" spans="1:5" x14ac:dyDescent="0.25">
      <c r="A6052" s="1033">
        <v>203008</v>
      </c>
      <c r="B6052" s="129">
        <v>0</v>
      </c>
      <c r="E6052" s="130"/>
    </row>
    <row r="6053" spans="1:5" x14ac:dyDescent="0.25">
      <c r="A6053" s="1033">
        <v>203010</v>
      </c>
      <c r="B6053" s="129">
        <v>0</v>
      </c>
      <c r="E6053" s="130"/>
    </row>
    <row r="6054" spans="1:5" x14ac:dyDescent="0.25">
      <c r="A6054" s="1033">
        <v>203104</v>
      </c>
      <c r="B6054" s="129">
        <v>1811</v>
      </c>
      <c r="E6054" s="130"/>
    </row>
    <row r="6055" spans="1:5" x14ac:dyDescent="0.25">
      <c r="A6055" s="1033">
        <v>203106</v>
      </c>
      <c r="B6055" s="129">
        <v>6</v>
      </c>
      <c r="E6055" s="130"/>
    </row>
    <row r="6056" spans="1:5" x14ac:dyDescent="0.25">
      <c r="A6056" s="1033">
        <v>203108</v>
      </c>
      <c r="B6056" s="129">
        <v>1811</v>
      </c>
      <c r="E6056" s="130"/>
    </row>
    <row r="6057" spans="1:5" x14ac:dyDescent="0.25">
      <c r="A6057" s="1033">
        <v>203110</v>
      </c>
      <c r="B6057" s="129">
        <v>6</v>
      </c>
      <c r="E6057" s="130"/>
    </row>
    <row r="6058" spans="1:5" x14ac:dyDescent="0.25">
      <c r="A6058" s="1033">
        <v>203204</v>
      </c>
      <c r="B6058" s="129">
        <v>13937</v>
      </c>
      <c r="E6058" s="130"/>
    </row>
    <row r="6059" spans="1:5" x14ac:dyDescent="0.25">
      <c r="A6059" s="1033">
        <v>203206</v>
      </c>
      <c r="B6059" s="129">
        <v>49</v>
      </c>
      <c r="E6059" s="130"/>
    </row>
    <row r="6060" spans="1:5" x14ac:dyDescent="0.25">
      <c r="A6060" s="1033">
        <v>203208</v>
      </c>
      <c r="B6060" s="129">
        <v>13937</v>
      </c>
      <c r="E6060" s="130"/>
    </row>
    <row r="6061" spans="1:5" x14ac:dyDescent="0.25">
      <c r="A6061" s="1033">
        <v>203210</v>
      </c>
      <c r="B6061" s="129">
        <v>49</v>
      </c>
      <c r="E6061" s="130"/>
    </row>
    <row r="6062" spans="1:5" x14ac:dyDescent="0.25">
      <c r="A6062" s="1033">
        <v>203304</v>
      </c>
      <c r="B6062" s="129">
        <v>10687</v>
      </c>
      <c r="E6062" s="130"/>
    </row>
    <row r="6063" spans="1:5" x14ac:dyDescent="0.25">
      <c r="A6063" s="1033">
        <v>203306</v>
      </c>
      <c r="B6063" s="129">
        <v>38</v>
      </c>
      <c r="E6063" s="130"/>
    </row>
    <row r="6064" spans="1:5" x14ac:dyDescent="0.25">
      <c r="A6064" s="1033">
        <v>203308</v>
      </c>
      <c r="B6064" s="129">
        <v>10687</v>
      </c>
      <c r="E6064" s="130"/>
    </row>
    <row r="6065" spans="1:5" x14ac:dyDescent="0.25">
      <c r="A6065" s="1033">
        <v>203310</v>
      </c>
      <c r="B6065" s="129">
        <v>38</v>
      </c>
      <c r="E6065" s="130"/>
    </row>
    <row r="6066" spans="1:5" x14ac:dyDescent="0.25">
      <c r="A6066" s="1033">
        <v>203404</v>
      </c>
      <c r="B6066" s="129">
        <v>1583</v>
      </c>
      <c r="E6066" s="130"/>
    </row>
    <row r="6067" spans="1:5" x14ac:dyDescent="0.25">
      <c r="A6067" s="1033">
        <v>203406</v>
      </c>
      <c r="B6067" s="129">
        <v>6</v>
      </c>
      <c r="E6067" s="130"/>
    </row>
    <row r="6068" spans="1:5" x14ac:dyDescent="0.25">
      <c r="A6068" s="1033">
        <v>203408</v>
      </c>
      <c r="B6068" s="129">
        <v>1583</v>
      </c>
      <c r="E6068" s="130"/>
    </row>
    <row r="6069" spans="1:5" x14ac:dyDescent="0.25">
      <c r="A6069" s="1033">
        <v>203410</v>
      </c>
      <c r="B6069" s="129">
        <v>6</v>
      </c>
      <c r="E6069" s="130"/>
    </row>
    <row r="6070" spans="1:5" x14ac:dyDescent="0.25">
      <c r="A6070" s="1033">
        <v>203504</v>
      </c>
      <c r="B6070" s="129">
        <v>353</v>
      </c>
      <c r="E6070" s="130"/>
    </row>
    <row r="6071" spans="1:5" x14ac:dyDescent="0.25">
      <c r="A6071" s="1033">
        <v>203506</v>
      </c>
      <c r="B6071" s="129">
        <v>1</v>
      </c>
      <c r="E6071" s="130"/>
    </row>
    <row r="6072" spans="1:5" x14ac:dyDescent="0.25">
      <c r="A6072" s="1033">
        <v>203508</v>
      </c>
      <c r="B6072" s="129">
        <v>353</v>
      </c>
      <c r="E6072" s="130"/>
    </row>
    <row r="6073" spans="1:5" x14ac:dyDescent="0.25">
      <c r="A6073" s="1033">
        <v>203510</v>
      </c>
      <c r="B6073" s="129">
        <v>1</v>
      </c>
      <c r="E6073" s="130"/>
    </row>
    <row r="6074" spans="1:5" x14ac:dyDescent="0.25">
      <c r="A6074" s="1033">
        <v>203604</v>
      </c>
      <c r="B6074" s="129">
        <v>6307</v>
      </c>
      <c r="E6074" s="130"/>
    </row>
    <row r="6075" spans="1:5" x14ac:dyDescent="0.25">
      <c r="A6075" s="1033">
        <v>203606</v>
      </c>
      <c r="B6075" s="129">
        <v>22</v>
      </c>
      <c r="E6075" s="130"/>
    </row>
    <row r="6076" spans="1:5" x14ac:dyDescent="0.25">
      <c r="A6076" s="1033">
        <v>203608</v>
      </c>
      <c r="B6076" s="129">
        <v>6307</v>
      </c>
      <c r="E6076" s="130"/>
    </row>
    <row r="6077" spans="1:5" x14ac:dyDescent="0.25">
      <c r="A6077" s="1033">
        <v>203610</v>
      </c>
      <c r="B6077" s="129">
        <v>22</v>
      </c>
      <c r="E6077" s="130"/>
    </row>
    <row r="6078" spans="1:5" x14ac:dyDescent="0.25">
      <c r="A6078" s="1033">
        <v>203704</v>
      </c>
      <c r="B6078" s="129">
        <v>1235</v>
      </c>
      <c r="E6078" s="130"/>
    </row>
    <row r="6079" spans="1:5" x14ac:dyDescent="0.25">
      <c r="A6079" s="1033">
        <v>203706</v>
      </c>
      <c r="B6079" s="129">
        <v>4</v>
      </c>
      <c r="E6079" s="130"/>
    </row>
    <row r="6080" spans="1:5" x14ac:dyDescent="0.25">
      <c r="A6080" s="1033">
        <v>203708</v>
      </c>
      <c r="B6080" s="129">
        <v>1235</v>
      </c>
      <c r="E6080" s="130"/>
    </row>
    <row r="6081" spans="1:5" x14ac:dyDescent="0.25">
      <c r="A6081" s="1033">
        <v>203710</v>
      </c>
      <c r="B6081" s="129">
        <v>4</v>
      </c>
      <c r="E6081" s="130"/>
    </row>
    <row r="6082" spans="1:5" x14ac:dyDescent="0.25">
      <c r="A6082" s="1033">
        <v>203804</v>
      </c>
      <c r="B6082" s="129">
        <v>3421</v>
      </c>
      <c r="E6082" s="130"/>
    </row>
    <row r="6083" spans="1:5" x14ac:dyDescent="0.25">
      <c r="A6083" s="1033">
        <v>203806</v>
      </c>
      <c r="B6083" s="129">
        <v>12</v>
      </c>
      <c r="E6083" s="130"/>
    </row>
    <row r="6084" spans="1:5" x14ac:dyDescent="0.25">
      <c r="A6084" s="1033">
        <v>203808</v>
      </c>
      <c r="B6084" s="129">
        <v>3421</v>
      </c>
      <c r="E6084" s="130"/>
    </row>
    <row r="6085" spans="1:5" x14ac:dyDescent="0.25">
      <c r="A6085" s="1033">
        <v>203810</v>
      </c>
      <c r="B6085" s="129">
        <v>12</v>
      </c>
      <c r="E6085" s="130"/>
    </row>
    <row r="6086" spans="1:5" x14ac:dyDescent="0.25">
      <c r="A6086" s="1033">
        <v>203904</v>
      </c>
      <c r="B6086" s="129">
        <v>1163</v>
      </c>
      <c r="E6086" s="130"/>
    </row>
    <row r="6087" spans="1:5" x14ac:dyDescent="0.25">
      <c r="A6087" s="1033">
        <v>203906</v>
      </c>
      <c r="B6087" s="129">
        <v>4</v>
      </c>
      <c r="E6087" s="130"/>
    </row>
    <row r="6088" spans="1:5" x14ac:dyDescent="0.25">
      <c r="A6088" s="1033">
        <v>203908</v>
      </c>
      <c r="B6088" s="129">
        <v>1163</v>
      </c>
      <c r="E6088" s="130"/>
    </row>
    <row r="6089" spans="1:5" x14ac:dyDescent="0.25">
      <c r="A6089" s="1033">
        <v>203910</v>
      </c>
      <c r="B6089" s="129">
        <v>4</v>
      </c>
      <c r="E6089" s="130"/>
    </row>
    <row r="6090" spans="1:5" x14ac:dyDescent="0.25">
      <c r="A6090" s="1033">
        <v>204004</v>
      </c>
      <c r="B6090" s="129">
        <v>2084</v>
      </c>
      <c r="E6090" s="130"/>
    </row>
    <row r="6091" spans="1:5" x14ac:dyDescent="0.25">
      <c r="A6091" s="1033">
        <v>204006</v>
      </c>
      <c r="B6091" s="129">
        <v>7</v>
      </c>
      <c r="E6091" s="130"/>
    </row>
    <row r="6092" spans="1:5" x14ac:dyDescent="0.25">
      <c r="A6092" s="1033">
        <v>204008</v>
      </c>
      <c r="B6092" s="129">
        <v>2084</v>
      </c>
      <c r="E6092" s="130"/>
    </row>
    <row r="6093" spans="1:5" x14ac:dyDescent="0.25">
      <c r="A6093" s="1033">
        <v>204010</v>
      </c>
      <c r="B6093" s="129">
        <v>7</v>
      </c>
      <c r="E6093" s="130"/>
    </row>
    <row r="6094" spans="1:5" x14ac:dyDescent="0.25">
      <c r="A6094" s="1033">
        <v>204104</v>
      </c>
      <c r="B6094" s="129">
        <v>0</v>
      </c>
      <c r="E6094" s="130"/>
    </row>
    <row r="6095" spans="1:5" x14ac:dyDescent="0.25">
      <c r="A6095" s="1033">
        <v>204106</v>
      </c>
      <c r="B6095" s="129">
        <v>0</v>
      </c>
      <c r="E6095" s="130"/>
    </row>
    <row r="6096" spans="1:5" x14ac:dyDescent="0.25">
      <c r="A6096" s="1033">
        <v>204108</v>
      </c>
      <c r="B6096" s="129">
        <v>0</v>
      </c>
      <c r="E6096" s="130"/>
    </row>
    <row r="6097" spans="1:5" x14ac:dyDescent="0.25">
      <c r="A6097" s="1033">
        <v>204110</v>
      </c>
      <c r="B6097" s="129">
        <v>0</v>
      </c>
      <c r="E6097" s="130"/>
    </row>
    <row r="6098" spans="1:5" x14ac:dyDescent="0.25">
      <c r="A6098" s="1033">
        <v>204204</v>
      </c>
      <c r="B6098" s="129">
        <v>4358</v>
      </c>
      <c r="E6098" s="130"/>
    </row>
    <row r="6099" spans="1:5" x14ac:dyDescent="0.25">
      <c r="A6099" s="1033">
        <v>204206</v>
      </c>
      <c r="B6099" s="129">
        <v>15</v>
      </c>
      <c r="E6099" s="130"/>
    </row>
    <row r="6100" spans="1:5" x14ac:dyDescent="0.25">
      <c r="A6100" s="1033">
        <v>204208</v>
      </c>
      <c r="B6100" s="129">
        <v>4358</v>
      </c>
      <c r="E6100" s="130"/>
    </row>
    <row r="6101" spans="1:5" x14ac:dyDescent="0.25">
      <c r="A6101" s="1033">
        <v>204210</v>
      </c>
      <c r="B6101" s="129">
        <v>15</v>
      </c>
      <c r="E6101" s="130"/>
    </row>
    <row r="6102" spans="1:5" x14ac:dyDescent="0.25">
      <c r="A6102" s="1033">
        <v>204304</v>
      </c>
      <c r="B6102" s="129">
        <v>3222</v>
      </c>
      <c r="E6102" s="130"/>
    </row>
    <row r="6103" spans="1:5" x14ac:dyDescent="0.25">
      <c r="A6103" s="1033">
        <v>204306</v>
      </c>
      <c r="B6103" s="129">
        <v>11</v>
      </c>
      <c r="E6103" s="130"/>
    </row>
    <row r="6104" spans="1:5" x14ac:dyDescent="0.25">
      <c r="A6104" s="1033">
        <v>204308</v>
      </c>
      <c r="B6104" s="129">
        <v>3222</v>
      </c>
      <c r="E6104" s="130"/>
    </row>
    <row r="6105" spans="1:5" x14ac:dyDescent="0.25">
      <c r="A6105" s="1033">
        <v>204310</v>
      </c>
      <c r="B6105" s="129">
        <v>11</v>
      </c>
      <c r="E6105" s="130"/>
    </row>
    <row r="6106" spans="1:5" x14ac:dyDescent="0.25">
      <c r="A6106" s="1033">
        <v>204404</v>
      </c>
      <c r="B6106" s="129">
        <v>65186</v>
      </c>
      <c r="E6106" s="130"/>
    </row>
    <row r="6107" spans="1:5" x14ac:dyDescent="0.25">
      <c r="A6107" s="1033">
        <v>204406</v>
      </c>
      <c r="B6107" s="129">
        <v>229</v>
      </c>
      <c r="E6107" s="130"/>
    </row>
    <row r="6108" spans="1:5" x14ac:dyDescent="0.25">
      <c r="A6108" s="1033">
        <v>204408</v>
      </c>
      <c r="B6108" s="129">
        <v>65186</v>
      </c>
      <c r="E6108" s="130"/>
    </row>
    <row r="6109" spans="1:5" x14ac:dyDescent="0.25">
      <c r="A6109" s="1033">
        <v>204410</v>
      </c>
      <c r="B6109" s="129">
        <v>229</v>
      </c>
      <c r="E6109" s="130"/>
    </row>
    <row r="6110" spans="1:5" x14ac:dyDescent="0.25">
      <c r="A6110" s="1033">
        <v>204504</v>
      </c>
      <c r="B6110" s="129">
        <v>50000</v>
      </c>
      <c r="E6110" s="130"/>
    </row>
    <row r="6111" spans="1:5" x14ac:dyDescent="0.25">
      <c r="A6111" s="1033">
        <v>204506</v>
      </c>
      <c r="B6111" s="129">
        <v>176</v>
      </c>
      <c r="E6111" s="130"/>
    </row>
    <row r="6112" spans="1:5" x14ac:dyDescent="0.25">
      <c r="A6112" s="1033">
        <v>204508</v>
      </c>
      <c r="B6112" s="129">
        <v>50000</v>
      </c>
      <c r="E6112" s="130"/>
    </row>
    <row r="6113" spans="1:5" x14ac:dyDescent="0.25">
      <c r="A6113" s="1033">
        <v>204510</v>
      </c>
      <c r="B6113" s="129">
        <v>176</v>
      </c>
      <c r="E6113" s="130"/>
    </row>
    <row r="6114" spans="1:5" x14ac:dyDescent="0.25">
      <c r="A6114" s="1033">
        <v>204604</v>
      </c>
      <c r="B6114" s="129">
        <v>10751</v>
      </c>
      <c r="E6114" s="130"/>
    </row>
    <row r="6115" spans="1:5" x14ac:dyDescent="0.25">
      <c r="A6115" s="1033">
        <v>204606</v>
      </c>
      <c r="B6115" s="129">
        <v>38</v>
      </c>
      <c r="E6115" s="130"/>
    </row>
    <row r="6116" spans="1:5" x14ac:dyDescent="0.25">
      <c r="A6116" s="1033">
        <v>204608</v>
      </c>
      <c r="B6116" s="129">
        <v>10751</v>
      </c>
      <c r="E6116" s="130"/>
    </row>
    <row r="6117" spans="1:5" x14ac:dyDescent="0.25">
      <c r="A6117" s="1033">
        <v>204610</v>
      </c>
      <c r="B6117" s="129">
        <v>38</v>
      </c>
      <c r="E6117" s="130"/>
    </row>
    <row r="6118" spans="1:5" x14ac:dyDescent="0.25">
      <c r="A6118" s="1033">
        <v>204704</v>
      </c>
      <c r="B6118" s="129">
        <v>0</v>
      </c>
      <c r="E6118" s="130"/>
    </row>
    <row r="6119" spans="1:5" x14ac:dyDescent="0.25">
      <c r="A6119" s="1033">
        <v>204706</v>
      </c>
      <c r="B6119" s="129">
        <v>0</v>
      </c>
      <c r="E6119" s="130"/>
    </row>
    <row r="6120" spans="1:5" x14ac:dyDescent="0.25">
      <c r="A6120" s="1033">
        <v>204708</v>
      </c>
      <c r="B6120" s="129">
        <v>0</v>
      </c>
      <c r="E6120" s="130"/>
    </row>
    <row r="6121" spans="1:5" x14ac:dyDescent="0.25">
      <c r="A6121" s="1033">
        <v>204710</v>
      </c>
      <c r="B6121" s="129">
        <v>0</v>
      </c>
      <c r="E6121" s="130"/>
    </row>
    <row r="6122" spans="1:5" x14ac:dyDescent="0.25">
      <c r="A6122" s="1033">
        <v>204804</v>
      </c>
      <c r="B6122" s="129">
        <v>0</v>
      </c>
      <c r="E6122" s="130"/>
    </row>
    <row r="6123" spans="1:5" x14ac:dyDescent="0.25">
      <c r="A6123" s="1033">
        <v>204806</v>
      </c>
      <c r="B6123" s="129">
        <v>0</v>
      </c>
      <c r="E6123" s="130"/>
    </row>
    <row r="6124" spans="1:5" x14ac:dyDescent="0.25">
      <c r="A6124" s="1033">
        <v>204808</v>
      </c>
      <c r="B6124" s="129">
        <v>0</v>
      </c>
      <c r="E6124" s="130"/>
    </row>
    <row r="6125" spans="1:5" x14ac:dyDescent="0.25">
      <c r="A6125" s="1033">
        <v>204810</v>
      </c>
      <c r="B6125" s="129">
        <v>0</v>
      </c>
      <c r="E6125" s="130"/>
    </row>
    <row r="6126" spans="1:5" x14ac:dyDescent="0.25">
      <c r="A6126" s="1033">
        <v>204904</v>
      </c>
      <c r="B6126" s="129">
        <v>6164</v>
      </c>
      <c r="E6126" s="130"/>
    </row>
    <row r="6127" spans="1:5" x14ac:dyDescent="0.25">
      <c r="A6127" s="1033">
        <v>204906</v>
      </c>
      <c r="B6127" s="129">
        <v>22</v>
      </c>
      <c r="E6127" s="130"/>
    </row>
    <row r="6128" spans="1:5" x14ac:dyDescent="0.25">
      <c r="A6128" s="1033">
        <v>204908</v>
      </c>
      <c r="B6128" s="129">
        <v>6164</v>
      </c>
      <c r="E6128" s="130"/>
    </row>
    <row r="6129" spans="1:5" x14ac:dyDescent="0.25">
      <c r="A6129" s="1033">
        <v>204910</v>
      </c>
      <c r="B6129" s="129">
        <v>22</v>
      </c>
      <c r="E6129" s="130"/>
    </row>
    <row r="6130" spans="1:5" x14ac:dyDescent="0.25">
      <c r="A6130" s="1033">
        <v>205004</v>
      </c>
      <c r="B6130" s="129">
        <v>4853</v>
      </c>
      <c r="E6130" s="130"/>
    </row>
    <row r="6131" spans="1:5" x14ac:dyDescent="0.25">
      <c r="A6131" s="1033">
        <v>205006</v>
      </c>
      <c r="B6131" s="129">
        <v>17</v>
      </c>
      <c r="E6131" s="130"/>
    </row>
    <row r="6132" spans="1:5" x14ac:dyDescent="0.25">
      <c r="A6132" s="1033">
        <v>205008</v>
      </c>
      <c r="B6132" s="129">
        <v>4853</v>
      </c>
      <c r="E6132" s="130"/>
    </row>
    <row r="6133" spans="1:5" x14ac:dyDescent="0.25">
      <c r="A6133" s="1033">
        <v>205010</v>
      </c>
      <c r="B6133" s="129">
        <v>17</v>
      </c>
      <c r="E6133" s="130"/>
    </row>
    <row r="6134" spans="1:5" x14ac:dyDescent="0.25">
      <c r="A6134" s="1033">
        <v>205104</v>
      </c>
      <c r="B6134" s="129">
        <v>5103</v>
      </c>
      <c r="E6134" s="130"/>
    </row>
    <row r="6135" spans="1:5" x14ac:dyDescent="0.25">
      <c r="A6135" s="1033">
        <v>205106</v>
      </c>
      <c r="B6135" s="129">
        <v>18</v>
      </c>
      <c r="E6135" s="130"/>
    </row>
    <row r="6136" spans="1:5" x14ac:dyDescent="0.25">
      <c r="A6136" s="1033">
        <v>205108</v>
      </c>
      <c r="B6136" s="129">
        <v>5103</v>
      </c>
      <c r="E6136" s="130"/>
    </row>
    <row r="6137" spans="1:5" x14ac:dyDescent="0.25">
      <c r="A6137" s="1033">
        <v>205110</v>
      </c>
      <c r="B6137" s="129">
        <v>18</v>
      </c>
      <c r="E6137" s="130"/>
    </row>
    <row r="6138" spans="1:5" x14ac:dyDescent="0.25">
      <c r="A6138" s="1033">
        <v>205204</v>
      </c>
      <c r="B6138" s="129">
        <v>76871</v>
      </c>
      <c r="E6138" s="130"/>
    </row>
    <row r="6139" spans="1:5" x14ac:dyDescent="0.25">
      <c r="A6139" s="1033">
        <v>205206</v>
      </c>
      <c r="B6139" s="129">
        <v>270</v>
      </c>
      <c r="E6139" s="130"/>
    </row>
    <row r="6140" spans="1:5" x14ac:dyDescent="0.25">
      <c r="A6140" s="1033">
        <v>205208</v>
      </c>
      <c r="B6140" s="129">
        <v>76871</v>
      </c>
      <c r="E6140" s="130"/>
    </row>
    <row r="6141" spans="1:5" x14ac:dyDescent="0.25">
      <c r="A6141" s="1033">
        <v>205210</v>
      </c>
      <c r="B6141" s="129">
        <v>270</v>
      </c>
      <c r="E6141" s="130"/>
    </row>
    <row r="6142" spans="1:5" x14ac:dyDescent="0.25">
      <c r="A6142" s="1033">
        <v>205304</v>
      </c>
      <c r="B6142" s="129">
        <v>0</v>
      </c>
      <c r="E6142" s="130"/>
    </row>
    <row r="6143" spans="1:5" x14ac:dyDescent="0.25">
      <c r="A6143" s="1033">
        <v>205306</v>
      </c>
      <c r="B6143" s="129">
        <v>0</v>
      </c>
      <c r="E6143" s="130"/>
    </row>
    <row r="6144" spans="1:5" x14ac:dyDescent="0.25">
      <c r="A6144" s="1033">
        <v>205308</v>
      </c>
      <c r="B6144" s="129">
        <v>0</v>
      </c>
      <c r="E6144" s="130"/>
    </row>
    <row r="6145" spans="1:5" x14ac:dyDescent="0.25">
      <c r="A6145" s="1033">
        <v>205310</v>
      </c>
      <c r="B6145" s="129">
        <v>0</v>
      </c>
      <c r="E6145" s="130"/>
    </row>
    <row r="6146" spans="1:5" x14ac:dyDescent="0.25">
      <c r="A6146" s="1033">
        <v>205404</v>
      </c>
      <c r="B6146" s="129">
        <v>2641</v>
      </c>
      <c r="E6146" s="130"/>
    </row>
    <row r="6147" spans="1:5" x14ac:dyDescent="0.25">
      <c r="A6147" s="1033">
        <v>205406</v>
      </c>
      <c r="B6147" s="129">
        <v>9</v>
      </c>
      <c r="E6147" s="130"/>
    </row>
    <row r="6148" spans="1:5" x14ac:dyDescent="0.25">
      <c r="A6148" s="1033">
        <v>205408</v>
      </c>
      <c r="B6148" s="129">
        <v>2641</v>
      </c>
      <c r="E6148" s="130"/>
    </row>
    <row r="6149" spans="1:5" x14ac:dyDescent="0.25">
      <c r="A6149" s="1033">
        <v>205410</v>
      </c>
      <c r="B6149" s="129">
        <v>9</v>
      </c>
      <c r="E6149" s="130"/>
    </row>
    <row r="6150" spans="1:5" x14ac:dyDescent="0.25">
      <c r="A6150" s="1033">
        <v>205504</v>
      </c>
      <c r="B6150" s="129">
        <v>400</v>
      </c>
      <c r="E6150" s="130"/>
    </row>
    <row r="6151" spans="1:5" x14ac:dyDescent="0.25">
      <c r="A6151" s="1033">
        <v>205506</v>
      </c>
      <c r="B6151" s="129">
        <v>1</v>
      </c>
      <c r="E6151" s="130"/>
    </row>
    <row r="6152" spans="1:5" x14ac:dyDescent="0.25">
      <c r="A6152" s="1033">
        <v>205508</v>
      </c>
      <c r="B6152" s="129">
        <v>400</v>
      </c>
      <c r="E6152" s="130"/>
    </row>
    <row r="6153" spans="1:5" x14ac:dyDescent="0.25">
      <c r="A6153" s="1033">
        <v>205510</v>
      </c>
      <c r="B6153" s="129">
        <v>1</v>
      </c>
      <c r="E6153" s="130"/>
    </row>
    <row r="6154" spans="1:5" x14ac:dyDescent="0.25">
      <c r="A6154" s="1033">
        <v>205604</v>
      </c>
      <c r="B6154" s="129">
        <v>8551</v>
      </c>
      <c r="E6154" s="130"/>
    </row>
    <row r="6155" spans="1:5" x14ac:dyDescent="0.25">
      <c r="A6155" s="1033">
        <v>205606</v>
      </c>
      <c r="B6155" s="129">
        <v>30</v>
      </c>
      <c r="E6155" s="130"/>
    </row>
    <row r="6156" spans="1:5" x14ac:dyDescent="0.25">
      <c r="A6156" s="1033">
        <v>205608</v>
      </c>
      <c r="B6156" s="129">
        <v>8551</v>
      </c>
      <c r="E6156" s="130"/>
    </row>
    <row r="6157" spans="1:5" x14ac:dyDescent="0.25">
      <c r="A6157" s="1033">
        <v>205610</v>
      </c>
      <c r="B6157" s="129">
        <v>30</v>
      </c>
      <c r="E6157" s="130"/>
    </row>
    <row r="6158" spans="1:5" x14ac:dyDescent="0.25">
      <c r="A6158" s="1033">
        <v>205704</v>
      </c>
      <c r="B6158" s="129">
        <v>173</v>
      </c>
      <c r="E6158" s="130"/>
    </row>
    <row r="6159" spans="1:5" x14ac:dyDescent="0.25">
      <c r="A6159" s="1033">
        <v>205706</v>
      </c>
      <c r="B6159" s="129">
        <v>1</v>
      </c>
      <c r="E6159" s="130"/>
    </row>
    <row r="6160" spans="1:5" x14ac:dyDescent="0.25">
      <c r="A6160" s="1033">
        <v>205708</v>
      </c>
      <c r="B6160" s="129">
        <v>173</v>
      </c>
      <c r="E6160" s="130"/>
    </row>
    <row r="6161" spans="1:5" x14ac:dyDescent="0.25">
      <c r="A6161" s="1033">
        <v>205710</v>
      </c>
      <c r="B6161" s="129">
        <v>1</v>
      </c>
      <c r="E6161" s="130"/>
    </row>
    <row r="6162" spans="1:5" x14ac:dyDescent="0.25">
      <c r="A6162" s="1033">
        <v>205804</v>
      </c>
      <c r="B6162" s="129">
        <v>88636</v>
      </c>
      <c r="E6162" s="130"/>
    </row>
    <row r="6163" spans="1:5" x14ac:dyDescent="0.25">
      <c r="A6163" s="1033">
        <v>205806</v>
      </c>
      <c r="B6163" s="129">
        <v>312</v>
      </c>
      <c r="E6163" s="130"/>
    </row>
    <row r="6164" spans="1:5" x14ac:dyDescent="0.25">
      <c r="A6164" s="1033">
        <v>205808</v>
      </c>
      <c r="B6164" s="129">
        <v>88636</v>
      </c>
      <c r="E6164" s="130"/>
    </row>
    <row r="6165" spans="1:5" x14ac:dyDescent="0.25">
      <c r="A6165" s="1033">
        <v>205810</v>
      </c>
      <c r="B6165" s="129">
        <v>312</v>
      </c>
      <c r="E6165" s="130"/>
    </row>
    <row r="6166" spans="1:5" x14ac:dyDescent="0.25">
      <c r="A6166" s="1033">
        <v>205904</v>
      </c>
      <c r="B6166" s="129">
        <v>345058</v>
      </c>
      <c r="E6166" s="130"/>
    </row>
    <row r="6167" spans="1:5" x14ac:dyDescent="0.25">
      <c r="A6167" s="1033">
        <v>205906</v>
      </c>
      <c r="B6167" s="129">
        <v>1214</v>
      </c>
      <c r="E6167" s="130"/>
    </row>
    <row r="6168" spans="1:5" x14ac:dyDescent="0.25">
      <c r="A6168" s="1033">
        <v>205908</v>
      </c>
      <c r="B6168" s="129">
        <v>345058</v>
      </c>
      <c r="E6168" s="130"/>
    </row>
    <row r="6169" spans="1:5" x14ac:dyDescent="0.25">
      <c r="A6169" s="1033">
        <v>205910</v>
      </c>
      <c r="B6169" s="129">
        <v>1214</v>
      </c>
      <c r="E6169" s="130"/>
    </row>
    <row r="6170" spans="1:5" x14ac:dyDescent="0.25">
      <c r="A6170" s="1033">
        <v>206004</v>
      </c>
      <c r="B6170" s="129">
        <v>425674</v>
      </c>
      <c r="E6170" s="130"/>
    </row>
    <row r="6171" spans="1:5" x14ac:dyDescent="0.25">
      <c r="A6171" s="1033">
        <v>206006</v>
      </c>
      <c r="B6171" s="129">
        <v>1498</v>
      </c>
      <c r="E6171" s="130"/>
    </row>
    <row r="6172" spans="1:5" x14ac:dyDescent="0.25">
      <c r="A6172" s="1033">
        <v>206008</v>
      </c>
      <c r="B6172" s="129">
        <v>425674</v>
      </c>
      <c r="E6172" s="130"/>
    </row>
    <row r="6173" spans="1:5" x14ac:dyDescent="0.25">
      <c r="A6173" s="1033">
        <v>206010</v>
      </c>
      <c r="B6173" s="129">
        <v>1498</v>
      </c>
      <c r="E6173" s="130"/>
    </row>
    <row r="6174" spans="1:5" x14ac:dyDescent="0.25">
      <c r="A6174" s="1033">
        <v>206104</v>
      </c>
      <c r="B6174" s="129">
        <v>-141477</v>
      </c>
      <c r="E6174" s="130"/>
    </row>
    <row r="6175" spans="1:5" x14ac:dyDescent="0.25">
      <c r="A6175" s="1033">
        <v>206108</v>
      </c>
      <c r="B6175" s="129">
        <v>-141477</v>
      </c>
      <c r="E6175" s="130"/>
    </row>
    <row r="6176" spans="1:5" x14ac:dyDescent="0.25">
      <c r="A6176" s="1033">
        <v>206204</v>
      </c>
      <c r="B6176" s="129">
        <v>54232</v>
      </c>
      <c r="E6176" s="130"/>
    </row>
    <row r="6177" spans="1:5" x14ac:dyDescent="0.25">
      <c r="A6177" s="1033">
        <v>206208</v>
      </c>
      <c r="B6177" s="129">
        <v>54232</v>
      </c>
      <c r="E6177" s="130"/>
    </row>
    <row r="6178" spans="1:5" x14ac:dyDescent="0.25">
      <c r="A6178" s="1033">
        <v>206214</v>
      </c>
      <c r="B6178" s="129">
        <v>54232</v>
      </c>
      <c r="E6178" s="130"/>
    </row>
    <row r="6179" spans="1:5" x14ac:dyDescent="0.25">
      <c r="A6179" s="1033">
        <v>206218</v>
      </c>
      <c r="B6179" s="129">
        <v>54232</v>
      </c>
      <c r="E6179" s="130"/>
    </row>
    <row r="6180" spans="1:5" x14ac:dyDescent="0.25">
      <c r="A6180" s="1033">
        <v>206404</v>
      </c>
      <c r="B6180" s="129">
        <v>-87245</v>
      </c>
      <c r="E6180" s="130"/>
    </row>
    <row r="6181" spans="1:5" x14ac:dyDescent="0.25">
      <c r="A6181" s="1033">
        <v>206408</v>
      </c>
      <c r="B6181" s="129">
        <v>-87245</v>
      </c>
      <c r="E6181" s="130"/>
    </row>
    <row r="6182" spans="1:5" x14ac:dyDescent="0.25">
      <c r="A6182" s="1033">
        <v>206414</v>
      </c>
      <c r="B6182" s="129">
        <v>-87245</v>
      </c>
      <c r="E6182" s="130"/>
    </row>
    <row r="6183" spans="1:5" x14ac:dyDescent="0.25">
      <c r="A6183" s="1033">
        <v>206418</v>
      </c>
      <c r="B6183" s="129">
        <v>-87245</v>
      </c>
      <c r="E6183" s="130"/>
    </row>
    <row r="6184" spans="1:5" x14ac:dyDescent="0.25">
      <c r="A6184" s="1033">
        <v>206504</v>
      </c>
      <c r="B6184" s="129">
        <v>0</v>
      </c>
      <c r="E6184" s="130"/>
    </row>
    <row r="6185" spans="1:5" x14ac:dyDescent="0.25">
      <c r="A6185" s="1033">
        <v>206508</v>
      </c>
      <c r="B6185" s="129">
        <v>0</v>
      </c>
      <c r="E6185" s="130"/>
    </row>
    <row r="6186" spans="1:5" x14ac:dyDescent="0.25">
      <c r="A6186" s="1033">
        <v>206804</v>
      </c>
      <c r="B6186" s="129">
        <v>-87245</v>
      </c>
      <c r="E6186" s="130"/>
    </row>
    <row r="6187" spans="1:5" x14ac:dyDescent="0.25">
      <c r="A6187" s="1033">
        <v>206808</v>
      </c>
      <c r="B6187" s="129">
        <v>-87245</v>
      </c>
      <c r="E6187" s="130"/>
    </row>
    <row r="6188" spans="1:5" x14ac:dyDescent="0.25">
      <c r="A6188" s="1033">
        <v>206814</v>
      </c>
      <c r="B6188" s="129">
        <v>-87245</v>
      </c>
      <c r="E6188" s="130"/>
    </row>
    <row r="6189" spans="1:5" x14ac:dyDescent="0.25">
      <c r="A6189" s="1033">
        <v>206818</v>
      </c>
      <c r="B6189" s="129">
        <v>-87245</v>
      </c>
      <c r="E6189" s="130"/>
    </row>
    <row r="6190" spans="1:5" x14ac:dyDescent="0.25">
      <c r="A6190" s="1033">
        <v>207204</v>
      </c>
      <c r="B6190" s="129">
        <v>-87245</v>
      </c>
      <c r="E6190" s="130"/>
    </row>
    <row r="6191" spans="1:5" x14ac:dyDescent="0.25">
      <c r="A6191" s="1033">
        <v>207208</v>
      </c>
      <c r="B6191" s="129">
        <v>-87245</v>
      </c>
      <c r="E6191" s="130"/>
    </row>
    <row r="6192" spans="1:5" x14ac:dyDescent="0.25">
      <c r="A6192" s="1033">
        <v>1001108</v>
      </c>
      <c r="B6192" s="129">
        <v>2039798</v>
      </c>
      <c r="E6192" s="130"/>
    </row>
    <row r="6193" spans="1:5" x14ac:dyDescent="0.25">
      <c r="A6193" s="1033">
        <v>1001114</v>
      </c>
      <c r="B6193" s="129">
        <v>142413</v>
      </c>
      <c r="E6193" s="130"/>
    </row>
    <row r="6194" spans="1:5" x14ac:dyDescent="0.25">
      <c r="A6194" s="1033">
        <v>1001116</v>
      </c>
      <c r="B6194" s="129">
        <v>70</v>
      </c>
      <c r="E6194" s="130"/>
    </row>
    <row r="6195" spans="1:5" x14ac:dyDescent="0.25">
      <c r="A6195" s="1033">
        <v>1001118</v>
      </c>
      <c r="B6195" s="129">
        <v>2039798</v>
      </c>
      <c r="E6195" s="130"/>
    </row>
    <row r="6196" spans="1:5" x14ac:dyDescent="0.25">
      <c r="A6196" s="1033">
        <v>1001120</v>
      </c>
      <c r="B6196" s="129">
        <v>142413</v>
      </c>
      <c r="E6196" s="130"/>
    </row>
    <row r="6197" spans="1:5" x14ac:dyDescent="0.25">
      <c r="A6197" s="1033">
        <v>1001122</v>
      </c>
      <c r="B6197" s="129">
        <v>70</v>
      </c>
      <c r="E6197" s="130"/>
    </row>
    <row r="6198" spans="1:5" x14ac:dyDescent="0.25">
      <c r="A6198" s="1033">
        <v>1001308</v>
      </c>
      <c r="B6198" s="129">
        <v>2334107</v>
      </c>
      <c r="E6198" s="130"/>
    </row>
    <row r="6199" spans="1:5" x14ac:dyDescent="0.25">
      <c r="A6199" s="1033">
        <v>1001314</v>
      </c>
      <c r="B6199" s="129">
        <v>284197</v>
      </c>
      <c r="E6199" s="130"/>
    </row>
    <row r="6200" spans="1:5" x14ac:dyDescent="0.25">
      <c r="A6200" s="1033">
        <v>1001316</v>
      </c>
      <c r="B6200" s="129">
        <v>122</v>
      </c>
      <c r="E6200" s="130"/>
    </row>
    <row r="6201" spans="1:5" x14ac:dyDescent="0.25">
      <c r="A6201" s="1033">
        <v>1001318</v>
      </c>
      <c r="B6201" s="129">
        <v>2334107</v>
      </c>
      <c r="E6201" s="130"/>
    </row>
    <row r="6202" spans="1:5" x14ac:dyDescent="0.25">
      <c r="A6202" s="1033">
        <v>1001320</v>
      </c>
      <c r="B6202" s="129">
        <v>284197</v>
      </c>
      <c r="E6202" s="130"/>
    </row>
    <row r="6203" spans="1:5" x14ac:dyDescent="0.25">
      <c r="A6203" s="1033">
        <v>1001322</v>
      </c>
      <c r="B6203" s="129">
        <v>122</v>
      </c>
      <c r="E6203" s="130"/>
    </row>
    <row r="6204" spans="1:5" x14ac:dyDescent="0.25">
      <c r="A6204" s="1033">
        <v>1001414</v>
      </c>
      <c r="B6204" s="129">
        <v>80616</v>
      </c>
      <c r="E6204" s="130"/>
    </row>
    <row r="6205" spans="1:5" x14ac:dyDescent="0.25">
      <c r="A6205" s="1033">
        <v>1001416</v>
      </c>
      <c r="B6205" s="129">
        <v>284</v>
      </c>
      <c r="E6205" s="130"/>
    </row>
    <row r="6206" spans="1:5" x14ac:dyDescent="0.25">
      <c r="A6206" s="1033">
        <v>1001420</v>
      </c>
      <c r="B6206" s="129">
        <v>80616</v>
      </c>
      <c r="E6206" s="130"/>
    </row>
    <row r="6207" spans="1:5" x14ac:dyDescent="0.25">
      <c r="A6207" s="1033">
        <v>1001422</v>
      </c>
      <c r="B6207" s="129">
        <v>284</v>
      </c>
      <c r="E6207" s="130"/>
    </row>
    <row r="6208" spans="1:5" x14ac:dyDescent="0.25">
      <c r="A6208" s="1033">
        <v>1001514</v>
      </c>
      <c r="B6208" s="129">
        <v>191236</v>
      </c>
      <c r="E6208" s="130"/>
    </row>
    <row r="6209" spans="1:5" x14ac:dyDescent="0.25">
      <c r="A6209" s="1033">
        <v>1001516</v>
      </c>
      <c r="B6209" s="129">
        <v>673</v>
      </c>
      <c r="E6209" s="130"/>
    </row>
    <row r="6210" spans="1:5" x14ac:dyDescent="0.25">
      <c r="A6210" s="1033">
        <v>1001520</v>
      </c>
      <c r="B6210" s="129">
        <v>191236</v>
      </c>
      <c r="E6210" s="130"/>
    </row>
    <row r="6211" spans="1:5" x14ac:dyDescent="0.25">
      <c r="A6211" s="1033">
        <v>1001522</v>
      </c>
      <c r="B6211" s="129">
        <v>673</v>
      </c>
      <c r="E6211" s="130"/>
    </row>
    <row r="6212" spans="1:5" x14ac:dyDescent="0.25">
      <c r="A6212" s="1033">
        <v>1001614</v>
      </c>
      <c r="B6212" s="129">
        <v>65186</v>
      </c>
      <c r="E6212" s="130"/>
    </row>
    <row r="6213" spans="1:5" x14ac:dyDescent="0.25">
      <c r="A6213" s="1033">
        <v>1001616</v>
      </c>
      <c r="B6213" s="129">
        <v>229</v>
      </c>
      <c r="E6213" s="130"/>
    </row>
    <row r="6214" spans="1:5" x14ac:dyDescent="0.25">
      <c r="A6214" s="1033">
        <v>1001620</v>
      </c>
      <c r="B6214" s="129">
        <v>65186</v>
      </c>
      <c r="E6214" s="130"/>
    </row>
    <row r="6215" spans="1:5" x14ac:dyDescent="0.25">
      <c r="A6215" s="1033">
        <v>1001622</v>
      </c>
      <c r="B6215" s="129">
        <v>229</v>
      </c>
      <c r="E6215" s="130"/>
    </row>
    <row r="6216" spans="1:5" x14ac:dyDescent="0.25">
      <c r="A6216" s="1033">
        <v>1001714</v>
      </c>
      <c r="B6216" s="129">
        <v>88636</v>
      </c>
      <c r="E6216" s="130"/>
    </row>
    <row r="6217" spans="1:5" x14ac:dyDescent="0.25">
      <c r="A6217" s="1033">
        <v>1001716</v>
      </c>
      <c r="B6217" s="129">
        <v>312</v>
      </c>
      <c r="E6217" s="130"/>
    </row>
    <row r="6218" spans="1:5" x14ac:dyDescent="0.25">
      <c r="A6218" s="1033">
        <v>1001720</v>
      </c>
      <c r="B6218" s="129">
        <v>88636</v>
      </c>
      <c r="E6218" s="130"/>
    </row>
    <row r="6219" spans="1:5" x14ac:dyDescent="0.25">
      <c r="A6219" s="1033">
        <v>1001722</v>
      </c>
      <c r="B6219" s="129">
        <v>312</v>
      </c>
      <c r="E6219" s="130"/>
    </row>
    <row r="6220" spans="1:5" x14ac:dyDescent="0.25">
      <c r="A6220" s="1033">
        <v>1001814</v>
      </c>
      <c r="B6220" s="129">
        <v>-141477</v>
      </c>
      <c r="E6220" s="130"/>
    </row>
    <row r="6221" spans="1:5" x14ac:dyDescent="0.25">
      <c r="A6221" s="1033">
        <v>1001820</v>
      </c>
      <c r="B6221" s="129">
        <v>-141477</v>
      </c>
      <c r="E6221" s="130"/>
    </row>
    <row r="6222" spans="1:5" x14ac:dyDescent="0.25">
      <c r="A6222" s="1033">
        <v>1004004</v>
      </c>
      <c r="B6222" s="129">
        <v>-37</v>
      </c>
      <c r="E6222" s="130"/>
    </row>
    <row r="6223" spans="1:5" x14ac:dyDescent="0.25">
      <c r="A6223" s="1033">
        <v>1004504</v>
      </c>
      <c r="B6223" s="129">
        <v>0</v>
      </c>
      <c r="E6223" s="130"/>
    </row>
    <row r="6224" spans="1:5" x14ac:dyDescent="0.25">
      <c r="A6224" s="1033">
        <v>703118</v>
      </c>
      <c r="B6224" s="129">
        <v>2224</v>
      </c>
      <c r="E6224" s="130"/>
    </row>
    <row r="6225" spans="1:10" x14ac:dyDescent="0.25">
      <c r="A6225" s="1033">
        <v>703128</v>
      </c>
      <c r="B6225" s="129">
        <v>2224</v>
      </c>
      <c r="E6225" s="130"/>
    </row>
    <row r="6226" spans="1:10" x14ac:dyDescent="0.25">
      <c r="A6226" s="1033">
        <v>707818</v>
      </c>
      <c r="B6226" s="129">
        <v>2596</v>
      </c>
      <c r="E6226" s="130"/>
    </row>
    <row r="6227" spans="1:10" x14ac:dyDescent="0.25">
      <c r="A6227" s="1033">
        <v>707828</v>
      </c>
      <c r="B6227" s="129">
        <v>2596</v>
      </c>
      <c r="E6227" s="130"/>
    </row>
    <row r="6228" spans="1:10" x14ac:dyDescent="0.25">
      <c r="A6228" s="1033">
        <v>707918</v>
      </c>
      <c r="B6228" s="129">
        <v>3549</v>
      </c>
      <c r="E6228" s="130"/>
    </row>
    <row r="6229" spans="1:10" x14ac:dyDescent="0.25">
      <c r="A6229" s="1033">
        <v>707928</v>
      </c>
      <c r="B6229" s="129">
        <v>3549</v>
      </c>
      <c r="E6229" s="130"/>
    </row>
    <row r="6230" spans="1:10" x14ac:dyDescent="0.25">
      <c r="A6230" s="1033">
        <v>0</v>
      </c>
      <c r="B6230" s="129" t="s">
        <v>1892</v>
      </c>
      <c r="E6230" s="130"/>
      <c r="G6230" s="1031">
        <v>45658</v>
      </c>
      <c r="H6230" s="1031">
        <v>45658</v>
      </c>
      <c r="J6230" s="1031">
        <v>9091</v>
      </c>
    </row>
    <row r="6231" spans="1:10" x14ac:dyDescent="0.25">
      <c r="A6231" s="1033"/>
      <c r="E6231" s="130"/>
    </row>
    <row r="6232" spans="1:10" x14ac:dyDescent="0.25">
      <c r="A6232" s="1033"/>
      <c r="E6232" s="130"/>
    </row>
    <row r="6233" spans="1:10" x14ac:dyDescent="0.25">
      <c r="A6233" s="1033"/>
      <c r="E6233" s="130"/>
    </row>
    <row r="6234" spans="1:10" x14ac:dyDescent="0.25">
      <c r="A6234" s="1033"/>
      <c r="E6234" s="130"/>
    </row>
    <row r="6235" spans="1:10" x14ac:dyDescent="0.25">
      <c r="A6235" s="1033"/>
      <c r="E6235" s="130"/>
    </row>
    <row r="6236" spans="1:10" x14ac:dyDescent="0.25">
      <c r="A6236" s="1033"/>
      <c r="E6236" s="130"/>
    </row>
    <row r="6237" spans="1:10" x14ac:dyDescent="0.25">
      <c r="A6237" s="1033"/>
      <c r="E6237" s="130"/>
    </row>
    <row r="6238" spans="1:10" x14ac:dyDescent="0.25">
      <c r="A6238" s="1033"/>
      <c r="E6238" s="130"/>
    </row>
    <row r="6239" spans="1:10" x14ac:dyDescent="0.25">
      <c r="A6239" s="1033"/>
      <c r="E6239" s="130"/>
    </row>
    <row r="6240" spans="1:10" x14ac:dyDescent="0.25">
      <c r="A6240" s="1033"/>
      <c r="E6240" s="130"/>
    </row>
    <row r="6241" spans="1:5" x14ac:dyDescent="0.25">
      <c r="A6241" s="1033"/>
      <c r="E6241" s="130"/>
    </row>
    <row r="6242" spans="1:5" x14ac:dyDescent="0.25">
      <c r="A6242" s="1033"/>
      <c r="E6242" s="130"/>
    </row>
    <row r="6243" spans="1:5" x14ac:dyDescent="0.25">
      <c r="A6243" s="1033"/>
      <c r="E6243" s="130"/>
    </row>
    <row r="6244" spans="1:5" x14ac:dyDescent="0.25">
      <c r="A6244" s="1033"/>
      <c r="E6244" s="130"/>
    </row>
    <row r="6245" spans="1:5" x14ac:dyDescent="0.25">
      <c r="A6245" s="1033"/>
      <c r="E6245" s="130"/>
    </row>
    <row r="6246" spans="1:5" x14ac:dyDescent="0.25">
      <c r="A6246" s="1033"/>
      <c r="E6246" s="130"/>
    </row>
    <row r="6247" spans="1:5" x14ac:dyDescent="0.25">
      <c r="A6247" s="1033"/>
      <c r="E6247" s="130"/>
    </row>
    <row r="6248" spans="1:5" x14ac:dyDescent="0.25">
      <c r="A6248" s="1033"/>
      <c r="E6248" s="130"/>
    </row>
    <row r="6249" spans="1:5" x14ac:dyDescent="0.25">
      <c r="A6249" s="1033"/>
      <c r="E6249" s="130"/>
    </row>
    <row r="6250" spans="1:5" x14ac:dyDescent="0.25">
      <c r="A6250" s="1033"/>
      <c r="E6250" s="130"/>
    </row>
    <row r="6251" spans="1:5" x14ac:dyDescent="0.25">
      <c r="A6251" s="1033"/>
      <c r="E6251" s="130"/>
    </row>
    <row r="6252" spans="1:5" x14ac:dyDescent="0.25">
      <c r="A6252" s="1033"/>
      <c r="E6252" s="130"/>
    </row>
    <row r="6253" spans="1:5" x14ac:dyDescent="0.25">
      <c r="A6253" s="1033"/>
      <c r="E6253" s="130"/>
    </row>
    <row r="6254" spans="1:5" x14ac:dyDescent="0.25">
      <c r="A6254" s="1033"/>
      <c r="E6254" s="130"/>
    </row>
    <row r="6255" spans="1:5" x14ac:dyDescent="0.25">
      <c r="A6255" s="1033"/>
      <c r="E6255" s="130"/>
    </row>
    <row r="6256" spans="1:5" x14ac:dyDescent="0.25">
      <c r="A6256" s="1033"/>
      <c r="E6256" s="130"/>
    </row>
    <row r="6257" spans="1:5" x14ac:dyDescent="0.25">
      <c r="A6257" s="1033"/>
      <c r="E6257" s="130"/>
    </row>
    <row r="6258" spans="1:5" x14ac:dyDescent="0.25">
      <c r="A6258" s="1033"/>
      <c r="E6258" s="130"/>
    </row>
    <row r="6259" spans="1:5" x14ac:dyDescent="0.25">
      <c r="A6259" s="1033"/>
      <c r="E6259" s="130"/>
    </row>
    <row r="6260" spans="1:5" x14ac:dyDescent="0.25">
      <c r="A6260" s="1033"/>
      <c r="E6260" s="130"/>
    </row>
    <row r="6261" spans="1:5" x14ac:dyDescent="0.25">
      <c r="A6261" s="1033"/>
      <c r="E6261" s="130"/>
    </row>
    <row r="6262" spans="1:5" x14ac:dyDescent="0.25">
      <c r="A6262" s="1033"/>
      <c r="E6262" s="130"/>
    </row>
    <row r="6263" spans="1:5" x14ac:dyDescent="0.25">
      <c r="A6263" s="1033"/>
      <c r="E6263" s="130"/>
    </row>
    <row r="6264" spans="1:5" x14ac:dyDescent="0.25">
      <c r="A6264" s="1033"/>
      <c r="E6264" s="130"/>
    </row>
    <row r="6265" spans="1:5" x14ac:dyDescent="0.25">
      <c r="A6265" s="1033"/>
      <c r="E6265" s="130"/>
    </row>
    <row r="6266" spans="1:5" x14ac:dyDescent="0.25">
      <c r="A6266" s="1033"/>
      <c r="E6266" s="130"/>
    </row>
    <row r="6267" spans="1:5" x14ac:dyDescent="0.25">
      <c r="A6267" s="1033"/>
      <c r="E6267" s="130"/>
    </row>
    <row r="6268" spans="1:5" x14ac:dyDescent="0.25">
      <c r="A6268" s="1033"/>
      <c r="E6268" s="130"/>
    </row>
    <row r="6269" spans="1:5" x14ac:dyDescent="0.25">
      <c r="A6269" s="1033"/>
      <c r="E6269" s="130"/>
    </row>
    <row r="6270" spans="1:5" x14ac:dyDescent="0.25">
      <c r="A6270" s="1033"/>
      <c r="E6270" s="130"/>
    </row>
    <row r="6271" spans="1:5" x14ac:dyDescent="0.25">
      <c r="A6271" s="1033"/>
      <c r="E6271" s="130"/>
    </row>
    <row r="6272" spans="1:5" x14ac:dyDescent="0.25">
      <c r="A6272" s="1033"/>
      <c r="E6272" s="130"/>
    </row>
    <row r="6273" spans="1:5" x14ac:dyDescent="0.25">
      <c r="A6273" s="1033"/>
      <c r="E6273" s="130"/>
    </row>
    <row r="6274" spans="1:5" x14ac:dyDescent="0.25">
      <c r="A6274" s="1033"/>
      <c r="E6274" s="130"/>
    </row>
    <row r="6275" spans="1:5" x14ac:dyDescent="0.25">
      <c r="A6275" s="1033"/>
      <c r="E6275" s="130"/>
    </row>
    <row r="6276" spans="1:5" x14ac:dyDescent="0.25">
      <c r="A6276" s="1033"/>
      <c r="E6276" s="130"/>
    </row>
    <row r="6277" spans="1:5" x14ac:dyDescent="0.25">
      <c r="A6277" s="1033"/>
      <c r="E6277" s="130"/>
    </row>
    <row r="6278" spans="1:5" x14ac:dyDescent="0.25">
      <c r="A6278" s="1033"/>
      <c r="E6278" s="130"/>
    </row>
    <row r="6279" spans="1:5" x14ac:dyDescent="0.25">
      <c r="A6279" s="1033"/>
      <c r="E6279" s="130"/>
    </row>
    <row r="6280" spans="1:5" x14ac:dyDescent="0.25">
      <c r="A6280" s="1033"/>
      <c r="E6280" s="130"/>
    </row>
    <row r="6281" spans="1:5" x14ac:dyDescent="0.25">
      <c r="A6281" s="1033"/>
      <c r="E6281" s="130"/>
    </row>
    <row r="6282" spans="1:5" x14ac:dyDescent="0.25">
      <c r="A6282" s="1033"/>
      <c r="E6282" s="130"/>
    </row>
    <row r="6283" spans="1:5" x14ac:dyDescent="0.25">
      <c r="A6283" s="1033"/>
      <c r="E6283" s="130"/>
    </row>
    <row r="6284" spans="1:5" x14ac:dyDescent="0.25">
      <c r="A6284" s="1033"/>
      <c r="E6284" s="130"/>
    </row>
    <row r="6285" spans="1:5" x14ac:dyDescent="0.25">
      <c r="A6285" s="1033"/>
      <c r="E6285" s="130"/>
    </row>
    <row r="6286" spans="1:5" x14ac:dyDescent="0.25">
      <c r="A6286" s="1033"/>
      <c r="E6286" s="130"/>
    </row>
    <row r="6287" spans="1:5" x14ac:dyDescent="0.25">
      <c r="A6287" s="1033"/>
      <c r="E6287" s="130"/>
    </row>
    <row r="6288" spans="1:5" x14ac:dyDescent="0.25">
      <c r="A6288" s="1033"/>
      <c r="E6288" s="130"/>
    </row>
    <row r="6289" spans="1:5" x14ac:dyDescent="0.25">
      <c r="A6289" s="1033"/>
      <c r="E6289" s="130"/>
    </row>
    <row r="6290" spans="1:5" x14ac:dyDescent="0.25">
      <c r="A6290" s="1033"/>
      <c r="E6290" s="130"/>
    </row>
    <row r="6291" spans="1:5" x14ac:dyDescent="0.25">
      <c r="A6291" s="1033"/>
      <c r="E6291" s="130"/>
    </row>
    <row r="6292" spans="1:5" x14ac:dyDescent="0.25">
      <c r="A6292" s="1033"/>
      <c r="E6292" s="130"/>
    </row>
    <row r="6293" spans="1:5" x14ac:dyDescent="0.25">
      <c r="A6293" s="1033"/>
      <c r="E6293" s="130"/>
    </row>
    <row r="6294" spans="1:5" x14ac:dyDescent="0.25">
      <c r="A6294" s="1033"/>
      <c r="E6294" s="130"/>
    </row>
    <row r="6295" spans="1:5" x14ac:dyDescent="0.25">
      <c r="A6295" s="1033"/>
      <c r="E6295" s="130"/>
    </row>
    <row r="6296" spans="1:5" x14ac:dyDescent="0.25">
      <c r="A6296" s="1033"/>
      <c r="E6296" s="130"/>
    </row>
    <row r="6297" spans="1:5" x14ac:dyDescent="0.25">
      <c r="A6297" s="1033"/>
      <c r="E6297" s="130"/>
    </row>
    <row r="6298" spans="1:5" x14ac:dyDescent="0.25">
      <c r="A6298" s="1033"/>
      <c r="E6298" s="130"/>
    </row>
    <row r="6299" spans="1:5" x14ac:dyDescent="0.25">
      <c r="A6299" s="1033"/>
      <c r="E6299" s="130"/>
    </row>
    <row r="6300" spans="1:5" x14ac:dyDescent="0.25">
      <c r="A6300" s="1033"/>
      <c r="E6300" s="130"/>
    </row>
    <row r="6301" spans="1:5" x14ac:dyDescent="0.25">
      <c r="A6301" s="1033"/>
      <c r="E6301" s="130"/>
    </row>
    <row r="6302" spans="1:5" x14ac:dyDescent="0.25">
      <c r="A6302" s="1033"/>
      <c r="E6302" s="130"/>
    </row>
    <row r="6303" spans="1:5" x14ac:dyDescent="0.25">
      <c r="A6303" s="1033"/>
      <c r="E6303" s="130"/>
    </row>
    <row r="6304" spans="1:5" x14ac:dyDescent="0.25">
      <c r="A6304" s="1033"/>
      <c r="E6304" s="130"/>
    </row>
    <row r="6305" spans="1:5" x14ac:dyDescent="0.25">
      <c r="A6305" s="1033"/>
      <c r="E6305" s="130"/>
    </row>
    <row r="6306" spans="1:5" x14ac:dyDescent="0.25">
      <c r="A6306" s="1033"/>
      <c r="E6306" s="130"/>
    </row>
    <row r="6307" spans="1:5" x14ac:dyDescent="0.25">
      <c r="A6307" s="1033"/>
      <c r="E6307" s="130"/>
    </row>
    <row r="6308" spans="1:5" x14ac:dyDescent="0.25">
      <c r="A6308" s="1033"/>
      <c r="E6308" s="130"/>
    </row>
    <row r="6309" spans="1:5" x14ac:dyDescent="0.25">
      <c r="A6309" s="1033"/>
      <c r="E6309" s="130"/>
    </row>
    <row r="6310" spans="1:5" x14ac:dyDescent="0.25">
      <c r="A6310" s="1033"/>
      <c r="E6310" s="130"/>
    </row>
    <row r="6311" spans="1:5" x14ac:dyDescent="0.25">
      <c r="A6311" s="1033"/>
      <c r="E6311" s="130"/>
    </row>
    <row r="6312" spans="1:5" x14ac:dyDescent="0.25">
      <c r="A6312" s="1033"/>
      <c r="E6312" s="130"/>
    </row>
    <row r="6313" spans="1:5" x14ac:dyDescent="0.25">
      <c r="A6313" s="1033"/>
      <c r="E6313" s="130"/>
    </row>
    <row r="6314" spans="1:5" x14ac:dyDescent="0.25">
      <c r="A6314" s="1033"/>
      <c r="E6314" s="130"/>
    </row>
    <row r="6315" spans="1:5" x14ac:dyDescent="0.25">
      <c r="A6315" s="1033"/>
      <c r="E6315" s="130"/>
    </row>
    <row r="6316" spans="1:5" x14ac:dyDescent="0.25">
      <c r="A6316" s="1033"/>
      <c r="E6316" s="130"/>
    </row>
    <row r="6317" spans="1:5" x14ac:dyDescent="0.25">
      <c r="A6317" s="1033"/>
      <c r="E6317" s="130"/>
    </row>
    <row r="6318" spans="1:5" x14ac:dyDescent="0.25">
      <c r="A6318" s="1033"/>
      <c r="E6318" s="130"/>
    </row>
    <row r="6319" spans="1:5" x14ac:dyDescent="0.25">
      <c r="A6319" s="1033"/>
      <c r="E6319" s="130"/>
    </row>
    <row r="6320" spans="1:5" x14ac:dyDescent="0.25">
      <c r="A6320" s="1033"/>
      <c r="E6320" s="130"/>
    </row>
    <row r="6321" spans="1:5" x14ac:dyDescent="0.25">
      <c r="A6321" s="1033"/>
      <c r="E6321" s="130"/>
    </row>
    <row r="6322" spans="1:5" x14ac:dyDescent="0.25">
      <c r="A6322" s="1033"/>
      <c r="E6322" s="130"/>
    </row>
    <row r="6323" spans="1:5" x14ac:dyDescent="0.25">
      <c r="A6323" s="1033"/>
      <c r="E6323" s="130"/>
    </row>
    <row r="6324" spans="1:5" x14ac:dyDescent="0.25">
      <c r="A6324" s="1033"/>
      <c r="E6324" s="130"/>
    </row>
    <row r="6325" spans="1:5" x14ac:dyDescent="0.25">
      <c r="A6325" s="1033"/>
      <c r="E6325" s="130"/>
    </row>
    <row r="6326" spans="1:5" x14ac:dyDescent="0.25">
      <c r="A6326" s="1033"/>
      <c r="E6326" s="130"/>
    </row>
    <row r="6327" spans="1:5" x14ac:dyDescent="0.25">
      <c r="A6327" s="1033"/>
      <c r="E6327" s="130"/>
    </row>
    <row r="6328" spans="1:5" x14ac:dyDescent="0.25">
      <c r="A6328" s="1033"/>
      <c r="E6328" s="130"/>
    </row>
    <row r="6329" spans="1:5" x14ac:dyDescent="0.25">
      <c r="A6329" s="1033"/>
      <c r="E6329" s="130"/>
    </row>
    <row r="6330" spans="1:5" x14ac:dyDescent="0.25">
      <c r="A6330" s="1033"/>
      <c r="E6330" s="130"/>
    </row>
    <row r="6331" spans="1:5" x14ac:dyDescent="0.25">
      <c r="A6331" s="1033"/>
      <c r="E6331" s="130"/>
    </row>
    <row r="6332" spans="1:5" x14ac:dyDescent="0.25">
      <c r="A6332" s="1033"/>
      <c r="E6332" s="130"/>
    </row>
    <row r="6333" spans="1:5" x14ac:dyDescent="0.25">
      <c r="A6333" s="1033"/>
      <c r="E6333" s="130"/>
    </row>
    <row r="6334" spans="1:5" x14ac:dyDescent="0.25">
      <c r="A6334" s="1033"/>
      <c r="E6334" s="130"/>
    </row>
    <row r="6335" spans="1:5" x14ac:dyDescent="0.25">
      <c r="A6335" s="1033"/>
      <c r="E6335" s="130"/>
    </row>
    <row r="6336" spans="1:5" x14ac:dyDescent="0.25">
      <c r="A6336" s="1033"/>
      <c r="E6336" s="130"/>
    </row>
    <row r="6337" spans="1:5" x14ac:dyDescent="0.25">
      <c r="A6337" s="1033"/>
      <c r="E6337" s="130"/>
    </row>
    <row r="6338" spans="1:5" x14ac:dyDescent="0.25">
      <c r="A6338" s="1033"/>
      <c r="E6338" s="130"/>
    </row>
    <row r="6339" spans="1:5" x14ac:dyDescent="0.25">
      <c r="A6339" s="1033"/>
      <c r="E6339" s="130"/>
    </row>
    <row r="6340" spans="1:5" x14ac:dyDescent="0.25">
      <c r="A6340" s="1033"/>
      <c r="E6340" s="130"/>
    </row>
    <row r="6341" spans="1:5" x14ac:dyDescent="0.25">
      <c r="A6341" s="1033"/>
      <c r="E6341" s="130"/>
    </row>
    <row r="6342" spans="1:5" x14ac:dyDescent="0.25">
      <c r="A6342" s="1033"/>
      <c r="E6342" s="130"/>
    </row>
    <row r="6343" spans="1:5" x14ac:dyDescent="0.25">
      <c r="A6343" s="1033"/>
      <c r="E6343" s="130"/>
    </row>
    <row r="6344" spans="1:5" x14ac:dyDescent="0.25">
      <c r="A6344" s="1033"/>
      <c r="E6344" s="130"/>
    </row>
    <row r="6345" spans="1:5" x14ac:dyDescent="0.25">
      <c r="A6345" s="1033"/>
      <c r="E6345" s="130"/>
    </row>
    <row r="6346" spans="1:5" x14ac:dyDescent="0.25">
      <c r="A6346" s="1033"/>
      <c r="E6346" s="130"/>
    </row>
    <row r="6347" spans="1:5" x14ac:dyDescent="0.25">
      <c r="A6347" s="1033"/>
      <c r="E6347" s="130"/>
    </row>
    <row r="6348" spans="1:5" x14ac:dyDescent="0.25">
      <c r="A6348" s="1033"/>
      <c r="E6348" s="130"/>
    </row>
    <row r="6349" spans="1:5" x14ac:dyDescent="0.25">
      <c r="A6349" s="1033"/>
      <c r="E6349" s="130"/>
    </row>
    <row r="6350" spans="1:5" x14ac:dyDescent="0.25">
      <c r="A6350" s="1033"/>
      <c r="E6350" s="130"/>
    </row>
    <row r="6351" spans="1:5" x14ac:dyDescent="0.25">
      <c r="A6351" s="1033"/>
      <c r="E6351" s="130"/>
    </row>
    <row r="6352" spans="1:5" x14ac:dyDescent="0.25">
      <c r="A6352" s="1033"/>
      <c r="E6352" s="130"/>
    </row>
    <row r="6353" spans="1:5" x14ac:dyDescent="0.25">
      <c r="A6353" s="1033"/>
      <c r="E6353" s="130"/>
    </row>
    <row r="6354" spans="1:5" x14ac:dyDescent="0.25">
      <c r="A6354" s="1033"/>
      <c r="E6354" s="130"/>
    </row>
    <row r="6355" spans="1:5" x14ac:dyDescent="0.25">
      <c r="A6355" s="1033"/>
      <c r="E6355" s="130"/>
    </row>
    <row r="6356" spans="1:5" x14ac:dyDescent="0.25">
      <c r="A6356" s="1033"/>
      <c r="E6356" s="130"/>
    </row>
    <row r="6357" spans="1:5" x14ac:dyDescent="0.25">
      <c r="A6357" s="1033"/>
      <c r="E6357" s="130"/>
    </row>
    <row r="6358" spans="1:5" x14ac:dyDescent="0.25">
      <c r="A6358" s="1033"/>
      <c r="E6358" s="130"/>
    </row>
    <row r="6359" spans="1:5" x14ac:dyDescent="0.25">
      <c r="A6359" s="1033"/>
      <c r="E6359" s="130"/>
    </row>
    <row r="6360" spans="1:5" x14ac:dyDescent="0.25">
      <c r="A6360" s="1033"/>
      <c r="E6360" s="130"/>
    </row>
    <row r="6361" spans="1:5" x14ac:dyDescent="0.25">
      <c r="A6361" s="1033"/>
      <c r="E6361" s="130"/>
    </row>
    <row r="6362" spans="1:5" x14ac:dyDescent="0.25">
      <c r="A6362" s="1033"/>
      <c r="E6362" s="130"/>
    </row>
    <row r="6363" spans="1:5" x14ac:dyDescent="0.25">
      <c r="A6363" s="1033"/>
      <c r="E6363" s="130"/>
    </row>
    <row r="6364" spans="1:5" x14ac:dyDescent="0.25">
      <c r="A6364" s="1033"/>
      <c r="E6364" s="130"/>
    </row>
    <row r="6365" spans="1:5" x14ac:dyDescent="0.25">
      <c r="A6365" s="1033"/>
      <c r="E6365" s="130"/>
    </row>
    <row r="6366" spans="1:5" x14ac:dyDescent="0.25">
      <c r="A6366" s="1033"/>
      <c r="E6366" s="130"/>
    </row>
    <row r="6367" spans="1:5" x14ac:dyDescent="0.25">
      <c r="A6367" s="1033"/>
      <c r="E6367" s="130"/>
    </row>
    <row r="6368" spans="1:5" x14ac:dyDescent="0.25">
      <c r="A6368" s="1033"/>
      <c r="E6368" s="130"/>
    </row>
    <row r="6369" spans="1:5" x14ac:dyDescent="0.25">
      <c r="A6369" s="1033"/>
      <c r="E6369" s="130"/>
    </row>
    <row r="6370" spans="1:5" x14ac:dyDescent="0.25">
      <c r="A6370" s="1033"/>
      <c r="E6370" s="130"/>
    </row>
    <row r="6371" spans="1:5" x14ac:dyDescent="0.25">
      <c r="A6371" s="1033"/>
      <c r="E6371" s="130"/>
    </row>
    <row r="6372" spans="1:5" x14ac:dyDescent="0.25">
      <c r="A6372" s="1033"/>
      <c r="E6372" s="130"/>
    </row>
    <row r="6373" spans="1:5" x14ac:dyDescent="0.25">
      <c r="A6373" s="1033"/>
      <c r="E6373" s="130"/>
    </row>
    <row r="6374" spans="1:5" x14ac:dyDescent="0.25">
      <c r="A6374" s="1033"/>
      <c r="E6374" s="130"/>
    </row>
    <row r="6375" spans="1:5" x14ac:dyDescent="0.25">
      <c r="A6375" s="1033"/>
      <c r="E6375" s="130"/>
    </row>
    <row r="6376" spans="1:5" x14ac:dyDescent="0.25">
      <c r="A6376" s="1033"/>
      <c r="E6376" s="130"/>
    </row>
    <row r="6377" spans="1:5" x14ac:dyDescent="0.25">
      <c r="A6377" s="1033"/>
      <c r="E6377" s="130"/>
    </row>
    <row r="6378" spans="1:5" x14ac:dyDescent="0.25">
      <c r="A6378" s="1033"/>
      <c r="E6378" s="130"/>
    </row>
    <row r="6379" spans="1:5" x14ac:dyDescent="0.25">
      <c r="A6379" s="1033"/>
      <c r="E6379" s="130"/>
    </row>
    <row r="6380" spans="1:5" x14ac:dyDescent="0.25">
      <c r="A6380" s="1033"/>
      <c r="E6380" s="130"/>
    </row>
    <row r="6381" spans="1:5" x14ac:dyDescent="0.25">
      <c r="A6381" s="1033"/>
      <c r="E6381" s="130"/>
    </row>
    <row r="6382" spans="1:5" x14ac:dyDescent="0.25">
      <c r="A6382" s="1033"/>
      <c r="E6382" s="130"/>
    </row>
    <row r="6383" spans="1:5" x14ac:dyDescent="0.25">
      <c r="A6383" s="1033"/>
      <c r="E6383" s="130"/>
    </row>
    <row r="6384" spans="1:5" x14ac:dyDescent="0.25">
      <c r="A6384" s="1033"/>
      <c r="E6384" s="130"/>
    </row>
    <row r="6385" spans="1:5" x14ac:dyDescent="0.25">
      <c r="A6385" s="1033"/>
      <c r="E6385" s="130"/>
    </row>
    <row r="6386" spans="1:5" x14ac:dyDescent="0.25">
      <c r="A6386" s="1033"/>
      <c r="E6386" s="130"/>
    </row>
    <row r="6387" spans="1:5" x14ac:dyDescent="0.25">
      <c r="A6387" s="1033"/>
      <c r="E6387" s="130"/>
    </row>
    <row r="6388" spans="1:5" x14ac:dyDescent="0.25">
      <c r="A6388" s="1033"/>
      <c r="E6388" s="130"/>
    </row>
    <row r="6389" spans="1:5" x14ac:dyDescent="0.25">
      <c r="A6389" s="1033"/>
      <c r="E6389" s="130"/>
    </row>
    <row r="6390" spans="1:5" x14ac:dyDescent="0.25">
      <c r="A6390" s="1033"/>
      <c r="E6390" s="130"/>
    </row>
    <row r="6391" spans="1:5" x14ac:dyDescent="0.25">
      <c r="A6391" s="1033"/>
      <c r="E6391" s="130"/>
    </row>
    <row r="6392" spans="1:5" x14ac:dyDescent="0.25">
      <c r="A6392" s="1033"/>
      <c r="E6392" s="130"/>
    </row>
    <row r="6393" spans="1:5" x14ac:dyDescent="0.25">
      <c r="A6393" s="1033"/>
      <c r="E6393" s="130"/>
    </row>
    <row r="6394" spans="1:5" x14ac:dyDescent="0.25">
      <c r="A6394" s="1033"/>
      <c r="E6394" s="130"/>
    </row>
    <row r="6395" spans="1:5" x14ac:dyDescent="0.25">
      <c r="A6395" s="1033"/>
      <c r="E6395" s="130"/>
    </row>
    <row r="6396" spans="1:5" x14ac:dyDescent="0.25">
      <c r="A6396" s="1033"/>
      <c r="E6396" s="130"/>
    </row>
    <row r="6397" spans="1:5" x14ac:dyDescent="0.25">
      <c r="A6397" s="1033"/>
      <c r="E6397" s="130"/>
    </row>
    <row r="6398" spans="1:5" x14ac:dyDescent="0.25">
      <c r="A6398" s="1033"/>
      <c r="E6398" s="130"/>
    </row>
    <row r="6399" spans="1:5" x14ac:dyDescent="0.25">
      <c r="A6399" s="1033"/>
      <c r="E6399" s="130"/>
    </row>
    <row r="6400" spans="1:5" x14ac:dyDescent="0.25">
      <c r="A6400" s="1033"/>
      <c r="E6400" s="130"/>
    </row>
    <row r="6401" spans="1:5" x14ac:dyDescent="0.25">
      <c r="A6401" s="1033"/>
      <c r="E6401" s="130"/>
    </row>
    <row r="6402" spans="1:5" x14ac:dyDescent="0.25">
      <c r="A6402" s="1033"/>
      <c r="E6402" s="130"/>
    </row>
    <row r="6403" spans="1:5" x14ac:dyDescent="0.25">
      <c r="A6403" s="1033"/>
      <c r="E6403" s="130"/>
    </row>
    <row r="6404" spans="1:5" x14ac:dyDescent="0.25">
      <c r="A6404" s="1033"/>
      <c r="E6404" s="130"/>
    </row>
    <row r="6405" spans="1:5" x14ac:dyDescent="0.25">
      <c r="A6405" s="1033"/>
      <c r="E6405" s="130"/>
    </row>
    <row r="6406" spans="1:5" x14ac:dyDescent="0.25">
      <c r="A6406" s="1033"/>
      <c r="E6406" s="130"/>
    </row>
    <row r="6407" spans="1:5" x14ac:dyDescent="0.25">
      <c r="A6407" s="1033"/>
      <c r="E6407" s="130"/>
    </row>
    <row r="6408" spans="1:5" x14ac:dyDescent="0.25">
      <c r="A6408" s="1033"/>
      <c r="E6408" s="130"/>
    </row>
    <row r="6409" spans="1:5" x14ac:dyDescent="0.25">
      <c r="A6409" s="1033"/>
      <c r="E6409" s="130"/>
    </row>
    <row r="6410" spans="1:5" x14ac:dyDescent="0.25">
      <c r="A6410" s="1033"/>
      <c r="E6410" s="130"/>
    </row>
    <row r="6411" spans="1:5" x14ac:dyDescent="0.25">
      <c r="A6411" s="1033"/>
      <c r="E6411" s="130"/>
    </row>
    <row r="6412" spans="1:5" x14ac:dyDescent="0.25">
      <c r="A6412" s="1033"/>
      <c r="E6412" s="130"/>
    </row>
    <row r="6413" spans="1:5" x14ac:dyDescent="0.25">
      <c r="A6413" s="1033"/>
      <c r="E6413" s="130"/>
    </row>
    <row r="6414" spans="1:5" x14ac:dyDescent="0.25">
      <c r="A6414" s="1033"/>
      <c r="E6414" s="130"/>
    </row>
    <row r="6415" spans="1:5" x14ac:dyDescent="0.25">
      <c r="A6415" s="1033"/>
      <c r="E6415" s="130"/>
    </row>
    <row r="6416" spans="1:5" x14ac:dyDescent="0.25">
      <c r="A6416" s="1033"/>
      <c r="E6416" s="130"/>
    </row>
    <row r="6417" spans="1:5" x14ac:dyDescent="0.25">
      <c r="A6417" s="1033"/>
      <c r="E6417" s="130"/>
    </row>
    <row r="6418" spans="1:5" x14ac:dyDescent="0.25">
      <c r="A6418" s="1033"/>
      <c r="E6418" s="130"/>
    </row>
    <row r="6419" spans="1:5" x14ac:dyDescent="0.25">
      <c r="A6419" s="1033"/>
      <c r="E6419" s="130"/>
    </row>
    <row r="6420" spans="1:5" x14ac:dyDescent="0.25">
      <c r="A6420" s="1033"/>
      <c r="E6420" s="130"/>
    </row>
    <row r="6421" spans="1:5" x14ac:dyDescent="0.25">
      <c r="A6421" s="1033"/>
      <c r="E6421" s="130"/>
    </row>
    <row r="6422" spans="1:5" x14ac:dyDescent="0.25">
      <c r="A6422" s="1033"/>
      <c r="E6422" s="130"/>
    </row>
    <row r="6423" spans="1:5" x14ac:dyDescent="0.25">
      <c r="A6423" s="1033"/>
      <c r="E6423" s="130"/>
    </row>
    <row r="6424" spans="1:5" x14ac:dyDescent="0.25">
      <c r="A6424" s="1033"/>
      <c r="E6424" s="130"/>
    </row>
    <row r="6425" spans="1:5" x14ac:dyDescent="0.25">
      <c r="A6425" s="1033"/>
      <c r="E6425" s="130"/>
    </row>
    <row r="6426" spans="1:5" x14ac:dyDescent="0.25">
      <c r="A6426" s="1033"/>
      <c r="E6426" s="130"/>
    </row>
    <row r="6427" spans="1:5" x14ac:dyDescent="0.25">
      <c r="A6427" s="1033"/>
      <c r="E6427" s="130"/>
    </row>
    <row r="6428" spans="1:5" x14ac:dyDescent="0.25">
      <c r="A6428" s="1033"/>
      <c r="E6428" s="130"/>
    </row>
    <row r="6429" spans="1:5" x14ac:dyDescent="0.25">
      <c r="A6429" s="1033"/>
      <c r="E6429" s="130"/>
    </row>
    <row r="6430" spans="1:5" x14ac:dyDescent="0.25">
      <c r="A6430" s="1033"/>
      <c r="E6430" s="130"/>
    </row>
    <row r="6431" spans="1:5" x14ac:dyDescent="0.25">
      <c r="A6431" s="1033"/>
      <c r="E6431" s="130"/>
    </row>
    <row r="6432" spans="1:5" x14ac:dyDescent="0.25">
      <c r="A6432" s="1033"/>
      <c r="E6432" s="130"/>
    </row>
    <row r="6433" spans="1:5" x14ac:dyDescent="0.25">
      <c r="A6433" s="1033"/>
      <c r="E6433" s="130"/>
    </row>
    <row r="6434" spans="1:5" x14ac:dyDescent="0.25">
      <c r="A6434" s="1033"/>
      <c r="E6434" s="130"/>
    </row>
    <row r="6435" spans="1:5" x14ac:dyDescent="0.25">
      <c r="A6435" s="1033"/>
      <c r="E6435" s="130"/>
    </row>
    <row r="6436" spans="1:5" x14ac:dyDescent="0.25">
      <c r="A6436" s="1033"/>
      <c r="E6436" s="130"/>
    </row>
    <row r="6437" spans="1:5" x14ac:dyDescent="0.25">
      <c r="A6437" s="1033"/>
      <c r="E6437" s="130"/>
    </row>
    <row r="6438" spans="1:5" x14ac:dyDescent="0.25">
      <c r="A6438" s="1033"/>
      <c r="E6438" s="130"/>
    </row>
    <row r="6439" spans="1:5" x14ac:dyDescent="0.25">
      <c r="A6439" s="1033"/>
      <c r="E6439" s="130"/>
    </row>
    <row r="6440" spans="1:5" x14ac:dyDescent="0.25">
      <c r="A6440" s="1033"/>
      <c r="E6440" s="130"/>
    </row>
    <row r="6441" spans="1:5" x14ac:dyDescent="0.25">
      <c r="A6441" s="1033"/>
      <c r="E6441" s="130"/>
    </row>
    <row r="6442" spans="1:5" x14ac:dyDescent="0.25">
      <c r="A6442" s="1033"/>
      <c r="E6442" s="130"/>
    </row>
    <row r="6443" spans="1:5" x14ac:dyDescent="0.25">
      <c r="A6443" s="1033"/>
      <c r="E6443" s="130"/>
    </row>
    <row r="6444" spans="1:5" x14ac:dyDescent="0.25">
      <c r="A6444" s="1033"/>
      <c r="E6444" s="130"/>
    </row>
    <row r="6445" spans="1:5" x14ac:dyDescent="0.25">
      <c r="A6445" s="1033"/>
      <c r="E6445" s="130"/>
    </row>
    <row r="6446" spans="1:5" x14ac:dyDescent="0.25">
      <c r="A6446" s="1033"/>
      <c r="E6446" s="130"/>
    </row>
    <row r="6447" spans="1:5" x14ac:dyDescent="0.25">
      <c r="A6447" s="1033"/>
      <c r="E6447" s="130"/>
    </row>
    <row r="6448" spans="1:5" x14ac:dyDescent="0.25">
      <c r="A6448" s="1033"/>
      <c r="E6448" s="130"/>
    </row>
    <row r="6449" spans="1:5" x14ac:dyDescent="0.25">
      <c r="A6449" s="1033"/>
      <c r="E6449" s="130"/>
    </row>
    <row r="6450" spans="1:5" x14ac:dyDescent="0.25">
      <c r="A6450" s="1033"/>
      <c r="E6450" s="130"/>
    </row>
    <row r="6451" spans="1:5" x14ac:dyDescent="0.25">
      <c r="A6451" s="1033"/>
      <c r="E6451" s="130"/>
    </row>
    <row r="6452" spans="1:5" x14ac:dyDescent="0.25">
      <c r="A6452" s="1033"/>
      <c r="E6452" s="130"/>
    </row>
    <row r="6453" spans="1:5" x14ac:dyDescent="0.25">
      <c r="A6453" s="1033"/>
      <c r="E6453" s="130"/>
    </row>
    <row r="6454" spans="1:5" x14ac:dyDescent="0.25">
      <c r="A6454" s="1033"/>
      <c r="E6454" s="130"/>
    </row>
    <row r="6455" spans="1:5" x14ac:dyDescent="0.25">
      <c r="A6455" s="1033"/>
      <c r="E6455" s="130"/>
    </row>
    <row r="6456" spans="1:5" x14ac:dyDescent="0.25">
      <c r="A6456" s="1033"/>
      <c r="E6456" s="130"/>
    </row>
    <row r="6457" spans="1:5" x14ac:dyDescent="0.25">
      <c r="A6457" s="1033"/>
      <c r="E6457" s="130"/>
    </row>
    <row r="6458" spans="1:5" x14ac:dyDescent="0.25">
      <c r="A6458" s="1033"/>
      <c r="E6458" s="130"/>
    </row>
    <row r="6459" spans="1:5" x14ac:dyDescent="0.25">
      <c r="A6459" s="1033"/>
      <c r="E6459" s="130"/>
    </row>
    <row r="6460" spans="1:5" x14ac:dyDescent="0.25">
      <c r="A6460" s="1033"/>
      <c r="E6460" s="130"/>
    </row>
    <row r="6461" spans="1:5" x14ac:dyDescent="0.25">
      <c r="A6461" s="1033"/>
      <c r="E6461" s="130"/>
    </row>
    <row r="6462" spans="1:5" x14ac:dyDescent="0.25">
      <c r="A6462" s="1033"/>
      <c r="E6462" s="130"/>
    </row>
    <row r="6463" spans="1:5" x14ac:dyDescent="0.25">
      <c r="A6463" s="1033"/>
      <c r="E6463" s="130"/>
    </row>
    <row r="6464" spans="1:5" x14ac:dyDescent="0.25">
      <c r="A6464" s="1033"/>
      <c r="E6464" s="130"/>
    </row>
    <row r="6465" spans="1:5" x14ac:dyDescent="0.25">
      <c r="A6465" s="1033"/>
      <c r="E6465" s="130"/>
    </row>
    <row r="6466" spans="1:5" x14ac:dyDescent="0.25">
      <c r="A6466" s="1033"/>
      <c r="E6466" s="130"/>
    </row>
    <row r="6467" spans="1:5" x14ac:dyDescent="0.25">
      <c r="A6467" s="1033"/>
      <c r="E6467" s="130"/>
    </row>
    <row r="6468" spans="1:5" x14ac:dyDescent="0.25">
      <c r="A6468" s="1033"/>
      <c r="E6468" s="130"/>
    </row>
    <row r="6469" spans="1:5" x14ac:dyDescent="0.25">
      <c r="A6469" s="1033"/>
      <c r="E6469" s="130"/>
    </row>
    <row r="6470" spans="1:5" x14ac:dyDescent="0.25">
      <c r="A6470" s="1033"/>
      <c r="E6470" s="130"/>
    </row>
    <row r="6471" spans="1:5" x14ac:dyDescent="0.25">
      <c r="A6471" s="1033"/>
      <c r="E6471" s="130"/>
    </row>
    <row r="6472" spans="1:5" x14ac:dyDescent="0.25">
      <c r="A6472" s="1033"/>
      <c r="E6472" s="130"/>
    </row>
    <row r="6473" spans="1:5" x14ac:dyDescent="0.25">
      <c r="A6473" s="1033"/>
      <c r="E6473" s="130"/>
    </row>
    <row r="6474" spans="1:5" x14ac:dyDescent="0.25">
      <c r="A6474" s="1033"/>
      <c r="E6474" s="130"/>
    </row>
    <row r="6475" spans="1:5" x14ac:dyDescent="0.25">
      <c r="A6475" s="1033"/>
      <c r="E6475" s="130"/>
    </row>
    <row r="6476" spans="1:5" x14ac:dyDescent="0.25">
      <c r="A6476" s="1033"/>
      <c r="E6476" s="130"/>
    </row>
    <row r="6477" spans="1:5" x14ac:dyDescent="0.25">
      <c r="A6477" s="1033"/>
      <c r="E6477" s="130"/>
    </row>
    <row r="6478" spans="1:5" x14ac:dyDescent="0.25">
      <c r="A6478" s="1033"/>
      <c r="E6478" s="130"/>
    </row>
    <row r="6479" spans="1:5" x14ac:dyDescent="0.25">
      <c r="A6479" s="1033"/>
      <c r="E6479" s="130"/>
    </row>
    <row r="6480" spans="1:5" x14ac:dyDescent="0.25">
      <c r="A6480" s="1033"/>
      <c r="E6480" s="130"/>
    </row>
    <row r="6481" spans="1:5" x14ac:dyDescent="0.25">
      <c r="A6481" s="1033"/>
      <c r="E6481" s="130"/>
    </row>
    <row r="6482" spans="1:5" x14ac:dyDescent="0.25">
      <c r="A6482" s="1033"/>
      <c r="E6482" s="130"/>
    </row>
    <row r="6483" spans="1:5" x14ac:dyDescent="0.25">
      <c r="A6483" s="1033"/>
      <c r="E6483" s="130"/>
    </row>
    <row r="6484" spans="1:5" x14ac:dyDescent="0.25">
      <c r="A6484" s="1033"/>
      <c r="E6484" s="130"/>
    </row>
    <row r="6485" spans="1:5" x14ac:dyDescent="0.25">
      <c r="A6485" s="1033"/>
      <c r="E6485" s="130"/>
    </row>
    <row r="6486" spans="1:5" x14ac:dyDescent="0.25">
      <c r="A6486" s="1033"/>
      <c r="E6486" s="130"/>
    </row>
    <row r="6487" spans="1:5" x14ac:dyDescent="0.25">
      <c r="A6487" s="1033"/>
      <c r="E6487" s="130"/>
    </row>
    <row r="6488" spans="1:5" x14ac:dyDescent="0.25">
      <c r="A6488" s="1033"/>
      <c r="E6488" s="130"/>
    </row>
    <row r="6489" spans="1:5" x14ac:dyDescent="0.25">
      <c r="A6489" s="1033"/>
      <c r="E6489" s="130"/>
    </row>
    <row r="6490" spans="1:5" x14ac:dyDescent="0.25">
      <c r="A6490" s="1033"/>
      <c r="E6490" s="130"/>
    </row>
    <row r="6491" spans="1:5" x14ac:dyDescent="0.25">
      <c r="A6491" s="1033"/>
      <c r="E6491" s="130"/>
    </row>
    <row r="6492" spans="1:5" x14ac:dyDescent="0.25">
      <c r="A6492" s="1033"/>
      <c r="E6492" s="130"/>
    </row>
    <row r="6493" spans="1:5" x14ac:dyDescent="0.25">
      <c r="A6493" s="1033"/>
      <c r="E6493" s="130"/>
    </row>
    <row r="6494" spans="1:5" x14ac:dyDescent="0.25">
      <c r="A6494" s="1033"/>
      <c r="E6494" s="130"/>
    </row>
    <row r="6495" spans="1:5" x14ac:dyDescent="0.25">
      <c r="A6495" s="1033"/>
      <c r="E6495" s="130"/>
    </row>
    <row r="6496" spans="1:5" x14ac:dyDescent="0.25">
      <c r="A6496" s="1033"/>
      <c r="E6496" s="130"/>
    </row>
    <row r="6497" spans="1:5" x14ac:dyDescent="0.25">
      <c r="A6497" s="1033"/>
      <c r="E6497" s="130"/>
    </row>
    <row r="6498" spans="1:5" x14ac:dyDescent="0.25">
      <c r="A6498" s="1033"/>
      <c r="E6498" s="130"/>
    </row>
    <row r="6499" spans="1:5" x14ac:dyDescent="0.25">
      <c r="A6499" s="1033"/>
      <c r="E6499" s="130"/>
    </row>
    <row r="6500" spans="1:5" x14ac:dyDescent="0.25">
      <c r="A6500" s="1033"/>
      <c r="E6500" s="130"/>
    </row>
    <row r="6501" spans="1:5" x14ac:dyDescent="0.25">
      <c r="A6501" s="1033"/>
      <c r="E6501" s="130"/>
    </row>
    <row r="6502" spans="1:5" x14ac:dyDescent="0.25">
      <c r="A6502" s="1033"/>
      <c r="E6502" s="130"/>
    </row>
    <row r="6503" spans="1:5" x14ac:dyDescent="0.25">
      <c r="A6503" s="1033"/>
      <c r="E6503" s="130"/>
    </row>
    <row r="6504" spans="1:5" x14ac:dyDescent="0.25">
      <c r="A6504" s="1033"/>
      <c r="E6504" s="130"/>
    </row>
    <row r="6505" spans="1:5" x14ac:dyDescent="0.25">
      <c r="A6505" s="1033"/>
      <c r="E6505" s="130"/>
    </row>
    <row r="6506" spans="1:5" x14ac:dyDescent="0.25">
      <c r="A6506" s="1033"/>
      <c r="E6506" s="130"/>
    </row>
    <row r="6507" spans="1:5" x14ac:dyDescent="0.25">
      <c r="A6507" s="1033"/>
      <c r="E6507" s="130"/>
    </row>
    <row r="6508" spans="1:5" x14ac:dyDescent="0.25">
      <c r="A6508" s="1033"/>
      <c r="E6508" s="130"/>
    </row>
    <row r="6509" spans="1:5" x14ac:dyDescent="0.25">
      <c r="A6509" s="1033"/>
      <c r="E6509" s="130"/>
    </row>
    <row r="6510" spans="1:5" x14ac:dyDescent="0.25">
      <c r="A6510" s="1033"/>
      <c r="E6510" s="130"/>
    </row>
    <row r="6511" spans="1:5" x14ac:dyDescent="0.25">
      <c r="A6511" s="1033"/>
      <c r="E6511" s="130"/>
    </row>
    <row r="6512" spans="1:5" x14ac:dyDescent="0.25">
      <c r="A6512" s="1033"/>
      <c r="E6512" s="130"/>
    </row>
    <row r="6513" spans="1:5" x14ac:dyDescent="0.25">
      <c r="A6513" s="1033"/>
      <c r="E6513" s="130"/>
    </row>
    <row r="6514" spans="1:5" x14ac:dyDescent="0.25">
      <c r="A6514" s="1033"/>
      <c r="E6514" s="130"/>
    </row>
    <row r="6515" spans="1:5" x14ac:dyDescent="0.25">
      <c r="A6515" s="1033"/>
      <c r="E6515" s="130"/>
    </row>
    <row r="6516" spans="1:5" x14ac:dyDescent="0.25">
      <c r="A6516" s="1033"/>
      <c r="E6516" s="130"/>
    </row>
    <row r="6517" spans="1:5" x14ac:dyDescent="0.25">
      <c r="A6517" s="1033"/>
      <c r="E6517" s="130"/>
    </row>
    <row r="6518" spans="1:5" x14ac:dyDescent="0.25">
      <c r="A6518" s="1033"/>
      <c r="E6518" s="130"/>
    </row>
    <row r="6519" spans="1:5" x14ac:dyDescent="0.25">
      <c r="A6519" s="1033"/>
      <c r="E6519" s="130"/>
    </row>
    <row r="6520" spans="1:5" x14ac:dyDescent="0.25">
      <c r="A6520" s="1033"/>
      <c r="E6520" s="130"/>
    </row>
    <row r="6521" spans="1:5" x14ac:dyDescent="0.25">
      <c r="A6521" s="1033"/>
      <c r="E6521" s="130"/>
    </row>
    <row r="6522" spans="1:5" x14ac:dyDescent="0.25">
      <c r="A6522" s="1033"/>
      <c r="E6522" s="130"/>
    </row>
    <row r="6523" spans="1:5" x14ac:dyDescent="0.25">
      <c r="A6523" s="1033"/>
      <c r="E6523" s="130"/>
    </row>
    <row r="6524" spans="1:5" x14ac:dyDescent="0.25">
      <c r="A6524" s="1033"/>
      <c r="E6524" s="130"/>
    </row>
    <row r="6525" spans="1:5" x14ac:dyDescent="0.25">
      <c r="A6525" s="1033"/>
      <c r="E6525" s="130"/>
    </row>
    <row r="6526" spans="1:5" x14ac:dyDescent="0.25">
      <c r="A6526" s="1033"/>
      <c r="E6526" s="130"/>
    </row>
    <row r="6527" spans="1:5" x14ac:dyDescent="0.25">
      <c r="A6527" s="1033"/>
      <c r="E6527" s="130"/>
    </row>
    <row r="6528" spans="1:5" x14ac:dyDescent="0.25">
      <c r="A6528" s="1033"/>
      <c r="E6528" s="130"/>
    </row>
    <row r="6529" spans="1:5" x14ac:dyDescent="0.25">
      <c r="A6529" s="1033"/>
      <c r="E6529" s="130"/>
    </row>
    <row r="6530" spans="1:5" x14ac:dyDescent="0.25">
      <c r="A6530" s="1033"/>
      <c r="E6530" s="130"/>
    </row>
    <row r="6531" spans="1:5" x14ac:dyDescent="0.25">
      <c r="A6531" s="1033"/>
      <c r="E6531" s="130"/>
    </row>
    <row r="6532" spans="1:5" x14ac:dyDescent="0.25">
      <c r="A6532" s="1033"/>
      <c r="E6532" s="130"/>
    </row>
    <row r="6533" spans="1:5" x14ac:dyDescent="0.25">
      <c r="A6533" s="1033"/>
      <c r="E6533" s="130"/>
    </row>
    <row r="6534" spans="1:5" x14ac:dyDescent="0.25">
      <c r="A6534" s="1033"/>
      <c r="E6534" s="130"/>
    </row>
    <row r="6535" spans="1:5" x14ac:dyDescent="0.25">
      <c r="A6535" s="1033"/>
      <c r="E6535" s="130"/>
    </row>
    <row r="6536" spans="1:5" x14ac:dyDescent="0.25">
      <c r="A6536" s="1033"/>
      <c r="E6536" s="130"/>
    </row>
    <row r="6537" spans="1:5" x14ac:dyDescent="0.25">
      <c r="A6537" s="1033"/>
      <c r="E6537" s="130"/>
    </row>
    <row r="6538" spans="1:5" x14ac:dyDescent="0.25">
      <c r="A6538" s="1033"/>
      <c r="E6538" s="130"/>
    </row>
    <row r="6539" spans="1:5" x14ac:dyDescent="0.25">
      <c r="A6539" s="1033"/>
      <c r="E6539" s="130"/>
    </row>
    <row r="6540" spans="1:5" x14ac:dyDescent="0.25">
      <c r="A6540" s="1033"/>
      <c r="E6540" s="130"/>
    </row>
    <row r="6541" spans="1:5" x14ac:dyDescent="0.25">
      <c r="A6541" s="1033"/>
      <c r="E6541" s="130"/>
    </row>
    <row r="6542" spans="1:5" x14ac:dyDescent="0.25">
      <c r="A6542" s="1033"/>
      <c r="E6542" s="130"/>
    </row>
    <row r="6543" spans="1:5" x14ac:dyDescent="0.25">
      <c r="A6543" s="1033"/>
      <c r="E6543" s="130"/>
    </row>
    <row r="6544" spans="1:5" x14ac:dyDescent="0.25">
      <c r="A6544" s="1033"/>
      <c r="E6544" s="130"/>
    </row>
    <row r="6545" spans="1:5" x14ac:dyDescent="0.25">
      <c r="A6545" s="1033"/>
      <c r="E6545" s="130"/>
    </row>
    <row r="6546" spans="1:5" x14ac:dyDescent="0.25">
      <c r="A6546" s="1033"/>
      <c r="E6546" s="130"/>
    </row>
    <row r="6547" spans="1:5" x14ac:dyDescent="0.25">
      <c r="A6547" s="1033"/>
      <c r="E6547" s="130"/>
    </row>
    <row r="6548" spans="1:5" x14ac:dyDescent="0.25">
      <c r="A6548" s="1033"/>
      <c r="E6548" s="130"/>
    </row>
    <row r="6549" spans="1:5" x14ac:dyDescent="0.25">
      <c r="A6549" s="1033"/>
      <c r="E6549" s="130"/>
    </row>
    <row r="6550" spans="1:5" x14ac:dyDescent="0.25">
      <c r="A6550" s="1033"/>
      <c r="E6550" s="130"/>
    </row>
    <row r="6551" spans="1:5" x14ac:dyDescent="0.25">
      <c r="A6551" s="1033"/>
      <c r="E6551" s="130"/>
    </row>
    <row r="6552" spans="1:5" x14ac:dyDescent="0.25">
      <c r="A6552" s="1033"/>
      <c r="E6552" s="130"/>
    </row>
    <row r="6553" spans="1:5" x14ac:dyDescent="0.25">
      <c r="A6553" s="1033"/>
      <c r="E6553" s="130"/>
    </row>
    <row r="6554" spans="1:5" x14ac:dyDescent="0.25">
      <c r="A6554" s="1033"/>
      <c r="E6554" s="130"/>
    </row>
    <row r="6555" spans="1:5" x14ac:dyDescent="0.25">
      <c r="A6555" s="1033"/>
      <c r="E6555" s="130"/>
    </row>
    <row r="6556" spans="1:5" x14ac:dyDescent="0.25">
      <c r="A6556" s="1033"/>
      <c r="E6556" s="130"/>
    </row>
    <row r="6557" spans="1:5" x14ac:dyDescent="0.25">
      <c r="A6557" s="1033"/>
      <c r="E6557" s="130"/>
    </row>
    <row r="6558" spans="1:5" x14ac:dyDescent="0.25">
      <c r="A6558" s="1033"/>
      <c r="E6558" s="130"/>
    </row>
    <row r="6559" spans="1:5" x14ac:dyDescent="0.25">
      <c r="A6559" s="1033"/>
      <c r="E6559" s="130"/>
    </row>
    <row r="6560" spans="1:5" x14ac:dyDescent="0.25">
      <c r="A6560" s="1033"/>
      <c r="E6560" s="130"/>
    </row>
    <row r="6561" spans="1:5" x14ac:dyDescent="0.25">
      <c r="A6561" s="1033"/>
      <c r="E6561" s="130"/>
    </row>
    <row r="6562" spans="1:5" x14ac:dyDescent="0.25">
      <c r="A6562" s="1033"/>
      <c r="E6562" s="130"/>
    </row>
    <row r="6563" spans="1:5" x14ac:dyDescent="0.25">
      <c r="A6563" s="1033"/>
      <c r="E6563" s="130"/>
    </row>
    <row r="6564" spans="1:5" x14ac:dyDescent="0.25">
      <c r="A6564" s="1033"/>
      <c r="E6564" s="130"/>
    </row>
    <row r="6565" spans="1:5" x14ac:dyDescent="0.25">
      <c r="A6565" s="1033"/>
      <c r="E6565" s="130"/>
    </row>
    <row r="6566" spans="1:5" x14ac:dyDescent="0.25">
      <c r="A6566" s="1033"/>
      <c r="E6566" s="130"/>
    </row>
    <row r="6567" spans="1:5" x14ac:dyDescent="0.25">
      <c r="A6567" s="1033"/>
      <c r="E6567" s="130"/>
    </row>
    <row r="6568" spans="1:5" x14ac:dyDescent="0.25">
      <c r="A6568" s="1033"/>
      <c r="E6568" s="130"/>
    </row>
    <row r="6569" spans="1:5" x14ac:dyDescent="0.25">
      <c r="A6569" s="1033"/>
      <c r="E6569" s="130"/>
    </row>
    <row r="6570" spans="1:5" x14ac:dyDescent="0.25">
      <c r="A6570" s="1033"/>
      <c r="E6570" s="130"/>
    </row>
    <row r="6571" spans="1:5" x14ac:dyDescent="0.25">
      <c r="A6571" s="1033"/>
      <c r="E6571" s="130"/>
    </row>
    <row r="6572" spans="1:5" x14ac:dyDescent="0.25">
      <c r="A6572" s="1033"/>
      <c r="E6572" s="130"/>
    </row>
    <row r="6573" spans="1:5" x14ac:dyDescent="0.25">
      <c r="A6573" s="1033"/>
      <c r="E6573" s="130"/>
    </row>
    <row r="6574" spans="1:5" x14ac:dyDescent="0.25">
      <c r="A6574" s="1033"/>
      <c r="E6574" s="130"/>
    </row>
    <row r="6575" spans="1:5" x14ac:dyDescent="0.25">
      <c r="A6575" s="1033"/>
      <c r="E6575" s="130"/>
    </row>
    <row r="6576" spans="1:5" x14ac:dyDescent="0.25">
      <c r="A6576" s="1033"/>
      <c r="E6576" s="130"/>
    </row>
    <row r="6577" spans="1:5" x14ac:dyDescent="0.25">
      <c r="A6577" s="1033"/>
      <c r="E6577" s="130"/>
    </row>
    <row r="6578" spans="1:5" x14ac:dyDescent="0.25">
      <c r="A6578" s="1033"/>
      <c r="E6578" s="130"/>
    </row>
    <row r="6579" spans="1:5" x14ac:dyDescent="0.25">
      <c r="A6579" s="1033"/>
      <c r="E6579" s="130"/>
    </row>
    <row r="6580" spans="1:5" x14ac:dyDescent="0.25">
      <c r="A6580" s="1033"/>
      <c r="E6580" s="130"/>
    </row>
    <row r="6581" spans="1:5" x14ac:dyDescent="0.25">
      <c r="A6581" s="1033"/>
      <c r="E6581" s="130"/>
    </row>
    <row r="6582" spans="1:5" x14ac:dyDescent="0.25">
      <c r="A6582" s="1033"/>
      <c r="E6582" s="130"/>
    </row>
    <row r="6583" spans="1:5" x14ac:dyDescent="0.25">
      <c r="A6583" s="1033"/>
      <c r="E6583" s="130"/>
    </row>
    <row r="6584" spans="1:5" x14ac:dyDescent="0.25">
      <c r="A6584" s="1033"/>
      <c r="E6584" s="130"/>
    </row>
    <row r="6585" spans="1:5" x14ac:dyDescent="0.25">
      <c r="A6585" s="1033"/>
      <c r="E6585" s="130"/>
    </row>
    <row r="6586" spans="1:5" x14ac:dyDescent="0.25">
      <c r="A6586" s="1033"/>
      <c r="E6586" s="130"/>
    </row>
    <row r="6587" spans="1:5" x14ac:dyDescent="0.25">
      <c r="A6587" s="1033"/>
      <c r="E6587" s="130"/>
    </row>
    <row r="6588" spans="1:5" x14ac:dyDescent="0.25">
      <c r="A6588" s="1033"/>
      <c r="E6588" s="130"/>
    </row>
    <row r="6589" spans="1:5" x14ac:dyDescent="0.25">
      <c r="A6589" s="1033"/>
      <c r="E6589" s="130"/>
    </row>
    <row r="6590" spans="1:5" x14ac:dyDescent="0.25">
      <c r="A6590" s="1033"/>
      <c r="E6590" s="130"/>
    </row>
    <row r="6591" spans="1:5" x14ac:dyDescent="0.25">
      <c r="A6591" s="1033"/>
      <c r="E6591" s="130"/>
    </row>
    <row r="6592" spans="1:5" x14ac:dyDescent="0.25">
      <c r="A6592" s="1033"/>
      <c r="E6592" s="130"/>
    </row>
    <row r="6593" spans="1:5" x14ac:dyDescent="0.25">
      <c r="A6593" s="1033"/>
      <c r="E6593" s="130"/>
    </row>
    <row r="6594" spans="1:5" x14ac:dyDescent="0.25">
      <c r="A6594" s="1033"/>
      <c r="E6594" s="130"/>
    </row>
    <row r="6595" spans="1:5" x14ac:dyDescent="0.25">
      <c r="A6595" s="1033"/>
      <c r="E6595" s="130"/>
    </row>
    <row r="6596" spans="1:5" x14ac:dyDescent="0.25">
      <c r="A6596" s="1033"/>
      <c r="E6596" s="130"/>
    </row>
    <row r="6597" spans="1:5" x14ac:dyDescent="0.25">
      <c r="A6597" s="1033"/>
      <c r="E6597" s="130"/>
    </row>
    <row r="6598" spans="1:5" x14ac:dyDescent="0.25">
      <c r="A6598" s="1033"/>
      <c r="E6598" s="130"/>
    </row>
    <row r="6599" spans="1:5" x14ac:dyDescent="0.25">
      <c r="A6599" s="1033"/>
      <c r="E6599" s="130"/>
    </row>
    <row r="6600" spans="1:5" x14ac:dyDescent="0.25">
      <c r="A6600" s="1033"/>
      <c r="E6600" s="130"/>
    </row>
    <row r="6601" spans="1:5" x14ac:dyDescent="0.25">
      <c r="A6601" s="1033"/>
      <c r="E6601" s="130"/>
    </row>
    <row r="6602" spans="1:5" x14ac:dyDescent="0.25">
      <c r="A6602" s="1033"/>
      <c r="E6602" s="130"/>
    </row>
    <row r="6603" spans="1:5" x14ac:dyDescent="0.25">
      <c r="A6603" s="1033"/>
      <c r="E6603" s="130"/>
    </row>
    <row r="6604" spans="1:5" x14ac:dyDescent="0.25">
      <c r="A6604" s="1033"/>
      <c r="E6604" s="130"/>
    </row>
    <row r="6605" spans="1:5" x14ac:dyDescent="0.25">
      <c r="A6605" s="1033"/>
      <c r="E6605" s="130"/>
    </row>
    <row r="6606" spans="1:5" x14ac:dyDescent="0.25">
      <c r="A6606" s="1033"/>
      <c r="E6606" s="130"/>
    </row>
    <row r="6607" spans="1:5" x14ac:dyDescent="0.25">
      <c r="A6607" s="1033"/>
      <c r="E6607" s="130"/>
    </row>
    <row r="6608" spans="1:5" x14ac:dyDescent="0.25">
      <c r="A6608" s="1033"/>
      <c r="E6608" s="130"/>
    </row>
    <row r="6609" spans="1:5" x14ac:dyDescent="0.25">
      <c r="A6609" s="1033"/>
      <c r="E6609" s="130"/>
    </row>
    <row r="6610" spans="1:5" x14ac:dyDescent="0.25">
      <c r="A6610" s="1033"/>
      <c r="E6610" s="130"/>
    </row>
    <row r="6611" spans="1:5" x14ac:dyDescent="0.25">
      <c r="A6611" s="1033"/>
      <c r="E6611" s="130"/>
    </row>
    <row r="6612" spans="1:5" x14ac:dyDescent="0.25">
      <c r="A6612" s="1033"/>
      <c r="E6612" s="130"/>
    </row>
    <row r="6613" spans="1:5" x14ac:dyDescent="0.25">
      <c r="A6613" s="1033"/>
      <c r="E6613" s="130"/>
    </row>
    <row r="6614" spans="1:5" x14ac:dyDescent="0.25">
      <c r="A6614" s="1033"/>
      <c r="E6614" s="130"/>
    </row>
    <row r="6615" spans="1:5" x14ac:dyDescent="0.25">
      <c r="A6615" s="1033"/>
      <c r="E6615" s="130"/>
    </row>
    <row r="6616" spans="1:5" x14ac:dyDescent="0.25">
      <c r="A6616" s="1033"/>
      <c r="E6616" s="130"/>
    </row>
    <row r="6617" spans="1:5" x14ac:dyDescent="0.25">
      <c r="A6617" s="1033"/>
      <c r="E6617" s="130"/>
    </row>
    <row r="6618" spans="1:5" x14ac:dyDescent="0.25">
      <c r="A6618" s="1033"/>
      <c r="E6618" s="130"/>
    </row>
    <row r="6619" spans="1:5" x14ac:dyDescent="0.25">
      <c r="A6619" s="1033"/>
      <c r="E6619" s="130"/>
    </row>
    <row r="6620" spans="1:5" x14ac:dyDescent="0.25">
      <c r="A6620" s="1033"/>
      <c r="E6620" s="130"/>
    </row>
    <row r="6621" spans="1:5" x14ac:dyDescent="0.25">
      <c r="A6621" s="1033"/>
      <c r="E6621" s="130"/>
    </row>
    <row r="6622" spans="1:5" x14ac:dyDescent="0.25">
      <c r="A6622" s="1033"/>
      <c r="E6622" s="130"/>
    </row>
    <row r="6623" spans="1:5" x14ac:dyDescent="0.25">
      <c r="A6623" s="1033"/>
      <c r="E6623" s="130"/>
    </row>
    <row r="6624" spans="1:5" x14ac:dyDescent="0.25">
      <c r="A6624" s="1033"/>
      <c r="E6624" s="130"/>
    </row>
    <row r="6625" spans="1:5" x14ac:dyDescent="0.25">
      <c r="A6625" s="1033"/>
      <c r="E6625" s="130"/>
    </row>
    <row r="6626" spans="1:5" x14ac:dyDescent="0.25">
      <c r="A6626" s="1033"/>
      <c r="E6626" s="130"/>
    </row>
    <row r="6627" spans="1:5" x14ac:dyDescent="0.25">
      <c r="A6627" s="1033"/>
      <c r="E6627" s="130"/>
    </row>
    <row r="6628" spans="1:5" x14ac:dyDescent="0.25">
      <c r="A6628" s="1033"/>
      <c r="E6628" s="130"/>
    </row>
    <row r="6629" spans="1:5" x14ac:dyDescent="0.25">
      <c r="A6629" s="1033"/>
      <c r="E6629" s="130"/>
    </row>
    <row r="6630" spans="1:5" x14ac:dyDescent="0.25">
      <c r="A6630" s="1033"/>
      <c r="E6630" s="130"/>
    </row>
    <row r="6631" spans="1:5" x14ac:dyDescent="0.25">
      <c r="A6631" s="1033"/>
      <c r="E6631" s="130"/>
    </row>
    <row r="6632" spans="1:5" x14ac:dyDescent="0.25">
      <c r="A6632" s="1033"/>
      <c r="E6632" s="130"/>
    </row>
    <row r="6633" spans="1:5" x14ac:dyDescent="0.25">
      <c r="A6633" s="1033"/>
      <c r="E6633" s="130"/>
    </row>
    <row r="6634" spans="1:5" x14ac:dyDescent="0.25">
      <c r="A6634" s="1033"/>
      <c r="E6634" s="130"/>
    </row>
    <row r="6635" spans="1:5" x14ac:dyDescent="0.25">
      <c r="A6635" s="1033"/>
      <c r="E6635" s="130"/>
    </row>
    <row r="6636" spans="1:5" x14ac:dyDescent="0.25">
      <c r="A6636" s="1033"/>
      <c r="E6636" s="130"/>
    </row>
    <row r="6637" spans="1:5" x14ac:dyDescent="0.25">
      <c r="A6637" s="1033"/>
      <c r="E6637" s="130"/>
    </row>
    <row r="6638" spans="1:5" x14ac:dyDescent="0.25">
      <c r="A6638" s="1033"/>
      <c r="E6638" s="130"/>
    </row>
    <row r="6639" spans="1:5" x14ac:dyDescent="0.25">
      <c r="A6639" s="1033"/>
      <c r="E6639" s="130"/>
    </row>
    <row r="6640" spans="1:5" x14ac:dyDescent="0.25">
      <c r="A6640" s="1033"/>
      <c r="E6640" s="130"/>
    </row>
    <row r="6641" spans="1:5" x14ac:dyDescent="0.25">
      <c r="A6641" s="1033"/>
      <c r="E6641" s="130"/>
    </row>
    <row r="6642" spans="1:5" x14ac:dyDescent="0.25">
      <c r="A6642" s="1033"/>
      <c r="E6642" s="130"/>
    </row>
    <row r="6643" spans="1:5" x14ac:dyDescent="0.25">
      <c r="A6643" s="1033"/>
      <c r="E6643" s="130"/>
    </row>
    <row r="6644" spans="1:5" x14ac:dyDescent="0.25">
      <c r="A6644" s="1033"/>
      <c r="E6644" s="130"/>
    </row>
    <row r="6645" spans="1:5" x14ac:dyDescent="0.25">
      <c r="A6645" s="1033"/>
      <c r="E6645" s="130"/>
    </row>
    <row r="6646" spans="1:5" x14ac:dyDescent="0.25">
      <c r="A6646" s="1033"/>
      <c r="E6646" s="130"/>
    </row>
    <row r="6647" spans="1:5" x14ac:dyDescent="0.25">
      <c r="A6647" s="1033"/>
      <c r="E6647" s="130"/>
    </row>
    <row r="6648" spans="1:5" x14ac:dyDescent="0.25">
      <c r="A6648" s="1033"/>
      <c r="E6648" s="130"/>
    </row>
    <row r="6649" spans="1:5" x14ac:dyDescent="0.25">
      <c r="A6649" s="1033"/>
      <c r="E6649" s="130"/>
    </row>
    <row r="6650" spans="1:5" x14ac:dyDescent="0.25">
      <c r="A6650" s="1033"/>
      <c r="E6650" s="130"/>
    </row>
    <row r="6651" spans="1:5" x14ac:dyDescent="0.25">
      <c r="A6651" s="1033"/>
      <c r="E6651" s="130"/>
    </row>
    <row r="6652" spans="1:5" x14ac:dyDescent="0.25">
      <c r="A6652" s="1033"/>
      <c r="E6652" s="130"/>
    </row>
    <row r="6653" spans="1:5" x14ac:dyDescent="0.25">
      <c r="A6653" s="1033"/>
      <c r="E6653" s="130"/>
    </row>
    <row r="6654" spans="1:5" x14ac:dyDescent="0.25">
      <c r="A6654" s="1033"/>
      <c r="E6654" s="130"/>
    </row>
    <row r="6655" spans="1:5" x14ac:dyDescent="0.25">
      <c r="A6655" s="1033"/>
      <c r="E6655" s="130"/>
    </row>
    <row r="6656" spans="1:5" x14ac:dyDescent="0.25">
      <c r="A6656" s="1033"/>
      <c r="E6656" s="130"/>
    </row>
    <row r="6657" spans="1:5" x14ac:dyDescent="0.25">
      <c r="A6657" s="1033"/>
      <c r="E6657" s="130"/>
    </row>
    <row r="6658" spans="1:5" x14ac:dyDescent="0.25">
      <c r="A6658" s="1033"/>
      <c r="E6658" s="130"/>
    </row>
    <row r="6659" spans="1:5" x14ac:dyDescent="0.25">
      <c r="A6659" s="1033"/>
      <c r="E6659" s="130"/>
    </row>
    <row r="6660" spans="1:5" x14ac:dyDescent="0.25">
      <c r="A6660" s="1033"/>
      <c r="E6660" s="130"/>
    </row>
    <row r="6661" spans="1:5" x14ac:dyDescent="0.25">
      <c r="A6661" s="1033"/>
      <c r="E6661" s="130"/>
    </row>
    <row r="6662" spans="1:5" x14ac:dyDescent="0.25">
      <c r="A6662" s="1033"/>
      <c r="E6662" s="130"/>
    </row>
    <row r="6663" spans="1:5" x14ac:dyDescent="0.25">
      <c r="A6663" s="1033"/>
      <c r="E6663" s="130"/>
    </row>
    <row r="6664" spans="1:5" x14ac:dyDescent="0.25">
      <c r="A6664" s="1033"/>
      <c r="E6664" s="130"/>
    </row>
    <row r="6665" spans="1:5" x14ac:dyDescent="0.25">
      <c r="A6665" s="1033"/>
      <c r="E6665" s="130"/>
    </row>
    <row r="6666" spans="1:5" x14ac:dyDescent="0.25">
      <c r="A6666" s="1033"/>
      <c r="E6666" s="130"/>
    </row>
    <row r="6667" spans="1:5" x14ac:dyDescent="0.25">
      <c r="A6667" s="1033"/>
      <c r="E6667" s="130"/>
    </row>
    <row r="6668" spans="1:5" x14ac:dyDescent="0.25">
      <c r="A6668" s="1033"/>
      <c r="E6668" s="130"/>
    </row>
    <row r="6669" spans="1:5" x14ac:dyDescent="0.25">
      <c r="A6669" s="1033"/>
      <c r="E6669" s="130"/>
    </row>
    <row r="6670" spans="1:5" x14ac:dyDescent="0.25">
      <c r="A6670" s="1033"/>
      <c r="E6670" s="130"/>
    </row>
    <row r="6671" spans="1:5" x14ac:dyDescent="0.25">
      <c r="A6671" s="1033"/>
      <c r="E6671" s="130"/>
    </row>
    <row r="6672" spans="1:5" x14ac:dyDescent="0.25">
      <c r="A6672" s="1033"/>
      <c r="E6672" s="130"/>
    </row>
    <row r="6673" spans="1:5" x14ac:dyDescent="0.25">
      <c r="A6673" s="1033"/>
      <c r="E6673" s="130"/>
    </row>
    <row r="6674" spans="1:5" x14ac:dyDescent="0.25">
      <c r="A6674" s="1033"/>
      <c r="E6674" s="130"/>
    </row>
    <row r="6675" spans="1:5" x14ac:dyDescent="0.25">
      <c r="A6675" s="1033"/>
      <c r="E6675" s="130"/>
    </row>
    <row r="6676" spans="1:5" x14ac:dyDescent="0.25">
      <c r="A6676" s="1033"/>
      <c r="E6676" s="130"/>
    </row>
    <row r="6677" spans="1:5" x14ac:dyDescent="0.25">
      <c r="A6677" s="1033"/>
      <c r="E6677" s="130"/>
    </row>
    <row r="6678" spans="1:5" x14ac:dyDescent="0.25">
      <c r="A6678" s="1033"/>
      <c r="E6678" s="130"/>
    </row>
    <row r="6679" spans="1:5" x14ac:dyDescent="0.25">
      <c r="A6679" s="1033"/>
      <c r="E6679" s="130"/>
    </row>
    <row r="6680" spans="1:5" x14ac:dyDescent="0.25">
      <c r="A6680" s="1033"/>
      <c r="E6680" s="130"/>
    </row>
    <row r="6681" spans="1:5" x14ac:dyDescent="0.25">
      <c r="A6681" s="1033"/>
      <c r="E6681" s="130"/>
    </row>
    <row r="6682" spans="1:5" x14ac:dyDescent="0.25">
      <c r="A6682" s="1033"/>
      <c r="E6682" s="130"/>
    </row>
    <row r="6683" spans="1:5" x14ac:dyDescent="0.25">
      <c r="A6683" s="1033"/>
      <c r="E6683" s="130"/>
    </row>
    <row r="6684" spans="1:5" x14ac:dyDescent="0.25">
      <c r="A6684" s="1033"/>
      <c r="E6684" s="130"/>
    </row>
    <row r="6685" spans="1:5" x14ac:dyDescent="0.25">
      <c r="A6685" s="1033"/>
      <c r="E6685" s="130"/>
    </row>
    <row r="6686" spans="1:5" x14ac:dyDescent="0.25">
      <c r="A6686" s="1033"/>
      <c r="E6686" s="130"/>
    </row>
    <row r="6687" spans="1:5" x14ac:dyDescent="0.25">
      <c r="A6687" s="1033"/>
      <c r="E6687" s="130"/>
    </row>
    <row r="6688" spans="1:5" x14ac:dyDescent="0.25">
      <c r="A6688" s="1033"/>
      <c r="E6688" s="130"/>
    </row>
    <row r="6689" spans="1:5" x14ac:dyDescent="0.25">
      <c r="A6689" s="1033"/>
      <c r="E6689" s="130"/>
    </row>
    <row r="6690" spans="1:5" x14ac:dyDescent="0.25">
      <c r="A6690" s="1033"/>
      <c r="E6690" s="130"/>
    </row>
    <row r="6691" spans="1:5" x14ac:dyDescent="0.25">
      <c r="A6691" s="1033"/>
      <c r="E6691" s="130"/>
    </row>
    <row r="6692" spans="1:5" x14ac:dyDescent="0.25">
      <c r="A6692" s="1033"/>
      <c r="E6692" s="130"/>
    </row>
    <row r="6693" spans="1:5" x14ac:dyDescent="0.25">
      <c r="A6693" s="1033"/>
      <c r="E6693" s="130"/>
    </row>
    <row r="6694" spans="1:5" x14ac:dyDescent="0.25">
      <c r="A6694" s="1033"/>
      <c r="E6694" s="130"/>
    </row>
    <row r="6695" spans="1:5" x14ac:dyDescent="0.25">
      <c r="A6695" s="1033"/>
      <c r="E6695" s="130"/>
    </row>
    <row r="6696" spans="1:5" x14ac:dyDescent="0.25">
      <c r="A6696" s="1033"/>
      <c r="E6696" s="130"/>
    </row>
    <row r="6697" spans="1:5" x14ac:dyDescent="0.25">
      <c r="A6697" s="1033"/>
      <c r="E6697" s="130"/>
    </row>
    <row r="6698" spans="1:5" x14ac:dyDescent="0.25">
      <c r="A6698" s="1033"/>
      <c r="E6698" s="130"/>
    </row>
    <row r="6699" spans="1:5" x14ac:dyDescent="0.25">
      <c r="A6699" s="1033"/>
      <c r="E6699" s="130"/>
    </row>
    <row r="6700" spans="1:5" x14ac:dyDescent="0.25">
      <c r="A6700" s="1033"/>
      <c r="E6700" s="130"/>
    </row>
    <row r="6701" spans="1:5" x14ac:dyDescent="0.25">
      <c r="A6701" s="1033"/>
      <c r="E6701" s="130"/>
    </row>
    <row r="6702" spans="1:5" x14ac:dyDescent="0.25">
      <c r="A6702" s="1033"/>
      <c r="E6702" s="130"/>
    </row>
    <row r="6703" spans="1:5" x14ac:dyDescent="0.25">
      <c r="A6703" s="1033"/>
      <c r="E6703" s="130"/>
    </row>
    <row r="6704" spans="1:5" x14ac:dyDescent="0.25">
      <c r="A6704" s="1033"/>
      <c r="E6704" s="130"/>
    </row>
    <row r="6705" spans="1:5" x14ac:dyDescent="0.25">
      <c r="A6705" s="1033"/>
      <c r="E6705" s="130"/>
    </row>
    <row r="6706" spans="1:5" x14ac:dyDescent="0.25">
      <c r="A6706" s="1033"/>
      <c r="E6706" s="130"/>
    </row>
    <row r="6707" spans="1:5" x14ac:dyDescent="0.25">
      <c r="A6707" s="1033"/>
      <c r="E6707" s="130"/>
    </row>
    <row r="6708" spans="1:5" x14ac:dyDescent="0.25">
      <c r="A6708" s="1033"/>
      <c r="E6708" s="130"/>
    </row>
    <row r="6709" spans="1:5" x14ac:dyDescent="0.25">
      <c r="A6709" s="1033"/>
      <c r="E6709" s="130"/>
    </row>
    <row r="6710" spans="1:5" x14ac:dyDescent="0.25">
      <c r="A6710" s="1033"/>
      <c r="E6710" s="130"/>
    </row>
    <row r="6711" spans="1:5" x14ac:dyDescent="0.25">
      <c r="A6711" s="1033"/>
      <c r="E6711" s="130"/>
    </row>
    <row r="6712" spans="1:5" x14ac:dyDescent="0.25">
      <c r="A6712" s="1033"/>
      <c r="E6712" s="130"/>
    </row>
    <row r="6713" spans="1:5" x14ac:dyDescent="0.25">
      <c r="A6713" s="1033"/>
      <c r="E6713" s="130"/>
    </row>
    <row r="6714" spans="1:5" x14ac:dyDescent="0.25">
      <c r="A6714" s="1033"/>
      <c r="E6714" s="130"/>
    </row>
    <row r="6715" spans="1:5" x14ac:dyDescent="0.25">
      <c r="A6715" s="1033"/>
      <c r="E6715" s="130"/>
    </row>
    <row r="6716" spans="1:5" x14ac:dyDescent="0.25">
      <c r="A6716" s="1033"/>
      <c r="E6716" s="130"/>
    </row>
    <row r="6717" spans="1:5" x14ac:dyDescent="0.25">
      <c r="A6717" s="1033"/>
      <c r="E6717" s="130"/>
    </row>
    <row r="6718" spans="1:5" x14ac:dyDescent="0.25">
      <c r="A6718" s="1033"/>
      <c r="E6718" s="130"/>
    </row>
    <row r="6719" spans="1:5" x14ac:dyDescent="0.25">
      <c r="A6719" s="1033"/>
      <c r="E6719" s="130"/>
    </row>
    <row r="6720" spans="1:5" x14ac:dyDescent="0.25">
      <c r="A6720" s="1033"/>
      <c r="E6720" s="130"/>
    </row>
    <row r="6721" spans="1:5" x14ac:dyDescent="0.25">
      <c r="A6721" s="1033"/>
      <c r="E6721" s="130"/>
    </row>
    <row r="6722" spans="1:5" x14ac:dyDescent="0.25">
      <c r="A6722" s="1033"/>
      <c r="E6722" s="130"/>
    </row>
    <row r="6723" spans="1:5" x14ac:dyDescent="0.25">
      <c r="A6723" s="1033"/>
      <c r="E6723" s="130"/>
    </row>
    <row r="6724" spans="1:5" x14ac:dyDescent="0.25">
      <c r="A6724" s="1033"/>
      <c r="E6724" s="130"/>
    </row>
    <row r="6725" spans="1:5" x14ac:dyDescent="0.25">
      <c r="A6725" s="1033"/>
      <c r="E6725" s="130"/>
    </row>
    <row r="6726" spans="1:5" x14ac:dyDescent="0.25">
      <c r="A6726" s="1033"/>
      <c r="E6726" s="130"/>
    </row>
    <row r="6727" spans="1:5" x14ac:dyDescent="0.25">
      <c r="A6727" s="1033"/>
      <c r="E6727" s="130"/>
    </row>
    <row r="6728" spans="1:5" x14ac:dyDescent="0.25">
      <c r="A6728" s="1033"/>
      <c r="E6728" s="130"/>
    </row>
    <row r="6729" spans="1:5" x14ac:dyDescent="0.25">
      <c r="A6729" s="1033"/>
      <c r="E6729" s="130"/>
    </row>
    <row r="6730" spans="1:5" x14ac:dyDescent="0.25">
      <c r="A6730" s="1033"/>
      <c r="E6730" s="130"/>
    </row>
    <row r="6731" spans="1:5" x14ac:dyDescent="0.25">
      <c r="A6731" s="1033"/>
      <c r="E6731" s="130"/>
    </row>
    <row r="6732" spans="1:5" x14ac:dyDescent="0.25">
      <c r="A6732" s="1033"/>
      <c r="E6732" s="130"/>
    </row>
    <row r="6733" spans="1:5" x14ac:dyDescent="0.25">
      <c r="A6733" s="1033"/>
      <c r="E6733" s="130"/>
    </row>
    <row r="6734" spans="1:5" x14ac:dyDescent="0.25">
      <c r="A6734" s="1033"/>
      <c r="E6734" s="130"/>
    </row>
    <row r="6735" spans="1:5" x14ac:dyDescent="0.25">
      <c r="A6735" s="1033"/>
      <c r="E6735" s="130"/>
    </row>
    <row r="6736" spans="1:5" x14ac:dyDescent="0.25">
      <c r="A6736" s="1033"/>
      <c r="E6736" s="130"/>
    </row>
    <row r="6737" spans="1:5" x14ac:dyDescent="0.25">
      <c r="A6737" s="1033"/>
      <c r="E6737" s="130"/>
    </row>
    <row r="6738" spans="1:5" x14ac:dyDescent="0.25">
      <c r="A6738" s="1033"/>
      <c r="E6738" s="130"/>
    </row>
    <row r="6739" spans="1:5" x14ac:dyDescent="0.25">
      <c r="A6739" s="1033"/>
      <c r="E6739" s="130"/>
    </row>
    <row r="6740" spans="1:5" x14ac:dyDescent="0.25">
      <c r="A6740" s="1033"/>
      <c r="E6740" s="130"/>
    </row>
    <row r="6741" spans="1:5" x14ac:dyDescent="0.25">
      <c r="A6741" s="1033"/>
      <c r="E6741" s="130"/>
    </row>
    <row r="6742" spans="1:5" x14ac:dyDescent="0.25">
      <c r="A6742" s="1033"/>
      <c r="E6742" s="130"/>
    </row>
    <row r="6743" spans="1:5" x14ac:dyDescent="0.25">
      <c r="A6743" s="1033"/>
      <c r="E6743" s="130"/>
    </row>
    <row r="6744" spans="1:5" x14ac:dyDescent="0.25">
      <c r="A6744" s="1033"/>
      <c r="E6744" s="130"/>
    </row>
    <row r="6745" spans="1:5" x14ac:dyDescent="0.25">
      <c r="A6745" s="1033"/>
      <c r="E6745" s="130"/>
    </row>
    <row r="6746" spans="1:5" x14ac:dyDescent="0.25">
      <c r="A6746" s="1033"/>
      <c r="E6746" s="130"/>
    </row>
    <row r="6747" spans="1:5" x14ac:dyDescent="0.25">
      <c r="A6747" s="1033"/>
      <c r="E6747" s="130"/>
    </row>
    <row r="6748" spans="1:5" x14ac:dyDescent="0.25">
      <c r="A6748" s="1033"/>
      <c r="E6748" s="130"/>
    </row>
    <row r="6749" spans="1:5" x14ac:dyDescent="0.25">
      <c r="A6749" s="1033"/>
      <c r="E6749" s="130"/>
    </row>
    <row r="6750" spans="1:5" x14ac:dyDescent="0.25">
      <c r="A6750" s="1033"/>
      <c r="E6750" s="130"/>
    </row>
    <row r="6751" spans="1:5" x14ac:dyDescent="0.25">
      <c r="A6751" s="1033"/>
      <c r="E6751" s="130"/>
    </row>
    <row r="6752" spans="1:5" x14ac:dyDescent="0.25">
      <c r="A6752" s="1033"/>
      <c r="E6752" s="130"/>
    </row>
    <row r="6753" spans="1:5" x14ac:dyDescent="0.25">
      <c r="A6753" s="1033"/>
      <c r="E6753" s="130"/>
    </row>
    <row r="6754" spans="1:5" x14ac:dyDescent="0.25">
      <c r="A6754" s="1033"/>
      <c r="E6754" s="130"/>
    </row>
    <row r="6755" spans="1:5" x14ac:dyDescent="0.25">
      <c r="A6755" s="1033"/>
      <c r="E6755" s="130"/>
    </row>
    <row r="6756" spans="1:5" x14ac:dyDescent="0.25">
      <c r="A6756" s="1033"/>
      <c r="E6756" s="130"/>
    </row>
    <row r="6757" spans="1:5" x14ac:dyDescent="0.25">
      <c r="A6757" s="1033"/>
      <c r="E6757" s="130"/>
    </row>
    <row r="6758" spans="1:5" x14ac:dyDescent="0.25">
      <c r="A6758" s="1033"/>
      <c r="E6758" s="130"/>
    </row>
    <row r="6759" spans="1:5" x14ac:dyDescent="0.25">
      <c r="A6759" s="1033"/>
      <c r="E6759" s="130"/>
    </row>
    <row r="6760" spans="1:5" x14ac:dyDescent="0.25">
      <c r="A6760" s="1033"/>
      <c r="E6760" s="130"/>
    </row>
    <row r="6761" spans="1:5" x14ac:dyDescent="0.25">
      <c r="A6761" s="1033"/>
      <c r="E6761" s="130"/>
    </row>
    <row r="6762" spans="1:5" x14ac:dyDescent="0.25">
      <c r="A6762" s="1033"/>
      <c r="E6762" s="130"/>
    </row>
    <row r="6763" spans="1:5" x14ac:dyDescent="0.25">
      <c r="A6763" s="1033"/>
      <c r="E6763" s="130"/>
    </row>
    <row r="6764" spans="1:5" x14ac:dyDescent="0.25">
      <c r="A6764" s="1033"/>
      <c r="E6764" s="130"/>
    </row>
    <row r="6765" spans="1:5" x14ac:dyDescent="0.25">
      <c r="A6765" s="1033"/>
      <c r="E6765" s="130"/>
    </row>
    <row r="6766" spans="1:5" x14ac:dyDescent="0.25">
      <c r="A6766" s="1033"/>
      <c r="E6766" s="130"/>
    </row>
    <row r="6767" spans="1:5" x14ac:dyDescent="0.25">
      <c r="A6767" s="1033"/>
      <c r="E6767" s="130"/>
    </row>
    <row r="6768" spans="1:5" x14ac:dyDescent="0.25">
      <c r="A6768" s="1033"/>
      <c r="E6768" s="130"/>
    </row>
    <row r="6769" spans="1:5" x14ac:dyDescent="0.25">
      <c r="A6769" s="1033"/>
      <c r="E6769" s="130"/>
    </row>
    <row r="6770" spans="1:5" x14ac:dyDescent="0.25">
      <c r="A6770" s="1033"/>
      <c r="E6770" s="130"/>
    </row>
    <row r="6771" spans="1:5" x14ac:dyDescent="0.25">
      <c r="A6771" s="1033"/>
      <c r="E6771" s="130"/>
    </row>
    <row r="6772" spans="1:5" x14ac:dyDescent="0.25">
      <c r="A6772" s="1033"/>
      <c r="E6772" s="130"/>
    </row>
    <row r="6773" spans="1:5" x14ac:dyDescent="0.25">
      <c r="A6773" s="1033"/>
      <c r="E6773" s="130"/>
    </row>
    <row r="6774" spans="1:5" x14ac:dyDescent="0.25">
      <c r="A6774" s="1033"/>
      <c r="E6774" s="130"/>
    </row>
    <row r="6775" spans="1:5" x14ac:dyDescent="0.25">
      <c r="A6775" s="1033"/>
      <c r="E6775" s="130"/>
    </row>
    <row r="6776" spans="1:5" x14ac:dyDescent="0.25">
      <c r="A6776" s="1033"/>
      <c r="E6776" s="130"/>
    </row>
    <row r="6777" spans="1:5" x14ac:dyDescent="0.25">
      <c r="A6777" s="1033"/>
      <c r="E6777" s="130"/>
    </row>
    <row r="6778" spans="1:5" x14ac:dyDescent="0.25">
      <c r="A6778" s="1033"/>
      <c r="E6778" s="130"/>
    </row>
    <row r="6779" spans="1:5" x14ac:dyDescent="0.25">
      <c r="A6779" s="1033"/>
      <c r="E6779" s="130"/>
    </row>
    <row r="6780" spans="1:5" x14ac:dyDescent="0.25">
      <c r="A6780" s="1033"/>
      <c r="E6780" s="130"/>
    </row>
    <row r="6781" spans="1:5" x14ac:dyDescent="0.25">
      <c r="A6781" s="1033"/>
      <c r="E6781" s="130"/>
    </row>
    <row r="6782" spans="1:5" x14ac:dyDescent="0.25">
      <c r="A6782" s="1033"/>
      <c r="E6782" s="130"/>
    </row>
    <row r="6783" spans="1:5" x14ac:dyDescent="0.25">
      <c r="A6783" s="1033"/>
      <c r="E6783" s="130"/>
    </row>
    <row r="6784" spans="1:5" x14ac:dyDescent="0.25">
      <c r="A6784" s="1033"/>
      <c r="E6784" s="130"/>
    </row>
    <row r="6785" spans="1:5" x14ac:dyDescent="0.25">
      <c r="A6785" s="1033"/>
      <c r="E6785" s="130"/>
    </row>
    <row r="6786" spans="1:5" x14ac:dyDescent="0.25">
      <c r="A6786" s="1033"/>
      <c r="E6786" s="130"/>
    </row>
    <row r="6787" spans="1:5" x14ac:dyDescent="0.25">
      <c r="A6787" s="1033"/>
      <c r="E6787" s="130"/>
    </row>
    <row r="6788" spans="1:5" x14ac:dyDescent="0.25">
      <c r="A6788" s="1033"/>
      <c r="E6788" s="130"/>
    </row>
    <row r="6789" spans="1:5" x14ac:dyDescent="0.25">
      <c r="A6789" s="1033"/>
      <c r="E6789" s="130"/>
    </row>
    <row r="6790" spans="1:5" x14ac:dyDescent="0.25">
      <c r="A6790" s="1033"/>
      <c r="E6790" s="130"/>
    </row>
    <row r="6791" spans="1:5" x14ac:dyDescent="0.25">
      <c r="A6791" s="1033"/>
      <c r="E6791" s="130"/>
    </row>
    <row r="6792" spans="1:5" x14ac:dyDescent="0.25">
      <c r="A6792" s="1033"/>
      <c r="E6792" s="130"/>
    </row>
    <row r="6793" spans="1:5" x14ac:dyDescent="0.25">
      <c r="A6793" s="1033"/>
      <c r="E6793" s="130"/>
    </row>
    <row r="6794" spans="1:5" x14ac:dyDescent="0.25">
      <c r="A6794" s="1033"/>
      <c r="E6794" s="130"/>
    </row>
    <row r="6795" spans="1:5" x14ac:dyDescent="0.25">
      <c r="A6795" s="1033"/>
      <c r="E6795" s="130"/>
    </row>
    <row r="6796" spans="1:5" x14ac:dyDescent="0.25">
      <c r="A6796" s="1033"/>
      <c r="E6796" s="130"/>
    </row>
    <row r="6797" spans="1:5" x14ac:dyDescent="0.25">
      <c r="A6797" s="1033"/>
      <c r="E6797" s="130"/>
    </row>
    <row r="6798" spans="1:5" x14ac:dyDescent="0.25">
      <c r="A6798" s="1033"/>
      <c r="E6798" s="130"/>
    </row>
    <row r="6799" spans="1:5" x14ac:dyDescent="0.25">
      <c r="A6799" s="1033"/>
      <c r="E6799" s="130"/>
    </row>
    <row r="6800" spans="1:5" x14ac:dyDescent="0.25">
      <c r="A6800" s="1033"/>
      <c r="E6800" s="130"/>
    </row>
    <row r="6801" spans="1:5" x14ac:dyDescent="0.25">
      <c r="A6801" s="1033"/>
      <c r="E6801" s="130"/>
    </row>
    <row r="6802" spans="1:5" x14ac:dyDescent="0.25">
      <c r="A6802" s="1033"/>
      <c r="E6802" s="130"/>
    </row>
    <row r="6803" spans="1:5" x14ac:dyDescent="0.25">
      <c r="A6803" s="1033"/>
      <c r="E6803" s="130"/>
    </row>
    <row r="6804" spans="1:5" x14ac:dyDescent="0.25">
      <c r="A6804" s="1033"/>
      <c r="E6804" s="130"/>
    </row>
    <row r="6805" spans="1:5" x14ac:dyDescent="0.25">
      <c r="A6805" s="1033"/>
      <c r="E6805" s="130"/>
    </row>
    <row r="6806" spans="1:5" x14ac:dyDescent="0.25">
      <c r="A6806" s="1033"/>
      <c r="E6806" s="130"/>
    </row>
    <row r="6807" spans="1:5" x14ac:dyDescent="0.25">
      <c r="A6807" s="1033"/>
      <c r="E6807" s="130"/>
    </row>
    <row r="6808" spans="1:5" x14ac:dyDescent="0.25">
      <c r="A6808" s="1033"/>
      <c r="E6808" s="130"/>
    </row>
    <row r="6809" spans="1:5" x14ac:dyDescent="0.25">
      <c r="A6809" s="1033"/>
      <c r="E6809" s="130"/>
    </row>
    <row r="6810" spans="1:5" x14ac:dyDescent="0.25">
      <c r="A6810" s="1033"/>
      <c r="E6810" s="130"/>
    </row>
    <row r="6811" spans="1:5" x14ac:dyDescent="0.25">
      <c r="A6811" s="1033"/>
      <c r="E6811" s="130"/>
    </row>
    <row r="6812" spans="1:5" x14ac:dyDescent="0.25">
      <c r="A6812" s="1033"/>
      <c r="E6812" s="130"/>
    </row>
    <row r="6813" spans="1:5" x14ac:dyDescent="0.25">
      <c r="A6813" s="1033"/>
      <c r="E6813" s="130"/>
    </row>
    <row r="6814" spans="1:5" x14ac:dyDescent="0.25">
      <c r="A6814" s="1033"/>
      <c r="E6814" s="130"/>
    </row>
    <row r="6815" spans="1:5" x14ac:dyDescent="0.25">
      <c r="A6815" s="1033"/>
      <c r="E6815" s="130"/>
    </row>
    <row r="6816" spans="1:5" x14ac:dyDescent="0.25">
      <c r="A6816" s="1033"/>
      <c r="E6816" s="130"/>
    </row>
    <row r="6817" spans="1:5" x14ac:dyDescent="0.25">
      <c r="A6817" s="1033"/>
      <c r="E6817" s="130"/>
    </row>
    <row r="6818" spans="1:5" x14ac:dyDescent="0.25">
      <c r="A6818" s="1033"/>
      <c r="E6818" s="130"/>
    </row>
    <row r="6819" spans="1:5" x14ac:dyDescent="0.25">
      <c r="A6819" s="1033"/>
      <c r="E6819" s="130"/>
    </row>
    <row r="6820" spans="1:5" x14ac:dyDescent="0.25">
      <c r="A6820" s="1033"/>
      <c r="E6820" s="130"/>
    </row>
    <row r="6821" spans="1:5" x14ac:dyDescent="0.25">
      <c r="A6821" s="1033"/>
      <c r="E6821" s="130"/>
    </row>
    <row r="6822" spans="1:5" x14ac:dyDescent="0.25">
      <c r="A6822" s="1033"/>
      <c r="E6822" s="130"/>
    </row>
    <row r="6823" spans="1:5" x14ac:dyDescent="0.25">
      <c r="A6823" s="1033"/>
      <c r="E6823" s="130"/>
    </row>
    <row r="6824" spans="1:5" x14ac:dyDescent="0.25">
      <c r="A6824" s="1033"/>
      <c r="E6824" s="130"/>
    </row>
    <row r="6825" spans="1:5" x14ac:dyDescent="0.25">
      <c r="A6825" s="1033"/>
      <c r="E6825" s="130"/>
    </row>
    <row r="6826" spans="1:5" x14ac:dyDescent="0.25">
      <c r="A6826" s="1033"/>
      <c r="E6826" s="130"/>
    </row>
    <row r="6827" spans="1:5" x14ac:dyDescent="0.25">
      <c r="A6827" s="1033"/>
      <c r="E6827" s="130"/>
    </row>
    <row r="6828" spans="1:5" x14ac:dyDescent="0.25">
      <c r="A6828" s="1033"/>
      <c r="E6828" s="130"/>
    </row>
    <row r="6829" spans="1:5" x14ac:dyDescent="0.25">
      <c r="A6829" s="1033"/>
      <c r="E6829" s="130"/>
    </row>
    <row r="6830" spans="1:5" x14ac:dyDescent="0.25">
      <c r="A6830" s="1033"/>
      <c r="E6830" s="130"/>
    </row>
    <row r="6831" spans="1:5" x14ac:dyDescent="0.25">
      <c r="A6831" s="1033"/>
      <c r="E6831" s="130"/>
    </row>
    <row r="6832" spans="1:5" x14ac:dyDescent="0.25">
      <c r="A6832" s="1033"/>
      <c r="E6832" s="130"/>
    </row>
    <row r="6833" spans="1:5" x14ac:dyDescent="0.25">
      <c r="A6833" s="1033"/>
      <c r="E6833" s="130"/>
    </row>
    <row r="6834" spans="1:5" x14ac:dyDescent="0.25">
      <c r="A6834" s="1033"/>
      <c r="E6834" s="130"/>
    </row>
    <row r="6835" spans="1:5" x14ac:dyDescent="0.25">
      <c r="A6835" s="1033"/>
      <c r="E6835" s="130"/>
    </row>
    <row r="6836" spans="1:5" x14ac:dyDescent="0.25">
      <c r="A6836" s="1033"/>
      <c r="E6836" s="130"/>
    </row>
    <row r="6837" spans="1:5" x14ac:dyDescent="0.25">
      <c r="A6837" s="1033"/>
      <c r="E6837" s="130"/>
    </row>
    <row r="6838" spans="1:5" x14ac:dyDescent="0.25">
      <c r="A6838" s="1033"/>
      <c r="E6838" s="130"/>
    </row>
    <row r="6839" spans="1:5" x14ac:dyDescent="0.25">
      <c r="A6839" s="1033"/>
      <c r="E6839" s="130"/>
    </row>
    <row r="6840" spans="1:5" x14ac:dyDescent="0.25">
      <c r="A6840" s="1033"/>
      <c r="E6840" s="130"/>
    </row>
    <row r="6841" spans="1:5" x14ac:dyDescent="0.25">
      <c r="A6841" s="1033"/>
      <c r="E6841" s="130"/>
    </row>
    <row r="6842" spans="1:5" x14ac:dyDescent="0.25">
      <c r="A6842" s="1033"/>
      <c r="E6842" s="130"/>
    </row>
    <row r="6843" spans="1:5" x14ac:dyDescent="0.25">
      <c r="A6843" s="1033"/>
      <c r="E6843" s="130"/>
    </row>
    <row r="6844" spans="1:5" x14ac:dyDescent="0.25">
      <c r="A6844" s="1033"/>
      <c r="E6844" s="130"/>
    </row>
    <row r="6845" spans="1:5" x14ac:dyDescent="0.25">
      <c r="A6845" s="1033"/>
      <c r="E6845" s="130"/>
    </row>
    <row r="6846" spans="1:5" x14ac:dyDescent="0.25">
      <c r="A6846" s="1033"/>
      <c r="E6846" s="130"/>
    </row>
    <row r="6847" spans="1:5" x14ac:dyDescent="0.25">
      <c r="A6847" s="1033"/>
      <c r="E6847" s="130"/>
    </row>
    <row r="6848" spans="1:5" x14ac:dyDescent="0.25">
      <c r="A6848" s="1033"/>
      <c r="E6848" s="130"/>
    </row>
    <row r="6849" spans="1:5" x14ac:dyDescent="0.25">
      <c r="A6849" s="1033"/>
      <c r="E6849" s="130"/>
    </row>
    <row r="6850" spans="1:5" x14ac:dyDescent="0.25">
      <c r="A6850" s="1033"/>
      <c r="E6850" s="130"/>
    </row>
    <row r="6851" spans="1:5" x14ac:dyDescent="0.25">
      <c r="A6851" s="1033"/>
      <c r="E6851" s="130"/>
    </row>
    <row r="6852" spans="1:5" x14ac:dyDescent="0.25">
      <c r="A6852" s="1033"/>
      <c r="E6852" s="130"/>
    </row>
    <row r="6853" spans="1:5" x14ac:dyDescent="0.25">
      <c r="A6853" s="1033"/>
      <c r="E6853" s="130"/>
    </row>
    <row r="6854" spans="1:5" x14ac:dyDescent="0.25">
      <c r="A6854" s="1033"/>
      <c r="E6854" s="130"/>
    </row>
    <row r="6855" spans="1:5" x14ac:dyDescent="0.25">
      <c r="A6855" s="1033"/>
      <c r="E6855" s="130"/>
    </row>
    <row r="6856" spans="1:5" x14ac:dyDescent="0.25">
      <c r="A6856" s="1033"/>
      <c r="E6856" s="130"/>
    </row>
    <row r="6857" spans="1:5" x14ac:dyDescent="0.25">
      <c r="A6857" s="1033"/>
      <c r="E6857" s="130"/>
    </row>
    <row r="6858" spans="1:5" x14ac:dyDescent="0.25">
      <c r="A6858" s="1033"/>
      <c r="E6858" s="130"/>
    </row>
    <row r="6859" spans="1:5" x14ac:dyDescent="0.25">
      <c r="A6859" s="1033"/>
      <c r="E6859" s="130"/>
    </row>
    <row r="6860" spans="1:5" x14ac:dyDescent="0.25">
      <c r="A6860" s="1033"/>
      <c r="E6860" s="130"/>
    </row>
    <row r="6861" spans="1:5" x14ac:dyDescent="0.25">
      <c r="A6861" s="1033"/>
      <c r="E6861" s="130"/>
    </row>
    <row r="6862" spans="1:5" x14ac:dyDescent="0.25">
      <c r="A6862" s="1033"/>
      <c r="E6862" s="130"/>
    </row>
    <row r="6863" spans="1:5" x14ac:dyDescent="0.25">
      <c r="A6863" s="1033"/>
      <c r="E6863" s="130"/>
    </row>
    <row r="6864" spans="1:5" x14ac:dyDescent="0.25">
      <c r="A6864" s="1033"/>
      <c r="E6864" s="130"/>
    </row>
    <row r="6865" spans="1:5" x14ac:dyDescent="0.25">
      <c r="A6865" s="1033"/>
      <c r="E6865" s="130"/>
    </row>
    <row r="6866" spans="1:5" x14ac:dyDescent="0.25">
      <c r="A6866" s="1033"/>
      <c r="E6866" s="130"/>
    </row>
    <row r="6867" spans="1:5" x14ac:dyDescent="0.25">
      <c r="A6867" s="1033"/>
      <c r="E6867" s="130"/>
    </row>
    <row r="6868" spans="1:5" x14ac:dyDescent="0.25">
      <c r="A6868" s="1033"/>
      <c r="E6868" s="130"/>
    </row>
    <row r="6869" spans="1:5" x14ac:dyDescent="0.25">
      <c r="A6869" s="1033"/>
      <c r="E6869" s="130"/>
    </row>
    <row r="6870" spans="1:5" x14ac:dyDescent="0.25">
      <c r="A6870" s="1033"/>
      <c r="E6870" s="130"/>
    </row>
    <row r="6871" spans="1:5" x14ac:dyDescent="0.25">
      <c r="A6871" s="1033"/>
      <c r="E6871" s="130"/>
    </row>
    <row r="6872" spans="1:5" x14ac:dyDescent="0.25">
      <c r="A6872" s="1033"/>
      <c r="E6872" s="130"/>
    </row>
    <row r="6873" spans="1:5" x14ac:dyDescent="0.25">
      <c r="A6873" s="1033"/>
      <c r="E6873" s="130"/>
    </row>
    <row r="6874" spans="1:5" x14ac:dyDescent="0.25">
      <c r="A6874" s="1033"/>
      <c r="E6874" s="130"/>
    </row>
    <row r="6875" spans="1:5" x14ac:dyDescent="0.25">
      <c r="A6875" s="1033"/>
      <c r="E6875" s="130"/>
    </row>
    <row r="6876" spans="1:5" x14ac:dyDescent="0.25">
      <c r="A6876" s="1033"/>
      <c r="E6876" s="130"/>
    </row>
    <row r="6877" spans="1:5" x14ac:dyDescent="0.25">
      <c r="A6877" s="1033"/>
      <c r="E6877" s="130"/>
    </row>
    <row r="6878" spans="1:5" x14ac:dyDescent="0.25">
      <c r="A6878" s="1033"/>
      <c r="E6878" s="130"/>
    </row>
    <row r="6879" spans="1:5" x14ac:dyDescent="0.25">
      <c r="A6879" s="1033"/>
      <c r="E6879" s="130"/>
    </row>
    <row r="6880" spans="1:5" x14ac:dyDescent="0.25">
      <c r="A6880" s="1033"/>
      <c r="E6880" s="130"/>
    </row>
    <row r="6881" spans="1:5" x14ac:dyDescent="0.25">
      <c r="A6881" s="1033"/>
      <c r="E6881" s="130"/>
    </row>
    <row r="6882" spans="1:5" x14ac:dyDescent="0.25">
      <c r="A6882" s="1033"/>
      <c r="E6882" s="130"/>
    </row>
    <row r="6883" spans="1:5" x14ac:dyDescent="0.25">
      <c r="A6883" s="1033"/>
      <c r="E6883" s="130"/>
    </row>
    <row r="6884" spans="1:5" x14ac:dyDescent="0.25">
      <c r="A6884" s="1033"/>
      <c r="E6884" s="130"/>
    </row>
    <row r="6885" spans="1:5" x14ac:dyDescent="0.25">
      <c r="A6885" s="1033"/>
      <c r="E6885" s="130"/>
    </row>
    <row r="6886" spans="1:5" x14ac:dyDescent="0.25">
      <c r="A6886" s="1033"/>
      <c r="E6886" s="130"/>
    </row>
    <row r="6887" spans="1:5" x14ac:dyDescent="0.25">
      <c r="A6887" s="1033"/>
      <c r="E6887" s="130"/>
    </row>
    <row r="6888" spans="1:5" x14ac:dyDescent="0.25">
      <c r="A6888" s="1033"/>
      <c r="E6888" s="130"/>
    </row>
    <row r="6889" spans="1:5" x14ac:dyDescent="0.25">
      <c r="A6889" s="1033"/>
      <c r="E6889" s="130"/>
    </row>
    <row r="6890" spans="1:5" x14ac:dyDescent="0.25">
      <c r="A6890" s="1033"/>
      <c r="E6890" s="130"/>
    </row>
    <row r="6891" spans="1:5" x14ac:dyDescent="0.25">
      <c r="A6891" s="1033"/>
      <c r="E6891" s="130"/>
    </row>
    <row r="6892" spans="1:5" x14ac:dyDescent="0.25">
      <c r="A6892" s="1033"/>
      <c r="E6892" s="130"/>
    </row>
    <row r="6893" spans="1:5" x14ac:dyDescent="0.25">
      <c r="A6893" s="1033"/>
      <c r="E6893" s="130"/>
    </row>
    <row r="6894" spans="1:5" x14ac:dyDescent="0.25">
      <c r="A6894" s="1033"/>
      <c r="E6894" s="130"/>
    </row>
    <row r="6895" spans="1:5" x14ac:dyDescent="0.25">
      <c r="A6895" s="1033"/>
      <c r="E6895" s="130"/>
    </row>
    <row r="6896" spans="1:5" x14ac:dyDescent="0.25">
      <c r="A6896" s="1033"/>
      <c r="E6896" s="130"/>
    </row>
    <row r="6897" spans="1:5" x14ac:dyDescent="0.25">
      <c r="A6897" s="1033"/>
      <c r="E6897" s="130"/>
    </row>
    <row r="6898" spans="1:5" x14ac:dyDescent="0.25">
      <c r="A6898" s="1033"/>
      <c r="E6898" s="130"/>
    </row>
    <row r="6899" spans="1:5" x14ac:dyDescent="0.25">
      <c r="A6899" s="1033"/>
      <c r="E6899" s="130"/>
    </row>
    <row r="6900" spans="1:5" x14ac:dyDescent="0.25">
      <c r="A6900" s="1033"/>
      <c r="E6900" s="130"/>
    </row>
    <row r="6901" spans="1:5" x14ac:dyDescent="0.25">
      <c r="A6901" s="1033"/>
      <c r="E6901" s="130"/>
    </row>
    <row r="6902" spans="1:5" x14ac:dyDescent="0.25">
      <c r="A6902" s="1033"/>
      <c r="E6902" s="130"/>
    </row>
    <row r="6903" spans="1:5" x14ac:dyDescent="0.25">
      <c r="A6903" s="1033"/>
      <c r="E6903" s="130"/>
    </row>
    <row r="6904" spans="1:5" x14ac:dyDescent="0.25">
      <c r="A6904" s="1033"/>
      <c r="E6904" s="130"/>
    </row>
    <row r="6905" spans="1:5" x14ac:dyDescent="0.25">
      <c r="A6905" s="1033"/>
      <c r="E6905" s="130"/>
    </row>
    <row r="6906" spans="1:5" x14ac:dyDescent="0.25">
      <c r="A6906" s="1033"/>
      <c r="E6906" s="130"/>
    </row>
    <row r="6907" spans="1:5" x14ac:dyDescent="0.25">
      <c r="A6907" s="1033"/>
      <c r="E6907" s="130"/>
    </row>
    <row r="6908" spans="1:5" x14ac:dyDescent="0.25">
      <c r="A6908" s="1033"/>
      <c r="E6908" s="130"/>
    </row>
    <row r="6909" spans="1:5" x14ac:dyDescent="0.25">
      <c r="A6909" s="1033"/>
      <c r="E6909" s="130"/>
    </row>
    <row r="6910" spans="1:5" x14ac:dyDescent="0.25">
      <c r="A6910" s="1033"/>
      <c r="E6910" s="130"/>
    </row>
    <row r="6911" spans="1:5" x14ac:dyDescent="0.25">
      <c r="A6911" s="1033"/>
      <c r="E6911" s="130"/>
    </row>
    <row r="6912" spans="1:5" x14ac:dyDescent="0.25">
      <c r="A6912" s="1033"/>
      <c r="E6912" s="130"/>
    </row>
    <row r="6913" spans="1:5" x14ac:dyDescent="0.25">
      <c r="A6913" s="1033"/>
      <c r="E6913" s="130"/>
    </row>
    <row r="6914" spans="1:5" x14ac:dyDescent="0.25">
      <c r="A6914" s="1033"/>
      <c r="E6914" s="130"/>
    </row>
    <row r="6915" spans="1:5" x14ac:dyDescent="0.25">
      <c r="A6915" s="1033"/>
      <c r="E6915" s="130"/>
    </row>
    <row r="6916" spans="1:5" x14ac:dyDescent="0.25">
      <c r="A6916" s="1033"/>
      <c r="E6916" s="130"/>
    </row>
    <row r="6917" spans="1:5" x14ac:dyDescent="0.25">
      <c r="A6917" s="1033"/>
      <c r="E6917" s="130"/>
    </row>
    <row r="6918" spans="1:5" x14ac:dyDescent="0.25">
      <c r="A6918" s="1033"/>
      <c r="E6918" s="130"/>
    </row>
    <row r="6919" spans="1:5" x14ac:dyDescent="0.25">
      <c r="A6919" s="1033"/>
      <c r="E6919" s="130"/>
    </row>
    <row r="6920" spans="1:5" x14ac:dyDescent="0.25">
      <c r="A6920" s="1033"/>
      <c r="E6920" s="130"/>
    </row>
    <row r="6921" spans="1:5" x14ac:dyDescent="0.25">
      <c r="A6921" s="1033"/>
      <c r="E6921" s="130"/>
    </row>
    <row r="6922" spans="1:5" x14ac:dyDescent="0.25">
      <c r="A6922" s="1033"/>
      <c r="E6922" s="130"/>
    </row>
    <row r="6923" spans="1:5" x14ac:dyDescent="0.25">
      <c r="A6923" s="1033"/>
      <c r="E6923" s="130"/>
    </row>
    <row r="6924" spans="1:5" x14ac:dyDescent="0.25">
      <c r="A6924" s="1033"/>
      <c r="E6924" s="130"/>
    </row>
    <row r="6925" spans="1:5" x14ac:dyDescent="0.25">
      <c r="A6925" s="1033"/>
      <c r="E6925" s="130"/>
    </row>
    <row r="6926" spans="1:5" x14ac:dyDescent="0.25">
      <c r="A6926" s="1033"/>
      <c r="E6926" s="130"/>
    </row>
    <row r="6927" spans="1:5" x14ac:dyDescent="0.25">
      <c r="A6927" s="1033"/>
      <c r="E6927" s="130"/>
    </row>
    <row r="6928" spans="1:5" x14ac:dyDescent="0.25">
      <c r="A6928" s="1033"/>
      <c r="E6928" s="130"/>
    </row>
    <row r="6929" spans="1:5" x14ac:dyDescent="0.25">
      <c r="A6929" s="1033"/>
      <c r="E6929" s="130"/>
    </row>
    <row r="6930" spans="1:5" x14ac:dyDescent="0.25">
      <c r="A6930" s="1033"/>
      <c r="E6930" s="130"/>
    </row>
    <row r="6931" spans="1:5" x14ac:dyDescent="0.25">
      <c r="A6931" s="1033"/>
      <c r="E6931" s="130"/>
    </row>
    <row r="6932" spans="1:5" x14ac:dyDescent="0.25">
      <c r="A6932" s="1033"/>
      <c r="E6932" s="130"/>
    </row>
    <row r="6933" spans="1:5" x14ac:dyDescent="0.25">
      <c r="A6933" s="1033"/>
      <c r="E6933" s="130"/>
    </row>
    <row r="6934" spans="1:5" x14ac:dyDescent="0.25">
      <c r="A6934" s="1033"/>
      <c r="E6934" s="130"/>
    </row>
    <row r="6935" spans="1:5" x14ac:dyDescent="0.25">
      <c r="A6935" s="1033"/>
      <c r="E6935" s="130"/>
    </row>
    <row r="6936" spans="1:5" x14ac:dyDescent="0.25">
      <c r="A6936" s="1033"/>
      <c r="E6936" s="130"/>
    </row>
    <row r="6937" spans="1:5" x14ac:dyDescent="0.25">
      <c r="A6937" s="1033"/>
      <c r="E6937" s="130"/>
    </row>
    <row r="6938" spans="1:5" x14ac:dyDescent="0.25">
      <c r="A6938" s="1033"/>
      <c r="E6938" s="130"/>
    </row>
    <row r="6939" spans="1:5" x14ac:dyDescent="0.25">
      <c r="A6939" s="1033"/>
      <c r="E6939" s="130"/>
    </row>
    <row r="6940" spans="1:5" x14ac:dyDescent="0.25">
      <c r="A6940" s="1033"/>
      <c r="E6940" s="130"/>
    </row>
    <row r="6941" spans="1:5" x14ac:dyDescent="0.25">
      <c r="A6941" s="1033"/>
      <c r="E6941" s="130"/>
    </row>
    <row r="6942" spans="1:5" x14ac:dyDescent="0.25">
      <c r="A6942" s="1033"/>
      <c r="E6942" s="130"/>
    </row>
    <row r="6943" spans="1:5" x14ac:dyDescent="0.25">
      <c r="A6943" s="1033"/>
      <c r="E6943" s="130"/>
    </row>
    <row r="6944" spans="1:5" x14ac:dyDescent="0.25">
      <c r="A6944" s="1033"/>
      <c r="E6944" s="130"/>
    </row>
    <row r="6945" spans="1:5" x14ac:dyDescent="0.25">
      <c r="A6945" s="1033"/>
      <c r="E6945" s="130"/>
    </row>
    <row r="6946" spans="1:5" x14ac:dyDescent="0.25">
      <c r="A6946" s="1033"/>
      <c r="E6946" s="130"/>
    </row>
    <row r="6947" spans="1:5" x14ac:dyDescent="0.25">
      <c r="A6947" s="1033"/>
      <c r="E6947" s="130"/>
    </row>
    <row r="6948" spans="1:5" x14ac:dyDescent="0.25">
      <c r="A6948" s="1033"/>
      <c r="E6948" s="130"/>
    </row>
    <row r="6949" spans="1:5" x14ac:dyDescent="0.25">
      <c r="A6949" s="1033"/>
      <c r="E6949" s="130"/>
    </row>
    <row r="6950" spans="1:5" x14ac:dyDescent="0.25">
      <c r="A6950" s="1033"/>
      <c r="E6950" s="130"/>
    </row>
    <row r="6951" spans="1:5" x14ac:dyDescent="0.25">
      <c r="A6951" s="1033"/>
      <c r="E6951" s="130"/>
    </row>
    <row r="6952" spans="1:5" x14ac:dyDescent="0.25">
      <c r="A6952" s="1033"/>
      <c r="E6952" s="130"/>
    </row>
    <row r="6953" spans="1:5" x14ac:dyDescent="0.25">
      <c r="A6953" s="1033"/>
      <c r="E6953" s="130"/>
    </row>
    <row r="6954" spans="1:5" x14ac:dyDescent="0.25">
      <c r="A6954" s="1033"/>
      <c r="E6954" s="130"/>
    </row>
    <row r="6955" spans="1:5" x14ac:dyDescent="0.25">
      <c r="A6955" s="1033"/>
      <c r="E6955" s="130"/>
    </row>
    <row r="6956" spans="1:5" x14ac:dyDescent="0.25">
      <c r="A6956" s="1033"/>
      <c r="E6956" s="130"/>
    </row>
    <row r="6957" spans="1:5" x14ac:dyDescent="0.25">
      <c r="A6957" s="1033"/>
      <c r="E6957" s="130"/>
    </row>
    <row r="6958" spans="1:5" x14ac:dyDescent="0.25">
      <c r="A6958" s="1033"/>
      <c r="E6958" s="130"/>
    </row>
    <row r="6959" spans="1:5" x14ac:dyDescent="0.25">
      <c r="A6959" s="1033"/>
      <c r="E6959" s="130"/>
    </row>
    <row r="6960" spans="1:5" x14ac:dyDescent="0.25">
      <c r="A6960" s="1033"/>
      <c r="E6960" s="130"/>
    </row>
    <row r="6961" spans="1:5" x14ac:dyDescent="0.25">
      <c r="A6961" s="1033"/>
      <c r="E6961" s="130"/>
    </row>
    <row r="6962" spans="1:5" x14ac:dyDescent="0.25">
      <c r="A6962" s="1033"/>
      <c r="E6962" s="130"/>
    </row>
    <row r="6963" spans="1:5" x14ac:dyDescent="0.25">
      <c r="A6963" s="1033"/>
      <c r="E6963" s="130"/>
    </row>
    <row r="6964" spans="1:5" x14ac:dyDescent="0.25">
      <c r="A6964" s="1033"/>
      <c r="E6964" s="130"/>
    </row>
    <row r="6965" spans="1:5" x14ac:dyDescent="0.25">
      <c r="A6965" s="1033"/>
      <c r="E6965" s="130"/>
    </row>
    <row r="6966" spans="1:5" x14ac:dyDescent="0.25">
      <c r="A6966" s="1033"/>
      <c r="E6966" s="130"/>
    </row>
    <row r="6967" spans="1:5" x14ac:dyDescent="0.25">
      <c r="A6967" s="1033"/>
      <c r="E6967" s="130"/>
    </row>
    <row r="6968" spans="1:5" x14ac:dyDescent="0.25">
      <c r="A6968" s="1033"/>
      <c r="E6968" s="130"/>
    </row>
    <row r="6969" spans="1:5" x14ac:dyDescent="0.25">
      <c r="A6969" s="1033"/>
      <c r="E6969" s="130"/>
    </row>
    <row r="6970" spans="1:5" x14ac:dyDescent="0.25">
      <c r="A6970" s="1033"/>
      <c r="E6970" s="130"/>
    </row>
    <row r="6971" spans="1:5" x14ac:dyDescent="0.25">
      <c r="A6971" s="1033"/>
      <c r="E6971" s="130"/>
    </row>
    <row r="6972" spans="1:5" x14ac:dyDescent="0.25">
      <c r="A6972" s="1033"/>
      <c r="E6972" s="130"/>
    </row>
    <row r="6973" spans="1:5" x14ac:dyDescent="0.25">
      <c r="A6973" s="1033"/>
      <c r="E6973" s="130"/>
    </row>
    <row r="6974" spans="1:5" x14ac:dyDescent="0.25">
      <c r="A6974" s="1033"/>
      <c r="E6974" s="130"/>
    </row>
    <row r="6975" spans="1:5" x14ac:dyDescent="0.25">
      <c r="A6975" s="1033"/>
      <c r="E6975" s="130"/>
    </row>
    <row r="6976" spans="1:5" x14ac:dyDescent="0.25">
      <c r="A6976" s="1033"/>
      <c r="E6976" s="130"/>
    </row>
    <row r="6977" spans="1:5" x14ac:dyDescent="0.25">
      <c r="A6977" s="1033"/>
      <c r="E6977" s="130"/>
    </row>
    <row r="6978" spans="1:5" x14ac:dyDescent="0.25">
      <c r="A6978" s="1033"/>
      <c r="E6978" s="130"/>
    </row>
    <row r="6979" spans="1:5" x14ac:dyDescent="0.25">
      <c r="A6979" s="1033"/>
      <c r="E6979" s="130"/>
    </row>
    <row r="6980" spans="1:5" x14ac:dyDescent="0.25">
      <c r="A6980" s="1033"/>
      <c r="E6980" s="130"/>
    </row>
    <row r="6981" spans="1:5" x14ac:dyDescent="0.25">
      <c r="A6981" s="1033"/>
      <c r="E6981" s="130"/>
    </row>
    <row r="6982" spans="1:5" x14ac:dyDescent="0.25">
      <c r="A6982" s="1033"/>
      <c r="E6982" s="130"/>
    </row>
    <row r="6983" spans="1:5" x14ac:dyDescent="0.25">
      <c r="A6983" s="1033"/>
      <c r="E6983" s="130"/>
    </row>
    <row r="6984" spans="1:5" x14ac:dyDescent="0.25">
      <c r="A6984" s="1033"/>
      <c r="E6984" s="130"/>
    </row>
    <row r="6985" spans="1:5" x14ac:dyDescent="0.25">
      <c r="A6985" s="1033"/>
      <c r="E6985" s="130"/>
    </row>
    <row r="6986" spans="1:5" x14ac:dyDescent="0.25">
      <c r="A6986" s="1033"/>
      <c r="E6986" s="130"/>
    </row>
    <row r="6987" spans="1:5" x14ac:dyDescent="0.25">
      <c r="A6987" s="1033"/>
      <c r="E6987" s="130"/>
    </row>
    <row r="6988" spans="1:5" x14ac:dyDescent="0.25">
      <c r="A6988" s="1033"/>
      <c r="E6988" s="130"/>
    </row>
    <row r="6989" spans="1:5" x14ac:dyDescent="0.25">
      <c r="A6989" s="1033"/>
      <c r="E6989" s="130"/>
    </row>
    <row r="6990" spans="1:5" x14ac:dyDescent="0.25">
      <c r="A6990" s="1033"/>
      <c r="E6990" s="130"/>
    </row>
    <row r="6991" spans="1:5" x14ac:dyDescent="0.25">
      <c r="A6991" s="1033"/>
      <c r="E6991" s="130"/>
    </row>
    <row r="6992" spans="1:5" x14ac:dyDescent="0.25">
      <c r="A6992" s="1033"/>
      <c r="E6992" s="130"/>
    </row>
    <row r="6993" spans="1:5" x14ac:dyDescent="0.25">
      <c r="A6993" s="1033"/>
      <c r="E6993" s="130"/>
    </row>
    <row r="6994" spans="1:5" x14ac:dyDescent="0.25">
      <c r="A6994" s="1033"/>
      <c r="E6994" s="130"/>
    </row>
    <row r="6995" spans="1:5" x14ac:dyDescent="0.25">
      <c r="A6995" s="1033"/>
      <c r="E6995" s="130"/>
    </row>
    <row r="6996" spans="1:5" x14ac:dyDescent="0.25">
      <c r="A6996" s="1033"/>
      <c r="E6996" s="130"/>
    </row>
    <row r="6997" spans="1:5" x14ac:dyDescent="0.25">
      <c r="A6997" s="1033"/>
      <c r="E6997" s="130"/>
    </row>
    <row r="6998" spans="1:5" x14ac:dyDescent="0.25">
      <c r="A6998" s="1033"/>
      <c r="E6998" s="130"/>
    </row>
    <row r="6999" spans="1:5" x14ac:dyDescent="0.25">
      <c r="A6999" s="1033"/>
      <c r="E6999" s="130"/>
    </row>
    <row r="7000" spans="1:5" x14ac:dyDescent="0.25">
      <c r="A7000" s="1033"/>
      <c r="E7000" s="130"/>
    </row>
    <row r="7001" spans="1:5" x14ac:dyDescent="0.25">
      <c r="A7001" s="1033"/>
      <c r="E7001" s="130"/>
    </row>
    <row r="7002" spans="1:5" x14ac:dyDescent="0.25">
      <c r="A7002" s="1033"/>
      <c r="E7002" s="130"/>
    </row>
    <row r="7003" spans="1:5" x14ac:dyDescent="0.25">
      <c r="A7003" s="1033"/>
      <c r="E7003" s="130"/>
    </row>
    <row r="7004" spans="1:5" x14ac:dyDescent="0.25">
      <c r="A7004" s="1033"/>
      <c r="E7004" s="130"/>
    </row>
    <row r="7005" spans="1:5" x14ac:dyDescent="0.25">
      <c r="A7005" s="1033"/>
      <c r="E7005" s="130"/>
    </row>
    <row r="7006" spans="1:5" x14ac:dyDescent="0.25">
      <c r="A7006" s="1033"/>
      <c r="E7006" s="130"/>
    </row>
    <row r="7007" spans="1:5" x14ac:dyDescent="0.25">
      <c r="A7007" s="1033"/>
      <c r="E7007" s="130"/>
    </row>
    <row r="7008" spans="1:5" x14ac:dyDescent="0.25">
      <c r="A7008" s="1033"/>
      <c r="E7008" s="130"/>
    </row>
    <row r="7009" spans="1:5" x14ac:dyDescent="0.25">
      <c r="A7009" s="1033"/>
      <c r="E7009" s="130"/>
    </row>
    <row r="7010" spans="1:5" x14ac:dyDescent="0.25">
      <c r="A7010" s="1033"/>
      <c r="E7010" s="130"/>
    </row>
    <row r="7011" spans="1:5" x14ac:dyDescent="0.25">
      <c r="A7011" s="1033"/>
      <c r="E7011" s="130"/>
    </row>
    <row r="7012" spans="1:5" x14ac:dyDescent="0.25">
      <c r="A7012" s="1033"/>
      <c r="E7012" s="130"/>
    </row>
    <row r="7013" spans="1:5" x14ac:dyDescent="0.25">
      <c r="A7013" s="1033"/>
      <c r="E7013" s="130"/>
    </row>
    <row r="7014" spans="1:5" x14ac:dyDescent="0.25">
      <c r="A7014" s="1033"/>
      <c r="E7014" s="130"/>
    </row>
    <row r="7015" spans="1:5" x14ac:dyDescent="0.25">
      <c r="A7015" s="1033"/>
      <c r="E7015" s="130"/>
    </row>
    <row r="7016" spans="1:5" x14ac:dyDescent="0.25">
      <c r="A7016" s="1033"/>
      <c r="E7016" s="130"/>
    </row>
    <row r="7017" spans="1:5" x14ac:dyDescent="0.25">
      <c r="A7017" s="1033"/>
      <c r="E7017" s="130"/>
    </row>
    <row r="7018" spans="1:5" x14ac:dyDescent="0.25">
      <c r="A7018" s="1033"/>
      <c r="E7018" s="130"/>
    </row>
    <row r="7019" spans="1:5" x14ac:dyDescent="0.25">
      <c r="A7019" s="1033"/>
      <c r="E7019" s="130"/>
    </row>
    <row r="7020" spans="1:5" x14ac:dyDescent="0.25">
      <c r="A7020" s="1033"/>
      <c r="E7020" s="130"/>
    </row>
    <row r="7021" spans="1:5" x14ac:dyDescent="0.25">
      <c r="A7021" s="1033"/>
      <c r="E7021" s="130"/>
    </row>
    <row r="7022" spans="1:5" x14ac:dyDescent="0.25">
      <c r="A7022" s="1033"/>
      <c r="E7022" s="130"/>
    </row>
    <row r="7023" spans="1:5" x14ac:dyDescent="0.25">
      <c r="A7023" s="1033"/>
      <c r="E7023" s="130"/>
    </row>
    <row r="7024" spans="1:5" x14ac:dyDescent="0.25">
      <c r="A7024" s="1033"/>
      <c r="E7024" s="130"/>
    </row>
    <row r="7025" spans="1:5" x14ac:dyDescent="0.25">
      <c r="A7025" s="1033"/>
      <c r="E7025" s="130"/>
    </row>
    <row r="7026" spans="1:5" x14ac:dyDescent="0.25">
      <c r="A7026" s="1033"/>
      <c r="E7026" s="130"/>
    </row>
    <row r="7027" spans="1:5" x14ac:dyDescent="0.25">
      <c r="A7027" s="1033"/>
      <c r="E7027" s="130"/>
    </row>
    <row r="7028" spans="1:5" x14ac:dyDescent="0.25">
      <c r="A7028" s="1033"/>
      <c r="E7028" s="130"/>
    </row>
    <row r="7029" spans="1:5" x14ac:dyDescent="0.25">
      <c r="A7029" s="1033"/>
      <c r="E7029" s="130"/>
    </row>
    <row r="7030" spans="1:5" x14ac:dyDescent="0.25">
      <c r="A7030" s="1033"/>
      <c r="E7030" s="130"/>
    </row>
    <row r="7031" spans="1:5" x14ac:dyDescent="0.25">
      <c r="A7031" s="1033"/>
      <c r="E7031" s="130"/>
    </row>
    <row r="7032" spans="1:5" x14ac:dyDescent="0.25">
      <c r="A7032" s="1033"/>
      <c r="E7032" s="130"/>
    </row>
    <row r="7033" spans="1:5" x14ac:dyDescent="0.25">
      <c r="A7033" s="1033"/>
      <c r="E7033" s="130"/>
    </row>
    <row r="7034" spans="1:5" x14ac:dyDescent="0.25">
      <c r="A7034" s="1033"/>
      <c r="E7034" s="130"/>
    </row>
    <row r="7035" spans="1:5" x14ac:dyDescent="0.25">
      <c r="A7035" s="1033"/>
      <c r="E7035" s="130"/>
    </row>
    <row r="7036" spans="1:5" x14ac:dyDescent="0.25">
      <c r="A7036" s="1033"/>
      <c r="E7036" s="130"/>
    </row>
    <row r="7037" spans="1:5" x14ac:dyDescent="0.25">
      <c r="A7037" s="1033"/>
      <c r="E7037" s="130"/>
    </row>
    <row r="7038" spans="1:5" x14ac:dyDescent="0.25">
      <c r="A7038" s="1033"/>
      <c r="E7038" s="130"/>
    </row>
    <row r="7039" spans="1:5" x14ac:dyDescent="0.25">
      <c r="A7039" s="1033"/>
      <c r="E7039" s="130"/>
    </row>
    <row r="7040" spans="1:5" x14ac:dyDescent="0.25">
      <c r="A7040" s="1033"/>
      <c r="E7040" s="130"/>
    </row>
    <row r="7041" spans="1:5" x14ac:dyDescent="0.25">
      <c r="A7041" s="1033"/>
      <c r="E7041" s="130"/>
    </row>
    <row r="7042" spans="1:5" x14ac:dyDescent="0.25">
      <c r="A7042" s="1033"/>
      <c r="E7042" s="130"/>
    </row>
    <row r="7043" spans="1:5" x14ac:dyDescent="0.25">
      <c r="A7043" s="1033"/>
      <c r="E7043" s="130"/>
    </row>
    <row r="7044" spans="1:5" x14ac:dyDescent="0.25">
      <c r="A7044" s="1033"/>
      <c r="E7044" s="130"/>
    </row>
    <row r="7045" spans="1:5" x14ac:dyDescent="0.25">
      <c r="A7045" s="1033"/>
      <c r="E7045" s="130"/>
    </row>
    <row r="7046" spans="1:5" x14ac:dyDescent="0.25">
      <c r="A7046" s="1033"/>
      <c r="E7046" s="130"/>
    </row>
    <row r="7047" spans="1:5" x14ac:dyDescent="0.25">
      <c r="A7047" s="1033"/>
      <c r="E7047" s="130"/>
    </row>
    <row r="7048" spans="1:5" x14ac:dyDescent="0.25">
      <c r="A7048" s="1033"/>
      <c r="E7048" s="130"/>
    </row>
    <row r="7049" spans="1:5" x14ac:dyDescent="0.25">
      <c r="A7049" s="1033"/>
      <c r="E7049" s="130"/>
    </row>
    <row r="7050" spans="1:5" x14ac:dyDescent="0.25">
      <c r="A7050" s="1033"/>
      <c r="E7050" s="130"/>
    </row>
    <row r="7051" spans="1:5" x14ac:dyDescent="0.25">
      <c r="A7051" s="1033"/>
      <c r="E7051" s="130"/>
    </row>
    <row r="7052" spans="1:5" x14ac:dyDescent="0.25">
      <c r="A7052" s="1033"/>
      <c r="E7052" s="130"/>
    </row>
    <row r="7053" spans="1:5" x14ac:dyDescent="0.25">
      <c r="A7053" s="1033"/>
      <c r="E7053" s="130"/>
    </row>
    <row r="7054" spans="1:5" x14ac:dyDescent="0.25">
      <c r="A7054" s="1033"/>
      <c r="E7054" s="130"/>
    </row>
    <row r="7055" spans="1:5" x14ac:dyDescent="0.25">
      <c r="A7055" s="1033"/>
      <c r="E7055" s="130"/>
    </row>
    <row r="7056" spans="1:5" x14ac:dyDescent="0.25">
      <c r="A7056" s="1033"/>
      <c r="E7056" s="130"/>
    </row>
    <row r="7057" spans="1:5" x14ac:dyDescent="0.25">
      <c r="A7057" s="1033"/>
      <c r="E7057" s="130"/>
    </row>
    <row r="7058" spans="1:5" x14ac:dyDescent="0.25">
      <c r="A7058" s="1033"/>
      <c r="E7058" s="130"/>
    </row>
    <row r="7059" spans="1:5" x14ac:dyDescent="0.25">
      <c r="A7059" s="1033"/>
      <c r="E7059" s="130"/>
    </row>
    <row r="7060" spans="1:5" x14ac:dyDescent="0.25">
      <c r="A7060" s="1033"/>
      <c r="E7060" s="130"/>
    </row>
    <row r="7061" spans="1:5" x14ac:dyDescent="0.25">
      <c r="A7061" s="1033"/>
      <c r="E7061" s="130"/>
    </row>
    <row r="7062" spans="1:5" x14ac:dyDescent="0.25">
      <c r="A7062" s="1033"/>
      <c r="E7062" s="130"/>
    </row>
    <row r="7063" spans="1:5" x14ac:dyDescent="0.25">
      <c r="A7063" s="1033"/>
      <c r="E7063" s="130"/>
    </row>
    <row r="7064" spans="1:5" x14ac:dyDescent="0.25">
      <c r="A7064" s="1033"/>
      <c r="E7064" s="130"/>
    </row>
    <row r="7065" spans="1:5" x14ac:dyDescent="0.25">
      <c r="A7065" s="1033"/>
      <c r="E7065" s="130"/>
    </row>
    <row r="7066" spans="1:5" x14ac:dyDescent="0.25">
      <c r="A7066" s="1033"/>
      <c r="E7066" s="130"/>
    </row>
    <row r="7067" spans="1:5" x14ac:dyDescent="0.25">
      <c r="A7067" s="1033"/>
      <c r="E7067" s="130"/>
    </row>
    <row r="7068" spans="1:5" x14ac:dyDescent="0.25">
      <c r="A7068" s="1033"/>
      <c r="E7068" s="130"/>
    </row>
    <row r="7069" spans="1:5" x14ac:dyDescent="0.25">
      <c r="A7069" s="1033"/>
      <c r="E7069" s="130"/>
    </row>
    <row r="7070" spans="1:5" x14ac:dyDescent="0.25">
      <c r="A7070" s="1033"/>
      <c r="E7070" s="130"/>
    </row>
    <row r="7071" spans="1:5" x14ac:dyDescent="0.25">
      <c r="A7071" s="1033"/>
      <c r="E7071" s="130"/>
    </row>
    <row r="7072" spans="1:5" x14ac:dyDescent="0.25">
      <c r="A7072" s="1033"/>
      <c r="E7072" s="130"/>
    </row>
    <row r="7073" spans="1:5" x14ac:dyDescent="0.25">
      <c r="A7073" s="1033"/>
      <c r="E7073" s="130"/>
    </row>
    <row r="7074" spans="1:5" x14ac:dyDescent="0.25">
      <c r="A7074" s="1033"/>
      <c r="E7074" s="130"/>
    </row>
    <row r="7075" spans="1:5" x14ac:dyDescent="0.25">
      <c r="A7075" s="1033"/>
      <c r="E7075" s="130"/>
    </row>
    <row r="7076" spans="1:5" x14ac:dyDescent="0.25">
      <c r="A7076" s="1033"/>
      <c r="E7076" s="130"/>
    </row>
    <row r="7077" spans="1:5" x14ac:dyDescent="0.25">
      <c r="A7077" s="1033"/>
      <c r="E7077" s="130"/>
    </row>
    <row r="7078" spans="1:5" x14ac:dyDescent="0.25">
      <c r="A7078" s="1033"/>
      <c r="E7078" s="130"/>
    </row>
    <row r="7079" spans="1:5" x14ac:dyDescent="0.25">
      <c r="A7079" s="1033"/>
      <c r="E7079" s="130"/>
    </row>
    <row r="7080" spans="1:5" x14ac:dyDescent="0.25">
      <c r="A7080" s="1033"/>
      <c r="E7080" s="130"/>
    </row>
    <row r="7081" spans="1:5" x14ac:dyDescent="0.25">
      <c r="A7081" s="1033"/>
      <c r="E7081" s="130"/>
    </row>
    <row r="7082" spans="1:5" x14ac:dyDescent="0.25">
      <c r="A7082" s="1033"/>
      <c r="E7082" s="130"/>
    </row>
    <row r="7083" spans="1:5" x14ac:dyDescent="0.25">
      <c r="A7083" s="1033"/>
      <c r="E7083" s="130"/>
    </row>
    <row r="7084" spans="1:5" x14ac:dyDescent="0.25">
      <c r="A7084" s="1033"/>
      <c r="E7084" s="130"/>
    </row>
    <row r="7085" spans="1:5" x14ac:dyDescent="0.25">
      <c r="A7085" s="1033"/>
      <c r="E7085" s="130"/>
    </row>
    <row r="7086" spans="1:5" x14ac:dyDescent="0.25">
      <c r="A7086" s="1033"/>
      <c r="E7086" s="130"/>
    </row>
    <row r="7087" spans="1:5" x14ac:dyDescent="0.25">
      <c r="A7087" s="1033"/>
      <c r="E7087" s="130"/>
    </row>
    <row r="7088" spans="1:5" x14ac:dyDescent="0.25">
      <c r="A7088" s="1033"/>
      <c r="E7088" s="130"/>
    </row>
    <row r="7089" spans="1:5" x14ac:dyDescent="0.25">
      <c r="A7089" s="1033"/>
      <c r="E7089" s="130"/>
    </row>
    <row r="7090" spans="1:5" x14ac:dyDescent="0.25">
      <c r="A7090" s="1033"/>
      <c r="E7090" s="130"/>
    </row>
    <row r="7091" spans="1:5" x14ac:dyDescent="0.25">
      <c r="A7091" s="1033"/>
      <c r="E7091" s="130"/>
    </row>
    <row r="7092" spans="1:5" x14ac:dyDescent="0.25">
      <c r="A7092" s="1033"/>
      <c r="E7092" s="130"/>
    </row>
    <row r="7093" spans="1:5" x14ac:dyDescent="0.25">
      <c r="A7093" s="1033"/>
      <c r="E7093" s="130"/>
    </row>
    <row r="7094" spans="1:5" x14ac:dyDescent="0.25">
      <c r="A7094" s="1033"/>
      <c r="E7094" s="130"/>
    </row>
    <row r="7095" spans="1:5" x14ac:dyDescent="0.25">
      <c r="A7095" s="1033"/>
      <c r="E7095" s="130"/>
    </row>
    <row r="7096" spans="1:5" x14ac:dyDescent="0.25">
      <c r="A7096" s="1033"/>
      <c r="E7096" s="130"/>
    </row>
    <row r="7097" spans="1:5" x14ac:dyDescent="0.25">
      <c r="A7097" s="1033"/>
      <c r="E7097" s="130"/>
    </row>
    <row r="7098" spans="1:5" x14ac:dyDescent="0.25">
      <c r="A7098" s="1033"/>
      <c r="E7098" s="130"/>
    </row>
    <row r="7099" spans="1:5" x14ac:dyDescent="0.25">
      <c r="A7099" s="1033"/>
      <c r="E7099" s="130"/>
    </row>
    <row r="7100" spans="1:5" x14ac:dyDescent="0.25">
      <c r="A7100" s="1033"/>
      <c r="E7100" s="130"/>
    </row>
    <row r="7101" spans="1:5" x14ac:dyDescent="0.25">
      <c r="A7101" s="1033"/>
      <c r="E7101" s="130"/>
    </row>
    <row r="7102" spans="1:5" x14ac:dyDescent="0.25">
      <c r="A7102" s="1033"/>
      <c r="E7102" s="130"/>
    </row>
    <row r="7103" spans="1:5" x14ac:dyDescent="0.25">
      <c r="A7103" s="1033"/>
      <c r="E7103" s="130"/>
    </row>
    <row r="7104" spans="1:5" x14ac:dyDescent="0.25">
      <c r="A7104" s="1033"/>
      <c r="E7104" s="130"/>
    </row>
    <row r="7105" spans="1:5" x14ac:dyDescent="0.25">
      <c r="A7105" s="1033"/>
      <c r="E7105" s="130"/>
    </row>
    <row r="7106" spans="1:5" x14ac:dyDescent="0.25">
      <c r="A7106" s="1033"/>
      <c r="E7106" s="130"/>
    </row>
    <row r="7107" spans="1:5" x14ac:dyDescent="0.25">
      <c r="A7107" s="1033"/>
      <c r="E7107" s="130"/>
    </row>
    <row r="7108" spans="1:5" x14ac:dyDescent="0.25">
      <c r="A7108" s="1033"/>
      <c r="E7108" s="130"/>
    </row>
    <row r="7109" spans="1:5" x14ac:dyDescent="0.25">
      <c r="A7109" s="1033"/>
      <c r="E7109" s="130"/>
    </row>
    <row r="7110" spans="1:5" x14ac:dyDescent="0.25">
      <c r="A7110" s="1033"/>
      <c r="E7110" s="130"/>
    </row>
    <row r="7111" spans="1:5" x14ac:dyDescent="0.25">
      <c r="A7111" s="1033"/>
      <c r="E7111" s="130"/>
    </row>
    <row r="7112" spans="1:5" x14ac:dyDescent="0.25">
      <c r="A7112" s="1033"/>
      <c r="E7112" s="130"/>
    </row>
    <row r="7113" spans="1:5" x14ac:dyDescent="0.25">
      <c r="A7113" s="1033"/>
      <c r="E7113" s="130"/>
    </row>
    <row r="7114" spans="1:5" x14ac:dyDescent="0.25">
      <c r="A7114" s="1033"/>
      <c r="E7114" s="130"/>
    </row>
    <row r="7115" spans="1:5" x14ac:dyDescent="0.25">
      <c r="A7115" s="1033"/>
      <c r="E7115" s="130"/>
    </row>
    <row r="7116" spans="1:5" x14ac:dyDescent="0.25">
      <c r="A7116" s="1033"/>
      <c r="E7116" s="130"/>
    </row>
    <row r="7117" spans="1:5" x14ac:dyDescent="0.25">
      <c r="A7117" s="1033"/>
      <c r="E7117" s="130"/>
    </row>
    <row r="7118" spans="1:5" x14ac:dyDescent="0.25">
      <c r="A7118" s="1033"/>
      <c r="E7118" s="130"/>
    </row>
    <row r="7119" spans="1:5" x14ac:dyDescent="0.25">
      <c r="A7119" s="1033"/>
      <c r="E7119" s="130"/>
    </row>
    <row r="7120" spans="1:5" x14ac:dyDescent="0.25">
      <c r="A7120" s="1033"/>
      <c r="E7120" s="130"/>
    </row>
    <row r="7121" spans="1:5" x14ac:dyDescent="0.25">
      <c r="A7121" s="1033"/>
      <c r="E7121" s="130"/>
    </row>
    <row r="7122" spans="1:5" x14ac:dyDescent="0.25">
      <c r="A7122" s="1033"/>
      <c r="E7122" s="130"/>
    </row>
    <row r="7123" spans="1:5" x14ac:dyDescent="0.25">
      <c r="A7123" s="1033"/>
      <c r="E7123" s="130"/>
    </row>
    <row r="7124" spans="1:5" x14ac:dyDescent="0.25">
      <c r="A7124" s="1033"/>
      <c r="E7124" s="130"/>
    </row>
    <row r="7125" spans="1:5" x14ac:dyDescent="0.25">
      <c r="A7125" s="1033"/>
      <c r="E7125" s="130"/>
    </row>
    <row r="7126" spans="1:5" x14ac:dyDescent="0.25">
      <c r="A7126" s="1033"/>
      <c r="E7126" s="130"/>
    </row>
    <row r="7127" spans="1:5" x14ac:dyDescent="0.25">
      <c r="A7127" s="1033"/>
      <c r="E7127" s="130"/>
    </row>
    <row r="7128" spans="1:5" x14ac:dyDescent="0.25">
      <c r="A7128" s="1033"/>
      <c r="E7128" s="130"/>
    </row>
    <row r="7129" spans="1:5" x14ac:dyDescent="0.25">
      <c r="A7129" s="1033"/>
      <c r="E7129" s="130"/>
    </row>
    <row r="7130" spans="1:5" x14ac:dyDescent="0.25">
      <c r="A7130" s="1033"/>
      <c r="E7130" s="130"/>
    </row>
    <row r="7131" spans="1:5" x14ac:dyDescent="0.25">
      <c r="A7131" s="1033"/>
      <c r="E7131" s="130"/>
    </row>
    <row r="7132" spans="1:5" x14ac:dyDescent="0.25">
      <c r="A7132" s="1033"/>
      <c r="E7132" s="130"/>
    </row>
    <row r="7133" spans="1:5" x14ac:dyDescent="0.25">
      <c r="A7133" s="1033"/>
      <c r="E7133" s="130"/>
    </row>
    <row r="7134" spans="1:5" x14ac:dyDescent="0.25">
      <c r="A7134" s="1033"/>
      <c r="E7134" s="130"/>
    </row>
    <row r="7135" spans="1:5" x14ac:dyDescent="0.25">
      <c r="A7135" s="1033"/>
      <c r="E7135" s="130"/>
    </row>
    <row r="7136" spans="1:5" x14ac:dyDescent="0.25">
      <c r="A7136" s="1033"/>
      <c r="E7136" s="130"/>
    </row>
    <row r="7137" spans="1:5" x14ac:dyDescent="0.25">
      <c r="A7137" s="1033"/>
      <c r="E7137" s="130"/>
    </row>
    <row r="7138" spans="1:5" x14ac:dyDescent="0.25">
      <c r="A7138" s="1033"/>
      <c r="E7138" s="130"/>
    </row>
    <row r="7139" spans="1:5" x14ac:dyDescent="0.25">
      <c r="A7139" s="1033"/>
      <c r="E7139" s="130"/>
    </row>
    <row r="7140" spans="1:5" x14ac:dyDescent="0.25">
      <c r="A7140" s="1033"/>
      <c r="E7140" s="130"/>
    </row>
    <row r="7141" spans="1:5" x14ac:dyDescent="0.25">
      <c r="A7141" s="1033"/>
      <c r="E7141" s="130"/>
    </row>
    <row r="7142" spans="1:5" x14ac:dyDescent="0.25">
      <c r="A7142" s="1033"/>
      <c r="E7142" s="130"/>
    </row>
    <row r="7143" spans="1:5" x14ac:dyDescent="0.25">
      <c r="A7143" s="1033"/>
      <c r="E7143" s="130"/>
    </row>
    <row r="7144" spans="1:5" x14ac:dyDescent="0.25">
      <c r="A7144" s="1033"/>
      <c r="E7144" s="130"/>
    </row>
    <row r="7145" spans="1:5" x14ac:dyDescent="0.25">
      <c r="A7145" s="1033"/>
      <c r="E7145" s="130"/>
    </row>
    <row r="7146" spans="1:5" x14ac:dyDescent="0.25">
      <c r="A7146" s="1033"/>
      <c r="E7146" s="130"/>
    </row>
    <row r="7147" spans="1:5" x14ac:dyDescent="0.25">
      <c r="A7147" s="1033"/>
      <c r="E7147" s="130"/>
    </row>
    <row r="7148" spans="1:5" x14ac:dyDescent="0.25">
      <c r="A7148" s="1033"/>
      <c r="E7148" s="130"/>
    </row>
    <row r="7149" spans="1:5" x14ac:dyDescent="0.25">
      <c r="A7149" s="1033"/>
      <c r="E7149" s="130"/>
    </row>
    <row r="7150" spans="1:5" x14ac:dyDescent="0.25">
      <c r="A7150" s="1033"/>
      <c r="E7150" s="130"/>
    </row>
    <row r="7151" spans="1:5" x14ac:dyDescent="0.25">
      <c r="A7151" s="1033"/>
      <c r="E7151" s="130"/>
    </row>
    <row r="7152" spans="1:5" x14ac:dyDescent="0.25">
      <c r="A7152" s="1033"/>
      <c r="E7152" s="130"/>
    </row>
    <row r="7153" spans="1:5" x14ac:dyDescent="0.25">
      <c r="A7153" s="1033"/>
      <c r="E7153" s="130"/>
    </row>
    <row r="7154" spans="1:5" x14ac:dyDescent="0.25">
      <c r="A7154" s="1033"/>
      <c r="E7154" s="130"/>
    </row>
    <row r="7155" spans="1:5" x14ac:dyDescent="0.25">
      <c r="A7155" s="1033"/>
      <c r="E7155" s="130"/>
    </row>
    <row r="7156" spans="1:5" x14ac:dyDescent="0.25">
      <c r="A7156" s="1033"/>
      <c r="E7156" s="130"/>
    </row>
    <row r="7157" spans="1:5" x14ac:dyDescent="0.25">
      <c r="A7157" s="1033"/>
      <c r="E7157" s="130"/>
    </row>
    <row r="7158" spans="1:5" x14ac:dyDescent="0.25">
      <c r="A7158" s="1033"/>
      <c r="E7158" s="130"/>
    </row>
    <row r="7159" spans="1:5" x14ac:dyDescent="0.25">
      <c r="A7159" s="1033"/>
      <c r="E7159" s="130"/>
    </row>
    <row r="7160" spans="1:5" x14ac:dyDescent="0.25">
      <c r="A7160" s="1033"/>
      <c r="E7160" s="130"/>
    </row>
    <row r="7161" spans="1:5" x14ac:dyDescent="0.25">
      <c r="A7161" s="1033"/>
      <c r="E7161" s="130"/>
    </row>
    <row r="7162" spans="1:5" x14ac:dyDescent="0.25">
      <c r="A7162" s="1033"/>
      <c r="E7162" s="130"/>
    </row>
    <row r="7163" spans="1:5" x14ac:dyDescent="0.25">
      <c r="A7163" s="1033"/>
      <c r="E7163" s="130"/>
    </row>
    <row r="7164" spans="1:5" x14ac:dyDescent="0.25">
      <c r="A7164" s="1033"/>
      <c r="E7164" s="130"/>
    </row>
    <row r="7165" spans="1:5" x14ac:dyDescent="0.25">
      <c r="A7165" s="1033"/>
      <c r="E7165" s="130"/>
    </row>
    <row r="7166" spans="1:5" x14ac:dyDescent="0.25">
      <c r="A7166" s="1033"/>
      <c r="E7166" s="130"/>
    </row>
    <row r="7167" spans="1:5" x14ac:dyDescent="0.25">
      <c r="A7167" s="1033"/>
      <c r="E7167" s="130"/>
    </row>
    <row r="7168" spans="1:5" x14ac:dyDescent="0.25">
      <c r="A7168" s="1033"/>
      <c r="E7168" s="130"/>
    </row>
    <row r="7169" spans="1:5" x14ac:dyDescent="0.25">
      <c r="A7169" s="1033"/>
      <c r="E7169" s="130"/>
    </row>
    <row r="7170" spans="1:5" x14ac:dyDescent="0.25">
      <c r="A7170" s="1033"/>
      <c r="E7170" s="130"/>
    </row>
    <row r="7171" spans="1:5" x14ac:dyDescent="0.25">
      <c r="A7171" s="1033"/>
      <c r="E7171" s="130"/>
    </row>
    <row r="7172" spans="1:5" x14ac:dyDescent="0.25">
      <c r="A7172" s="1033"/>
      <c r="E7172" s="130"/>
    </row>
    <row r="7173" spans="1:5" x14ac:dyDescent="0.25">
      <c r="A7173" s="1033"/>
      <c r="E7173" s="130"/>
    </row>
    <row r="7174" spans="1:5" x14ac:dyDescent="0.25">
      <c r="A7174" s="1033"/>
      <c r="E7174" s="130"/>
    </row>
    <row r="7175" spans="1:5" x14ac:dyDescent="0.25">
      <c r="A7175" s="1033"/>
      <c r="E7175" s="130"/>
    </row>
    <row r="7176" spans="1:5" x14ac:dyDescent="0.25">
      <c r="A7176" s="1033"/>
      <c r="E7176" s="130"/>
    </row>
    <row r="7177" spans="1:5" x14ac:dyDescent="0.25">
      <c r="A7177" s="1033"/>
      <c r="E7177" s="130"/>
    </row>
    <row r="7178" spans="1:5" x14ac:dyDescent="0.25">
      <c r="A7178" s="1033"/>
      <c r="E7178" s="130"/>
    </row>
    <row r="7179" spans="1:5" x14ac:dyDescent="0.25">
      <c r="A7179" s="1033"/>
      <c r="E7179" s="130"/>
    </row>
    <row r="7180" spans="1:5" x14ac:dyDescent="0.25">
      <c r="A7180" s="1033"/>
      <c r="E7180" s="130"/>
    </row>
    <row r="7181" spans="1:5" x14ac:dyDescent="0.25">
      <c r="A7181" s="1033"/>
      <c r="E7181" s="130"/>
    </row>
    <row r="7182" spans="1:5" x14ac:dyDescent="0.25">
      <c r="A7182" s="1033"/>
      <c r="E7182" s="130"/>
    </row>
    <row r="7183" spans="1:5" x14ac:dyDescent="0.25">
      <c r="A7183" s="1033"/>
      <c r="E7183" s="130"/>
    </row>
    <row r="7184" spans="1:5" x14ac:dyDescent="0.25">
      <c r="A7184" s="1033"/>
      <c r="E7184" s="130"/>
    </row>
    <row r="7185" spans="1:5" x14ac:dyDescent="0.25">
      <c r="A7185" s="1033"/>
      <c r="E7185" s="130"/>
    </row>
    <row r="7186" spans="1:5" x14ac:dyDescent="0.25">
      <c r="A7186" s="1033"/>
      <c r="E7186" s="130"/>
    </row>
    <row r="7187" spans="1:5" x14ac:dyDescent="0.25">
      <c r="A7187" s="1033"/>
      <c r="E7187" s="130"/>
    </row>
    <row r="7188" spans="1:5" x14ac:dyDescent="0.25">
      <c r="A7188" s="1033"/>
      <c r="E7188" s="130"/>
    </row>
    <row r="7189" spans="1:5" x14ac:dyDescent="0.25">
      <c r="A7189" s="1033"/>
      <c r="E7189" s="130"/>
    </row>
    <row r="7190" spans="1:5" x14ac:dyDescent="0.25">
      <c r="A7190" s="1033"/>
      <c r="E7190" s="130"/>
    </row>
    <row r="7191" spans="1:5" x14ac:dyDescent="0.25">
      <c r="A7191" s="1033"/>
      <c r="E7191" s="130"/>
    </row>
    <row r="7192" spans="1:5" x14ac:dyDescent="0.25">
      <c r="A7192" s="1033"/>
      <c r="E7192" s="130"/>
    </row>
    <row r="7193" spans="1:5" x14ac:dyDescent="0.25">
      <c r="A7193" s="1033"/>
      <c r="E7193" s="130"/>
    </row>
    <row r="7194" spans="1:5" x14ac:dyDescent="0.25">
      <c r="A7194" s="1033"/>
      <c r="E7194" s="130"/>
    </row>
    <row r="7195" spans="1:5" x14ac:dyDescent="0.25">
      <c r="A7195" s="1033"/>
      <c r="E7195" s="130"/>
    </row>
    <row r="7196" spans="1:5" x14ac:dyDescent="0.25">
      <c r="A7196" s="1033"/>
      <c r="E7196" s="130"/>
    </row>
    <row r="7197" spans="1:5" x14ac:dyDescent="0.25">
      <c r="A7197" s="1033"/>
      <c r="E7197" s="130"/>
    </row>
    <row r="7198" spans="1:5" x14ac:dyDescent="0.25">
      <c r="A7198" s="1033"/>
      <c r="E7198" s="130"/>
    </row>
    <row r="7199" spans="1:5" x14ac:dyDescent="0.25">
      <c r="A7199" s="1033"/>
      <c r="E7199" s="130"/>
    </row>
    <row r="7200" spans="1:5" x14ac:dyDescent="0.25">
      <c r="A7200" s="1033"/>
      <c r="E7200" s="130"/>
    </row>
    <row r="7201" spans="1:5" x14ac:dyDescent="0.25">
      <c r="A7201" s="1033"/>
      <c r="E7201" s="130"/>
    </row>
    <row r="7202" spans="1:5" x14ac:dyDescent="0.25">
      <c r="A7202" s="1033"/>
      <c r="E7202" s="130"/>
    </row>
    <row r="7203" spans="1:5" x14ac:dyDescent="0.25">
      <c r="A7203" s="1033"/>
      <c r="E7203" s="130"/>
    </row>
    <row r="7204" spans="1:5" x14ac:dyDescent="0.25">
      <c r="A7204" s="1033"/>
      <c r="E7204" s="130"/>
    </row>
    <row r="7205" spans="1:5" x14ac:dyDescent="0.25">
      <c r="A7205" s="1033"/>
      <c r="E7205" s="130"/>
    </row>
    <row r="7206" spans="1:5" x14ac:dyDescent="0.25">
      <c r="A7206" s="1033"/>
      <c r="E7206" s="130"/>
    </row>
    <row r="7207" spans="1:5" x14ac:dyDescent="0.25">
      <c r="A7207" s="1033"/>
      <c r="E7207" s="130"/>
    </row>
    <row r="7208" spans="1:5" x14ac:dyDescent="0.25">
      <c r="A7208" s="1033"/>
      <c r="E7208" s="130"/>
    </row>
    <row r="7209" spans="1:5" x14ac:dyDescent="0.25">
      <c r="A7209" s="1033"/>
      <c r="E7209" s="130"/>
    </row>
    <row r="7210" spans="1:5" x14ac:dyDescent="0.25">
      <c r="A7210" s="1033"/>
      <c r="E7210" s="130"/>
    </row>
    <row r="7211" spans="1:5" x14ac:dyDescent="0.25">
      <c r="A7211" s="1033"/>
      <c r="E7211" s="130"/>
    </row>
    <row r="7212" spans="1:5" x14ac:dyDescent="0.25">
      <c r="A7212" s="1033"/>
      <c r="E7212" s="130"/>
    </row>
    <row r="7213" spans="1:5" x14ac:dyDescent="0.25">
      <c r="A7213" s="1033"/>
      <c r="E7213" s="130"/>
    </row>
    <row r="7214" spans="1:5" x14ac:dyDescent="0.25">
      <c r="A7214" s="1033"/>
      <c r="E7214" s="130"/>
    </row>
    <row r="7215" spans="1:5" x14ac:dyDescent="0.25">
      <c r="A7215" s="1033"/>
      <c r="E7215" s="130"/>
    </row>
    <row r="7216" spans="1:5" x14ac:dyDescent="0.25">
      <c r="A7216" s="1033"/>
      <c r="E7216" s="130"/>
    </row>
    <row r="7217" spans="1:5" x14ac:dyDescent="0.25">
      <c r="A7217" s="1033"/>
      <c r="E7217" s="130"/>
    </row>
    <row r="7218" spans="1:5" x14ac:dyDescent="0.25">
      <c r="A7218" s="1033"/>
      <c r="E7218" s="130"/>
    </row>
    <row r="7219" spans="1:5" x14ac:dyDescent="0.25">
      <c r="A7219" s="1033"/>
      <c r="E7219" s="130"/>
    </row>
    <row r="7220" spans="1:5" x14ac:dyDescent="0.25">
      <c r="A7220" s="1033"/>
      <c r="E7220" s="130"/>
    </row>
    <row r="7221" spans="1:5" x14ac:dyDescent="0.25">
      <c r="A7221" s="1033"/>
      <c r="E7221" s="130"/>
    </row>
    <row r="7222" spans="1:5" x14ac:dyDescent="0.25">
      <c r="A7222" s="1033"/>
      <c r="E7222" s="130"/>
    </row>
    <row r="7223" spans="1:5" x14ac:dyDescent="0.25">
      <c r="A7223" s="1033"/>
      <c r="E7223" s="130"/>
    </row>
    <row r="7224" spans="1:5" x14ac:dyDescent="0.25">
      <c r="A7224" s="1033"/>
      <c r="E7224" s="130"/>
    </row>
    <row r="7225" spans="1:5" x14ac:dyDescent="0.25">
      <c r="A7225" s="1033"/>
      <c r="E7225" s="130"/>
    </row>
    <row r="7226" spans="1:5" x14ac:dyDescent="0.25">
      <c r="A7226" s="1033"/>
      <c r="E7226" s="130"/>
    </row>
    <row r="7227" spans="1:5" x14ac:dyDescent="0.25">
      <c r="A7227" s="1033"/>
      <c r="E7227" s="130"/>
    </row>
    <row r="7228" spans="1:5" x14ac:dyDescent="0.25">
      <c r="A7228" s="1033"/>
      <c r="E7228" s="130"/>
    </row>
    <row r="7229" spans="1:5" x14ac:dyDescent="0.25">
      <c r="A7229" s="1033"/>
      <c r="E7229" s="130"/>
    </row>
    <row r="7230" spans="1:5" x14ac:dyDescent="0.25">
      <c r="A7230" s="1033"/>
      <c r="E7230" s="130"/>
    </row>
    <row r="7231" spans="1:5" x14ac:dyDescent="0.25">
      <c r="A7231" s="1033"/>
      <c r="E7231" s="130"/>
    </row>
    <row r="7232" spans="1:5" x14ac:dyDescent="0.25">
      <c r="A7232" s="1033"/>
      <c r="E7232" s="130"/>
    </row>
    <row r="7233" spans="1:5" x14ac:dyDescent="0.25">
      <c r="A7233" s="1033"/>
      <c r="E7233" s="130"/>
    </row>
    <row r="7234" spans="1:5" x14ac:dyDescent="0.25">
      <c r="A7234" s="1033"/>
      <c r="E7234" s="130"/>
    </row>
    <row r="7235" spans="1:5" x14ac:dyDescent="0.25">
      <c r="A7235" s="1033"/>
      <c r="E7235" s="130"/>
    </row>
    <row r="7236" spans="1:5" x14ac:dyDescent="0.25">
      <c r="A7236" s="1033"/>
      <c r="E7236" s="130"/>
    </row>
    <row r="7237" spans="1:5" x14ac:dyDescent="0.25">
      <c r="A7237" s="1033"/>
      <c r="E7237" s="130"/>
    </row>
    <row r="7238" spans="1:5" x14ac:dyDescent="0.25">
      <c r="A7238" s="1033"/>
      <c r="E7238" s="130"/>
    </row>
    <row r="7239" spans="1:5" x14ac:dyDescent="0.25">
      <c r="A7239" s="1033"/>
      <c r="E7239" s="130"/>
    </row>
    <row r="7240" spans="1:5" x14ac:dyDescent="0.25">
      <c r="A7240" s="1033"/>
      <c r="E7240" s="130"/>
    </row>
    <row r="7241" spans="1:5" x14ac:dyDescent="0.25">
      <c r="A7241" s="1033"/>
      <c r="E7241" s="130"/>
    </row>
    <row r="7242" spans="1:5" x14ac:dyDescent="0.25">
      <c r="A7242" s="1033"/>
      <c r="E7242" s="130"/>
    </row>
    <row r="7243" spans="1:5" x14ac:dyDescent="0.25">
      <c r="A7243" s="1033"/>
      <c r="E7243" s="130"/>
    </row>
    <row r="7244" spans="1:5" x14ac:dyDescent="0.25">
      <c r="A7244" s="1033"/>
      <c r="E7244" s="130"/>
    </row>
    <row r="7245" spans="1:5" x14ac:dyDescent="0.25">
      <c r="A7245" s="1033"/>
      <c r="E7245" s="130"/>
    </row>
    <row r="7246" spans="1:5" x14ac:dyDescent="0.25">
      <c r="A7246" s="1033"/>
      <c r="E7246" s="130"/>
    </row>
    <row r="7247" spans="1:5" x14ac:dyDescent="0.25">
      <c r="A7247" s="1033"/>
      <c r="E7247" s="130"/>
    </row>
    <row r="7248" spans="1:5" x14ac:dyDescent="0.25">
      <c r="A7248" s="1033"/>
      <c r="E7248" s="130"/>
    </row>
    <row r="7249" spans="1:5" x14ac:dyDescent="0.25">
      <c r="A7249" s="1033"/>
      <c r="E7249" s="130"/>
    </row>
    <row r="7250" spans="1:5" x14ac:dyDescent="0.25">
      <c r="A7250" s="1033"/>
      <c r="E7250" s="130"/>
    </row>
    <row r="7251" spans="1:5" x14ac:dyDescent="0.25">
      <c r="A7251" s="1033"/>
      <c r="E7251" s="130"/>
    </row>
    <row r="7252" spans="1:5" x14ac:dyDescent="0.25">
      <c r="A7252" s="1033"/>
      <c r="E7252" s="130"/>
    </row>
    <row r="7253" spans="1:5" x14ac:dyDescent="0.25">
      <c r="A7253" s="1033"/>
      <c r="E7253" s="130"/>
    </row>
    <row r="7254" spans="1:5" x14ac:dyDescent="0.25">
      <c r="A7254" s="1033"/>
      <c r="E7254" s="130"/>
    </row>
    <row r="7255" spans="1:5" x14ac:dyDescent="0.25">
      <c r="A7255" s="1033"/>
      <c r="E7255" s="130"/>
    </row>
    <row r="7256" spans="1:5" x14ac:dyDescent="0.25">
      <c r="A7256" s="1033"/>
      <c r="E7256" s="130"/>
    </row>
    <row r="7257" spans="1:5" x14ac:dyDescent="0.25">
      <c r="A7257" s="1033"/>
      <c r="E7257" s="130"/>
    </row>
    <row r="7258" spans="1:5" x14ac:dyDescent="0.25">
      <c r="A7258" s="1033"/>
      <c r="E7258" s="130"/>
    </row>
    <row r="7259" spans="1:5" x14ac:dyDescent="0.25">
      <c r="A7259" s="1033"/>
      <c r="E7259" s="130"/>
    </row>
    <row r="7260" spans="1:5" x14ac:dyDescent="0.25">
      <c r="A7260" s="1033"/>
      <c r="E7260" s="130"/>
    </row>
    <row r="7261" spans="1:5" x14ac:dyDescent="0.25">
      <c r="A7261" s="1033"/>
      <c r="E7261" s="130"/>
    </row>
    <row r="7262" spans="1:5" x14ac:dyDescent="0.25">
      <c r="A7262" s="1033"/>
      <c r="E7262" s="130"/>
    </row>
    <row r="7263" spans="1:5" x14ac:dyDescent="0.25">
      <c r="A7263" s="1033"/>
      <c r="E7263" s="130"/>
    </row>
    <row r="7264" spans="1:5" x14ac:dyDescent="0.25">
      <c r="A7264" s="1033"/>
      <c r="E7264" s="130"/>
    </row>
    <row r="7265" spans="1:5" x14ac:dyDescent="0.25">
      <c r="A7265" s="1033"/>
      <c r="E7265" s="130"/>
    </row>
    <row r="7266" spans="1:5" x14ac:dyDescent="0.25">
      <c r="A7266" s="1033"/>
      <c r="E7266" s="130"/>
    </row>
    <row r="7267" spans="1:5" x14ac:dyDescent="0.25">
      <c r="A7267" s="1033"/>
      <c r="E7267" s="130"/>
    </row>
    <row r="7268" spans="1:5" x14ac:dyDescent="0.25">
      <c r="A7268" s="1033"/>
      <c r="E7268" s="130"/>
    </row>
    <row r="7269" spans="1:5" x14ac:dyDescent="0.25">
      <c r="A7269" s="1033"/>
      <c r="E7269" s="130"/>
    </row>
    <row r="7270" spans="1:5" x14ac:dyDescent="0.25">
      <c r="A7270" s="1033"/>
      <c r="E7270" s="130"/>
    </row>
    <row r="7271" spans="1:5" x14ac:dyDescent="0.25">
      <c r="A7271" s="1033"/>
      <c r="E7271" s="130"/>
    </row>
    <row r="7272" spans="1:5" x14ac:dyDescent="0.25">
      <c r="A7272" s="1033"/>
      <c r="E7272" s="130"/>
    </row>
    <row r="7273" spans="1:5" x14ac:dyDescent="0.25">
      <c r="A7273" s="1033"/>
      <c r="E7273" s="130"/>
    </row>
    <row r="7274" spans="1:5" x14ac:dyDescent="0.25">
      <c r="A7274" s="1033"/>
      <c r="E7274" s="130"/>
    </row>
    <row r="7275" spans="1:5" x14ac:dyDescent="0.25">
      <c r="A7275" s="1033"/>
      <c r="E7275" s="130"/>
    </row>
    <row r="7276" spans="1:5" x14ac:dyDescent="0.25">
      <c r="A7276" s="1033"/>
      <c r="E7276" s="130"/>
    </row>
    <row r="7277" spans="1:5" x14ac:dyDescent="0.25">
      <c r="A7277" s="1033"/>
      <c r="E7277" s="130"/>
    </row>
    <row r="7278" spans="1:5" x14ac:dyDescent="0.25">
      <c r="A7278" s="1033"/>
      <c r="E7278" s="130"/>
    </row>
    <row r="7279" spans="1:5" x14ac:dyDescent="0.25">
      <c r="A7279" s="1033"/>
      <c r="E7279" s="130"/>
    </row>
    <row r="7280" spans="1:5" x14ac:dyDescent="0.25">
      <c r="A7280" s="1033"/>
      <c r="E7280" s="130"/>
    </row>
    <row r="7281" spans="1:5" x14ac:dyDescent="0.25">
      <c r="A7281" s="1033"/>
      <c r="E7281" s="130"/>
    </row>
    <row r="7282" spans="1:5" x14ac:dyDescent="0.25">
      <c r="A7282" s="1033"/>
      <c r="E7282" s="130"/>
    </row>
    <row r="7283" spans="1:5" x14ac:dyDescent="0.25">
      <c r="A7283" s="1033"/>
      <c r="E7283" s="130"/>
    </row>
    <row r="7284" spans="1:5" x14ac:dyDescent="0.25">
      <c r="A7284" s="1033"/>
      <c r="E7284" s="130"/>
    </row>
    <row r="7285" spans="1:5" x14ac:dyDescent="0.25">
      <c r="A7285" s="1033"/>
      <c r="E7285" s="130"/>
    </row>
    <row r="7286" spans="1:5" x14ac:dyDescent="0.25">
      <c r="A7286" s="1033"/>
      <c r="E7286" s="130"/>
    </row>
    <row r="7287" spans="1:5" x14ac:dyDescent="0.25">
      <c r="A7287" s="1033"/>
      <c r="E7287" s="130"/>
    </row>
    <row r="7288" spans="1:5" x14ac:dyDescent="0.25">
      <c r="A7288" s="1033"/>
      <c r="E7288" s="130"/>
    </row>
    <row r="7289" spans="1:5" x14ac:dyDescent="0.25">
      <c r="A7289" s="1033"/>
      <c r="E7289" s="130"/>
    </row>
    <row r="7290" spans="1:5" x14ac:dyDescent="0.25">
      <c r="A7290" s="1033"/>
      <c r="E7290" s="130"/>
    </row>
    <row r="7291" spans="1:5" x14ac:dyDescent="0.25">
      <c r="A7291" s="1033"/>
      <c r="E7291" s="130"/>
    </row>
    <row r="7292" spans="1:5" x14ac:dyDescent="0.25">
      <c r="A7292" s="1033"/>
      <c r="E7292" s="130"/>
    </row>
    <row r="7293" spans="1:5" x14ac:dyDescent="0.25">
      <c r="A7293" s="1033"/>
      <c r="E7293" s="130"/>
    </row>
    <row r="7294" spans="1:5" x14ac:dyDescent="0.25">
      <c r="A7294" s="1033"/>
      <c r="E7294" s="130"/>
    </row>
    <row r="7295" spans="1:5" x14ac:dyDescent="0.25">
      <c r="A7295" s="1033"/>
      <c r="E7295" s="130"/>
    </row>
    <row r="7296" spans="1:5" x14ac:dyDescent="0.25">
      <c r="A7296" s="1033"/>
      <c r="E7296" s="130"/>
    </row>
    <row r="7297" spans="1:5" x14ac:dyDescent="0.25">
      <c r="A7297" s="1033"/>
      <c r="E7297" s="130"/>
    </row>
    <row r="7298" spans="1:5" x14ac:dyDescent="0.25">
      <c r="A7298" s="1033"/>
      <c r="E7298" s="130"/>
    </row>
    <row r="7299" spans="1:5" x14ac:dyDescent="0.25">
      <c r="A7299" s="1033"/>
      <c r="E7299" s="130"/>
    </row>
    <row r="7300" spans="1:5" x14ac:dyDescent="0.25">
      <c r="A7300" s="1033"/>
      <c r="E7300" s="130"/>
    </row>
    <row r="7301" spans="1:5" x14ac:dyDescent="0.25">
      <c r="A7301" s="1033"/>
      <c r="E7301" s="130"/>
    </row>
    <row r="7302" spans="1:5" x14ac:dyDescent="0.25">
      <c r="A7302" s="1033"/>
      <c r="E7302" s="130"/>
    </row>
    <row r="7303" spans="1:5" x14ac:dyDescent="0.25">
      <c r="A7303" s="1033"/>
      <c r="E7303" s="130"/>
    </row>
    <row r="7304" spans="1:5" x14ac:dyDescent="0.25">
      <c r="A7304" s="1033"/>
      <c r="E7304" s="130"/>
    </row>
    <row r="7305" spans="1:5" x14ac:dyDescent="0.25">
      <c r="A7305" s="1033"/>
      <c r="E7305" s="130"/>
    </row>
    <row r="7306" spans="1:5" x14ac:dyDescent="0.25">
      <c r="A7306" s="1033"/>
      <c r="E7306" s="130"/>
    </row>
    <row r="7307" spans="1:5" x14ac:dyDescent="0.25">
      <c r="A7307" s="1033"/>
      <c r="E7307" s="130"/>
    </row>
    <row r="7308" spans="1:5" x14ac:dyDescent="0.25">
      <c r="A7308" s="1033"/>
      <c r="E7308" s="130"/>
    </row>
    <row r="7309" spans="1:5" x14ac:dyDescent="0.25">
      <c r="A7309" s="1033"/>
      <c r="E7309" s="130"/>
    </row>
    <row r="7310" spans="1:5" x14ac:dyDescent="0.25">
      <c r="A7310" s="1033"/>
      <c r="E7310" s="130"/>
    </row>
    <row r="7311" spans="1:5" x14ac:dyDescent="0.25">
      <c r="A7311" s="1033"/>
      <c r="E7311" s="130"/>
    </row>
    <row r="7312" spans="1:5" x14ac:dyDescent="0.25">
      <c r="A7312" s="1033"/>
      <c r="E7312" s="130"/>
    </row>
    <row r="7313" spans="1:5" x14ac:dyDescent="0.25">
      <c r="A7313" s="1033"/>
      <c r="E7313" s="130"/>
    </row>
    <row r="7314" spans="1:5" x14ac:dyDescent="0.25">
      <c r="A7314" s="1033"/>
      <c r="E7314" s="130"/>
    </row>
    <row r="7315" spans="1:5" x14ac:dyDescent="0.25">
      <c r="A7315" s="1033"/>
      <c r="E7315" s="130"/>
    </row>
    <row r="7316" spans="1:5" x14ac:dyDescent="0.25">
      <c r="A7316" s="1033"/>
      <c r="E7316" s="130"/>
    </row>
    <row r="7317" spans="1:5" x14ac:dyDescent="0.25">
      <c r="A7317" s="1033"/>
      <c r="E7317" s="130"/>
    </row>
    <row r="7318" spans="1:5" x14ac:dyDescent="0.25">
      <c r="A7318" s="1033"/>
      <c r="E7318" s="130"/>
    </row>
    <row r="7319" spans="1:5" x14ac:dyDescent="0.25">
      <c r="A7319" s="1033"/>
      <c r="E7319" s="130"/>
    </row>
    <row r="7320" spans="1:5" x14ac:dyDescent="0.25">
      <c r="A7320" s="1033"/>
      <c r="E7320" s="130"/>
    </row>
    <row r="7321" spans="1:5" x14ac:dyDescent="0.25">
      <c r="A7321" s="1033"/>
      <c r="E7321" s="130"/>
    </row>
    <row r="7322" spans="1:5" x14ac:dyDescent="0.25">
      <c r="A7322" s="1033"/>
      <c r="E7322" s="130"/>
    </row>
    <row r="7323" spans="1:5" x14ac:dyDescent="0.25">
      <c r="A7323" s="1033"/>
      <c r="E7323" s="130"/>
    </row>
    <row r="7324" spans="1:5" x14ac:dyDescent="0.25">
      <c r="A7324" s="1033"/>
      <c r="E7324" s="130"/>
    </row>
    <row r="7325" spans="1:5" x14ac:dyDescent="0.25">
      <c r="A7325" s="1033"/>
      <c r="E7325" s="130"/>
    </row>
    <row r="7326" spans="1:5" x14ac:dyDescent="0.25">
      <c r="A7326" s="1033"/>
      <c r="E7326" s="130"/>
    </row>
    <row r="7327" spans="1:5" x14ac:dyDescent="0.25">
      <c r="A7327" s="1033"/>
      <c r="E7327" s="130"/>
    </row>
    <row r="7328" spans="1:5" x14ac:dyDescent="0.25">
      <c r="A7328" s="1033"/>
      <c r="E7328" s="130"/>
    </row>
    <row r="7329" spans="1:5" x14ac:dyDescent="0.25">
      <c r="A7329" s="1033"/>
      <c r="E7329" s="130"/>
    </row>
    <row r="7330" spans="1:5" x14ac:dyDescent="0.25">
      <c r="A7330" s="1033"/>
      <c r="E7330" s="130"/>
    </row>
    <row r="7331" spans="1:5" x14ac:dyDescent="0.25">
      <c r="A7331" s="1033"/>
      <c r="E7331" s="130"/>
    </row>
    <row r="7332" spans="1:5" x14ac:dyDescent="0.25">
      <c r="A7332" s="1033"/>
      <c r="E7332" s="130"/>
    </row>
    <row r="7333" spans="1:5" x14ac:dyDescent="0.25">
      <c r="A7333" s="1033"/>
      <c r="E7333" s="130"/>
    </row>
    <row r="7334" spans="1:5" x14ac:dyDescent="0.25">
      <c r="A7334" s="1033"/>
      <c r="E7334" s="130"/>
    </row>
    <row r="7335" spans="1:5" x14ac:dyDescent="0.25">
      <c r="A7335" s="1033"/>
      <c r="E7335" s="130"/>
    </row>
    <row r="7336" spans="1:5" x14ac:dyDescent="0.25">
      <c r="A7336" s="1033"/>
      <c r="E7336" s="130"/>
    </row>
    <row r="7337" spans="1:5" x14ac:dyDescent="0.25">
      <c r="A7337" s="1033"/>
      <c r="E7337" s="130"/>
    </row>
    <row r="7338" spans="1:5" x14ac:dyDescent="0.25">
      <c r="A7338" s="1033"/>
      <c r="E7338" s="130"/>
    </row>
    <row r="7339" spans="1:5" x14ac:dyDescent="0.25">
      <c r="A7339" s="1033"/>
      <c r="E7339" s="130"/>
    </row>
    <row r="7340" spans="1:5" x14ac:dyDescent="0.25">
      <c r="A7340" s="1033"/>
      <c r="E7340" s="130"/>
    </row>
    <row r="7341" spans="1:5" x14ac:dyDescent="0.25">
      <c r="A7341" s="1033"/>
      <c r="E7341" s="130"/>
    </row>
    <row r="7342" spans="1:5" x14ac:dyDescent="0.25">
      <c r="A7342" s="1033"/>
      <c r="E7342" s="130"/>
    </row>
    <row r="7343" spans="1:5" x14ac:dyDescent="0.25">
      <c r="A7343" s="1033"/>
      <c r="E7343" s="130"/>
    </row>
    <row r="7344" spans="1:5" x14ac:dyDescent="0.25">
      <c r="A7344" s="1033"/>
      <c r="E7344" s="130"/>
    </row>
    <row r="7345" spans="1:5" x14ac:dyDescent="0.25">
      <c r="A7345" s="1033"/>
      <c r="E7345" s="130"/>
    </row>
    <row r="7346" spans="1:5" x14ac:dyDescent="0.25">
      <c r="A7346" s="1033"/>
      <c r="E7346" s="130"/>
    </row>
    <row r="7347" spans="1:5" x14ac:dyDescent="0.25">
      <c r="A7347" s="1033"/>
      <c r="E7347" s="130"/>
    </row>
    <row r="7348" spans="1:5" x14ac:dyDescent="0.25">
      <c r="A7348" s="1033"/>
      <c r="E7348" s="130"/>
    </row>
    <row r="7349" spans="1:5" x14ac:dyDescent="0.25">
      <c r="A7349" s="1033"/>
      <c r="E7349" s="130"/>
    </row>
    <row r="7350" spans="1:5" x14ac:dyDescent="0.25">
      <c r="A7350" s="1033"/>
      <c r="E7350" s="130"/>
    </row>
    <row r="7351" spans="1:5" x14ac:dyDescent="0.25">
      <c r="A7351" s="1033"/>
      <c r="E7351" s="130"/>
    </row>
    <row r="7352" spans="1:5" x14ac:dyDescent="0.25">
      <c r="A7352" s="1033"/>
      <c r="E7352" s="130"/>
    </row>
    <row r="7353" spans="1:5" x14ac:dyDescent="0.25">
      <c r="A7353" s="1033"/>
      <c r="E7353" s="130"/>
    </row>
    <row r="7354" spans="1:5" x14ac:dyDescent="0.25">
      <c r="A7354" s="1033"/>
      <c r="E7354" s="130"/>
    </row>
    <row r="7355" spans="1:5" x14ac:dyDescent="0.25">
      <c r="A7355" s="1033"/>
      <c r="E7355" s="130"/>
    </row>
    <row r="7356" spans="1:5" x14ac:dyDescent="0.25">
      <c r="A7356" s="1033"/>
      <c r="E7356" s="130"/>
    </row>
    <row r="7357" spans="1:5" x14ac:dyDescent="0.25">
      <c r="A7357" s="1033"/>
      <c r="E7357" s="130"/>
    </row>
    <row r="7358" spans="1:5" x14ac:dyDescent="0.25">
      <c r="A7358" s="1033"/>
      <c r="E7358" s="130"/>
    </row>
    <row r="7359" spans="1:5" x14ac:dyDescent="0.25">
      <c r="A7359" s="1033"/>
      <c r="E7359" s="130"/>
    </row>
    <row r="7360" spans="1:5" x14ac:dyDescent="0.25">
      <c r="A7360" s="1033"/>
      <c r="E7360" s="130"/>
    </row>
    <row r="7361" spans="1:5" x14ac:dyDescent="0.25">
      <c r="A7361" s="1033"/>
      <c r="E7361" s="130"/>
    </row>
    <row r="7362" spans="1:5" x14ac:dyDescent="0.25">
      <c r="A7362" s="1033"/>
      <c r="E7362" s="130"/>
    </row>
    <row r="7363" spans="1:5" x14ac:dyDescent="0.25">
      <c r="A7363" s="1033"/>
      <c r="E7363" s="130"/>
    </row>
    <row r="7364" spans="1:5" x14ac:dyDescent="0.25">
      <c r="A7364" s="1033"/>
      <c r="E7364" s="130"/>
    </row>
    <row r="7365" spans="1:5" x14ac:dyDescent="0.25">
      <c r="A7365" s="1033"/>
      <c r="E7365" s="130"/>
    </row>
    <row r="7366" spans="1:5" x14ac:dyDescent="0.25">
      <c r="A7366" s="1033"/>
      <c r="E7366" s="130"/>
    </row>
    <row r="7367" spans="1:5" x14ac:dyDescent="0.25">
      <c r="A7367" s="1033"/>
      <c r="E7367" s="130"/>
    </row>
    <row r="7368" spans="1:5" x14ac:dyDescent="0.25">
      <c r="A7368" s="1033"/>
      <c r="E7368" s="130"/>
    </row>
    <row r="7369" spans="1:5" x14ac:dyDescent="0.25">
      <c r="A7369" s="1033"/>
      <c r="E7369" s="130"/>
    </row>
    <row r="7370" spans="1:5" x14ac:dyDescent="0.25">
      <c r="A7370" s="1033"/>
      <c r="E7370" s="130"/>
    </row>
    <row r="7371" spans="1:5" x14ac:dyDescent="0.25">
      <c r="A7371" s="1033"/>
      <c r="E7371" s="130"/>
    </row>
    <row r="7372" spans="1:5" x14ac:dyDescent="0.25">
      <c r="A7372" s="1033"/>
      <c r="E7372" s="130"/>
    </row>
    <row r="7373" spans="1:5" x14ac:dyDescent="0.25">
      <c r="A7373" s="1033"/>
      <c r="E7373" s="130"/>
    </row>
    <row r="7374" spans="1:5" x14ac:dyDescent="0.25">
      <c r="A7374" s="1033"/>
      <c r="E7374" s="130"/>
    </row>
    <row r="7375" spans="1:5" x14ac:dyDescent="0.25">
      <c r="A7375" s="1033"/>
      <c r="E7375" s="130"/>
    </row>
    <row r="7376" spans="1:5" x14ac:dyDescent="0.25">
      <c r="A7376" s="1033"/>
      <c r="E7376" s="130"/>
    </row>
    <row r="7377" spans="1:5" x14ac:dyDescent="0.25">
      <c r="A7377" s="1033"/>
      <c r="E7377" s="130"/>
    </row>
    <row r="7378" spans="1:5" x14ac:dyDescent="0.25">
      <c r="A7378" s="1033"/>
      <c r="E7378" s="130"/>
    </row>
    <row r="7379" spans="1:5" x14ac:dyDescent="0.25">
      <c r="A7379" s="1033"/>
      <c r="E7379" s="130"/>
    </row>
    <row r="7380" spans="1:5" x14ac:dyDescent="0.25">
      <c r="A7380" s="1033"/>
      <c r="E7380" s="130"/>
    </row>
    <row r="7381" spans="1:5" x14ac:dyDescent="0.25">
      <c r="A7381" s="1033"/>
      <c r="E7381" s="130"/>
    </row>
    <row r="7382" spans="1:5" x14ac:dyDescent="0.25">
      <c r="A7382" s="1033"/>
      <c r="E7382" s="130"/>
    </row>
    <row r="7383" spans="1:5" x14ac:dyDescent="0.25">
      <c r="A7383" s="1033"/>
      <c r="E7383" s="130"/>
    </row>
    <row r="7384" spans="1:5" x14ac:dyDescent="0.25">
      <c r="A7384" s="1033"/>
      <c r="E7384" s="130"/>
    </row>
    <row r="7385" spans="1:5" x14ac:dyDescent="0.25">
      <c r="A7385" s="1033"/>
      <c r="E7385" s="130"/>
    </row>
    <row r="7386" spans="1:5" x14ac:dyDescent="0.25">
      <c r="A7386" s="1033"/>
      <c r="E7386" s="130"/>
    </row>
    <row r="7387" spans="1:5" x14ac:dyDescent="0.25">
      <c r="A7387" s="1033"/>
      <c r="E7387" s="130"/>
    </row>
    <row r="7388" spans="1:5" x14ac:dyDescent="0.25">
      <c r="A7388" s="1033"/>
      <c r="E7388" s="130"/>
    </row>
    <row r="7389" spans="1:5" x14ac:dyDescent="0.25">
      <c r="A7389" s="1033"/>
      <c r="E7389" s="130"/>
    </row>
    <row r="7390" spans="1:5" x14ac:dyDescent="0.25">
      <c r="A7390" s="1033"/>
      <c r="E7390" s="130"/>
    </row>
    <row r="7391" spans="1:5" x14ac:dyDescent="0.25">
      <c r="A7391" s="1033"/>
      <c r="E7391" s="130"/>
    </row>
    <row r="7392" spans="1:5" x14ac:dyDescent="0.25">
      <c r="A7392" s="1033"/>
      <c r="E7392" s="130"/>
    </row>
    <row r="7393" spans="1:5" x14ac:dyDescent="0.25">
      <c r="A7393" s="1033"/>
      <c r="E7393" s="130"/>
    </row>
    <row r="7394" spans="1:5" x14ac:dyDescent="0.25">
      <c r="A7394" s="1033"/>
      <c r="E7394" s="130"/>
    </row>
    <row r="7395" spans="1:5" x14ac:dyDescent="0.25">
      <c r="A7395" s="1033"/>
      <c r="E7395" s="130"/>
    </row>
    <row r="7396" spans="1:5" x14ac:dyDescent="0.25">
      <c r="A7396" s="1033"/>
      <c r="E7396" s="130"/>
    </row>
    <row r="7397" spans="1:5" x14ac:dyDescent="0.25">
      <c r="A7397" s="1033"/>
      <c r="E7397" s="130"/>
    </row>
    <row r="7398" spans="1:5" x14ac:dyDescent="0.25">
      <c r="A7398" s="1033"/>
      <c r="E7398" s="130"/>
    </row>
    <row r="7399" spans="1:5" x14ac:dyDescent="0.25">
      <c r="A7399" s="1033"/>
      <c r="E7399" s="130"/>
    </row>
    <row r="7400" spans="1:5" x14ac:dyDescent="0.25">
      <c r="A7400" s="1033"/>
      <c r="E7400" s="130"/>
    </row>
    <row r="7401" spans="1:5" x14ac:dyDescent="0.25">
      <c r="A7401" s="1033"/>
      <c r="E7401" s="130"/>
    </row>
    <row r="7402" spans="1:5" x14ac:dyDescent="0.25">
      <c r="A7402" s="1033"/>
      <c r="E7402" s="130"/>
    </row>
    <row r="7403" spans="1:5" x14ac:dyDescent="0.25">
      <c r="A7403" s="1033"/>
      <c r="E7403" s="130"/>
    </row>
    <row r="7404" spans="1:5" x14ac:dyDescent="0.25">
      <c r="A7404" s="1033"/>
      <c r="E7404" s="130"/>
    </row>
    <row r="7405" spans="1:5" x14ac:dyDescent="0.25">
      <c r="A7405" s="1033"/>
      <c r="E7405" s="130"/>
    </row>
    <row r="7406" spans="1:5" x14ac:dyDescent="0.25">
      <c r="A7406" s="1033"/>
      <c r="E7406" s="130"/>
    </row>
    <row r="7407" spans="1:5" x14ac:dyDescent="0.25">
      <c r="A7407" s="1033"/>
      <c r="E7407" s="130"/>
    </row>
    <row r="7408" spans="1:5" x14ac:dyDescent="0.25">
      <c r="A7408" s="1033"/>
      <c r="E7408" s="130"/>
    </row>
    <row r="7409" spans="1:5" x14ac:dyDescent="0.25">
      <c r="A7409" s="1033"/>
      <c r="E7409" s="130"/>
    </row>
    <row r="7410" spans="1:5" x14ac:dyDescent="0.25">
      <c r="A7410" s="1033"/>
      <c r="E7410" s="130"/>
    </row>
    <row r="7411" spans="1:5" x14ac:dyDescent="0.25">
      <c r="A7411" s="1033"/>
      <c r="E7411" s="130"/>
    </row>
    <row r="7412" spans="1:5" x14ac:dyDescent="0.25">
      <c r="A7412" s="1033"/>
      <c r="E7412" s="130"/>
    </row>
    <row r="7413" spans="1:5" x14ac:dyDescent="0.25">
      <c r="A7413" s="1033"/>
      <c r="E7413" s="130"/>
    </row>
    <row r="7414" spans="1:5" x14ac:dyDescent="0.25">
      <c r="A7414" s="1033"/>
      <c r="E7414" s="130"/>
    </row>
    <row r="7415" spans="1:5" x14ac:dyDescent="0.25">
      <c r="A7415" s="1033"/>
      <c r="E7415" s="130"/>
    </row>
    <row r="7416" spans="1:5" x14ac:dyDescent="0.25">
      <c r="A7416" s="1033"/>
      <c r="E7416" s="130"/>
    </row>
    <row r="7417" spans="1:5" x14ac:dyDescent="0.25">
      <c r="A7417" s="1033"/>
      <c r="E7417" s="130"/>
    </row>
    <row r="7418" spans="1:5" x14ac:dyDescent="0.25">
      <c r="A7418" s="1033"/>
      <c r="E7418" s="130"/>
    </row>
    <row r="7419" spans="1:5" x14ac:dyDescent="0.25">
      <c r="A7419" s="1033"/>
      <c r="E7419" s="130"/>
    </row>
    <row r="7420" spans="1:5" x14ac:dyDescent="0.25">
      <c r="A7420" s="1033"/>
      <c r="E7420" s="130"/>
    </row>
    <row r="7421" spans="1:5" x14ac:dyDescent="0.25">
      <c r="A7421" s="1033"/>
      <c r="E7421" s="130"/>
    </row>
    <row r="7422" spans="1:5" x14ac:dyDescent="0.25">
      <c r="A7422" s="1033"/>
      <c r="E7422" s="130"/>
    </row>
    <row r="7423" spans="1:5" x14ac:dyDescent="0.25">
      <c r="A7423" s="1033"/>
      <c r="E7423" s="130"/>
    </row>
    <row r="7424" spans="1:5" x14ac:dyDescent="0.25">
      <c r="A7424" s="1033"/>
      <c r="E7424" s="130"/>
    </row>
    <row r="7425" spans="1:5" x14ac:dyDescent="0.25">
      <c r="A7425" s="1033"/>
      <c r="E7425" s="130"/>
    </row>
    <row r="7426" spans="1:5" x14ac:dyDescent="0.25">
      <c r="A7426" s="1033"/>
      <c r="E7426" s="130"/>
    </row>
    <row r="7427" spans="1:5" x14ac:dyDescent="0.25">
      <c r="A7427" s="1033"/>
      <c r="E7427" s="130"/>
    </row>
    <row r="7428" spans="1:5" x14ac:dyDescent="0.25">
      <c r="A7428" s="1033"/>
      <c r="E7428" s="130"/>
    </row>
    <row r="7429" spans="1:5" x14ac:dyDescent="0.25">
      <c r="A7429" s="1033"/>
      <c r="E7429" s="130"/>
    </row>
    <row r="7430" spans="1:5" x14ac:dyDescent="0.25">
      <c r="A7430" s="1033"/>
      <c r="E7430" s="130"/>
    </row>
    <row r="7431" spans="1:5" x14ac:dyDescent="0.25">
      <c r="A7431" s="1033"/>
      <c r="E7431" s="130"/>
    </row>
    <row r="7432" spans="1:5" x14ac:dyDescent="0.25">
      <c r="A7432" s="1033"/>
      <c r="E7432" s="130"/>
    </row>
    <row r="7433" spans="1:5" x14ac:dyDescent="0.25">
      <c r="A7433" s="1033"/>
      <c r="E7433" s="130"/>
    </row>
    <row r="7434" spans="1:5" x14ac:dyDescent="0.25">
      <c r="A7434" s="1033"/>
      <c r="E7434" s="130"/>
    </row>
    <row r="7435" spans="1:5" x14ac:dyDescent="0.25">
      <c r="A7435" s="1033"/>
      <c r="E7435" s="130"/>
    </row>
    <row r="7436" spans="1:5" x14ac:dyDescent="0.25">
      <c r="A7436" s="1033"/>
      <c r="E7436" s="130"/>
    </row>
    <row r="7437" spans="1:5" x14ac:dyDescent="0.25">
      <c r="A7437" s="1033"/>
      <c r="E7437" s="130"/>
    </row>
    <row r="7438" spans="1:5" x14ac:dyDescent="0.25">
      <c r="A7438" s="1033"/>
      <c r="E7438" s="130"/>
    </row>
    <row r="7439" spans="1:5" x14ac:dyDescent="0.25">
      <c r="A7439" s="1033"/>
      <c r="E7439" s="130"/>
    </row>
    <row r="7440" spans="1:5" x14ac:dyDescent="0.25">
      <c r="A7440" s="1033"/>
      <c r="E7440" s="130"/>
    </row>
    <row r="7441" spans="1:5" x14ac:dyDescent="0.25">
      <c r="A7441" s="1033"/>
      <c r="E7441" s="130"/>
    </row>
    <row r="7442" spans="1:5" x14ac:dyDescent="0.25">
      <c r="A7442" s="1033"/>
      <c r="E7442" s="130"/>
    </row>
    <row r="7443" spans="1:5" x14ac:dyDescent="0.25">
      <c r="A7443" s="1033"/>
      <c r="E7443" s="130"/>
    </row>
    <row r="7444" spans="1:5" x14ac:dyDescent="0.25">
      <c r="A7444" s="1033"/>
      <c r="E7444" s="130"/>
    </row>
    <row r="7445" spans="1:5" x14ac:dyDescent="0.25">
      <c r="A7445" s="1033"/>
      <c r="E7445" s="130"/>
    </row>
    <row r="7446" spans="1:5" x14ac:dyDescent="0.25">
      <c r="A7446" s="1033"/>
      <c r="E7446" s="130"/>
    </row>
    <row r="7447" spans="1:5" x14ac:dyDescent="0.25">
      <c r="A7447" s="1033"/>
      <c r="E7447" s="130"/>
    </row>
    <row r="7448" spans="1:5" x14ac:dyDescent="0.25">
      <c r="A7448" s="1033"/>
      <c r="E7448" s="130"/>
    </row>
    <row r="7449" spans="1:5" x14ac:dyDescent="0.25">
      <c r="A7449" s="1033"/>
      <c r="E7449" s="130"/>
    </row>
    <row r="7450" spans="1:5" x14ac:dyDescent="0.25">
      <c r="A7450" s="1033"/>
      <c r="E7450" s="130"/>
    </row>
    <row r="7451" spans="1:5" x14ac:dyDescent="0.25">
      <c r="A7451" s="1033"/>
      <c r="E7451" s="130"/>
    </row>
    <row r="7452" spans="1:5" x14ac:dyDescent="0.25">
      <c r="A7452" s="1033"/>
      <c r="E7452" s="130"/>
    </row>
    <row r="7453" spans="1:5" x14ac:dyDescent="0.25">
      <c r="A7453" s="1033"/>
      <c r="E7453" s="130"/>
    </row>
    <row r="7454" spans="1:5" x14ac:dyDescent="0.25">
      <c r="A7454" s="1033"/>
      <c r="E7454" s="130"/>
    </row>
    <row r="7455" spans="1:5" x14ac:dyDescent="0.25">
      <c r="A7455" s="1033"/>
      <c r="E7455" s="130"/>
    </row>
    <row r="7456" spans="1:5" x14ac:dyDescent="0.25">
      <c r="A7456" s="1033"/>
      <c r="E7456" s="130"/>
    </row>
    <row r="7457" spans="1:5" x14ac:dyDescent="0.25">
      <c r="A7457" s="1033"/>
      <c r="E7457" s="130"/>
    </row>
    <row r="7458" spans="1:5" x14ac:dyDescent="0.25">
      <c r="A7458" s="1033"/>
      <c r="E7458" s="130"/>
    </row>
    <row r="7459" spans="1:5" x14ac:dyDescent="0.25">
      <c r="A7459" s="1033"/>
      <c r="E7459" s="130"/>
    </row>
    <row r="7460" spans="1:5" x14ac:dyDescent="0.25">
      <c r="A7460" s="1033"/>
      <c r="E7460" s="130"/>
    </row>
    <row r="7461" spans="1:5" x14ac:dyDescent="0.25">
      <c r="A7461" s="1033"/>
      <c r="E7461" s="130"/>
    </row>
    <row r="7462" spans="1:5" x14ac:dyDescent="0.25">
      <c r="A7462" s="1033"/>
      <c r="E7462" s="130"/>
    </row>
    <row r="7463" spans="1:5" x14ac:dyDescent="0.25">
      <c r="A7463" s="1033"/>
      <c r="E7463" s="130"/>
    </row>
    <row r="7464" spans="1:5" x14ac:dyDescent="0.25">
      <c r="A7464" s="1033"/>
      <c r="E7464" s="130"/>
    </row>
    <row r="7465" spans="1:5" x14ac:dyDescent="0.25">
      <c r="A7465" s="1033"/>
      <c r="E7465" s="130"/>
    </row>
    <row r="7466" spans="1:5" x14ac:dyDescent="0.25">
      <c r="A7466" s="1033"/>
      <c r="E7466" s="130"/>
    </row>
    <row r="7467" spans="1:5" x14ac:dyDescent="0.25">
      <c r="A7467" s="1033"/>
      <c r="E7467" s="130"/>
    </row>
    <row r="7468" spans="1:5" x14ac:dyDescent="0.25">
      <c r="A7468" s="1033"/>
      <c r="E7468" s="130"/>
    </row>
    <row r="7469" spans="1:5" x14ac:dyDescent="0.25">
      <c r="A7469" s="1033"/>
      <c r="E7469" s="130"/>
    </row>
    <row r="7470" spans="1:5" x14ac:dyDescent="0.25">
      <c r="A7470" s="1033"/>
      <c r="E7470" s="130"/>
    </row>
    <row r="7471" spans="1:5" x14ac:dyDescent="0.25">
      <c r="A7471" s="1033"/>
      <c r="E7471" s="130"/>
    </row>
    <row r="7472" spans="1:5" x14ac:dyDescent="0.25">
      <c r="A7472" s="1033"/>
      <c r="E7472" s="130"/>
    </row>
    <row r="7473" spans="1:5" x14ac:dyDescent="0.25">
      <c r="A7473" s="1033"/>
      <c r="E7473" s="130"/>
    </row>
    <row r="7474" spans="1:5" x14ac:dyDescent="0.25">
      <c r="A7474" s="1033"/>
      <c r="E7474" s="130"/>
    </row>
    <row r="7475" spans="1:5" x14ac:dyDescent="0.25">
      <c r="A7475" s="1033"/>
      <c r="E7475" s="130"/>
    </row>
    <row r="7476" spans="1:5" x14ac:dyDescent="0.25">
      <c r="A7476" s="1033"/>
      <c r="E7476" s="130"/>
    </row>
    <row r="7477" spans="1:5" x14ac:dyDescent="0.25">
      <c r="A7477" s="1033"/>
      <c r="E7477" s="130"/>
    </row>
    <row r="7478" spans="1:5" x14ac:dyDescent="0.25">
      <c r="A7478" s="1033"/>
      <c r="E7478" s="130"/>
    </row>
    <row r="7479" spans="1:5" x14ac:dyDescent="0.25">
      <c r="A7479" s="1033"/>
      <c r="E7479" s="130"/>
    </row>
    <row r="7480" spans="1:5" x14ac:dyDescent="0.25">
      <c r="A7480" s="1033"/>
      <c r="E7480" s="130"/>
    </row>
    <row r="7481" spans="1:5" x14ac:dyDescent="0.25">
      <c r="A7481" s="1033"/>
      <c r="E7481" s="130"/>
    </row>
    <row r="7482" spans="1:5" x14ac:dyDescent="0.25">
      <c r="A7482" s="1033"/>
      <c r="E7482" s="130"/>
    </row>
    <row r="7483" spans="1:5" x14ac:dyDescent="0.25">
      <c r="A7483" s="1033"/>
      <c r="E7483" s="130"/>
    </row>
    <row r="7484" spans="1:5" x14ac:dyDescent="0.25">
      <c r="A7484" s="1033"/>
      <c r="E7484" s="130"/>
    </row>
    <row r="7485" spans="1:5" x14ac:dyDescent="0.25">
      <c r="A7485" s="1033"/>
      <c r="E7485" s="130"/>
    </row>
    <row r="7486" spans="1:5" x14ac:dyDescent="0.25">
      <c r="A7486" s="1033"/>
      <c r="E7486" s="130"/>
    </row>
    <row r="7487" spans="1:5" x14ac:dyDescent="0.25">
      <c r="A7487" s="1033"/>
      <c r="E7487" s="130"/>
    </row>
    <row r="7488" spans="1:5" x14ac:dyDescent="0.25">
      <c r="A7488" s="1033"/>
      <c r="E7488" s="130"/>
    </row>
    <row r="7489" spans="1:5" x14ac:dyDescent="0.25">
      <c r="A7489" s="1033"/>
      <c r="E7489" s="130"/>
    </row>
    <row r="7490" spans="1:5" x14ac:dyDescent="0.25">
      <c r="A7490" s="1033"/>
      <c r="E7490" s="130"/>
    </row>
    <row r="7491" spans="1:5" x14ac:dyDescent="0.25">
      <c r="A7491" s="1033"/>
      <c r="E7491" s="130"/>
    </row>
    <row r="7492" spans="1:5" x14ac:dyDescent="0.25">
      <c r="A7492" s="1033"/>
      <c r="E7492" s="130"/>
    </row>
    <row r="7493" spans="1:5" x14ac:dyDescent="0.25">
      <c r="A7493" s="1033"/>
      <c r="E7493" s="130"/>
    </row>
    <row r="7494" spans="1:5" x14ac:dyDescent="0.25">
      <c r="A7494" s="1033"/>
      <c r="E7494" s="130"/>
    </row>
    <row r="7495" spans="1:5" x14ac:dyDescent="0.25">
      <c r="A7495" s="1033"/>
      <c r="E7495" s="130"/>
    </row>
    <row r="7496" spans="1:5" x14ac:dyDescent="0.25">
      <c r="A7496" s="1033"/>
      <c r="E7496" s="130"/>
    </row>
    <row r="7497" spans="1:5" x14ac:dyDescent="0.25">
      <c r="A7497" s="1033"/>
      <c r="E7497" s="130"/>
    </row>
    <row r="7498" spans="1:5" x14ac:dyDescent="0.25">
      <c r="A7498" s="1033"/>
      <c r="E7498" s="130"/>
    </row>
    <row r="7499" spans="1:5" x14ac:dyDescent="0.25">
      <c r="A7499" s="1033"/>
      <c r="E7499" s="130"/>
    </row>
    <row r="7500" spans="1:5" x14ac:dyDescent="0.25">
      <c r="A7500" s="1033"/>
      <c r="E7500" s="130"/>
    </row>
    <row r="7501" spans="1:5" x14ac:dyDescent="0.25">
      <c r="A7501" s="1033"/>
      <c r="E7501" s="130"/>
    </row>
    <row r="7502" spans="1:5" x14ac:dyDescent="0.25">
      <c r="A7502" s="1033"/>
      <c r="E7502" s="130"/>
    </row>
    <row r="7503" spans="1:5" x14ac:dyDescent="0.25">
      <c r="A7503" s="1033"/>
      <c r="E7503" s="130"/>
    </row>
    <row r="7504" spans="1:5" x14ac:dyDescent="0.25">
      <c r="A7504" s="1033"/>
      <c r="E7504" s="130"/>
    </row>
    <row r="7505" spans="1:5" x14ac:dyDescent="0.25">
      <c r="A7505" s="1033"/>
      <c r="E7505" s="130"/>
    </row>
    <row r="7506" spans="1:5" x14ac:dyDescent="0.25">
      <c r="A7506" s="1033"/>
      <c r="E7506" s="130"/>
    </row>
    <row r="7507" spans="1:5" x14ac:dyDescent="0.25">
      <c r="A7507" s="1033"/>
      <c r="E7507" s="130"/>
    </row>
    <row r="7508" spans="1:5" x14ac:dyDescent="0.25">
      <c r="A7508" s="1033"/>
      <c r="E7508" s="130"/>
    </row>
    <row r="7509" spans="1:5" x14ac:dyDescent="0.25">
      <c r="A7509" s="1033"/>
      <c r="E7509" s="130"/>
    </row>
    <row r="7510" spans="1:5" x14ac:dyDescent="0.25">
      <c r="A7510" s="1033"/>
      <c r="E7510" s="130"/>
    </row>
    <row r="7511" spans="1:5" x14ac:dyDescent="0.25">
      <c r="A7511" s="1033"/>
      <c r="E7511" s="130"/>
    </row>
    <row r="7512" spans="1:5" x14ac:dyDescent="0.25">
      <c r="A7512" s="1033"/>
      <c r="E7512" s="130"/>
    </row>
    <row r="7513" spans="1:5" x14ac:dyDescent="0.25">
      <c r="A7513" s="1033"/>
      <c r="E7513" s="130"/>
    </row>
    <row r="7514" spans="1:5" x14ac:dyDescent="0.25">
      <c r="A7514" s="1033"/>
      <c r="E7514" s="130"/>
    </row>
    <row r="7515" spans="1:5" x14ac:dyDescent="0.25">
      <c r="A7515" s="1033"/>
      <c r="E7515" s="130"/>
    </row>
    <row r="7516" spans="1:5" x14ac:dyDescent="0.25">
      <c r="A7516" s="1033"/>
      <c r="E7516" s="130"/>
    </row>
    <row r="7517" spans="1:5" x14ac:dyDescent="0.25">
      <c r="A7517" s="1033"/>
      <c r="E7517" s="130"/>
    </row>
    <row r="7518" spans="1:5" x14ac:dyDescent="0.25">
      <c r="A7518" s="1033"/>
      <c r="E7518" s="130"/>
    </row>
    <row r="7519" spans="1:5" x14ac:dyDescent="0.25">
      <c r="A7519" s="1033"/>
      <c r="E7519" s="130"/>
    </row>
    <row r="7520" spans="1:5" x14ac:dyDescent="0.25">
      <c r="A7520" s="1033"/>
      <c r="E7520" s="130"/>
    </row>
    <row r="7521" spans="1:5" x14ac:dyDescent="0.25">
      <c r="A7521" s="1033"/>
      <c r="E7521" s="130"/>
    </row>
    <row r="7522" spans="1:5" x14ac:dyDescent="0.25">
      <c r="A7522" s="1033"/>
      <c r="E7522" s="130"/>
    </row>
    <row r="7523" spans="1:5" x14ac:dyDescent="0.25">
      <c r="A7523" s="1033"/>
      <c r="E7523" s="130"/>
    </row>
    <row r="7524" spans="1:5" x14ac:dyDescent="0.25">
      <c r="A7524" s="1033"/>
      <c r="E7524" s="130"/>
    </row>
    <row r="7525" spans="1:5" x14ac:dyDescent="0.25">
      <c r="A7525" s="1033"/>
      <c r="E7525" s="130"/>
    </row>
    <row r="7526" spans="1:5" x14ac:dyDescent="0.25">
      <c r="A7526" s="1033"/>
      <c r="E7526" s="130"/>
    </row>
    <row r="7527" spans="1:5" x14ac:dyDescent="0.25">
      <c r="A7527" s="1033"/>
      <c r="E7527" s="130"/>
    </row>
    <row r="7528" spans="1:5" x14ac:dyDescent="0.25">
      <c r="A7528" s="1033"/>
      <c r="E7528" s="130"/>
    </row>
    <row r="7529" spans="1:5" x14ac:dyDescent="0.25">
      <c r="A7529" s="1033"/>
      <c r="E7529" s="130"/>
    </row>
    <row r="7530" spans="1:5" x14ac:dyDescent="0.25">
      <c r="A7530" s="1033"/>
      <c r="E7530" s="130"/>
    </row>
    <row r="7531" spans="1:5" x14ac:dyDescent="0.25">
      <c r="A7531" s="1033"/>
      <c r="E7531" s="130"/>
    </row>
    <row r="7532" spans="1:5" x14ac:dyDescent="0.25">
      <c r="A7532" s="1033"/>
      <c r="E7532" s="130"/>
    </row>
    <row r="7533" spans="1:5" x14ac:dyDescent="0.25">
      <c r="A7533" s="1033"/>
      <c r="E7533" s="130"/>
    </row>
    <row r="7534" spans="1:5" x14ac:dyDescent="0.25">
      <c r="A7534" s="1033"/>
      <c r="E7534" s="130"/>
    </row>
    <row r="7535" spans="1:5" x14ac:dyDescent="0.25">
      <c r="A7535" s="1033"/>
      <c r="E7535" s="130"/>
    </row>
    <row r="7536" spans="1:5" x14ac:dyDescent="0.25">
      <c r="A7536" s="1033"/>
      <c r="E7536" s="130"/>
    </row>
    <row r="7537" spans="1:5" x14ac:dyDescent="0.25">
      <c r="A7537" s="1033"/>
      <c r="E7537" s="130"/>
    </row>
    <row r="7538" spans="1:5" x14ac:dyDescent="0.25">
      <c r="A7538" s="1033"/>
      <c r="E7538" s="130"/>
    </row>
    <row r="7539" spans="1:5" x14ac:dyDescent="0.25">
      <c r="A7539" s="1033"/>
      <c r="E7539" s="130"/>
    </row>
    <row r="7540" spans="1:5" x14ac:dyDescent="0.25">
      <c r="A7540" s="1033"/>
      <c r="E7540" s="130"/>
    </row>
    <row r="7541" spans="1:5" x14ac:dyDescent="0.25">
      <c r="A7541" s="1033"/>
      <c r="E7541" s="130"/>
    </row>
    <row r="7542" spans="1:5" x14ac:dyDescent="0.25">
      <c r="A7542" s="1033"/>
      <c r="E7542" s="130"/>
    </row>
    <row r="7543" spans="1:5" x14ac:dyDescent="0.25">
      <c r="A7543" s="1033"/>
      <c r="E7543" s="130"/>
    </row>
    <row r="7544" spans="1:5" x14ac:dyDescent="0.25">
      <c r="A7544" s="1033"/>
      <c r="E7544" s="130"/>
    </row>
    <row r="7545" spans="1:5" x14ac:dyDescent="0.25">
      <c r="A7545" s="1033"/>
      <c r="E7545" s="130"/>
    </row>
    <row r="7546" spans="1:5" x14ac:dyDescent="0.25">
      <c r="A7546" s="1033"/>
      <c r="E7546" s="130"/>
    </row>
    <row r="7547" spans="1:5" x14ac:dyDescent="0.25">
      <c r="A7547" s="1033"/>
      <c r="E7547" s="130"/>
    </row>
    <row r="7548" spans="1:5" x14ac:dyDescent="0.25">
      <c r="A7548" s="1033"/>
      <c r="E7548" s="130"/>
    </row>
    <row r="7549" spans="1:5" x14ac:dyDescent="0.25">
      <c r="A7549" s="1033"/>
      <c r="E7549" s="130"/>
    </row>
    <row r="7550" spans="1:5" x14ac:dyDescent="0.25">
      <c r="A7550" s="1033"/>
      <c r="E7550" s="130"/>
    </row>
    <row r="7551" spans="1:5" x14ac:dyDescent="0.25">
      <c r="A7551" s="1033"/>
      <c r="E7551" s="130"/>
    </row>
    <row r="7552" spans="1:5" x14ac:dyDescent="0.25">
      <c r="A7552" s="1033"/>
      <c r="E7552" s="130"/>
    </row>
    <row r="7553" spans="1:5" x14ac:dyDescent="0.25">
      <c r="A7553" s="1033"/>
      <c r="E7553" s="130"/>
    </row>
    <row r="7554" spans="1:5" x14ac:dyDescent="0.25">
      <c r="A7554" s="1033"/>
      <c r="E7554" s="130"/>
    </row>
    <row r="7555" spans="1:5" x14ac:dyDescent="0.25">
      <c r="A7555" s="1033"/>
      <c r="E7555" s="130"/>
    </row>
    <row r="7556" spans="1:5" x14ac:dyDescent="0.25">
      <c r="A7556" s="1033"/>
      <c r="E7556" s="130"/>
    </row>
    <row r="7557" spans="1:5" x14ac:dyDescent="0.25">
      <c r="A7557" s="1033"/>
      <c r="E7557" s="130"/>
    </row>
    <row r="7558" spans="1:5" x14ac:dyDescent="0.25">
      <c r="A7558" s="1033"/>
      <c r="E7558" s="130"/>
    </row>
    <row r="7559" spans="1:5" x14ac:dyDescent="0.25">
      <c r="A7559" s="1033"/>
      <c r="E7559" s="130"/>
    </row>
    <row r="7560" spans="1:5" x14ac:dyDescent="0.25">
      <c r="A7560" s="1033"/>
      <c r="E7560" s="130"/>
    </row>
    <row r="7561" spans="1:5" x14ac:dyDescent="0.25">
      <c r="A7561" s="1033"/>
      <c r="E7561" s="130"/>
    </row>
    <row r="7562" spans="1:5" x14ac:dyDescent="0.25">
      <c r="A7562" s="1033"/>
      <c r="E7562" s="130"/>
    </row>
    <row r="7563" spans="1:5" x14ac:dyDescent="0.25">
      <c r="A7563" s="1033"/>
      <c r="E7563" s="130"/>
    </row>
    <row r="7564" spans="1:5" x14ac:dyDescent="0.25">
      <c r="A7564" s="1033"/>
      <c r="E7564" s="130"/>
    </row>
    <row r="7565" spans="1:5" x14ac:dyDescent="0.25">
      <c r="A7565" s="1033"/>
      <c r="E7565" s="130"/>
    </row>
    <row r="7566" spans="1:5" x14ac:dyDescent="0.25">
      <c r="A7566" s="1033"/>
      <c r="E7566" s="130"/>
    </row>
    <row r="7567" spans="1:5" x14ac:dyDescent="0.25">
      <c r="A7567" s="1033"/>
      <c r="E7567" s="130"/>
    </row>
    <row r="7568" spans="1:5" x14ac:dyDescent="0.25">
      <c r="A7568" s="1033"/>
      <c r="E7568" s="130"/>
    </row>
    <row r="7569" spans="1:5" x14ac:dyDescent="0.25">
      <c r="A7569" s="1033"/>
      <c r="E7569" s="130"/>
    </row>
    <row r="7570" spans="1:5" x14ac:dyDescent="0.25">
      <c r="A7570" s="1033"/>
      <c r="E7570" s="130"/>
    </row>
    <row r="7571" spans="1:5" x14ac:dyDescent="0.25">
      <c r="A7571" s="1033"/>
      <c r="E7571" s="130"/>
    </row>
    <row r="7572" spans="1:5" x14ac:dyDescent="0.25">
      <c r="A7572" s="1033"/>
      <c r="E7572" s="130"/>
    </row>
    <row r="7573" spans="1:5" x14ac:dyDescent="0.25">
      <c r="A7573" s="1033"/>
      <c r="E7573" s="130"/>
    </row>
    <row r="7574" spans="1:5" x14ac:dyDescent="0.25">
      <c r="A7574" s="1033"/>
      <c r="E7574" s="130"/>
    </row>
    <row r="7575" spans="1:5" x14ac:dyDescent="0.25">
      <c r="A7575" s="1033"/>
      <c r="E7575" s="130"/>
    </row>
    <row r="7576" spans="1:5" x14ac:dyDescent="0.25">
      <c r="A7576" s="1033"/>
      <c r="E7576" s="130"/>
    </row>
    <row r="7577" spans="1:5" x14ac:dyDescent="0.25">
      <c r="A7577" s="1033"/>
      <c r="E7577" s="130"/>
    </row>
    <row r="7578" spans="1:5" x14ac:dyDescent="0.25">
      <c r="A7578" s="1033"/>
      <c r="E7578" s="130"/>
    </row>
    <row r="7579" spans="1:5" x14ac:dyDescent="0.25">
      <c r="A7579" s="1033"/>
      <c r="E7579" s="130"/>
    </row>
    <row r="7580" spans="1:5" x14ac:dyDescent="0.25">
      <c r="A7580" s="1033"/>
      <c r="E7580" s="130"/>
    </row>
    <row r="7581" spans="1:5" x14ac:dyDescent="0.25">
      <c r="A7581" s="1033"/>
      <c r="E7581" s="130"/>
    </row>
    <row r="7582" spans="1:5" x14ac:dyDescent="0.25">
      <c r="A7582" s="1033"/>
      <c r="E7582" s="130"/>
    </row>
    <row r="7583" spans="1:5" x14ac:dyDescent="0.25">
      <c r="A7583" s="1033"/>
      <c r="E7583" s="130"/>
    </row>
    <row r="7584" spans="1:5" x14ac:dyDescent="0.25">
      <c r="A7584" s="1033"/>
      <c r="E7584" s="130"/>
    </row>
    <row r="7585" spans="1:5" x14ac:dyDescent="0.25">
      <c r="A7585" s="1033"/>
      <c r="E7585" s="130"/>
    </row>
    <row r="7586" spans="1:5" x14ac:dyDescent="0.25">
      <c r="A7586" s="1033"/>
      <c r="E7586" s="130"/>
    </row>
    <row r="7587" spans="1:5" x14ac:dyDescent="0.25">
      <c r="A7587" s="1033"/>
      <c r="E7587" s="130"/>
    </row>
    <row r="7588" spans="1:5" x14ac:dyDescent="0.25">
      <c r="A7588" s="1033"/>
      <c r="E7588" s="130"/>
    </row>
    <row r="7589" spans="1:5" x14ac:dyDescent="0.25">
      <c r="A7589" s="1033"/>
      <c r="E7589" s="130"/>
    </row>
    <row r="7590" spans="1:5" x14ac:dyDescent="0.25">
      <c r="A7590" s="1033"/>
      <c r="E7590" s="130"/>
    </row>
    <row r="7591" spans="1:5" x14ac:dyDescent="0.25">
      <c r="A7591" s="1033"/>
      <c r="E7591" s="130"/>
    </row>
    <row r="7592" spans="1:5" x14ac:dyDescent="0.25">
      <c r="A7592" s="1033"/>
      <c r="E7592" s="130"/>
    </row>
    <row r="7593" spans="1:5" x14ac:dyDescent="0.25">
      <c r="A7593" s="1033"/>
      <c r="E7593" s="130"/>
    </row>
    <row r="7594" spans="1:5" x14ac:dyDescent="0.25">
      <c r="A7594" s="1033"/>
      <c r="E7594" s="130"/>
    </row>
    <row r="7595" spans="1:5" x14ac:dyDescent="0.25">
      <c r="A7595" s="1033"/>
      <c r="E7595" s="130"/>
    </row>
    <row r="7596" spans="1:5" x14ac:dyDescent="0.25">
      <c r="A7596" s="1033"/>
      <c r="E7596" s="130"/>
    </row>
    <row r="7597" spans="1:5" x14ac:dyDescent="0.25">
      <c r="A7597" s="1033"/>
      <c r="E7597" s="130"/>
    </row>
    <row r="7598" spans="1:5" x14ac:dyDescent="0.25">
      <c r="A7598" s="1033"/>
      <c r="E7598" s="130"/>
    </row>
    <row r="7599" spans="1:5" x14ac:dyDescent="0.25">
      <c r="A7599" s="1033"/>
      <c r="E7599" s="130"/>
    </row>
    <row r="7600" spans="1:5" x14ac:dyDescent="0.25">
      <c r="A7600" s="1033"/>
      <c r="E7600" s="130"/>
    </row>
    <row r="7601" spans="1:5" x14ac:dyDescent="0.25">
      <c r="A7601" s="1033"/>
      <c r="E7601" s="130"/>
    </row>
    <row r="7602" spans="1:5" x14ac:dyDescent="0.25">
      <c r="A7602" s="1033"/>
      <c r="E7602" s="130"/>
    </row>
    <row r="7603" spans="1:5" x14ac:dyDescent="0.25">
      <c r="A7603" s="1033"/>
      <c r="E7603" s="130"/>
    </row>
    <row r="7604" spans="1:5" x14ac:dyDescent="0.25">
      <c r="A7604" s="1033"/>
      <c r="E7604" s="130"/>
    </row>
    <row r="7605" spans="1:5" x14ac:dyDescent="0.25">
      <c r="A7605" s="1033"/>
      <c r="E7605" s="130"/>
    </row>
    <row r="7606" spans="1:5" x14ac:dyDescent="0.25">
      <c r="A7606" s="1033"/>
      <c r="E7606" s="130"/>
    </row>
    <row r="7607" spans="1:5" x14ac:dyDescent="0.25">
      <c r="A7607" s="1033"/>
      <c r="E7607" s="130"/>
    </row>
    <row r="7608" spans="1:5" x14ac:dyDescent="0.25">
      <c r="A7608" s="1033"/>
      <c r="E7608" s="130"/>
    </row>
    <row r="7609" spans="1:5" x14ac:dyDescent="0.25">
      <c r="A7609" s="1033"/>
      <c r="E7609" s="130"/>
    </row>
    <row r="7610" spans="1:5" x14ac:dyDescent="0.25">
      <c r="A7610" s="1033"/>
      <c r="E7610" s="130"/>
    </row>
    <row r="7611" spans="1:5" x14ac:dyDescent="0.25">
      <c r="A7611" s="1033"/>
      <c r="E7611" s="130"/>
    </row>
    <row r="7612" spans="1:5" x14ac:dyDescent="0.25">
      <c r="A7612" s="1033"/>
      <c r="E7612" s="130"/>
    </row>
    <row r="7613" spans="1:5" x14ac:dyDescent="0.25">
      <c r="A7613" s="1033"/>
      <c r="E7613" s="130"/>
    </row>
    <row r="7614" spans="1:5" x14ac:dyDescent="0.25">
      <c r="A7614" s="1033"/>
      <c r="E7614" s="130"/>
    </row>
    <row r="7615" spans="1:5" x14ac:dyDescent="0.25">
      <c r="A7615" s="1033"/>
      <c r="E7615" s="130"/>
    </row>
    <row r="7616" spans="1:5" x14ac:dyDescent="0.25">
      <c r="A7616" s="1033"/>
      <c r="E7616" s="130"/>
    </row>
    <row r="7617" spans="1:5" x14ac:dyDescent="0.25">
      <c r="A7617" s="1033"/>
      <c r="E7617" s="130"/>
    </row>
    <row r="7618" spans="1:5" x14ac:dyDescent="0.25">
      <c r="A7618" s="1033"/>
      <c r="E7618" s="130"/>
    </row>
    <row r="7619" spans="1:5" x14ac:dyDescent="0.25">
      <c r="A7619" s="1033"/>
      <c r="E7619" s="130"/>
    </row>
    <row r="7620" spans="1:5" x14ac:dyDescent="0.25">
      <c r="A7620" s="1033"/>
      <c r="E7620" s="130"/>
    </row>
    <row r="7621" spans="1:5" x14ac:dyDescent="0.25">
      <c r="A7621" s="1033"/>
      <c r="E7621" s="130"/>
    </row>
    <row r="7622" spans="1:5" x14ac:dyDescent="0.25">
      <c r="A7622" s="1033"/>
      <c r="E7622" s="130"/>
    </row>
    <row r="7623" spans="1:5" x14ac:dyDescent="0.25">
      <c r="A7623" s="1033"/>
      <c r="E7623" s="130"/>
    </row>
    <row r="7624" spans="1:5" x14ac:dyDescent="0.25">
      <c r="A7624" s="1033"/>
      <c r="E7624" s="130"/>
    </row>
    <row r="7625" spans="1:5" x14ac:dyDescent="0.25">
      <c r="A7625" s="1033"/>
      <c r="E7625" s="130"/>
    </row>
    <row r="7626" spans="1:5" x14ac:dyDescent="0.25">
      <c r="A7626" s="1033"/>
      <c r="E7626" s="130"/>
    </row>
    <row r="7627" spans="1:5" x14ac:dyDescent="0.25">
      <c r="A7627" s="1033"/>
      <c r="E7627" s="130"/>
    </row>
    <row r="7628" spans="1:5" x14ac:dyDescent="0.25">
      <c r="A7628" s="1033"/>
      <c r="E7628" s="130"/>
    </row>
    <row r="7629" spans="1:5" x14ac:dyDescent="0.25">
      <c r="A7629" s="1033"/>
      <c r="E7629" s="130"/>
    </row>
    <row r="7630" spans="1:5" x14ac:dyDescent="0.25">
      <c r="A7630" s="1033"/>
      <c r="E7630" s="130"/>
    </row>
    <row r="7631" spans="1:5" x14ac:dyDescent="0.25">
      <c r="A7631" s="1033"/>
      <c r="E7631" s="130"/>
    </row>
    <row r="7632" spans="1:5" x14ac:dyDescent="0.25">
      <c r="A7632" s="1033"/>
      <c r="E7632" s="130"/>
    </row>
    <row r="7633" spans="1:5" x14ac:dyDescent="0.25">
      <c r="A7633" s="1033"/>
      <c r="E7633" s="130"/>
    </row>
    <row r="7634" spans="1:5" x14ac:dyDescent="0.25">
      <c r="A7634" s="1033"/>
      <c r="E7634" s="130"/>
    </row>
    <row r="7635" spans="1:5" x14ac:dyDescent="0.25">
      <c r="A7635" s="1033"/>
      <c r="E7635" s="130"/>
    </row>
    <row r="7636" spans="1:5" x14ac:dyDescent="0.25">
      <c r="A7636" s="1033"/>
      <c r="E7636" s="130"/>
    </row>
    <row r="7637" spans="1:5" x14ac:dyDescent="0.25">
      <c r="A7637" s="1033"/>
      <c r="E7637" s="130"/>
    </row>
    <row r="7638" spans="1:5" x14ac:dyDescent="0.25">
      <c r="A7638" s="1033"/>
      <c r="E7638" s="130"/>
    </row>
    <row r="7639" spans="1:5" x14ac:dyDescent="0.25">
      <c r="A7639" s="1033"/>
      <c r="E7639" s="130"/>
    </row>
    <row r="7640" spans="1:5" x14ac:dyDescent="0.25">
      <c r="A7640" s="1033"/>
      <c r="E7640" s="130"/>
    </row>
    <row r="7641" spans="1:5" x14ac:dyDescent="0.25">
      <c r="A7641" s="1033"/>
      <c r="E7641" s="130"/>
    </row>
    <row r="7642" spans="1:5" x14ac:dyDescent="0.25">
      <c r="A7642" s="1033"/>
      <c r="E7642" s="130"/>
    </row>
    <row r="7643" spans="1:5" x14ac:dyDescent="0.25">
      <c r="A7643" s="1033"/>
      <c r="E7643" s="130"/>
    </row>
    <row r="7644" spans="1:5" x14ac:dyDescent="0.25">
      <c r="A7644" s="1033"/>
      <c r="E7644" s="130"/>
    </row>
    <row r="7645" spans="1:5" x14ac:dyDescent="0.25">
      <c r="A7645" s="1033"/>
      <c r="E7645" s="130"/>
    </row>
    <row r="7646" spans="1:5" x14ac:dyDescent="0.25">
      <c r="A7646" s="1033"/>
      <c r="E7646" s="130"/>
    </row>
    <row r="7647" spans="1:5" x14ac:dyDescent="0.25">
      <c r="A7647" s="1033"/>
      <c r="E7647" s="130"/>
    </row>
    <row r="7648" spans="1:5" x14ac:dyDescent="0.25">
      <c r="A7648" s="1033"/>
      <c r="E7648" s="130"/>
    </row>
    <row r="7649" spans="1:5" x14ac:dyDescent="0.25">
      <c r="A7649" s="1033"/>
      <c r="E7649" s="130"/>
    </row>
    <row r="7650" spans="1:5" x14ac:dyDescent="0.25">
      <c r="A7650" s="1033"/>
      <c r="E7650" s="130"/>
    </row>
    <row r="7651" spans="1:5" x14ac:dyDescent="0.25">
      <c r="A7651" s="1033"/>
      <c r="E7651" s="130"/>
    </row>
    <row r="7652" spans="1:5" x14ac:dyDescent="0.25">
      <c r="A7652" s="1033"/>
      <c r="E7652" s="130"/>
    </row>
    <row r="7653" spans="1:5" x14ac:dyDescent="0.25">
      <c r="A7653" s="1033"/>
      <c r="E7653" s="130"/>
    </row>
    <row r="7654" spans="1:5" x14ac:dyDescent="0.25">
      <c r="A7654" s="1033"/>
      <c r="E7654" s="130"/>
    </row>
    <row r="7655" spans="1:5" x14ac:dyDescent="0.25">
      <c r="A7655" s="1033"/>
      <c r="E7655" s="130"/>
    </row>
    <row r="7656" spans="1:5" x14ac:dyDescent="0.25">
      <c r="A7656" s="1033"/>
      <c r="E7656" s="130"/>
    </row>
    <row r="7657" spans="1:5" x14ac:dyDescent="0.25">
      <c r="A7657" s="1033"/>
      <c r="E7657" s="130"/>
    </row>
    <row r="7658" spans="1:5" x14ac:dyDescent="0.25">
      <c r="A7658" s="1033"/>
      <c r="E7658" s="130"/>
    </row>
    <row r="7659" spans="1:5" x14ac:dyDescent="0.25">
      <c r="A7659" s="1033"/>
      <c r="E7659" s="130"/>
    </row>
    <row r="7660" spans="1:5" x14ac:dyDescent="0.25">
      <c r="A7660" s="1033"/>
      <c r="E7660" s="130"/>
    </row>
    <row r="7661" spans="1:5" x14ac:dyDescent="0.25">
      <c r="A7661" s="1033"/>
      <c r="E7661" s="130"/>
    </row>
    <row r="7662" spans="1:5" x14ac:dyDescent="0.25">
      <c r="A7662" s="1033"/>
      <c r="E7662" s="130"/>
    </row>
    <row r="7663" spans="1:5" x14ac:dyDescent="0.25">
      <c r="A7663" s="1033"/>
      <c r="E7663" s="130"/>
    </row>
    <row r="7664" spans="1:5" x14ac:dyDescent="0.25">
      <c r="A7664" s="1033"/>
      <c r="E7664" s="130"/>
    </row>
    <row r="7665" spans="1:5" x14ac:dyDescent="0.25">
      <c r="A7665" s="1033"/>
      <c r="E7665" s="130"/>
    </row>
    <row r="7666" spans="1:5" x14ac:dyDescent="0.25">
      <c r="A7666" s="1033"/>
      <c r="E7666" s="130"/>
    </row>
    <row r="7667" spans="1:5" x14ac:dyDescent="0.25">
      <c r="A7667" s="1033"/>
      <c r="E7667" s="130"/>
    </row>
    <row r="7668" spans="1:5" x14ac:dyDescent="0.25">
      <c r="A7668" s="1033"/>
      <c r="E7668" s="130"/>
    </row>
    <row r="7669" spans="1:5" x14ac:dyDescent="0.25">
      <c r="A7669" s="1033"/>
      <c r="E7669" s="130"/>
    </row>
    <row r="7670" spans="1:5" x14ac:dyDescent="0.25">
      <c r="A7670" s="1033"/>
      <c r="E7670" s="130"/>
    </row>
    <row r="7671" spans="1:5" x14ac:dyDescent="0.25">
      <c r="A7671" s="1033"/>
      <c r="E7671" s="130"/>
    </row>
    <row r="7672" spans="1:5" x14ac:dyDescent="0.25">
      <c r="A7672" s="1033"/>
      <c r="E7672" s="130"/>
    </row>
    <row r="7673" spans="1:5" x14ac:dyDescent="0.25">
      <c r="A7673" s="1033"/>
      <c r="E7673" s="130"/>
    </row>
    <row r="7674" spans="1:5" x14ac:dyDescent="0.25">
      <c r="A7674" s="1033"/>
      <c r="E7674" s="130"/>
    </row>
    <row r="7675" spans="1:5" x14ac:dyDescent="0.25">
      <c r="A7675" s="1033"/>
      <c r="E7675" s="130"/>
    </row>
    <row r="7676" spans="1:5" x14ac:dyDescent="0.25">
      <c r="A7676" s="1033"/>
      <c r="E7676" s="130"/>
    </row>
    <row r="7677" spans="1:5" x14ac:dyDescent="0.25">
      <c r="A7677" s="1033"/>
      <c r="E7677" s="130"/>
    </row>
    <row r="7678" spans="1:5" x14ac:dyDescent="0.25">
      <c r="A7678" s="1033"/>
      <c r="E7678" s="130"/>
    </row>
    <row r="7679" spans="1:5" x14ac:dyDescent="0.25">
      <c r="A7679" s="1033"/>
      <c r="E7679" s="130"/>
    </row>
    <row r="7680" spans="1:5" x14ac:dyDescent="0.25">
      <c r="A7680" s="1033"/>
      <c r="E7680" s="130"/>
    </row>
    <row r="7681" spans="1:5" x14ac:dyDescent="0.25">
      <c r="A7681" s="1033"/>
      <c r="E7681" s="130"/>
    </row>
    <row r="7682" spans="1:5" x14ac:dyDescent="0.25">
      <c r="A7682" s="1033"/>
      <c r="E7682" s="130"/>
    </row>
    <row r="7683" spans="1:5" x14ac:dyDescent="0.25">
      <c r="A7683" s="1033"/>
      <c r="E7683" s="130"/>
    </row>
    <row r="7684" spans="1:5" x14ac:dyDescent="0.25">
      <c r="A7684" s="1033"/>
      <c r="E7684" s="130"/>
    </row>
    <row r="7685" spans="1:5" x14ac:dyDescent="0.25">
      <c r="A7685" s="1033"/>
      <c r="E7685" s="130"/>
    </row>
    <row r="7686" spans="1:5" x14ac:dyDescent="0.25">
      <c r="A7686" s="1033"/>
      <c r="E7686" s="130"/>
    </row>
    <row r="7687" spans="1:5" x14ac:dyDescent="0.25">
      <c r="A7687" s="1033"/>
      <c r="E7687" s="130"/>
    </row>
    <row r="7688" spans="1:5" x14ac:dyDescent="0.25">
      <c r="A7688" s="1033"/>
      <c r="E7688" s="130"/>
    </row>
    <row r="7689" spans="1:5" x14ac:dyDescent="0.25">
      <c r="A7689" s="1033"/>
      <c r="E7689" s="130"/>
    </row>
    <row r="7690" spans="1:5" x14ac:dyDescent="0.25">
      <c r="A7690" s="1033"/>
      <c r="E7690" s="130"/>
    </row>
    <row r="7691" spans="1:5" x14ac:dyDescent="0.25">
      <c r="A7691" s="1033"/>
      <c r="E7691" s="130"/>
    </row>
    <row r="7692" spans="1:5" x14ac:dyDescent="0.25">
      <c r="A7692" s="1033"/>
      <c r="E7692" s="130"/>
    </row>
    <row r="7693" spans="1:5" x14ac:dyDescent="0.25">
      <c r="A7693" s="1033"/>
      <c r="E7693" s="130"/>
    </row>
    <row r="7694" spans="1:5" x14ac:dyDescent="0.25">
      <c r="A7694" s="1033"/>
      <c r="E7694" s="130"/>
    </row>
    <row r="7695" spans="1:5" x14ac:dyDescent="0.25">
      <c r="A7695" s="1033"/>
      <c r="E7695" s="130"/>
    </row>
    <row r="7696" spans="1:5" x14ac:dyDescent="0.25">
      <c r="A7696" s="1033"/>
      <c r="E7696" s="130"/>
    </row>
    <row r="7697" spans="1:5" x14ac:dyDescent="0.25">
      <c r="A7697" s="1033"/>
      <c r="E7697" s="130"/>
    </row>
    <row r="7698" spans="1:5" x14ac:dyDescent="0.25">
      <c r="A7698" s="1033"/>
      <c r="E7698" s="130"/>
    </row>
    <row r="7699" spans="1:5" x14ac:dyDescent="0.25">
      <c r="A7699" s="1033"/>
      <c r="E7699" s="130"/>
    </row>
    <row r="7700" spans="1:5" x14ac:dyDescent="0.25">
      <c r="A7700" s="1033"/>
      <c r="E7700" s="130"/>
    </row>
    <row r="7701" spans="1:5" x14ac:dyDescent="0.25">
      <c r="A7701" s="1033"/>
      <c r="E7701" s="130"/>
    </row>
    <row r="7702" spans="1:5" x14ac:dyDescent="0.25">
      <c r="A7702" s="1033"/>
      <c r="E7702" s="130"/>
    </row>
    <row r="7703" spans="1:5" x14ac:dyDescent="0.25">
      <c r="A7703" s="1033"/>
      <c r="E7703" s="130"/>
    </row>
    <row r="7704" spans="1:5" x14ac:dyDescent="0.25">
      <c r="A7704" s="1033"/>
      <c r="E7704" s="130"/>
    </row>
    <row r="7705" spans="1:5" x14ac:dyDescent="0.25">
      <c r="A7705" s="1033"/>
      <c r="E7705" s="130"/>
    </row>
    <row r="7706" spans="1:5" x14ac:dyDescent="0.25">
      <c r="A7706" s="1033"/>
      <c r="E7706" s="130"/>
    </row>
    <row r="7707" spans="1:5" x14ac:dyDescent="0.25">
      <c r="A7707" s="1033"/>
      <c r="E7707" s="130"/>
    </row>
    <row r="7708" spans="1:5" x14ac:dyDescent="0.25">
      <c r="A7708" s="1033"/>
      <c r="E7708" s="130"/>
    </row>
    <row r="7709" spans="1:5" x14ac:dyDescent="0.25">
      <c r="A7709" s="1033"/>
      <c r="E7709" s="130"/>
    </row>
    <row r="7710" spans="1:5" x14ac:dyDescent="0.25">
      <c r="A7710" s="1033"/>
      <c r="E7710" s="130"/>
    </row>
    <row r="7711" spans="1:5" x14ac:dyDescent="0.25">
      <c r="A7711" s="1033"/>
      <c r="E7711" s="130"/>
    </row>
    <row r="7712" spans="1:5" x14ac:dyDescent="0.25">
      <c r="A7712" s="1033"/>
      <c r="E7712" s="130"/>
    </row>
    <row r="7713" spans="1:5" x14ac:dyDescent="0.25">
      <c r="A7713" s="1033"/>
      <c r="E7713" s="130"/>
    </row>
    <row r="7714" spans="1:5" x14ac:dyDescent="0.25">
      <c r="A7714" s="1033"/>
      <c r="E7714" s="130"/>
    </row>
    <row r="7715" spans="1:5" x14ac:dyDescent="0.25">
      <c r="A7715" s="1033"/>
      <c r="E7715" s="130"/>
    </row>
    <row r="7716" spans="1:5" x14ac:dyDescent="0.25">
      <c r="A7716" s="1033"/>
      <c r="E7716" s="130"/>
    </row>
    <row r="7717" spans="1:5" x14ac:dyDescent="0.25">
      <c r="A7717" s="1033"/>
      <c r="E7717" s="130"/>
    </row>
    <row r="7718" spans="1:5" x14ac:dyDescent="0.25">
      <c r="A7718" s="1033"/>
      <c r="E7718" s="130"/>
    </row>
    <row r="7719" spans="1:5" x14ac:dyDescent="0.25">
      <c r="A7719" s="1033"/>
      <c r="E7719" s="130"/>
    </row>
    <row r="7720" spans="1:5" x14ac:dyDescent="0.25">
      <c r="A7720" s="1033"/>
      <c r="E7720" s="130"/>
    </row>
    <row r="7721" spans="1:5" x14ac:dyDescent="0.25">
      <c r="A7721" s="1033"/>
      <c r="E7721" s="130"/>
    </row>
    <row r="7722" spans="1:5" x14ac:dyDescent="0.25">
      <c r="A7722" s="1033"/>
      <c r="E7722" s="130"/>
    </row>
    <row r="7723" spans="1:5" x14ac:dyDescent="0.25">
      <c r="A7723" s="1033"/>
      <c r="E7723" s="130"/>
    </row>
    <row r="7724" spans="1:5" x14ac:dyDescent="0.25">
      <c r="A7724" s="1033"/>
      <c r="E7724" s="130"/>
    </row>
    <row r="7725" spans="1:5" x14ac:dyDescent="0.25">
      <c r="A7725" s="1033"/>
      <c r="E7725" s="130"/>
    </row>
    <row r="7726" spans="1:5" x14ac:dyDescent="0.25">
      <c r="A7726" s="1033"/>
      <c r="E7726" s="130"/>
    </row>
    <row r="7727" spans="1:5" x14ac:dyDescent="0.25">
      <c r="A7727" s="1033"/>
      <c r="E7727" s="130"/>
    </row>
    <row r="7728" spans="1:5" x14ac:dyDescent="0.25">
      <c r="A7728" s="1033"/>
      <c r="E7728" s="130"/>
    </row>
    <row r="7729" spans="1:5" x14ac:dyDescent="0.25">
      <c r="A7729" s="1033"/>
      <c r="E7729" s="130"/>
    </row>
    <row r="7730" spans="1:5" x14ac:dyDescent="0.25">
      <c r="A7730" s="1033"/>
      <c r="E7730" s="130"/>
    </row>
    <row r="7731" spans="1:5" x14ac:dyDescent="0.25">
      <c r="A7731" s="1033"/>
      <c r="E7731" s="130"/>
    </row>
    <row r="7732" spans="1:5" x14ac:dyDescent="0.25">
      <c r="A7732" s="1033"/>
      <c r="E7732" s="130"/>
    </row>
    <row r="7733" spans="1:5" x14ac:dyDescent="0.25">
      <c r="A7733" s="1033"/>
      <c r="E7733" s="130"/>
    </row>
    <row r="7734" spans="1:5" x14ac:dyDescent="0.25">
      <c r="A7734" s="1033"/>
      <c r="E7734" s="130"/>
    </row>
    <row r="7735" spans="1:5" x14ac:dyDescent="0.25">
      <c r="A7735" s="1033"/>
      <c r="E7735" s="130"/>
    </row>
    <row r="7736" spans="1:5" x14ac:dyDescent="0.25">
      <c r="A7736" s="1033"/>
      <c r="E7736" s="130"/>
    </row>
    <row r="7737" spans="1:5" x14ac:dyDescent="0.25">
      <c r="A7737" s="1033"/>
      <c r="E7737" s="130"/>
    </row>
    <row r="7738" spans="1:5" x14ac:dyDescent="0.25">
      <c r="A7738" s="1033"/>
      <c r="E7738" s="130"/>
    </row>
    <row r="7739" spans="1:5" x14ac:dyDescent="0.25">
      <c r="A7739" s="1033"/>
      <c r="E7739" s="130"/>
    </row>
    <row r="7740" spans="1:5" x14ac:dyDescent="0.25">
      <c r="A7740" s="1033"/>
      <c r="E7740" s="130"/>
    </row>
    <row r="7741" spans="1:5" x14ac:dyDescent="0.25">
      <c r="A7741" s="1033"/>
      <c r="E7741" s="130"/>
    </row>
    <row r="7742" spans="1:5" x14ac:dyDescent="0.25">
      <c r="A7742" s="1033"/>
      <c r="E7742" s="130"/>
    </row>
    <row r="7743" spans="1:5" x14ac:dyDescent="0.25">
      <c r="A7743" s="1033"/>
      <c r="E7743" s="130"/>
    </row>
    <row r="7744" spans="1:5" x14ac:dyDescent="0.25">
      <c r="A7744" s="1033"/>
      <c r="E7744" s="130"/>
    </row>
    <row r="7745" spans="1:5" x14ac:dyDescent="0.25">
      <c r="A7745" s="1033"/>
      <c r="E7745" s="130"/>
    </row>
    <row r="7746" spans="1:5" x14ac:dyDescent="0.25">
      <c r="A7746" s="1033"/>
      <c r="E7746" s="130"/>
    </row>
    <row r="7747" spans="1:5" x14ac:dyDescent="0.25">
      <c r="A7747" s="1033"/>
      <c r="E7747" s="130"/>
    </row>
    <row r="7748" spans="1:5" x14ac:dyDescent="0.25">
      <c r="A7748" s="1033"/>
      <c r="E7748" s="130"/>
    </row>
    <row r="7749" spans="1:5" x14ac:dyDescent="0.25">
      <c r="A7749" s="1033"/>
      <c r="E7749" s="130"/>
    </row>
    <row r="7750" spans="1:5" x14ac:dyDescent="0.25">
      <c r="A7750" s="1033"/>
      <c r="E7750" s="130"/>
    </row>
    <row r="7751" spans="1:5" x14ac:dyDescent="0.25">
      <c r="A7751" s="1033"/>
      <c r="E7751" s="130"/>
    </row>
    <row r="7752" spans="1:5" x14ac:dyDescent="0.25">
      <c r="A7752" s="1033"/>
      <c r="E7752" s="130"/>
    </row>
    <row r="7753" spans="1:5" x14ac:dyDescent="0.25">
      <c r="A7753" s="1033"/>
      <c r="E7753" s="130"/>
    </row>
    <row r="7754" spans="1:5" x14ac:dyDescent="0.25">
      <c r="A7754" s="1033"/>
      <c r="E7754" s="130"/>
    </row>
    <row r="7755" spans="1:5" x14ac:dyDescent="0.25">
      <c r="A7755" s="1033"/>
      <c r="E7755" s="130"/>
    </row>
    <row r="7756" spans="1:5" x14ac:dyDescent="0.25">
      <c r="A7756" s="1033"/>
      <c r="E7756" s="130"/>
    </row>
    <row r="7757" spans="1:5" x14ac:dyDescent="0.25">
      <c r="A7757" s="1033"/>
      <c r="E7757" s="130"/>
    </row>
    <row r="7758" spans="1:5" x14ac:dyDescent="0.25">
      <c r="A7758" s="1033"/>
      <c r="E7758" s="130"/>
    </row>
    <row r="7759" spans="1:5" x14ac:dyDescent="0.25">
      <c r="A7759" s="1033"/>
      <c r="E7759" s="130"/>
    </row>
    <row r="7760" spans="1:5" x14ac:dyDescent="0.25">
      <c r="A7760" s="1033"/>
      <c r="E7760" s="130"/>
    </row>
    <row r="7761" spans="1:5" x14ac:dyDescent="0.25">
      <c r="A7761" s="1033"/>
      <c r="E7761" s="130"/>
    </row>
    <row r="7762" spans="1:5" x14ac:dyDescent="0.25">
      <c r="A7762" s="1033"/>
      <c r="E7762" s="130"/>
    </row>
    <row r="7763" spans="1:5" x14ac:dyDescent="0.25">
      <c r="A7763" s="1033"/>
      <c r="E7763" s="130"/>
    </row>
    <row r="7764" spans="1:5" x14ac:dyDescent="0.25">
      <c r="A7764" s="1033"/>
      <c r="E7764" s="130"/>
    </row>
    <row r="7765" spans="1:5" x14ac:dyDescent="0.25">
      <c r="A7765" s="1033"/>
      <c r="E7765" s="130"/>
    </row>
    <row r="7766" spans="1:5" x14ac:dyDescent="0.25">
      <c r="A7766" s="1033"/>
      <c r="E7766" s="130"/>
    </row>
    <row r="7767" spans="1:5" x14ac:dyDescent="0.25">
      <c r="A7767" s="1033"/>
      <c r="E7767" s="130"/>
    </row>
    <row r="7768" spans="1:5" x14ac:dyDescent="0.25">
      <c r="A7768" s="1033"/>
      <c r="E7768" s="130"/>
    </row>
    <row r="7769" spans="1:5" x14ac:dyDescent="0.25">
      <c r="A7769" s="1033"/>
      <c r="E7769" s="130"/>
    </row>
    <row r="7770" spans="1:5" x14ac:dyDescent="0.25">
      <c r="A7770" s="1033"/>
      <c r="E7770" s="130"/>
    </row>
    <row r="7771" spans="1:5" x14ac:dyDescent="0.25">
      <c r="A7771" s="1033"/>
      <c r="E7771" s="130"/>
    </row>
    <row r="7772" spans="1:5" x14ac:dyDescent="0.25">
      <c r="A7772" s="1033"/>
      <c r="E7772" s="130"/>
    </row>
    <row r="7773" spans="1:5" x14ac:dyDescent="0.25">
      <c r="A7773" s="1033"/>
      <c r="E7773" s="130"/>
    </row>
    <row r="7774" spans="1:5" x14ac:dyDescent="0.25">
      <c r="A7774" s="1033"/>
      <c r="E7774" s="130"/>
    </row>
    <row r="7775" spans="1:5" x14ac:dyDescent="0.25">
      <c r="A7775" s="1033"/>
      <c r="E7775" s="130"/>
    </row>
    <row r="7776" spans="1:5" x14ac:dyDescent="0.25">
      <c r="A7776" s="1033"/>
      <c r="E7776" s="130"/>
    </row>
    <row r="7777" spans="1:5" x14ac:dyDescent="0.25">
      <c r="A7777" s="1033"/>
      <c r="E7777" s="130"/>
    </row>
    <row r="7778" spans="1:5" x14ac:dyDescent="0.25">
      <c r="A7778" s="1033"/>
      <c r="E7778" s="130"/>
    </row>
    <row r="7779" spans="1:5" x14ac:dyDescent="0.25">
      <c r="A7779" s="1033"/>
      <c r="E7779" s="130"/>
    </row>
    <row r="7780" spans="1:5" x14ac:dyDescent="0.25">
      <c r="A7780" s="1033"/>
      <c r="E7780" s="130"/>
    </row>
    <row r="7781" spans="1:5" x14ac:dyDescent="0.25">
      <c r="A7781" s="1033"/>
      <c r="E7781" s="130"/>
    </row>
    <row r="7782" spans="1:5" x14ac:dyDescent="0.25">
      <c r="A7782" s="1033"/>
      <c r="E7782" s="130"/>
    </row>
    <row r="7783" spans="1:5" x14ac:dyDescent="0.25">
      <c r="A7783" s="1033"/>
      <c r="E7783" s="130"/>
    </row>
    <row r="7784" spans="1:5" x14ac:dyDescent="0.25">
      <c r="A7784" s="1033"/>
      <c r="E7784" s="130"/>
    </row>
    <row r="7785" spans="1:5" x14ac:dyDescent="0.25">
      <c r="A7785" s="1033"/>
      <c r="E7785" s="130"/>
    </row>
    <row r="7786" spans="1:5" x14ac:dyDescent="0.25">
      <c r="A7786" s="1033"/>
      <c r="E7786" s="130"/>
    </row>
    <row r="7787" spans="1:5" x14ac:dyDescent="0.25">
      <c r="A7787" s="1033"/>
      <c r="E7787" s="130"/>
    </row>
    <row r="7788" spans="1:5" x14ac:dyDescent="0.25">
      <c r="A7788" s="1033"/>
      <c r="E7788" s="130"/>
    </row>
    <row r="7789" spans="1:5" x14ac:dyDescent="0.25">
      <c r="A7789" s="1033"/>
      <c r="E7789" s="130"/>
    </row>
    <row r="7790" spans="1:5" x14ac:dyDescent="0.25">
      <c r="A7790" s="1033"/>
      <c r="E7790" s="130"/>
    </row>
    <row r="7791" spans="1:5" x14ac:dyDescent="0.25">
      <c r="A7791" s="1033"/>
      <c r="E7791" s="130"/>
    </row>
    <row r="7792" spans="1:5" x14ac:dyDescent="0.25">
      <c r="A7792" s="1033"/>
      <c r="E7792" s="130"/>
    </row>
    <row r="7793" spans="1:5" x14ac:dyDescent="0.25">
      <c r="A7793" s="1033"/>
      <c r="E7793" s="130"/>
    </row>
    <row r="7794" spans="1:5" x14ac:dyDescent="0.25">
      <c r="A7794" s="1033"/>
      <c r="E7794" s="130"/>
    </row>
    <row r="7795" spans="1:5" x14ac:dyDescent="0.25">
      <c r="A7795" s="1033"/>
      <c r="E7795" s="130"/>
    </row>
    <row r="7796" spans="1:5" x14ac:dyDescent="0.25">
      <c r="A7796" s="1033"/>
      <c r="E7796" s="130"/>
    </row>
    <row r="7797" spans="1:5" x14ac:dyDescent="0.25">
      <c r="A7797" s="1033"/>
      <c r="E7797" s="130"/>
    </row>
    <row r="7798" spans="1:5" x14ac:dyDescent="0.25">
      <c r="A7798" s="1033"/>
      <c r="E7798" s="130"/>
    </row>
    <row r="7799" spans="1:5" x14ac:dyDescent="0.25">
      <c r="A7799" s="1033"/>
      <c r="E7799" s="130"/>
    </row>
    <row r="7800" spans="1:5" x14ac:dyDescent="0.25">
      <c r="A7800" s="1033"/>
      <c r="E7800" s="130"/>
    </row>
    <row r="7801" spans="1:5" x14ac:dyDescent="0.25">
      <c r="A7801" s="1033"/>
      <c r="E7801" s="130"/>
    </row>
    <row r="7802" spans="1:5" x14ac:dyDescent="0.25">
      <c r="A7802" s="1033"/>
      <c r="E7802" s="130"/>
    </row>
    <row r="7803" spans="1:5" x14ac:dyDescent="0.25">
      <c r="A7803" s="1033"/>
      <c r="E7803" s="130"/>
    </row>
    <row r="7804" spans="1:5" x14ac:dyDescent="0.25">
      <c r="A7804" s="1033"/>
      <c r="E7804" s="130"/>
    </row>
    <row r="7805" spans="1:5" x14ac:dyDescent="0.25">
      <c r="A7805" s="1033"/>
      <c r="E7805" s="130"/>
    </row>
    <row r="7806" spans="1:5" x14ac:dyDescent="0.25">
      <c r="A7806" s="1033"/>
      <c r="E7806" s="130"/>
    </row>
    <row r="7807" spans="1:5" x14ac:dyDescent="0.25">
      <c r="A7807" s="1033"/>
      <c r="E7807" s="130"/>
    </row>
    <row r="7808" spans="1:5" x14ac:dyDescent="0.25">
      <c r="A7808" s="1033"/>
      <c r="E7808" s="130"/>
    </row>
    <row r="7809" spans="1:5" x14ac:dyDescent="0.25">
      <c r="A7809" s="1033"/>
      <c r="E7809" s="130"/>
    </row>
    <row r="7810" spans="1:5" x14ac:dyDescent="0.25">
      <c r="A7810" s="1033"/>
      <c r="E7810" s="130"/>
    </row>
    <row r="7811" spans="1:5" x14ac:dyDescent="0.25">
      <c r="A7811" s="1033"/>
      <c r="E7811" s="130"/>
    </row>
    <row r="7812" spans="1:5" x14ac:dyDescent="0.25">
      <c r="A7812" s="1033"/>
      <c r="E7812" s="130"/>
    </row>
    <row r="7813" spans="1:5" x14ac:dyDescent="0.25">
      <c r="A7813" s="1033"/>
      <c r="E7813" s="130"/>
    </row>
    <row r="7814" spans="1:5" x14ac:dyDescent="0.25">
      <c r="A7814" s="1033"/>
      <c r="E7814" s="130"/>
    </row>
    <row r="7815" spans="1:5" x14ac:dyDescent="0.25">
      <c r="A7815" s="1033"/>
      <c r="E7815" s="130"/>
    </row>
    <row r="7816" spans="1:5" x14ac:dyDescent="0.25">
      <c r="A7816" s="1033"/>
      <c r="E7816" s="130"/>
    </row>
    <row r="7817" spans="1:5" x14ac:dyDescent="0.25">
      <c r="A7817" s="1033"/>
      <c r="E7817" s="130"/>
    </row>
    <row r="7818" spans="1:5" x14ac:dyDescent="0.25">
      <c r="A7818" s="1033"/>
      <c r="E7818" s="130"/>
    </row>
    <row r="7819" spans="1:5" x14ac:dyDescent="0.25">
      <c r="A7819" s="1033"/>
      <c r="E7819" s="130"/>
    </row>
    <row r="7820" spans="1:5" x14ac:dyDescent="0.25">
      <c r="A7820" s="1033"/>
      <c r="E7820" s="130"/>
    </row>
    <row r="7821" spans="1:5" x14ac:dyDescent="0.25">
      <c r="A7821" s="1033"/>
      <c r="E7821" s="130"/>
    </row>
    <row r="7822" spans="1:5" x14ac:dyDescent="0.25">
      <c r="A7822" s="1033"/>
      <c r="E7822" s="130"/>
    </row>
    <row r="7823" spans="1:5" x14ac:dyDescent="0.25">
      <c r="A7823" s="1033"/>
      <c r="E7823" s="130"/>
    </row>
    <row r="7824" spans="1:5" x14ac:dyDescent="0.25">
      <c r="A7824" s="1033"/>
      <c r="E7824" s="130"/>
    </row>
    <row r="7825" spans="1:5" x14ac:dyDescent="0.25">
      <c r="A7825" s="1033"/>
      <c r="E7825" s="130"/>
    </row>
    <row r="7826" spans="1:5" x14ac:dyDescent="0.25">
      <c r="A7826" s="1033"/>
      <c r="E7826" s="130"/>
    </row>
    <row r="7827" spans="1:5" x14ac:dyDescent="0.25">
      <c r="A7827" s="1033"/>
      <c r="E7827" s="130"/>
    </row>
    <row r="7828" spans="1:5" x14ac:dyDescent="0.25">
      <c r="A7828" s="1033"/>
      <c r="E7828" s="130"/>
    </row>
    <row r="7829" spans="1:5" x14ac:dyDescent="0.25">
      <c r="A7829" s="1033"/>
      <c r="E7829" s="130"/>
    </row>
    <row r="7830" spans="1:5" x14ac:dyDescent="0.25">
      <c r="A7830" s="1033"/>
      <c r="E7830" s="130"/>
    </row>
    <row r="7831" spans="1:5" x14ac:dyDescent="0.25">
      <c r="A7831" s="1033"/>
      <c r="E7831" s="130"/>
    </row>
    <row r="7832" spans="1:5" x14ac:dyDescent="0.25">
      <c r="A7832" s="1033"/>
      <c r="E7832" s="130"/>
    </row>
    <row r="7833" spans="1:5" x14ac:dyDescent="0.25">
      <c r="A7833" s="1033"/>
      <c r="E7833" s="130"/>
    </row>
    <row r="7834" spans="1:5" x14ac:dyDescent="0.25">
      <c r="A7834" s="1033"/>
      <c r="E7834" s="130"/>
    </row>
    <row r="7835" spans="1:5" x14ac:dyDescent="0.25">
      <c r="A7835" s="1033"/>
      <c r="E7835" s="130"/>
    </row>
    <row r="7836" spans="1:5" x14ac:dyDescent="0.25">
      <c r="A7836" s="1033"/>
      <c r="E7836" s="130"/>
    </row>
    <row r="7837" spans="1:5" x14ac:dyDescent="0.25">
      <c r="A7837" s="1033"/>
      <c r="E7837" s="130"/>
    </row>
    <row r="7838" spans="1:5" x14ac:dyDescent="0.25">
      <c r="A7838" s="1033"/>
      <c r="E7838" s="130"/>
    </row>
    <row r="7839" spans="1:5" x14ac:dyDescent="0.25">
      <c r="A7839" s="1033"/>
      <c r="E7839" s="130"/>
    </row>
    <row r="7840" spans="1:5" x14ac:dyDescent="0.25">
      <c r="A7840" s="1033"/>
      <c r="E7840" s="130"/>
    </row>
    <row r="7841" spans="1:5" x14ac:dyDescent="0.25">
      <c r="A7841" s="1033"/>
      <c r="E7841" s="130"/>
    </row>
    <row r="7842" spans="1:5" x14ac:dyDescent="0.25">
      <c r="A7842" s="1033"/>
      <c r="E7842" s="130"/>
    </row>
    <row r="7843" spans="1:5" x14ac:dyDescent="0.25">
      <c r="A7843" s="1033"/>
      <c r="E7843" s="130"/>
    </row>
    <row r="7844" spans="1:5" x14ac:dyDescent="0.25">
      <c r="A7844" s="1033"/>
      <c r="E7844" s="130"/>
    </row>
    <row r="7845" spans="1:5" x14ac:dyDescent="0.25">
      <c r="A7845" s="1033"/>
      <c r="E7845" s="130"/>
    </row>
    <row r="7846" spans="1:5" x14ac:dyDescent="0.25">
      <c r="A7846" s="1033"/>
      <c r="E7846" s="130"/>
    </row>
    <row r="7847" spans="1:5" x14ac:dyDescent="0.25">
      <c r="A7847" s="1033"/>
      <c r="E7847" s="130"/>
    </row>
    <row r="7848" spans="1:5" x14ac:dyDescent="0.25">
      <c r="A7848" s="1033"/>
      <c r="E7848" s="130"/>
    </row>
    <row r="7849" spans="1:5" x14ac:dyDescent="0.25">
      <c r="A7849" s="1033"/>
      <c r="E7849" s="130"/>
    </row>
    <row r="7850" spans="1:5" x14ac:dyDescent="0.25">
      <c r="A7850" s="1033"/>
      <c r="E7850" s="130"/>
    </row>
    <row r="7851" spans="1:5" x14ac:dyDescent="0.25">
      <c r="A7851" s="1033"/>
      <c r="E7851" s="130"/>
    </row>
    <row r="7852" spans="1:5" x14ac:dyDescent="0.25">
      <c r="A7852" s="1033"/>
      <c r="E7852" s="130"/>
    </row>
    <row r="7853" spans="1:5" x14ac:dyDescent="0.25">
      <c r="A7853" s="1033"/>
      <c r="E7853" s="130"/>
    </row>
    <row r="7854" spans="1:5" x14ac:dyDescent="0.25">
      <c r="A7854" s="1033"/>
      <c r="E7854" s="130"/>
    </row>
    <row r="7855" spans="1:5" x14ac:dyDescent="0.25">
      <c r="A7855" s="1033"/>
      <c r="E7855" s="130"/>
    </row>
    <row r="7856" spans="1:5" x14ac:dyDescent="0.25">
      <c r="A7856" s="1033"/>
      <c r="E7856" s="130"/>
    </row>
    <row r="7857" spans="1:5" x14ac:dyDescent="0.25">
      <c r="A7857" s="1033"/>
      <c r="E7857" s="130"/>
    </row>
    <row r="7858" spans="1:5" x14ac:dyDescent="0.25">
      <c r="A7858" s="1033"/>
      <c r="E7858" s="130"/>
    </row>
    <row r="7859" spans="1:5" x14ac:dyDescent="0.25">
      <c r="A7859" s="1033"/>
      <c r="E7859" s="130"/>
    </row>
    <row r="7860" spans="1:5" x14ac:dyDescent="0.25">
      <c r="A7860" s="1033"/>
      <c r="E7860" s="130"/>
    </row>
    <row r="7861" spans="1:5" x14ac:dyDescent="0.25">
      <c r="A7861" s="1033"/>
      <c r="E7861" s="130"/>
    </row>
    <row r="7862" spans="1:5" x14ac:dyDescent="0.25">
      <c r="A7862" s="1033"/>
      <c r="E7862" s="130"/>
    </row>
    <row r="7863" spans="1:5" x14ac:dyDescent="0.25">
      <c r="A7863" s="1033"/>
      <c r="E7863" s="130"/>
    </row>
    <row r="7864" spans="1:5" x14ac:dyDescent="0.25">
      <c r="A7864" s="1033"/>
      <c r="E7864" s="130"/>
    </row>
    <row r="7865" spans="1:5" x14ac:dyDescent="0.25">
      <c r="A7865" s="1033"/>
      <c r="E7865" s="130"/>
    </row>
    <row r="7866" spans="1:5" x14ac:dyDescent="0.25">
      <c r="A7866" s="1033"/>
      <c r="E7866" s="130"/>
    </row>
    <row r="7867" spans="1:5" x14ac:dyDescent="0.25">
      <c r="A7867" s="1033"/>
      <c r="E7867" s="130"/>
    </row>
    <row r="7868" spans="1:5" x14ac:dyDescent="0.25">
      <c r="A7868" s="1033"/>
      <c r="E7868" s="130"/>
    </row>
    <row r="7869" spans="1:5" x14ac:dyDescent="0.25">
      <c r="A7869" s="1033"/>
      <c r="E7869" s="130"/>
    </row>
    <row r="7870" spans="1:5" x14ac:dyDescent="0.25">
      <c r="A7870" s="1033"/>
      <c r="E7870" s="130"/>
    </row>
    <row r="7871" spans="1:5" x14ac:dyDescent="0.25">
      <c r="A7871" s="1033"/>
      <c r="E7871" s="130"/>
    </row>
    <row r="7872" spans="1:5" x14ac:dyDescent="0.25">
      <c r="A7872" s="1033"/>
      <c r="E7872" s="130"/>
    </row>
    <row r="7873" spans="1:5" x14ac:dyDescent="0.25">
      <c r="A7873" s="1033"/>
      <c r="E7873" s="130"/>
    </row>
    <row r="7874" spans="1:5" x14ac:dyDescent="0.25">
      <c r="A7874" s="1033"/>
      <c r="E7874" s="130"/>
    </row>
    <row r="7875" spans="1:5" x14ac:dyDescent="0.25">
      <c r="A7875" s="1033"/>
      <c r="E7875" s="130"/>
    </row>
    <row r="7876" spans="1:5" x14ac:dyDescent="0.25">
      <c r="A7876" s="1033"/>
      <c r="E7876" s="130"/>
    </row>
    <row r="7877" spans="1:5" x14ac:dyDescent="0.25">
      <c r="A7877" s="1033"/>
      <c r="E7877" s="130"/>
    </row>
    <row r="7878" spans="1:5" x14ac:dyDescent="0.25">
      <c r="A7878" s="1033"/>
      <c r="E7878" s="130"/>
    </row>
    <row r="7879" spans="1:5" x14ac:dyDescent="0.25">
      <c r="A7879" s="1033"/>
      <c r="E7879" s="130"/>
    </row>
    <row r="7880" spans="1:5" x14ac:dyDescent="0.25">
      <c r="A7880" s="1033"/>
      <c r="E7880" s="130"/>
    </row>
    <row r="7881" spans="1:5" x14ac:dyDescent="0.25">
      <c r="A7881" s="1033"/>
      <c r="E7881" s="130"/>
    </row>
    <row r="7882" spans="1:5" x14ac:dyDescent="0.25">
      <c r="A7882" s="1033"/>
      <c r="E7882" s="130"/>
    </row>
    <row r="7883" spans="1:5" x14ac:dyDescent="0.25">
      <c r="A7883" s="1033"/>
      <c r="E7883" s="130"/>
    </row>
    <row r="7884" spans="1:5" x14ac:dyDescent="0.25">
      <c r="A7884" s="1033"/>
      <c r="E7884" s="130"/>
    </row>
    <row r="7885" spans="1:5" x14ac:dyDescent="0.25">
      <c r="A7885" s="1033"/>
      <c r="E7885" s="130"/>
    </row>
    <row r="7886" spans="1:5" x14ac:dyDescent="0.25">
      <c r="A7886" s="1033"/>
      <c r="E7886" s="130"/>
    </row>
    <row r="7887" spans="1:5" x14ac:dyDescent="0.25">
      <c r="A7887" s="1033"/>
      <c r="E7887" s="130"/>
    </row>
    <row r="7888" spans="1:5" x14ac:dyDescent="0.25">
      <c r="A7888" s="1033"/>
      <c r="E7888" s="130"/>
    </row>
    <row r="7889" spans="1:5" x14ac:dyDescent="0.25">
      <c r="A7889" s="1033"/>
      <c r="E7889" s="130"/>
    </row>
    <row r="7890" spans="1:5" x14ac:dyDescent="0.25">
      <c r="A7890" s="1033"/>
      <c r="E7890" s="130"/>
    </row>
    <row r="7891" spans="1:5" x14ac:dyDescent="0.25">
      <c r="A7891" s="1033"/>
      <c r="E7891" s="130"/>
    </row>
    <row r="7892" spans="1:5" x14ac:dyDescent="0.25">
      <c r="A7892" s="1033"/>
      <c r="E7892" s="130"/>
    </row>
    <row r="7893" spans="1:5" x14ac:dyDescent="0.25">
      <c r="A7893" s="1033"/>
      <c r="E7893" s="130"/>
    </row>
    <row r="7894" spans="1:5" x14ac:dyDescent="0.25">
      <c r="A7894" s="1033"/>
      <c r="E7894" s="130"/>
    </row>
    <row r="7895" spans="1:5" x14ac:dyDescent="0.25">
      <c r="A7895" s="1033"/>
      <c r="E7895" s="130"/>
    </row>
    <row r="7896" spans="1:5" x14ac:dyDescent="0.25">
      <c r="A7896" s="1033"/>
      <c r="E7896" s="130"/>
    </row>
    <row r="7897" spans="1:5" x14ac:dyDescent="0.25">
      <c r="A7897" s="1033"/>
      <c r="E7897" s="130"/>
    </row>
    <row r="7898" spans="1:5" x14ac:dyDescent="0.25">
      <c r="A7898" s="1033"/>
      <c r="E7898" s="130"/>
    </row>
    <row r="7899" spans="1:5" x14ac:dyDescent="0.25">
      <c r="A7899" s="1033"/>
      <c r="E7899" s="130"/>
    </row>
    <row r="7900" spans="1:5" x14ac:dyDescent="0.25">
      <c r="A7900" s="1033"/>
      <c r="E7900" s="130"/>
    </row>
    <row r="7901" spans="1:5" x14ac:dyDescent="0.25">
      <c r="A7901" s="1033"/>
      <c r="E7901" s="130"/>
    </row>
    <row r="7902" spans="1:5" x14ac:dyDescent="0.25">
      <c r="A7902" s="1033"/>
      <c r="E7902" s="130"/>
    </row>
    <row r="7903" spans="1:5" x14ac:dyDescent="0.25">
      <c r="A7903" s="1033"/>
      <c r="E7903" s="130"/>
    </row>
    <row r="7904" spans="1:5" x14ac:dyDescent="0.25">
      <c r="A7904" s="1033"/>
      <c r="E7904" s="130"/>
    </row>
    <row r="7905" spans="1:5" x14ac:dyDescent="0.25">
      <c r="A7905" s="1033"/>
      <c r="E7905" s="130"/>
    </row>
    <row r="7906" spans="1:5" x14ac:dyDescent="0.25">
      <c r="A7906" s="1033"/>
      <c r="E7906" s="130"/>
    </row>
    <row r="7907" spans="1:5" x14ac:dyDescent="0.25">
      <c r="A7907" s="1033"/>
      <c r="E7907" s="130"/>
    </row>
    <row r="7908" spans="1:5" x14ac:dyDescent="0.25">
      <c r="A7908" s="1033"/>
      <c r="E7908" s="130"/>
    </row>
    <row r="7909" spans="1:5" x14ac:dyDescent="0.25">
      <c r="A7909" s="1033"/>
      <c r="E7909" s="130"/>
    </row>
    <row r="7910" spans="1:5" x14ac:dyDescent="0.25">
      <c r="A7910" s="1033"/>
      <c r="E7910" s="130"/>
    </row>
    <row r="7911" spans="1:5" x14ac:dyDescent="0.25">
      <c r="A7911" s="1033"/>
      <c r="E7911" s="130"/>
    </row>
    <row r="7912" spans="1:5" x14ac:dyDescent="0.25">
      <c r="A7912" s="1033"/>
      <c r="E7912" s="130"/>
    </row>
    <row r="7913" spans="1:5" x14ac:dyDescent="0.25">
      <c r="A7913" s="1033"/>
      <c r="E7913" s="130"/>
    </row>
    <row r="7914" spans="1:5" x14ac:dyDescent="0.25">
      <c r="A7914" s="1033"/>
      <c r="E7914" s="130"/>
    </row>
    <row r="7915" spans="1:5" x14ac:dyDescent="0.25">
      <c r="A7915" s="1033"/>
      <c r="E7915" s="130"/>
    </row>
    <row r="7916" spans="1:5" x14ac:dyDescent="0.25">
      <c r="A7916" s="1033"/>
      <c r="E7916" s="130"/>
    </row>
    <row r="7917" spans="1:5" x14ac:dyDescent="0.25">
      <c r="A7917" s="1033"/>
      <c r="E7917" s="130"/>
    </row>
    <row r="7918" spans="1:5" x14ac:dyDescent="0.25">
      <c r="A7918" s="1033"/>
      <c r="E7918" s="130"/>
    </row>
    <row r="7919" spans="1:5" x14ac:dyDescent="0.25">
      <c r="A7919" s="1033"/>
      <c r="E7919" s="130"/>
    </row>
    <row r="7920" spans="1:5" x14ac:dyDescent="0.25">
      <c r="A7920" s="1033"/>
      <c r="E7920" s="130"/>
    </row>
    <row r="7921" spans="1:5" x14ac:dyDescent="0.25">
      <c r="A7921" s="1033"/>
      <c r="E7921" s="130"/>
    </row>
    <row r="7922" spans="1:5" x14ac:dyDescent="0.25">
      <c r="A7922" s="1033"/>
      <c r="E7922" s="130"/>
    </row>
    <row r="7923" spans="1:5" x14ac:dyDescent="0.25">
      <c r="A7923" s="1033"/>
      <c r="E7923" s="130"/>
    </row>
    <row r="7924" spans="1:5" x14ac:dyDescent="0.25">
      <c r="A7924" s="1033"/>
      <c r="E7924" s="130"/>
    </row>
    <row r="7925" spans="1:5" x14ac:dyDescent="0.25">
      <c r="A7925" s="1033"/>
      <c r="E7925" s="130"/>
    </row>
    <row r="7926" spans="1:5" x14ac:dyDescent="0.25">
      <c r="A7926" s="1033"/>
      <c r="E7926" s="130"/>
    </row>
    <row r="7927" spans="1:5" x14ac:dyDescent="0.25">
      <c r="A7927" s="1033"/>
      <c r="E7927" s="130"/>
    </row>
    <row r="7928" spans="1:5" x14ac:dyDescent="0.25">
      <c r="A7928" s="1033"/>
      <c r="E7928" s="130"/>
    </row>
    <row r="7929" spans="1:5" x14ac:dyDescent="0.25">
      <c r="A7929" s="1033"/>
      <c r="E7929" s="130"/>
    </row>
    <row r="7930" spans="1:5" x14ac:dyDescent="0.25">
      <c r="A7930" s="1033"/>
      <c r="E7930" s="130"/>
    </row>
    <row r="7931" spans="1:5" x14ac:dyDescent="0.25">
      <c r="A7931" s="1033"/>
      <c r="E7931" s="130"/>
    </row>
    <row r="7932" spans="1:5" x14ac:dyDescent="0.25">
      <c r="A7932" s="1033"/>
      <c r="E7932" s="130"/>
    </row>
    <row r="7933" spans="1:5" x14ac:dyDescent="0.25">
      <c r="A7933" s="1033"/>
      <c r="E7933" s="130"/>
    </row>
    <row r="7934" spans="1:5" x14ac:dyDescent="0.25">
      <c r="A7934" s="1033"/>
      <c r="E7934" s="130"/>
    </row>
    <row r="7935" spans="1:5" x14ac:dyDescent="0.25">
      <c r="A7935" s="1033"/>
      <c r="E7935" s="130"/>
    </row>
    <row r="7936" spans="1:5" x14ac:dyDescent="0.25">
      <c r="A7936" s="1033"/>
      <c r="E7936" s="130"/>
    </row>
    <row r="7937" spans="1:5" x14ac:dyDescent="0.25">
      <c r="A7937" s="1033"/>
      <c r="E7937" s="130"/>
    </row>
    <row r="7938" spans="1:5" x14ac:dyDescent="0.25">
      <c r="A7938" s="1033"/>
      <c r="E7938" s="130"/>
    </row>
    <row r="7939" spans="1:5" x14ac:dyDescent="0.25">
      <c r="A7939" s="1033"/>
      <c r="E7939" s="130"/>
    </row>
    <row r="7940" spans="1:5" x14ac:dyDescent="0.25">
      <c r="A7940" s="1033"/>
      <c r="E7940" s="130"/>
    </row>
    <row r="7941" spans="1:5" x14ac:dyDescent="0.25">
      <c r="A7941" s="1033"/>
      <c r="E7941" s="130"/>
    </row>
    <row r="7942" spans="1:5" x14ac:dyDescent="0.25">
      <c r="A7942" s="1033"/>
      <c r="E7942" s="130"/>
    </row>
    <row r="7943" spans="1:5" x14ac:dyDescent="0.25">
      <c r="A7943" s="1033"/>
      <c r="E7943" s="130"/>
    </row>
    <row r="7944" spans="1:5" x14ac:dyDescent="0.25">
      <c r="A7944" s="1033"/>
      <c r="E7944" s="130"/>
    </row>
    <row r="7945" spans="1:5" x14ac:dyDescent="0.25">
      <c r="A7945" s="1033"/>
      <c r="E7945" s="130"/>
    </row>
    <row r="7946" spans="1:5" x14ac:dyDescent="0.25">
      <c r="A7946" s="1033"/>
      <c r="E7946" s="130"/>
    </row>
    <row r="7947" spans="1:5" x14ac:dyDescent="0.25">
      <c r="A7947" s="1033"/>
      <c r="E7947" s="130"/>
    </row>
    <row r="7948" spans="1:5" x14ac:dyDescent="0.25">
      <c r="A7948" s="1033"/>
      <c r="E7948" s="130"/>
    </row>
    <row r="7949" spans="1:5" x14ac:dyDescent="0.25">
      <c r="A7949" s="1033"/>
      <c r="E7949" s="130"/>
    </row>
    <row r="7950" spans="1:5" x14ac:dyDescent="0.25">
      <c r="A7950" s="1033"/>
      <c r="E7950" s="130"/>
    </row>
    <row r="7951" spans="1:5" x14ac:dyDescent="0.25">
      <c r="A7951" s="1033"/>
      <c r="E7951" s="130"/>
    </row>
    <row r="7952" spans="1:5" x14ac:dyDescent="0.25">
      <c r="A7952" s="1033"/>
      <c r="E7952" s="130"/>
    </row>
    <row r="7953" spans="1:5" x14ac:dyDescent="0.25">
      <c r="A7953" s="1033"/>
      <c r="E7953" s="130"/>
    </row>
    <row r="7954" spans="1:5" x14ac:dyDescent="0.25">
      <c r="A7954" s="1033"/>
      <c r="E7954" s="130"/>
    </row>
    <row r="7955" spans="1:5" x14ac:dyDescent="0.25">
      <c r="A7955" s="1033"/>
      <c r="E7955" s="130"/>
    </row>
    <row r="7956" spans="1:5" x14ac:dyDescent="0.25">
      <c r="A7956" s="1033"/>
      <c r="E7956" s="130"/>
    </row>
    <row r="7957" spans="1:5" x14ac:dyDescent="0.25">
      <c r="A7957" s="1033"/>
      <c r="E7957" s="130"/>
    </row>
    <row r="7958" spans="1:5" x14ac:dyDescent="0.25">
      <c r="A7958" s="1033"/>
      <c r="E7958" s="130"/>
    </row>
    <row r="7959" spans="1:5" x14ac:dyDescent="0.25">
      <c r="A7959" s="1033"/>
      <c r="E7959" s="130"/>
    </row>
    <row r="7960" spans="1:5" x14ac:dyDescent="0.25">
      <c r="A7960" s="1033"/>
      <c r="E7960" s="130"/>
    </row>
    <row r="7961" spans="1:5" x14ac:dyDescent="0.25">
      <c r="A7961" s="1033"/>
      <c r="E7961" s="130"/>
    </row>
    <row r="7962" spans="1:5" x14ac:dyDescent="0.25">
      <c r="A7962" s="1033"/>
      <c r="E7962" s="130"/>
    </row>
    <row r="7963" spans="1:5" x14ac:dyDescent="0.25">
      <c r="A7963" s="1033"/>
      <c r="E7963" s="130"/>
    </row>
    <row r="7964" spans="1:5" x14ac:dyDescent="0.25">
      <c r="A7964" s="1033"/>
      <c r="E7964" s="130"/>
    </row>
    <row r="7965" spans="1:5" x14ac:dyDescent="0.25">
      <c r="A7965" s="1033"/>
      <c r="E7965" s="130"/>
    </row>
    <row r="7966" spans="1:5" x14ac:dyDescent="0.25">
      <c r="A7966" s="1033"/>
      <c r="E7966" s="130"/>
    </row>
    <row r="7967" spans="1:5" x14ac:dyDescent="0.25">
      <c r="A7967" s="1033"/>
      <c r="E7967" s="130"/>
    </row>
    <row r="7968" spans="1:5" x14ac:dyDescent="0.25">
      <c r="A7968" s="1033"/>
      <c r="E7968" s="130"/>
    </row>
    <row r="7969" spans="1:5" x14ac:dyDescent="0.25">
      <c r="A7969" s="1033"/>
      <c r="E7969" s="130"/>
    </row>
    <row r="7970" spans="1:5" x14ac:dyDescent="0.25">
      <c r="A7970" s="1033"/>
      <c r="E7970" s="130"/>
    </row>
    <row r="7971" spans="1:5" x14ac:dyDescent="0.25">
      <c r="A7971" s="1033"/>
      <c r="E7971" s="130"/>
    </row>
    <row r="7972" spans="1:5" x14ac:dyDescent="0.25">
      <c r="A7972" s="1033"/>
      <c r="E7972" s="130"/>
    </row>
    <row r="7973" spans="1:5" x14ac:dyDescent="0.25">
      <c r="A7973" s="1033"/>
      <c r="E7973" s="130"/>
    </row>
    <row r="7974" spans="1:5" x14ac:dyDescent="0.25">
      <c r="A7974" s="1033"/>
      <c r="E7974" s="130"/>
    </row>
    <row r="7975" spans="1:5" x14ac:dyDescent="0.25">
      <c r="A7975" s="1033"/>
      <c r="E7975" s="130"/>
    </row>
    <row r="7976" spans="1:5" x14ac:dyDescent="0.25">
      <c r="A7976" s="1033"/>
      <c r="E7976" s="130"/>
    </row>
    <row r="7977" spans="1:5" x14ac:dyDescent="0.25">
      <c r="A7977" s="1033"/>
      <c r="E7977" s="130"/>
    </row>
    <row r="7978" spans="1:5" x14ac:dyDescent="0.25">
      <c r="A7978" s="1033"/>
      <c r="E7978" s="130"/>
    </row>
    <row r="7979" spans="1:5" x14ac:dyDescent="0.25">
      <c r="A7979" s="1033"/>
      <c r="E7979" s="130"/>
    </row>
    <row r="7980" spans="1:5" x14ac:dyDescent="0.25">
      <c r="A7980" s="1033"/>
      <c r="E7980" s="130"/>
    </row>
    <row r="7981" spans="1:5" x14ac:dyDescent="0.25">
      <c r="A7981" s="1033"/>
      <c r="E7981" s="130"/>
    </row>
    <row r="7982" spans="1:5" x14ac:dyDescent="0.25">
      <c r="A7982" s="1033"/>
      <c r="E7982" s="130"/>
    </row>
    <row r="7983" spans="1:5" x14ac:dyDescent="0.25">
      <c r="A7983" s="1033"/>
      <c r="E7983" s="130"/>
    </row>
    <row r="7984" spans="1:5" x14ac:dyDescent="0.25">
      <c r="A7984" s="1033"/>
      <c r="E7984" s="130"/>
    </row>
    <row r="7985" spans="1:5" x14ac:dyDescent="0.25">
      <c r="A7985" s="1033"/>
      <c r="E7985" s="130"/>
    </row>
    <row r="7986" spans="1:5" x14ac:dyDescent="0.25">
      <c r="A7986" s="1033"/>
      <c r="E7986" s="130"/>
    </row>
    <row r="7987" spans="1:5" x14ac:dyDescent="0.25">
      <c r="A7987" s="1033"/>
      <c r="E7987" s="130"/>
    </row>
    <row r="7988" spans="1:5" x14ac:dyDescent="0.25">
      <c r="A7988" s="1033"/>
      <c r="E7988" s="130"/>
    </row>
    <row r="7989" spans="1:5" x14ac:dyDescent="0.25">
      <c r="A7989" s="1033"/>
      <c r="E7989" s="130"/>
    </row>
    <row r="7990" spans="1:5" x14ac:dyDescent="0.25">
      <c r="A7990" s="1033"/>
      <c r="E7990" s="130"/>
    </row>
    <row r="7991" spans="1:5" x14ac:dyDescent="0.25">
      <c r="A7991" s="1033"/>
      <c r="E7991" s="130"/>
    </row>
    <row r="7992" spans="1:5" x14ac:dyDescent="0.25">
      <c r="A7992" s="1033"/>
      <c r="E7992" s="130"/>
    </row>
    <row r="7993" spans="1:5" x14ac:dyDescent="0.25">
      <c r="A7993" s="1033"/>
      <c r="E7993" s="130"/>
    </row>
    <row r="7994" spans="1:5" x14ac:dyDescent="0.25">
      <c r="A7994" s="1033"/>
      <c r="E7994" s="130"/>
    </row>
    <row r="7995" spans="1:5" x14ac:dyDescent="0.25">
      <c r="A7995" s="1033"/>
      <c r="E7995" s="130"/>
    </row>
    <row r="7996" spans="1:5" x14ac:dyDescent="0.25">
      <c r="A7996" s="1033"/>
      <c r="E7996" s="130"/>
    </row>
    <row r="7997" spans="1:5" x14ac:dyDescent="0.25">
      <c r="A7997" s="1033"/>
      <c r="E7997" s="130"/>
    </row>
    <row r="7998" spans="1:5" x14ac:dyDescent="0.25">
      <c r="A7998" s="1033"/>
      <c r="E7998" s="130"/>
    </row>
    <row r="7999" spans="1:5" x14ac:dyDescent="0.25">
      <c r="A7999" s="1033"/>
      <c r="E7999" s="130"/>
    </row>
    <row r="8000" spans="1:5" x14ac:dyDescent="0.25">
      <c r="A8000" s="1033"/>
      <c r="E8000" s="130"/>
    </row>
    <row r="8001" spans="1:5" x14ac:dyDescent="0.25">
      <c r="A8001" s="1033"/>
      <c r="E8001" s="130"/>
    </row>
    <row r="8002" spans="1:5" x14ac:dyDescent="0.25">
      <c r="A8002" s="1033"/>
      <c r="E8002" s="130"/>
    </row>
    <row r="8003" spans="1:5" x14ac:dyDescent="0.25">
      <c r="A8003" s="1033"/>
      <c r="E8003" s="130"/>
    </row>
    <row r="8004" spans="1:5" x14ac:dyDescent="0.25">
      <c r="A8004" s="1033"/>
      <c r="E8004" s="130"/>
    </row>
    <row r="8005" spans="1:5" x14ac:dyDescent="0.25">
      <c r="A8005" s="1033"/>
      <c r="E8005" s="130"/>
    </row>
    <row r="8006" spans="1:5" x14ac:dyDescent="0.25">
      <c r="A8006" s="1033"/>
      <c r="E8006" s="130"/>
    </row>
    <row r="8007" spans="1:5" x14ac:dyDescent="0.25">
      <c r="A8007" s="1033"/>
      <c r="E8007" s="130"/>
    </row>
    <row r="8008" spans="1:5" x14ac:dyDescent="0.25">
      <c r="A8008" s="1033"/>
      <c r="E8008" s="130"/>
    </row>
    <row r="8009" spans="1:5" x14ac:dyDescent="0.25">
      <c r="A8009" s="1033"/>
      <c r="E8009" s="130"/>
    </row>
    <row r="8010" spans="1:5" x14ac:dyDescent="0.25">
      <c r="A8010" s="1033"/>
      <c r="E8010" s="130"/>
    </row>
    <row r="8011" spans="1:5" x14ac:dyDescent="0.25">
      <c r="A8011" s="1033"/>
      <c r="E8011" s="130"/>
    </row>
    <row r="8012" spans="1:5" x14ac:dyDescent="0.25">
      <c r="A8012" s="1033"/>
      <c r="E8012" s="130"/>
    </row>
    <row r="8013" spans="1:5" x14ac:dyDescent="0.25">
      <c r="A8013" s="1033"/>
      <c r="E8013" s="130"/>
    </row>
    <row r="8014" spans="1:5" x14ac:dyDescent="0.25">
      <c r="A8014" s="1033"/>
      <c r="E8014" s="130"/>
    </row>
    <row r="8015" spans="1:5" x14ac:dyDescent="0.25">
      <c r="A8015" s="1033"/>
      <c r="E8015" s="130"/>
    </row>
    <row r="8016" spans="1:5" x14ac:dyDescent="0.25">
      <c r="A8016" s="1033"/>
      <c r="E8016" s="130"/>
    </row>
    <row r="8017" spans="1:5" x14ac:dyDescent="0.25">
      <c r="A8017" s="1033"/>
      <c r="E8017" s="130"/>
    </row>
    <row r="8018" spans="1:5" x14ac:dyDescent="0.25">
      <c r="A8018" s="1033"/>
      <c r="E8018" s="130"/>
    </row>
    <row r="8019" spans="1:5" x14ac:dyDescent="0.25">
      <c r="A8019" s="1033"/>
      <c r="E8019" s="130"/>
    </row>
    <row r="8020" spans="1:5" x14ac:dyDescent="0.25">
      <c r="A8020" s="1033"/>
      <c r="E8020" s="130"/>
    </row>
    <row r="8021" spans="1:5" x14ac:dyDescent="0.25">
      <c r="A8021" s="1033"/>
      <c r="E8021" s="130"/>
    </row>
    <row r="8022" spans="1:5" x14ac:dyDescent="0.25">
      <c r="A8022" s="1033"/>
      <c r="E8022" s="130"/>
    </row>
    <row r="8023" spans="1:5" x14ac:dyDescent="0.25">
      <c r="A8023" s="1033"/>
      <c r="E8023" s="130"/>
    </row>
    <row r="8024" spans="1:5" x14ac:dyDescent="0.25">
      <c r="A8024" s="1033"/>
      <c r="E8024" s="130"/>
    </row>
    <row r="8025" spans="1:5" x14ac:dyDescent="0.25">
      <c r="A8025" s="1033"/>
      <c r="E8025" s="130"/>
    </row>
    <row r="8026" spans="1:5" x14ac:dyDescent="0.25">
      <c r="A8026" s="1033"/>
      <c r="E8026" s="130"/>
    </row>
    <row r="8027" spans="1:5" x14ac:dyDescent="0.25">
      <c r="A8027" s="1033"/>
      <c r="E8027" s="130"/>
    </row>
    <row r="8028" spans="1:5" x14ac:dyDescent="0.25">
      <c r="A8028" s="1033"/>
      <c r="E8028" s="130"/>
    </row>
    <row r="8029" spans="1:5" x14ac:dyDescent="0.25">
      <c r="A8029" s="1033"/>
      <c r="E8029" s="130"/>
    </row>
    <row r="8030" spans="1:5" x14ac:dyDescent="0.25">
      <c r="A8030" s="1033"/>
      <c r="E8030" s="130"/>
    </row>
    <row r="8031" spans="1:5" x14ac:dyDescent="0.25">
      <c r="A8031" s="1033"/>
      <c r="E8031" s="130"/>
    </row>
    <row r="8032" spans="1:5" x14ac:dyDescent="0.25">
      <c r="A8032" s="1033"/>
      <c r="E8032" s="130"/>
    </row>
    <row r="8033" spans="1:5" x14ac:dyDescent="0.25">
      <c r="A8033" s="1033"/>
      <c r="E8033" s="130"/>
    </row>
    <row r="8034" spans="1:5" x14ac:dyDescent="0.25">
      <c r="A8034" s="1033"/>
      <c r="E8034" s="130"/>
    </row>
    <row r="8035" spans="1:5" x14ac:dyDescent="0.25">
      <c r="A8035" s="1033"/>
      <c r="E8035" s="130"/>
    </row>
    <row r="8036" spans="1:5" x14ac:dyDescent="0.25">
      <c r="A8036" s="1033"/>
      <c r="E8036" s="130"/>
    </row>
    <row r="8037" spans="1:5" x14ac:dyDescent="0.25">
      <c r="A8037" s="1033"/>
      <c r="E8037" s="130"/>
    </row>
    <row r="8038" spans="1:5" x14ac:dyDescent="0.25">
      <c r="A8038" s="1033"/>
      <c r="E8038" s="130"/>
    </row>
    <row r="8039" spans="1:5" x14ac:dyDescent="0.25">
      <c r="A8039" s="1033"/>
      <c r="E8039" s="130"/>
    </row>
    <row r="8040" spans="1:5" x14ac:dyDescent="0.25">
      <c r="A8040" s="1033"/>
      <c r="E8040" s="130"/>
    </row>
    <row r="8041" spans="1:5" x14ac:dyDescent="0.25">
      <c r="A8041" s="1033"/>
      <c r="E8041" s="130"/>
    </row>
    <row r="8042" spans="1:5" x14ac:dyDescent="0.25">
      <c r="A8042" s="1033"/>
      <c r="E8042" s="130"/>
    </row>
    <row r="8043" spans="1:5" x14ac:dyDescent="0.25">
      <c r="A8043" s="1033"/>
      <c r="E8043" s="130"/>
    </row>
    <row r="8044" spans="1:5" x14ac:dyDescent="0.25">
      <c r="A8044" s="1033"/>
      <c r="E8044" s="130"/>
    </row>
    <row r="8045" spans="1:5" x14ac:dyDescent="0.25">
      <c r="A8045" s="1033"/>
      <c r="E8045" s="130"/>
    </row>
    <row r="8046" spans="1:5" x14ac:dyDescent="0.25">
      <c r="A8046" s="1033"/>
      <c r="E8046" s="130"/>
    </row>
    <row r="8047" spans="1:5" x14ac:dyDescent="0.25">
      <c r="A8047" s="1033"/>
      <c r="E8047" s="130"/>
    </row>
    <row r="8048" spans="1:5" x14ac:dyDescent="0.25">
      <c r="A8048" s="1033"/>
      <c r="E8048" s="130"/>
    </row>
    <row r="8049" spans="1:5" x14ac:dyDescent="0.25">
      <c r="A8049" s="1033"/>
      <c r="E8049" s="130"/>
    </row>
    <row r="8050" spans="1:5" x14ac:dyDescent="0.25">
      <c r="A8050" s="1033"/>
      <c r="E8050" s="130"/>
    </row>
    <row r="8051" spans="1:5" x14ac:dyDescent="0.25">
      <c r="A8051" s="1033"/>
      <c r="E8051" s="130"/>
    </row>
    <row r="8052" spans="1:5" x14ac:dyDescent="0.25">
      <c r="A8052" s="1033"/>
      <c r="E8052" s="130"/>
    </row>
    <row r="8053" spans="1:5" x14ac:dyDescent="0.25">
      <c r="A8053" s="1033"/>
      <c r="E8053" s="130"/>
    </row>
    <row r="8054" spans="1:5" x14ac:dyDescent="0.25">
      <c r="A8054" s="1033"/>
      <c r="E8054" s="130"/>
    </row>
    <row r="8055" spans="1:5" x14ac:dyDescent="0.25">
      <c r="A8055" s="1033"/>
      <c r="E8055" s="130"/>
    </row>
    <row r="8056" spans="1:5" x14ac:dyDescent="0.25">
      <c r="A8056" s="1033"/>
      <c r="E8056" s="130"/>
    </row>
    <row r="8057" spans="1:5" x14ac:dyDescent="0.25">
      <c r="A8057" s="1033"/>
      <c r="E8057" s="130"/>
    </row>
    <row r="8058" spans="1:5" x14ac:dyDescent="0.25">
      <c r="A8058" s="1033"/>
      <c r="E8058" s="130"/>
    </row>
    <row r="8059" spans="1:5" x14ac:dyDescent="0.25">
      <c r="A8059" s="1033"/>
      <c r="E8059" s="130"/>
    </row>
    <row r="8060" spans="1:5" x14ac:dyDescent="0.25">
      <c r="A8060" s="1033"/>
      <c r="E8060" s="130"/>
    </row>
    <row r="8061" spans="1:5" x14ac:dyDescent="0.25">
      <c r="A8061" s="1033"/>
      <c r="E8061" s="130"/>
    </row>
    <row r="8062" spans="1:5" x14ac:dyDescent="0.25">
      <c r="A8062" s="1033"/>
      <c r="E8062" s="130"/>
    </row>
    <row r="8063" spans="1:5" x14ac:dyDescent="0.25">
      <c r="A8063" s="1033"/>
      <c r="E8063" s="130"/>
    </row>
    <row r="8064" spans="1:5" x14ac:dyDescent="0.25">
      <c r="A8064" s="1033"/>
      <c r="E8064" s="130"/>
    </row>
    <row r="8065" spans="1:5" x14ac:dyDescent="0.25">
      <c r="A8065" s="1033"/>
      <c r="E8065" s="130"/>
    </row>
    <row r="8066" spans="1:5" x14ac:dyDescent="0.25">
      <c r="A8066" s="1033"/>
      <c r="E8066" s="130"/>
    </row>
    <row r="8067" spans="1:5" x14ac:dyDescent="0.25">
      <c r="A8067" s="1033"/>
      <c r="E8067" s="130"/>
    </row>
    <row r="8068" spans="1:5" x14ac:dyDescent="0.25">
      <c r="A8068" s="1033"/>
      <c r="E8068" s="130"/>
    </row>
    <row r="8069" spans="1:5" x14ac:dyDescent="0.25">
      <c r="A8069" s="1033"/>
      <c r="E8069" s="130"/>
    </row>
    <row r="8070" spans="1:5" x14ac:dyDescent="0.25">
      <c r="A8070" s="1033"/>
      <c r="E8070" s="130"/>
    </row>
    <row r="8071" spans="1:5" x14ac:dyDescent="0.25">
      <c r="A8071" s="1033"/>
      <c r="E8071" s="130"/>
    </row>
    <row r="8072" spans="1:5" x14ac:dyDescent="0.25">
      <c r="A8072" s="1033"/>
      <c r="E8072" s="130"/>
    </row>
    <row r="8073" spans="1:5" x14ac:dyDescent="0.25">
      <c r="A8073" s="1033"/>
      <c r="E8073" s="130"/>
    </row>
    <row r="8074" spans="1:5" x14ac:dyDescent="0.25">
      <c r="A8074" s="1033"/>
      <c r="E8074" s="130"/>
    </row>
    <row r="8075" spans="1:5" x14ac:dyDescent="0.25">
      <c r="A8075" s="1033"/>
      <c r="E8075" s="130"/>
    </row>
    <row r="8076" spans="1:5" x14ac:dyDescent="0.25">
      <c r="A8076" s="1033"/>
      <c r="E8076" s="130"/>
    </row>
    <row r="8077" spans="1:5" x14ac:dyDescent="0.25">
      <c r="A8077" s="1033"/>
      <c r="E8077" s="130"/>
    </row>
    <row r="8078" spans="1:5" x14ac:dyDescent="0.25">
      <c r="A8078" s="1033"/>
      <c r="E8078" s="130"/>
    </row>
    <row r="8079" spans="1:5" x14ac:dyDescent="0.25">
      <c r="A8079" s="1033"/>
      <c r="E8079" s="130"/>
    </row>
    <row r="8080" spans="1:5" x14ac:dyDescent="0.25">
      <c r="A8080" s="1033"/>
      <c r="E8080" s="130"/>
    </row>
    <row r="8081" spans="1:5" x14ac:dyDescent="0.25">
      <c r="A8081" s="1033"/>
      <c r="E8081" s="130"/>
    </row>
    <row r="8082" spans="1:5" x14ac:dyDescent="0.25">
      <c r="A8082" s="1033"/>
      <c r="E8082" s="130"/>
    </row>
    <row r="8083" spans="1:5" x14ac:dyDescent="0.25">
      <c r="A8083" s="1033"/>
      <c r="E8083" s="130"/>
    </row>
    <row r="8084" spans="1:5" x14ac:dyDescent="0.25">
      <c r="A8084" s="1033"/>
      <c r="E8084" s="130"/>
    </row>
    <row r="8085" spans="1:5" x14ac:dyDescent="0.25">
      <c r="A8085" s="1033"/>
      <c r="E8085" s="130"/>
    </row>
    <row r="8086" spans="1:5" x14ac:dyDescent="0.25">
      <c r="A8086" s="1033"/>
      <c r="E8086" s="130"/>
    </row>
    <row r="8087" spans="1:5" x14ac:dyDescent="0.25">
      <c r="A8087" s="1033"/>
      <c r="E8087" s="130"/>
    </row>
    <row r="8088" spans="1:5" x14ac:dyDescent="0.25">
      <c r="A8088" s="1033"/>
      <c r="E8088" s="130"/>
    </row>
    <row r="8089" spans="1:5" x14ac:dyDescent="0.25">
      <c r="A8089" s="1033"/>
      <c r="E8089" s="130"/>
    </row>
    <row r="8090" spans="1:5" x14ac:dyDescent="0.25">
      <c r="A8090" s="1033"/>
      <c r="E8090" s="130"/>
    </row>
    <row r="8091" spans="1:5" x14ac:dyDescent="0.25">
      <c r="A8091" s="1033"/>
      <c r="E8091" s="130"/>
    </row>
    <row r="8092" spans="1:5" x14ac:dyDescent="0.25">
      <c r="A8092" s="1033"/>
      <c r="E8092" s="130"/>
    </row>
    <row r="8093" spans="1:5" x14ac:dyDescent="0.25">
      <c r="A8093" s="1033"/>
      <c r="E8093" s="130"/>
    </row>
    <row r="8094" spans="1:5" x14ac:dyDescent="0.25">
      <c r="A8094" s="1033"/>
      <c r="E8094" s="130"/>
    </row>
    <row r="8095" spans="1:5" x14ac:dyDescent="0.25">
      <c r="A8095" s="1033"/>
      <c r="E8095" s="130"/>
    </row>
    <row r="8096" spans="1:5" x14ac:dyDescent="0.25">
      <c r="A8096" s="1033"/>
      <c r="E8096" s="130"/>
    </row>
    <row r="8097" spans="1:5" x14ac:dyDescent="0.25">
      <c r="A8097" s="1033"/>
      <c r="E8097" s="130"/>
    </row>
    <row r="8098" spans="1:5" x14ac:dyDescent="0.25">
      <c r="A8098" s="1033"/>
      <c r="E8098" s="130"/>
    </row>
    <row r="8099" spans="1:5" x14ac:dyDescent="0.25">
      <c r="A8099" s="1033"/>
      <c r="E8099" s="130"/>
    </row>
    <row r="8100" spans="1:5" x14ac:dyDescent="0.25">
      <c r="A8100" s="1033"/>
      <c r="E8100" s="130"/>
    </row>
    <row r="8101" spans="1:5" x14ac:dyDescent="0.25">
      <c r="A8101" s="1033"/>
      <c r="E8101" s="130"/>
    </row>
    <row r="8102" spans="1:5" x14ac:dyDescent="0.25">
      <c r="A8102" s="1033"/>
      <c r="E8102" s="130"/>
    </row>
    <row r="8103" spans="1:5" x14ac:dyDescent="0.25">
      <c r="A8103" s="1033"/>
      <c r="E8103" s="130"/>
    </row>
    <row r="8104" spans="1:5" x14ac:dyDescent="0.25">
      <c r="A8104" s="1033"/>
      <c r="E8104" s="130"/>
    </row>
    <row r="8105" spans="1:5" x14ac:dyDescent="0.25">
      <c r="A8105" s="1033"/>
      <c r="E8105" s="130"/>
    </row>
    <row r="8106" spans="1:5" x14ac:dyDescent="0.25">
      <c r="A8106" s="1033"/>
      <c r="E8106" s="130"/>
    </row>
    <row r="8107" spans="1:5" x14ac:dyDescent="0.25">
      <c r="A8107" s="1033"/>
      <c r="E8107" s="130"/>
    </row>
    <row r="8108" spans="1:5" x14ac:dyDescent="0.25">
      <c r="A8108" s="1033"/>
      <c r="E8108" s="130"/>
    </row>
    <row r="8109" spans="1:5" x14ac:dyDescent="0.25">
      <c r="A8109" s="1033"/>
      <c r="E8109" s="130"/>
    </row>
    <row r="8110" spans="1:5" x14ac:dyDescent="0.25">
      <c r="A8110" s="1033"/>
      <c r="E8110" s="130"/>
    </row>
    <row r="8111" spans="1:5" x14ac:dyDescent="0.25">
      <c r="A8111" s="1033"/>
      <c r="E8111" s="130"/>
    </row>
    <row r="8112" spans="1:5" x14ac:dyDescent="0.25">
      <c r="A8112" s="1033"/>
      <c r="E8112" s="130"/>
    </row>
    <row r="8113" spans="1:5" x14ac:dyDescent="0.25">
      <c r="A8113" s="1033"/>
      <c r="E8113" s="130"/>
    </row>
    <row r="8114" spans="1:5" x14ac:dyDescent="0.25">
      <c r="A8114" s="1033"/>
      <c r="E8114" s="130"/>
    </row>
    <row r="8115" spans="1:5" x14ac:dyDescent="0.25">
      <c r="A8115" s="1033"/>
      <c r="E8115" s="130"/>
    </row>
    <row r="8116" spans="1:5" x14ac:dyDescent="0.25">
      <c r="A8116" s="1033"/>
      <c r="E8116" s="130"/>
    </row>
    <row r="8117" spans="1:5" x14ac:dyDescent="0.25">
      <c r="A8117" s="1033"/>
      <c r="E8117" s="130"/>
    </row>
    <row r="8118" spans="1:5" x14ac:dyDescent="0.25">
      <c r="A8118" s="1033"/>
      <c r="E8118" s="130"/>
    </row>
    <row r="8119" spans="1:5" x14ac:dyDescent="0.25">
      <c r="A8119" s="1033"/>
      <c r="E8119" s="130"/>
    </row>
    <row r="8120" spans="1:5" x14ac:dyDescent="0.25">
      <c r="A8120" s="1033"/>
      <c r="E8120" s="130"/>
    </row>
    <row r="8121" spans="1:5" x14ac:dyDescent="0.25">
      <c r="A8121" s="1033"/>
      <c r="E8121" s="130"/>
    </row>
    <row r="8122" spans="1:5" x14ac:dyDescent="0.25">
      <c r="A8122" s="1033"/>
      <c r="E8122" s="130"/>
    </row>
    <row r="8123" spans="1:5" x14ac:dyDescent="0.25">
      <c r="A8123" s="1033"/>
      <c r="E8123" s="130"/>
    </row>
    <row r="8124" spans="1:5" x14ac:dyDescent="0.25">
      <c r="A8124" s="1033"/>
      <c r="E8124" s="130"/>
    </row>
    <row r="8125" spans="1:5" x14ac:dyDescent="0.25">
      <c r="A8125" s="1033"/>
      <c r="E8125" s="130"/>
    </row>
    <row r="8126" spans="1:5" x14ac:dyDescent="0.25">
      <c r="A8126" s="1033"/>
      <c r="E8126" s="130"/>
    </row>
    <row r="8127" spans="1:5" x14ac:dyDescent="0.25">
      <c r="A8127" s="1033"/>
      <c r="E8127" s="130"/>
    </row>
    <row r="8128" spans="1:5" x14ac:dyDescent="0.25">
      <c r="A8128" s="1033"/>
      <c r="E8128" s="130"/>
    </row>
    <row r="8129" spans="1:5" x14ac:dyDescent="0.25">
      <c r="A8129" s="1033"/>
      <c r="E8129" s="130"/>
    </row>
    <row r="8130" spans="1:5" x14ac:dyDescent="0.25">
      <c r="A8130" s="1033"/>
      <c r="E8130" s="130"/>
    </row>
    <row r="8131" spans="1:5" x14ac:dyDescent="0.25">
      <c r="A8131" s="1033"/>
      <c r="E8131" s="130"/>
    </row>
    <row r="8132" spans="1:5" x14ac:dyDescent="0.25">
      <c r="A8132" s="1033"/>
      <c r="E8132" s="130"/>
    </row>
    <row r="8133" spans="1:5" x14ac:dyDescent="0.25">
      <c r="A8133" s="1033"/>
      <c r="E8133" s="130"/>
    </row>
    <row r="8134" spans="1:5" x14ac:dyDescent="0.25">
      <c r="A8134" s="1033"/>
      <c r="E8134" s="130"/>
    </row>
    <row r="8135" spans="1:5" x14ac:dyDescent="0.25">
      <c r="A8135" s="1033"/>
      <c r="E8135" s="130"/>
    </row>
    <row r="8136" spans="1:5" x14ac:dyDescent="0.25">
      <c r="A8136" s="1033"/>
      <c r="E8136" s="130"/>
    </row>
    <row r="8137" spans="1:5" x14ac:dyDescent="0.25">
      <c r="A8137" s="1033"/>
      <c r="E8137" s="130"/>
    </row>
    <row r="8138" spans="1:5" x14ac:dyDescent="0.25">
      <c r="A8138" s="1033"/>
      <c r="E8138" s="130"/>
    </row>
    <row r="8139" spans="1:5" x14ac:dyDescent="0.25">
      <c r="A8139" s="1033"/>
      <c r="E8139" s="130"/>
    </row>
    <row r="8140" spans="1:5" x14ac:dyDescent="0.25">
      <c r="A8140" s="1033"/>
      <c r="E8140" s="130"/>
    </row>
    <row r="8141" spans="1:5" x14ac:dyDescent="0.25">
      <c r="A8141" s="1033"/>
      <c r="E8141" s="130"/>
    </row>
    <row r="8142" spans="1:5" x14ac:dyDescent="0.25">
      <c r="A8142" s="1033"/>
      <c r="E8142" s="130"/>
    </row>
    <row r="8143" spans="1:5" x14ac:dyDescent="0.25">
      <c r="A8143" s="1033"/>
      <c r="E8143" s="130"/>
    </row>
    <row r="8144" spans="1:5" x14ac:dyDescent="0.25">
      <c r="A8144" s="1033"/>
      <c r="E8144" s="130"/>
    </row>
    <row r="8145" spans="1:5" x14ac:dyDescent="0.25">
      <c r="A8145" s="1033"/>
      <c r="E8145" s="130"/>
    </row>
    <row r="8146" spans="1:5" x14ac:dyDescent="0.25">
      <c r="A8146" s="1033"/>
      <c r="E8146" s="130"/>
    </row>
    <row r="8147" spans="1:5" x14ac:dyDescent="0.25">
      <c r="A8147" s="1033"/>
      <c r="E8147" s="130"/>
    </row>
    <row r="8148" spans="1:5" x14ac:dyDescent="0.25">
      <c r="A8148" s="1033"/>
      <c r="E8148" s="130"/>
    </row>
    <row r="8149" spans="1:5" x14ac:dyDescent="0.25">
      <c r="A8149" s="1033"/>
      <c r="E8149" s="130"/>
    </row>
    <row r="8150" spans="1:5" x14ac:dyDescent="0.25">
      <c r="A8150" s="1033"/>
      <c r="E8150" s="130"/>
    </row>
    <row r="8151" spans="1:5" x14ac:dyDescent="0.25">
      <c r="A8151" s="1033"/>
      <c r="E8151" s="130"/>
    </row>
    <row r="8152" spans="1:5" x14ac:dyDescent="0.25">
      <c r="A8152" s="1033"/>
      <c r="E8152" s="130"/>
    </row>
    <row r="8153" spans="1:5" x14ac:dyDescent="0.25">
      <c r="A8153" s="1033"/>
      <c r="E8153" s="130"/>
    </row>
    <row r="8154" spans="1:5" x14ac:dyDescent="0.25">
      <c r="A8154" s="1033"/>
      <c r="E8154" s="130"/>
    </row>
    <row r="8155" spans="1:5" x14ac:dyDescent="0.25">
      <c r="A8155" s="1033"/>
      <c r="E8155" s="130"/>
    </row>
    <row r="8156" spans="1:5" x14ac:dyDescent="0.25">
      <c r="A8156" s="1033"/>
      <c r="E8156" s="130"/>
    </row>
    <row r="8157" spans="1:5" x14ac:dyDescent="0.25">
      <c r="A8157" s="1033"/>
      <c r="E8157" s="130"/>
    </row>
    <row r="8158" spans="1:5" x14ac:dyDescent="0.25">
      <c r="A8158" s="1033"/>
      <c r="E8158" s="130"/>
    </row>
    <row r="8159" spans="1:5" x14ac:dyDescent="0.25">
      <c r="A8159" s="1033"/>
      <c r="E8159" s="130"/>
    </row>
    <row r="8160" spans="1:5" x14ac:dyDescent="0.25">
      <c r="A8160" s="1033"/>
      <c r="E8160" s="130"/>
    </row>
    <row r="8161" spans="1:5" x14ac:dyDescent="0.25">
      <c r="A8161" s="1033"/>
      <c r="E8161" s="130"/>
    </row>
    <row r="8162" spans="1:5" x14ac:dyDescent="0.25">
      <c r="A8162" s="1033"/>
      <c r="E8162" s="130"/>
    </row>
    <row r="8163" spans="1:5" x14ac:dyDescent="0.25">
      <c r="A8163" s="1033"/>
      <c r="E8163" s="130"/>
    </row>
    <row r="8164" spans="1:5" x14ac:dyDescent="0.25">
      <c r="A8164" s="1033"/>
      <c r="E8164" s="130"/>
    </row>
    <row r="8165" spans="1:5" x14ac:dyDescent="0.25">
      <c r="A8165" s="1033"/>
      <c r="E8165" s="130"/>
    </row>
    <row r="8166" spans="1:5" x14ac:dyDescent="0.25">
      <c r="A8166" s="1033"/>
      <c r="E8166" s="130"/>
    </row>
    <row r="8167" spans="1:5" x14ac:dyDescent="0.25">
      <c r="A8167" s="1033"/>
      <c r="E8167" s="130"/>
    </row>
    <row r="8168" spans="1:5" x14ac:dyDescent="0.25">
      <c r="A8168" s="1033"/>
      <c r="E8168" s="130"/>
    </row>
    <row r="8169" spans="1:5" x14ac:dyDescent="0.25">
      <c r="A8169" s="1033"/>
      <c r="E8169" s="130"/>
    </row>
    <row r="8170" spans="1:5" x14ac:dyDescent="0.25">
      <c r="A8170" s="1033"/>
      <c r="E8170" s="130"/>
    </row>
    <row r="8171" spans="1:5" x14ac:dyDescent="0.25">
      <c r="A8171" s="1033"/>
      <c r="E8171" s="130"/>
    </row>
    <row r="8172" spans="1:5" x14ac:dyDescent="0.25">
      <c r="A8172" s="1033"/>
      <c r="E8172" s="130"/>
    </row>
    <row r="8173" spans="1:5" x14ac:dyDescent="0.25">
      <c r="A8173" s="1033"/>
      <c r="E8173" s="130"/>
    </row>
    <row r="8174" spans="1:5" x14ac:dyDescent="0.25">
      <c r="A8174" s="1033"/>
      <c r="E8174" s="130"/>
    </row>
    <row r="8175" spans="1:5" x14ac:dyDescent="0.25">
      <c r="A8175" s="1033"/>
      <c r="E8175" s="130"/>
    </row>
    <row r="8176" spans="1:5" x14ac:dyDescent="0.25">
      <c r="A8176" s="1033"/>
      <c r="E8176" s="130"/>
    </row>
    <row r="8177" spans="1:5" x14ac:dyDescent="0.25">
      <c r="A8177" s="1033"/>
      <c r="E8177" s="130"/>
    </row>
    <row r="8178" spans="1:5" x14ac:dyDescent="0.25">
      <c r="A8178" s="1033"/>
      <c r="E8178" s="130"/>
    </row>
    <row r="8179" spans="1:5" x14ac:dyDescent="0.25">
      <c r="A8179" s="1033"/>
      <c r="E8179" s="130"/>
    </row>
    <row r="8180" spans="1:5" x14ac:dyDescent="0.25">
      <c r="A8180" s="1033"/>
      <c r="E8180" s="130"/>
    </row>
    <row r="8181" spans="1:5" x14ac:dyDescent="0.25">
      <c r="A8181" s="1033"/>
      <c r="E8181" s="130"/>
    </row>
    <row r="8182" spans="1:5" x14ac:dyDescent="0.25">
      <c r="A8182" s="1033"/>
      <c r="E8182" s="130"/>
    </row>
    <row r="8183" spans="1:5" x14ac:dyDescent="0.25">
      <c r="A8183" s="1033"/>
      <c r="E8183" s="130"/>
    </row>
    <row r="8184" spans="1:5" x14ac:dyDescent="0.25">
      <c r="A8184" s="1033"/>
      <c r="E8184" s="130"/>
    </row>
    <row r="8185" spans="1:5" x14ac:dyDescent="0.25">
      <c r="A8185" s="1033"/>
      <c r="E8185" s="130"/>
    </row>
    <row r="8186" spans="1:5" x14ac:dyDescent="0.25">
      <c r="A8186" s="1033"/>
      <c r="E8186" s="130"/>
    </row>
    <row r="8187" spans="1:5" x14ac:dyDescent="0.25">
      <c r="A8187" s="1033"/>
      <c r="E8187" s="130"/>
    </row>
    <row r="8188" spans="1:5" x14ac:dyDescent="0.25">
      <c r="A8188" s="1033"/>
      <c r="E8188" s="130"/>
    </row>
    <row r="8189" spans="1:5" x14ac:dyDescent="0.25">
      <c r="A8189" s="1033"/>
      <c r="E8189" s="130"/>
    </row>
    <row r="8190" spans="1:5" x14ac:dyDescent="0.25">
      <c r="A8190" s="1033"/>
      <c r="E8190" s="130"/>
    </row>
    <row r="8191" spans="1:5" x14ac:dyDescent="0.25">
      <c r="A8191" s="1033"/>
      <c r="E8191" s="130"/>
    </row>
    <row r="8192" spans="1:5" x14ac:dyDescent="0.25">
      <c r="A8192" s="1033"/>
      <c r="E8192" s="130"/>
    </row>
    <row r="8193" spans="1:5" x14ac:dyDescent="0.25">
      <c r="A8193" s="1033"/>
      <c r="E8193" s="130"/>
    </row>
    <row r="8194" spans="1:5" x14ac:dyDescent="0.25">
      <c r="A8194" s="1033"/>
      <c r="E8194" s="130"/>
    </row>
    <row r="8195" spans="1:5" x14ac:dyDescent="0.25">
      <c r="A8195" s="1033"/>
      <c r="E8195" s="130"/>
    </row>
    <row r="8196" spans="1:5" x14ac:dyDescent="0.25">
      <c r="A8196" s="1033"/>
      <c r="E8196" s="130"/>
    </row>
    <row r="8197" spans="1:5" x14ac:dyDescent="0.25">
      <c r="A8197" s="1033"/>
      <c r="E8197" s="130"/>
    </row>
    <row r="8198" spans="1:5" x14ac:dyDescent="0.25">
      <c r="A8198" s="1033"/>
      <c r="E8198" s="130"/>
    </row>
    <row r="8199" spans="1:5" x14ac:dyDescent="0.25">
      <c r="A8199" s="1033"/>
      <c r="E8199" s="130"/>
    </row>
    <row r="8200" spans="1:5" x14ac:dyDescent="0.25">
      <c r="A8200" s="1033"/>
      <c r="E8200" s="130"/>
    </row>
    <row r="8201" spans="1:5" x14ac:dyDescent="0.25">
      <c r="A8201" s="1033"/>
      <c r="E8201" s="130"/>
    </row>
    <row r="8202" spans="1:5" x14ac:dyDescent="0.25">
      <c r="A8202" s="1033"/>
      <c r="E8202" s="130"/>
    </row>
    <row r="8203" spans="1:5" x14ac:dyDescent="0.25">
      <c r="A8203" s="1033"/>
      <c r="E8203" s="130"/>
    </row>
    <row r="8204" spans="1:5" x14ac:dyDescent="0.25">
      <c r="A8204" s="1033"/>
      <c r="E8204" s="130"/>
    </row>
    <row r="8205" spans="1:5" x14ac:dyDescent="0.25">
      <c r="A8205" s="1033"/>
      <c r="E8205" s="130"/>
    </row>
    <row r="8206" spans="1:5" x14ac:dyDescent="0.25">
      <c r="A8206" s="1033"/>
      <c r="E8206" s="130"/>
    </row>
    <row r="8207" spans="1:5" x14ac:dyDescent="0.25">
      <c r="A8207" s="1033"/>
      <c r="E8207" s="130"/>
    </row>
    <row r="8208" spans="1:5" x14ac:dyDescent="0.25">
      <c r="A8208" s="1033"/>
      <c r="E8208" s="130"/>
    </row>
    <row r="8209" spans="1:5" x14ac:dyDescent="0.25">
      <c r="A8209" s="1033"/>
      <c r="E8209" s="130"/>
    </row>
    <row r="8210" spans="1:5" x14ac:dyDescent="0.25">
      <c r="A8210" s="1033"/>
      <c r="E8210" s="130"/>
    </row>
    <row r="8211" spans="1:5" x14ac:dyDescent="0.25">
      <c r="A8211" s="1033"/>
      <c r="E8211" s="130"/>
    </row>
    <row r="8212" spans="1:5" x14ac:dyDescent="0.25">
      <c r="A8212" s="1033"/>
      <c r="E8212" s="130"/>
    </row>
    <row r="8213" spans="1:5" x14ac:dyDescent="0.25">
      <c r="A8213" s="1033"/>
      <c r="E8213" s="130"/>
    </row>
    <row r="8214" spans="1:5" x14ac:dyDescent="0.25">
      <c r="A8214" s="1033"/>
      <c r="E8214" s="130"/>
    </row>
    <row r="8215" spans="1:5" x14ac:dyDescent="0.25">
      <c r="A8215" s="1033"/>
      <c r="E8215" s="130"/>
    </row>
    <row r="8216" spans="1:5" x14ac:dyDescent="0.25">
      <c r="A8216" s="1033"/>
      <c r="E8216" s="130"/>
    </row>
    <row r="8217" spans="1:5" x14ac:dyDescent="0.25">
      <c r="A8217" s="1033"/>
      <c r="E8217" s="130"/>
    </row>
    <row r="8218" spans="1:5" x14ac:dyDescent="0.25">
      <c r="A8218" s="1033"/>
      <c r="E8218" s="130"/>
    </row>
    <row r="8219" spans="1:5" x14ac:dyDescent="0.25">
      <c r="A8219" s="1033"/>
      <c r="E8219" s="130"/>
    </row>
    <row r="8220" spans="1:5" x14ac:dyDescent="0.25">
      <c r="A8220" s="1033"/>
      <c r="E8220" s="130"/>
    </row>
    <row r="8221" spans="1:5" x14ac:dyDescent="0.25">
      <c r="A8221" s="1033"/>
      <c r="E8221" s="130"/>
    </row>
    <row r="8222" spans="1:5" x14ac:dyDescent="0.25">
      <c r="A8222" s="1033"/>
      <c r="E8222" s="130"/>
    </row>
    <row r="8223" spans="1:5" x14ac:dyDescent="0.25">
      <c r="A8223" s="1033"/>
      <c r="E8223" s="130"/>
    </row>
    <row r="8224" spans="1:5" x14ac:dyDescent="0.25">
      <c r="A8224" s="1033"/>
      <c r="E8224" s="130"/>
    </row>
    <row r="8225" spans="1:5" x14ac:dyDescent="0.25">
      <c r="A8225" s="1033"/>
      <c r="E8225" s="130"/>
    </row>
    <row r="8226" spans="1:5" x14ac:dyDescent="0.25">
      <c r="A8226" s="1033"/>
      <c r="E8226" s="130"/>
    </row>
    <row r="8227" spans="1:5" x14ac:dyDescent="0.25">
      <c r="A8227" s="1033"/>
      <c r="E8227" s="130"/>
    </row>
    <row r="8228" spans="1:5" x14ac:dyDescent="0.25">
      <c r="A8228" s="1033"/>
      <c r="E8228" s="130"/>
    </row>
    <row r="8229" spans="1:5" x14ac:dyDescent="0.25">
      <c r="A8229" s="1033"/>
      <c r="E8229" s="130"/>
    </row>
    <row r="8230" spans="1:5" x14ac:dyDescent="0.25">
      <c r="A8230" s="1033"/>
      <c r="E8230" s="130"/>
    </row>
    <row r="8231" spans="1:5" x14ac:dyDescent="0.25">
      <c r="A8231" s="1033"/>
      <c r="E8231" s="130"/>
    </row>
    <row r="8232" spans="1:5" x14ac:dyDescent="0.25">
      <c r="A8232" s="1033"/>
      <c r="E8232" s="130"/>
    </row>
    <row r="8233" spans="1:5" x14ac:dyDescent="0.25">
      <c r="A8233" s="1033"/>
      <c r="E8233" s="130"/>
    </row>
    <row r="8234" spans="1:5" x14ac:dyDescent="0.25">
      <c r="A8234" s="1033"/>
      <c r="E8234" s="130"/>
    </row>
    <row r="8235" spans="1:5" x14ac:dyDescent="0.25">
      <c r="A8235" s="1033"/>
      <c r="E8235" s="130"/>
    </row>
    <row r="8236" spans="1:5" x14ac:dyDescent="0.25">
      <c r="A8236" s="1033"/>
      <c r="E8236" s="130"/>
    </row>
    <row r="8237" spans="1:5" x14ac:dyDescent="0.25">
      <c r="A8237" s="1033"/>
      <c r="E8237" s="130"/>
    </row>
    <row r="8238" spans="1:5" x14ac:dyDescent="0.25">
      <c r="A8238" s="1033"/>
      <c r="E8238" s="130"/>
    </row>
    <row r="8239" spans="1:5" x14ac:dyDescent="0.25">
      <c r="A8239" s="1033"/>
      <c r="E8239" s="130"/>
    </row>
    <row r="8240" spans="1:5" x14ac:dyDescent="0.25">
      <c r="A8240" s="1033"/>
      <c r="E8240" s="130"/>
    </row>
    <row r="8241" spans="1:5" x14ac:dyDescent="0.25">
      <c r="A8241" s="1033"/>
      <c r="E8241" s="130"/>
    </row>
    <row r="8242" spans="1:5" x14ac:dyDescent="0.25">
      <c r="A8242" s="1033"/>
      <c r="E8242" s="130"/>
    </row>
    <row r="8243" spans="1:5" x14ac:dyDescent="0.25">
      <c r="A8243" s="1033"/>
      <c r="E8243" s="130"/>
    </row>
    <row r="8244" spans="1:5" x14ac:dyDescent="0.25">
      <c r="A8244" s="1033"/>
      <c r="E8244" s="130"/>
    </row>
    <row r="8245" spans="1:5" x14ac:dyDescent="0.25">
      <c r="A8245" s="1033"/>
      <c r="E8245" s="130"/>
    </row>
    <row r="8246" spans="1:5" x14ac:dyDescent="0.25">
      <c r="A8246" s="1033"/>
      <c r="E8246" s="130"/>
    </row>
    <row r="8247" spans="1:5" x14ac:dyDescent="0.25">
      <c r="A8247" s="1033"/>
      <c r="E8247" s="130"/>
    </row>
    <row r="8248" spans="1:5" x14ac:dyDescent="0.25">
      <c r="A8248" s="1033"/>
      <c r="E8248" s="130"/>
    </row>
    <row r="8249" spans="1:5" x14ac:dyDescent="0.25">
      <c r="A8249" s="1033"/>
      <c r="E8249" s="130"/>
    </row>
    <row r="8250" spans="1:5" x14ac:dyDescent="0.25">
      <c r="A8250" s="1033"/>
      <c r="E8250" s="130"/>
    </row>
    <row r="8251" spans="1:5" x14ac:dyDescent="0.25">
      <c r="A8251" s="1033"/>
      <c r="E8251" s="130"/>
    </row>
    <row r="8252" spans="1:5" x14ac:dyDescent="0.25">
      <c r="A8252" s="1033"/>
      <c r="E8252" s="130"/>
    </row>
    <row r="8253" spans="1:5" x14ac:dyDescent="0.25">
      <c r="A8253" s="1033"/>
      <c r="E8253" s="130"/>
    </row>
    <row r="8254" spans="1:5" x14ac:dyDescent="0.25">
      <c r="A8254" s="1033"/>
      <c r="E8254" s="130"/>
    </row>
    <row r="8255" spans="1:5" x14ac:dyDescent="0.25">
      <c r="A8255" s="1033"/>
      <c r="E8255" s="130"/>
    </row>
    <row r="8256" spans="1:5" x14ac:dyDescent="0.25">
      <c r="A8256" s="1033"/>
      <c r="E8256" s="130"/>
    </row>
    <row r="8257" spans="1:5" x14ac:dyDescent="0.25">
      <c r="A8257" s="1033"/>
      <c r="E8257" s="130"/>
    </row>
    <row r="8258" spans="1:5" x14ac:dyDescent="0.25">
      <c r="A8258" s="1033"/>
      <c r="E8258" s="130"/>
    </row>
    <row r="8259" spans="1:5" x14ac:dyDescent="0.25">
      <c r="A8259" s="1033"/>
      <c r="E8259" s="130"/>
    </row>
    <row r="8260" spans="1:5" x14ac:dyDescent="0.25">
      <c r="A8260" s="1033"/>
      <c r="E8260" s="130"/>
    </row>
    <row r="8261" spans="1:5" x14ac:dyDescent="0.25">
      <c r="A8261" s="1033"/>
      <c r="E8261" s="130"/>
    </row>
    <row r="8262" spans="1:5" x14ac:dyDescent="0.25">
      <c r="A8262" s="1033"/>
      <c r="E8262" s="130"/>
    </row>
    <row r="8263" spans="1:5" x14ac:dyDescent="0.25">
      <c r="A8263" s="1033"/>
      <c r="E8263" s="130"/>
    </row>
    <row r="8264" spans="1:5" x14ac:dyDescent="0.25">
      <c r="A8264" s="1033"/>
      <c r="E8264" s="130"/>
    </row>
    <row r="8265" spans="1:5" x14ac:dyDescent="0.25">
      <c r="A8265" s="1033"/>
      <c r="E8265" s="130"/>
    </row>
    <row r="8266" spans="1:5" x14ac:dyDescent="0.25">
      <c r="A8266" s="1033"/>
      <c r="E8266" s="130"/>
    </row>
    <row r="8267" spans="1:5" x14ac:dyDescent="0.25">
      <c r="A8267" s="1033"/>
      <c r="E8267" s="130"/>
    </row>
    <row r="8268" spans="1:5" x14ac:dyDescent="0.25">
      <c r="A8268" s="1033"/>
      <c r="E8268" s="130"/>
    </row>
    <row r="8269" spans="1:5" x14ac:dyDescent="0.25">
      <c r="A8269" s="1033"/>
      <c r="E8269" s="130"/>
    </row>
    <row r="8270" spans="1:5" x14ac:dyDescent="0.25">
      <c r="A8270" s="1033"/>
      <c r="E8270" s="130"/>
    </row>
    <row r="8271" spans="1:5" x14ac:dyDescent="0.25">
      <c r="A8271" s="1033"/>
      <c r="E8271" s="130"/>
    </row>
    <row r="8272" spans="1:5" x14ac:dyDescent="0.25">
      <c r="A8272" s="1033"/>
      <c r="E8272" s="130"/>
    </row>
    <row r="8273" spans="1:5" x14ac:dyDescent="0.25">
      <c r="A8273" s="1033"/>
      <c r="E8273" s="130"/>
    </row>
    <row r="8274" spans="1:5" x14ac:dyDescent="0.25">
      <c r="A8274" s="1033"/>
      <c r="E8274" s="130"/>
    </row>
    <row r="8275" spans="1:5" x14ac:dyDescent="0.25">
      <c r="A8275" s="1033"/>
      <c r="E8275" s="130"/>
    </row>
    <row r="8276" spans="1:5" x14ac:dyDescent="0.25">
      <c r="A8276" s="1033"/>
      <c r="E8276" s="130"/>
    </row>
    <row r="8277" spans="1:5" x14ac:dyDescent="0.25">
      <c r="A8277" s="1033"/>
      <c r="E8277" s="130"/>
    </row>
    <row r="8278" spans="1:5" x14ac:dyDescent="0.25">
      <c r="A8278" s="1033"/>
      <c r="E8278" s="130"/>
    </row>
    <row r="8279" spans="1:5" x14ac:dyDescent="0.25">
      <c r="A8279" s="1033"/>
      <c r="E8279" s="130"/>
    </row>
    <row r="8280" spans="1:5" x14ac:dyDescent="0.25">
      <c r="A8280" s="1033"/>
      <c r="E8280" s="130"/>
    </row>
    <row r="8281" spans="1:5" x14ac:dyDescent="0.25">
      <c r="A8281" s="1033"/>
      <c r="E8281" s="130"/>
    </row>
    <row r="8282" spans="1:5" x14ac:dyDescent="0.25">
      <c r="A8282" s="1033"/>
      <c r="E8282" s="130"/>
    </row>
    <row r="8283" spans="1:5" x14ac:dyDescent="0.25">
      <c r="A8283" s="1033"/>
      <c r="E8283" s="130"/>
    </row>
    <row r="8284" spans="1:5" x14ac:dyDescent="0.25">
      <c r="A8284" s="1033"/>
      <c r="E8284" s="130"/>
    </row>
    <row r="8285" spans="1:5" x14ac:dyDescent="0.25">
      <c r="A8285" s="1033"/>
      <c r="E8285" s="130"/>
    </row>
    <row r="8286" spans="1:5" x14ac:dyDescent="0.25">
      <c r="A8286" s="1033"/>
      <c r="E8286" s="130"/>
    </row>
    <row r="8287" spans="1:5" x14ac:dyDescent="0.25">
      <c r="A8287" s="1033"/>
      <c r="E8287" s="130"/>
    </row>
    <row r="8288" spans="1:5" x14ac:dyDescent="0.25">
      <c r="A8288" s="1033"/>
      <c r="E8288" s="130"/>
    </row>
    <row r="8289" spans="1:5" x14ac:dyDescent="0.25">
      <c r="A8289" s="1033"/>
      <c r="E8289" s="130"/>
    </row>
    <row r="8290" spans="1:5" x14ac:dyDescent="0.25">
      <c r="A8290" s="1033"/>
      <c r="E8290" s="130"/>
    </row>
    <row r="8291" spans="1:5" x14ac:dyDescent="0.25">
      <c r="A8291" s="1033"/>
      <c r="E8291" s="130"/>
    </row>
    <row r="8292" spans="1:5" x14ac:dyDescent="0.25">
      <c r="A8292" s="1033"/>
      <c r="E8292" s="130"/>
    </row>
    <row r="8293" spans="1:5" x14ac:dyDescent="0.25">
      <c r="A8293" s="1033"/>
      <c r="E8293" s="130"/>
    </row>
    <row r="8294" spans="1:5" x14ac:dyDescent="0.25">
      <c r="A8294" s="1033"/>
      <c r="E8294" s="130"/>
    </row>
    <row r="8295" spans="1:5" x14ac:dyDescent="0.25">
      <c r="A8295" s="1033"/>
      <c r="E8295" s="130"/>
    </row>
    <row r="8296" spans="1:5" x14ac:dyDescent="0.25">
      <c r="A8296" s="1033"/>
      <c r="E8296" s="130"/>
    </row>
    <row r="8297" spans="1:5" x14ac:dyDescent="0.25">
      <c r="A8297" s="1033"/>
      <c r="E8297" s="130"/>
    </row>
    <row r="8298" spans="1:5" x14ac:dyDescent="0.25">
      <c r="A8298" s="1033"/>
      <c r="E8298" s="130"/>
    </row>
    <row r="8299" spans="1:5" x14ac:dyDescent="0.25">
      <c r="A8299" s="1033"/>
      <c r="E8299" s="130"/>
    </row>
    <row r="8300" spans="1:5" x14ac:dyDescent="0.25">
      <c r="A8300" s="1033"/>
      <c r="E8300" s="130"/>
    </row>
    <row r="8301" spans="1:5" x14ac:dyDescent="0.25">
      <c r="A8301" s="1033"/>
      <c r="E8301" s="130"/>
    </row>
    <row r="8302" spans="1:5" x14ac:dyDescent="0.25">
      <c r="A8302" s="1033"/>
      <c r="E8302" s="130"/>
    </row>
    <row r="8303" spans="1:5" x14ac:dyDescent="0.25">
      <c r="A8303" s="1033"/>
      <c r="E8303" s="130"/>
    </row>
    <row r="8304" spans="1:5" x14ac:dyDescent="0.25">
      <c r="A8304" s="1033"/>
      <c r="E8304" s="130"/>
    </row>
    <row r="8305" spans="1:5" x14ac:dyDescent="0.25">
      <c r="A8305" s="1033"/>
      <c r="E8305" s="130"/>
    </row>
    <row r="8306" spans="1:5" x14ac:dyDescent="0.25">
      <c r="A8306" s="1033"/>
      <c r="E8306" s="130"/>
    </row>
    <row r="8307" spans="1:5" x14ac:dyDescent="0.25">
      <c r="A8307" s="1033"/>
      <c r="E8307" s="130"/>
    </row>
    <row r="8308" spans="1:5" x14ac:dyDescent="0.25">
      <c r="A8308" s="1033"/>
      <c r="E8308" s="130"/>
    </row>
    <row r="8309" spans="1:5" x14ac:dyDescent="0.25">
      <c r="A8309" s="1033"/>
      <c r="E8309" s="130"/>
    </row>
    <row r="8310" spans="1:5" x14ac:dyDescent="0.25">
      <c r="A8310" s="1033"/>
      <c r="E8310" s="130"/>
    </row>
    <row r="8311" spans="1:5" x14ac:dyDescent="0.25">
      <c r="A8311" s="1033"/>
      <c r="E8311" s="130"/>
    </row>
    <row r="8312" spans="1:5" x14ac:dyDescent="0.25">
      <c r="A8312" s="1033"/>
      <c r="E8312" s="130"/>
    </row>
    <row r="8313" spans="1:5" x14ac:dyDescent="0.25">
      <c r="A8313" s="1033"/>
      <c r="E8313" s="130"/>
    </row>
    <row r="8314" spans="1:5" x14ac:dyDescent="0.25">
      <c r="A8314" s="1033"/>
      <c r="E8314" s="130"/>
    </row>
    <row r="8315" spans="1:5" x14ac:dyDescent="0.25">
      <c r="A8315" s="1033"/>
      <c r="E8315" s="130"/>
    </row>
    <row r="8316" spans="1:5" x14ac:dyDescent="0.25">
      <c r="A8316" s="1033"/>
      <c r="E8316" s="130"/>
    </row>
    <row r="8317" spans="1:5" x14ac:dyDescent="0.25">
      <c r="A8317" s="1033"/>
      <c r="E8317" s="130"/>
    </row>
    <row r="8318" spans="1:5" x14ac:dyDescent="0.25">
      <c r="A8318" s="1033"/>
      <c r="E8318" s="130"/>
    </row>
    <row r="8319" spans="1:5" x14ac:dyDescent="0.25">
      <c r="A8319" s="1033"/>
      <c r="E8319" s="130"/>
    </row>
    <row r="8320" spans="1:5" x14ac:dyDescent="0.25">
      <c r="A8320" s="1033"/>
      <c r="E8320" s="130"/>
    </row>
    <row r="8321" spans="1:5" x14ac:dyDescent="0.25">
      <c r="A8321" s="1033"/>
      <c r="E8321" s="130"/>
    </row>
    <row r="8322" spans="1:5" x14ac:dyDescent="0.25">
      <c r="A8322" s="1033"/>
      <c r="E8322" s="130"/>
    </row>
    <row r="8323" spans="1:5" x14ac:dyDescent="0.25">
      <c r="A8323" s="1033"/>
      <c r="E8323" s="130"/>
    </row>
    <row r="8324" spans="1:5" x14ac:dyDescent="0.25">
      <c r="A8324" s="1033"/>
      <c r="E8324" s="130"/>
    </row>
    <row r="8325" spans="1:5" x14ac:dyDescent="0.25">
      <c r="A8325" s="1033"/>
      <c r="E8325" s="130"/>
    </row>
    <row r="8326" spans="1:5" x14ac:dyDescent="0.25">
      <c r="A8326" s="1033"/>
      <c r="E8326" s="130"/>
    </row>
    <row r="8327" spans="1:5" x14ac:dyDescent="0.25">
      <c r="A8327" s="1033"/>
      <c r="E8327" s="130"/>
    </row>
    <row r="8328" spans="1:5" x14ac:dyDescent="0.25">
      <c r="A8328" s="1033"/>
      <c r="E8328" s="130"/>
    </row>
    <row r="8329" spans="1:5" x14ac:dyDescent="0.25">
      <c r="A8329" s="1033"/>
      <c r="E8329" s="130"/>
    </row>
    <row r="8330" spans="1:5" x14ac:dyDescent="0.25">
      <c r="A8330" s="1033"/>
      <c r="E8330" s="130"/>
    </row>
    <row r="8331" spans="1:5" x14ac:dyDescent="0.25">
      <c r="A8331" s="1033"/>
      <c r="E8331" s="130"/>
    </row>
    <row r="8332" spans="1:5" x14ac:dyDescent="0.25">
      <c r="A8332" s="1033"/>
      <c r="E8332" s="130"/>
    </row>
    <row r="8333" spans="1:5" x14ac:dyDescent="0.25">
      <c r="A8333" s="1033"/>
      <c r="E8333" s="130"/>
    </row>
    <row r="8334" spans="1:5" x14ac:dyDescent="0.25">
      <c r="A8334" s="1033"/>
      <c r="E8334" s="130"/>
    </row>
    <row r="8335" spans="1:5" x14ac:dyDescent="0.25">
      <c r="A8335" s="1033"/>
      <c r="E8335" s="130"/>
    </row>
    <row r="8336" spans="1:5" x14ac:dyDescent="0.25">
      <c r="A8336" s="1033"/>
      <c r="E8336" s="130"/>
    </row>
    <row r="8337" spans="1:5" x14ac:dyDescent="0.25">
      <c r="A8337" s="1033"/>
      <c r="E8337" s="130"/>
    </row>
    <row r="8338" spans="1:5" x14ac:dyDescent="0.25">
      <c r="A8338" s="1033"/>
      <c r="E8338" s="130"/>
    </row>
    <row r="8339" spans="1:5" x14ac:dyDescent="0.25">
      <c r="A8339" s="1033"/>
      <c r="E8339" s="130"/>
    </row>
    <row r="8340" spans="1:5" x14ac:dyDescent="0.25">
      <c r="A8340" s="1033"/>
      <c r="E8340" s="130"/>
    </row>
    <row r="8341" spans="1:5" x14ac:dyDescent="0.25">
      <c r="A8341" s="1033"/>
      <c r="E8341" s="130"/>
    </row>
    <row r="8342" spans="1:5" x14ac:dyDescent="0.25">
      <c r="A8342" s="1033"/>
      <c r="E8342" s="130"/>
    </row>
    <row r="8343" spans="1:5" x14ac:dyDescent="0.25">
      <c r="A8343" s="1033"/>
      <c r="E8343" s="130"/>
    </row>
    <row r="8344" spans="1:5" x14ac:dyDescent="0.25">
      <c r="A8344" s="1033"/>
      <c r="E8344" s="130"/>
    </row>
    <row r="8345" spans="1:5" x14ac:dyDescent="0.25">
      <c r="A8345" s="1033"/>
      <c r="E8345" s="130"/>
    </row>
    <row r="8346" spans="1:5" x14ac:dyDescent="0.25">
      <c r="A8346" s="1033"/>
      <c r="E8346" s="130"/>
    </row>
    <row r="8347" spans="1:5" x14ac:dyDescent="0.25">
      <c r="A8347" s="1033"/>
      <c r="E8347" s="130"/>
    </row>
    <row r="8348" spans="1:5" x14ac:dyDescent="0.25">
      <c r="A8348" s="1033"/>
      <c r="E8348" s="130"/>
    </row>
    <row r="8349" spans="1:5" x14ac:dyDescent="0.25">
      <c r="A8349" s="1033"/>
      <c r="E8349" s="130"/>
    </row>
    <row r="8350" spans="1:5" x14ac:dyDescent="0.25">
      <c r="A8350" s="1033"/>
      <c r="E8350" s="130"/>
    </row>
    <row r="8351" spans="1:5" x14ac:dyDescent="0.25">
      <c r="A8351" s="1033"/>
      <c r="E8351" s="130"/>
    </row>
    <row r="8352" spans="1:5" x14ac:dyDescent="0.25">
      <c r="A8352" s="1033"/>
      <c r="E8352" s="130"/>
    </row>
    <row r="8353" spans="1:5" x14ac:dyDescent="0.25">
      <c r="A8353" s="1033"/>
      <c r="E8353" s="130"/>
    </row>
    <row r="8354" spans="1:5" x14ac:dyDescent="0.25">
      <c r="A8354" s="1033"/>
      <c r="E8354" s="130"/>
    </row>
    <row r="8355" spans="1:5" x14ac:dyDescent="0.25">
      <c r="A8355" s="1033"/>
      <c r="E8355" s="130"/>
    </row>
    <row r="8356" spans="1:5" x14ac:dyDescent="0.25">
      <c r="A8356" s="1033"/>
      <c r="E8356" s="130"/>
    </row>
    <row r="8357" spans="1:5" x14ac:dyDescent="0.25">
      <c r="A8357" s="1033"/>
      <c r="E8357" s="130"/>
    </row>
    <row r="8358" spans="1:5" x14ac:dyDescent="0.25">
      <c r="A8358" s="1033"/>
      <c r="E8358" s="130"/>
    </row>
    <row r="8359" spans="1:5" x14ac:dyDescent="0.25">
      <c r="A8359" s="1033"/>
      <c r="E8359" s="130"/>
    </row>
    <row r="8360" spans="1:5" x14ac:dyDescent="0.25">
      <c r="A8360" s="1033"/>
      <c r="E8360" s="130"/>
    </row>
    <row r="8361" spans="1:5" x14ac:dyDescent="0.25">
      <c r="A8361" s="1033"/>
      <c r="E8361" s="130"/>
    </row>
    <row r="8362" spans="1:5" x14ac:dyDescent="0.25">
      <c r="A8362" s="1033"/>
      <c r="E8362" s="130"/>
    </row>
    <row r="8363" spans="1:5" x14ac:dyDescent="0.25">
      <c r="A8363" s="1033"/>
      <c r="E8363" s="130"/>
    </row>
    <row r="8364" spans="1:5" x14ac:dyDescent="0.25">
      <c r="A8364" s="1033"/>
      <c r="E8364" s="130"/>
    </row>
    <row r="8365" spans="1:5" x14ac:dyDescent="0.25">
      <c r="A8365" s="1033"/>
      <c r="E8365" s="130"/>
    </row>
    <row r="8366" spans="1:5" x14ac:dyDescent="0.25">
      <c r="A8366" s="1033"/>
      <c r="E8366" s="130"/>
    </row>
    <row r="8367" spans="1:5" x14ac:dyDescent="0.25">
      <c r="A8367" s="1033"/>
      <c r="E8367" s="130"/>
    </row>
    <row r="8368" spans="1:5" x14ac:dyDescent="0.25">
      <c r="A8368" s="1033"/>
      <c r="E8368" s="130"/>
    </row>
    <row r="8369" spans="1:5" x14ac:dyDescent="0.25">
      <c r="A8369" s="1033"/>
      <c r="E8369" s="130"/>
    </row>
    <row r="8370" spans="1:5" x14ac:dyDescent="0.25">
      <c r="A8370" s="1033"/>
      <c r="E8370" s="130"/>
    </row>
    <row r="8371" spans="1:5" x14ac:dyDescent="0.25">
      <c r="A8371" s="1033"/>
      <c r="E8371" s="130"/>
    </row>
    <row r="8372" spans="1:5" x14ac:dyDescent="0.25">
      <c r="A8372" s="1033"/>
      <c r="E8372" s="130"/>
    </row>
    <row r="8373" spans="1:5" x14ac:dyDescent="0.25">
      <c r="A8373" s="1033"/>
      <c r="E8373" s="130"/>
    </row>
    <row r="8374" spans="1:5" x14ac:dyDescent="0.25">
      <c r="A8374" s="1033"/>
      <c r="E8374" s="130"/>
    </row>
    <row r="8375" spans="1:5" x14ac:dyDescent="0.25">
      <c r="A8375" s="1033"/>
      <c r="E8375" s="130"/>
    </row>
    <row r="8376" spans="1:5" x14ac:dyDescent="0.25">
      <c r="A8376" s="1033"/>
      <c r="E8376" s="130"/>
    </row>
    <row r="8377" spans="1:5" x14ac:dyDescent="0.25">
      <c r="A8377" s="1033"/>
      <c r="E8377" s="130"/>
    </row>
    <row r="8378" spans="1:5" x14ac:dyDescent="0.25">
      <c r="A8378" s="1033"/>
      <c r="E8378" s="130"/>
    </row>
    <row r="8379" spans="1:5" x14ac:dyDescent="0.25">
      <c r="A8379" s="1033"/>
      <c r="E8379" s="130"/>
    </row>
    <row r="8380" spans="1:5" x14ac:dyDescent="0.25">
      <c r="A8380" s="1033"/>
      <c r="E8380" s="130"/>
    </row>
    <row r="8381" spans="1:5" x14ac:dyDescent="0.25">
      <c r="A8381" s="1033"/>
      <c r="E8381" s="130"/>
    </row>
    <row r="8382" spans="1:5" x14ac:dyDescent="0.25">
      <c r="A8382" s="1033"/>
      <c r="E8382" s="130"/>
    </row>
    <row r="8383" spans="1:5" x14ac:dyDescent="0.25">
      <c r="A8383" s="1033"/>
      <c r="E8383" s="130"/>
    </row>
    <row r="8384" spans="1:5" x14ac:dyDescent="0.25">
      <c r="A8384" s="1033"/>
      <c r="E8384" s="130"/>
    </row>
    <row r="8385" spans="1:5" x14ac:dyDescent="0.25">
      <c r="A8385" s="1033"/>
      <c r="E8385" s="130"/>
    </row>
    <row r="8386" spans="1:5" x14ac:dyDescent="0.25">
      <c r="A8386" s="1033"/>
      <c r="E8386" s="130"/>
    </row>
    <row r="8387" spans="1:5" x14ac:dyDescent="0.25">
      <c r="A8387" s="1033"/>
      <c r="E8387" s="130"/>
    </row>
    <row r="8388" spans="1:5" x14ac:dyDescent="0.25">
      <c r="A8388" s="1033"/>
      <c r="E8388" s="130"/>
    </row>
    <row r="8389" spans="1:5" x14ac:dyDescent="0.25">
      <c r="A8389" s="1033"/>
      <c r="E8389" s="130"/>
    </row>
    <row r="8390" spans="1:5" x14ac:dyDescent="0.25">
      <c r="A8390" s="1033"/>
      <c r="E8390" s="130"/>
    </row>
    <row r="8391" spans="1:5" x14ac:dyDescent="0.25">
      <c r="A8391" s="1033"/>
      <c r="E8391" s="130"/>
    </row>
    <row r="8392" spans="1:5" x14ac:dyDescent="0.25">
      <c r="A8392" s="1033"/>
      <c r="E8392" s="130"/>
    </row>
    <row r="8393" spans="1:5" x14ac:dyDescent="0.25">
      <c r="A8393" s="1033"/>
      <c r="E8393" s="130"/>
    </row>
    <row r="8394" spans="1:5" x14ac:dyDescent="0.25">
      <c r="A8394" s="1033"/>
      <c r="E8394" s="130"/>
    </row>
    <row r="8395" spans="1:5" x14ac:dyDescent="0.25">
      <c r="A8395" s="1033"/>
      <c r="E8395" s="130"/>
    </row>
    <row r="8396" spans="1:5" x14ac:dyDescent="0.25">
      <c r="A8396" s="1033"/>
      <c r="E8396" s="130"/>
    </row>
    <row r="8397" spans="1:5" x14ac:dyDescent="0.25">
      <c r="A8397" s="1033"/>
      <c r="E8397" s="130"/>
    </row>
    <row r="8398" spans="1:5" x14ac:dyDescent="0.25">
      <c r="A8398" s="1033"/>
      <c r="E8398" s="130"/>
    </row>
    <row r="8399" spans="1:5" x14ac:dyDescent="0.25">
      <c r="A8399" s="1033"/>
      <c r="E8399" s="130"/>
    </row>
    <row r="8400" spans="1:5" x14ac:dyDescent="0.25">
      <c r="A8400" s="1033"/>
      <c r="E8400" s="130"/>
    </row>
    <row r="8401" spans="1:5" x14ac:dyDescent="0.25">
      <c r="A8401" s="1033"/>
      <c r="E8401" s="130"/>
    </row>
    <row r="8402" spans="1:5" x14ac:dyDescent="0.25">
      <c r="A8402" s="1033"/>
      <c r="E8402" s="130"/>
    </row>
    <row r="8403" spans="1:5" x14ac:dyDescent="0.25">
      <c r="A8403" s="1033"/>
      <c r="E8403" s="130"/>
    </row>
    <row r="8404" spans="1:5" x14ac:dyDescent="0.25">
      <c r="A8404" s="1033"/>
      <c r="E8404" s="130"/>
    </row>
    <row r="8405" spans="1:5" x14ac:dyDescent="0.25">
      <c r="A8405" s="1033"/>
      <c r="E8405" s="130"/>
    </row>
    <row r="8406" spans="1:5" x14ac:dyDescent="0.25">
      <c r="A8406" s="1033"/>
      <c r="E8406" s="130"/>
    </row>
    <row r="8407" spans="1:5" x14ac:dyDescent="0.25">
      <c r="A8407" s="1033"/>
      <c r="E8407" s="130"/>
    </row>
    <row r="8408" spans="1:5" x14ac:dyDescent="0.25">
      <c r="A8408" s="1033"/>
      <c r="E8408" s="130"/>
    </row>
    <row r="8409" spans="1:5" x14ac:dyDescent="0.25">
      <c r="A8409" s="1033"/>
      <c r="E8409" s="130"/>
    </row>
    <row r="8410" spans="1:5" x14ac:dyDescent="0.25">
      <c r="A8410" s="1033"/>
      <c r="E8410" s="130"/>
    </row>
    <row r="8411" spans="1:5" x14ac:dyDescent="0.25">
      <c r="A8411" s="1033"/>
      <c r="E8411" s="130"/>
    </row>
    <row r="8412" spans="1:5" x14ac:dyDescent="0.25">
      <c r="A8412" s="1033"/>
      <c r="E8412" s="130"/>
    </row>
    <row r="8413" spans="1:5" x14ac:dyDescent="0.25">
      <c r="A8413" s="1033"/>
      <c r="E8413" s="130"/>
    </row>
    <row r="8414" spans="1:5" x14ac:dyDescent="0.25">
      <c r="A8414" s="1033"/>
      <c r="E8414" s="130"/>
    </row>
    <row r="8415" spans="1:5" x14ac:dyDescent="0.25">
      <c r="A8415" s="1033"/>
      <c r="E8415" s="130"/>
    </row>
    <row r="8416" spans="1:5" x14ac:dyDescent="0.25">
      <c r="A8416" s="1033"/>
      <c r="E8416" s="130"/>
    </row>
    <row r="8417" spans="1:5" x14ac:dyDescent="0.25">
      <c r="A8417" s="1033"/>
      <c r="E8417" s="130"/>
    </row>
    <row r="8418" spans="1:5" x14ac:dyDescent="0.25">
      <c r="A8418" s="1033"/>
      <c r="E8418" s="130"/>
    </row>
    <row r="8419" spans="1:5" x14ac:dyDescent="0.25">
      <c r="A8419" s="1033"/>
      <c r="E8419" s="130"/>
    </row>
    <row r="8420" spans="1:5" x14ac:dyDescent="0.25">
      <c r="A8420" s="1033"/>
      <c r="E8420" s="130"/>
    </row>
    <row r="8421" spans="1:5" x14ac:dyDescent="0.25">
      <c r="A8421" s="1033"/>
      <c r="E8421" s="130"/>
    </row>
    <row r="8422" spans="1:5" x14ac:dyDescent="0.25">
      <c r="A8422" s="1033"/>
      <c r="E8422" s="130"/>
    </row>
    <row r="8423" spans="1:5" x14ac:dyDescent="0.25">
      <c r="A8423" s="1033"/>
      <c r="E8423" s="130"/>
    </row>
    <row r="8424" spans="1:5" x14ac:dyDescent="0.25">
      <c r="A8424" s="1033"/>
      <c r="E8424" s="130"/>
    </row>
    <row r="8425" spans="1:5" x14ac:dyDescent="0.25">
      <c r="A8425" s="1033"/>
      <c r="E8425" s="130"/>
    </row>
    <row r="8426" spans="1:5" x14ac:dyDescent="0.25">
      <c r="A8426" s="1033"/>
      <c r="E8426" s="130"/>
    </row>
    <row r="8427" spans="1:5" x14ac:dyDescent="0.25">
      <c r="A8427" s="1033"/>
      <c r="E8427" s="130"/>
    </row>
    <row r="8428" spans="1:5" x14ac:dyDescent="0.25">
      <c r="A8428" s="1033"/>
      <c r="E8428" s="130"/>
    </row>
    <row r="8429" spans="1:5" x14ac:dyDescent="0.25">
      <c r="A8429" s="1033"/>
      <c r="E8429" s="130"/>
    </row>
    <row r="8430" spans="1:5" x14ac:dyDescent="0.25">
      <c r="A8430" s="1033"/>
      <c r="E8430" s="130"/>
    </row>
    <row r="8431" spans="1:5" x14ac:dyDescent="0.25">
      <c r="A8431" s="1033"/>
      <c r="E8431" s="130"/>
    </row>
    <row r="8432" spans="1:5" x14ac:dyDescent="0.25">
      <c r="A8432" s="1033"/>
      <c r="E8432" s="130"/>
    </row>
    <row r="8433" spans="1:5" x14ac:dyDescent="0.25">
      <c r="A8433" s="1033"/>
      <c r="E8433" s="130"/>
    </row>
    <row r="8434" spans="1:5" x14ac:dyDescent="0.25">
      <c r="A8434" s="1033"/>
      <c r="E8434" s="130"/>
    </row>
    <row r="8435" spans="1:5" x14ac:dyDescent="0.25">
      <c r="A8435" s="1033"/>
      <c r="E8435" s="130"/>
    </row>
    <row r="8436" spans="1:5" x14ac:dyDescent="0.25">
      <c r="A8436" s="1033"/>
      <c r="E8436" s="130"/>
    </row>
    <row r="8437" spans="1:5" x14ac:dyDescent="0.25">
      <c r="A8437" s="1033"/>
      <c r="E8437" s="130"/>
    </row>
    <row r="8438" spans="1:5" x14ac:dyDescent="0.25">
      <c r="A8438" s="1033"/>
      <c r="E8438" s="130"/>
    </row>
    <row r="8439" spans="1:5" x14ac:dyDescent="0.25">
      <c r="A8439" s="1033"/>
      <c r="E8439" s="130"/>
    </row>
    <row r="8440" spans="1:5" x14ac:dyDescent="0.25">
      <c r="A8440" s="1033"/>
      <c r="E8440" s="130"/>
    </row>
    <row r="8441" spans="1:5" x14ac:dyDescent="0.25">
      <c r="A8441" s="1033"/>
      <c r="E8441" s="130"/>
    </row>
    <row r="8442" spans="1:5" x14ac:dyDescent="0.25">
      <c r="A8442" s="1033"/>
      <c r="E8442" s="130"/>
    </row>
    <row r="8443" spans="1:5" x14ac:dyDescent="0.25">
      <c r="A8443" s="1033"/>
      <c r="E8443" s="130"/>
    </row>
    <row r="8444" spans="1:5" x14ac:dyDescent="0.25">
      <c r="A8444" s="1033"/>
      <c r="E8444" s="130"/>
    </row>
    <row r="8445" spans="1:5" x14ac:dyDescent="0.25">
      <c r="A8445" s="1033"/>
      <c r="E8445" s="130"/>
    </row>
    <row r="8446" spans="1:5" x14ac:dyDescent="0.25">
      <c r="A8446" s="1033"/>
      <c r="E8446" s="130"/>
    </row>
    <row r="8447" spans="1:5" x14ac:dyDescent="0.25">
      <c r="A8447" s="1033"/>
      <c r="E8447" s="130"/>
    </row>
    <row r="8448" spans="1:5" x14ac:dyDescent="0.25">
      <c r="A8448" s="1033"/>
      <c r="E8448" s="130"/>
    </row>
    <row r="8449" spans="1:5" x14ac:dyDescent="0.25">
      <c r="A8449" s="1033"/>
      <c r="E8449" s="130"/>
    </row>
    <row r="8450" spans="1:5" x14ac:dyDescent="0.25">
      <c r="A8450" s="1033"/>
      <c r="E8450" s="130"/>
    </row>
    <row r="8451" spans="1:5" x14ac:dyDescent="0.25">
      <c r="A8451" s="1033"/>
      <c r="E8451" s="130"/>
    </row>
    <row r="8452" spans="1:5" x14ac:dyDescent="0.25">
      <c r="A8452" s="1033"/>
      <c r="E8452" s="130"/>
    </row>
    <row r="8453" spans="1:5" x14ac:dyDescent="0.25">
      <c r="A8453" s="1033"/>
      <c r="E8453" s="130"/>
    </row>
    <row r="8454" spans="1:5" x14ac:dyDescent="0.25">
      <c r="A8454" s="1033"/>
      <c r="E8454" s="130"/>
    </row>
    <row r="8455" spans="1:5" x14ac:dyDescent="0.25">
      <c r="A8455" s="1033"/>
      <c r="E8455" s="130"/>
    </row>
    <row r="8456" spans="1:5" x14ac:dyDescent="0.25">
      <c r="A8456" s="1033"/>
      <c r="E8456" s="130"/>
    </row>
    <row r="8457" spans="1:5" x14ac:dyDescent="0.25">
      <c r="A8457" s="1033"/>
      <c r="E8457" s="130"/>
    </row>
    <row r="8458" spans="1:5" x14ac:dyDescent="0.25">
      <c r="A8458" s="1033"/>
      <c r="E8458" s="130"/>
    </row>
    <row r="8459" spans="1:5" x14ac:dyDescent="0.25">
      <c r="A8459" s="1033"/>
      <c r="E8459" s="130"/>
    </row>
    <row r="8460" spans="1:5" x14ac:dyDescent="0.25">
      <c r="A8460" s="1033"/>
      <c r="E8460" s="130"/>
    </row>
    <row r="8461" spans="1:5" x14ac:dyDescent="0.25">
      <c r="A8461" s="1033"/>
      <c r="E8461" s="130"/>
    </row>
    <row r="8462" spans="1:5" x14ac:dyDescent="0.25">
      <c r="A8462" s="1033"/>
      <c r="E8462" s="130"/>
    </row>
    <row r="8463" spans="1:5" x14ac:dyDescent="0.25">
      <c r="A8463" s="1033"/>
      <c r="E8463" s="130"/>
    </row>
    <row r="8464" spans="1:5" x14ac:dyDescent="0.25">
      <c r="A8464" s="1033"/>
      <c r="E8464" s="130"/>
    </row>
    <row r="8465" spans="1:5" x14ac:dyDescent="0.25">
      <c r="A8465" s="1033"/>
      <c r="E8465" s="130"/>
    </row>
    <row r="8466" spans="1:5" x14ac:dyDescent="0.25">
      <c r="A8466" s="1033"/>
      <c r="E8466" s="130"/>
    </row>
    <row r="8467" spans="1:5" x14ac:dyDescent="0.25">
      <c r="A8467" s="1033"/>
      <c r="E8467" s="130"/>
    </row>
    <row r="8468" spans="1:5" x14ac:dyDescent="0.25">
      <c r="A8468" s="1033"/>
      <c r="E8468" s="130"/>
    </row>
    <row r="8469" spans="1:5" x14ac:dyDescent="0.25">
      <c r="A8469" s="1033"/>
      <c r="E8469" s="130"/>
    </row>
    <row r="8470" spans="1:5" x14ac:dyDescent="0.25">
      <c r="A8470" s="1033"/>
      <c r="E8470" s="130"/>
    </row>
    <row r="8471" spans="1:5" x14ac:dyDescent="0.25">
      <c r="A8471" s="1033"/>
      <c r="E8471" s="130"/>
    </row>
    <row r="8472" spans="1:5" x14ac:dyDescent="0.25">
      <c r="A8472" s="1033"/>
      <c r="E8472" s="130"/>
    </row>
    <row r="8473" spans="1:5" x14ac:dyDescent="0.25">
      <c r="A8473" s="1033"/>
      <c r="E8473" s="130"/>
    </row>
    <row r="8474" spans="1:5" x14ac:dyDescent="0.25">
      <c r="A8474" s="1033"/>
      <c r="E8474" s="130"/>
    </row>
    <row r="8475" spans="1:5" x14ac:dyDescent="0.25">
      <c r="A8475" s="1033"/>
      <c r="E8475" s="130"/>
    </row>
    <row r="8476" spans="1:5" x14ac:dyDescent="0.25">
      <c r="A8476" s="1033"/>
      <c r="E8476" s="130"/>
    </row>
    <row r="8477" spans="1:5" x14ac:dyDescent="0.25">
      <c r="A8477" s="1033"/>
      <c r="E8477" s="130"/>
    </row>
    <row r="8478" spans="1:5" x14ac:dyDescent="0.25">
      <c r="A8478" s="1033"/>
      <c r="E8478" s="130"/>
    </row>
    <row r="8479" spans="1:5" x14ac:dyDescent="0.25">
      <c r="A8479" s="1033"/>
      <c r="E8479" s="130"/>
    </row>
    <row r="8480" spans="1:5" x14ac:dyDescent="0.25">
      <c r="A8480" s="1033"/>
      <c r="E8480" s="130"/>
    </row>
    <row r="8481" spans="1:5" x14ac:dyDescent="0.25">
      <c r="A8481" s="1033"/>
      <c r="E8481" s="130"/>
    </row>
    <row r="8482" spans="1:5" x14ac:dyDescent="0.25">
      <c r="A8482" s="1033"/>
      <c r="E8482" s="130"/>
    </row>
    <row r="8483" spans="1:5" x14ac:dyDescent="0.25">
      <c r="A8483" s="1033"/>
      <c r="E8483" s="130"/>
    </row>
    <row r="8484" spans="1:5" x14ac:dyDescent="0.25">
      <c r="A8484" s="1033"/>
      <c r="E8484" s="130"/>
    </row>
    <row r="8485" spans="1:5" x14ac:dyDescent="0.25">
      <c r="A8485" s="1033"/>
      <c r="E8485" s="130"/>
    </row>
    <row r="8486" spans="1:5" x14ac:dyDescent="0.25">
      <c r="A8486" s="1033"/>
      <c r="E8486" s="130"/>
    </row>
    <row r="8487" spans="1:5" x14ac:dyDescent="0.25">
      <c r="A8487" s="1033"/>
      <c r="E8487" s="130"/>
    </row>
    <row r="8488" spans="1:5" x14ac:dyDescent="0.25">
      <c r="A8488" s="1033"/>
      <c r="E8488" s="130"/>
    </row>
    <row r="8489" spans="1:5" x14ac:dyDescent="0.25">
      <c r="A8489" s="1033"/>
      <c r="E8489" s="130"/>
    </row>
    <row r="8490" spans="1:5" x14ac:dyDescent="0.25">
      <c r="A8490" s="1033"/>
      <c r="E8490" s="130"/>
    </row>
    <row r="8491" spans="1:5" x14ac:dyDescent="0.25">
      <c r="A8491" s="1033"/>
      <c r="E8491" s="130"/>
    </row>
    <row r="8492" spans="1:5" x14ac:dyDescent="0.25">
      <c r="A8492" s="1033"/>
      <c r="E8492" s="130"/>
    </row>
    <row r="8493" spans="1:5" x14ac:dyDescent="0.25">
      <c r="A8493" s="1033"/>
      <c r="E8493" s="130"/>
    </row>
    <row r="8494" spans="1:5" x14ac:dyDescent="0.25">
      <c r="A8494" s="1033"/>
      <c r="E8494" s="130"/>
    </row>
    <row r="8495" spans="1:5" x14ac:dyDescent="0.25">
      <c r="A8495" s="1033"/>
      <c r="E8495" s="130"/>
    </row>
    <row r="8496" spans="1:5" x14ac:dyDescent="0.25">
      <c r="A8496" s="1033"/>
      <c r="E8496" s="130"/>
    </row>
    <row r="8497" spans="1:5" x14ac:dyDescent="0.25">
      <c r="A8497" s="1033"/>
      <c r="E8497" s="130"/>
    </row>
    <row r="8498" spans="1:5" x14ac:dyDescent="0.25">
      <c r="A8498" s="1033"/>
      <c r="E8498" s="130"/>
    </row>
    <row r="8499" spans="1:5" x14ac:dyDescent="0.25">
      <c r="A8499" s="1033"/>
      <c r="E8499" s="130"/>
    </row>
    <row r="8500" spans="1:5" x14ac:dyDescent="0.25">
      <c r="A8500" s="1033"/>
      <c r="E8500" s="130"/>
    </row>
    <row r="8501" spans="1:5" x14ac:dyDescent="0.25">
      <c r="A8501" s="1033"/>
      <c r="E8501" s="130"/>
    </row>
    <row r="8502" spans="1:5" x14ac:dyDescent="0.25">
      <c r="A8502" s="1033"/>
      <c r="E8502" s="130"/>
    </row>
    <row r="8503" spans="1:5" x14ac:dyDescent="0.25">
      <c r="A8503" s="1033"/>
      <c r="E8503" s="130"/>
    </row>
    <row r="8504" spans="1:5" x14ac:dyDescent="0.25">
      <c r="A8504" s="1033"/>
      <c r="E8504" s="130"/>
    </row>
    <row r="8505" spans="1:5" x14ac:dyDescent="0.25">
      <c r="A8505" s="1033"/>
      <c r="E8505" s="130"/>
    </row>
    <row r="8506" spans="1:5" x14ac:dyDescent="0.25">
      <c r="A8506" s="1033"/>
      <c r="E8506" s="130"/>
    </row>
    <row r="8507" spans="1:5" x14ac:dyDescent="0.25">
      <c r="A8507" s="1033"/>
      <c r="E8507" s="130"/>
    </row>
    <row r="8508" spans="1:5" x14ac:dyDescent="0.25">
      <c r="A8508" s="1033"/>
      <c r="E8508" s="130"/>
    </row>
    <row r="8509" spans="1:5" x14ac:dyDescent="0.25">
      <c r="A8509" s="1033"/>
      <c r="E8509" s="130"/>
    </row>
    <row r="8510" spans="1:5" x14ac:dyDescent="0.25">
      <c r="A8510" s="1033"/>
      <c r="E8510" s="130"/>
    </row>
    <row r="8511" spans="1:5" x14ac:dyDescent="0.25">
      <c r="A8511" s="1033"/>
      <c r="E8511" s="130"/>
    </row>
    <row r="8512" spans="1:5" x14ac:dyDescent="0.25">
      <c r="A8512" s="1033"/>
      <c r="E8512" s="130"/>
    </row>
    <row r="8513" spans="1:5" x14ac:dyDescent="0.25">
      <c r="A8513" s="1033"/>
      <c r="E8513" s="130"/>
    </row>
    <row r="8514" spans="1:5" x14ac:dyDescent="0.25">
      <c r="A8514" s="1033"/>
      <c r="E8514" s="130"/>
    </row>
    <row r="8515" spans="1:5" x14ac:dyDescent="0.25">
      <c r="A8515" s="1033"/>
      <c r="E8515" s="130"/>
    </row>
    <row r="8516" spans="1:5" x14ac:dyDescent="0.25">
      <c r="A8516" s="1033"/>
      <c r="E8516" s="130"/>
    </row>
    <row r="8517" spans="1:5" x14ac:dyDescent="0.25">
      <c r="A8517" s="1033"/>
      <c r="E8517" s="130"/>
    </row>
    <row r="8518" spans="1:5" x14ac:dyDescent="0.25">
      <c r="A8518" s="1033"/>
      <c r="E8518" s="130"/>
    </row>
    <row r="8519" spans="1:5" x14ac:dyDescent="0.25">
      <c r="A8519" s="1033"/>
      <c r="E8519" s="130"/>
    </row>
    <row r="8520" spans="1:5" x14ac:dyDescent="0.25">
      <c r="A8520" s="1033"/>
      <c r="E8520" s="130"/>
    </row>
    <row r="8521" spans="1:5" x14ac:dyDescent="0.25">
      <c r="A8521" s="1033"/>
      <c r="E8521" s="130"/>
    </row>
    <row r="8522" spans="1:5" x14ac:dyDescent="0.25">
      <c r="A8522" s="1033"/>
      <c r="E8522" s="130"/>
    </row>
    <row r="8523" spans="1:5" x14ac:dyDescent="0.25">
      <c r="A8523" s="1033"/>
      <c r="E8523" s="130"/>
    </row>
    <row r="8524" spans="1:5" x14ac:dyDescent="0.25">
      <c r="A8524" s="1033"/>
      <c r="E8524" s="130"/>
    </row>
    <row r="8525" spans="1:5" x14ac:dyDescent="0.25">
      <c r="A8525" s="1033"/>
      <c r="E8525" s="130"/>
    </row>
    <row r="8526" spans="1:5" x14ac:dyDescent="0.25">
      <c r="A8526" s="1033"/>
      <c r="E8526" s="130"/>
    </row>
    <row r="8527" spans="1:5" x14ac:dyDescent="0.25">
      <c r="A8527" s="1033"/>
      <c r="E8527" s="130"/>
    </row>
    <row r="8528" spans="1:5" x14ac:dyDescent="0.25">
      <c r="A8528" s="1033"/>
      <c r="E8528" s="130"/>
    </row>
    <row r="8529" spans="1:5" x14ac:dyDescent="0.25">
      <c r="A8529" s="1033"/>
      <c r="E8529" s="130"/>
    </row>
    <row r="8530" spans="1:5" x14ac:dyDescent="0.25">
      <c r="A8530" s="1033"/>
      <c r="E8530" s="130"/>
    </row>
    <row r="8531" spans="1:5" x14ac:dyDescent="0.25">
      <c r="A8531" s="1033"/>
      <c r="E8531" s="130"/>
    </row>
    <row r="8532" spans="1:5" x14ac:dyDescent="0.25">
      <c r="A8532" s="1033"/>
      <c r="E8532" s="130"/>
    </row>
    <row r="8533" spans="1:5" x14ac:dyDescent="0.25">
      <c r="A8533" s="1033"/>
      <c r="E8533" s="130"/>
    </row>
    <row r="8534" spans="1:5" x14ac:dyDescent="0.25">
      <c r="A8534" s="1033"/>
      <c r="E8534" s="130"/>
    </row>
    <row r="8535" spans="1:5" x14ac:dyDescent="0.25">
      <c r="A8535" s="1033"/>
      <c r="E8535" s="130"/>
    </row>
    <row r="8536" spans="1:5" x14ac:dyDescent="0.25">
      <c r="A8536" s="1033"/>
      <c r="E8536" s="130"/>
    </row>
    <row r="8537" spans="1:5" x14ac:dyDescent="0.25">
      <c r="A8537" s="1033"/>
      <c r="E8537" s="130"/>
    </row>
    <row r="8538" spans="1:5" x14ac:dyDescent="0.25">
      <c r="A8538" s="1033"/>
      <c r="E8538" s="130"/>
    </row>
    <row r="8539" spans="1:5" x14ac:dyDescent="0.25">
      <c r="A8539" s="1033"/>
      <c r="E8539" s="130"/>
    </row>
    <row r="8540" spans="1:5" x14ac:dyDescent="0.25">
      <c r="A8540" s="1033"/>
      <c r="E8540" s="130"/>
    </row>
    <row r="8541" spans="1:5" x14ac:dyDescent="0.25">
      <c r="A8541" s="1033"/>
      <c r="E8541" s="130"/>
    </row>
    <row r="8542" spans="1:5" x14ac:dyDescent="0.25">
      <c r="A8542" s="1033"/>
      <c r="E8542" s="130"/>
    </row>
    <row r="8543" spans="1:5" x14ac:dyDescent="0.25">
      <c r="A8543" s="1033"/>
      <c r="E8543" s="130"/>
    </row>
    <row r="8544" spans="1:5" x14ac:dyDescent="0.25">
      <c r="A8544" s="1033"/>
      <c r="E8544" s="130"/>
    </row>
    <row r="8545" spans="1:5" x14ac:dyDescent="0.25">
      <c r="A8545" s="1033"/>
      <c r="E8545" s="130"/>
    </row>
    <row r="8546" spans="1:5" x14ac:dyDescent="0.25">
      <c r="A8546" s="1033"/>
      <c r="E8546" s="130"/>
    </row>
    <row r="8547" spans="1:5" x14ac:dyDescent="0.25">
      <c r="A8547" s="1033"/>
      <c r="E8547" s="130"/>
    </row>
    <row r="8548" spans="1:5" x14ac:dyDescent="0.25">
      <c r="A8548" s="1033"/>
      <c r="E8548" s="130"/>
    </row>
    <row r="8549" spans="1:5" x14ac:dyDescent="0.25">
      <c r="A8549" s="1033"/>
      <c r="E8549" s="130"/>
    </row>
    <row r="8550" spans="1:5" x14ac:dyDescent="0.25">
      <c r="A8550" s="1033"/>
      <c r="E8550" s="130"/>
    </row>
    <row r="8551" spans="1:5" x14ac:dyDescent="0.25">
      <c r="A8551" s="1033"/>
      <c r="E8551" s="130"/>
    </row>
    <row r="8552" spans="1:5" x14ac:dyDescent="0.25">
      <c r="A8552" s="1033"/>
      <c r="E8552" s="130"/>
    </row>
    <row r="8553" spans="1:5" x14ac:dyDescent="0.25">
      <c r="A8553" s="1033"/>
      <c r="E8553" s="130"/>
    </row>
    <row r="8554" spans="1:5" x14ac:dyDescent="0.25">
      <c r="A8554" s="1033"/>
      <c r="E8554" s="130"/>
    </row>
    <row r="8555" spans="1:5" x14ac:dyDescent="0.25">
      <c r="A8555" s="1033"/>
      <c r="E8555" s="130"/>
    </row>
    <row r="8556" spans="1:5" x14ac:dyDescent="0.25">
      <c r="A8556" s="1033"/>
      <c r="E8556" s="130"/>
    </row>
    <row r="8557" spans="1:5" x14ac:dyDescent="0.25">
      <c r="A8557" s="1033"/>
      <c r="E8557" s="130"/>
    </row>
    <row r="8558" spans="1:5" x14ac:dyDescent="0.25">
      <c r="A8558" s="1033"/>
      <c r="E8558" s="130"/>
    </row>
    <row r="8559" spans="1:5" x14ac:dyDescent="0.25">
      <c r="A8559" s="1033"/>
      <c r="E8559" s="130"/>
    </row>
    <row r="8560" spans="1:5" x14ac:dyDescent="0.25">
      <c r="A8560" s="1033"/>
      <c r="E8560" s="130"/>
    </row>
    <row r="8561" spans="1:5" x14ac:dyDescent="0.25">
      <c r="A8561" s="1033"/>
      <c r="E8561" s="130"/>
    </row>
    <row r="8562" spans="1:5" x14ac:dyDescent="0.25">
      <c r="A8562" s="1033"/>
      <c r="E8562" s="130"/>
    </row>
    <row r="8563" spans="1:5" x14ac:dyDescent="0.25">
      <c r="A8563" s="1033"/>
      <c r="E8563" s="130"/>
    </row>
    <row r="8564" spans="1:5" x14ac:dyDescent="0.25">
      <c r="A8564" s="1033"/>
      <c r="E8564" s="130"/>
    </row>
    <row r="8565" spans="1:5" x14ac:dyDescent="0.25">
      <c r="A8565" s="1033"/>
      <c r="E8565" s="130"/>
    </row>
    <row r="8566" spans="1:5" x14ac:dyDescent="0.25">
      <c r="A8566" s="1033"/>
      <c r="E8566" s="130"/>
    </row>
    <row r="8567" spans="1:5" x14ac:dyDescent="0.25">
      <c r="A8567" s="1033"/>
      <c r="E8567" s="130"/>
    </row>
    <row r="8568" spans="1:5" x14ac:dyDescent="0.25">
      <c r="A8568" s="1033"/>
      <c r="E8568" s="130"/>
    </row>
    <row r="8569" spans="1:5" x14ac:dyDescent="0.25">
      <c r="A8569" s="1033"/>
      <c r="E8569" s="130"/>
    </row>
    <row r="8570" spans="1:5" x14ac:dyDescent="0.25">
      <c r="A8570" s="1033"/>
      <c r="E8570" s="130"/>
    </row>
    <row r="8571" spans="1:5" x14ac:dyDescent="0.25">
      <c r="A8571" s="1033"/>
      <c r="E8571" s="130"/>
    </row>
    <row r="8572" spans="1:5" x14ac:dyDescent="0.25">
      <c r="A8572" s="1033"/>
      <c r="E8572" s="130"/>
    </row>
    <row r="8573" spans="1:5" x14ac:dyDescent="0.25">
      <c r="A8573" s="1033"/>
      <c r="E8573" s="130"/>
    </row>
    <row r="8574" spans="1:5" x14ac:dyDescent="0.25">
      <c r="A8574" s="1033"/>
      <c r="E8574" s="130"/>
    </row>
    <row r="8575" spans="1:5" x14ac:dyDescent="0.25">
      <c r="A8575" s="1033"/>
      <c r="E8575" s="130"/>
    </row>
    <row r="8576" spans="1:5" x14ac:dyDescent="0.25">
      <c r="A8576" s="1033"/>
      <c r="E8576" s="130"/>
    </row>
    <row r="8577" spans="1:5" x14ac:dyDescent="0.25">
      <c r="A8577" s="1033"/>
      <c r="E8577" s="130"/>
    </row>
    <row r="8578" spans="1:5" x14ac:dyDescent="0.25">
      <c r="A8578" s="1033"/>
      <c r="E8578" s="130"/>
    </row>
    <row r="8579" spans="1:5" x14ac:dyDescent="0.25">
      <c r="A8579" s="1033"/>
      <c r="E8579" s="130"/>
    </row>
    <row r="8580" spans="1:5" x14ac:dyDescent="0.25">
      <c r="A8580" s="1033"/>
      <c r="E8580" s="130"/>
    </row>
    <row r="8581" spans="1:5" x14ac:dyDescent="0.25">
      <c r="A8581" s="1033"/>
      <c r="E8581" s="130"/>
    </row>
    <row r="8582" spans="1:5" x14ac:dyDescent="0.25">
      <c r="A8582" s="1033"/>
      <c r="E8582" s="130"/>
    </row>
    <row r="8583" spans="1:5" x14ac:dyDescent="0.25">
      <c r="A8583" s="1033"/>
      <c r="E8583" s="130"/>
    </row>
    <row r="8584" spans="1:5" x14ac:dyDescent="0.25">
      <c r="A8584" s="1033"/>
      <c r="E8584" s="130"/>
    </row>
    <row r="8585" spans="1:5" x14ac:dyDescent="0.25">
      <c r="A8585" s="1033"/>
      <c r="E8585" s="130"/>
    </row>
    <row r="8586" spans="1:5" x14ac:dyDescent="0.25">
      <c r="A8586" s="1033"/>
      <c r="E8586" s="130"/>
    </row>
    <row r="8587" spans="1:5" x14ac:dyDescent="0.25">
      <c r="A8587" s="1033"/>
      <c r="E8587" s="130"/>
    </row>
    <row r="8588" spans="1:5" x14ac:dyDescent="0.25">
      <c r="A8588" s="1033"/>
      <c r="E8588" s="130"/>
    </row>
    <row r="8589" spans="1:5" x14ac:dyDescent="0.25">
      <c r="A8589" s="1033"/>
      <c r="E8589" s="130"/>
    </row>
    <row r="8590" spans="1:5" x14ac:dyDescent="0.25">
      <c r="A8590" s="1033"/>
      <c r="E8590" s="130"/>
    </row>
    <row r="8591" spans="1:5" x14ac:dyDescent="0.25">
      <c r="A8591" s="1033"/>
      <c r="E8591" s="130"/>
    </row>
    <row r="8592" spans="1:5" x14ac:dyDescent="0.25">
      <c r="A8592" s="1033"/>
      <c r="E8592" s="130"/>
    </row>
    <row r="8593" spans="1:5" x14ac:dyDescent="0.25">
      <c r="A8593" s="1033"/>
      <c r="E8593" s="130"/>
    </row>
    <row r="8594" spans="1:5" x14ac:dyDescent="0.25">
      <c r="A8594" s="1033"/>
      <c r="E8594" s="130"/>
    </row>
    <row r="8595" spans="1:5" x14ac:dyDescent="0.25">
      <c r="A8595" s="1033"/>
      <c r="E8595" s="130"/>
    </row>
    <row r="8596" spans="1:5" x14ac:dyDescent="0.25">
      <c r="A8596" s="1033"/>
      <c r="E8596" s="130"/>
    </row>
    <row r="8597" spans="1:5" x14ac:dyDescent="0.25">
      <c r="A8597" s="1033"/>
      <c r="E8597" s="130"/>
    </row>
    <row r="8598" spans="1:5" x14ac:dyDescent="0.25">
      <c r="A8598" s="1033"/>
      <c r="E8598" s="130"/>
    </row>
    <row r="8599" spans="1:5" x14ac:dyDescent="0.25">
      <c r="A8599" s="1033"/>
      <c r="E8599" s="130"/>
    </row>
    <row r="8600" spans="1:5" x14ac:dyDescent="0.25">
      <c r="A8600" s="1033"/>
      <c r="E8600" s="130"/>
    </row>
    <row r="8601" spans="1:5" x14ac:dyDescent="0.25">
      <c r="A8601" s="1033"/>
      <c r="E8601" s="130"/>
    </row>
    <row r="8602" spans="1:5" x14ac:dyDescent="0.25">
      <c r="A8602" s="1033"/>
      <c r="E8602" s="130"/>
    </row>
    <row r="8603" spans="1:5" x14ac:dyDescent="0.25">
      <c r="A8603" s="1033"/>
      <c r="E8603" s="130"/>
    </row>
    <row r="8604" spans="1:5" x14ac:dyDescent="0.25">
      <c r="A8604" s="1033"/>
      <c r="E8604" s="130"/>
    </row>
    <row r="8605" spans="1:5" x14ac:dyDescent="0.25">
      <c r="A8605" s="1033"/>
      <c r="E8605" s="130"/>
    </row>
    <row r="8606" spans="1:5" x14ac:dyDescent="0.25">
      <c r="A8606" s="1033"/>
      <c r="E8606" s="130"/>
    </row>
    <row r="8607" spans="1:5" x14ac:dyDescent="0.25">
      <c r="A8607" s="1033"/>
      <c r="E8607" s="130"/>
    </row>
    <row r="8608" spans="1:5" x14ac:dyDescent="0.25">
      <c r="A8608" s="1033"/>
      <c r="E8608" s="130"/>
    </row>
    <row r="8609" spans="1:5" x14ac:dyDescent="0.25">
      <c r="A8609" s="1033"/>
      <c r="E8609" s="130"/>
    </row>
    <row r="8610" spans="1:5" x14ac:dyDescent="0.25">
      <c r="A8610" s="1033"/>
      <c r="E8610" s="130"/>
    </row>
    <row r="8611" spans="1:5" x14ac:dyDescent="0.25">
      <c r="A8611" s="1033"/>
      <c r="E8611" s="130"/>
    </row>
    <row r="8612" spans="1:5" x14ac:dyDescent="0.25">
      <c r="A8612" s="1033"/>
      <c r="E8612" s="130"/>
    </row>
    <row r="8613" spans="1:5" x14ac:dyDescent="0.25">
      <c r="A8613" s="1033"/>
      <c r="E8613" s="130"/>
    </row>
    <row r="8614" spans="1:5" x14ac:dyDescent="0.25">
      <c r="A8614" s="1033"/>
      <c r="E8614" s="130"/>
    </row>
    <row r="8615" spans="1:5" x14ac:dyDescent="0.25">
      <c r="A8615" s="1033"/>
      <c r="E8615" s="130"/>
    </row>
    <row r="8616" spans="1:5" x14ac:dyDescent="0.25">
      <c r="A8616" s="1033"/>
      <c r="E8616" s="130"/>
    </row>
    <row r="8617" spans="1:5" x14ac:dyDescent="0.25">
      <c r="A8617" s="1033"/>
      <c r="E8617" s="130"/>
    </row>
    <row r="8618" spans="1:5" x14ac:dyDescent="0.25">
      <c r="A8618" s="1033"/>
      <c r="E8618" s="130"/>
    </row>
    <row r="8619" spans="1:5" x14ac:dyDescent="0.25">
      <c r="A8619" s="1033"/>
      <c r="E8619" s="130"/>
    </row>
    <row r="8620" spans="1:5" x14ac:dyDescent="0.25">
      <c r="A8620" s="1033"/>
      <c r="E8620" s="130"/>
    </row>
    <row r="8621" spans="1:5" x14ac:dyDescent="0.25">
      <c r="A8621" s="1033"/>
      <c r="E8621" s="130"/>
    </row>
    <row r="8622" spans="1:5" x14ac:dyDescent="0.25">
      <c r="A8622" s="1033"/>
      <c r="E8622" s="130"/>
    </row>
    <row r="8623" spans="1:5" x14ac:dyDescent="0.25">
      <c r="A8623" s="1033"/>
      <c r="E8623" s="130"/>
    </row>
    <row r="8624" spans="1:5" x14ac:dyDescent="0.25">
      <c r="A8624" s="1033"/>
      <c r="E8624" s="130"/>
    </row>
    <row r="8625" spans="1:5" x14ac:dyDescent="0.25">
      <c r="A8625" s="1033"/>
      <c r="E8625" s="130"/>
    </row>
    <row r="8626" spans="1:5" x14ac:dyDescent="0.25">
      <c r="A8626" s="1033"/>
      <c r="E8626" s="130"/>
    </row>
    <row r="8627" spans="1:5" x14ac:dyDescent="0.25">
      <c r="A8627" s="1033"/>
      <c r="E8627" s="130"/>
    </row>
    <row r="8628" spans="1:5" x14ac:dyDescent="0.25">
      <c r="A8628" s="1033"/>
      <c r="E8628" s="130"/>
    </row>
    <row r="8629" spans="1:5" x14ac:dyDescent="0.25">
      <c r="A8629" s="1033"/>
      <c r="E8629" s="130"/>
    </row>
    <row r="8630" spans="1:5" x14ac:dyDescent="0.25">
      <c r="A8630" s="1033"/>
      <c r="E8630" s="130"/>
    </row>
    <row r="8631" spans="1:5" x14ac:dyDescent="0.25">
      <c r="A8631" s="1033"/>
      <c r="E8631" s="130"/>
    </row>
    <row r="8632" spans="1:5" x14ac:dyDescent="0.25">
      <c r="A8632" s="1033"/>
      <c r="E8632" s="130"/>
    </row>
    <row r="8633" spans="1:5" x14ac:dyDescent="0.25">
      <c r="A8633" s="1033"/>
      <c r="E8633" s="130"/>
    </row>
    <row r="8634" spans="1:5" x14ac:dyDescent="0.25">
      <c r="A8634" s="1033"/>
      <c r="E8634" s="130"/>
    </row>
    <row r="8635" spans="1:5" x14ac:dyDescent="0.25">
      <c r="A8635" s="1033"/>
      <c r="E8635" s="130"/>
    </row>
    <row r="8636" spans="1:5" x14ac:dyDescent="0.25">
      <c r="A8636" s="1033"/>
      <c r="E8636" s="130"/>
    </row>
    <row r="8637" spans="1:5" x14ac:dyDescent="0.25">
      <c r="A8637" s="1033"/>
      <c r="E8637" s="130"/>
    </row>
    <row r="8638" spans="1:5" x14ac:dyDescent="0.25">
      <c r="A8638" s="1033"/>
      <c r="E8638" s="130"/>
    </row>
    <row r="8639" spans="1:5" x14ac:dyDescent="0.25">
      <c r="A8639" s="1033"/>
      <c r="E8639" s="130"/>
    </row>
    <row r="8640" spans="1:5" x14ac:dyDescent="0.25">
      <c r="A8640" s="1033"/>
      <c r="E8640" s="130"/>
    </row>
    <row r="8641" spans="1:5" x14ac:dyDescent="0.25">
      <c r="A8641" s="1033"/>
      <c r="E8641" s="130"/>
    </row>
    <row r="8642" spans="1:5" x14ac:dyDescent="0.25">
      <c r="A8642" s="1033"/>
      <c r="E8642" s="130"/>
    </row>
    <row r="8643" spans="1:5" x14ac:dyDescent="0.25">
      <c r="A8643" s="1033"/>
      <c r="E8643" s="130"/>
    </row>
    <row r="8644" spans="1:5" x14ac:dyDescent="0.25">
      <c r="A8644" s="1033"/>
      <c r="E8644" s="130"/>
    </row>
    <row r="8645" spans="1:5" x14ac:dyDescent="0.25">
      <c r="A8645" s="1033"/>
      <c r="E8645" s="130"/>
    </row>
    <row r="8646" spans="1:5" x14ac:dyDescent="0.25">
      <c r="A8646" s="1033"/>
      <c r="E8646" s="130"/>
    </row>
    <row r="8647" spans="1:5" x14ac:dyDescent="0.25">
      <c r="A8647" s="1033"/>
      <c r="E8647" s="130"/>
    </row>
    <row r="8648" spans="1:5" x14ac:dyDescent="0.25">
      <c r="A8648" s="1033"/>
      <c r="E8648" s="130"/>
    </row>
    <row r="8649" spans="1:5" x14ac:dyDescent="0.25">
      <c r="A8649" s="1033"/>
      <c r="E8649" s="130"/>
    </row>
    <row r="8650" spans="1:5" x14ac:dyDescent="0.25">
      <c r="A8650" s="1033"/>
      <c r="E8650" s="130"/>
    </row>
    <row r="8651" spans="1:5" x14ac:dyDescent="0.25">
      <c r="A8651" s="1033"/>
      <c r="E8651" s="130"/>
    </row>
    <row r="8652" spans="1:5" x14ac:dyDescent="0.25">
      <c r="A8652" s="1033"/>
      <c r="E8652" s="130"/>
    </row>
    <row r="8653" spans="1:5" x14ac:dyDescent="0.25">
      <c r="A8653" s="1033"/>
      <c r="E8653" s="130"/>
    </row>
    <row r="8654" spans="1:5" x14ac:dyDescent="0.25">
      <c r="A8654" s="1033"/>
      <c r="E8654" s="130"/>
    </row>
    <row r="8655" spans="1:5" x14ac:dyDescent="0.25">
      <c r="A8655" s="1033"/>
      <c r="E8655" s="130"/>
    </row>
    <row r="8656" spans="1:5" x14ac:dyDescent="0.25">
      <c r="A8656" s="1033"/>
      <c r="E8656" s="130"/>
    </row>
    <row r="8657" spans="1:5" x14ac:dyDescent="0.25">
      <c r="A8657" s="1033"/>
      <c r="E8657" s="130"/>
    </row>
    <row r="8658" spans="1:5" x14ac:dyDescent="0.25">
      <c r="A8658" s="1033"/>
      <c r="E8658" s="130"/>
    </row>
    <row r="8659" spans="1:5" x14ac:dyDescent="0.25">
      <c r="A8659" s="1033"/>
      <c r="E8659" s="130"/>
    </row>
    <row r="8660" spans="1:5" x14ac:dyDescent="0.25">
      <c r="A8660" s="1033"/>
      <c r="E8660" s="130"/>
    </row>
    <row r="8661" spans="1:5" x14ac:dyDescent="0.25">
      <c r="A8661" s="1033"/>
      <c r="E8661" s="130"/>
    </row>
    <row r="8662" spans="1:5" x14ac:dyDescent="0.25">
      <c r="A8662" s="1033"/>
      <c r="E8662" s="130"/>
    </row>
    <row r="8663" spans="1:5" x14ac:dyDescent="0.25">
      <c r="A8663" s="1033"/>
      <c r="E8663" s="130"/>
    </row>
    <row r="8664" spans="1:5" x14ac:dyDescent="0.25">
      <c r="A8664" s="1033"/>
      <c r="E8664" s="130"/>
    </row>
    <row r="8665" spans="1:5" x14ac:dyDescent="0.25">
      <c r="A8665" s="1033"/>
      <c r="E8665" s="130"/>
    </row>
    <row r="8666" spans="1:5" x14ac:dyDescent="0.25">
      <c r="A8666" s="1033"/>
      <c r="E8666" s="130"/>
    </row>
    <row r="8667" spans="1:5" x14ac:dyDescent="0.25">
      <c r="A8667" s="1033"/>
      <c r="E8667" s="130"/>
    </row>
    <row r="8668" spans="1:5" x14ac:dyDescent="0.25">
      <c r="A8668" s="1033"/>
      <c r="E8668" s="130"/>
    </row>
    <row r="8669" spans="1:5" x14ac:dyDescent="0.25">
      <c r="A8669" s="1033"/>
      <c r="E8669" s="130"/>
    </row>
    <row r="8670" spans="1:5" x14ac:dyDescent="0.25">
      <c r="A8670" s="1033"/>
      <c r="E8670" s="130"/>
    </row>
    <row r="8671" spans="1:5" x14ac:dyDescent="0.25">
      <c r="A8671" s="1033"/>
      <c r="E8671" s="130"/>
    </row>
    <row r="8672" spans="1:5" x14ac:dyDescent="0.25">
      <c r="A8672" s="1033"/>
      <c r="E8672" s="130"/>
    </row>
    <row r="8673" spans="1:5" x14ac:dyDescent="0.25">
      <c r="A8673" s="1033"/>
      <c r="E8673" s="130"/>
    </row>
    <row r="8674" spans="1:5" x14ac:dyDescent="0.25">
      <c r="A8674" s="1033"/>
      <c r="E8674" s="130"/>
    </row>
    <row r="8675" spans="1:5" x14ac:dyDescent="0.25">
      <c r="A8675" s="1033"/>
      <c r="E8675" s="130"/>
    </row>
    <row r="8676" spans="1:5" x14ac:dyDescent="0.25">
      <c r="A8676" s="1033"/>
      <c r="E8676" s="130"/>
    </row>
    <row r="8677" spans="1:5" x14ac:dyDescent="0.25">
      <c r="A8677" s="1033"/>
      <c r="E8677" s="130"/>
    </row>
    <row r="8678" spans="1:5" x14ac:dyDescent="0.25">
      <c r="A8678" s="1033"/>
      <c r="E8678" s="130"/>
    </row>
    <row r="8679" spans="1:5" x14ac:dyDescent="0.25">
      <c r="A8679" s="1033"/>
      <c r="E8679" s="130"/>
    </row>
    <row r="8680" spans="1:5" x14ac:dyDescent="0.25">
      <c r="A8680" s="1033"/>
      <c r="E8680" s="130"/>
    </row>
    <row r="8681" spans="1:5" x14ac:dyDescent="0.25">
      <c r="A8681" s="1033"/>
      <c r="E8681" s="130"/>
    </row>
    <row r="8682" spans="1:5" x14ac:dyDescent="0.25">
      <c r="A8682" s="1033"/>
      <c r="E8682" s="130"/>
    </row>
    <row r="8683" spans="1:5" x14ac:dyDescent="0.25">
      <c r="A8683" s="1033"/>
      <c r="E8683" s="130"/>
    </row>
    <row r="8684" spans="1:5" x14ac:dyDescent="0.25">
      <c r="A8684" s="1033"/>
      <c r="E8684" s="130"/>
    </row>
    <row r="8685" spans="1:5" x14ac:dyDescent="0.25">
      <c r="A8685" s="1033"/>
      <c r="E8685" s="130"/>
    </row>
    <row r="8686" spans="1:5" x14ac:dyDescent="0.25">
      <c r="A8686" s="1033"/>
      <c r="E8686" s="130"/>
    </row>
    <row r="8687" spans="1:5" x14ac:dyDescent="0.25">
      <c r="A8687" s="1033"/>
      <c r="E8687" s="130"/>
    </row>
    <row r="8688" spans="1:5" x14ac:dyDescent="0.25">
      <c r="A8688" s="1033"/>
      <c r="E8688" s="130"/>
    </row>
    <row r="8689" spans="1:5" x14ac:dyDescent="0.25">
      <c r="A8689" s="1033"/>
      <c r="E8689" s="130"/>
    </row>
    <row r="8690" spans="1:5" x14ac:dyDescent="0.25">
      <c r="A8690" s="1033"/>
      <c r="E8690" s="130"/>
    </row>
    <row r="8691" spans="1:5" x14ac:dyDescent="0.25">
      <c r="A8691" s="1033"/>
      <c r="E8691" s="130"/>
    </row>
    <row r="8692" spans="1:5" x14ac:dyDescent="0.25">
      <c r="A8692" s="1033"/>
      <c r="E8692" s="130"/>
    </row>
    <row r="8693" spans="1:5" x14ac:dyDescent="0.25">
      <c r="A8693" s="1033"/>
      <c r="E8693" s="130"/>
    </row>
    <row r="8694" spans="1:5" x14ac:dyDescent="0.25">
      <c r="A8694" s="1033"/>
      <c r="E8694" s="130"/>
    </row>
    <row r="8695" spans="1:5" x14ac:dyDescent="0.25">
      <c r="A8695" s="1033"/>
      <c r="E8695" s="130"/>
    </row>
    <row r="8696" spans="1:5" x14ac:dyDescent="0.25">
      <c r="A8696" s="1033"/>
      <c r="E8696" s="130"/>
    </row>
    <row r="8697" spans="1:5" x14ac:dyDescent="0.25">
      <c r="A8697" s="1033"/>
      <c r="E8697" s="130"/>
    </row>
    <row r="8698" spans="1:5" x14ac:dyDescent="0.25">
      <c r="A8698" s="1033"/>
      <c r="E8698" s="130"/>
    </row>
    <row r="8699" spans="1:5" x14ac:dyDescent="0.25">
      <c r="A8699" s="1033"/>
      <c r="E8699" s="130"/>
    </row>
    <row r="8700" spans="1:5" x14ac:dyDescent="0.25">
      <c r="A8700" s="1033"/>
      <c r="E8700" s="130"/>
    </row>
    <row r="8701" spans="1:5" x14ac:dyDescent="0.25">
      <c r="A8701" s="1033"/>
      <c r="E8701" s="130"/>
    </row>
    <row r="8702" spans="1:5" x14ac:dyDescent="0.25">
      <c r="A8702" s="1033"/>
      <c r="E8702" s="130"/>
    </row>
    <row r="8703" spans="1:5" x14ac:dyDescent="0.25">
      <c r="A8703" s="1033"/>
      <c r="E8703" s="130"/>
    </row>
    <row r="8704" spans="1:5" x14ac:dyDescent="0.25">
      <c r="A8704" s="1033"/>
      <c r="E8704" s="130"/>
    </row>
    <row r="8705" spans="1:5" x14ac:dyDescent="0.25">
      <c r="A8705" s="1033"/>
      <c r="E8705" s="130"/>
    </row>
    <row r="8706" spans="1:5" x14ac:dyDescent="0.25">
      <c r="A8706" s="1033"/>
      <c r="E8706" s="130"/>
    </row>
    <row r="8707" spans="1:5" x14ac:dyDescent="0.25">
      <c r="A8707" s="1033"/>
      <c r="E8707" s="130"/>
    </row>
    <row r="8708" spans="1:5" x14ac:dyDescent="0.25">
      <c r="A8708" s="1033"/>
      <c r="E8708" s="130"/>
    </row>
    <row r="8709" spans="1:5" x14ac:dyDescent="0.25">
      <c r="A8709" s="1033"/>
      <c r="E8709" s="130"/>
    </row>
    <row r="8710" spans="1:5" x14ac:dyDescent="0.25">
      <c r="A8710" s="1033"/>
      <c r="E8710" s="130"/>
    </row>
    <row r="8711" spans="1:5" x14ac:dyDescent="0.25">
      <c r="A8711" s="1033"/>
      <c r="E8711" s="130"/>
    </row>
    <row r="8712" spans="1:5" x14ac:dyDescent="0.25">
      <c r="A8712" s="1033"/>
      <c r="E8712" s="130"/>
    </row>
    <row r="8713" spans="1:5" x14ac:dyDescent="0.25">
      <c r="A8713" s="1033"/>
      <c r="E8713" s="130"/>
    </row>
    <row r="8714" spans="1:5" x14ac:dyDescent="0.25">
      <c r="A8714" s="1033"/>
      <c r="E8714" s="130"/>
    </row>
    <row r="8715" spans="1:5" x14ac:dyDescent="0.25">
      <c r="A8715" s="1033"/>
      <c r="E8715" s="130"/>
    </row>
    <row r="8716" spans="1:5" x14ac:dyDescent="0.25">
      <c r="A8716" s="1033"/>
      <c r="E8716" s="130"/>
    </row>
    <row r="8717" spans="1:5" x14ac:dyDescent="0.25">
      <c r="A8717" s="1033"/>
      <c r="E8717" s="130"/>
    </row>
    <row r="8718" spans="1:5" x14ac:dyDescent="0.25">
      <c r="A8718" s="1033"/>
      <c r="E8718" s="130"/>
    </row>
    <row r="8719" spans="1:5" x14ac:dyDescent="0.25">
      <c r="A8719" s="1033"/>
      <c r="E8719" s="130"/>
    </row>
    <row r="8720" spans="1:5" x14ac:dyDescent="0.25">
      <c r="A8720" s="1033"/>
      <c r="E8720" s="130"/>
    </row>
    <row r="8721" spans="1:5" x14ac:dyDescent="0.25">
      <c r="A8721" s="1033"/>
      <c r="E8721" s="130"/>
    </row>
    <row r="8722" spans="1:5" x14ac:dyDescent="0.25">
      <c r="A8722" s="1033"/>
      <c r="E8722" s="130"/>
    </row>
    <row r="8723" spans="1:5" x14ac:dyDescent="0.25">
      <c r="A8723" s="1033"/>
      <c r="E8723" s="130"/>
    </row>
    <row r="8724" spans="1:5" x14ac:dyDescent="0.25">
      <c r="A8724" s="1033"/>
      <c r="E8724" s="130"/>
    </row>
    <row r="8725" spans="1:5" x14ac:dyDescent="0.25">
      <c r="A8725" s="1033"/>
      <c r="E8725" s="130"/>
    </row>
    <row r="8726" spans="1:5" x14ac:dyDescent="0.25">
      <c r="A8726" s="1033"/>
      <c r="E8726" s="130"/>
    </row>
    <row r="8727" spans="1:5" x14ac:dyDescent="0.25">
      <c r="A8727" s="1033"/>
      <c r="E8727" s="130"/>
    </row>
    <row r="8728" spans="1:5" x14ac:dyDescent="0.25">
      <c r="A8728" s="1033"/>
      <c r="E8728" s="130"/>
    </row>
    <row r="8729" spans="1:5" x14ac:dyDescent="0.25">
      <c r="A8729" s="1033"/>
      <c r="E8729" s="130"/>
    </row>
    <row r="8730" spans="1:5" x14ac:dyDescent="0.25">
      <c r="A8730" s="1033"/>
      <c r="E8730" s="130"/>
    </row>
    <row r="8731" spans="1:5" x14ac:dyDescent="0.25">
      <c r="A8731" s="1033"/>
      <c r="E8731" s="130"/>
    </row>
    <row r="8732" spans="1:5" x14ac:dyDescent="0.25">
      <c r="A8732" s="1033"/>
      <c r="E8732" s="130"/>
    </row>
    <row r="8733" spans="1:5" x14ac:dyDescent="0.25">
      <c r="A8733" s="1033"/>
      <c r="E8733" s="130"/>
    </row>
    <row r="8734" spans="1:5" x14ac:dyDescent="0.25">
      <c r="A8734" s="1033"/>
      <c r="E8734" s="130"/>
    </row>
    <row r="8735" spans="1:5" x14ac:dyDescent="0.25">
      <c r="A8735" s="1033"/>
      <c r="E8735" s="130"/>
    </row>
    <row r="8736" spans="1:5" x14ac:dyDescent="0.25">
      <c r="A8736" s="1033"/>
      <c r="E8736" s="130"/>
    </row>
    <row r="8737" spans="1:5" x14ac:dyDescent="0.25">
      <c r="A8737" s="1033"/>
      <c r="E8737" s="130"/>
    </row>
    <row r="8738" spans="1:5" x14ac:dyDescent="0.25">
      <c r="A8738" s="1033"/>
      <c r="E8738" s="130"/>
    </row>
    <row r="8739" spans="1:5" x14ac:dyDescent="0.25">
      <c r="A8739" s="1033"/>
      <c r="E8739" s="130"/>
    </row>
    <row r="8740" spans="1:5" x14ac:dyDescent="0.25">
      <c r="A8740" s="1033"/>
      <c r="E8740" s="130"/>
    </row>
    <row r="8741" spans="1:5" x14ac:dyDescent="0.25">
      <c r="A8741" s="1033"/>
      <c r="E8741" s="130"/>
    </row>
    <row r="8742" spans="1:5" x14ac:dyDescent="0.25">
      <c r="A8742" s="1033"/>
      <c r="E8742" s="130"/>
    </row>
    <row r="8743" spans="1:5" x14ac:dyDescent="0.25">
      <c r="A8743" s="1033"/>
      <c r="E8743" s="130"/>
    </row>
    <row r="8744" spans="1:5" x14ac:dyDescent="0.25">
      <c r="A8744" s="1033"/>
      <c r="E8744" s="130"/>
    </row>
    <row r="8745" spans="1:5" x14ac:dyDescent="0.25">
      <c r="A8745" s="1033"/>
      <c r="E8745" s="130"/>
    </row>
    <row r="8746" spans="1:5" x14ac:dyDescent="0.25">
      <c r="A8746" s="1033"/>
      <c r="E8746" s="130"/>
    </row>
    <row r="8747" spans="1:5" x14ac:dyDescent="0.25">
      <c r="A8747" s="1033"/>
      <c r="E8747" s="130"/>
    </row>
    <row r="8748" spans="1:5" x14ac:dyDescent="0.25">
      <c r="A8748" s="1033"/>
      <c r="E8748" s="130"/>
    </row>
    <row r="8749" spans="1:5" x14ac:dyDescent="0.25">
      <c r="A8749" s="1033"/>
      <c r="E8749" s="130"/>
    </row>
    <row r="8750" spans="1:5" x14ac:dyDescent="0.25">
      <c r="A8750" s="1033"/>
      <c r="E8750" s="130"/>
    </row>
    <row r="8751" spans="1:5" x14ac:dyDescent="0.25">
      <c r="A8751" s="1033"/>
      <c r="E8751" s="130"/>
    </row>
    <row r="8752" spans="1:5" x14ac:dyDescent="0.25">
      <c r="A8752" s="1033"/>
      <c r="E8752" s="130"/>
    </row>
    <row r="8753" spans="1:5" x14ac:dyDescent="0.25">
      <c r="A8753" s="1033"/>
      <c r="E8753" s="130"/>
    </row>
    <row r="8754" spans="1:5" x14ac:dyDescent="0.25">
      <c r="A8754" s="1033"/>
      <c r="E8754" s="130"/>
    </row>
    <row r="8755" spans="1:5" x14ac:dyDescent="0.25">
      <c r="A8755" s="1033"/>
      <c r="E8755" s="130"/>
    </row>
    <row r="8756" spans="1:5" x14ac:dyDescent="0.25">
      <c r="A8756" s="1033"/>
      <c r="E8756" s="130"/>
    </row>
    <row r="8757" spans="1:5" x14ac:dyDescent="0.25">
      <c r="A8757" s="1033"/>
      <c r="E8757" s="130"/>
    </row>
    <row r="8758" spans="1:5" x14ac:dyDescent="0.25">
      <c r="A8758" s="1033"/>
      <c r="E8758" s="130"/>
    </row>
    <row r="8759" spans="1:5" x14ac:dyDescent="0.25">
      <c r="A8759" s="1033"/>
      <c r="E8759" s="130"/>
    </row>
    <row r="8760" spans="1:5" x14ac:dyDescent="0.25">
      <c r="A8760" s="1033"/>
      <c r="E8760" s="130"/>
    </row>
    <row r="8761" spans="1:5" x14ac:dyDescent="0.25">
      <c r="A8761" s="1033"/>
      <c r="E8761" s="130"/>
    </row>
    <row r="8762" spans="1:5" x14ac:dyDescent="0.25">
      <c r="A8762" s="1033"/>
      <c r="E8762" s="130"/>
    </row>
    <row r="8763" spans="1:5" x14ac:dyDescent="0.25">
      <c r="A8763" s="1033"/>
      <c r="E8763" s="130"/>
    </row>
    <row r="8764" spans="1:5" x14ac:dyDescent="0.25">
      <c r="A8764" s="1033"/>
      <c r="E8764" s="130"/>
    </row>
    <row r="8765" spans="1:5" x14ac:dyDescent="0.25">
      <c r="A8765" s="1033"/>
      <c r="E8765" s="130"/>
    </row>
    <row r="8766" spans="1:5" x14ac:dyDescent="0.25">
      <c r="A8766" s="1033"/>
      <c r="E8766" s="130"/>
    </row>
    <row r="8767" spans="1:5" x14ac:dyDescent="0.25">
      <c r="A8767" s="1033"/>
      <c r="E8767" s="130"/>
    </row>
    <row r="8768" spans="1:5" x14ac:dyDescent="0.25">
      <c r="A8768" s="1033"/>
      <c r="E8768" s="130"/>
    </row>
    <row r="8769" spans="1:5" x14ac:dyDescent="0.25">
      <c r="A8769" s="1033"/>
      <c r="E8769" s="130"/>
    </row>
    <row r="8770" spans="1:5" x14ac:dyDescent="0.25">
      <c r="A8770" s="1033"/>
      <c r="E8770" s="130"/>
    </row>
    <row r="8771" spans="1:5" x14ac:dyDescent="0.25">
      <c r="A8771" s="1033"/>
      <c r="E8771" s="130"/>
    </row>
    <row r="8772" spans="1:5" x14ac:dyDescent="0.25">
      <c r="A8772" s="1033"/>
      <c r="E8772" s="130"/>
    </row>
    <row r="8773" spans="1:5" x14ac:dyDescent="0.25">
      <c r="A8773" s="1033"/>
      <c r="E8773" s="130"/>
    </row>
    <row r="8774" spans="1:5" x14ac:dyDescent="0.25">
      <c r="A8774" s="1033"/>
      <c r="E8774" s="130"/>
    </row>
    <row r="8775" spans="1:5" x14ac:dyDescent="0.25">
      <c r="A8775" s="1033"/>
      <c r="E8775" s="130"/>
    </row>
    <row r="8776" spans="1:5" x14ac:dyDescent="0.25">
      <c r="A8776" s="1033"/>
      <c r="E8776" s="130"/>
    </row>
    <row r="8777" spans="1:5" x14ac:dyDescent="0.25">
      <c r="A8777" s="1033"/>
      <c r="E8777" s="130"/>
    </row>
    <row r="8778" spans="1:5" x14ac:dyDescent="0.25">
      <c r="A8778" s="1033"/>
      <c r="E8778" s="130"/>
    </row>
    <row r="8779" spans="1:5" x14ac:dyDescent="0.25">
      <c r="A8779" s="1033"/>
      <c r="E8779" s="130"/>
    </row>
    <row r="8780" spans="1:5" x14ac:dyDescent="0.25">
      <c r="A8780" s="1033"/>
      <c r="E8780" s="130"/>
    </row>
    <row r="8781" spans="1:5" x14ac:dyDescent="0.25">
      <c r="A8781" s="1033"/>
      <c r="E8781" s="130"/>
    </row>
    <row r="8782" spans="1:5" x14ac:dyDescent="0.25">
      <c r="A8782" s="1033"/>
      <c r="E8782" s="130"/>
    </row>
    <row r="8783" spans="1:5" x14ac:dyDescent="0.25">
      <c r="A8783" s="1033"/>
      <c r="E8783" s="130"/>
    </row>
    <row r="8784" spans="1:5" x14ac:dyDescent="0.25">
      <c r="A8784" s="1033"/>
      <c r="E8784" s="130"/>
    </row>
    <row r="8785" spans="1:5" x14ac:dyDescent="0.25">
      <c r="A8785" s="1033"/>
      <c r="E8785" s="130"/>
    </row>
    <row r="8786" spans="1:5" x14ac:dyDescent="0.25">
      <c r="A8786" s="1033"/>
      <c r="E8786" s="130"/>
    </row>
    <row r="8787" spans="1:5" x14ac:dyDescent="0.25">
      <c r="A8787" s="1033"/>
      <c r="E8787" s="130"/>
    </row>
    <row r="8788" spans="1:5" x14ac:dyDescent="0.25">
      <c r="A8788" s="1033"/>
      <c r="E8788" s="130"/>
    </row>
    <row r="8789" spans="1:5" x14ac:dyDescent="0.25">
      <c r="A8789" s="1033"/>
      <c r="E8789" s="130"/>
    </row>
    <row r="8790" spans="1:5" x14ac:dyDescent="0.25">
      <c r="A8790" s="1033"/>
      <c r="E8790" s="130"/>
    </row>
    <row r="8791" spans="1:5" x14ac:dyDescent="0.25">
      <c r="A8791" s="1033"/>
      <c r="E8791" s="130"/>
    </row>
    <row r="8792" spans="1:5" x14ac:dyDescent="0.25">
      <c r="A8792" s="1033"/>
      <c r="E8792" s="130"/>
    </row>
    <row r="8793" spans="1:5" x14ac:dyDescent="0.25">
      <c r="A8793" s="1033"/>
      <c r="E8793" s="130"/>
    </row>
    <row r="8794" spans="1:5" x14ac:dyDescent="0.25">
      <c r="A8794" s="1033"/>
      <c r="E8794" s="130"/>
    </row>
    <row r="8795" spans="1:5" x14ac:dyDescent="0.25">
      <c r="A8795" s="1033"/>
      <c r="E8795" s="130"/>
    </row>
    <row r="8796" spans="1:5" x14ac:dyDescent="0.25">
      <c r="A8796" s="1033"/>
      <c r="E8796" s="130"/>
    </row>
    <row r="8797" spans="1:5" x14ac:dyDescent="0.25">
      <c r="A8797" s="1033"/>
      <c r="E8797" s="130"/>
    </row>
    <row r="8798" spans="1:5" x14ac:dyDescent="0.25">
      <c r="A8798" s="1033"/>
      <c r="E8798" s="130"/>
    </row>
    <row r="8799" spans="1:5" x14ac:dyDescent="0.25">
      <c r="A8799" s="1033"/>
      <c r="E8799" s="130"/>
    </row>
    <row r="8800" spans="1:5" x14ac:dyDescent="0.25">
      <c r="A8800" s="1033"/>
      <c r="E8800" s="130"/>
    </row>
    <row r="8801" spans="1:5" x14ac:dyDescent="0.25">
      <c r="A8801" s="1033"/>
      <c r="E8801" s="130"/>
    </row>
    <row r="8802" spans="1:5" x14ac:dyDescent="0.25">
      <c r="A8802" s="1033"/>
      <c r="E8802" s="130"/>
    </row>
    <row r="8803" spans="1:5" x14ac:dyDescent="0.25">
      <c r="A8803" s="1033"/>
      <c r="E8803" s="130"/>
    </row>
    <row r="8804" spans="1:5" x14ac:dyDescent="0.25">
      <c r="A8804" s="1033"/>
      <c r="E8804" s="130"/>
    </row>
    <row r="8805" spans="1:5" x14ac:dyDescent="0.25">
      <c r="A8805" s="1033"/>
      <c r="E8805" s="130"/>
    </row>
    <row r="8806" spans="1:5" x14ac:dyDescent="0.25">
      <c r="A8806" s="1033"/>
      <c r="E8806" s="130"/>
    </row>
    <row r="8807" spans="1:5" x14ac:dyDescent="0.25">
      <c r="A8807" s="1033"/>
      <c r="E8807" s="130"/>
    </row>
    <row r="8808" spans="1:5" x14ac:dyDescent="0.25">
      <c r="A8808" s="1033"/>
      <c r="E8808" s="130"/>
    </row>
    <row r="8809" spans="1:5" x14ac:dyDescent="0.25">
      <c r="A8809" s="1033"/>
      <c r="E8809" s="130"/>
    </row>
    <row r="8810" spans="1:5" x14ac:dyDescent="0.25">
      <c r="A8810" s="1033"/>
      <c r="E8810" s="130"/>
    </row>
    <row r="8811" spans="1:5" x14ac:dyDescent="0.25">
      <c r="A8811" s="1033"/>
      <c r="E8811" s="130"/>
    </row>
    <row r="8812" spans="1:5" x14ac:dyDescent="0.25">
      <c r="A8812" s="1033"/>
      <c r="E8812" s="130"/>
    </row>
    <row r="8813" spans="1:5" x14ac:dyDescent="0.25">
      <c r="A8813" s="1033"/>
      <c r="E8813" s="130"/>
    </row>
    <row r="8814" spans="1:5" x14ac:dyDescent="0.25">
      <c r="A8814" s="1033"/>
      <c r="E8814" s="130"/>
    </row>
    <row r="8815" spans="1:5" x14ac:dyDescent="0.25">
      <c r="A8815" s="1033"/>
      <c r="E8815" s="130"/>
    </row>
    <row r="8816" spans="1:5" x14ac:dyDescent="0.25">
      <c r="A8816" s="1033"/>
      <c r="E8816" s="130"/>
    </row>
    <row r="8817" spans="1:5" x14ac:dyDescent="0.25">
      <c r="A8817" s="1033"/>
      <c r="E8817" s="130"/>
    </row>
    <row r="8818" spans="1:5" x14ac:dyDescent="0.25">
      <c r="A8818" s="1033"/>
      <c r="E8818" s="130"/>
    </row>
    <row r="8819" spans="1:5" x14ac:dyDescent="0.25">
      <c r="A8819" s="1033"/>
      <c r="E8819" s="130"/>
    </row>
    <row r="8820" spans="1:5" x14ac:dyDescent="0.25">
      <c r="A8820" s="1033"/>
      <c r="E8820" s="130"/>
    </row>
    <row r="8821" spans="1:5" x14ac:dyDescent="0.25">
      <c r="A8821" s="1033"/>
      <c r="E8821" s="130"/>
    </row>
    <row r="8822" spans="1:5" x14ac:dyDescent="0.25">
      <c r="A8822" s="1033"/>
      <c r="E8822" s="130"/>
    </row>
    <row r="8823" spans="1:5" x14ac:dyDescent="0.25">
      <c r="A8823" s="1033"/>
      <c r="E8823" s="130"/>
    </row>
    <row r="8824" spans="1:5" x14ac:dyDescent="0.25">
      <c r="A8824" s="1033"/>
      <c r="E8824" s="130"/>
    </row>
    <row r="8825" spans="1:5" x14ac:dyDescent="0.25">
      <c r="A8825" s="1033"/>
      <c r="E8825" s="130"/>
    </row>
    <row r="8826" spans="1:5" x14ac:dyDescent="0.25">
      <c r="A8826" s="1033"/>
      <c r="E8826" s="130"/>
    </row>
    <row r="8827" spans="1:5" x14ac:dyDescent="0.25">
      <c r="A8827" s="1033"/>
      <c r="E8827" s="130"/>
    </row>
    <row r="8828" spans="1:5" x14ac:dyDescent="0.25">
      <c r="A8828" s="1033"/>
      <c r="E8828" s="130"/>
    </row>
    <row r="8829" spans="1:5" x14ac:dyDescent="0.25">
      <c r="A8829" s="1033"/>
      <c r="E8829" s="130"/>
    </row>
    <row r="8830" spans="1:5" x14ac:dyDescent="0.25">
      <c r="A8830" s="1033"/>
      <c r="E8830" s="130"/>
    </row>
    <row r="8831" spans="1:5" x14ac:dyDescent="0.25">
      <c r="A8831" s="1033"/>
      <c r="E8831" s="130"/>
    </row>
    <row r="8832" spans="1:5" x14ac:dyDescent="0.25">
      <c r="A8832" s="1033"/>
      <c r="E8832" s="130"/>
    </row>
    <row r="8833" spans="1:5" x14ac:dyDescent="0.25">
      <c r="A8833" s="1033"/>
      <c r="E8833" s="130"/>
    </row>
    <row r="8834" spans="1:5" x14ac:dyDescent="0.25">
      <c r="A8834" s="1033"/>
      <c r="E8834" s="130"/>
    </row>
    <row r="8835" spans="1:5" x14ac:dyDescent="0.25">
      <c r="A8835" s="1033"/>
      <c r="E8835" s="130"/>
    </row>
    <row r="8836" spans="1:5" x14ac:dyDescent="0.25">
      <c r="A8836" s="1033"/>
      <c r="E8836" s="130"/>
    </row>
    <row r="8837" spans="1:5" x14ac:dyDescent="0.25">
      <c r="A8837" s="1033"/>
      <c r="E8837" s="130"/>
    </row>
    <row r="8838" spans="1:5" x14ac:dyDescent="0.25">
      <c r="A8838" s="1033"/>
      <c r="E8838" s="130"/>
    </row>
    <row r="8839" spans="1:5" x14ac:dyDescent="0.25">
      <c r="A8839" s="1033"/>
      <c r="E8839" s="130"/>
    </row>
    <row r="8840" spans="1:5" x14ac:dyDescent="0.25">
      <c r="A8840" s="1033"/>
      <c r="E8840" s="130"/>
    </row>
    <row r="8841" spans="1:5" x14ac:dyDescent="0.25">
      <c r="A8841" s="1033"/>
      <c r="E8841" s="130"/>
    </row>
    <row r="8842" spans="1:5" x14ac:dyDescent="0.25">
      <c r="A8842" s="1033"/>
      <c r="E8842" s="130"/>
    </row>
    <row r="8843" spans="1:5" x14ac:dyDescent="0.25">
      <c r="A8843" s="1033"/>
      <c r="E8843" s="130"/>
    </row>
    <row r="8844" spans="1:5" x14ac:dyDescent="0.25">
      <c r="A8844" s="1033"/>
      <c r="E8844" s="130"/>
    </row>
    <row r="8845" spans="1:5" x14ac:dyDescent="0.25">
      <c r="A8845" s="1033"/>
      <c r="E8845" s="130"/>
    </row>
    <row r="8846" spans="1:5" x14ac:dyDescent="0.25">
      <c r="A8846" s="1033"/>
      <c r="E8846" s="130"/>
    </row>
    <row r="8847" spans="1:5" x14ac:dyDescent="0.25">
      <c r="A8847" s="1033"/>
      <c r="E8847" s="130"/>
    </row>
    <row r="8848" spans="1:5" x14ac:dyDescent="0.25">
      <c r="A8848" s="1033"/>
      <c r="E8848" s="130"/>
    </row>
    <row r="8849" spans="1:5" x14ac:dyDescent="0.25">
      <c r="A8849" s="1033"/>
      <c r="E8849" s="130"/>
    </row>
    <row r="8850" spans="1:5" x14ac:dyDescent="0.25">
      <c r="A8850" s="1033"/>
      <c r="E8850" s="130"/>
    </row>
    <row r="8851" spans="1:5" x14ac:dyDescent="0.25">
      <c r="A8851" s="1033"/>
      <c r="E8851" s="130"/>
    </row>
    <row r="8852" spans="1:5" x14ac:dyDescent="0.25">
      <c r="A8852" s="1033"/>
      <c r="E8852" s="130"/>
    </row>
    <row r="8853" spans="1:5" x14ac:dyDescent="0.25">
      <c r="A8853" s="1033"/>
      <c r="E8853" s="130"/>
    </row>
    <row r="8854" spans="1:5" x14ac:dyDescent="0.25">
      <c r="A8854" s="1033"/>
      <c r="E8854" s="130"/>
    </row>
    <row r="8855" spans="1:5" x14ac:dyDescent="0.25">
      <c r="A8855" s="1033"/>
      <c r="E8855" s="130"/>
    </row>
    <row r="8856" spans="1:5" x14ac:dyDescent="0.25">
      <c r="A8856" s="1033"/>
      <c r="E8856" s="130"/>
    </row>
    <row r="8857" spans="1:5" x14ac:dyDescent="0.25">
      <c r="A8857" s="1033"/>
      <c r="E8857" s="130"/>
    </row>
    <row r="8858" spans="1:5" x14ac:dyDescent="0.25">
      <c r="A8858" s="1033"/>
      <c r="E8858" s="130"/>
    </row>
    <row r="8859" spans="1:5" x14ac:dyDescent="0.25">
      <c r="A8859" s="1033"/>
      <c r="E8859" s="130"/>
    </row>
    <row r="8860" spans="1:5" x14ac:dyDescent="0.25">
      <c r="A8860" s="1033"/>
      <c r="E8860" s="130"/>
    </row>
    <row r="8861" spans="1:5" x14ac:dyDescent="0.25">
      <c r="A8861" s="1033"/>
      <c r="E8861" s="130"/>
    </row>
    <row r="8862" spans="1:5" x14ac:dyDescent="0.25">
      <c r="A8862" s="1033"/>
      <c r="E8862" s="130"/>
    </row>
    <row r="8863" spans="1:5" x14ac:dyDescent="0.25">
      <c r="A8863" s="1033"/>
      <c r="E8863" s="130"/>
    </row>
    <row r="8864" spans="1:5" x14ac:dyDescent="0.25">
      <c r="A8864" s="1033"/>
      <c r="E8864" s="130"/>
    </row>
    <row r="8865" spans="1:5" x14ac:dyDescent="0.25">
      <c r="A8865" s="1033"/>
      <c r="E8865" s="130"/>
    </row>
    <row r="8866" spans="1:5" x14ac:dyDescent="0.25">
      <c r="A8866" s="1033"/>
      <c r="E8866" s="130"/>
    </row>
    <row r="8867" spans="1:5" x14ac:dyDescent="0.25">
      <c r="A8867" s="1033"/>
      <c r="E8867" s="130"/>
    </row>
    <row r="8868" spans="1:5" x14ac:dyDescent="0.25">
      <c r="A8868" s="1033"/>
      <c r="E8868" s="130"/>
    </row>
    <row r="8869" spans="1:5" x14ac:dyDescent="0.25">
      <c r="A8869" s="1033"/>
      <c r="E8869" s="130"/>
    </row>
    <row r="8870" spans="1:5" x14ac:dyDescent="0.25">
      <c r="A8870" s="1033"/>
      <c r="E8870" s="130"/>
    </row>
    <row r="8871" spans="1:5" x14ac:dyDescent="0.25">
      <c r="A8871" s="1033"/>
      <c r="E8871" s="130"/>
    </row>
    <row r="8872" spans="1:5" x14ac:dyDescent="0.25">
      <c r="A8872" s="1033"/>
      <c r="E8872" s="130"/>
    </row>
    <row r="8873" spans="1:5" x14ac:dyDescent="0.25">
      <c r="A8873" s="1033"/>
      <c r="E8873" s="130"/>
    </row>
    <row r="8874" spans="1:5" x14ac:dyDescent="0.25">
      <c r="A8874" s="1033"/>
      <c r="E8874" s="130"/>
    </row>
    <row r="8875" spans="1:5" x14ac:dyDescent="0.25">
      <c r="A8875" s="1033"/>
      <c r="E8875" s="130"/>
    </row>
    <row r="8876" spans="1:5" x14ac:dyDescent="0.25">
      <c r="A8876" s="1033"/>
      <c r="E8876" s="130"/>
    </row>
    <row r="8877" spans="1:5" x14ac:dyDescent="0.25">
      <c r="A8877" s="1033"/>
      <c r="E8877" s="130"/>
    </row>
    <row r="8878" spans="1:5" x14ac:dyDescent="0.25">
      <c r="A8878" s="1033"/>
      <c r="E8878" s="130"/>
    </row>
    <row r="8879" spans="1:5" x14ac:dyDescent="0.25">
      <c r="A8879" s="1033"/>
      <c r="E8879" s="130"/>
    </row>
    <row r="8880" spans="1:5" x14ac:dyDescent="0.25">
      <c r="A8880" s="1033"/>
      <c r="E8880" s="130"/>
    </row>
    <row r="8881" spans="1:5" x14ac:dyDescent="0.25">
      <c r="A8881" s="1033"/>
      <c r="E8881" s="130"/>
    </row>
    <row r="8882" spans="1:5" x14ac:dyDescent="0.25">
      <c r="A8882" s="1033"/>
      <c r="E8882" s="130"/>
    </row>
    <row r="8883" spans="1:5" x14ac:dyDescent="0.25">
      <c r="A8883" s="1033"/>
      <c r="E8883" s="130"/>
    </row>
    <row r="8884" spans="1:5" x14ac:dyDescent="0.25">
      <c r="A8884" s="1033"/>
      <c r="E8884" s="130"/>
    </row>
    <row r="8885" spans="1:5" x14ac:dyDescent="0.25">
      <c r="A8885" s="1033"/>
      <c r="E8885" s="130"/>
    </row>
    <row r="8886" spans="1:5" x14ac:dyDescent="0.25">
      <c r="A8886" s="1033"/>
      <c r="E8886" s="130"/>
    </row>
    <row r="8887" spans="1:5" x14ac:dyDescent="0.25">
      <c r="A8887" s="1033"/>
      <c r="E8887" s="130"/>
    </row>
    <row r="8888" spans="1:5" x14ac:dyDescent="0.25">
      <c r="A8888" s="1033"/>
      <c r="E8888" s="130"/>
    </row>
    <row r="8889" spans="1:5" x14ac:dyDescent="0.25">
      <c r="A8889" s="1033"/>
      <c r="E8889" s="130"/>
    </row>
    <row r="8890" spans="1:5" x14ac:dyDescent="0.25">
      <c r="A8890" s="1033"/>
      <c r="E8890" s="130"/>
    </row>
    <row r="8891" spans="1:5" x14ac:dyDescent="0.25">
      <c r="A8891" s="1033"/>
      <c r="E8891" s="130"/>
    </row>
    <row r="8892" spans="1:5" x14ac:dyDescent="0.25">
      <c r="A8892" s="1033"/>
      <c r="E8892" s="130"/>
    </row>
    <row r="8893" spans="1:5" x14ac:dyDescent="0.25">
      <c r="A8893" s="1033"/>
      <c r="E8893" s="130"/>
    </row>
    <row r="8894" spans="1:5" x14ac:dyDescent="0.25">
      <c r="A8894" s="1033"/>
      <c r="E8894" s="130"/>
    </row>
    <row r="8895" spans="1:5" x14ac:dyDescent="0.25">
      <c r="A8895" s="1033"/>
      <c r="E8895" s="130"/>
    </row>
    <row r="8896" spans="1:5" x14ac:dyDescent="0.25">
      <c r="A8896" s="1033"/>
      <c r="E8896" s="130"/>
    </row>
    <row r="8897" spans="1:5" x14ac:dyDescent="0.25">
      <c r="A8897" s="1033"/>
      <c r="E8897" s="130"/>
    </row>
    <row r="8898" spans="1:5" x14ac:dyDescent="0.25">
      <c r="A8898" s="1033"/>
      <c r="E8898" s="130"/>
    </row>
    <row r="8899" spans="1:5" x14ac:dyDescent="0.25">
      <c r="A8899" s="1033"/>
      <c r="E8899" s="130"/>
    </row>
    <row r="8900" spans="1:5" x14ac:dyDescent="0.25">
      <c r="A8900" s="1033"/>
      <c r="E8900" s="130"/>
    </row>
    <row r="8901" spans="1:5" x14ac:dyDescent="0.25">
      <c r="A8901" s="1033"/>
      <c r="E8901" s="130"/>
    </row>
    <row r="8902" spans="1:5" x14ac:dyDescent="0.25">
      <c r="A8902" s="1033"/>
      <c r="E8902" s="130"/>
    </row>
    <row r="8903" spans="1:5" x14ac:dyDescent="0.25">
      <c r="A8903" s="1033"/>
      <c r="E8903" s="130"/>
    </row>
    <row r="8904" spans="1:5" x14ac:dyDescent="0.25">
      <c r="A8904" s="1033"/>
      <c r="E8904" s="130"/>
    </row>
    <row r="8905" spans="1:5" x14ac:dyDescent="0.25">
      <c r="A8905" s="1033"/>
      <c r="E8905" s="130"/>
    </row>
    <row r="8906" spans="1:5" x14ac:dyDescent="0.25">
      <c r="A8906" s="1033"/>
      <c r="E8906" s="130"/>
    </row>
    <row r="8907" spans="1:5" x14ac:dyDescent="0.25">
      <c r="A8907" s="1033"/>
      <c r="E8907" s="130"/>
    </row>
    <row r="8908" spans="1:5" x14ac:dyDescent="0.25">
      <c r="A8908" s="1033"/>
      <c r="E8908" s="130"/>
    </row>
    <row r="8909" spans="1:5" x14ac:dyDescent="0.25">
      <c r="A8909" s="1033"/>
      <c r="E8909" s="130"/>
    </row>
    <row r="8910" spans="1:5" x14ac:dyDescent="0.25">
      <c r="A8910" s="1033"/>
      <c r="E8910" s="130"/>
    </row>
    <row r="8911" spans="1:5" x14ac:dyDescent="0.25">
      <c r="A8911" s="1033"/>
      <c r="E8911" s="130"/>
    </row>
    <row r="8912" spans="1:5" x14ac:dyDescent="0.25">
      <c r="A8912" s="1033"/>
      <c r="E8912" s="130"/>
    </row>
    <row r="8913" spans="1:5" x14ac:dyDescent="0.25">
      <c r="A8913" s="1033"/>
      <c r="E8913" s="130"/>
    </row>
    <row r="8914" spans="1:5" x14ac:dyDescent="0.25">
      <c r="A8914" s="1033"/>
      <c r="E8914" s="130"/>
    </row>
    <row r="8915" spans="1:5" x14ac:dyDescent="0.25">
      <c r="A8915" s="1033"/>
      <c r="E8915" s="130"/>
    </row>
    <row r="8916" spans="1:5" x14ac:dyDescent="0.25">
      <c r="A8916" s="1033"/>
      <c r="E8916" s="130"/>
    </row>
    <row r="8917" spans="1:5" x14ac:dyDescent="0.25">
      <c r="A8917" s="1033"/>
      <c r="E8917" s="130"/>
    </row>
    <row r="8918" spans="1:5" x14ac:dyDescent="0.25">
      <c r="A8918" s="1033"/>
      <c r="E8918" s="130"/>
    </row>
    <row r="8919" spans="1:5" x14ac:dyDescent="0.25">
      <c r="A8919" s="1033"/>
      <c r="E8919" s="130"/>
    </row>
    <row r="8920" spans="1:5" x14ac:dyDescent="0.25">
      <c r="A8920" s="1033"/>
      <c r="E8920" s="130"/>
    </row>
    <row r="8921" spans="1:5" x14ac:dyDescent="0.25">
      <c r="A8921" s="1033"/>
      <c r="E8921" s="130"/>
    </row>
    <row r="8922" spans="1:5" x14ac:dyDescent="0.25">
      <c r="A8922" s="1033"/>
      <c r="E8922" s="130"/>
    </row>
    <row r="8923" spans="1:5" x14ac:dyDescent="0.25">
      <c r="A8923" s="1033"/>
      <c r="E8923" s="130"/>
    </row>
    <row r="8924" spans="1:5" x14ac:dyDescent="0.25">
      <c r="A8924" s="1033"/>
      <c r="E8924" s="130"/>
    </row>
    <row r="8925" spans="1:5" x14ac:dyDescent="0.25">
      <c r="A8925" s="1033"/>
      <c r="E8925" s="130"/>
    </row>
    <row r="8926" spans="1:5" x14ac:dyDescent="0.25">
      <c r="A8926" s="1033"/>
      <c r="E8926" s="130"/>
    </row>
    <row r="8927" spans="1:5" x14ac:dyDescent="0.25">
      <c r="A8927" s="1033"/>
      <c r="E8927" s="130"/>
    </row>
    <row r="8928" spans="1:5" x14ac:dyDescent="0.25">
      <c r="A8928" s="1033"/>
      <c r="E8928" s="130"/>
    </row>
    <row r="8929" spans="1:5" x14ac:dyDescent="0.25">
      <c r="A8929" s="1033"/>
      <c r="E8929" s="130"/>
    </row>
    <row r="8930" spans="1:5" x14ac:dyDescent="0.25">
      <c r="A8930" s="1033"/>
      <c r="E8930" s="130"/>
    </row>
    <row r="8931" spans="1:5" x14ac:dyDescent="0.25">
      <c r="A8931" s="1033"/>
      <c r="E8931" s="130"/>
    </row>
    <row r="8932" spans="1:5" x14ac:dyDescent="0.25">
      <c r="A8932" s="1033"/>
      <c r="E8932" s="130"/>
    </row>
    <row r="8933" spans="1:5" x14ac:dyDescent="0.25">
      <c r="A8933" s="1033"/>
      <c r="E8933" s="130"/>
    </row>
    <row r="8934" spans="1:5" x14ac:dyDescent="0.25">
      <c r="A8934" s="1033"/>
      <c r="E8934" s="130"/>
    </row>
    <row r="8935" spans="1:5" x14ac:dyDescent="0.25">
      <c r="A8935" s="1033"/>
      <c r="E8935" s="130"/>
    </row>
    <row r="8936" spans="1:5" x14ac:dyDescent="0.25">
      <c r="A8936" s="1033"/>
      <c r="E8936" s="130"/>
    </row>
    <row r="8937" spans="1:5" x14ac:dyDescent="0.25">
      <c r="A8937" s="1033"/>
      <c r="E8937" s="130"/>
    </row>
    <row r="8938" spans="1:5" x14ac:dyDescent="0.25">
      <c r="A8938" s="1033"/>
      <c r="E8938" s="130"/>
    </row>
    <row r="8939" spans="1:5" x14ac:dyDescent="0.25">
      <c r="A8939" s="1033"/>
      <c r="E8939" s="130"/>
    </row>
    <row r="8940" spans="1:5" x14ac:dyDescent="0.25">
      <c r="A8940" s="1033"/>
      <c r="E8940" s="130"/>
    </row>
    <row r="8941" spans="1:5" x14ac:dyDescent="0.25">
      <c r="A8941" s="1033"/>
      <c r="E8941" s="130"/>
    </row>
    <row r="8942" spans="1:5" x14ac:dyDescent="0.25">
      <c r="A8942" s="1033"/>
      <c r="E8942" s="130"/>
    </row>
    <row r="8943" spans="1:5" x14ac:dyDescent="0.25">
      <c r="A8943" s="1033"/>
      <c r="E8943" s="130"/>
    </row>
    <row r="8944" spans="1:5" x14ac:dyDescent="0.25">
      <c r="A8944" s="1033"/>
      <c r="E8944" s="130"/>
    </row>
    <row r="8945" spans="1:5" x14ac:dyDescent="0.25">
      <c r="A8945" s="1033"/>
      <c r="E8945" s="130"/>
    </row>
    <row r="8946" spans="1:5" x14ac:dyDescent="0.25">
      <c r="A8946" s="1033"/>
      <c r="E8946" s="130"/>
    </row>
    <row r="8947" spans="1:5" x14ac:dyDescent="0.25">
      <c r="A8947" s="1033"/>
      <c r="E8947" s="130"/>
    </row>
    <row r="8948" spans="1:5" x14ac:dyDescent="0.25">
      <c r="A8948" s="1033"/>
      <c r="E8948" s="130"/>
    </row>
    <row r="8949" spans="1:5" x14ac:dyDescent="0.25">
      <c r="A8949" s="1033"/>
      <c r="E8949" s="130"/>
    </row>
    <row r="8950" spans="1:5" x14ac:dyDescent="0.25">
      <c r="A8950" s="1033"/>
      <c r="E8950" s="130"/>
    </row>
    <row r="8951" spans="1:5" x14ac:dyDescent="0.25">
      <c r="A8951" s="1033"/>
      <c r="E8951" s="130"/>
    </row>
    <row r="8952" spans="1:5" x14ac:dyDescent="0.25">
      <c r="A8952" s="1033"/>
      <c r="E8952" s="130"/>
    </row>
    <row r="8953" spans="1:5" x14ac:dyDescent="0.25">
      <c r="A8953" s="1033"/>
      <c r="E8953" s="130"/>
    </row>
    <row r="8954" spans="1:5" x14ac:dyDescent="0.25">
      <c r="A8954" s="1033"/>
      <c r="E8954" s="130"/>
    </row>
    <row r="8955" spans="1:5" x14ac:dyDescent="0.25">
      <c r="A8955" s="1033"/>
      <c r="E8955" s="130"/>
    </row>
    <row r="8956" spans="1:5" x14ac:dyDescent="0.25">
      <c r="A8956" s="1033"/>
      <c r="E8956" s="130"/>
    </row>
    <row r="8957" spans="1:5" x14ac:dyDescent="0.25">
      <c r="A8957" s="1033"/>
      <c r="E8957" s="130"/>
    </row>
    <row r="8958" spans="1:5" x14ac:dyDescent="0.25">
      <c r="A8958" s="1033"/>
      <c r="E8958" s="130"/>
    </row>
    <row r="8959" spans="1:5" x14ac:dyDescent="0.25">
      <c r="A8959" s="1033"/>
      <c r="E8959" s="130"/>
    </row>
    <row r="8960" spans="1:5" x14ac:dyDescent="0.25">
      <c r="A8960" s="1033"/>
      <c r="E8960" s="130"/>
    </row>
    <row r="8961" spans="1:5" x14ac:dyDescent="0.25">
      <c r="A8961" s="1033"/>
      <c r="E8961" s="130"/>
    </row>
    <row r="8962" spans="1:5" x14ac:dyDescent="0.25">
      <c r="A8962" s="1033"/>
      <c r="E8962" s="130"/>
    </row>
    <row r="8963" spans="1:5" x14ac:dyDescent="0.25">
      <c r="A8963" s="1033"/>
      <c r="E8963" s="130"/>
    </row>
    <row r="8964" spans="1:5" x14ac:dyDescent="0.25">
      <c r="A8964" s="1033"/>
      <c r="E8964" s="130"/>
    </row>
    <row r="8965" spans="1:5" x14ac:dyDescent="0.25">
      <c r="A8965" s="1033"/>
      <c r="E8965" s="130"/>
    </row>
    <row r="8966" spans="1:5" x14ac:dyDescent="0.25">
      <c r="A8966" s="1033"/>
      <c r="E8966" s="130"/>
    </row>
    <row r="8967" spans="1:5" x14ac:dyDescent="0.25">
      <c r="A8967" s="1033"/>
      <c r="E8967" s="130"/>
    </row>
    <row r="8968" spans="1:5" x14ac:dyDescent="0.25">
      <c r="A8968" s="1033"/>
      <c r="E8968" s="130"/>
    </row>
    <row r="8969" spans="1:5" x14ac:dyDescent="0.25">
      <c r="A8969" s="1033"/>
      <c r="E8969" s="130"/>
    </row>
    <row r="8970" spans="1:5" x14ac:dyDescent="0.25">
      <c r="A8970" s="1033"/>
      <c r="E8970" s="130"/>
    </row>
    <row r="8971" spans="1:5" x14ac:dyDescent="0.25">
      <c r="A8971" s="1033"/>
      <c r="E8971" s="130"/>
    </row>
    <row r="8972" spans="1:5" x14ac:dyDescent="0.25">
      <c r="A8972" s="1033"/>
      <c r="E8972" s="130"/>
    </row>
    <row r="8973" spans="1:5" x14ac:dyDescent="0.25">
      <c r="A8973" s="1033"/>
      <c r="E8973" s="130"/>
    </row>
    <row r="8974" spans="1:5" x14ac:dyDescent="0.25">
      <c r="A8974" s="1033"/>
      <c r="E8974" s="130"/>
    </row>
    <row r="8975" spans="1:5" x14ac:dyDescent="0.25">
      <c r="A8975" s="1033"/>
      <c r="E8975" s="130"/>
    </row>
    <row r="8976" spans="1:5" x14ac:dyDescent="0.25">
      <c r="A8976" s="1033"/>
      <c r="E8976" s="130"/>
    </row>
    <row r="8977" spans="1:5" x14ac:dyDescent="0.25">
      <c r="A8977" s="1033"/>
      <c r="E8977" s="130"/>
    </row>
    <row r="8978" spans="1:5" x14ac:dyDescent="0.25">
      <c r="A8978" s="1033"/>
      <c r="E8978" s="130"/>
    </row>
    <row r="8979" spans="1:5" x14ac:dyDescent="0.25">
      <c r="A8979" s="1033"/>
      <c r="E8979" s="130"/>
    </row>
    <row r="8980" spans="1:5" x14ac:dyDescent="0.25">
      <c r="A8980" s="1033"/>
      <c r="E8980" s="130"/>
    </row>
    <row r="8981" spans="1:5" x14ac:dyDescent="0.25">
      <c r="A8981" s="1033"/>
      <c r="E8981" s="130"/>
    </row>
    <row r="8982" spans="1:5" x14ac:dyDescent="0.25">
      <c r="A8982" s="1033"/>
      <c r="E8982" s="130"/>
    </row>
    <row r="8983" spans="1:5" x14ac:dyDescent="0.25">
      <c r="A8983" s="1033"/>
      <c r="E8983" s="130"/>
    </row>
    <row r="8984" spans="1:5" x14ac:dyDescent="0.25">
      <c r="A8984" s="1033"/>
      <c r="E8984" s="130"/>
    </row>
    <row r="8985" spans="1:5" x14ac:dyDescent="0.25">
      <c r="A8985" s="1033"/>
      <c r="E8985" s="130"/>
    </row>
    <row r="8986" spans="1:5" x14ac:dyDescent="0.25">
      <c r="A8986" s="1033"/>
      <c r="E8986" s="130"/>
    </row>
    <row r="8987" spans="1:5" x14ac:dyDescent="0.25">
      <c r="A8987" s="1033"/>
      <c r="E8987" s="130"/>
    </row>
    <row r="8988" spans="1:5" x14ac:dyDescent="0.25">
      <c r="A8988" s="1033"/>
      <c r="E8988" s="130"/>
    </row>
    <row r="8989" spans="1:5" x14ac:dyDescent="0.25">
      <c r="A8989" s="1033"/>
      <c r="E8989" s="130"/>
    </row>
    <row r="8990" spans="1:5" x14ac:dyDescent="0.25">
      <c r="A8990" s="1033"/>
      <c r="E8990" s="130"/>
    </row>
    <row r="8991" spans="1:5" x14ac:dyDescent="0.25">
      <c r="A8991" s="1033"/>
      <c r="E8991" s="130"/>
    </row>
    <row r="8992" spans="1:5" x14ac:dyDescent="0.25">
      <c r="A8992" s="1033"/>
      <c r="E8992" s="130"/>
    </row>
    <row r="8993" spans="1:5" x14ac:dyDescent="0.25">
      <c r="A8993" s="1033"/>
      <c r="E8993" s="130"/>
    </row>
    <row r="8994" spans="1:5" x14ac:dyDescent="0.25">
      <c r="A8994" s="1033"/>
      <c r="E8994" s="130"/>
    </row>
    <row r="8995" spans="1:5" x14ac:dyDescent="0.25">
      <c r="A8995" s="1033"/>
      <c r="E8995" s="130"/>
    </row>
    <row r="8996" spans="1:5" x14ac:dyDescent="0.25">
      <c r="A8996" s="1033"/>
      <c r="E8996" s="130"/>
    </row>
    <row r="8997" spans="1:5" x14ac:dyDescent="0.25">
      <c r="A8997" s="1033"/>
      <c r="E8997" s="130"/>
    </row>
    <row r="8998" spans="1:5" x14ac:dyDescent="0.25">
      <c r="A8998" s="1033"/>
      <c r="E8998" s="130"/>
    </row>
    <row r="8999" spans="1:5" x14ac:dyDescent="0.25">
      <c r="A8999" s="1033"/>
      <c r="E8999" s="130"/>
    </row>
    <row r="9000" spans="1:5" x14ac:dyDescent="0.25">
      <c r="A9000" s="1033"/>
      <c r="E9000" s="130"/>
    </row>
    <row r="9001" spans="1:5" x14ac:dyDescent="0.25">
      <c r="A9001" s="1033"/>
      <c r="E9001" s="130"/>
    </row>
    <row r="9002" spans="1:5" x14ac:dyDescent="0.25">
      <c r="A9002" s="1033"/>
      <c r="E9002" s="130"/>
    </row>
    <row r="9003" spans="1:5" x14ac:dyDescent="0.25">
      <c r="A9003" s="1033"/>
      <c r="E9003" s="130"/>
    </row>
    <row r="9004" spans="1:5" x14ac:dyDescent="0.25">
      <c r="A9004" s="1033"/>
      <c r="E9004" s="130"/>
    </row>
    <row r="9005" spans="1:5" x14ac:dyDescent="0.25">
      <c r="A9005" s="1033"/>
      <c r="E9005" s="130"/>
    </row>
    <row r="9006" spans="1:5" x14ac:dyDescent="0.25">
      <c r="A9006" s="1033"/>
      <c r="E9006" s="130"/>
    </row>
    <row r="9007" spans="1:5" x14ac:dyDescent="0.25">
      <c r="A9007" s="1033"/>
      <c r="E9007" s="130"/>
    </row>
    <row r="9008" spans="1:5" x14ac:dyDescent="0.25">
      <c r="A9008" s="1033"/>
      <c r="E9008" s="130"/>
    </row>
    <row r="9009" spans="1:5" x14ac:dyDescent="0.25">
      <c r="A9009" s="1033"/>
      <c r="E9009" s="130"/>
    </row>
    <row r="9010" spans="1:5" x14ac:dyDescent="0.25">
      <c r="A9010" s="1033"/>
      <c r="E9010" s="130"/>
    </row>
    <row r="9011" spans="1:5" x14ac:dyDescent="0.25">
      <c r="A9011" s="1033"/>
      <c r="E9011" s="130"/>
    </row>
    <row r="9012" spans="1:5" x14ac:dyDescent="0.25">
      <c r="A9012" s="1033"/>
      <c r="E9012" s="130"/>
    </row>
    <row r="9013" spans="1:5" x14ac:dyDescent="0.25">
      <c r="A9013" s="1033"/>
      <c r="E9013" s="130"/>
    </row>
    <row r="9014" spans="1:5" x14ac:dyDescent="0.25">
      <c r="A9014" s="1033"/>
      <c r="E9014" s="130"/>
    </row>
    <row r="9015" spans="1:5" x14ac:dyDescent="0.25">
      <c r="A9015" s="1033"/>
      <c r="E9015" s="130"/>
    </row>
    <row r="9016" spans="1:5" x14ac:dyDescent="0.25">
      <c r="A9016" s="1033"/>
      <c r="E9016" s="130"/>
    </row>
    <row r="9017" spans="1:5" x14ac:dyDescent="0.25">
      <c r="A9017" s="1033"/>
      <c r="E9017" s="130"/>
    </row>
    <row r="9018" spans="1:5" x14ac:dyDescent="0.25">
      <c r="A9018" s="1033"/>
      <c r="E9018" s="130"/>
    </row>
    <row r="9019" spans="1:5" x14ac:dyDescent="0.25">
      <c r="A9019" s="1033"/>
      <c r="E9019" s="130"/>
    </row>
    <row r="9020" spans="1:5" x14ac:dyDescent="0.25">
      <c r="A9020" s="1033"/>
      <c r="E9020" s="130"/>
    </row>
    <row r="9021" spans="1:5" x14ac:dyDescent="0.25">
      <c r="A9021" s="1033"/>
      <c r="E9021" s="130"/>
    </row>
    <row r="9022" spans="1:5" x14ac:dyDescent="0.25">
      <c r="A9022" s="1033"/>
      <c r="E9022" s="130"/>
    </row>
    <row r="9023" spans="1:5" x14ac:dyDescent="0.25">
      <c r="A9023" s="1033"/>
      <c r="E9023" s="130"/>
    </row>
    <row r="9024" spans="1:5" x14ac:dyDescent="0.25">
      <c r="A9024" s="1033"/>
      <c r="E9024" s="130"/>
    </row>
    <row r="9025" spans="1:5" x14ac:dyDescent="0.25">
      <c r="A9025" s="1033"/>
      <c r="E9025" s="130"/>
    </row>
    <row r="9026" spans="1:5" x14ac:dyDescent="0.25">
      <c r="A9026" s="1033"/>
      <c r="E9026" s="130"/>
    </row>
    <row r="9027" spans="1:5" x14ac:dyDescent="0.25">
      <c r="A9027" s="1033"/>
      <c r="E9027" s="130"/>
    </row>
    <row r="9028" spans="1:5" x14ac:dyDescent="0.25">
      <c r="A9028" s="1033"/>
      <c r="E9028" s="130"/>
    </row>
    <row r="9029" spans="1:5" x14ac:dyDescent="0.25">
      <c r="A9029" s="1033"/>
      <c r="E9029" s="130"/>
    </row>
    <row r="9030" spans="1:5" x14ac:dyDescent="0.25">
      <c r="A9030" s="1033"/>
      <c r="E9030" s="130"/>
    </row>
    <row r="9031" spans="1:5" x14ac:dyDescent="0.25">
      <c r="A9031" s="1033"/>
      <c r="E9031" s="130"/>
    </row>
    <row r="9032" spans="1:5" x14ac:dyDescent="0.25">
      <c r="A9032" s="1033"/>
      <c r="E9032" s="130"/>
    </row>
    <row r="9033" spans="1:5" x14ac:dyDescent="0.25">
      <c r="A9033" s="1033"/>
      <c r="E9033" s="130"/>
    </row>
    <row r="9034" spans="1:5" x14ac:dyDescent="0.25">
      <c r="A9034" s="1033"/>
      <c r="E9034" s="130"/>
    </row>
    <row r="9035" spans="1:5" x14ac:dyDescent="0.25">
      <c r="A9035" s="1033"/>
      <c r="E9035" s="130"/>
    </row>
    <row r="9036" spans="1:5" x14ac:dyDescent="0.25">
      <c r="A9036" s="1033"/>
      <c r="E9036" s="130"/>
    </row>
    <row r="9037" spans="1:5" x14ac:dyDescent="0.25">
      <c r="A9037" s="1033"/>
      <c r="E9037" s="130"/>
    </row>
    <row r="9038" spans="1:5" x14ac:dyDescent="0.25">
      <c r="A9038" s="1033"/>
      <c r="E9038" s="130"/>
    </row>
    <row r="9039" spans="1:5" x14ac:dyDescent="0.25">
      <c r="A9039" s="1033"/>
      <c r="E9039" s="130"/>
    </row>
    <row r="9040" spans="1:5" x14ac:dyDescent="0.25">
      <c r="A9040" s="1033"/>
      <c r="E9040" s="130"/>
    </row>
    <row r="9041" spans="1:5" x14ac:dyDescent="0.25">
      <c r="A9041" s="1033"/>
      <c r="E9041" s="130"/>
    </row>
    <row r="9042" spans="1:5" x14ac:dyDescent="0.25">
      <c r="A9042" s="1033"/>
      <c r="E9042" s="130"/>
    </row>
    <row r="9043" spans="1:5" x14ac:dyDescent="0.25">
      <c r="A9043" s="1033"/>
      <c r="E9043" s="130"/>
    </row>
    <row r="9044" spans="1:5" x14ac:dyDescent="0.25">
      <c r="A9044" s="1033"/>
      <c r="E9044" s="130"/>
    </row>
    <row r="9045" spans="1:5" x14ac:dyDescent="0.25">
      <c r="A9045" s="1033"/>
      <c r="E9045" s="130"/>
    </row>
    <row r="9046" spans="1:5" x14ac:dyDescent="0.25">
      <c r="A9046" s="1033"/>
      <c r="E9046" s="130"/>
    </row>
    <row r="9047" spans="1:5" x14ac:dyDescent="0.25">
      <c r="A9047" s="1033"/>
      <c r="E9047" s="130"/>
    </row>
    <row r="9048" spans="1:5" x14ac:dyDescent="0.25">
      <c r="A9048" s="1033"/>
      <c r="E9048" s="130"/>
    </row>
    <row r="9049" spans="1:5" x14ac:dyDescent="0.25">
      <c r="A9049" s="1033"/>
      <c r="E9049" s="130"/>
    </row>
    <row r="9050" spans="1:5" x14ac:dyDescent="0.25">
      <c r="A9050" s="1033"/>
      <c r="E9050" s="130"/>
    </row>
    <row r="9051" spans="1:5" x14ac:dyDescent="0.25">
      <c r="A9051" s="1033"/>
      <c r="E9051" s="130"/>
    </row>
    <row r="9052" spans="1:5" x14ac:dyDescent="0.25">
      <c r="A9052" s="1033"/>
      <c r="E9052" s="130"/>
    </row>
    <row r="9053" spans="1:5" x14ac:dyDescent="0.25">
      <c r="A9053" s="1033"/>
      <c r="E9053" s="130"/>
    </row>
    <row r="9054" spans="1:5" x14ac:dyDescent="0.25">
      <c r="A9054" s="1033"/>
      <c r="E9054" s="130"/>
    </row>
    <row r="9055" spans="1:5" x14ac:dyDescent="0.25">
      <c r="A9055" s="1033"/>
      <c r="E9055" s="130"/>
    </row>
    <row r="9056" spans="1:5" x14ac:dyDescent="0.25">
      <c r="A9056" s="1033"/>
      <c r="E9056" s="130"/>
    </row>
    <row r="9057" spans="1:5" x14ac:dyDescent="0.25">
      <c r="A9057" s="1033"/>
      <c r="E9057" s="130"/>
    </row>
    <row r="9058" spans="1:5" x14ac:dyDescent="0.25">
      <c r="A9058" s="1033"/>
      <c r="E9058" s="130"/>
    </row>
    <row r="9059" spans="1:5" x14ac:dyDescent="0.25">
      <c r="A9059" s="1033"/>
      <c r="E9059" s="130"/>
    </row>
    <row r="9060" spans="1:5" x14ac:dyDescent="0.25">
      <c r="A9060" s="1033"/>
      <c r="E9060" s="130"/>
    </row>
    <row r="9061" spans="1:5" x14ac:dyDescent="0.25">
      <c r="A9061" s="1033"/>
      <c r="E9061" s="130"/>
    </row>
    <row r="9062" spans="1:5" x14ac:dyDescent="0.25">
      <c r="A9062" s="1033"/>
      <c r="E9062" s="130"/>
    </row>
    <row r="9063" spans="1:5" x14ac:dyDescent="0.25">
      <c r="A9063" s="1033"/>
      <c r="E9063" s="130"/>
    </row>
    <row r="9064" spans="1:5" x14ac:dyDescent="0.25">
      <c r="A9064" s="1033"/>
      <c r="E9064" s="130"/>
    </row>
    <row r="9065" spans="1:5" x14ac:dyDescent="0.25">
      <c r="A9065" s="1033"/>
      <c r="E9065" s="130"/>
    </row>
    <row r="9066" spans="1:5" x14ac:dyDescent="0.25">
      <c r="A9066" s="1033"/>
      <c r="E9066" s="130"/>
    </row>
    <row r="9067" spans="1:5" x14ac:dyDescent="0.25">
      <c r="A9067" s="1033"/>
      <c r="E9067" s="130"/>
    </row>
    <row r="9068" spans="1:5" x14ac:dyDescent="0.25">
      <c r="A9068" s="1033"/>
      <c r="E9068" s="130"/>
    </row>
    <row r="9069" spans="1:5" x14ac:dyDescent="0.25">
      <c r="A9069" s="1033"/>
      <c r="E9069" s="130"/>
    </row>
    <row r="9070" spans="1:5" x14ac:dyDescent="0.25">
      <c r="A9070" s="1033"/>
      <c r="E9070" s="130"/>
    </row>
    <row r="9071" spans="1:5" x14ac:dyDescent="0.25">
      <c r="A9071" s="1033"/>
      <c r="E9071" s="130"/>
    </row>
    <row r="9072" spans="1:5" x14ac:dyDescent="0.25">
      <c r="A9072" s="1033"/>
      <c r="E9072" s="130"/>
    </row>
    <row r="9073" spans="1:5" x14ac:dyDescent="0.25">
      <c r="A9073" s="1033"/>
      <c r="E9073" s="130"/>
    </row>
    <row r="9074" spans="1:5" x14ac:dyDescent="0.25">
      <c r="A9074" s="1033"/>
      <c r="E9074" s="130"/>
    </row>
    <row r="9075" spans="1:5" x14ac:dyDescent="0.25">
      <c r="A9075" s="1033"/>
      <c r="E9075" s="130"/>
    </row>
    <row r="9076" spans="1:5" x14ac:dyDescent="0.25">
      <c r="A9076" s="1033"/>
      <c r="E9076" s="130"/>
    </row>
    <row r="9077" spans="1:5" x14ac:dyDescent="0.25">
      <c r="A9077" s="1033"/>
      <c r="E9077" s="130"/>
    </row>
    <row r="9078" spans="1:5" x14ac:dyDescent="0.25">
      <c r="A9078" s="1033"/>
      <c r="E9078" s="130"/>
    </row>
    <row r="9079" spans="1:5" x14ac:dyDescent="0.25">
      <c r="A9079" s="1033"/>
      <c r="E9079" s="130"/>
    </row>
    <row r="9080" spans="1:5" x14ac:dyDescent="0.25">
      <c r="A9080" s="1033"/>
      <c r="E9080" s="130"/>
    </row>
    <row r="9081" spans="1:5" x14ac:dyDescent="0.25">
      <c r="A9081" s="1033"/>
      <c r="E9081" s="130"/>
    </row>
    <row r="9082" spans="1:5" x14ac:dyDescent="0.25">
      <c r="A9082" s="1033"/>
      <c r="E9082" s="130"/>
    </row>
    <row r="9083" spans="1:5" x14ac:dyDescent="0.25">
      <c r="A9083" s="1033"/>
      <c r="E9083" s="130"/>
    </row>
    <row r="9084" spans="1:5" x14ac:dyDescent="0.25">
      <c r="A9084" s="1033"/>
      <c r="E9084" s="130"/>
    </row>
    <row r="9085" spans="1:5" x14ac:dyDescent="0.25">
      <c r="A9085" s="1033"/>
      <c r="E9085" s="130"/>
    </row>
    <row r="9086" spans="1:5" x14ac:dyDescent="0.25">
      <c r="A9086" s="1033"/>
      <c r="E9086" s="130"/>
    </row>
    <row r="9087" spans="1:5" x14ac:dyDescent="0.25">
      <c r="A9087" s="1033"/>
      <c r="E9087" s="130"/>
    </row>
    <row r="9088" spans="1:5" x14ac:dyDescent="0.25">
      <c r="A9088" s="1033"/>
      <c r="E9088" s="130"/>
    </row>
    <row r="9089" spans="1:5" x14ac:dyDescent="0.25">
      <c r="A9089" s="1033"/>
      <c r="E9089" s="130"/>
    </row>
    <row r="9090" spans="1:5" x14ac:dyDescent="0.25">
      <c r="A9090" s="1033"/>
      <c r="E9090" s="130"/>
    </row>
    <row r="9091" spans="1:5" x14ac:dyDescent="0.25">
      <c r="A9091" s="1033"/>
      <c r="E9091" s="130"/>
    </row>
    <row r="9092" spans="1:5" x14ac:dyDescent="0.25">
      <c r="A9092" s="1033"/>
      <c r="E9092" s="130"/>
    </row>
    <row r="9093" spans="1:5" x14ac:dyDescent="0.25">
      <c r="A9093" s="1033"/>
      <c r="E9093" s="130"/>
    </row>
    <row r="9094" spans="1:5" x14ac:dyDescent="0.25">
      <c r="A9094" s="1033"/>
      <c r="E9094" s="130"/>
    </row>
    <row r="9095" spans="1:5" x14ac:dyDescent="0.25">
      <c r="A9095" s="1033"/>
      <c r="E9095" s="130"/>
    </row>
    <row r="9096" spans="1:5" x14ac:dyDescent="0.25">
      <c r="A9096" s="1033"/>
      <c r="E9096" s="130"/>
    </row>
    <row r="9097" spans="1:5" x14ac:dyDescent="0.25">
      <c r="A9097" s="1033"/>
      <c r="E9097" s="130"/>
    </row>
    <row r="9098" spans="1:5" x14ac:dyDescent="0.25">
      <c r="A9098" s="1033"/>
      <c r="E9098" s="130"/>
    </row>
    <row r="9099" spans="1:5" x14ac:dyDescent="0.25">
      <c r="A9099" s="1033"/>
      <c r="E9099" s="130"/>
    </row>
    <row r="9100" spans="1:5" x14ac:dyDescent="0.25">
      <c r="A9100" s="1033"/>
      <c r="E9100" s="130"/>
    </row>
    <row r="9101" spans="1:5" x14ac:dyDescent="0.25">
      <c r="A9101" s="1033"/>
      <c r="E9101" s="130"/>
    </row>
    <row r="9102" spans="1:5" x14ac:dyDescent="0.25">
      <c r="A9102" s="1033"/>
      <c r="E9102" s="130"/>
    </row>
    <row r="9103" spans="1:5" x14ac:dyDescent="0.25">
      <c r="A9103" s="1033"/>
      <c r="E9103" s="130"/>
    </row>
    <row r="9104" spans="1:5" x14ac:dyDescent="0.25">
      <c r="A9104" s="1033"/>
      <c r="E9104" s="130"/>
    </row>
    <row r="9105" spans="1:5" x14ac:dyDescent="0.25">
      <c r="A9105" s="1033"/>
      <c r="E9105" s="130"/>
    </row>
    <row r="9106" spans="1:5" x14ac:dyDescent="0.25">
      <c r="A9106" s="1033"/>
      <c r="E9106" s="130"/>
    </row>
    <row r="9107" spans="1:5" x14ac:dyDescent="0.25">
      <c r="A9107" s="1033"/>
      <c r="E9107" s="130"/>
    </row>
    <row r="9108" spans="1:5" x14ac:dyDescent="0.25">
      <c r="A9108" s="1033"/>
      <c r="E9108" s="130"/>
    </row>
    <row r="9109" spans="1:5" x14ac:dyDescent="0.25">
      <c r="A9109" s="1033"/>
      <c r="E9109" s="130"/>
    </row>
    <row r="9110" spans="1:5" x14ac:dyDescent="0.25">
      <c r="A9110" s="1033"/>
      <c r="E9110" s="130"/>
    </row>
    <row r="9111" spans="1:5" x14ac:dyDescent="0.25">
      <c r="A9111" s="1033"/>
      <c r="E9111" s="130"/>
    </row>
    <row r="9112" spans="1:5" x14ac:dyDescent="0.25">
      <c r="A9112" s="1033"/>
      <c r="E9112" s="130"/>
    </row>
    <row r="9113" spans="1:5" x14ac:dyDescent="0.25">
      <c r="A9113" s="1033"/>
      <c r="E9113" s="130"/>
    </row>
    <row r="9114" spans="1:5" x14ac:dyDescent="0.25">
      <c r="A9114" s="1033"/>
      <c r="E9114" s="130"/>
    </row>
    <row r="9115" spans="1:5" x14ac:dyDescent="0.25">
      <c r="A9115" s="1033"/>
      <c r="E9115" s="130"/>
    </row>
    <row r="9116" spans="1:5" x14ac:dyDescent="0.25">
      <c r="A9116" s="1033"/>
      <c r="E9116" s="130"/>
    </row>
    <row r="9117" spans="1:5" x14ac:dyDescent="0.25">
      <c r="A9117" s="1033"/>
      <c r="E9117" s="130"/>
    </row>
    <row r="9118" spans="1:5" x14ac:dyDescent="0.25">
      <c r="A9118" s="1033"/>
      <c r="E9118" s="130"/>
    </row>
    <row r="9119" spans="1:5" x14ac:dyDescent="0.25">
      <c r="A9119" s="1033"/>
      <c r="E9119" s="130"/>
    </row>
    <row r="9120" spans="1:5" x14ac:dyDescent="0.25">
      <c r="A9120" s="1033"/>
      <c r="E9120" s="130"/>
    </row>
    <row r="9121" spans="1:5" x14ac:dyDescent="0.25">
      <c r="A9121" s="1033"/>
      <c r="E9121" s="130"/>
    </row>
    <row r="9122" spans="1:5" x14ac:dyDescent="0.25">
      <c r="A9122" s="1033"/>
      <c r="E9122" s="130"/>
    </row>
    <row r="9123" spans="1:5" x14ac:dyDescent="0.25">
      <c r="A9123" s="1033"/>
      <c r="E9123" s="130"/>
    </row>
    <row r="9124" spans="1:5" x14ac:dyDescent="0.25">
      <c r="A9124" s="1033"/>
      <c r="E9124" s="130"/>
    </row>
    <row r="9125" spans="1:5" x14ac:dyDescent="0.25">
      <c r="A9125" s="1033"/>
      <c r="E9125" s="130"/>
    </row>
    <row r="9126" spans="1:5" x14ac:dyDescent="0.25">
      <c r="A9126" s="1033"/>
      <c r="E9126" s="130"/>
    </row>
    <row r="9127" spans="1:5" x14ac:dyDescent="0.25">
      <c r="A9127" s="1033"/>
      <c r="E9127" s="130"/>
    </row>
    <row r="9128" spans="1:5" x14ac:dyDescent="0.25">
      <c r="A9128" s="1033"/>
      <c r="E9128" s="130"/>
    </row>
    <row r="9129" spans="1:5" x14ac:dyDescent="0.25">
      <c r="A9129" s="1033"/>
      <c r="E9129" s="130"/>
    </row>
    <row r="9130" spans="1:5" x14ac:dyDescent="0.25">
      <c r="A9130" s="1033"/>
      <c r="E9130" s="130"/>
    </row>
    <row r="9131" spans="1:5" x14ac:dyDescent="0.25">
      <c r="A9131" s="1033"/>
      <c r="E9131" s="130"/>
    </row>
    <row r="9132" spans="1:5" x14ac:dyDescent="0.25">
      <c r="A9132" s="1033"/>
      <c r="E9132" s="130"/>
    </row>
    <row r="9133" spans="1:5" x14ac:dyDescent="0.25">
      <c r="A9133" s="1033"/>
      <c r="E9133" s="130"/>
    </row>
    <row r="9134" spans="1:5" x14ac:dyDescent="0.25">
      <c r="A9134" s="1033"/>
      <c r="E9134" s="130"/>
    </row>
    <row r="9135" spans="1:5" x14ac:dyDescent="0.25">
      <c r="A9135" s="1033"/>
      <c r="E9135" s="130"/>
    </row>
    <row r="9136" spans="1:5" x14ac:dyDescent="0.25">
      <c r="A9136" s="1033"/>
      <c r="E9136" s="130"/>
    </row>
    <row r="9137" spans="1:5" x14ac:dyDescent="0.25">
      <c r="A9137" s="1033"/>
      <c r="E9137" s="130"/>
    </row>
    <row r="9138" spans="1:5" x14ac:dyDescent="0.25">
      <c r="A9138" s="1033"/>
      <c r="E9138" s="130"/>
    </row>
    <row r="9139" spans="1:5" x14ac:dyDescent="0.25">
      <c r="A9139" s="1033"/>
      <c r="E9139" s="130"/>
    </row>
    <row r="9140" spans="1:5" x14ac:dyDescent="0.25">
      <c r="A9140" s="1033"/>
      <c r="E9140" s="130"/>
    </row>
    <row r="9141" spans="1:5" x14ac:dyDescent="0.25">
      <c r="A9141" s="1033"/>
      <c r="E9141" s="130"/>
    </row>
    <row r="9142" spans="1:5" x14ac:dyDescent="0.25">
      <c r="A9142" s="1033"/>
      <c r="E9142" s="130"/>
    </row>
    <row r="9143" spans="1:5" x14ac:dyDescent="0.25">
      <c r="A9143" s="1033"/>
      <c r="E9143" s="130"/>
    </row>
    <row r="9144" spans="1:5" x14ac:dyDescent="0.25">
      <c r="A9144" s="1033"/>
      <c r="E9144" s="130"/>
    </row>
    <row r="9145" spans="1:5" x14ac:dyDescent="0.25">
      <c r="A9145" s="1033"/>
      <c r="E9145" s="130"/>
    </row>
    <row r="9146" spans="1:5" x14ac:dyDescent="0.25">
      <c r="A9146" s="1033"/>
      <c r="E9146" s="130"/>
    </row>
    <row r="9147" spans="1:5" x14ac:dyDescent="0.25">
      <c r="A9147" s="1033"/>
      <c r="E9147" s="130"/>
    </row>
    <row r="9148" spans="1:5" x14ac:dyDescent="0.25">
      <c r="A9148" s="1033"/>
      <c r="E9148" s="130"/>
    </row>
    <row r="9149" spans="1:5" x14ac:dyDescent="0.25">
      <c r="A9149" s="1033"/>
      <c r="E9149" s="130"/>
    </row>
    <row r="9150" spans="1:5" x14ac:dyDescent="0.25">
      <c r="A9150" s="1033"/>
      <c r="E9150" s="130"/>
    </row>
    <row r="9151" spans="1:5" x14ac:dyDescent="0.25">
      <c r="A9151" s="1033"/>
      <c r="E9151" s="130"/>
    </row>
    <row r="9152" spans="1:5" x14ac:dyDescent="0.25">
      <c r="A9152" s="1033"/>
      <c r="E9152" s="130"/>
    </row>
    <row r="9153" spans="1:5" x14ac:dyDescent="0.25">
      <c r="A9153" s="1033"/>
      <c r="E9153" s="130"/>
    </row>
    <row r="9154" spans="1:5" x14ac:dyDescent="0.25">
      <c r="A9154" s="1033"/>
      <c r="E9154" s="130"/>
    </row>
    <row r="9155" spans="1:5" x14ac:dyDescent="0.25">
      <c r="A9155" s="1033"/>
      <c r="E9155" s="130"/>
    </row>
    <row r="9156" spans="1:5" x14ac:dyDescent="0.25">
      <c r="A9156" s="1033"/>
      <c r="E9156" s="130"/>
    </row>
    <row r="9157" spans="1:5" x14ac:dyDescent="0.25">
      <c r="A9157" s="1033"/>
      <c r="E9157" s="130"/>
    </row>
    <row r="9158" spans="1:5" x14ac:dyDescent="0.25">
      <c r="A9158" s="1033"/>
      <c r="E9158" s="130"/>
    </row>
    <row r="9159" spans="1:5" x14ac:dyDescent="0.25">
      <c r="A9159" s="1033"/>
      <c r="E9159" s="130"/>
    </row>
    <row r="9160" spans="1:5" x14ac:dyDescent="0.25">
      <c r="A9160" s="1033"/>
      <c r="E9160" s="130"/>
    </row>
    <row r="9161" spans="1:5" x14ac:dyDescent="0.25">
      <c r="A9161" s="1033"/>
      <c r="E9161" s="130"/>
    </row>
    <row r="9162" spans="1:5" x14ac:dyDescent="0.25">
      <c r="A9162" s="1033"/>
      <c r="E9162" s="130"/>
    </row>
    <row r="9163" spans="1:5" x14ac:dyDescent="0.25">
      <c r="A9163" s="1033"/>
      <c r="E9163" s="130"/>
    </row>
    <row r="9164" spans="1:5" x14ac:dyDescent="0.25">
      <c r="A9164" s="1033"/>
      <c r="E9164" s="130"/>
    </row>
    <row r="9165" spans="1:5" x14ac:dyDescent="0.25">
      <c r="A9165" s="1033"/>
      <c r="E9165" s="130"/>
    </row>
    <row r="9166" spans="1:5" x14ac:dyDescent="0.25">
      <c r="A9166" s="1033"/>
      <c r="E9166" s="130"/>
    </row>
    <row r="9167" spans="1:5" x14ac:dyDescent="0.25">
      <c r="A9167" s="1033"/>
      <c r="E9167" s="130"/>
    </row>
    <row r="9168" spans="1:5" x14ac:dyDescent="0.25">
      <c r="A9168" s="1033"/>
      <c r="E9168" s="130"/>
    </row>
    <row r="9169" spans="1:5" x14ac:dyDescent="0.25">
      <c r="A9169" s="1033"/>
      <c r="E9169" s="130"/>
    </row>
    <row r="9170" spans="1:5" x14ac:dyDescent="0.25">
      <c r="A9170" s="1033"/>
      <c r="E9170" s="130"/>
    </row>
    <row r="9171" spans="1:5" x14ac:dyDescent="0.25">
      <c r="A9171" s="1033"/>
      <c r="E9171" s="130"/>
    </row>
    <row r="9172" spans="1:5" x14ac:dyDescent="0.25">
      <c r="A9172" s="1033"/>
      <c r="E9172" s="130"/>
    </row>
    <row r="9173" spans="1:5" x14ac:dyDescent="0.25">
      <c r="A9173" s="1033"/>
      <c r="E9173" s="130"/>
    </row>
    <row r="9174" spans="1:5" x14ac:dyDescent="0.25">
      <c r="A9174" s="1033"/>
      <c r="E9174" s="130"/>
    </row>
    <row r="9175" spans="1:5" x14ac:dyDescent="0.25">
      <c r="A9175" s="1033"/>
      <c r="E9175" s="130"/>
    </row>
    <row r="9176" spans="1:5" x14ac:dyDescent="0.25">
      <c r="A9176" s="1033"/>
      <c r="E9176" s="130"/>
    </row>
    <row r="9177" spans="1:5" x14ac:dyDescent="0.25">
      <c r="A9177" s="1033"/>
      <c r="E9177" s="130"/>
    </row>
    <row r="9178" spans="1:5" x14ac:dyDescent="0.25">
      <c r="A9178" s="1033"/>
      <c r="E9178" s="130"/>
    </row>
    <row r="9179" spans="1:5" x14ac:dyDescent="0.25">
      <c r="A9179" s="1033"/>
      <c r="E9179" s="130"/>
    </row>
    <row r="9180" spans="1:5" x14ac:dyDescent="0.25">
      <c r="A9180" s="1033"/>
      <c r="E9180" s="130"/>
    </row>
    <row r="9181" spans="1:5" x14ac:dyDescent="0.25">
      <c r="A9181" s="1033"/>
      <c r="E9181" s="130"/>
    </row>
    <row r="9182" spans="1:5" x14ac:dyDescent="0.25">
      <c r="A9182" s="1033"/>
      <c r="E9182" s="130"/>
    </row>
    <row r="9183" spans="1:5" x14ac:dyDescent="0.25">
      <c r="A9183" s="1033"/>
      <c r="E9183" s="130"/>
    </row>
    <row r="9184" spans="1:5" x14ac:dyDescent="0.25">
      <c r="A9184" s="1033"/>
      <c r="E9184" s="130"/>
    </row>
    <row r="9185" spans="1:5" x14ac:dyDescent="0.25">
      <c r="A9185" s="1033"/>
      <c r="E9185" s="130"/>
    </row>
    <row r="9186" spans="1:5" x14ac:dyDescent="0.25">
      <c r="A9186" s="1033"/>
      <c r="E9186" s="130"/>
    </row>
    <row r="9187" spans="1:5" x14ac:dyDescent="0.25">
      <c r="A9187" s="1033"/>
      <c r="E9187" s="130"/>
    </row>
    <row r="9188" spans="1:5" x14ac:dyDescent="0.25">
      <c r="A9188" s="1033"/>
      <c r="E9188" s="130"/>
    </row>
    <row r="9189" spans="1:5" x14ac:dyDescent="0.25">
      <c r="A9189" s="1033"/>
      <c r="E9189" s="130"/>
    </row>
    <row r="9190" spans="1:5" x14ac:dyDescent="0.25">
      <c r="A9190" s="1033"/>
      <c r="E9190" s="130"/>
    </row>
    <row r="9191" spans="1:5" x14ac:dyDescent="0.25">
      <c r="A9191" s="1033"/>
      <c r="E9191" s="130"/>
    </row>
    <row r="9192" spans="1:5" x14ac:dyDescent="0.25">
      <c r="A9192" s="1033"/>
      <c r="E9192" s="130"/>
    </row>
    <row r="9193" spans="1:5" x14ac:dyDescent="0.25">
      <c r="A9193" s="1033"/>
      <c r="E9193" s="130"/>
    </row>
    <row r="9194" spans="1:5" x14ac:dyDescent="0.25">
      <c r="A9194" s="1033"/>
      <c r="E9194" s="130"/>
    </row>
    <row r="9195" spans="1:5" x14ac:dyDescent="0.25">
      <c r="A9195" s="1033"/>
      <c r="E9195" s="130"/>
    </row>
    <row r="9196" spans="1:5" x14ac:dyDescent="0.25">
      <c r="A9196" s="1033"/>
      <c r="E9196" s="130"/>
    </row>
    <row r="9197" spans="1:5" x14ac:dyDescent="0.25">
      <c r="A9197" s="1033"/>
      <c r="E9197" s="130"/>
    </row>
    <row r="9198" spans="1:5" x14ac:dyDescent="0.25">
      <c r="A9198" s="1033"/>
      <c r="E9198" s="130"/>
    </row>
    <row r="9199" spans="1:5" x14ac:dyDescent="0.25">
      <c r="A9199" s="1033"/>
      <c r="E9199" s="130"/>
    </row>
    <row r="9200" spans="1:5" x14ac:dyDescent="0.25">
      <c r="A9200" s="1033"/>
      <c r="E9200" s="130"/>
    </row>
    <row r="9201" spans="1:5" x14ac:dyDescent="0.25">
      <c r="A9201" s="1033"/>
      <c r="E9201" s="130"/>
    </row>
    <row r="9202" spans="1:5" x14ac:dyDescent="0.25">
      <c r="A9202" s="1033"/>
      <c r="E9202" s="130"/>
    </row>
    <row r="9203" spans="1:5" x14ac:dyDescent="0.25">
      <c r="A9203" s="1033"/>
      <c r="E9203" s="130"/>
    </row>
    <row r="9204" spans="1:5" x14ac:dyDescent="0.25">
      <c r="A9204" s="1033"/>
      <c r="E9204" s="130"/>
    </row>
    <row r="9205" spans="1:5" x14ac:dyDescent="0.25">
      <c r="A9205" s="1033"/>
      <c r="E9205" s="130"/>
    </row>
    <row r="9206" spans="1:5" x14ac:dyDescent="0.25">
      <c r="A9206" s="1033"/>
      <c r="E9206" s="130"/>
    </row>
    <row r="9207" spans="1:5" x14ac:dyDescent="0.25">
      <c r="A9207" s="1033"/>
      <c r="E9207" s="130"/>
    </row>
    <row r="9208" spans="1:5" x14ac:dyDescent="0.25">
      <c r="A9208" s="1033"/>
      <c r="E9208" s="130"/>
    </row>
    <row r="9209" spans="1:5" x14ac:dyDescent="0.25">
      <c r="A9209" s="1033"/>
      <c r="E9209" s="130"/>
    </row>
    <row r="9210" spans="1:5" x14ac:dyDescent="0.25">
      <c r="A9210" s="1033"/>
      <c r="E9210" s="130"/>
    </row>
    <row r="9211" spans="1:5" x14ac:dyDescent="0.25">
      <c r="A9211" s="1033"/>
      <c r="E9211" s="130"/>
    </row>
    <row r="9212" spans="1:5" x14ac:dyDescent="0.25">
      <c r="A9212" s="1033"/>
      <c r="E9212" s="130"/>
    </row>
    <row r="9213" spans="1:5" x14ac:dyDescent="0.25">
      <c r="A9213" s="1033"/>
      <c r="E9213" s="130"/>
    </row>
    <row r="9214" spans="1:5" x14ac:dyDescent="0.25">
      <c r="A9214" s="1033"/>
      <c r="E9214" s="130"/>
    </row>
    <row r="9215" spans="1:5" x14ac:dyDescent="0.25">
      <c r="A9215" s="1033"/>
      <c r="E9215" s="130"/>
    </row>
    <row r="9216" spans="1:5" x14ac:dyDescent="0.25">
      <c r="A9216" s="1033"/>
      <c r="E9216" s="130"/>
    </row>
    <row r="9217" spans="1:5" x14ac:dyDescent="0.25">
      <c r="A9217" s="1033"/>
      <c r="E9217" s="130"/>
    </row>
    <row r="9218" spans="1:5" x14ac:dyDescent="0.25">
      <c r="A9218" s="1033"/>
      <c r="E9218" s="130"/>
    </row>
    <row r="9219" spans="1:5" x14ac:dyDescent="0.25">
      <c r="A9219" s="1033"/>
      <c r="E9219" s="130"/>
    </row>
    <row r="9220" spans="1:5" x14ac:dyDescent="0.25">
      <c r="A9220" s="1033"/>
      <c r="E9220" s="130"/>
    </row>
    <row r="9221" spans="1:5" x14ac:dyDescent="0.25">
      <c r="A9221" s="1033"/>
      <c r="E9221" s="130"/>
    </row>
    <row r="9222" spans="1:5" x14ac:dyDescent="0.25">
      <c r="A9222" s="1033"/>
      <c r="E9222" s="130"/>
    </row>
    <row r="9223" spans="1:5" x14ac:dyDescent="0.25">
      <c r="A9223" s="1033"/>
      <c r="E9223" s="130"/>
    </row>
    <row r="9224" spans="1:5" x14ac:dyDescent="0.25">
      <c r="A9224" s="1033"/>
      <c r="E9224" s="130"/>
    </row>
    <row r="9225" spans="1:5" x14ac:dyDescent="0.25">
      <c r="A9225" s="1033"/>
      <c r="E9225" s="130"/>
    </row>
    <row r="9226" spans="1:5" x14ac:dyDescent="0.25">
      <c r="A9226" s="1033"/>
      <c r="E9226" s="130"/>
    </row>
    <row r="9227" spans="1:5" x14ac:dyDescent="0.25">
      <c r="A9227" s="1033"/>
      <c r="E9227" s="130"/>
    </row>
    <row r="9228" spans="1:5" x14ac:dyDescent="0.25">
      <c r="A9228" s="1033"/>
      <c r="E9228" s="130"/>
    </row>
    <row r="9229" spans="1:5" x14ac:dyDescent="0.25">
      <c r="A9229" s="1033"/>
      <c r="E9229" s="130"/>
    </row>
    <row r="9230" spans="1:5" x14ac:dyDescent="0.25">
      <c r="A9230" s="1033"/>
      <c r="E9230" s="130"/>
    </row>
    <row r="9231" spans="1:5" x14ac:dyDescent="0.25">
      <c r="A9231" s="1033"/>
      <c r="E9231" s="130"/>
    </row>
    <row r="9232" spans="1:5" x14ac:dyDescent="0.25">
      <c r="A9232" s="1033"/>
      <c r="E9232" s="130"/>
    </row>
    <row r="9233" spans="1:5" x14ac:dyDescent="0.25">
      <c r="A9233" s="1033"/>
      <c r="E9233" s="130"/>
    </row>
    <row r="9234" spans="1:5" x14ac:dyDescent="0.25">
      <c r="A9234" s="1033"/>
      <c r="E9234" s="130"/>
    </row>
    <row r="9235" spans="1:5" x14ac:dyDescent="0.25">
      <c r="A9235" s="1033"/>
      <c r="E9235" s="130"/>
    </row>
    <row r="9236" spans="1:5" x14ac:dyDescent="0.25">
      <c r="A9236" s="1033"/>
      <c r="E9236" s="130"/>
    </row>
    <row r="9237" spans="1:5" x14ac:dyDescent="0.25">
      <c r="A9237" s="1033"/>
      <c r="E9237" s="130"/>
    </row>
    <row r="9238" spans="1:5" x14ac:dyDescent="0.25">
      <c r="A9238" s="1033"/>
      <c r="E9238" s="130"/>
    </row>
    <row r="9239" spans="1:5" x14ac:dyDescent="0.25">
      <c r="A9239" s="1033"/>
      <c r="E9239" s="130"/>
    </row>
    <row r="9240" spans="1:5" x14ac:dyDescent="0.25">
      <c r="A9240" s="1033"/>
      <c r="E9240" s="130"/>
    </row>
    <row r="9241" spans="1:5" x14ac:dyDescent="0.25">
      <c r="A9241" s="1033"/>
      <c r="E9241" s="130"/>
    </row>
    <row r="9242" spans="1:5" x14ac:dyDescent="0.25">
      <c r="A9242" s="1033"/>
      <c r="E9242" s="130"/>
    </row>
    <row r="9243" spans="1:5" x14ac:dyDescent="0.25">
      <c r="A9243" s="1033"/>
      <c r="E9243" s="130"/>
    </row>
    <row r="9244" spans="1:5" x14ac:dyDescent="0.25">
      <c r="A9244" s="1033"/>
      <c r="E9244" s="130"/>
    </row>
    <row r="9245" spans="1:5" x14ac:dyDescent="0.25">
      <c r="A9245" s="1033"/>
      <c r="E9245" s="130"/>
    </row>
    <row r="9246" spans="1:5" x14ac:dyDescent="0.25">
      <c r="A9246" s="1033"/>
      <c r="E9246" s="130"/>
    </row>
    <row r="9247" spans="1:5" x14ac:dyDescent="0.25">
      <c r="A9247" s="1033"/>
      <c r="E9247" s="130"/>
    </row>
    <row r="9248" spans="1:5" x14ac:dyDescent="0.25">
      <c r="A9248" s="1033"/>
      <c r="E9248" s="130"/>
    </row>
    <row r="9249" spans="1:5" x14ac:dyDescent="0.25">
      <c r="A9249" s="1033"/>
      <c r="E9249" s="130"/>
    </row>
    <row r="9250" spans="1:5" x14ac:dyDescent="0.25">
      <c r="A9250" s="1033"/>
      <c r="E9250" s="130"/>
    </row>
    <row r="9251" spans="1:5" x14ac:dyDescent="0.25">
      <c r="A9251" s="1033"/>
      <c r="E9251" s="130"/>
    </row>
    <row r="9252" spans="1:5" x14ac:dyDescent="0.25">
      <c r="A9252" s="1033"/>
      <c r="E9252" s="130"/>
    </row>
    <row r="9253" spans="1:5" x14ac:dyDescent="0.25">
      <c r="A9253" s="1033"/>
      <c r="E9253" s="130"/>
    </row>
    <row r="9254" spans="1:5" x14ac:dyDescent="0.25">
      <c r="A9254" s="1033"/>
      <c r="E9254" s="130"/>
    </row>
    <row r="9255" spans="1:5" x14ac:dyDescent="0.25">
      <c r="A9255" s="1033"/>
      <c r="E9255" s="130"/>
    </row>
    <row r="9256" spans="1:5" x14ac:dyDescent="0.25">
      <c r="A9256" s="1033"/>
      <c r="E9256" s="130"/>
    </row>
    <row r="9257" spans="1:5" x14ac:dyDescent="0.25">
      <c r="A9257" s="1033"/>
      <c r="E9257" s="130"/>
    </row>
    <row r="9258" spans="1:5" x14ac:dyDescent="0.25">
      <c r="A9258" s="1033"/>
      <c r="E9258" s="130"/>
    </row>
    <row r="9259" spans="1:5" x14ac:dyDescent="0.25">
      <c r="A9259" s="1033"/>
      <c r="E9259" s="130"/>
    </row>
    <row r="9260" spans="1:5" x14ac:dyDescent="0.25">
      <c r="A9260" s="1033"/>
      <c r="E9260" s="130"/>
    </row>
    <row r="9261" spans="1:5" x14ac:dyDescent="0.25">
      <c r="A9261" s="1033"/>
      <c r="E9261" s="130"/>
    </row>
    <row r="9262" spans="1:5" x14ac:dyDescent="0.25">
      <c r="A9262" s="1033"/>
      <c r="E9262" s="130"/>
    </row>
    <row r="9263" spans="1:5" x14ac:dyDescent="0.25">
      <c r="A9263" s="1033"/>
      <c r="E9263" s="130"/>
    </row>
    <row r="9264" spans="1:5" x14ac:dyDescent="0.25">
      <c r="A9264" s="1033"/>
      <c r="E9264" s="130"/>
    </row>
    <row r="9265" spans="1:5" x14ac:dyDescent="0.25">
      <c r="A9265" s="1033"/>
      <c r="E9265" s="130"/>
    </row>
    <row r="9266" spans="1:5" x14ac:dyDescent="0.25">
      <c r="A9266" s="1033"/>
      <c r="E9266" s="130"/>
    </row>
    <row r="9267" spans="1:5" x14ac:dyDescent="0.25">
      <c r="A9267" s="1033"/>
      <c r="E9267" s="130"/>
    </row>
    <row r="9268" spans="1:5" x14ac:dyDescent="0.25">
      <c r="A9268" s="1033"/>
      <c r="E9268" s="130"/>
    </row>
    <row r="9269" spans="1:5" x14ac:dyDescent="0.25">
      <c r="A9269" s="1033"/>
      <c r="E9269" s="130"/>
    </row>
    <row r="9270" spans="1:5" x14ac:dyDescent="0.25">
      <c r="A9270" s="1033"/>
      <c r="E9270" s="130"/>
    </row>
    <row r="9271" spans="1:5" x14ac:dyDescent="0.25">
      <c r="A9271" s="1033"/>
      <c r="E9271" s="130"/>
    </row>
    <row r="9272" spans="1:5" x14ac:dyDescent="0.25">
      <c r="A9272" s="1033"/>
      <c r="E9272" s="130"/>
    </row>
    <row r="9273" spans="1:5" x14ac:dyDescent="0.25">
      <c r="A9273" s="1033"/>
      <c r="E9273" s="130"/>
    </row>
    <row r="9274" spans="1:5" x14ac:dyDescent="0.25">
      <c r="A9274" s="1033"/>
      <c r="E9274" s="130"/>
    </row>
    <row r="9275" spans="1:5" x14ac:dyDescent="0.25">
      <c r="A9275" s="1033"/>
      <c r="E9275" s="130"/>
    </row>
    <row r="9276" spans="1:5" x14ac:dyDescent="0.25">
      <c r="A9276" s="1033"/>
      <c r="E9276" s="130"/>
    </row>
    <row r="9277" spans="1:5" x14ac:dyDescent="0.25">
      <c r="A9277" s="1033"/>
      <c r="E9277" s="130"/>
    </row>
    <row r="9278" spans="1:5" x14ac:dyDescent="0.25">
      <c r="A9278" s="1033"/>
      <c r="E9278" s="130"/>
    </row>
    <row r="9279" spans="1:5" x14ac:dyDescent="0.25">
      <c r="A9279" s="1033"/>
      <c r="E9279" s="130"/>
    </row>
    <row r="9280" spans="1:5" x14ac:dyDescent="0.25">
      <c r="A9280" s="1033"/>
      <c r="E9280" s="130"/>
    </row>
    <row r="9281" spans="1:5" x14ac:dyDescent="0.25">
      <c r="A9281" s="1033"/>
      <c r="E9281" s="130"/>
    </row>
    <row r="9282" spans="1:5" x14ac:dyDescent="0.25">
      <c r="A9282" s="1033"/>
      <c r="E9282" s="130"/>
    </row>
    <row r="9283" spans="1:5" x14ac:dyDescent="0.25">
      <c r="A9283" s="1033"/>
      <c r="E9283" s="130"/>
    </row>
    <row r="9284" spans="1:5" x14ac:dyDescent="0.25">
      <c r="A9284" s="1033"/>
      <c r="E9284" s="130"/>
    </row>
    <row r="9285" spans="1:5" x14ac:dyDescent="0.25">
      <c r="A9285" s="1033"/>
      <c r="E9285" s="130"/>
    </row>
    <row r="9286" spans="1:5" x14ac:dyDescent="0.25">
      <c r="A9286" s="1033"/>
      <c r="E9286" s="130"/>
    </row>
    <row r="9287" spans="1:5" x14ac:dyDescent="0.25">
      <c r="A9287" s="1033"/>
      <c r="E9287" s="130"/>
    </row>
    <row r="9288" spans="1:5" x14ac:dyDescent="0.25">
      <c r="A9288" s="1033"/>
      <c r="E9288" s="130"/>
    </row>
    <row r="9289" spans="1:5" x14ac:dyDescent="0.25">
      <c r="A9289" s="1033"/>
      <c r="E9289" s="130"/>
    </row>
    <row r="9290" spans="1:5" x14ac:dyDescent="0.25">
      <c r="A9290" s="1033"/>
      <c r="E9290" s="130"/>
    </row>
    <row r="9291" spans="1:5" x14ac:dyDescent="0.25">
      <c r="A9291" s="1033"/>
      <c r="E9291" s="130"/>
    </row>
    <row r="9292" spans="1:5" x14ac:dyDescent="0.25">
      <c r="A9292" s="1033"/>
      <c r="E9292" s="130"/>
    </row>
    <row r="9293" spans="1:5" x14ac:dyDescent="0.25">
      <c r="A9293" s="1033"/>
      <c r="E9293" s="130"/>
    </row>
    <row r="9294" spans="1:5" x14ac:dyDescent="0.25">
      <c r="A9294" s="1033"/>
      <c r="E9294" s="130"/>
    </row>
    <row r="9295" spans="1:5" x14ac:dyDescent="0.25">
      <c r="A9295" s="1033"/>
      <c r="E9295" s="130"/>
    </row>
    <row r="9296" spans="1:5" x14ac:dyDescent="0.25">
      <c r="A9296" s="1033"/>
      <c r="E9296" s="130"/>
    </row>
    <row r="9297" spans="1:5" x14ac:dyDescent="0.25">
      <c r="A9297" s="1033"/>
      <c r="E9297" s="130"/>
    </row>
    <row r="9298" spans="1:5" x14ac:dyDescent="0.25">
      <c r="A9298" s="1033"/>
      <c r="E9298" s="130"/>
    </row>
    <row r="9299" spans="1:5" x14ac:dyDescent="0.25">
      <c r="A9299" s="1033"/>
      <c r="E9299" s="130"/>
    </row>
    <row r="9300" spans="1:5" x14ac:dyDescent="0.25">
      <c r="A9300" s="1033"/>
      <c r="E9300" s="130"/>
    </row>
    <row r="9301" spans="1:5" x14ac:dyDescent="0.25">
      <c r="A9301" s="1033"/>
      <c r="E9301" s="130"/>
    </row>
    <row r="9302" spans="1:5" x14ac:dyDescent="0.25">
      <c r="A9302" s="1033"/>
      <c r="E9302" s="130"/>
    </row>
    <row r="9303" spans="1:5" x14ac:dyDescent="0.25">
      <c r="A9303" s="1033"/>
      <c r="E9303" s="130"/>
    </row>
    <row r="9304" spans="1:5" x14ac:dyDescent="0.25">
      <c r="A9304" s="1033"/>
      <c r="E9304" s="130"/>
    </row>
    <row r="9305" spans="1:5" x14ac:dyDescent="0.25">
      <c r="A9305" s="1033"/>
      <c r="E9305" s="130"/>
    </row>
    <row r="9306" spans="1:5" x14ac:dyDescent="0.25">
      <c r="A9306" s="1033"/>
      <c r="E9306" s="130"/>
    </row>
    <row r="9307" spans="1:5" x14ac:dyDescent="0.25">
      <c r="A9307" s="1033"/>
      <c r="E9307" s="130"/>
    </row>
    <row r="9308" spans="1:5" x14ac:dyDescent="0.25">
      <c r="A9308" s="1033"/>
      <c r="E9308" s="130"/>
    </row>
    <row r="9309" spans="1:5" x14ac:dyDescent="0.25">
      <c r="A9309" s="1033"/>
      <c r="E9309" s="130"/>
    </row>
    <row r="9310" spans="1:5" x14ac:dyDescent="0.25">
      <c r="A9310" s="1033"/>
      <c r="E9310" s="130"/>
    </row>
    <row r="9311" spans="1:5" x14ac:dyDescent="0.25">
      <c r="A9311" s="1033"/>
      <c r="E9311" s="130"/>
    </row>
    <row r="9312" spans="1:5" x14ac:dyDescent="0.25">
      <c r="A9312" s="1033"/>
      <c r="E9312" s="130"/>
    </row>
    <row r="9313" spans="1:5" x14ac:dyDescent="0.25">
      <c r="A9313" s="1033"/>
      <c r="E9313" s="130"/>
    </row>
    <row r="9314" spans="1:5" x14ac:dyDescent="0.25">
      <c r="A9314" s="1033"/>
      <c r="E9314" s="130"/>
    </row>
    <row r="9315" spans="1:5" x14ac:dyDescent="0.25">
      <c r="A9315" s="1033"/>
      <c r="E9315" s="130"/>
    </row>
    <row r="9316" spans="1:5" x14ac:dyDescent="0.25">
      <c r="A9316" s="1033"/>
      <c r="E9316" s="130"/>
    </row>
    <row r="9317" spans="1:5" x14ac:dyDescent="0.25">
      <c r="A9317" s="1033"/>
      <c r="E9317" s="130"/>
    </row>
    <row r="9318" spans="1:5" x14ac:dyDescent="0.25">
      <c r="A9318" s="1033"/>
      <c r="E9318" s="130"/>
    </row>
    <row r="9319" spans="1:5" x14ac:dyDescent="0.25">
      <c r="A9319" s="1033"/>
      <c r="E9319" s="130"/>
    </row>
    <row r="9320" spans="1:5" x14ac:dyDescent="0.25">
      <c r="A9320" s="1033"/>
      <c r="E9320" s="130"/>
    </row>
    <row r="9321" spans="1:5" x14ac:dyDescent="0.25">
      <c r="A9321" s="1033"/>
      <c r="E9321" s="130"/>
    </row>
    <row r="9322" spans="1:5" x14ac:dyDescent="0.25">
      <c r="A9322" s="1033"/>
      <c r="E9322" s="130"/>
    </row>
    <row r="9323" spans="1:5" x14ac:dyDescent="0.25">
      <c r="A9323" s="1033"/>
      <c r="E9323" s="130"/>
    </row>
    <row r="9324" spans="1:5" x14ac:dyDescent="0.25">
      <c r="A9324" s="1033"/>
      <c r="E9324" s="130"/>
    </row>
    <row r="9325" spans="1:5" x14ac:dyDescent="0.25">
      <c r="A9325" s="1033"/>
      <c r="E9325" s="130"/>
    </row>
    <row r="9326" spans="1:5" x14ac:dyDescent="0.25">
      <c r="A9326" s="1033"/>
      <c r="E9326" s="130"/>
    </row>
    <row r="9327" spans="1:5" x14ac:dyDescent="0.25">
      <c r="A9327" s="1033"/>
      <c r="E9327" s="130"/>
    </row>
    <row r="9328" spans="1:5" x14ac:dyDescent="0.25">
      <c r="A9328" s="1033"/>
      <c r="E9328" s="130"/>
    </row>
    <row r="9329" spans="1:5" x14ac:dyDescent="0.25">
      <c r="A9329" s="1033"/>
      <c r="E9329" s="130"/>
    </row>
    <row r="9330" spans="1:5" x14ac:dyDescent="0.25">
      <c r="A9330" s="1033"/>
      <c r="E9330" s="130"/>
    </row>
    <row r="9331" spans="1:5" x14ac:dyDescent="0.25">
      <c r="A9331" s="1033"/>
      <c r="E9331" s="130"/>
    </row>
    <row r="9332" spans="1:5" x14ac:dyDescent="0.25">
      <c r="A9332" s="1033"/>
      <c r="E9332" s="130"/>
    </row>
    <row r="9333" spans="1:5" x14ac:dyDescent="0.25">
      <c r="A9333" s="1033"/>
      <c r="E9333" s="130"/>
    </row>
    <row r="9334" spans="1:5" x14ac:dyDescent="0.25">
      <c r="A9334" s="1033"/>
      <c r="E9334" s="130"/>
    </row>
    <row r="9335" spans="1:5" x14ac:dyDescent="0.25">
      <c r="A9335" s="1033"/>
      <c r="E9335" s="130"/>
    </row>
    <row r="9336" spans="1:5" x14ac:dyDescent="0.25">
      <c r="A9336" s="1033"/>
      <c r="E9336" s="130"/>
    </row>
    <row r="9337" spans="1:5" x14ac:dyDescent="0.25">
      <c r="A9337" s="1033"/>
      <c r="E9337" s="130"/>
    </row>
    <row r="9338" spans="1:5" x14ac:dyDescent="0.25">
      <c r="A9338" s="1033"/>
      <c r="E9338" s="130"/>
    </row>
    <row r="9339" spans="1:5" x14ac:dyDescent="0.25">
      <c r="A9339" s="1033"/>
      <c r="E9339" s="130"/>
    </row>
    <row r="9340" spans="1:5" x14ac:dyDescent="0.25">
      <c r="A9340" s="1033"/>
      <c r="E9340" s="130"/>
    </row>
    <row r="9341" spans="1:5" x14ac:dyDescent="0.25">
      <c r="A9341" s="1033"/>
      <c r="E9341" s="130"/>
    </row>
    <row r="9342" spans="1:5" x14ac:dyDescent="0.25">
      <c r="A9342" s="1033"/>
      <c r="E9342" s="130"/>
    </row>
    <row r="9343" spans="1:5" x14ac:dyDescent="0.25">
      <c r="A9343" s="1033"/>
      <c r="E9343" s="130"/>
    </row>
    <row r="9344" spans="1:5" x14ac:dyDescent="0.25">
      <c r="A9344" s="1033"/>
      <c r="E9344" s="130"/>
    </row>
    <row r="9345" spans="1:5" x14ac:dyDescent="0.25">
      <c r="A9345" s="1033"/>
      <c r="E9345" s="130"/>
    </row>
    <row r="9346" spans="1:5" x14ac:dyDescent="0.25">
      <c r="A9346" s="1033"/>
      <c r="E9346" s="130"/>
    </row>
    <row r="9347" spans="1:5" x14ac:dyDescent="0.25">
      <c r="A9347" s="1033"/>
      <c r="E9347" s="130"/>
    </row>
    <row r="9348" spans="1:5" x14ac:dyDescent="0.25">
      <c r="A9348" s="1033"/>
      <c r="E9348" s="130"/>
    </row>
    <row r="9349" spans="1:5" x14ac:dyDescent="0.25">
      <c r="A9349" s="1033"/>
      <c r="E9349" s="130"/>
    </row>
    <row r="9350" spans="1:5" x14ac:dyDescent="0.25">
      <c r="A9350" s="1033"/>
      <c r="E9350" s="130"/>
    </row>
    <row r="9351" spans="1:5" x14ac:dyDescent="0.25">
      <c r="A9351" s="1033"/>
      <c r="E9351" s="130"/>
    </row>
    <row r="9352" spans="1:5" x14ac:dyDescent="0.25">
      <c r="A9352" s="1033"/>
      <c r="E9352" s="130"/>
    </row>
    <row r="9353" spans="1:5" x14ac:dyDescent="0.25">
      <c r="A9353" s="1033"/>
      <c r="E9353" s="130"/>
    </row>
    <row r="9354" spans="1:5" x14ac:dyDescent="0.25">
      <c r="A9354" s="1033"/>
      <c r="E9354" s="130"/>
    </row>
    <row r="9355" spans="1:5" x14ac:dyDescent="0.25">
      <c r="A9355" s="1033"/>
      <c r="E9355" s="130"/>
    </row>
    <row r="9356" spans="1:5" x14ac:dyDescent="0.25">
      <c r="A9356" s="1033"/>
      <c r="E9356" s="130"/>
    </row>
    <row r="9357" spans="1:5" x14ac:dyDescent="0.25">
      <c r="A9357" s="1033"/>
      <c r="E9357" s="130"/>
    </row>
    <row r="9358" spans="1:5" x14ac:dyDescent="0.25">
      <c r="A9358" s="1033"/>
      <c r="E9358" s="130"/>
    </row>
    <row r="9359" spans="1:5" x14ac:dyDescent="0.25">
      <c r="A9359" s="1033"/>
      <c r="E9359" s="130"/>
    </row>
    <row r="9360" spans="1:5" x14ac:dyDescent="0.25">
      <c r="A9360" s="1033"/>
      <c r="E9360" s="130"/>
    </row>
    <row r="9361" spans="1:5" x14ac:dyDescent="0.25">
      <c r="A9361" s="1033"/>
      <c r="E9361" s="130"/>
    </row>
    <row r="9362" spans="1:5" x14ac:dyDescent="0.25">
      <c r="A9362" s="1033"/>
      <c r="E9362" s="130"/>
    </row>
    <row r="9363" spans="1:5" x14ac:dyDescent="0.25">
      <c r="A9363" s="1033"/>
      <c r="E9363" s="130"/>
    </row>
    <row r="9364" spans="1:5" x14ac:dyDescent="0.25">
      <c r="A9364" s="1033"/>
      <c r="E9364" s="130"/>
    </row>
    <row r="9365" spans="1:5" x14ac:dyDescent="0.25">
      <c r="A9365" s="1033"/>
      <c r="E9365" s="130"/>
    </row>
    <row r="9366" spans="1:5" x14ac:dyDescent="0.25">
      <c r="A9366" s="1033"/>
      <c r="E9366" s="130"/>
    </row>
    <row r="9367" spans="1:5" x14ac:dyDescent="0.25">
      <c r="A9367" s="1033"/>
      <c r="E9367" s="130"/>
    </row>
    <row r="9368" spans="1:5" x14ac:dyDescent="0.25">
      <c r="A9368" s="1033"/>
      <c r="E9368" s="130"/>
    </row>
    <row r="9369" spans="1:5" x14ac:dyDescent="0.25">
      <c r="A9369" s="1033"/>
      <c r="E9369" s="130"/>
    </row>
    <row r="9370" spans="1:5" x14ac:dyDescent="0.25">
      <c r="A9370" s="1033"/>
      <c r="E9370" s="130"/>
    </row>
    <row r="9371" spans="1:5" x14ac:dyDescent="0.25">
      <c r="A9371" s="1033"/>
      <c r="E9371" s="130"/>
    </row>
    <row r="9372" spans="1:5" x14ac:dyDescent="0.25">
      <c r="A9372" s="1033"/>
      <c r="E9372" s="130"/>
    </row>
    <row r="9373" spans="1:5" x14ac:dyDescent="0.25">
      <c r="A9373" s="1033"/>
      <c r="E9373" s="130"/>
    </row>
    <row r="9374" spans="1:5" x14ac:dyDescent="0.25">
      <c r="A9374" s="1033"/>
      <c r="E9374" s="130"/>
    </row>
    <row r="9375" spans="1:5" x14ac:dyDescent="0.25">
      <c r="A9375" s="1033"/>
      <c r="E9375" s="130"/>
    </row>
    <row r="9376" spans="1:5" x14ac:dyDescent="0.25">
      <c r="A9376" s="1033"/>
      <c r="E9376" s="130"/>
    </row>
    <row r="9377" spans="1:5" x14ac:dyDescent="0.25">
      <c r="A9377" s="1033"/>
      <c r="E9377" s="130"/>
    </row>
    <row r="9378" spans="1:5" x14ac:dyDescent="0.25">
      <c r="A9378" s="1033"/>
      <c r="E9378" s="130"/>
    </row>
    <row r="9379" spans="1:5" x14ac:dyDescent="0.25">
      <c r="A9379" s="1033"/>
      <c r="E9379" s="130"/>
    </row>
    <row r="9380" spans="1:5" x14ac:dyDescent="0.25">
      <c r="A9380" s="1033"/>
      <c r="E9380" s="130"/>
    </row>
    <row r="9381" spans="1:5" x14ac:dyDescent="0.25">
      <c r="A9381" s="1033"/>
      <c r="E9381" s="130"/>
    </row>
    <row r="9382" spans="1:5" x14ac:dyDescent="0.25">
      <c r="A9382" s="1033"/>
      <c r="E9382" s="130"/>
    </row>
    <row r="9383" spans="1:5" x14ac:dyDescent="0.25">
      <c r="A9383" s="1033"/>
      <c r="E9383" s="130"/>
    </row>
    <row r="9384" spans="1:5" x14ac:dyDescent="0.25">
      <c r="A9384" s="1033"/>
      <c r="E9384" s="130"/>
    </row>
    <row r="9385" spans="1:5" x14ac:dyDescent="0.25">
      <c r="A9385" s="1033"/>
      <c r="E9385" s="130"/>
    </row>
    <row r="9386" spans="1:5" x14ac:dyDescent="0.25">
      <c r="A9386" s="1033"/>
      <c r="E9386" s="130"/>
    </row>
    <row r="9387" spans="1:5" x14ac:dyDescent="0.25">
      <c r="A9387" s="1033"/>
      <c r="E9387" s="130"/>
    </row>
    <row r="9388" spans="1:5" x14ac:dyDescent="0.25">
      <c r="A9388" s="1033"/>
      <c r="E9388" s="130"/>
    </row>
    <row r="9389" spans="1:5" x14ac:dyDescent="0.25">
      <c r="A9389" s="1033"/>
      <c r="E9389" s="130"/>
    </row>
    <row r="9390" spans="1:5" x14ac:dyDescent="0.25">
      <c r="A9390" s="1033"/>
      <c r="E9390" s="130"/>
    </row>
    <row r="9391" spans="1:5" x14ac:dyDescent="0.25">
      <c r="A9391" s="1033"/>
      <c r="E9391" s="130"/>
    </row>
    <row r="9392" spans="1:5" x14ac:dyDescent="0.25">
      <c r="A9392" s="1033"/>
      <c r="E9392" s="130"/>
    </row>
    <row r="9393" spans="1:5" x14ac:dyDescent="0.25">
      <c r="A9393" s="1033"/>
      <c r="E9393" s="130"/>
    </row>
    <row r="9394" spans="1:5" x14ac:dyDescent="0.25">
      <c r="A9394" s="1033"/>
      <c r="E9394" s="130"/>
    </row>
    <row r="9395" spans="1:5" x14ac:dyDescent="0.25">
      <c r="A9395" s="1033"/>
      <c r="E9395" s="130"/>
    </row>
    <row r="9396" spans="1:5" x14ac:dyDescent="0.25">
      <c r="A9396" s="1033"/>
      <c r="E9396" s="130"/>
    </row>
    <row r="9397" spans="1:5" x14ac:dyDescent="0.25">
      <c r="A9397" s="1033"/>
      <c r="E9397" s="130"/>
    </row>
    <row r="9398" spans="1:5" x14ac:dyDescent="0.25">
      <c r="A9398" s="1033"/>
      <c r="E9398" s="130"/>
    </row>
    <row r="9399" spans="1:5" x14ac:dyDescent="0.25">
      <c r="A9399" s="1033"/>
      <c r="E9399" s="130"/>
    </row>
    <row r="9400" spans="1:5" x14ac:dyDescent="0.25">
      <c r="A9400" s="1033"/>
      <c r="E9400" s="130"/>
    </row>
    <row r="9401" spans="1:5" x14ac:dyDescent="0.25">
      <c r="A9401" s="1033"/>
      <c r="E9401" s="130"/>
    </row>
    <row r="9402" spans="1:5" x14ac:dyDescent="0.25">
      <c r="A9402" s="1033"/>
      <c r="E9402" s="130"/>
    </row>
    <row r="9403" spans="1:5" x14ac:dyDescent="0.25">
      <c r="A9403" s="1033"/>
      <c r="E9403" s="130"/>
    </row>
    <row r="9404" spans="1:5" x14ac:dyDescent="0.25">
      <c r="A9404" s="1033"/>
      <c r="E9404" s="130"/>
    </row>
    <row r="9405" spans="1:5" x14ac:dyDescent="0.25">
      <c r="A9405" s="1033"/>
      <c r="E9405" s="130"/>
    </row>
    <row r="9406" spans="1:5" x14ac:dyDescent="0.25">
      <c r="A9406" s="1033"/>
      <c r="E9406" s="130"/>
    </row>
    <row r="9407" spans="1:5" x14ac:dyDescent="0.25">
      <c r="A9407" s="1033"/>
      <c r="E9407" s="130"/>
    </row>
    <row r="9408" spans="1:5" x14ac:dyDescent="0.25">
      <c r="A9408" s="1033"/>
      <c r="E9408" s="130"/>
    </row>
    <row r="9409" spans="1:5" x14ac:dyDescent="0.25">
      <c r="A9409" s="1033"/>
      <c r="E9409" s="130"/>
    </row>
    <row r="9410" spans="1:5" x14ac:dyDescent="0.25">
      <c r="A9410" s="1033"/>
      <c r="E9410" s="130"/>
    </row>
    <row r="9411" spans="1:5" x14ac:dyDescent="0.25">
      <c r="A9411" s="1033"/>
      <c r="E9411" s="130"/>
    </row>
    <row r="9412" spans="1:5" x14ac:dyDescent="0.25">
      <c r="A9412" s="1033"/>
      <c r="E9412" s="130"/>
    </row>
    <row r="9413" spans="1:5" x14ac:dyDescent="0.25">
      <c r="A9413" s="1033"/>
      <c r="E9413" s="130"/>
    </row>
    <row r="9414" spans="1:5" x14ac:dyDescent="0.25">
      <c r="A9414" s="1033"/>
      <c r="E9414" s="130"/>
    </row>
    <row r="9415" spans="1:5" x14ac:dyDescent="0.25">
      <c r="A9415" s="1033"/>
      <c r="E9415" s="130"/>
    </row>
    <row r="9416" spans="1:5" x14ac:dyDescent="0.25">
      <c r="A9416" s="1033"/>
      <c r="E9416" s="130"/>
    </row>
    <row r="9417" spans="1:5" x14ac:dyDescent="0.25">
      <c r="A9417" s="1033"/>
      <c r="E9417" s="130"/>
    </row>
    <row r="9418" spans="1:5" x14ac:dyDescent="0.25">
      <c r="A9418" s="1033"/>
      <c r="E9418" s="130"/>
    </row>
    <row r="9419" spans="1:5" x14ac:dyDescent="0.25">
      <c r="A9419" s="1033"/>
      <c r="E9419" s="130"/>
    </row>
    <row r="9420" spans="1:5" x14ac:dyDescent="0.25">
      <c r="A9420" s="1033"/>
      <c r="E9420" s="130"/>
    </row>
    <row r="9421" spans="1:5" x14ac:dyDescent="0.25">
      <c r="A9421" s="1033"/>
      <c r="E9421" s="130"/>
    </row>
    <row r="9422" spans="1:5" x14ac:dyDescent="0.25">
      <c r="A9422" s="1033"/>
      <c r="E9422" s="130"/>
    </row>
    <row r="9423" spans="1:5" x14ac:dyDescent="0.25">
      <c r="A9423" s="1033"/>
      <c r="E9423" s="130"/>
    </row>
    <row r="9424" spans="1:5" x14ac:dyDescent="0.25">
      <c r="A9424" s="1033"/>
      <c r="E9424" s="130"/>
    </row>
    <row r="9425" spans="1:5" x14ac:dyDescent="0.25">
      <c r="A9425" s="1033"/>
      <c r="E9425" s="130"/>
    </row>
    <row r="9426" spans="1:5" x14ac:dyDescent="0.25">
      <c r="A9426" s="1033"/>
      <c r="E9426" s="130"/>
    </row>
    <row r="9427" spans="1:5" x14ac:dyDescent="0.25">
      <c r="A9427" s="1033"/>
      <c r="E9427" s="130"/>
    </row>
    <row r="9428" spans="1:5" x14ac:dyDescent="0.25">
      <c r="A9428" s="1033"/>
      <c r="E9428" s="130"/>
    </row>
    <row r="9429" spans="1:5" x14ac:dyDescent="0.25">
      <c r="A9429" s="1033"/>
      <c r="E9429" s="130"/>
    </row>
    <row r="9430" spans="1:5" x14ac:dyDescent="0.25">
      <c r="A9430" s="1033"/>
      <c r="E9430" s="130"/>
    </row>
    <row r="9431" spans="1:5" x14ac:dyDescent="0.25">
      <c r="A9431" s="1033"/>
      <c r="E9431" s="130"/>
    </row>
    <row r="9432" spans="1:5" x14ac:dyDescent="0.25">
      <c r="A9432" s="1033"/>
      <c r="E9432" s="130"/>
    </row>
    <row r="9433" spans="1:5" x14ac:dyDescent="0.25">
      <c r="A9433" s="1033"/>
      <c r="E9433" s="130"/>
    </row>
    <row r="9434" spans="1:5" x14ac:dyDescent="0.25">
      <c r="A9434" s="1033"/>
      <c r="E9434" s="130"/>
    </row>
    <row r="9435" spans="1:5" x14ac:dyDescent="0.25">
      <c r="A9435" s="1033"/>
      <c r="E9435" s="130"/>
    </row>
    <row r="9436" spans="1:5" x14ac:dyDescent="0.25">
      <c r="A9436" s="1033"/>
      <c r="E9436" s="130"/>
    </row>
    <row r="9437" spans="1:5" x14ac:dyDescent="0.25">
      <c r="A9437" s="1033"/>
      <c r="E9437" s="130"/>
    </row>
    <row r="9438" spans="1:5" x14ac:dyDescent="0.25">
      <c r="A9438" s="1033"/>
      <c r="E9438" s="130"/>
    </row>
    <row r="9439" spans="1:5" x14ac:dyDescent="0.25">
      <c r="A9439" s="1033"/>
      <c r="E9439" s="130"/>
    </row>
    <row r="9440" spans="1:5" x14ac:dyDescent="0.25">
      <c r="A9440" s="1033"/>
      <c r="E9440" s="130"/>
    </row>
    <row r="9441" spans="1:5" x14ac:dyDescent="0.25">
      <c r="A9441" s="1033"/>
      <c r="E9441" s="130"/>
    </row>
    <row r="9442" spans="1:5" x14ac:dyDescent="0.25">
      <c r="A9442" s="1033"/>
      <c r="E9442" s="130"/>
    </row>
    <row r="9443" spans="1:5" x14ac:dyDescent="0.25">
      <c r="A9443" s="1033"/>
      <c r="E9443" s="130"/>
    </row>
    <row r="9444" spans="1:5" x14ac:dyDescent="0.25">
      <c r="A9444" s="1033"/>
      <c r="E9444" s="130"/>
    </row>
    <row r="9445" spans="1:5" x14ac:dyDescent="0.25">
      <c r="A9445" s="1033"/>
      <c r="E9445" s="130"/>
    </row>
    <row r="9446" spans="1:5" x14ac:dyDescent="0.25">
      <c r="A9446" s="1033"/>
      <c r="E9446" s="130"/>
    </row>
    <row r="9447" spans="1:5" x14ac:dyDescent="0.25">
      <c r="A9447" s="1033"/>
      <c r="E9447" s="130"/>
    </row>
    <row r="9448" spans="1:5" x14ac:dyDescent="0.25">
      <c r="A9448" s="1033"/>
      <c r="E9448" s="130"/>
    </row>
    <row r="9449" spans="1:5" x14ac:dyDescent="0.25">
      <c r="A9449" s="1033"/>
      <c r="E9449" s="130"/>
    </row>
    <row r="9450" spans="1:5" x14ac:dyDescent="0.25">
      <c r="A9450" s="1033"/>
      <c r="E9450" s="130"/>
    </row>
    <row r="9451" spans="1:5" x14ac:dyDescent="0.25">
      <c r="A9451" s="1033"/>
      <c r="E9451" s="130"/>
    </row>
    <row r="9452" spans="1:5" x14ac:dyDescent="0.25">
      <c r="A9452" s="1033"/>
      <c r="E9452" s="130"/>
    </row>
    <row r="9453" spans="1:5" x14ac:dyDescent="0.25">
      <c r="A9453" s="1033"/>
      <c r="E9453" s="130"/>
    </row>
    <row r="9454" spans="1:5" x14ac:dyDescent="0.25">
      <c r="A9454" s="1033"/>
      <c r="E9454" s="130"/>
    </row>
    <row r="9455" spans="1:5" x14ac:dyDescent="0.25">
      <c r="A9455" s="1033"/>
      <c r="E9455" s="130"/>
    </row>
    <row r="9456" spans="1:5" x14ac:dyDescent="0.25">
      <c r="A9456" s="1033"/>
      <c r="E9456" s="130"/>
    </row>
    <row r="9457" spans="1:5" x14ac:dyDescent="0.25">
      <c r="A9457" s="1033"/>
      <c r="E9457" s="130"/>
    </row>
    <row r="9458" spans="1:5" x14ac:dyDescent="0.25">
      <c r="A9458" s="1033"/>
      <c r="E9458" s="130"/>
    </row>
    <row r="9459" spans="1:5" x14ac:dyDescent="0.25">
      <c r="A9459" s="1033"/>
      <c r="E9459" s="130"/>
    </row>
    <row r="9460" spans="1:5" x14ac:dyDescent="0.25">
      <c r="A9460" s="1033"/>
      <c r="E9460" s="130"/>
    </row>
    <row r="9461" spans="1:5" x14ac:dyDescent="0.25">
      <c r="A9461" s="1033"/>
      <c r="E9461" s="130"/>
    </row>
    <row r="9462" spans="1:5" x14ac:dyDescent="0.25">
      <c r="A9462" s="1033"/>
      <c r="E9462" s="130"/>
    </row>
    <row r="9463" spans="1:5" x14ac:dyDescent="0.25">
      <c r="A9463" s="1033"/>
      <c r="E9463" s="130"/>
    </row>
    <row r="9464" spans="1:5" x14ac:dyDescent="0.25">
      <c r="A9464" s="1033"/>
      <c r="E9464" s="130"/>
    </row>
    <row r="9465" spans="1:5" x14ac:dyDescent="0.25">
      <c r="A9465" s="1033"/>
      <c r="E9465" s="130"/>
    </row>
    <row r="9466" spans="1:5" x14ac:dyDescent="0.25">
      <c r="A9466" s="1033"/>
      <c r="E9466" s="130"/>
    </row>
    <row r="9467" spans="1:5" x14ac:dyDescent="0.25">
      <c r="A9467" s="1033"/>
      <c r="E9467" s="130"/>
    </row>
    <row r="9468" spans="1:5" x14ac:dyDescent="0.25">
      <c r="A9468" s="1033"/>
      <c r="E9468" s="130"/>
    </row>
    <row r="9469" spans="1:5" x14ac:dyDescent="0.25">
      <c r="A9469" s="1033"/>
      <c r="E9469" s="130"/>
    </row>
    <row r="9470" spans="1:5" x14ac:dyDescent="0.25">
      <c r="A9470" s="1033"/>
      <c r="E9470" s="130"/>
    </row>
    <row r="9471" spans="1:5" x14ac:dyDescent="0.25">
      <c r="A9471" s="1033"/>
      <c r="E9471" s="130"/>
    </row>
    <row r="9472" spans="1:5" x14ac:dyDescent="0.25">
      <c r="A9472" s="1033"/>
      <c r="E9472" s="130"/>
    </row>
    <row r="9473" spans="1:5" x14ac:dyDescent="0.25">
      <c r="A9473" s="1033"/>
      <c r="E9473" s="130"/>
    </row>
    <row r="9474" spans="1:5" x14ac:dyDescent="0.25">
      <c r="A9474" s="1033"/>
      <c r="E9474" s="130"/>
    </row>
    <row r="9475" spans="1:5" x14ac:dyDescent="0.25">
      <c r="A9475" s="1033"/>
      <c r="E9475" s="130"/>
    </row>
    <row r="9476" spans="1:5" x14ac:dyDescent="0.25">
      <c r="A9476" s="1033"/>
      <c r="E9476" s="130"/>
    </row>
    <row r="9477" spans="1:5" x14ac:dyDescent="0.25">
      <c r="A9477" s="1033"/>
      <c r="E9477" s="130"/>
    </row>
    <row r="9478" spans="1:5" x14ac:dyDescent="0.25">
      <c r="A9478" s="1033"/>
      <c r="E9478" s="130"/>
    </row>
    <row r="9479" spans="1:5" x14ac:dyDescent="0.25">
      <c r="A9479" s="1033"/>
      <c r="E9479" s="130"/>
    </row>
    <row r="9480" spans="1:5" x14ac:dyDescent="0.25">
      <c r="A9480" s="1033"/>
      <c r="E9480" s="130"/>
    </row>
    <row r="9481" spans="1:5" x14ac:dyDescent="0.25">
      <c r="A9481" s="1033"/>
      <c r="E9481" s="130"/>
    </row>
    <row r="9482" spans="1:5" x14ac:dyDescent="0.25">
      <c r="A9482" s="1033"/>
      <c r="E9482" s="130"/>
    </row>
    <row r="9483" spans="1:5" x14ac:dyDescent="0.25">
      <c r="A9483" s="1033"/>
      <c r="E9483" s="130"/>
    </row>
    <row r="9484" spans="1:5" x14ac:dyDescent="0.25">
      <c r="A9484" s="1033"/>
      <c r="E9484" s="130"/>
    </row>
    <row r="9485" spans="1:5" x14ac:dyDescent="0.25">
      <c r="A9485" s="1033"/>
      <c r="E9485" s="130"/>
    </row>
    <row r="9486" spans="1:5" x14ac:dyDescent="0.25">
      <c r="A9486" s="1033"/>
      <c r="E9486" s="130"/>
    </row>
    <row r="9487" spans="1:5" x14ac:dyDescent="0.25">
      <c r="A9487" s="1033"/>
      <c r="E9487" s="130"/>
    </row>
    <row r="9488" spans="1:5" x14ac:dyDescent="0.25">
      <c r="A9488" s="1033"/>
      <c r="E9488" s="130"/>
    </row>
    <row r="9489" spans="1:5" x14ac:dyDescent="0.25">
      <c r="A9489" s="1033"/>
      <c r="E9489" s="130"/>
    </row>
    <row r="9490" spans="1:5" x14ac:dyDescent="0.25">
      <c r="A9490" s="1033"/>
      <c r="E9490" s="130"/>
    </row>
    <row r="9491" spans="1:5" x14ac:dyDescent="0.25">
      <c r="A9491" s="1033"/>
      <c r="E9491" s="130"/>
    </row>
    <row r="9492" spans="1:5" x14ac:dyDescent="0.25">
      <c r="A9492" s="1033"/>
      <c r="E9492" s="130"/>
    </row>
    <row r="9493" spans="1:5" x14ac:dyDescent="0.25">
      <c r="A9493" s="1033"/>
      <c r="E9493" s="130"/>
    </row>
    <row r="9494" spans="1:5" x14ac:dyDescent="0.25">
      <c r="A9494" s="1033"/>
      <c r="E9494" s="130"/>
    </row>
    <row r="9495" spans="1:5" x14ac:dyDescent="0.25">
      <c r="A9495" s="1033"/>
      <c r="E9495" s="130"/>
    </row>
    <row r="9496" spans="1:5" x14ac:dyDescent="0.25">
      <c r="A9496" s="1033"/>
      <c r="E9496" s="130"/>
    </row>
    <row r="9497" spans="1:5" x14ac:dyDescent="0.25">
      <c r="A9497" s="1033"/>
      <c r="E9497" s="130"/>
    </row>
    <row r="9498" spans="1:5" x14ac:dyDescent="0.25">
      <c r="A9498" s="1033"/>
      <c r="E9498" s="130"/>
    </row>
    <row r="9499" spans="1:5" x14ac:dyDescent="0.25">
      <c r="A9499" s="1033"/>
      <c r="E9499" s="130"/>
    </row>
    <row r="9500" spans="1:5" x14ac:dyDescent="0.25">
      <c r="A9500" s="1033"/>
      <c r="E9500" s="130"/>
    </row>
    <row r="9501" spans="1:5" x14ac:dyDescent="0.25">
      <c r="A9501" s="1033"/>
      <c r="E9501" s="130"/>
    </row>
    <row r="9502" spans="1:5" x14ac:dyDescent="0.25">
      <c r="A9502" s="1033"/>
      <c r="E9502" s="130"/>
    </row>
    <row r="9503" spans="1:5" x14ac:dyDescent="0.25">
      <c r="A9503" s="1033"/>
      <c r="E9503" s="130"/>
    </row>
    <row r="9504" spans="1:5" x14ac:dyDescent="0.25">
      <c r="A9504" s="1033"/>
      <c r="E9504" s="130"/>
    </row>
    <row r="9505" spans="1:5" x14ac:dyDescent="0.25">
      <c r="A9505" s="1033"/>
      <c r="E9505" s="130"/>
    </row>
    <row r="9506" spans="1:5" x14ac:dyDescent="0.25">
      <c r="A9506" s="1033"/>
      <c r="E9506" s="130"/>
    </row>
    <row r="9507" spans="1:5" x14ac:dyDescent="0.25">
      <c r="A9507" s="1033"/>
      <c r="E9507" s="130"/>
    </row>
    <row r="9508" spans="1:5" x14ac:dyDescent="0.25">
      <c r="A9508" s="1033"/>
      <c r="E9508" s="130"/>
    </row>
    <row r="9509" spans="1:5" x14ac:dyDescent="0.25">
      <c r="A9509" s="1033"/>
      <c r="E9509" s="130"/>
    </row>
    <row r="9510" spans="1:5" x14ac:dyDescent="0.25">
      <c r="A9510" s="1033"/>
      <c r="E9510" s="130"/>
    </row>
    <row r="9511" spans="1:5" x14ac:dyDescent="0.25">
      <c r="A9511" s="1033"/>
      <c r="E9511" s="130"/>
    </row>
    <row r="9512" spans="1:5" x14ac:dyDescent="0.25">
      <c r="A9512" s="1033"/>
      <c r="E9512" s="130"/>
    </row>
    <row r="9513" spans="1:5" x14ac:dyDescent="0.25">
      <c r="A9513" s="1033"/>
      <c r="E9513" s="130"/>
    </row>
    <row r="9514" spans="1:5" x14ac:dyDescent="0.25">
      <c r="A9514" s="1033"/>
      <c r="E9514" s="130"/>
    </row>
    <row r="9515" spans="1:5" x14ac:dyDescent="0.25">
      <c r="A9515" s="1033"/>
      <c r="E9515" s="130"/>
    </row>
    <row r="9516" spans="1:5" x14ac:dyDescent="0.25">
      <c r="A9516" s="1033"/>
      <c r="E9516" s="130"/>
    </row>
    <row r="9517" spans="1:5" x14ac:dyDescent="0.25">
      <c r="A9517" s="1033"/>
      <c r="E9517" s="130"/>
    </row>
    <row r="9518" spans="1:5" x14ac:dyDescent="0.25">
      <c r="A9518" s="1033"/>
      <c r="E9518" s="130"/>
    </row>
    <row r="9519" spans="1:5" x14ac:dyDescent="0.25">
      <c r="A9519" s="1033"/>
      <c r="E9519" s="130"/>
    </row>
    <row r="9520" spans="1:5" x14ac:dyDescent="0.25">
      <c r="A9520" s="1033"/>
      <c r="E9520" s="130"/>
    </row>
    <row r="9521" spans="1:5" x14ac:dyDescent="0.25">
      <c r="A9521" s="1033"/>
      <c r="E9521" s="130"/>
    </row>
    <row r="9522" spans="1:5" x14ac:dyDescent="0.25">
      <c r="A9522" s="1033"/>
      <c r="E9522" s="130"/>
    </row>
    <row r="9523" spans="1:5" x14ac:dyDescent="0.25">
      <c r="A9523" s="1033"/>
      <c r="E9523" s="130"/>
    </row>
    <row r="9524" spans="1:5" x14ac:dyDescent="0.25">
      <c r="A9524" s="1033"/>
      <c r="E9524" s="130"/>
    </row>
    <row r="9525" spans="1:5" x14ac:dyDescent="0.25">
      <c r="A9525" s="1033"/>
      <c r="E9525" s="130"/>
    </row>
    <row r="9526" spans="1:5" x14ac:dyDescent="0.25">
      <c r="A9526" s="1033"/>
      <c r="E9526" s="130"/>
    </row>
    <row r="9527" spans="1:5" x14ac:dyDescent="0.25">
      <c r="A9527" s="1033"/>
      <c r="E9527" s="130"/>
    </row>
    <row r="9528" spans="1:5" x14ac:dyDescent="0.25">
      <c r="A9528" s="1033"/>
      <c r="E9528" s="130"/>
    </row>
    <row r="9529" spans="1:5" x14ac:dyDescent="0.25">
      <c r="A9529" s="1033"/>
      <c r="E9529" s="130"/>
    </row>
    <row r="9530" spans="1:5" x14ac:dyDescent="0.25">
      <c r="A9530" s="1033"/>
      <c r="E9530" s="130"/>
    </row>
    <row r="9531" spans="1:5" x14ac:dyDescent="0.25">
      <c r="A9531" s="1033"/>
      <c r="E9531" s="130"/>
    </row>
    <row r="9532" spans="1:5" x14ac:dyDescent="0.25">
      <c r="A9532" s="1033"/>
      <c r="E9532" s="130"/>
    </row>
    <row r="9533" spans="1:5" x14ac:dyDescent="0.25">
      <c r="A9533" s="1033"/>
      <c r="E9533" s="130"/>
    </row>
    <row r="9534" spans="1:5" x14ac:dyDescent="0.25">
      <c r="A9534" s="1033"/>
      <c r="E9534" s="130"/>
    </row>
    <row r="9535" spans="1:5" x14ac:dyDescent="0.25">
      <c r="A9535" s="1033"/>
      <c r="E9535" s="130"/>
    </row>
    <row r="9536" spans="1:5" x14ac:dyDescent="0.25">
      <c r="A9536" s="1033"/>
      <c r="E9536" s="130"/>
    </row>
    <row r="9537" spans="1:5" x14ac:dyDescent="0.25">
      <c r="A9537" s="1033"/>
      <c r="E9537" s="130"/>
    </row>
    <row r="9538" spans="1:5" x14ac:dyDescent="0.25">
      <c r="A9538" s="1033"/>
      <c r="E9538" s="130"/>
    </row>
    <row r="9539" spans="1:5" x14ac:dyDescent="0.25">
      <c r="A9539" s="1033"/>
      <c r="E9539" s="130"/>
    </row>
    <row r="9540" spans="1:5" x14ac:dyDescent="0.25">
      <c r="A9540" s="1033"/>
      <c r="E9540" s="130"/>
    </row>
    <row r="9541" spans="1:5" x14ac:dyDescent="0.25">
      <c r="A9541" s="1033"/>
      <c r="E9541" s="130"/>
    </row>
    <row r="9542" spans="1:5" x14ac:dyDescent="0.25">
      <c r="A9542" s="1033"/>
      <c r="E9542" s="130"/>
    </row>
    <row r="9543" spans="1:5" x14ac:dyDescent="0.25">
      <c r="A9543" s="1033"/>
      <c r="E9543" s="130"/>
    </row>
    <row r="9544" spans="1:5" x14ac:dyDescent="0.25">
      <c r="A9544" s="1033"/>
      <c r="E9544" s="130"/>
    </row>
    <row r="9545" spans="1:5" x14ac:dyDescent="0.25">
      <c r="A9545" s="1033"/>
      <c r="E9545" s="130"/>
    </row>
    <row r="9546" spans="1:5" x14ac:dyDescent="0.25">
      <c r="A9546" s="1033"/>
      <c r="E9546" s="130"/>
    </row>
    <row r="9547" spans="1:5" x14ac:dyDescent="0.25">
      <c r="A9547" s="1033"/>
      <c r="E9547" s="130"/>
    </row>
    <row r="9548" spans="1:5" x14ac:dyDescent="0.25">
      <c r="A9548" s="1033"/>
      <c r="E9548" s="130"/>
    </row>
    <row r="9549" spans="1:5" x14ac:dyDescent="0.25">
      <c r="A9549" s="1033"/>
      <c r="E9549" s="130"/>
    </row>
    <row r="9550" spans="1:5" x14ac:dyDescent="0.25">
      <c r="A9550" s="1033"/>
      <c r="E9550" s="130"/>
    </row>
    <row r="9551" spans="1:5" x14ac:dyDescent="0.25">
      <c r="A9551" s="1033"/>
      <c r="E9551" s="130"/>
    </row>
    <row r="9552" spans="1:5" x14ac:dyDescent="0.25">
      <c r="A9552" s="1033"/>
      <c r="E9552" s="130"/>
    </row>
    <row r="9553" spans="1:5" x14ac:dyDescent="0.25">
      <c r="A9553" s="1033"/>
      <c r="E9553" s="130"/>
    </row>
    <row r="9554" spans="1:5" x14ac:dyDescent="0.25">
      <c r="A9554" s="1033"/>
      <c r="E9554" s="130"/>
    </row>
    <row r="9555" spans="1:5" x14ac:dyDescent="0.25">
      <c r="A9555" s="1033"/>
      <c r="E9555" s="130"/>
    </row>
    <row r="9556" spans="1:5" x14ac:dyDescent="0.25">
      <c r="A9556" s="1033"/>
      <c r="E9556" s="130"/>
    </row>
    <row r="9557" spans="1:5" x14ac:dyDescent="0.25">
      <c r="A9557" s="1033"/>
      <c r="E9557" s="130"/>
    </row>
    <row r="9558" spans="1:5" x14ac:dyDescent="0.25">
      <c r="A9558" s="1033"/>
      <c r="E9558" s="130"/>
    </row>
    <row r="9559" spans="1:5" x14ac:dyDescent="0.25">
      <c r="A9559" s="1033"/>
      <c r="E9559" s="130"/>
    </row>
    <row r="9560" spans="1:5" x14ac:dyDescent="0.25">
      <c r="A9560" s="1033"/>
      <c r="E9560" s="130"/>
    </row>
    <row r="9561" spans="1:5" x14ac:dyDescent="0.25">
      <c r="A9561" s="1033"/>
      <c r="E9561" s="130"/>
    </row>
    <row r="9562" spans="1:5" x14ac:dyDescent="0.25">
      <c r="A9562" s="1033"/>
      <c r="E9562" s="130"/>
    </row>
    <row r="9563" spans="1:5" x14ac:dyDescent="0.25">
      <c r="A9563" s="1033"/>
      <c r="E9563" s="130"/>
    </row>
    <row r="9564" spans="1:5" x14ac:dyDescent="0.25">
      <c r="A9564" s="1033"/>
      <c r="E9564" s="130"/>
    </row>
    <row r="9565" spans="1:5" x14ac:dyDescent="0.25">
      <c r="A9565" s="1033"/>
      <c r="E9565" s="130"/>
    </row>
    <row r="9566" spans="1:5" x14ac:dyDescent="0.25">
      <c r="A9566" s="1033"/>
      <c r="E9566" s="130"/>
    </row>
    <row r="9567" spans="1:5" x14ac:dyDescent="0.25">
      <c r="A9567" s="1033"/>
      <c r="E9567" s="130"/>
    </row>
    <row r="9568" spans="1:5" x14ac:dyDescent="0.25">
      <c r="A9568" s="1033"/>
      <c r="E9568" s="130"/>
    </row>
    <row r="9569" spans="1:5" x14ac:dyDescent="0.25">
      <c r="A9569" s="1033"/>
      <c r="E9569" s="130"/>
    </row>
    <row r="9570" spans="1:5" x14ac:dyDescent="0.25">
      <c r="A9570" s="1033"/>
      <c r="E9570" s="130"/>
    </row>
    <row r="9571" spans="1:5" x14ac:dyDescent="0.25">
      <c r="A9571" s="1033"/>
      <c r="E9571" s="130"/>
    </row>
    <row r="9572" spans="1:5" x14ac:dyDescent="0.25">
      <c r="A9572" s="1033"/>
      <c r="E9572" s="130"/>
    </row>
    <row r="9573" spans="1:5" x14ac:dyDescent="0.25">
      <c r="A9573" s="1033"/>
      <c r="E9573" s="130"/>
    </row>
    <row r="9574" spans="1:5" x14ac:dyDescent="0.25">
      <c r="A9574" s="1033"/>
      <c r="E9574" s="130"/>
    </row>
    <row r="9575" spans="1:5" x14ac:dyDescent="0.25">
      <c r="A9575" s="1033"/>
      <c r="E9575" s="130"/>
    </row>
    <row r="9576" spans="1:5" x14ac:dyDescent="0.25">
      <c r="A9576" s="1033"/>
      <c r="E9576" s="130"/>
    </row>
    <row r="9577" spans="1:5" x14ac:dyDescent="0.25">
      <c r="A9577" s="1033"/>
      <c r="E9577" s="130"/>
    </row>
    <row r="9578" spans="1:5" x14ac:dyDescent="0.25">
      <c r="A9578" s="1033"/>
      <c r="E9578" s="130"/>
    </row>
    <row r="9579" spans="1:5" x14ac:dyDescent="0.25">
      <c r="A9579" s="1033"/>
      <c r="E9579" s="130"/>
    </row>
    <row r="9580" spans="1:5" x14ac:dyDescent="0.25">
      <c r="A9580" s="1033"/>
      <c r="E9580" s="130"/>
    </row>
    <row r="9581" spans="1:5" x14ac:dyDescent="0.25">
      <c r="A9581" s="1033"/>
      <c r="E9581" s="130"/>
    </row>
    <row r="9582" spans="1:5" x14ac:dyDescent="0.25">
      <c r="A9582" s="1033"/>
      <c r="E9582" s="130"/>
    </row>
    <row r="9583" spans="1:5" x14ac:dyDescent="0.25">
      <c r="A9583" s="1033"/>
      <c r="E9583" s="130"/>
    </row>
    <row r="9584" spans="1:5" x14ac:dyDescent="0.25">
      <c r="A9584" s="1033"/>
      <c r="E9584" s="130"/>
    </row>
    <row r="9585" spans="1:5" x14ac:dyDescent="0.25">
      <c r="A9585" s="1033"/>
      <c r="E9585" s="130"/>
    </row>
    <row r="9586" spans="1:5" x14ac:dyDescent="0.25">
      <c r="A9586" s="1033"/>
      <c r="E9586" s="130"/>
    </row>
    <row r="9587" spans="1:5" x14ac:dyDescent="0.25">
      <c r="A9587" s="1033"/>
      <c r="E9587" s="130"/>
    </row>
    <row r="9588" spans="1:5" x14ac:dyDescent="0.25">
      <c r="A9588" s="1033"/>
      <c r="E9588" s="130"/>
    </row>
    <row r="9589" spans="1:5" x14ac:dyDescent="0.25">
      <c r="A9589" s="1033"/>
      <c r="E9589" s="130"/>
    </row>
    <row r="9590" spans="1:5" x14ac:dyDescent="0.25">
      <c r="A9590" s="1033"/>
      <c r="E9590" s="130"/>
    </row>
    <row r="9591" spans="1:5" x14ac:dyDescent="0.25">
      <c r="A9591" s="1033"/>
      <c r="E9591" s="130"/>
    </row>
    <row r="9592" spans="1:5" x14ac:dyDescent="0.25">
      <c r="A9592" s="1033"/>
      <c r="E9592" s="130"/>
    </row>
    <row r="9593" spans="1:5" x14ac:dyDescent="0.25">
      <c r="A9593" s="1033"/>
      <c r="E9593" s="130"/>
    </row>
    <row r="9594" spans="1:5" x14ac:dyDescent="0.25">
      <c r="A9594" s="1033"/>
      <c r="E9594" s="130"/>
    </row>
    <row r="9595" spans="1:5" x14ac:dyDescent="0.25">
      <c r="A9595" s="1033"/>
      <c r="E9595" s="130"/>
    </row>
    <row r="9596" spans="1:5" x14ac:dyDescent="0.25">
      <c r="A9596" s="1033"/>
      <c r="E9596" s="130"/>
    </row>
    <row r="9597" spans="1:5" x14ac:dyDescent="0.25">
      <c r="A9597" s="1033"/>
      <c r="E9597" s="130"/>
    </row>
    <row r="9598" spans="1:5" x14ac:dyDescent="0.25">
      <c r="A9598" s="1033"/>
      <c r="E9598" s="130"/>
    </row>
    <row r="9599" spans="1:5" x14ac:dyDescent="0.25">
      <c r="A9599" s="1033"/>
      <c r="E9599" s="130"/>
    </row>
    <row r="9600" spans="1:5" x14ac:dyDescent="0.25">
      <c r="A9600" s="1033"/>
      <c r="E9600" s="130"/>
    </row>
    <row r="9601" spans="1:5" x14ac:dyDescent="0.25">
      <c r="A9601" s="1033"/>
      <c r="E9601" s="130"/>
    </row>
    <row r="9602" spans="1:5" x14ac:dyDescent="0.25">
      <c r="A9602" s="1033"/>
      <c r="E9602" s="130"/>
    </row>
    <row r="9603" spans="1:5" x14ac:dyDescent="0.25">
      <c r="A9603" s="1033"/>
      <c r="E9603" s="130"/>
    </row>
    <row r="9604" spans="1:5" x14ac:dyDescent="0.25">
      <c r="A9604" s="1033"/>
      <c r="E9604" s="130"/>
    </row>
    <row r="9605" spans="1:5" x14ac:dyDescent="0.25">
      <c r="A9605" s="1033"/>
      <c r="E9605" s="130"/>
    </row>
    <row r="9606" spans="1:5" x14ac:dyDescent="0.25">
      <c r="A9606" s="1033"/>
      <c r="E9606" s="130"/>
    </row>
    <row r="9607" spans="1:5" x14ac:dyDescent="0.25">
      <c r="A9607" s="1033"/>
      <c r="E9607" s="130"/>
    </row>
    <row r="9608" spans="1:5" x14ac:dyDescent="0.25">
      <c r="A9608" s="1033"/>
      <c r="E9608" s="130"/>
    </row>
    <row r="9609" spans="1:5" x14ac:dyDescent="0.25">
      <c r="A9609" s="1033"/>
      <c r="E9609" s="130"/>
    </row>
    <row r="9610" spans="1:5" x14ac:dyDescent="0.25">
      <c r="A9610" s="1033"/>
      <c r="E9610" s="130"/>
    </row>
    <row r="9611" spans="1:5" x14ac:dyDescent="0.25">
      <c r="A9611" s="1033"/>
      <c r="E9611" s="130"/>
    </row>
    <row r="9612" spans="1:5" x14ac:dyDescent="0.25">
      <c r="A9612" s="1033"/>
      <c r="E9612" s="130"/>
    </row>
    <row r="9613" spans="1:5" x14ac:dyDescent="0.25">
      <c r="A9613" s="1033"/>
      <c r="E9613" s="130"/>
    </row>
    <row r="9614" spans="1:5" x14ac:dyDescent="0.25">
      <c r="A9614" s="1033"/>
      <c r="E9614" s="130"/>
    </row>
    <row r="9615" spans="1:5" x14ac:dyDescent="0.25">
      <c r="A9615" s="1033"/>
      <c r="E9615" s="130"/>
    </row>
    <row r="9616" spans="1:5" x14ac:dyDescent="0.25">
      <c r="A9616" s="1033"/>
      <c r="E9616" s="130"/>
    </row>
    <row r="9617" spans="1:5" x14ac:dyDescent="0.25">
      <c r="A9617" s="1033"/>
      <c r="E9617" s="130"/>
    </row>
    <row r="9618" spans="1:5" x14ac:dyDescent="0.25">
      <c r="A9618" s="1033"/>
      <c r="E9618" s="130"/>
    </row>
    <row r="9619" spans="1:5" x14ac:dyDescent="0.25">
      <c r="A9619" s="1033"/>
      <c r="E9619" s="130"/>
    </row>
    <row r="9620" spans="1:5" x14ac:dyDescent="0.25">
      <c r="A9620" s="1033"/>
      <c r="E9620" s="130"/>
    </row>
    <row r="9621" spans="1:5" x14ac:dyDescent="0.25">
      <c r="A9621" s="1033"/>
      <c r="E9621" s="130"/>
    </row>
    <row r="9622" spans="1:5" x14ac:dyDescent="0.25">
      <c r="A9622" s="1033"/>
      <c r="E9622" s="130"/>
    </row>
    <row r="9623" spans="1:5" x14ac:dyDescent="0.25">
      <c r="A9623" s="1033"/>
      <c r="E9623" s="130"/>
    </row>
    <row r="9624" spans="1:5" x14ac:dyDescent="0.25">
      <c r="A9624" s="1033"/>
      <c r="E9624" s="130"/>
    </row>
    <row r="9625" spans="1:5" x14ac:dyDescent="0.25">
      <c r="A9625" s="1033"/>
      <c r="E9625" s="130"/>
    </row>
    <row r="9626" spans="1:5" x14ac:dyDescent="0.25">
      <c r="A9626" s="1033"/>
      <c r="E9626" s="130"/>
    </row>
    <row r="9627" spans="1:5" x14ac:dyDescent="0.25">
      <c r="A9627" s="1033"/>
      <c r="E9627" s="130"/>
    </row>
    <row r="9628" spans="1:5" x14ac:dyDescent="0.25">
      <c r="A9628" s="1033"/>
      <c r="E9628" s="130"/>
    </row>
    <row r="9629" spans="1:5" x14ac:dyDescent="0.25">
      <c r="A9629" s="1033"/>
      <c r="E9629" s="130"/>
    </row>
    <row r="9630" spans="1:5" x14ac:dyDescent="0.25">
      <c r="A9630" s="1033"/>
      <c r="E9630" s="130"/>
    </row>
    <row r="9631" spans="1:5" x14ac:dyDescent="0.25">
      <c r="A9631" s="1033"/>
      <c r="E9631" s="130"/>
    </row>
    <row r="9632" spans="1:5" x14ac:dyDescent="0.25">
      <c r="A9632" s="1033"/>
      <c r="E9632" s="130"/>
    </row>
    <row r="9633" spans="1:5" x14ac:dyDescent="0.25">
      <c r="A9633" s="1033"/>
      <c r="E9633" s="130"/>
    </row>
    <row r="9634" spans="1:5" x14ac:dyDescent="0.25">
      <c r="A9634" s="1033"/>
      <c r="E9634" s="130"/>
    </row>
    <row r="9635" spans="1:5" x14ac:dyDescent="0.25">
      <c r="A9635" s="1033"/>
      <c r="E9635" s="130"/>
    </row>
    <row r="9636" spans="1:5" x14ac:dyDescent="0.25">
      <c r="A9636" s="1033"/>
      <c r="E9636" s="130"/>
    </row>
    <row r="9637" spans="1:5" x14ac:dyDescent="0.25">
      <c r="A9637" s="1033"/>
      <c r="E9637" s="130"/>
    </row>
    <row r="9638" spans="1:5" x14ac:dyDescent="0.25">
      <c r="A9638" s="1033"/>
      <c r="E9638" s="130"/>
    </row>
    <row r="9639" spans="1:5" x14ac:dyDescent="0.25">
      <c r="A9639" s="1033"/>
      <c r="E9639" s="130"/>
    </row>
    <row r="9640" spans="1:5" x14ac:dyDescent="0.25">
      <c r="A9640" s="1033"/>
      <c r="E9640" s="130"/>
    </row>
    <row r="9641" spans="1:5" x14ac:dyDescent="0.25">
      <c r="A9641" s="1033"/>
      <c r="E9641" s="130"/>
    </row>
    <row r="9642" spans="1:5" x14ac:dyDescent="0.25">
      <c r="A9642" s="1033"/>
      <c r="E9642" s="130"/>
    </row>
    <row r="9643" spans="1:5" x14ac:dyDescent="0.25">
      <c r="A9643" s="1033"/>
      <c r="E9643" s="130"/>
    </row>
    <row r="9644" spans="1:5" x14ac:dyDescent="0.25">
      <c r="A9644" s="1033"/>
      <c r="E9644" s="130"/>
    </row>
    <row r="9645" spans="1:5" x14ac:dyDescent="0.25">
      <c r="A9645" s="1033"/>
      <c r="E9645" s="130"/>
    </row>
    <row r="9646" spans="1:5" x14ac:dyDescent="0.25">
      <c r="A9646" s="1033"/>
      <c r="E9646" s="130"/>
    </row>
    <row r="9647" spans="1:5" x14ac:dyDescent="0.25">
      <c r="A9647" s="1033"/>
      <c r="E9647" s="130"/>
    </row>
    <row r="9648" spans="1:5" x14ac:dyDescent="0.25">
      <c r="A9648" s="1033"/>
      <c r="E9648" s="130"/>
    </row>
    <row r="9649" spans="1:5" x14ac:dyDescent="0.25">
      <c r="A9649" s="1033"/>
      <c r="E9649" s="130"/>
    </row>
    <row r="9650" spans="1:5" x14ac:dyDescent="0.25">
      <c r="A9650" s="1033"/>
      <c r="E9650" s="130"/>
    </row>
    <row r="9651" spans="1:5" x14ac:dyDescent="0.25">
      <c r="A9651" s="1033"/>
      <c r="E9651" s="130"/>
    </row>
    <row r="9652" spans="1:5" x14ac:dyDescent="0.25">
      <c r="A9652" s="1033"/>
      <c r="E9652" s="130"/>
    </row>
    <row r="9653" spans="1:5" x14ac:dyDescent="0.25">
      <c r="A9653" s="1033"/>
      <c r="E9653" s="130"/>
    </row>
    <row r="9654" spans="1:5" x14ac:dyDescent="0.25">
      <c r="A9654" s="1033"/>
      <c r="E9654" s="130"/>
    </row>
    <row r="9655" spans="1:5" x14ac:dyDescent="0.25">
      <c r="A9655" s="1033"/>
      <c r="E9655" s="130"/>
    </row>
    <row r="9656" spans="1:5" x14ac:dyDescent="0.25">
      <c r="A9656" s="1033"/>
      <c r="E9656" s="130"/>
    </row>
    <row r="9657" spans="1:5" x14ac:dyDescent="0.25">
      <c r="A9657" s="1033"/>
      <c r="E9657" s="130"/>
    </row>
    <row r="9658" spans="1:5" x14ac:dyDescent="0.25">
      <c r="A9658" s="1033"/>
      <c r="E9658" s="130"/>
    </row>
    <row r="9659" spans="1:5" x14ac:dyDescent="0.25">
      <c r="A9659" s="1033"/>
      <c r="E9659" s="130"/>
    </row>
    <row r="9660" spans="1:5" x14ac:dyDescent="0.25">
      <c r="A9660" s="1033"/>
      <c r="E9660" s="130"/>
    </row>
    <row r="9661" spans="1:5" x14ac:dyDescent="0.25">
      <c r="A9661" s="1033"/>
      <c r="E9661" s="130"/>
    </row>
    <row r="9662" spans="1:5" x14ac:dyDescent="0.25">
      <c r="A9662" s="1033"/>
      <c r="E9662" s="130"/>
    </row>
    <row r="9663" spans="1:5" x14ac:dyDescent="0.25">
      <c r="A9663" s="1033"/>
      <c r="E9663" s="130"/>
    </row>
    <row r="9664" spans="1:5" x14ac:dyDescent="0.25">
      <c r="A9664" s="1033"/>
      <c r="E9664" s="130"/>
    </row>
    <row r="9665" spans="1:5" x14ac:dyDescent="0.25">
      <c r="A9665" s="1033"/>
      <c r="E9665" s="130"/>
    </row>
    <row r="9666" spans="1:5" x14ac:dyDescent="0.25">
      <c r="A9666" s="1033"/>
      <c r="E9666" s="130"/>
    </row>
    <row r="9667" spans="1:5" x14ac:dyDescent="0.25">
      <c r="A9667" s="1033"/>
      <c r="E9667" s="130"/>
    </row>
    <row r="9668" spans="1:5" x14ac:dyDescent="0.25">
      <c r="A9668" s="1033"/>
      <c r="E9668" s="130"/>
    </row>
    <row r="9669" spans="1:5" x14ac:dyDescent="0.25">
      <c r="A9669" s="1033"/>
      <c r="E9669" s="130"/>
    </row>
    <row r="9670" spans="1:5" x14ac:dyDescent="0.25">
      <c r="A9670" s="1033"/>
      <c r="E9670" s="130"/>
    </row>
    <row r="9671" spans="1:5" x14ac:dyDescent="0.25">
      <c r="A9671" s="1033"/>
      <c r="E9671" s="130"/>
    </row>
    <row r="9672" spans="1:5" x14ac:dyDescent="0.25">
      <c r="A9672" s="1033"/>
      <c r="E9672" s="130"/>
    </row>
    <row r="9673" spans="1:5" x14ac:dyDescent="0.25">
      <c r="A9673" s="1033"/>
      <c r="E9673" s="130"/>
    </row>
    <row r="9674" spans="1:5" x14ac:dyDescent="0.25">
      <c r="A9674" s="1033"/>
      <c r="E9674" s="130"/>
    </row>
    <row r="9675" spans="1:5" x14ac:dyDescent="0.25">
      <c r="A9675" s="1033"/>
      <c r="E9675" s="130"/>
    </row>
    <row r="9676" spans="1:5" x14ac:dyDescent="0.25">
      <c r="A9676" s="1033"/>
      <c r="E9676" s="130"/>
    </row>
    <row r="9677" spans="1:5" x14ac:dyDescent="0.25">
      <c r="A9677" s="1033"/>
      <c r="E9677" s="130"/>
    </row>
    <row r="9678" spans="1:5" x14ac:dyDescent="0.25">
      <c r="A9678" s="1033"/>
      <c r="E9678" s="130"/>
    </row>
    <row r="9679" spans="1:5" x14ac:dyDescent="0.25">
      <c r="A9679" s="1033"/>
      <c r="E9679" s="130"/>
    </row>
    <row r="9680" spans="1:5" x14ac:dyDescent="0.25">
      <c r="A9680" s="1033"/>
      <c r="E9680" s="130"/>
    </row>
    <row r="9681" spans="1:5" x14ac:dyDescent="0.25">
      <c r="A9681" s="1033"/>
      <c r="E9681" s="130"/>
    </row>
    <row r="9682" spans="1:5" x14ac:dyDescent="0.25">
      <c r="A9682" s="1033"/>
      <c r="E9682" s="130"/>
    </row>
    <row r="9683" spans="1:5" x14ac:dyDescent="0.25">
      <c r="A9683" s="1033"/>
      <c r="E9683" s="130"/>
    </row>
    <row r="9684" spans="1:5" x14ac:dyDescent="0.25">
      <c r="A9684" s="1033"/>
      <c r="E9684" s="130"/>
    </row>
    <row r="9685" spans="1:5" x14ac:dyDescent="0.25">
      <c r="A9685" s="1033"/>
      <c r="E9685" s="130"/>
    </row>
    <row r="9686" spans="1:5" x14ac:dyDescent="0.25">
      <c r="A9686" s="1033"/>
      <c r="E9686" s="130"/>
    </row>
    <row r="9687" spans="1:5" x14ac:dyDescent="0.25">
      <c r="A9687" s="1033"/>
      <c r="E9687" s="130"/>
    </row>
    <row r="9688" spans="1:5" x14ac:dyDescent="0.25">
      <c r="A9688" s="1033"/>
      <c r="E9688" s="130"/>
    </row>
    <row r="9689" spans="1:5" x14ac:dyDescent="0.25">
      <c r="A9689" s="1033"/>
      <c r="E9689" s="130"/>
    </row>
    <row r="9690" spans="1:5" x14ac:dyDescent="0.25">
      <c r="A9690" s="1033"/>
      <c r="E9690" s="130"/>
    </row>
    <row r="9691" spans="1:5" x14ac:dyDescent="0.25">
      <c r="A9691" s="1033"/>
      <c r="E9691" s="130"/>
    </row>
    <row r="9692" spans="1:5" x14ac:dyDescent="0.25">
      <c r="A9692" s="1033"/>
      <c r="E9692" s="130"/>
    </row>
    <row r="9693" spans="1:5" x14ac:dyDescent="0.25">
      <c r="A9693" s="1033"/>
      <c r="E9693" s="130"/>
    </row>
    <row r="9694" spans="1:5" x14ac:dyDescent="0.25">
      <c r="A9694" s="1033"/>
      <c r="E9694" s="130"/>
    </row>
    <row r="9695" spans="1:5" x14ac:dyDescent="0.25">
      <c r="A9695" s="1033"/>
      <c r="E9695" s="130"/>
    </row>
    <row r="9696" spans="1:5" x14ac:dyDescent="0.25">
      <c r="A9696" s="1033"/>
      <c r="E9696" s="130"/>
    </row>
    <row r="9697" spans="1:5" x14ac:dyDescent="0.25">
      <c r="A9697" s="1033"/>
      <c r="E9697" s="130"/>
    </row>
    <row r="9698" spans="1:5" x14ac:dyDescent="0.25">
      <c r="A9698" s="1033"/>
      <c r="E9698" s="130"/>
    </row>
    <row r="9699" spans="1:5" x14ac:dyDescent="0.25">
      <c r="A9699" s="1033"/>
      <c r="E9699" s="130"/>
    </row>
    <row r="9700" spans="1:5" x14ac:dyDescent="0.25">
      <c r="A9700" s="1033"/>
      <c r="E9700" s="130"/>
    </row>
    <row r="9701" spans="1:5" x14ac:dyDescent="0.25">
      <c r="A9701" s="1033"/>
      <c r="E9701" s="130"/>
    </row>
    <row r="9702" spans="1:5" x14ac:dyDescent="0.25">
      <c r="A9702" s="1033"/>
      <c r="E9702" s="130"/>
    </row>
    <row r="9703" spans="1:5" x14ac:dyDescent="0.25">
      <c r="A9703" s="1033"/>
      <c r="E9703" s="130"/>
    </row>
    <row r="9704" spans="1:5" x14ac:dyDescent="0.25">
      <c r="A9704" s="1033"/>
      <c r="E9704" s="130"/>
    </row>
    <row r="9705" spans="1:5" x14ac:dyDescent="0.25">
      <c r="A9705" s="1033"/>
      <c r="E9705" s="130"/>
    </row>
    <row r="9706" spans="1:5" x14ac:dyDescent="0.25">
      <c r="A9706" s="1033"/>
      <c r="E9706" s="130"/>
    </row>
    <row r="9707" spans="1:5" x14ac:dyDescent="0.25">
      <c r="A9707" s="1033"/>
      <c r="E9707" s="130"/>
    </row>
    <row r="9708" spans="1:5" x14ac:dyDescent="0.25">
      <c r="A9708" s="1033"/>
      <c r="E9708" s="130"/>
    </row>
    <row r="9709" spans="1:5" x14ac:dyDescent="0.25">
      <c r="A9709" s="1033"/>
      <c r="E9709" s="130"/>
    </row>
    <row r="9710" spans="1:5" x14ac:dyDescent="0.25">
      <c r="A9710" s="1033"/>
      <c r="E9710" s="130"/>
    </row>
    <row r="9711" spans="1:5" x14ac:dyDescent="0.25">
      <c r="A9711" s="1033"/>
      <c r="E9711" s="130"/>
    </row>
    <row r="9712" spans="1:5" x14ac:dyDescent="0.25">
      <c r="A9712" s="1033"/>
      <c r="E9712" s="130"/>
    </row>
    <row r="9713" spans="1:5" x14ac:dyDescent="0.25">
      <c r="A9713" s="1033"/>
      <c r="E9713" s="130"/>
    </row>
    <row r="9714" spans="1:5" x14ac:dyDescent="0.25">
      <c r="A9714" s="1033"/>
      <c r="E9714" s="130"/>
    </row>
    <row r="9715" spans="1:5" x14ac:dyDescent="0.25">
      <c r="A9715" s="1033"/>
      <c r="E9715" s="130"/>
    </row>
    <row r="9716" spans="1:5" x14ac:dyDescent="0.25">
      <c r="A9716" s="1033"/>
      <c r="E9716" s="130"/>
    </row>
    <row r="9717" spans="1:5" x14ac:dyDescent="0.25">
      <c r="A9717" s="1033"/>
      <c r="E9717" s="130"/>
    </row>
    <row r="9718" spans="1:5" x14ac:dyDescent="0.25">
      <c r="A9718" s="1033"/>
      <c r="E9718" s="130"/>
    </row>
    <row r="9719" spans="1:5" x14ac:dyDescent="0.25">
      <c r="A9719" s="1033"/>
      <c r="E9719" s="130"/>
    </row>
    <row r="9720" spans="1:5" x14ac:dyDescent="0.25">
      <c r="A9720" s="1033"/>
      <c r="E9720" s="130"/>
    </row>
    <row r="9721" spans="1:5" x14ac:dyDescent="0.25">
      <c r="A9721" s="1033"/>
      <c r="E9721" s="130"/>
    </row>
    <row r="9722" spans="1:5" x14ac:dyDescent="0.25">
      <c r="A9722" s="1033"/>
      <c r="E9722" s="130"/>
    </row>
    <row r="9723" spans="1:5" x14ac:dyDescent="0.25">
      <c r="A9723" s="1033"/>
      <c r="E9723" s="130"/>
    </row>
    <row r="9724" spans="1:5" x14ac:dyDescent="0.25">
      <c r="A9724" s="1033"/>
      <c r="E9724" s="130"/>
    </row>
    <row r="9725" spans="1:5" x14ac:dyDescent="0.25">
      <c r="A9725" s="1033"/>
      <c r="E9725" s="130"/>
    </row>
    <row r="9726" spans="1:5" x14ac:dyDescent="0.25">
      <c r="A9726" s="1033"/>
      <c r="E9726" s="130"/>
    </row>
    <row r="9727" spans="1:5" x14ac:dyDescent="0.25">
      <c r="A9727" s="1033"/>
      <c r="E9727" s="130"/>
    </row>
    <row r="9728" spans="1:5" x14ac:dyDescent="0.25">
      <c r="A9728" s="1033"/>
      <c r="E9728" s="130"/>
    </row>
    <row r="9729" spans="1:5" x14ac:dyDescent="0.25">
      <c r="A9729" s="1033"/>
      <c r="E9729" s="130"/>
    </row>
    <row r="9730" spans="1:5" x14ac:dyDescent="0.25">
      <c r="A9730" s="1033"/>
      <c r="E9730" s="130"/>
    </row>
    <row r="9731" spans="1:5" x14ac:dyDescent="0.25">
      <c r="A9731" s="1033"/>
      <c r="E9731" s="130"/>
    </row>
    <row r="9732" spans="1:5" x14ac:dyDescent="0.25">
      <c r="A9732" s="1033"/>
      <c r="E9732" s="130"/>
    </row>
    <row r="9733" spans="1:5" x14ac:dyDescent="0.25">
      <c r="A9733" s="1033"/>
      <c r="E9733" s="130"/>
    </row>
    <row r="9734" spans="1:5" x14ac:dyDescent="0.25">
      <c r="A9734" s="1033"/>
      <c r="E9734" s="130"/>
    </row>
    <row r="9735" spans="1:5" x14ac:dyDescent="0.25">
      <c r="A9735" s="1033"/>
      <c r="E9735" s="130"/>
    </row>
    <row r="9736" spans="1:5" x14ac:dyDescent="0.25">
      <c r="A9736" s="1033"/>
      <c r="E9736" s="130"/>
    </row>
    <row r="9737" spans="1:5" x14ac:dyDescent="0.25">
      <c r="A9737" s="1033"/>
      <c r="E9737" s="130"/>
    </row>
    <row r="9738" spans="1:5" x14ac:dyDescent="0.25">
      <c r="A9738" s="1033"/>
      <c r="E9738" s="130"/>
    </row>
    <row r="9739" spans="1:5" x14ac:dyDescent="0.25">
      <c r="A9739" s="1033"/>
      <c r="E9739" s="130"/>
    </row>
    <row r="9740" spans="1:5" x14ac:dyDescent="0.25">
      <c r="A9740" s="1033"/>
      <c r="E9740" s="130"/>
    </row>
    <row r="9741" spans="1:5" x14ac:dyDescent="0.25">
      <c r="A9741" s="1033"/>
      <c r="E9741" s="130"/>
    </row>
    <row r="9742" spans="1:5" x14ac:dyDescent="0.25">
      <c r="A9742" s="1033"/>
      <c r="E9742" s="130"/>
    </row>
    <row r="9743" spans="1:5" x14ac:dyDescent="0.25">
      <c r="A9743" s="1033"/>
      <c r="E9743" s="130"/>
    </row>
    <row r="9744" spans="1:5" x14ac:dyDescent="0.25">
      <c r="A9744" s="1033"/>
      <c r="E9744" s="130"/>
    </row>
    <row r="9745" spans="1:5" x14ac:dyDescent="0.25">
      <c r="A9745" s="1033"/>
      <c r="E9745" s="130"/>
    </row>
    <row r="9746" spans="1:5" x14ac:dyDescent="0.25">
      <c r="A9746" s="1033"/>
      <c r="E9746" s="130"/>
    </row>
    <row r="9747" spans="1:5" x14ac:dyDescent="0.25">
      <c r="A9747" s="1033"/>
      <c r="E9747" s="130"/>
    </row>
    <row r="9748" spans="1:5" x14ac:dyDescent="0.25">
      <c r="A9748" s="1033"/>
      <c r="E9748" s="130"/>
    </row>
    <row r="9749" spans="1:5" x14ac:dyDescent="0.25">
      <c r="A9749" s="1033"/>
      <c r="E9749" s="130"/>
    </row>
    <row r="9750" spans="1:5" x14ac:dyDescent="0.25">
      <c r="A9750" s="1033"/>
      <c r="E9750" s="130"/>
    </row>
    <row r="9751" spans="1:5" x14ac:dyDescent="0.25">
      <c r="A9751" s="1033"/>
      <c r="E9751" s="130"/>
    </row>
    <row r="9752" spans="1:5" x14ac:dyDescent="0.25">
      <c r="A9752" s="1033"/>
      <c r="E9752" s="130"/>
    </row>
    <row r="9753" spans="1:5" x14ac:dyDescent="0.25">
      <c r="A9753" s="1033"/>
      <c r="E9753" s="130"/>
    </row>
    <row r="9754" spans="1:5" x14ac:dyDescent="0.25">
      <c r="A9754" s="1033"/>
      <c r="E9754" s="130"/>
    </row>
    <row r="9755" spans="1:5" x14ac:dyDescent="0.25">
      <c r="A9755" s="1033"/>
      <c r="E9755" s="130"/>
    </row>
    <row r="9756" spans="1:5" x14ac:dyDescent="0.25">
      <c r="A9756" s="1033"/>
      <c r="E9756" s="130"/>
    </row>
    <row r="9757" spans="1:5" x14ac:dyDescent="0.25">
      <c r="A9757" s="1033"/>
      <c r="E9757" s="130"/>
    </row>
    <row r="9758" spans="1:5" x14ac:dyDescent="0.25">
      <c r="A9758" s="1033"/>
      <c r="E9758" s="130"/>
    </row>
    <row r="9759" spans="1:5" x14ac:dyDescent="0.25">
      <c r="A9759" s="1033"/>
      <c r="E9759" s="130"/>
    </row>
    <row r="9760" spans="1:5" x14ac:dyDescent="0.25">
      <c r="A9760" s="1033"/>
      <c r="E9760" s="130"/>
    </row>
    <row r="9761" spans="1:5" x14ac:dyDescent="0.25">
      <c r="A9761" s="1033"/>
      <c r="E9761" s="130"/>
    </row>
    <row r="9762" spans="1:5" x14ac:dyDescent="0.25">
      <c r="A9762" s="1033"/>
      <c r="E9762" s="130"/>
    </row>
    <row r="9763" spans="1:5" x14ac:dyDescent="0.25">
      <c r="A9763" s="1033"/>
      <c r="E9763" s="130"/>
    </row>
    <row r="9764" spans="1:5" x14ac:dyDescent="0.25">
      <c r="A9764" s="1033"/>
      <c r="E9764" s="130"/>
    </row>
    <row r="9765" spans="1:5" x14ac:dyDescent="0.25">
      <c r="A9765" s="1033"/>
      <c r="E9765" s="130"/>
    </row>
    <row r="9766" spans="1:5" x14ac:dyDescent="0.25">
      <c r="A9766" s="1033"/>
      <c r="E9766" s="130"/>
    </row>
    <row r="9767" spans="1:5" x14ac:dyDescent="0.25">
      <c r="A9767" s="1033"/>
      <c r="E9767" s="130"/>
    </row>
    <row r="9768" spans="1:5" x14ac:dyDescent="0.25">
      <c r="A9768" s="1033"/>
      <c r="E9768" s="130"/>
    </row>
    <row r="9769" spans="1:5" x14ac:dyDescent="0.25">
      <c r="A9769" s="1033"/>
      <c r="E9769" s="130"/>
    </row>
    <row r="9770" spans="1:5" x14ac:dyDescent="0.25">
      <c r="A9770" s="1033"/>
      <c r="E9770" s="130"/>
    </row>
    <row r="9771" spans="1:5" x14ac:dyDescent="0.25">
      <c r="A9771" s="1033"/>
      <c r="E9771" s="130"/>
    </row>
    <row r="9772" spans="1:5" x14ac:dyDescent="0.25">
      <c r="A9772" s="1033"/>
      <c r="E9772" s="130"/>
    </row>
    <row r="9773" spans="1:5" x14ac:dyDescent="0.25">
      <c r="A9773" s="1033"/>
      <c r="E9773" s="130"/>
    </row>
    <row r="9774" spans="1:5" x14ac:dyDescent="0.25">
      <c r="A9774" s="1033"/>
      <c r="E9774" s="130"/>
    </row>
    <row r="9775" spans="1:5" x14ac:dyDescent="0.25">
      <c r="A9775" s="1033"/>
      <c r="E9775" s="130"/>
    </row>
    <row r="9776" spans="1:5" x14ac:dyDescent="0.25">
      <c r="A9776" s="1033"/>
      <c r="E9776" s="130"/>
    </row>
    <row r="9777" spans="1:5" x14ac:dyDescent="0.25">
      <c r="A9777" s="1033"/>
      <c r="E9777" s="130"/>
    </row>
    <row r="9778" spans="1:5" x14ac:dyDescent="0.25">
      <c r="A9778" s="1033"/>
      <c r="E9778" s="130"/>
    </row>
    <row r="9779" spans="1:5" x14ac:dyDescent="0.25">
      <c r="A9779" s="1033"/>
      <c r="E9779" s="130"/>
    </row>
    <row r="9780" spans="1:5" x14ac:dyDescent="0.25">
      <c r="A9780" s="1033"/>
      <c r="E9780" s="130"/>
    </row>
    <row r="9781" spans="1:5" x14ac:dyDescent="0.25">
      <c r="A9781" s="1033"/>
      <c r="E9781" s="130"/>
    </row>
    <row r="9782" spans="1:5" x14ac:dyDescent="0.25">
      <c r="A9782" s="1033"/>
      <c r="E9782" s="130"/>
    </row>
    <row r="9783" spans="1:5" x14ac:dyDescent="0.25">
      <c r="A9783" s="1033"/>
      <c r="E9783" s="130"/>
    </row>
    <row r="9784" spans="1:5" x14ac:dyDescent="0.25">
      <c r="A9784" s="1033"/>
      <c r="E9784" s="130"/>
    </row>
    <row r="9785" spans="1:5" x14ac:dyDescent="0.25">
      <c r="A9785" s="1033"/>
      <c r="E9785" s="130"/>
    </row>
    <row r="9786" spans="1:5" x14ac:dyDescent="0.25">
      <c r="A9786" s="1033"/>
      <c r="E9786" s="130"/>
    </row>
    <row r="9787" spans="1:5" x14ac:dyDescent="0.25">
      <c r="A9787" s="1033"/>
      <c r="E9787" s="130"/>
    </row>
    <row r="9788" spans="1:5" x14ac:dyDescent="0.25">
      <c r="A9788" s="1033"/>
      <c r="E9788" s="130"/>
    </row>
    <row r="9789" spans="1:5" x14ac:dyDescent="0.25">
      <c r="A9789" s="1033"/>
      <c r="E9789" s="130"/>
    </row>
    <row r="9790" spans="1:5" x14ac:dyDescent="0.25">
      <c r="A9790" s="1033"/>
      <c r="E9790" s="130"/>
    </row>
    <row r="9791" spans="1:5" x14ac:dyDescent="0.25">
      <c r="A9791" s="1033"/>
      <c r="E9791" s="130"/>
    </row>
    <row r="9792" spans="1:5" x14ac:dyDescent="0.25">
      <c r="A9792" s="1033"/>
      <c r="E9792" s="130"/>
    </row>
    <row r="9793" spans="1:5" x14ac:dyDescent="0.25">
      <c r="A9793" s="1033"/>
      <c r="E9793" s="130"/>
    </row>
    <row r="9794" spans="1:5" x14ac:dyDescent="0.25">
      <c r="A9794" s="1033"/>
      <c r="E9794" s="130"/>
    </row>
    <row r="9795" spans="1:5" x14ac:dyDescent="0.25">
      <c r="A9795" s="1033"/>
      <c r="E9795" s="130"/>
    </row>
    <row r="9796" spans="1:5" x14ac:dyDescent="0.25">
      <c r="A9796" s="1033"/>
      <c r="E9796" s="130"/>
    </row>
    <row r="9797" spans="1:5" x14ac:dyDescent="0.25">
      <c r="A9797" s="1033"/>
      <c r="E9797" s="130"/>
    </row>
    <row r="9798" spans="1:5" x14ac:dyDescent="0.25">
      <c r="A9798" s="1033"/>
      <c r="E9798" s="130"/>
    </row>
    <row r="9799" spans="1:5" x14ac:dyDescent="0.25">
      <c r="A9799" s="1033"/>
      <c r="E9799" s="130"/>
    </row>
    <row r="9800" spans="1:5" x14ac:dyDescent="0.25">
      <c r="A9800" s="1033"/>
      <c r="E9800" s="130"/>
    </row>
    <row r="9801" spans="1:5" x14ac:dyDescent="0.25">
      <c r="A9801" s="1033"/>
      <c r="E9801" s="130"/>
    </row>
    <row r="9802" spans="1:5" x14ac:dyDescent="0.25">
      <c r="A9802" s="1033"/>
      <c r="E9802" s="130"/>
    </row>
    <row r="9803" spans="1:5" x14ac:dyDescent="0.25">
      <c r="A9803" s="1033"/>
      <c r="E9803" s="130"/>
    </row>
    <row r="9804" spans="1:5" x14ac:dyDescent="0.25">
      <c r="A9804" s="1033"/>
      <c r="E9804" s="130"/>
    </row>
    <row r="9805" spans="1:5" x14ac:dyDescent="0.25">
      <c r="A9805" s="1033"/>
      <c r="E9805" s="130"/>
    </row>
    <row r="9806" spans="1:5" x14ac:dyDescent="0.25">
      <c r="A9806" s="1033"/>
      <c r="E9806" s="130"/>
    </row>
    <row r="9807" spans="1:5" x14ac:dyDescent="0.25">
      <c r="A9807" s="1033"/>
      <c r="E9807" s="130"/>
    </row>
    <row r="9808" spans="1:5" x14ac:dyDescent="0.25">
      <c r="A9808" s="1033"/>
      <c r="E9808" s="130"/>
    </row>
    <row r="9809" spans="1:5" x14ac:dyDescent="0.25">
      <c r="A9809" s="1033"/>
      <c r="E9809" s="130"/>
    </row>
    <row r="9810" spans="1:5" x14ac:dyDescent="0.25">
      <c r="A9810" s="1033"/>
      <c r="E9810" s="130"/>
    </row>
    <row r="9811" spans="1:5" x14ac:dyDescent="0.25">
      <c r="A9811" s="1033"/>
      <c r="E9811" s="130"/>
    </row>
    <row r="9812" spans="1:5" x14ac:dyDescent="0.25">
      <c r="A9812" s="1033"/>
      <c r="E9812" s="130"/>
    </row>
    <row r="9813" spans="1:5" x14ac:dyDescent="0.25">
      <c r="A9813" s="1033"/>
      <c r="E9813" s="130"/>
    </row>
    <row r="9814" spans="1:5" x14ac:dyDescent="0.25">
      <c r="A9814" s="1033"/>
      <c r="E9814" s="130"/>
    </row>
    <row r="9815" spans="1:5" x14ac:dyDescent="0.25">
      <c r="A9815" s="1033"/>
      <c r="E9815" s="130"/>
    </row>
    <row r="9816" spans="1:5" x14ac:dyDescent="0.25">
      <c r="A9816" s="1033"/>
      <c r="E9816" s="130"/>
    </row>
    <row r="9817" spans="1:5" x14ac:dyDescent="0.25">
      <c r="A9817" s="1033"/>
      <c r="E9817" s="130"/>
    </row>
    <row r="9818" spans="1:5" x14ac:dyDescent="0.25">
      <c r="A9818" s="1033"/>
      <c r="E9818" s="130"/>
    </row>
    <row r="9819" spans="1:5" x14ac:dyDescent="0.25">
      <c r="A9819" s="1033"/>
      <c r="E9819" s="130"/>
    </row>
    <row r="9820" spans="1:5" x14ac:dyDescent="0.25">
      <c r="A9820" s="1033"/>
      <c r="E9820" s="130"/>
    </row>
    <row r="9821" spans="1:5" x14ac:dyDescent="0.25">
      <c r="A9821" s="1033"/>
      <c r="E9821" s="130"/>
    </row>
    <row r="9822" spans="1:5" x14ac:dyDescent="0.25">
      <c r="A9822" s="1033"/>
      <c r="E9822" s="130"/>
    </row>
    <row r="9823" spans="1:5" x14ac:dyDescent="0.25">
      <c r="A9823" s="1033"/>
      <c r="E9823" s="130"/>
    </row>
    <row r="9824" spans="1:5" x14ac:dyDescent="0.25">
      <c r="A9824" s="1033"/>
      <c r="E9824" s="130"/>
    </row>
    <row r="9825" spans="1:5" x14ac:dyDescent="0.25">
      <c r="A9825" s="1033"/>
      <c r="E9825" s="130"/>
    </row>
    <row r="9826" spans="1:5" x14ac:dyDescent="0.25">
      <c r="A9826" s="1033"/>
      <c r="E9826" s="130"/>
    </row>
    <row r="9827" spans="1:5" x14ac:dyDescent="0.25">
      <c r="A9827" s="1033"/>
      <c r="E9827" s="130"/>
    </row>
    <row r="9828" spans="1:5" x14ac:dyDescent="0.25">
      <c r="A9828" s="1033"/>
      <c r="E9828" s="130"/>
    </row>
    <row r="9829" spans="1:5" x14ac:dyDescent="0.25">
      <c r="A9829" s="1033"/>
      <c r="E9829" s="130"/>
    </row>
    <row r="9830" spans="1:5" x14ac:dyDescent="0.25">
      <c r="A9830" s="1033"/>
      <c r="E9830" s="130"/>
    </row>
    <row r="9831" spans="1:5" x14ac:dyDescent="0.25">
      <c r="A9831" s="1033"/>
      <c r="E9831" s="130"/>
    </row>
    <row r="9832" spans="1:5" x14ac:dyDescent="0.25">
      <c r="A9832" s="1033"/>
      <c r="E9832" s="130"/>
    </row>
    <row r="9833" spans="1:5" x14ac:dyDescent="0.25">
      <c r="A9833" s="1033"/>
      <c r="E9833" s="130"/>
    </row>
    <row r="9834" spans="1:5" x14ac:dyDescent="0.25">
      <c r="A9834" s="1033"/>
      <c r="E9834" s="130"/>
    </row>
    <row r="9835" spans="1:5" x14ac:dyDescent="0.25">
      <c r="A9835" s="1033"/>
      <c r="E9835" s="130"/>
    </row>
    <row r="9836" spans="1:5" x14ac:dyDescent="0.25">
      <c r="A9836" s="1033"/>
      <c r="E9836" s="130"/>
    </row>
    <row r="9837" spans="1:5" x14ac:dyDescent="0.25">
      <c r="A9837" s="1033"/>
      <c r="E9837" s="130"/>
    </row>
    <row r="9838" spans="1:5" x14ac:dyDescent="0.25">
      <c r="A9838" s="1033"/>
      <c r="E9838" s="130"/>
    </row>
    <row r="9839" spans="1:5" x14ac:dyDescent="0.25">
      <c r="A9839" s="1033"/>
      <c r="E9839" s="130"/>
    </row>
    <row r="9840" spans="1:5" x14ac:dyDescent="0.25">
      <c r="A9840" s="1033"/>
      <c r="E9840" s="130"/>
    </row>
    <row r="9841" spans="1:5" x14ac:dyDescent="0.25">
      <c r="A9841" s="1033"/>
      <c r="E9841" s="130"/>
    </row>
    <row r="9842" spans="1:5" x14ac:dyDescent="0.25">
      <c r="A9842" s="1033"/>
      <c r="E9842" s="130"/>
    </row>
    <row r="9843" spans="1:5" x14ac:dyDescent="0.25">
      <c r="A9843" s="1033"/>
      <c r="E9843" s="130"/>
    </row>
    <row r="9844" spans="1:5" x14ac:dyDescent="0.25">
      <c r="A9844" s="1033"/>
      <c r="E9844" s="130"/>
    </row>
    <row r="9845" spans="1:5" x14ac:dyDescent="0.25">
      <c r="A9845" s="1033"/>
      <c r="E9845" s="130"/>
    </row>
    <row r="9846" spans="1:5" x14ac:dyDescent="0.25">
      <c r="A9846" s="1033"/>
      <c r="E9846" s="130"/>
    </row>
    <row r="9847" spans="1:5" x14ac:dyDescent="0.25">
      <c r="A9847" s="1033"/>
      <c r="E9847" s="130"/>
    </row>
    <row r="9848" spans="1:5" x14ac:dyDescent="0.25">
      <c r="A9848" s="1033"/>
      <c r="E9848" s="130"/>
    </row>
    <row r="9849" spans="1:5" x14ac:dyDescent="0.25">
      <c r="A9849" s="1033"/>
      <c r="E9849" s="130"/>
    </row>
    <row r="9850" spans="1:5" x14ac:dyDescent="0.25">
      <c r="A9850" s="1033"/>
      <c r="E9850" s="130"/>
    </row>
    <row r="9851" spans="1:5" x14ac:dyDescent="0.25">
      <c r="A9851" s="1033"/>
      <c r="E9851" s="130"/>
    </row>
    <row r="9852" spans="1:5" x14ac:dyDescent="0.25">
      <c r="A9852" s="1033"/>
      <c r="E9852" s="130"/>
    </row>
    <row r="9853" spans="1:5" x14ac:dyDescent="0.25">
      <c r="A9853" s="1033"/>
      <c r="E9853" s="130"/>
    </row>
    <row r="9854" spans="1:5" x14ac:dyDescent="0.25">
      <c r="A9854" s="1033"/>
      <c r="E9854" s="130"/>
    </row>
    <row r="9855" spans="1:5" x14ac:dyDescent="0.25">
      <c r="A9855" s="1033"/>
      <c r="E9855" s="130"/>
    </row>
    <row r="9856" spans="1:5" x14ac:dyDescent="0.25">
      <c r="A9856" s="1033"/>
      <c r="E9856" s="130"/>
    </row>
    <row r="9857" spans="1:5" x14ac:dyDescent="0.25">
      <c r="A9857" s="1033"/>
      <c r="E9857" s="130"/>
    </row>
    <row r="9858" spans="1:5" x14ac:dyDescent="0.25">
      <c r="A9858" s="1033"/>
      <c r="E9858" s="130"/>
    </row>
    <row r="9859" spans="1:5" x14ac:dyDescent="0.25">
      <c r="A9859" s="1033"/>
      <c r="E9859" s="130"/>
    </row>
    <row r="9860" spans="1:5" x14ac:dyDescent="0.25">
      <c r="A9860" s="1033"/>
      <c r="E9860" s="130"/>
    </row>
    <row r="9861" spans="1:5" x14ac:dyDescent="0.25">
      <c r="A9861" s="1033"/>
      <c r="E9861" s="130"/>
    </row>
    <row r="9862" spans="1:5" x14ac:dyDescent="0.25">
      <c r="A9862" s="1033"/>
      <c r="E9862" s="130"/>
    </row>
    <row r="9863" spans="1:5" x14ac:dyDescent="0.25">
      <c r="A9863" s="1033"/>
      <c r="E9863" s="130"/>
    </row>
    <row r="9864" spans="1:5" x14ac:dyDescent="0.25">
      <c r="A9864" s="1033"/>
      <c r="E9864" s="130"/>
    </row>
    <row r="9865" spans="1:5" x14ac:dyDescent="0.25">
      <c r="A9865" s="1033"/>
      <c r="E9865" s="130"/>
    </row>
    <row r="9866" spans="1:5" x14ac:dyDescent="0.25">
      <c r="A9866" s="1033"/>
      <c r="E9866" s="130"/>
    </row>
    <row r="9867" spans="1:5" x14ac:dyDescent="0.25">
      <c r="A9867" s="1033"/>
      <c r="E9867" s="130"/>
    </row>
    <row r="9868" spans="1:5" x14ac:dyDescent="0.25">
      <c r="A9868" s="1033"/>
      <c r="E9868" s="130"/>
    </row>
    <row r="9869" spans="1:5" x14ac:dyDescent="0.25">
      <c r="A9869" s="1033"/>
      <c r="E9869" s="130"/>
    </row>
    <row r="9870" spans="1:5" x14ac:dyDescent="0.25">
      <c r="A9870" s="1033"/>
      <c r="E9870" s="130"/>
    </row>
    <row r="9871" spans="1:5" x14ac:dyDescent="0.25">
      <c r="A9871" s="1033"/>
      <c r="E9871" s="130"/>
    </row>
    <row r="9872" spans="1:5" x14ac:dyDescent="0.25">
      <c r="A9872" s="1033"/>
      <c r="E9872" s="130"/>
    </row>
    <row r="9873" spans="1:5" x14ac:dyDescent="0.25">
      <c r="A9873" s="1033"/>
      <c r="E9873" s="130"/>
    </row>
    <row r="9874" spans="1:5" x14ac:dyDescent="0.25">
      <c r="A9874" s="1033"/>
      <c r="E9874" s="130"/>
    </row>
    <row r="9875" spans="1:5" x14ac:dyDescent="0.25">
      <c r="A9875" s="1033"/>
      <c r="E9875" s="130"/>
    </row>
    <row r="9876" spans="1:5" x14ac:dyDescent="0.25">
      <c r="A9876" s="1033"/>
      <c r="E9876" s="130"/>
    </row>
    <row r="9877" spans="1:5" x14ac:dyDescent="0.25">
      <c r="A9877" s="1033"/>
      <c r="E9877" s="130"/>
    </row>
    <row r="9878" spans="1:5" x14ac:dyDescent="0.25">
      <c r="A9878" s="1033"/>
      <c r="E9878" s="130"/>
    </row>
    <row r="9879" spans="1:5" x14ac:dyDescent="0.25">
      <c r="A9879" s="1033"/>
      <c r="E9879" s="130"/>
    </row>
    <row r="9880" spans="1:5" x14ac:dyDescent="0.25">
      <c r="A9880" s="1033"/>
      <c r="E9880" s="130"/>
    </row>
    <row r="9881" spans="1:5" x14ac:dyDescent="0.25">
      <c r="A9881" s="1033"/>
      <c r="E9881" s="130"/>
    </row>
    <row r="9882" spans="1:5" x14ac:dyDescent="0.25">
      <c r="A9882" s="1033"/>
      <c r="E9882" s="130"/>
    </row>
    <row r="9883" spans="1:5" x14ac:dyDescent="0.25">
      <c r="A9883" s="1033"/>
      <c r="E9883" s="130"/>
    </row>
    <row r="9884" spans="1:5" x14ac:dyDescent="0.25">
      <c r="A9884" s="1033"/>
      <c r="E9884" s="130"/>
    </row>
    <row r="9885" spans="1:5" x14ac:dyDescent="0.25">
      <c r="A9885" s="1033"/>
      <c r="E9885" s="130"/>
    </row>
    <row r="9886" spans="1:5" x14ac:dyDescent="0.25">
      <c r="A9886" s="1033"/>
      <c r="E9886" s="130"/>
    </row>
    <row r="9887" spans="1:5" x14ac:dyDescent="0.25">
      <c r="A9887" s="1033"/>
      <c r="E9887" s="130"/>
    </row>
    <row r="9888" spans="1:5" x14ac:dyDescent="0.25">
      <c r="A9888" s="1033"/>
      <c r="E9888" s="130"/>
    </row>
    <row r="9889" spans="1:5" x14ac:dyDescent="0.25">
      <c r="A9889" s="1033"/>
      <c r="E9889" s="130"/>
    </row>
    <row r="9890" spans="1:5" x14ac:dyDescent="0.25">
      <c r="A9890" s="1033"/>
      <c r="E9890" s="130"/>
    </row>
    <row r="9891" spans="1:5" x14ac:dyDescent="0.25">
      <c r="A9891" s="1033"/>
      <c r="E9891" s="130"/>
    </row>
    <row r="9892" spans="1:5" x14ac:dyDescent="0.25">
      <c r="A9892" s="1033"/>
      <c r="E9892" s="130"/>
    </row>
    <row r="9893" spans="1:5" x14ac:dyDescent="0.25">
      <c r="A9893" s="1033"/>
      <c r="E9893" s="130"/>
    </row>
    <row r="9894" spans="1:5" x14ac:dyDescent="0.25">
      <c r="A9894" s="1033"/>
      <c r="E9894" s="130"/>
    </row>
    <row r="9895" spans="1:5" x14ac:dyDescent="0.25">
      <c r="A9895" s="1033"/>
      <c r="E9895" s="130"/>
    </row>
    <row r="9896" spans="1:5" x14ac:dyDescent="0.25">
      <c r="A9896" s="1033"/>
      <c r="E9896" s="130"/>
    </row>
    <row r="9897" spans="1:5" x14ac:dyDescent="0.25">
      <c r="A9897" s="1033"/>
      <c r="E9897" s="130"/>
    </row>
    <row r="9898" spans="1:5" x14ac:dyDescent="0.25">
      <c r="A9898" s="1033"/>
      <c r="E9898" s="130"/>
    </row>
    <row r="9899" spans="1:5" x14ac:dyDescent="0.25">
      <c r="A9899" s="1033"/>
      <c r="E9899" s="130"/>
    </row>
    <row r="9900" spans="1:5" x14ac:dyDescent="0.25">
      <c r="A9900" s="1033"/>
      <c r="E9900" s="130"/>
    </row>
    <row r="9901" spans="1:5" x14ac:dyDescent="0.25">
      <c r="A9901" s="1033"/>
      <c r="E9901" s="130"/>
    </row>
    <row r="9902" spans="1:5" x14ac:dyDescent="0.25">
      <c r="A9902" s="1033"/>
      <c r="E9902" s="130"/>
    </row>
    <row r="9903" spans="1:5" x14ac:dyDescent="0.25">
      <c r="A9903" s="1033"/>
      <c r="E9903" s="130"/>
    </row>
    <row r="9904" spans="1:5" x14ac:dyDescent="0.25">
      <c r="A9904" s="1033"/>
      <c r="E9904" s="130"/>
    </row>
    <row r="9905" spans="1:5" x14ac:dyDescent="0.25">
      <c r="A9905" s="1033"/>
      <c r="E9905" s="130"/>
    </row>
    <row r="9906" spans="1:5" x14ac:dyDescent="0.25">
      <c r="A9906" s="1033"/>
      <c r="E9906" s="130"/>
    </row>
    <row r="9907" spans="1:5" x14ac:dyDescent="0.25">
      <c r="A9907" s="1033"/>
      <c r="E9907" s="130"/>
    </row>
    <row r="9908" spans="1:5" x14ac:dyDescent="0.25">
      <c r="A9908" s="1033"/>
      <c r="E9908" s="130"/>
    </row>
    <row r="9909" spans="1:5" x14ac:dyDescent="0.25">
      <c r="A9909" s="1033"/>
      <c r="E9909" s="130"/>
    </row>
    <row r="9910" spans="1:5" x14ac:dyDescent="0.25">
      <c r="A9910" s="1033"/>
      <c r="E9910" s="130"/>
    </row>
    <row r="9911" spans="1:5" x14ac:dyDescent="0.25">
      <c r="A9911" s="1033"/>
      <c r="E9911" s="130"/>
    </row>
    <row r="9912" spans="1:5" x14ac:dyDescent="0.25">
      <c r="A9912" s="1033"/>
      <c r="E9912" s="130"/>
    </row>
    <row r="9913" spans="1:5" x14ac:dyDescent="0.25">
      <c r="A9913" s="1033"/>
      <c r="E9913" s="130"/>
    </row>
    <row r="9914" spans="1:5" x14ac:dyDescent="0.25">
      <c r="A9914" s="1033"/>
      <c r="E9914" s="130"/>
    </row>
    <row r="9915" spans="1:5" x14ac:dyDescent="0.25">
      <c r="A9915" s="1033"/>
      <c r="E9915" s="130"/>
    </row>
    <row r="9916" spans="1:5" x14ac:dyDescent="0.25">
      <c r="A9916" s="1033"/>
      <c r="E9916" s="130"/>
    </row>
    <row r="9917" spans="1:5" x14ac:dyDescent="0.25">
      <c r="A9917" s="1033"/>
      <c r="E9917" s="130"/>
    </row>
    <row r="9918" spans="1:5" x14ac:dyDescent="0.25">
      <c r="A9918" s="1033"/>
      <c r="E9918" s="130"/>
    </row>
    <row r="9919" spans="1:5" x14ac:dyDescent="0.25">
      <c r="A9919" s="1033"/>
      <c r="E9919" s="130"/>
    </row>
    <row r="9920" spans="1:5" x14ac:dyDescent="0.25">
      <c r="A9920" s="1033"/>
      <c r="E9920" s="130"/>
    </row>
    <row r="9921" spans="1:5" x14ac:dyDescent="0.25">
      <c r="A9921" s="1033"/>
      <c r="E9921" s="130"/>
    </row>
    <row r="9922" spans="1:5" x14ac:dyDescent="0.25">
      <c r="A9922" s="1033"/>
      <c r="E9922" s="130"/>
    </row>
    <row r="9923" spans="1:5" x14ac:dyDescent="0.25">
      <c r="A9923" s="1033"/>
      <c r="E9923" s="130"/>
    </row>
    <row r="9924" spans="1:5" x14ac:dyDescent="0.25">
      <c r="A9924" s="1033"/>
      <c r="E9924" s="130"/>
    </row>
    <row r="9925" spans="1:5" x14ac:dyDescent="0.25">
      <c r="A9925" s="1033"/>
      <c r="E9925" s="130"/>
    </row>
    <row r="9926" spans="1:5" x14ac:dyDescent="0.25">
      <c r="A9926" s="1033"/>
      <c r="E9926" s="130"/>
    </row>
    <row r="9927" spans="1:5" x14ac:dyDescent="0.25">
      <c r="A9927" s="1033"/>
      <c r="E9927" s="130"/>
    </row>
    <row r="9928" spans="1:5" x14ac:dyDescent="0.25">
      <c r="A9928" s="1033"/>
      <c r="E9928" s="130"/>
    </row>
    <row r="9929" spans="1:5" x14ac:dyDescent="0.25">
      <c r="A9929" s="1033"/>
      <c r="E9929" s="130"/>
    </row>
    <row r="9930" spans="1:5" x14ac:dyDescent="0.25">
      <c r="A9930" s="1033"/>
      <c r="E9930" s="130"/>
    </row>
    <row r="9931" spans="1:5" x14ac:dyDescent="0.25">
      <c r="A9931" s="1033"/>
      <c r="E9931" s="130"/>
    </row>
    <row r="9932" spans="1:5" x14ac:dyDescent="0.25">
      <c r="A9932" s="1033"/>
      <c r="E9932" s="130"/>
    </row>
    <row r="9933" spans="1:5" x14ac:dyDescent="0.25">
      <c r="A9933" s="1033"/>
      <c r="E9933" s="130"/>
    </row>
    <row r="9934" spans="1:5" x14ac:dyDescent="0.25">
      <c r="A9934" s="1033"/>
      <c r="E9934" s="130"/>
    </row>
    <row r="9935" spans="1:5" x14ac:dyDescent="0.25">
      <c r="A9935" s="1033"/>
      <c r="E9935" s="130"/>
    </row>
    <row r="9936" spans="1:5" x14ac:dyDescent="0.25">
      <c r="A9936" s="1033"/>
      <c r="E9936" s="130"/>
    </row>
    <row r="9937" spans="1:5" x14ac:dyDescent="0.25">
      <c r="A9937" s="1033"/>
      <c r="E9937" s="130"/>
    </row>
    <row r="9938" spans="1:5" x14ac:dyDescent="0.25">
      <c r="A9938" s="1033"/>
      <c r="E9938" s="130"/>
    </row>
    <row r="9939" spans="1:5" x14ac:dyDescent="0.25">
      <c r="A9939" s="1033"/>
      <c r="E9939" s="130"/>
    </row>
    <row r="9940" spans="1:5" x14ac:dyDescent="0.25">
      <c r="A9940" s="1033"/>
      <c r="E9940" s="130"/>
    </row>
    <row r="9941" spans="1:5" x14ac:dyDescent="0.25">
      <c r="A9941" s="1033"/>
      <c r="E9941" s="130"/>
    </row>
    <row r="9942" spans="1:5" x14ac:dyDescent="0.25">
      <c r="A9942" s="1033"/>
      <c r="E9942" s="130"/>
    </row>
    <row r="9943" spans="1:5" x14ac:dyDescent="0.25">
      <c r="A9943" s="1033"/>
      <c r="E9943" s="130"/>
    </row>
    <row r="9944" spans="1:5" x14ac:dyDescent="0.25">
      <c r="A9944" s="1033"/>
      <c r="E9944" s="130"/>
    </row>
    <row r="9945" spans="1:5" x14ac:dyDescent="0.25">
      <c r="A9945" s="1033"/>
      <c r="E9945" s="130"/>
    </row>
    <row r="9946" spans="1:5" x14ac:dyDescent="0.25">
      <c r="A9946" s="1033"/>
      <c r="E9946" s="130"/>
    </row>
    <row r="9947" spans="1:5" x14ac:dyDescent="0.25">
      <c r="A9947" s="1033"/>
      <c r="E9947" s="130"/>
    </row>
    <row r="9948" spans="1:5" x14ac:dyDescent="0.25">
      <c r="A9948" s="1033"/>
      <c r="E9948" s="130"/>
    </row>
    <row r="9949" spans="1:5" x14ac:dyDescent="0.25">
      <c r="A9949" s="1033"/>
      <c r="E9949" s="130"/>
    </row>
    <row r="9950" spans="1:5" x14ac:dyDescent="0.25">
      <c r="A9950" s="1033"/>
      <c r="E9950" s="130"/>
    </row>
    <row r="9951" spans="1:5" x14ac:dyDescent="0.25">
      <c r="A9951" s="1033"/>
      <c r="E9951" s="130"/>
    </row>
    <row r="9952" spans="1:5" x14ac:dyDescent="0.25">
      <c r="A9952" s="1033"/>
      <c r="E9952" s="130"/>
    </row>
    <row r="9953" spans="1:5" x14ac:dyDescent="0.25">
      <c r="A9953" s="1033"/>
      <c r="E9953" s="130"/>
    </row>
    <row r="9954" spans="1:5" x14ac:dyDescent="0.25">
      <c r="A9954" s="1033"/>
      <c r="E9954" s="130"/>
    </row>
    <row r="9955" spans="1:5" x14ac:dyDescent="0.25">
      <c r="A9955" s="1033"/>
      <c r="E9955" s="130"/>
    </row>
    <row r="9956" spans="1:5" x14ac:dyDescent="0.25">
      <c r="A9956" s="1033"/>
      <c r="E9956" s="130"/>
    </row>
    <row r="9957" spans="1:5" x14ac:dyDescent="0.25">
      <c r="A9957" s="1033"/>
      <c r="E9957" s="130"/>
    </row>
    <row r="9958" spans="1:5" x14ac:dyDescent="0.25">
      <c r="A9958" s="1033"/>
      <c r="E9958" s="130"/>
    </row>
    <row r="9959" spans="1:5" x14ac:dyDescent="0.25">
      <c r="A9959" s="1033"/>
      <c r="E9959" s="130"/>
    </row>
    <row r="9960" spans="1:5" x14ac:dyDescent="0.25">
      <c r="A9960" s="1033"/>
      <c r="E9960" s="130"/>
    </row>
    <row r="9961" spans="1:5" x14ac:dyDescent="0.25">
      <c r="A9961" s="1033"/>
      <c r="E9961" s="130"/>
    </row>
    <row r="9962" spans="1:5" x14ac:dyDescent="0.25">
      <c r="A9962" s="1033"/>
      <c r="E9962" s="130"/>
    </row>
    <row r="9963" spans="1:5" x14ac:dyDescent="0.25">
      <c r="A9963" s="1033"/>
      <c r="E9963" s="130"/>
    </row>
    <row r="9964" spans="1:5" x14ac:dyDescent="0.25">
      <c r="A9964" s="1033"/>
      <c r="E9964" s="130"/>
    </row>
    <row r="9965" spans="1:5" x14ac:dyDescent="0.25">
      <c r="A9965" s="1033"/>
      <c r="E9965" s="130"/>
    </row>
    <row r="9966" spans="1:5" x14ac:dyDescent="0.25">
      <c r="A9966" s="1033"/>
      <c r="E9966" s="130"/>
    </row>
    <row r="9967" spans="1:5" x14ac:dyDescent="0.25">
      <c r="A9967" s="1033"/>
      <c r="E9967" s="130"/>
    </row>
    <row r="9968" spans="1:5" x14ac:dyDescent="0.25">
      <c r="A9968" s="1033"/>
      <c r="E9968" s="130"/>
    </row>
    <row r="9969" spans="1:5" x14ac:dyDescent="0.25">
      <c r="A9969" s="1033"/>
      <c r="E9969" s="130"/>
    </row>
    <row r="9970" spans="1:5" x14ac:dyDescent="0.25">
      <c r="A9970" s="1033"/>
      <c r="E9970" s="130"/>
    </row>
    <row r="9971" spans="1:5" x14ac:dyDescent="0.25">
      <c r="A9971" s="1033"/>
      <c r="E9971" s="130"/>
    </row>
    <row r="9972" spans="1:5" x14ac:dyDescent="0.25">
      <c r="A9972" s="1033"/>
      <c r="E9972" s="130"/>
    </row>
    <row r="9973" spans="1:5" x14ac:dyDescent="0.25">
      <c r="A9973" s="1033"/>
      <c r="E9973" s="130"/>
    </row>
    <row r="9974" spans="1:5" x14ac:dyDescent="0.25">
      <c r="A9974" s="1033"/>
      <c r="E9974" s="130"/>
    </row>
    <row r="9975" spans="1:5" x14ac:dyDescent="0.25">
      <c r="A9975" s="1033"/>
      <c r="E9975" s="130"/>
    </row>
    <row r="9976" spans="1:5" x14ac:dyDescent="0.25">
      <c r="A9976" s="1033"/>
      <c r="E9976" s="130"/>
    </row>
    <row r="9977" spans="1:5" x14ac:dyDescent="0.25">
      <c r="A9977" s="1033"/>
      <c r="E9977" s="130"/>
    </row>
    <row r="9978" spans="1:5" x14ac:dyDescent="0.25">
      <c r="A9978" s="1033"/>
      <c r="E9978" s="130"/>
    </row>
    <row r="9979" spans="1:5" x14ac:dyDescent="0.25">
      <c r="A9979" s="1033"/>
      <c r="E9979" s="130"/>
    </row>
    <row r="9980" spans="1:5" x14ac:dyDescent="0.25">
      <c r="A9980" s="1033"/>
      <c r="E9980" s="130"/>
    </row>
    <row r="9981" spans="1:5" x14ac:dyDescent="0.25">
      <c r="A9981" s="1033"/>
      <c r="E9981" s="130"/>
    </row>
    <row r="9982" spans="1:5" x14ac:dyDescent="0.25">
      <c r="A9982" s="1033"/>
      <c r="E9982" s="130"/>
    </row>
    <row r="9983" spans="1:5" x14ac:dyDescent="0.25">
      <c r="A9983" s="1033"/>
      <c r="E9983" s="130"/>
    </row>
    <row r="9984" spans="1:5" x14ac:dyDescent="0.25">
      <c r="A9984" s="1033"/>
      <c r="E9984" s="130"/>
    </row>
    <row r="9985" spans="1:5" x14ac:dyDescent="0.25">
      <c r="A9985" s="1033"/>
      <c r="E9985" s="130"/>
    </row>
    <row r="9986" spans="1:5" x14ac:dyDescent="0.25">
      <c r="A9986" s="1033"/>
      <c r="E9986" s="130"/>
    </row>
    <row r="9987" spans="1:5" x14ac:dyDescent="0.25">
      <c r="A9987" s="1033"/>
      <c r="E9987" s="130"/>
    </row>
    <row r="9988" spans="1:5" x14ac:dyDescent="0.25">
      <c r="A9988" s="1033"/>
      <c r="E9988" s="130"/>
    </row>
    <row r="9989" spans="1:5" x14ac:dyDescent="0.25">
      <c r="A9989" s="1033"/>
      <c r="E9989" s="130"/>
    </row>
    <row r="9990" spans="1:5" x14ac:dyDescent="0.25">
      <c r="A9990" s="1033"/>
      <c r="E9990" s="130"/>
    </row>
    <row r="9991" spans="1:5" x14ac:dyDescent="0.25">
      <c r="A9991" s="1033"/>
      <c r="E9991" s="130"/>
    </row>
    <row r="9992" spans="1:5" x14ac:dyDescent="0.25">
      <c r="A9992" s="1033"/>
      <c r="E9992" s="130"/>
    </row>
    <row r="9993" spans="1:5" x14ac:dyDescent="0.25">
      <c r="A9993" s="1033"/>
      <c r="E9993" s="130"/>
    </row>
    <row r="9994" spans="1:5" x14ac:dyDescent="0.25">
      <c r="A9994" s="1033"/>
      <c r="E9994" s="130"/>
    </row>
    <row r="9995" spans="1:5" x14ac:dyDescent="0.25">
      <c r="A9995" s="1033"/>
      <c r="E9995" s="130"/>
    </row>
    <row r="9996" spans="1:5" x14ac:dyDescent="0.25">
      <c r="A9996" s="1033"/>
      <c r="E9996" s="130"/>
    </row>
    <row r="9997" spans="1:5" x14ac:dyDescent="0.25">
      <c r="A9997" s="1033"/>
      <c r="E9997" s="130"/>
    </row>
    <row r="9998" spans="1:5" x14ac:dyDescent="0.25">
      <c r="A9998" s="1033"/>
      <c r="E9998" s="130"/>
    </row>
    <row r="9999" spans="1:5" x14ac:dyDescent="0.25">
      <c r="A9999" s="1033"/>
      <c r="E9999" s="130"/>
    </row>
    <row r="10000" spans="1:5" x14ac:dyDescent="0.25">
      <c r="A10000" s="1033"/>
      <c r="E10000" s="130"/>
    </row>
    <row r="10001" spans="1:5" x14ac:dyDescent="0.25">
      <c r="A10001" s="1033"/>
      <c r="E10001" s="130"/>
    </row>
    <row r="10002" spans="1:5" x14ac:dyDescent="0.25">
      <c r="A10002" s="1033"/>
      <c r="E10002" s="130"/>
    </row>
    <row r="10003" spans="1:5" x14ac:dyDescent="0.25">
      <c r="A10003" s="1033"/>
      <c r="E10003" s="130"/>
    </row>
    <row r="10004" spans="1:5" x14ac:dyDescent="0.25">
      <c r="A10004" s="1033"/>
      <c r="E10004" s="130"/>
    </row>
    <row r="10005" spans="1:5" x14ac:dyDescent="0.25">
      <c r="A10005" s="1033"/>
      <c r="E10005" s="130"/>
    </row>
    <row r="10006" spans="1:5" x14ac:dyDescent="0.25">
      <c r="A10006" s="1033"/>
      <c r="E10006" s="130"/>
    </row>
    <row r="10007" spans="1:5" x14ac:dyDescent="0.25">
      <c r="A10007" s="1033"/>
      <c r="E10007" s="130"/>
    </row>
    <row r="10008" spans="1:5" x14ac:dyDescent="0.25">
      <c r="A10008" s="1033"/>
      <c r="E10008" s="130"/>
    </row>
    <row r="10009" spans="1:5" x14ac:dyDescent="0.25">
      <c r="A10009" s="1033"/>
      <c r="E10009" s="130"/>
    </row>
    <row r="10010" spans="1:5" x14ac:dyDescent="0.25">
      <c r="A10010" s="1033"/>
      <c r="E10010" s="130"/>
    </row>
    <row r="10011" spans="1:5" x14ac:dyDescent="0.25">
      <c r="A10011" s="1033"/>
      <c r="E10011" s="130"/>
    </row>
    <row r="10012" spans="1:5" x14ac:dyDescent="0.25">
      <c r="A10012" s="1033"/>
      <c r="E10012" s="130"/>
    </row>
    <row r="10013" spans="1:5" x14ac:dyDescent="0.25">
      <c r="A10013" s="1033"/>
      <c r="E10013" s="130"/>
    </row>
    <row r="10014" spans="1:5" x14ac:dyDescent="0.25">
      <c r="A10014" s="1033"/>
      <c r="E10014" s="130"/>
    </row>
    <row r="10015" spans="1:5" x14ac:dyDescent="0.25">
      <c r="A10015" s="1033"/>
      <c r="E10015" s="130"/>
    </row>
    <row r="10016" spans="1:5" x14ac:dyDescent="0.25">
      <c r="A10016" s="1033"/>
      <c r="E10016" s="130"/>
    </row>
    <row r="10017" spans="1:5" x14ac:dyDescent="0.25">
      <c r="A10017" s="1033"/>
      <c r="E10017" s="130"/>
    </row>
    <row r="10018" spans="1:5" x14ac:dyDescent="0.25">
      <c r="A10018" s="1033"/>
      <c r="E10018" s="130"/>
    </row>
    <row r="10019" spans="1:5" x14ac:dyDescent="0.25">
      <c r="A10019" s="1033"/>
      <c r="E10019" s="130"/>
    </row>
    <row r="10020" spans="1:5" x14ac:dyDescent="0.25">
      <c r="A10020" s="1033"/>
      <c r="E10020" s="130"/>
    </row>
    <row r="10021" spans="1:5" x14ac:dyDescent="0.25">
      <c r="A10021" s="1033"/>
      <c r="E10021" s="130"/>
    </row>
    <row r="10022" spans="1:5" x14ac:dyDescent="0.25">
      <c r="A10022" s="1033"/>
      <c r="E10022" s="130"/>
    </row>
    <row r="10023" spans="1:5" x14ac:dyDescent="0.25">
      <c r="A10023" s="1033"/>
      <c r="E10023" s="130"/>
    </row>
    <row r="10024" spans="1:5" x14ac:dyDescent="0.25">
      <c r="A10024" s="1033"/>
      <c r="E10024" s="130"/>
    </row>
    <row r="10025" spans="1:5" x14ac:dyDescent="0.25">
      <c r="A10025" s="1033"/>
      <c r="E10025" s="130"/>
    </row>
    <row r="10026" spans="1:5" x14ac:dyDescent="0.25">
      <c r="A10026" s="1033"/>
      <c r="E10026" s="130"/>
    </row>
    <row r="10027" spans="1:5" x14ac:dyDescent="0.25">
      <c r="A10027" s="1033"/>
      <c r="E10027" s="130"/>
    </row>
    <row r="10028" spans="1:5" x14ac:dyDescent="0.25">
      <c r="A10028" s="1033"/>
      <c r="E10028" s="130"/>
    </row>
    <row r="10029" spans="1:5" x14ac:dyDescent="0.25">
      <c r="A10029" s="1033"/>
      <c r="E10029" s="130"/>
    </row>
    <row r="10030" spans="1:5" x14ac:dyDescent="0.25">
      <c r="A10030" s="1033"/>
      <c r="E10030" s="130"/>
    </row>
    <row r="10031" spans="1:5" x14ac:dyDescent="0.25">
      <c r="A10031" s="1033"/>
      <c r="E10031" s="130"/>
    </row>
    <row r="10032" spans="1:5" x14ac:dyDescent="0.25">
      <c r="A10032" s="1033"/>
      <c r="E10032" s="130"/>
    </row>
    <row r="10033" spans="1:5" x14ac:dyDescent="0.25">
      <c r="A10033" s="1033"/>
      <c r="E10033" s="130"/>
    </row>
    <row r="10034" spans="1:5" x14ac:dyDescent="0.25">
      <c r="A10034" s="1033"/>
      <c r="E10034" s="130"/>
    </row>
    <row r="10035" spans="1:5" x14ac:dyDescent="0.25">
      <c r="A10035" s="1033"/>
      <c r="E10035" s="130"/>
    </row>
    <row r="10036" spans="1:5" x14ac:dyDescent="0.25">
      <c r="A10036" s="1033"/>
      <c r="E10036" s="130"/>
    </row>
    <row r="10037" spans="1:5" x14ac:dyDescent="0.25">
      <c r="A10037" s="1033"/>
      <c r="E10037" s="130"/>
    </row>
    <row r="10038" spans="1:5" x14ac:dyDescent="0.25">
      <c r="A10038" s="1033"/>
      <c r="E10038" s="130"/>
    </row>
    <row r="10039" spans="1:5" x14ac:dyDescent="0.25">
      <c r="A10039" s="1033"/>
      <c r="E10039" s="130"/>
    </row>
    <row r="10040" spans="1:5" x14ac:dyDescent="0.25">
      <c r="A10040" s="1033"/>
      <c r="E10040" s="130"/>
    </row>
    <row r="10041" spans="1:5" x14ac:dyDescent="0.25">
      <c r="A10041" s="1033"/>
      <c r="E10041" s="130"/>
    </row>
    <row r="10042" spans="1:5" x14ac:dyDescent="0.25">
      <c r="A10042" s="1033"/>
      <c r="E10042" s="130"/>
    </row>
    <row r="10043" spans="1:5" x14ac:dyDescent="0.25">
      <c r="A10043" s="1033"/>
      <c r="E10043" s="130"/>
    </row>
    <row r="10044" spans="1:5" x14ac:dyDescent="0.25">
      <c r="A10044" s="1033"/>
      <c r="E10044" s="130"/>
    </row>
    <row r="10045" spans="1:5" x14ac:dyDescent="0.25">
      <c r="A10045" s="1033"/>
      <c r="E10045" s="130"/>
    </row>
    <row r="10046" spans="1:5" x14ac:dyDescent="0.25">
      <c r="A10046" s="1033"/>
      <c r="E10046" s="130"/>
    </row>
    <row r="10047" spans="1:5" x14ac:dyDescent="0.25">
      <c r="A10047" s="1033"/>
      <c r="E10047" s="130"/>
    </row>
    <row r="10048" spans="1:5" x14ac:dyDescent="0.25">
      <c r="A10048" s="1033"/>
      <c r="E10048" s="130"/>
    </row>
    <row r="10049" spans="1:5" x14ac:dyDescent="0.25">
      <c r="A10049" s="1033"/>
      <c r="E10049" s="130"/>
    </row>
    <row r="10050" spans="1:5" x14ac:dyDescent="0.25">
      <c r="A10050" s="1033"/>
      <c r="E10050" s="130"/>
    </row>
    <row r="10051" spans="1:5" x14ac:dyDescent="0.25">
      <c r="A10051" s="1033"/>
      <c r="E10051" s="130"/>
    </row>
    <row r="10052" spans="1:5" x14ac:dyDescent="0.25">
      <c r="A10052" s="1033"/>
      <c r="E10052" s="130"/>
    </row>
    <row r="10053" spans="1:5" x14ac:dyDescent="0.25">
      <c r="A10053" s="1033"/>
      <c r="E10053" s="130"/>
    </row>
    <row r="10054" spans="1:5" x14ac:dyDescent="0.25">
      <c r="A10054" s="1033"/>
      <c r="E10054" s="130"/>
    </row>
    <row r="10055" spans="1:5" x14ac:dyDescent="0.25">
      <c r="A10055" s="1033"/>
      <c r="E10055" s="130"/>
    </row>
    <row r="10056" spans="1:5" x14ac:dyDescent="0.25">
      <c r="A10056" s="1033"/>
      <c r="E10056" s="130"/>
    </row>
    <row r="10057" spans="1:5" x14ac:dyDescent="0.25">
      <c r="A10057" s="1033"/>
      <c r="E10057" s="130"/>
    </row>
    <row r="10058" spans="1:5" x14ac:dyDescent="0.25">
      <c r="A10058" s="1033"/>
      <c r="E10058" s="130"/>
    </row>
    <row r="10059" spans="1:5" x14ac:dyDescent="0.25">
      <c r="A10059" s="1033"/>
      <c r="E10059" s="130"/>
    </row>
    <row r="10060" spans="1:5" x14ac:dyDescent="0.25">
      <c r="A10060" s="1033"/>
      <c r="E10060" s="130"/>
    </row>
    <row r="10061" spans="1:5" x14ac:dyDescent="0.25">
      <c r="A10061" s="1033"/>
      <c r="E10061" s="130"/>
    </row>
    <row r="10062" spans="1:5" x14ac:dyDescent="0.25">
      <c r="A10062" s="1033"/>
      <c r="E10062" s="130"/>
    </row>
    <row r="10063" spans="1:5" x14ac:dyDescent="0.25">
      <c r="A10063" s="1033"/>
      <c r="E10063" s="130"/>
    </row>
    <row r="10064" spans="1:5" x14ac:dyDescent="0.25">
      <c r="A10064" s="1033"/>
      <c r="E10064" s="130"/>
    </row>
    <row r="10065" spans="1:5" x14ac:dyDescent="0.25">
      <c r="A10065" s="1033"/>
      <c r="E10065" s="130"/>
    </row>
    <row r="10066" spans="1:5" x14ac:dyDescent="0.25">
      <c r="A10066" s="1033"/>
      <c r="E10066" s="130"/>
    </row>
    <row r="10067" spans="1:5" x14ac:dyDescent="0.25">
      <c r="A10067" s="1033"/>
      <c r="E10067" s="130"/>
    </row>
    <row r="10068" spans="1:5" x14ac:dyDescent="0.25">
      <c r="A10068" s="1033"/>
      <c r="E10068" s="130"/>
    </row>
    <row r="10069" spans="1:5" x14ac:dyDescent="0.25">
      <c r="A10069" s="1033"/>
      <c r="E10069" s="130"/>
    </row>
    <row r="10070" spans="1:5" x14ac:dyDescent="0.25">
      <c r="A10070" s="1033"/>
      <c r="E10070" s="130"/>
    </row>
    <row r="10071" spans="1:5" x14ac:dyDescent="0.25">
      <c r="A10071" s="1033"/>
      <c r="E10071" s="130"/>
    </row>
    <row r="10072" spans="1:5" x14ac:dyDescent="0.25">
      <c r="A10072" s="1033"/>
      <c r="E10072" s="130"/>
    </row>
    <row r="10073" spans="1:5" x14ac:dyDescent="0.25">
      <c r="A10073" s="1033"/>
      <c r="E10073" s="130"/>
    </row>
    <row r="10074" spans="1:5" x14ac:dyDescent="0.25">
      <c r="A10074" s="1033"/>
      <c r="E10074" s="130"/>
    </row>
    <row r="10075" spans="1:5" x14ac:dyDescent="0.25">
      <c r="A10075" s="1033"/>
      <c r="E10075" s="130"/>
    </row>
    <row r="10076" spans="1:5" x14ac:dyDescent="0.25">
      <c r="A10076" s="1033"/>
      <c r="E10076" s="130"/>
    </row>
    <row r="10077" spans="1:5" x14ac:dyDescent="0.25">
      <c r="A10077" s="1033"/>
      <c r="E10077" s="130"/>
    </row>
    <row r="10078" spans="1:5" x14ac:dyDescent="0.25">
      <c r="A10078" s="1033"/>
      <c r="E10078" s="130"/>
    </row>
    <row r="10079" spans="1:5" x14ac:dyDescent="0.25">
      <c r="A10079" s="1033"/>
      <c r="E10079" s="130"/>
    </row>
    <row r="10080" spans="1:5" x14ac:dyDescent="0.25">
      <c r="A10080" s="1033"/>
      <c r="E10080" s="130"/>
    </row>
    <row r="10081" spans="1:5" x14ac:dyDescent="0.25">
      <c r="A10081" s="1033"/>
      <c r="E10081" s="130"/>
    </row>
    <row r="10082" spans="1:5" x14ac:dyDescent="0.25">
      <c r="A10082" s="1033"/>
      <c r="E10082" s="130"/>
    </row>
    <row r="10083" spans="1:5" x14ac:dyDescent="0.25">
      <c r="A10083" s="1033"/>
      <c r="E10083" s="130"/>
    </row>
    <row r="10084" spans="1:5" x14ac:dyDescent="0.25">
      <c r="A10084" s="1033"/>
      <c r="E10084" s="130"/>
    </row>
    <row r="10085" spans="1:5" x14ac:dyDescent="0.25">
      <c r="A10085" s="1033"/>
      <c r="E10085" s="130"/>
    </row>
    <row r="10086" spans="1:5" x14ac:dyDescent="0.25">
      <c r="A10086" s="1033"/>
      <c r="E10086" s="130"/>
    </row>
    <row r="10087" spans="1:5" x14ac:dyDescent="0.25">
      <c r="A10087" s="1033"/>
      <c r="E10087" s="130"/>
    </row>
    <row r="10088" spans="1:5" x14ac:dyDescent="0.25">
      <c r="A10088" s="1033"/>
      <c r="E10088" s="130"/>
    </row>
    <row r="10089" spans="1:5" x14ac:dyDescent="0.25">
      <c r="A10089" s="1033"/>
      <c r="E10089" s="130"/>
    </row>
    <row r="10090" spans="1:5" x14ac:dyDescent="0.25">
      <c r="A10090" s="1033"/>
      <c r="E10090" s="130"/>
    </row>
    <row r="10091" spans="1:5" x14ac:dyDescent="0.25">
      <c r="A10091" s="1033"/>
      <c r="E10091" s="130"/>
    </row>
    <row r="10092" spans="1:5" x14ac:dyDescent="0.25">
      <c r="A10092" s="1033"/>
      <c r="E10092" s="130"/>
    </row>
    <row r="10093" spans="1:5" x14ac:dyDescent="0.25">
      <c r="A10093" s="1033"/>
      <c r="E10093" s="130"/>
    </row>
    <row r="10094" spans="1:5" x14ac:dyDescent="0.25">
      <c r="A10094" s="1033"/>
      <c r="E10094" s="130"/>
    </row>
    <row r="10095" spans="1:5" x14ac:dyDescent="0.25">
      <c r="A10095" s="1033"/>
      <c r="E10095" s="130"/>
    </row>
    <row r="10096" spans="1:5" x14ac:dyDescent="0.25">
      <c r="A10096" s="1033"/>
      <c r="E10096" s="130"/>
    </row>
    <row r="10097" spans="1:5" x14ac:dyDescent="0.25">
      <c r="A10097" s="1033"/>
      <c r="E10097" s="130"/>
    </row>
    <row r="10098" spans="1:5" x14ac:dyDescent="0.25">
      <c r="A10098" s="1033"/>
      <c r="E10098" s="130"/>
    </row>
    <row r="10099" spans="1:5" x14ac:dyDescent="0.25">
      <c r="A10099" s="1033"/>
      <c r="E10099" s="130"/>
    </row>
    <row r="10100" spans="1:5" x14ac:dyDescent="0.25">
      <c r="A10100" s="1033"/>
      <c r="E10100" s="130"/>
    </row>
    <row r="10101" spans="1:5" x14ac:dyDescent="0.25">
      <c r="A10101" s="1033"/>
      <c r="E10101" s="130"/>
    </row>
    <row r="10102" spans="1:5" x14ac:dyDescent="0.25">
      <c r="A10102" s="1033"/>
      <c r="E10102" s="130"/>
    </row>
    <row r="10103" spans="1:5" x14ac:dyDescent="0.25">
      <c r="A10103" s="1033"/>
      <c r="E10103" s="130"/>
    </row>
    <row r="10104" spans="1:5" x14ac:dyDescent="0.25">
      <c r="A10104" s="1033"/>
      <c r="E10104" s="130"/>
    </row>
    <row r="10105" spans="1:5" x14ac:dyDescent="0.25">
      <c r="A10105" s="1033"/>
      <c r="E10105" s="130"/>
    </row>
    <row r="10106" spans="1:5" x14ac:dyDescent="0.25">
      <c r="A10106" s="1033"/>
      <c r="E10106" s="130"/>
    </row>
    <row r="10107" spans="1:5" x14ac:dyDescent="0.25">
      <c r="A10107" s="1033"/>
      <c r="E10107" s="130"/>
    </row>
    <row r="10108" spans="1:5" x14ac:dyDescent="0.25">
      <c r="A10108" s="1033"/>
      <c r="E10108" s="130"/>
    </row>
    <row r="10109" spans="1:5" x14ac:dyDescent="0.25">
      <c r="A10109" s="1033"/>
      <c r="E10109" s="130"/>
    </row>
    <row r="10110" spans="1:5" x14ac:dyDescent="0.25">
      <c r="A10110" s="1033"/>
      <c r="E10110" s="130"/>
    </row>
    <row r="10111" spans="1:5" x14ac:dyDescent="0.25">
      <c r="A10111" s="1033"/>
      <c r="E10111" s="130"/>
    </row>
    <row r="10112" spans="1:5" x14ac:dyDescent="0.25">
      <c r="A10112" s="1033"/>
      <c r="E10112" s="130"/>
    </row>
    <row r="10113" spans="1:5" x14ac:dyDescent="0.25">
      <c r="A10113" s="1033"/>
      <c r="E10113" s="130"/>
    </row>
    <row r="10114" spans="1:5" x14ac:dyDescent="0.25">
      <c r="A10114" s="1033"/>
      <c r="E10114" s="130"/>
    </row>
    <row r="10115" spans="1:5" x14ac:dyDescent="0.25">
      <c r="A10115" s="1033"/>
      <c r="E10115" s="130"/>
    </row>
    <row r="10116" spans="1:5" x14ac:dyDescent="0.25">
      <c r="A10116" s="1033"/>
      <c r="E10116" s="130"/>
    </row>
    <row r="10117" spans="1:5" x14ac:dyDescent="0.25">
      <c r="A10117" s="1033"/>
      <c r="E10117" s="130"/>
    </row>
    <row r="10118" spans="1:5" x14ac:dyDescent="0.25">
      <c r="A10118" s="1033"/>
      <c r="E10118" s="130"/>
    </row>
    <row r="10119" spans="1:5" x14ac:dyDescent="0.25">
      <c r="A10119" s="1033"/>
      <c r="E10119" s="130"/>
    </row>
    <row r="10120" spans="1:5" x14ac:dyDescent="0.25">
      <c r="A10120" s="1033"/>
      <c r="E10120" s="130"/>
    </row>
    <row r="10121" spans="1:5" x14ac:dyDescent="0.25">
      <c r="A10121" s="1033"/>
      <c r="E10121" s="130"/>
    </row>
    <row r="10122" spans="1:5" x14ac:dyDescent="0.25">
      <c r="A10122" s="1033"/>
      <c r="E10122" s="130"/>
    </row>
    <row r="10123" spans="1:5" x14ac:dyDescent="0.25">
      <c r="A10123" s="1033"/>
      <c r="E10123" s="130"/>
    </row>
    <row r="10124" spans="1:5" x14ac:dyDescent="0.25">
      <c r="A10124" s="1033"/>
      <c r="E10124" s="130"/>
    </row>
    <row r="10125" spans="1:5" x14ac:dyDescent="0.25">
      <c r="A10125" s="1033"/>
      <c r="E10125" s="130"/>
    </row>
    <row r="10126" spans="1:5" x14ac:dyDescent="0.25">
      <c r="A10126" s="1033"/>
      <c r="E10126" s="130"/>
    </row>
    <row r="10127" spans="1:5" x14ac:dyDescent="0.25">
      <c r="A10127" s="1033"/>
      <c r="E10127" s="130"/>
    </row>
    <row r="10128" spans="1:5" x14ac:dyDescent="0.25">
      <c r="A10128" s="1033"/>
      <c r="E10128" s="130"/>
    </row>
    <row r="10129" spans="1:5" x14ac:dyDescent="0.25">
      <c r="A10129" s="1033"/>
      <c r="E10129" s="130"/>
    </row>
    <row r="10130" spans="1:5" x14ac:dyDescent="0.25">
      <c r="A10130" s="1033"/>
      <c r="E10130" s="130"/>
    </row>
    <row r="10131" spans="1:5" x14ac:dyDescent="0.25">
      <c r="A10131" s="1033"/>
      <c r="E10131" s="130"/>
    </row>
    <row r="10132" spans="1:5" x14ac:dyDescent="0.25">
      <c r="A10132" s="1033"/>
      <c r="E10132" s="130"/>
    </row>
    <row r="10133" spans="1:5" x14ac:dyDescent="0.25">
      <c r="A10133" s="1033"/>
      <c r="E10133" s="130"/>
    </row>
    <row r="10134" spans="1:5" x14ac:dyDescent="0.25">
      <c r="A10134" s="1033"/>
      <c r="E10134" s="130"/>
    </row>
    <row r="10135" spans="1:5" x14ac:dyDescent="0.25">
      <c r="A10135" s="1033"/>
      <c r="E10135" s="130"/>
    </row>
    <row r="10136" spans="1:5" x14ac:dyDescent="0.25">
      <c r="A10136" s="1033"/>
      <c r="E10136" s="130"/>
    </row>
    <row r="10137" spans="1:5" x14ac:dyDescent="0.25">
      <c r="A10137" s="1033"/>
      <c r="E10137" s="130"/>
    </row>
    <row r="10138" spans="1:5" x14ac:dyDescent="0.25">
      <c r="A10138" s="1033"/>
      <c r="E10138" s="130"/>
    </row>
    <row r="10139" spans="1:5" x14ac:dyDescent="0.25">
      <c r="A10139" s="1033"/>
      <c r="E10139" s="130"/>
    </row>
    <row r="10140" spans="1:5" x14ac:dyDescent="0.25">
      <c r="A10140" s="1033"/>
      <c r="E10140" s="130"/>
    </row>
    <row r="10141" spans="1:5" x14ac:dyDescent="0.25">
      <c r="A10141" s="1033"/>
      <c r="E10141" s="130"/>
    </row>
    <row r="10142" spans="1:5" x14ac:dyDescent="0.25">
      <c r="A10142" s="1033"/>
      <c r="E10142" s="130"/>
    </row>
    <row r="10143" spans="1:5" x14ac:dyDescent="0.25">
      <c r="A10143" s="1033"/>
      <c r="E10143" s="130"/>
    </row>
    <row r="10144" spans="1:5" x14ac:dyDescent="0.25">
      <c r="A10144" s="1033"/>
      <c r="E10144" s="130"/>
    </row>
    <row r="10145" spans="1:5" x14ac:dyDescent="0.25">
      <c r="A10145" s="1033"/>
      <c r="E10145" s="130"/>
    </row>
    <row r="10146" spans="1:5" x14ac:dyDescent="0.25">
      <c r="A10146" s="1033"/>
      <c r="E10146" s="130"/>
    </row>
    <row r="10147" spans="1:5" x14ac:dyDescent="0.25">
      <c r="A10147" s="1033"/>
      <c r="E10147" s="130"/>
    </row>
    <row r="10148" spans="1:5" x14ac:dyDescent="0.25">
      <c r="A10148" s="1033"/>
      <c r="E10148" s="130"/>
    </row>
    <row r="10149" spans="1:5" x14ac:dyDescent="0.25">
      <c r="A10149" s="1033"/>
      <c r="E10149" s="130"/>
    </row>
    <row r="10150" spans="1:5" x14ac:dyDescent="0.25">
      <c r="A10150" s="1033"/>
      <c r="E10150" s="130"/>
    </row>
    <row r="10151" spans="1:5" x14ac:dyDescent="0.25">
      <c r="A10151" s="1033"/>
      <c r="E10151" s="130"/>
    </row>
    <row r="10152" spans="1:5" x14ac:dyDescent="0.25">
      <c r="A10152" s="1033"/>
      <c r="E10152" s="130"/>
    </row>
    <row r="10153" spans="1:5" x14ac:dyDescent="0.25">
      <c r="A10153" s="1033"/>
      <c r="E10153" s="130"/>
    </row>
    <row r="10154" spans="1:5" x14ac:dyDescent="0.25">
      <c r="A10154" s="1033"/>
      <c r="E10154" s="130"/>
    </row>
    <row r="10155" spans="1:5" x14ac:dyDescent="0.25">
      <c r="A10155" s="1033"/>
      <c r="E10155" s="130"/>
    </row>
    <row r="10156" spans="1:5" x14ac:dyDescent="0.25">
      <c r="A10156" s="1033"/>
      <c r="E10156" s="130"/>
    </row>
    <row r="10157" spans="1:5" x14ac:dyDescent="0.25">
      <c r="A10157" s="1033"/>
      <c r="E10157" s="130"/>
    </row>
    <row r="10158" spans="1:5" x14ac:dyDescent="0.25">
      <c r="A10158" s="1033"/>
      <c r="E10158" s="130"/>
    </row>
    <row r="10159" spans="1:5" x14ac:dyDescent="0.25">
      <c r="A10159" s="1033"/>
      <c r="E10159" s="130"/>
    </row>
    <row r="10160" spans="1:5" x14ac:dyDescent="0.25">
      <c r="A10160" s="1033"/>
      <c r="E10160" s="130"/>
    </row>
    <row r="10161" spans="1:5" x14ac:dyDescent="0.25">
      <c r="A10161" s="1033"/>
      <c r="E10161" s="130"/>
    </row>
    <row r="10162" spans="1:5" x14ac:dyDescent="0.25">
      <c r="A10162" s="1033"/>
      <c r="E10162" s="130"/>
    </row>
    <row r="10163" spans="1:5" x14ac:dyDescent="0.25">
      <c r="A10163" s="1033"/>
      <c r="E10163" s="130"/>
    </row>
    <row r="10164" spans="1:5" x14ac:dyDescent="0.25">
      <c r="A10164" s="1033"/>
      <c r="E10164" s="130"/>
    </row>
    <row r="10165" spans="1:5" x14ac:dyDescent="0.25">
      <c r="A10165" s="1033"/>
      <c r="E10165" s="130"/>
    </row>
    <row r="10166" spans="1:5" x14ac:dyDescent="0.25">
      <c r="A10166" s="1033"/>
      <c r="E10166" s="130"/>
    </row>
    <row r="10167" spans="1:5" x14ac:dyDescent="0.25">
      <c r="A10167" s="1033"/>
      <c r="E10167" s="130"/>
    </row>
    <row r="10168" spans="1:5" x14ac:dyDescent="0.25">
      <c r="A10168" s="1033"/>
      <c r="E10168" s="130"/>
    </row>
    <row r="10169" spans="1:5" x14ac:dyDescent="0.25">
      <c r="A10169" s="1033"/>
      <c r="E10169" s="130"/>
    </row>
    <row r="10170" spans="1:5" x14ac:dyDescent="0.25">
      <c r="A10170" s="1033"/>
      <c r="E10170" s="130"/>
    </row>
    <row r="10171" spans="1:5" x14ac:dyDescent="0.25">
      <c r="A10171" s="1033"/>
      <c r="E10171" s="130"/>
    </row>
    <row r="10172" spans="1:5" x14ac:dyDescent="0.25">
      <c r="A10172" s="1033"/>
      <c r="E10172" s="130"/>
    </row>
    <row r="10173" spans="1:5" x14ac:dyDescent="0.25">
      <c r="A10173" s="1033"/>
      <c r="E10173" s="130"/>
    </row>
    <row r="10174" spans="1:5" x14ac:dyDescent="0.25">
      <c r="A10174" s="1033"/>
      <c r="E10174" s="130"/>
    </row>
    <row r="10175" spans="1:5" x14ac:dyDescent="0.25">
      <c r="A10175" s="1033"/>
      <c r="E10175" s="130"/>
    </row>
    <row r="10176" spans="1:5" x14ac:dyDescent="0.25">
      <c r="A10176" s="1033"/>
      <c r="E10176" s="130"/>
    </row>
    <row r="10177" spans="1:5" x14ac:dyDescent="0.25">
      <c r="A10177" s="1033"/>
      <c r="E10177" s="130"/>
    </row>
    <row r="10178" spans="1:5" x14ac:dyDescent="0.25">
      <c r="A10178" s="1033"/>
      <c r="E10178" s="130"/>
    </row>
    <row r="10179" spans="1:5" x14ac:dyDescent="0.25">
      <c r="A10179" s="1033"/>
      <c r="E10179" s="130"/>
    </row>
    <row r="10180" spans="1:5" x14ac:dyDescent="0.25">
      <c r="A10180" s="1033"/>
      <c r="E10180" s="130"/>
    </row>
    <row r="10181" spans="1:5" x14ac:dyDescent="0.25">
      <c r="A10181" s="1033"/>
      <c r="E10181" s="130"/>
    </row>
    <row r="10182" spans="1:5" x14ac:dyDescent="0.25">
      <c r="A10182" s="1033"/>
      <c r="E10182" s="130"/>
    </row>
    <row r="10183" spans="1:5" x14ac:dyDescent="0.25">
      <c r="A10183" s="1033"/>
      <c r="E10183" s="130"/>
    </row>
    <row r="10184" spans="1:5" x14ac:dyDescent="0.25">
      <c r="A10184" s="1033"/>
      <c r="E10184" s="130"/>
    </row>
    <row r="10185" spans="1:5" x14ac:dyDescent="0.25">
      <c r="A10185" s="1033"/>
      <c r="E10185" s="130"/>
    </row>
    <row r="10186" spans="1:5" x14ac:dyDescent="0.25">
      <c r="A10186" s="1033"/>
      <c r="E10186" s="130"/>
    </row>
    <row r="10187" spans="1:5" x14ac:dyDescent="0.25">
      <c r="A10187" s="1033"/>
      <c r="E10187" s="130"/>
    </row>
    <row r="10188" spans="1:5" x14ac:dyDescent="0.25">
      <c r="A10188" s="1033"/>
      <c r="E10188" s="130"/>
    </row>
    <row r="10189" spans="1:5" x14ac:dyDescent="0.25">
      <c r="A10189" s="1033"/>
      <c r="E10189" s="130"/>
    </row>
    <row r="10190" spans="1:5" x14ac:dyDescent="0.25">
      <c r="A10190" s="1033"/>
      <c r="E10190" s="130"/>
    </row>
    <row r="10191" spans="1:5" x14ac:dyDescent="0.25">
      <c r="A10191" s="1033"/>
      <c r="E10191" s="130"/>
    </row>
    <row r="10192" spans="1:5" x14ac:dyDescent="0.25">
      <c r="A10192" s="1033"/>
      <c r="E10192" s="130"/>
    </row>
    <row r="10193" spans="1:5" x14ac:dyDescent="0.25">
      <c r="A10193" s="1033"/>
      <c r="E10193" s="130"/>
    </row>
    <row r="10194" spans="1:5" x14ac:dyDescent="0.25">
      <c r="A10194" s="1033"/>
      <c r="E10194" s="130"/>
    </row>
    <row r="10195" spans="1:5" x14ac:dyDescent="0.25">
      <c r="A10195" s="1033"/>
      <c r="E10195" s="130"/>
    </row>
    <row r="10196" spans="1:5" x14ac:dyDescent="0.25">
      <c r="A10196" s="1033"/>
      <c r="E10196" s="130"/>
    </row>
    <row r="10197" spans="1:5" x14ac:dyDescent="0.25">
      <c r="A10197" s="1033"/>
      <c r="E10197" s="130"/>
    </row>
    <row r="10198" spans="1:5" x14ac:dyDescent="0.25">
      <c r="A10198" s="1033"/>
      <c r="E10198" s="130"/>
    </row>
    <row r="10199" spans="1:5" x14ac:dyDescent="0.25">
      <c r="A10199" s="1033"/>
      <c r="E10199" s="130"/>
    </row>
    <row r="10200" spans="1:5" x14ac:dyDescent="0.25">
      <c r="A10200" s="1033"/>
      <c r="E10200" s="130"/>
    </row>
    <row r="10201" spans="1:5" x14ac:dyDescent="0.25">
      <c r="A10201" s="1033"/>
      <c r="E10201" s="130"/>
    </row>
    <row r="10202" spans="1:5" x14ac:dyDescent="0.25">
      <c r="A10202" s="1033"/>
      <c r="E10202" s="130"/>
    </row>
    <row r="10203" spans="1:5" x14ac:dyDescent="0.25">
      <c r="A10203" s="1033"/>
      <c r="E10203" s="130"/>
    </row>
    <row r="10204" spans="1:5" x14ac:dyDescent="0.25">
      <c r="A10204" s="1033"/>
      <c r="E10204" s="130"/>
    </row>
    <row r="10205" spans="1:5" x14ac:dyDescent="0.25">
      <c r="A10205" s="1033"/>
      <c r="E10205" s="130"/>
    </row>
    <row r="10206" spans="1:5" x14ac:dyDescent="0.25">
      <c r="A10206" s="1033"/>
      <c r="E10206" s="130"/>
    </row>
    <row r="10207" spans="1:5" x14ac:dyDescent="0.25">
      <c r="A10207" s="1033"/>
      <c r="E10207" s="130"/>
    </row>
    <row r="10208" spans="1:5" x14ac:dyDescent="0.25">
      <c r="A10208" s="1033"/>
      <c r="E10208" s="130"/>
    </row>
    <row r="10209" spans="1:5" x14ac:dyDescent="0.25">
      <c r="A10209" s="1033"/>
      <c r="E10209" s="130"/>
    </row>
    <row r="10210" spans="1:5" x14ac:dyDescent="0.25">
      <c r="A10210" s="1033"/>
      <c r="E10210" s="130"/>
    </row>
    <row r="10211" spans="1:5" x14ac:dyDescent="0.25">
      <c r="A10211" s="1033"/>
      <c r="E10211" s="130"/>
    </row>
    <row r="10212" spans="1:5" x14ac:dyDescent="0.25">
      <c r="A10212" s="1033"/>
      <c r="E10212" s="130"/>
    </row>
    <row r="10213" spans="1:5" x14ac:dyDescent="0.25">
      <c r="A10213" s="1033"/>
      <c r="E10213" s="130"/>
    </row>
    <row r="10214" spans="1:5" x14ac:dyDescent="0.25">
      <c r="A10214" s="1033"/>
      <c r="E10214" s="130"/>
    </row>
    <row r="10215" spans="1:5" x14ac:dyDescent="0.25">
      <c r="A10215" s="1033"/>
      <c r="E10215" s="130"/>
    </row>
    <row r="10216" spans="1:5" x14ac:dyDescent="0.25">
      <c r="A10216" s="1033"/>
      <c r="E10216" s="130"/>
    </row>
    <row r="10217" spans="1:5" x14ac:dyDescent="0.25">
      <c r="A10217" s="1033"/>
      <c r="E10217" s="130"/>
    </row>
    <row r="10218" spans="1:5" x14ac:dyDescent="0.25">
      <c r="A10218" s="1033"/>
      <c r="E10218" s="130"/>
    </row>
    <row r="10219" spans="1:5" x14ac:dyDescent="0.25">
      <c r="A10219" s="1033"/>
      <c r="E10219" s="130"/>
    </row>
    <row r="10220" spans="1:5" x14ac:dyDescent="0.25">
      <c r="A10220" s="1033"/>
      <c r="E10220" s="130"/>
    </row>
    <row r="10221" spans="1:5" x14ac:dyDescent="0.25">
      <c r="A10221" s="1033"/>
      <c r="E10221" s="130"/>
    </row>
    <row r="10222" spans="1:5" x14ac:dyDescent="0.25">
      <c r="A10222" s="1033"/>
      <c r="E10222" s="130"/>
    </row>
    <row r="10223" spans="1:5" x14ac:dyDescent="0.25">
      <c r="A10223" s="1033"/>
      <c r="E10223" s="130"/>
    </row>
    <row r="10224" spans="1:5" x14ac:dyDescent="0.25">
      <c r="A10224" s="1033"/>
      <c r="E10224" s="130"/>
    </row>
    <row r="10225" spans="1:5" x14ac:dyDescent="0.25">
      <c r="A10225" s="1033"/>
      <c r="E10225" s="130"/>
    </row>
    <row r="10226" spans="1:5" x14ac:dyDescent="0.25">
      <c r="A10226" s="1033"/>
      <c r="E10226" s="130"/>
    </row>
    <row r="10227" spans="1:5" x14ac:dyDescent="0.25">
      <c r="A10227" s="1033"/>
      <c r="E10227" s="130"/>
    </row>
    <row r="10228" spans="1:5" x14ac:dyDescent="0.25">
      <c r="A10228" s="1033"/>
      <c r="E10228" s="130"/>
    </row>
    <row r="10229" spans="1:5" x14ac:dyDescent="0.25">
      <c r="A10229" s="1033"/>
      <c r="E10229" s="130"/>
    </row>
    <row r="10230" spans="1:5" x14ac:dyDescent="0.25">
      <c r="A10230" s="1033"/>
      <c r="E10230" s="130"/>
    </row>
    <row r="10231" spans="1:5" x14ac:dyDescent="0.25">
      <c r="A10231" s="1033"/>
      <c r="E10231" s="130"/>
    </row>
    <row r="10232" spans="1:5" x14ac:dyDescent="0.25">
      <c r="A10232" s="1033"/>
      <c r="E10232" s="130"/>
    </row>
    <row r="10233" spans="1:5" x14ac:dyDescent="0.25">
      <c r="A10233" s="1033"/>
      <c r="E10233" s="130"/>
    </row>
    <row r="10234" spans="1:5" x14ac:dyDescent="0.25">
      <c r="A10234" s="1033"/>
      <c r="E10234" s="130"/>
    </row>
    <row r="10235" spans="1:5" x14ac:dyDescent="0.25">
      <c r="A10235" s="1033"/>
      <c r="E10235" s="130"/>
    </row>
    <row r="10236" spans="1:5" x14ac:dyDescent="0.25">
      <c r="A10236" s="1033"/>
      <c r="E10236" s="130"/>
    </row>
    <row r="10237" spans="1:5" x14ac:dyDescent="0.25">
      <c r="A10237" s="1033"/>
      <c r="E10237" s="130"/>
    </row>
    <row r="10238" spans="1:5" x14ac:dyDescent="0.25">
      <c r="A10238" s="1033"/>
      <c r="E10238" s="130"/>
    </row>
    <row r="10239" spans="1:5" x14ac:dyDescent="0.25">
      <c r="A10239" s="1033"/>
      <c r="E10239" s="130"/>
    </row>
    <row r="10240" spans="1:5" x14ac:dyDescent="0.25">
      <c r="A10240" s="1033"/>
      <c r="E10240" s="130"/>
    </row>
    <row r="10241" spans="1:5" x14ac:dyDescent="0.25">
      <c r="A10241" s="1033"/>
      <c r="E10241" s="130"/>
    </row>
    <row r="10242" spans="1:5" x14ac:dyDescent="0.25">
      <c r="A10242" s="1033"/>
      <c r="E10242" s="130"/>
    </row>
    <row r="10243" spans="1:5" x14ac:dyDescent="0.25">
      <c r="A10243" s="1033"/>
      <c r="E10243" s="130"/>
    </row>
    <row r="10244" spans="1:5" x14ac:dyDescent="0.25">
      <c r="A10244" s="1033"/>
      <c r="E10244" s="130"/>
    </row>
    <row r="10245" spans="1:5" x14ac:dyDescent="0.25">
      <c r="A10245" s="1033"/>
      <c r="E10245" s="130"/>
    </row>
    <row r="10246" spans="1:5" x14ac:dyDescent="0.25">
      <c r="A10246" s="1033"/>
      <c r="E10246" s="130"/>
    </row>
    <row r="10247" spans="1:5" x14ac:dyDescent="0.25">
      <c r="A10247" s="1033"/>
      <c r="E10247" s="130"/>
    </row>
    <row r="10248" spans="1:5" x14ac:dyDescent="0.25">
      <c r="A10248" s="1033"/>
      <c r="E10248" s="130"/>
    </row>
    <row r="10249" spans="1:5" x14ac:dyDescent="0.25">
      <c r="A10249" s="1033"/>
      <c r="E10249" s="130"/>
    </row>
    <row r="10250" spans="1:5" x14ac:dyDescent="0.25">
      <c r="A10250" s="1033"/>
      <c r="E10250" s="130"/>
    </row>
    <row r="10251" spans="1:5" x14ac:dyDescent="0.25">
      <c r="A10251" s="1033"/>
      <c r="E10251" s="130"/>
    </row>
    <row r="10252" spans="1:5" x14ac:dyDescent="0.25">
      <c r="A10252" s="1033"/>
      <c r="E10252" s="130"/>
    </row>
    <row r="10253" spans="1:5" x14ac:dyDescent="0.25">
      <c r="A10253" s="1033"/>
      <c r="E10253" s="130"/>
    </row>
    <row r="10254" spans="1:5" x14ac:dyDescent="0.25">
      <c r="A10254" s="1033"/>
      <c r="E10254" s="130"/>
    </row>
    <row r="10255" spans="1:5" x14ac:dyDescent="0.25">
      <c r="A10255" s="1033"/>
      <c r="E10255" s="130"/>
    </row>
    <row r="10256" spans="1:5" x14ac:dyDescent="0.25">
      <c r="A10256" s="1033"/>
      <c r="E10256" s="130"/>
    </row>
    <row r="10257" spans="1:5" x14ac:dyDescent="0.25">
      <c r="A10257" s="1033"/>
      <c r="E10257" s="130"/>
    </row>
    <row r="10258" spans="1:5" x14ac:dyDescent="0.25">
      <c r="A10258" s="1033"/>
      <c r="E10258" s="130"/>
    </row>
    <row r="10259" spans="1:5" x14ac:dyDescent="0.25">
      <c r="A10259" s="1033"/>
      <c r="E10259" s="130"/>
    </row>
    <row r="10260" spans="1:5" x14ac:dyDescent="0.25">
      <c r="A10260" s="1033"/>
      <c r="E10260" s="130"/>
    </row>
    <row r="10261" spans="1:5" x14ac:dyDescent="0.25">
      <c r="A10261" s="1033"/>
      <c r="E10261" s="130"/>
    </row>
    <row r="10262" spans="1:5" x14ac:dyDescent="0.25">
      <c r="A10262" s="1033"/>
      <c r="E10262" s="130"/>
    </row>
    <row r="10263" spans="1:5" x14ac:dyDescent="0.25">
      <c r="A10263" s="1033"/>
      <c r="E10263" s="130"/>
    </row>
    <row r="10264" spans="1:5" x14ac:dyDescent="0.25">
      <c r="A10264" s="1033"/>
      <c r="E10264" s="130"/>
    </row>
    <row r="10265" spans="1:5" x14ac:dyDescent="0.25">
      <c r="A10265" s="1033"/>
      <c r="E10265" s="130"/>
    </row>
    <row r="10266" spans="1:5" x14ac:dyDescent="0.25">
      <c r="A10266" s="1033"/>
      <c r="E10266" s="130"/>
    </row>
    <row r="10267" spans="1:5" x14ac:dyDescent="0.25">
      <c r="A10267" s="1033"/>
      <c r="E10267" s="130"/>
    </row>
    <row r="10268" spans="1:5" x14ac:dyDescent="0.25">
      <c r="A10268" s="1033"/>
      <c r="E10268" s="130"/>
    </row>
    <row r="10269" spans="1:5" x14ac:dyDescent="0.25">
      <c r="A10269" s="1033"/>
      <c r="E10269" s="130"/>
    </row>
    <row r="10270" spans="1:5" x14ac:dyDescent="0.25">
      <c r="A10270" s="1033"/>
      <c r="E10270" s="130"/>
    </row>
    <row r="10271" spans="1:5" x14ac:dyDescent="0.25">
      <c r="A10271" s="1033"/>
      <c r="E10271" s="130"/>
    </row>
    <row r="10272" spans="1:5" x14ac:dyDescent="0.25">
      <c r="A10272" s="1033"/>
      <c r="E10272" s="130"/>
    </row>
    <row r="10273" spans="1:5" x14ac:dyDescent="0.25">
      <c r="A10273" s="1033"/>
      <c r="E10273" s="130"/>
    </row>
    <row r="10274" spans="1:5" x14ac:dyDescent="0.25">
      <c r="A10274" s="1033"/>
      <c r="E10274" s="130"/>
    </row>
    <row r="10275" spans="1:5" x14ac:dyDescent="0.25">
      <c r="A10275" s="1033"/>
      <c r="E10275" s="130"/>
    </row>
    <row r="10276" spans="1:5" x14ac:dyDescent="0.25">
      <c r="A10276" s="1033"/>
      <c r="E10276" s="130"/>
    </row>
    <row r="10277" spans="1:5" x14ac:dyDescent="0.25">
      <c r="A10277" s="1033"/>
      <c r="E10277" s="130"/>
    </row>
    <row r="10278" spans="1:5" x14ac:dyDescent="0.25">
      <c r="A10278" s="1033"/>
      <c r="E10278" s="130"/>
    </row>
    <row r="10279" spans="1:5" x14ac:dyDescent="0.25">
      <c r="A10279" s="1033"/>
      <c r="E10279" s="130"/>
    </row>
    <row r="10280" spans="1:5" x14ac:dyDescent="0.25">
      <c r="A10280" s="1033"/>
      <c r="E10280" s="130"/>
    </row>
    <row r="10281" spans="1:5" x14ac:dyDescent="0.25">
      <c r="A10281" s="1033"/>
      <c r="E10281" s="130"/>
    </row>
    <row r="10282" spans="1:5" x14ac:dyDescent="0.25">
      <c r="A10282" s="1033"/>
      <c r="E10282" s="130"/>
    </row>
    <row r="10283" spans="1:5" x14ac:dyDescent="0.25">
      <c r="A10283" s="1033"/>
      <c r="E10283" s="130"/>
    </row>
    <row r="10284" spans="1:5" x14ac:dyDescent="0.25">
      <c r="A10284" s="1033"/>
      <c r="E10284" s="130"/>
    </row>
    <row r="10285" spans="1:5" x14ac:dyDescent="0.25">
      <c r="A10285" s="1033"/>
      <c r="E10285" s="130"/>
    </row>
    <row r="10286" spans="1:5" x14ac:dyDescent="0.25">
      <c r="A10286" s="1033"/>
      <c r="E10286" s="130"/>
    </row>
    <row r="10287" spans="1:5" x14ac:dyDescent="0.25">
      <c r="A10287" s="1033"/>
      <c r="E10287" s="130"/>
    </row>
    <row r="10288" spans="1:5" x14ac:dyDescent="0.25">
      <c r="A10288" s="1033"/>
      <c r="E10288" s="130"/>
    </row>
    <row r="10289" spans="1:5" x14ac:dyDescent="0.25">
      <c r="A10289" s="1033"/>
      <c r="E10289" s="130"/>
    </row>
    <row r="10290" spans="1:5" x14ac:dyDescent="0.25">
      <c r="A10290" s="1033"/>
      <c r="E10290" s="130"/>
    </row>
    <row r="10291" spans="1:5" x14ac:dyDescent="0.25">
      <c r="A10291" s="1033"/>
      <c r="E10291" s="130"/>
    </row>
    <row r="10292" spans="1:5" x14ac:dyDescent="0.25">
      <c r="A10292" s="1033"/>
      <c r="E10292" s="130"/>
    </row>
    <row r="10293" spans="1:5" x14ac:dyDescent="0.25">
      <c r="A10293" s="1033"/>
      <c r="E10293" s="130"/>
    </row>
    <row r="10294" spans="1:5" x14ac:dyDescent="0.25">
      <c r="A10294" s="1033"/>
      <c r="E10294" s="130"/>
    </row>
    <row r="10295" spans="1:5" x14ac:dyDescent="0.25">
      <c r="A10295" s="1033"/>
      <c r="E10295" s="130"/>
    </row>
    <row r="10296" spans="1:5" x14ac:dyDescent="0.25">
      <c r="A10296" s="1033"/>
      <c r="E10296" s="130"/>
    </row>
    <row r="10297" spans="1:5" x14ac:dyDescent="0.25">
      <c r="A10297" s="1033"/>
      <c r="E10297" s="130"/>
    </row>
    <row r="10298" spans="1:5" x14ac:dyDescent="0.25">
      <c r="A10298" s="1033"/>
      <c r="E10298" s="130"/>
    </row>
    <row r="10299" spans="1:5" x14ac:dyDescent="0.25">
      <c r="A10299" s="1033"/>
      <c r="E10299" s="130"/>
    </row>
    <row r="10300" spans="1:5" x14ac:dyDescent="0.25">
      <c r="A10300" s="1033"/>
      <c r="E10300" s="130"/>
    </row>
    <row r="10301" spans="1:5" x14ac:dyDescent="0.25">
      <c r="A10301" s="1033"/>
      <c r="E10301" s="130"/>
    </row>
    <row r="10302" spans="1:5" x14ac:dyDescent="0.25">
      <c r="A10302" s="1033"/>
      <c r="E10302" s="130"/>
    </row>
    <row r="10303" spans="1:5" x14ac:dyDescent="0.25">
      <c r="A10303" s="1033"/>
      <c r="E10303" s="130"/>
    </row>
    <row r="10304" spans="1:5" x14ac:dyDescent="0.25">
      <c r="A10304" s="1033"/>
      <c r="E10304" s="130"/>
    </row>
    <row r="10305" spans="1:5" x14ac:dyDescent="0.25">
      <c r="A10305" s="1033"/>
      <c r="E10305" s="130"/>
    </row>
    <row r="10306" spans="1:5" x14ac:dyDescent="0.25">
      <c r="A10306" s="1033"/>
      <c r="E10306" s="130"/>
    </row>
    <row r="10307" spans="1:5" x14ac:dyDescent="0.25">
      <c r="A10307" s="1033"/>
      <c r="E10307" s="130"/>
    </row>
    <row r="10308" spans="1:5" x14ac:dyDescent="0.25">
      <c r="A10308" s="1033"/>
      <c r="E10308" s="130"/>
    </row>
    <row r="10309" spans="1:5" x14ac:dyDescent="0.25">
      <c r="A10309" s="1033"/>
      <c r="E10309" s="130"/>
    </row>
    <row r="10310" spans="1:5" x14ac:dyDescent="0.25">
      <c r="A10310" s="1033"/>
      <c r="E10310" s="130"/>
    </row>
    <row r="10311" spans="1:5" x14ac:dyDescent="0.25">
      <c r="A10311" s="1033"/>
      <c r="E10311" s="130"/>
    </row>
    <row r="10312" spans="1:5" x14ac:dyDescent="0.25">
      <c r="A10312" s="1033"/>
      <c r="E10312" s="130"/>
    </row>
    <row r="10313" spans="1:5" x14ac:dyDescent="0.25">
      <c r="A10313" s="1033"/>
      <c r="E10313" s="130"/>
    </row>
    <row r="10314" spans="1:5" x14ac:dyDescent="0.25">
      <c r="A10314" s="1033"/>
      <c r="E10314" s="130"/>
    </row>
    <row r="10315" spans="1:5" x14ac:dyDescent="0.25">
      <c r="A10315" s="1033"/>
      <c r="E10315" s="130"/>
    </row>
    <row r="10316" spans="1:5" x14ac:dyDescent="0.25">
      <c r="A10316" s="1033"/>
      <c r="E10316" s="130"/>
    </row>
    <row r="10317" spans="1:5" x14ac:dyDescent="0.25">
      <c r="A10317" s="1033"/>
      <c r="E10317" s="130"/>
    </row>
    <row r="10318" spans="1:5" x14ac:dyDescent="0.25">
      <c r="A10318" s="1033"/>
      <c r="E10318" s="130"/>
    </row>
    <row r="10319" spans="1:5" x14ac:dyDescent="0.25">
      <c r="A10319" s="1033"/>
      <c r="E10319" s="130"/>
    </row>
    <row r="10320" spans="1:5" x14ac:dyDescent="0.25">
      <c r="A10320" s="1033"/>
      <c r="E10320" s="130"/>
    </row>
    <row r="10321" spans="1:5" x14ac:dyDescent="0.25">
      <c r="A10321" s="1033"/>
      <c r="E10321" s="130"/>
    </row>
    <row r="10322" spans="1:5" x14ac:dyDescent="0.25">
      <c r="A10322" s="1033"/>
      <c r="E10322" s="130"/>
    </row>
    <row r="10323" spans="1:5" x14ac:dyDescent="0.25">
      <c r="A10323" s="1033"/>
      <c r="E10323" s="130"/>
    </row>
    <row r="10324" spans="1:5" x14ac:dyDescent="0.25">
      <c r="A10324" s="1033"/>
      <c r="E10324" s="130"/>
    </row>
    <row r="10325" spans="1:5" x14ac:dyDescent="0.25">
      <c r="A10325" s="1033"/>
      <c r="E10325" s="130"/>
    </row>
    <row r="10326" spans="1:5" x14ac:dyDescent="0.25">
      <c r="A10326" s="1033"/>
      <c r="E10326" s="130"/>
    </row>
    <row r="10327" spans="1:5" x14ac:dyDescent="0.25">
      <c r="A10327" s="1033"/>
      <c r="E10327" s="130"/>
    </row>
    <row r="10328" spans="1:5" x14ac:dyDescent="0.25">
      <c r="A10328" s="1033"/>
      <c r="E10328" s="130"/>
    </row>
    <row r="10329" spans="1:5" x14ac:dyDescent="0.25">
      <c r="A10329" s="1033"/>
      <c r="E10329" s="130"/>
    </row>
    <row r="10330" spans="1:5" x14ac:dyDescent="0.25">
      <c r="A10330" s="1033"/>
      <c r="E10330" s="130"/>
    </row>
    <row r="10331" spans="1:5" x14ac:dyDescent="0.25">
      <c r="A10331" s="1033"/>
      <c r="E10331" s="130"/>
    </row>
    <row r="10332" spans="1:5" x14ac:dyDescent="0.25">
      <c r="A10332" s="1033"/>
      <c r="E10332" s="130"/>
    </row>
    <row r="10333" spans="1:5" x14ac:dyDescent="0.25">
      <c r="A10333" s="1033"/>
      <c r="E10333" s="130"/>
    </row>
    <row r="10334" spans="1:5" x14ac:dyDescent="0.25">
      <c r="A10334" s="1033"/>
      <c r="E10334" s="130"/>
    </row>
    <row r="10335" spans="1:5" x14ac:dyDescent="0.25">
      <c r="A10335" s="1033"/>
      <c r="E10335" s="130"/>
    </row>
    <row r="10336" spans="1:5" x14ac:dyDescent="0.25">
      <c r="A10336" s="1033"/>
      <c r="E10336" s="130"/>
    </row>
    <row r="10337" spans="1:5" x14ac:dyDescent="0.25">
      <c r="A10337" s="1033"/>
      <c r="E10337" s="130"/>
    </row>
    <row r="10338" spans="1:5" x14ac:dyDescent="0.25">
      <c r="A10338" s="1033"/>
      <c r="E10338" s="130"/>
    </row>
    <row r="10339" spans="1:5" x14ac:dyDescent="0.25">
      <c r="A10339" s="1033"/>
      <c r="E10339" s="130"/>
    </row>
    <row r="10340" spans="1:5" x14ac:dyDescent="0.25">
      <c r="A10340" s="1033"/>
      <c r="E10340" s="130"/>
    </row>
    <row r="10341" spans="1:5" x14ac:dyDescent="0.25">
      <c r="A10341" s="1033"/>
      <c r="E10341" s="130"/>
    </row>
    <row r="10342" spans="1:5" x14ac:dyDescent="0.25">
      <c r="A10342" s="1033"/>
      <c r="E10342" s="130"/>
    </row>
    <row r="10343" spans="1:5" x14ac:dyDescent="0.25">
      <c r="A10343" s="1033"/>
      <c r="E10343" s="130"/>
    </row>
    <row r="10344" spans="1:5" x14ac:dyDescent="0.25">
      <c r="A10344" s="1033"/>
      <c r="E10344" s="130"/>
    </row>
    <row r="10345" spans="1:5" x14ac:dyDescent="0.25">
      <c r="A10345" s="1033"/>
      <c r="E10345" s="130"/>
    </row>
    <row r="10346" spans="1:5" x14ac:dyDescent="0.25">
      <c r="A10346" s="1033"/>
      <c r="E10346" s="130"/>
    </row>
    <row r="10347" spans="1:5" x14ac:dyDescent="0.25">
      <c r="A10347" s="1033"/>
      <c r="E10347" s="130"/>
    </row>
    <row r="10348" spans="1:5" x14ac:dyDescent="0.25">
      <c r="A10348" s="1033"/>
      <c r="E10348" s="130"/>
    </row>
    <row r="10349" spans="1:5" x14ac:dyDescent="0.25">
      <c r="A10349" s="1033"/>
      <c r="E10349" s="130"/>
    </row>
    <row r="10350" spans="1:5" x14ac:dyDescent="0.25">
      <c r="A10350" s="1033"/>
      <c r="E10350" s="130"/>
    </row>
    <row r="10351" spans="1:5" x14ac:dyDescent="0.25">
      <c r="A10351" s="1033"/>
      <c r="E10351" s="130"/>
    </row>
    <row r="10352" spans="1:5" x14ac:dyDescent="0.25">
      <c r="A10352" s="1033"/>
      <c r="E10352" s="130"/>
    </row>
    <row r="10353" spans="1:5" x14ac:dyDescent="0.25">
      <c r="A10353" s="1033"/>
      <c r="E10353" s="130"/>
    </row>
    <row r="10354" spans="1:5" x14ac:dyDescent="0.25">
      <c r="A10354" s="1033"/>
      <c r="E10354" s="130"/>
    </row>
    <row r="10355" spans="1:5" x14ac:dyDescent="0.25">
      <c r="A10355" s="1033"/>
      <c r="E10355" s="130"/>
    </row>
    <row r="10356" spans="1:5" x14ac:dyDescent="0.25">
      <c r="A10356" s="1033"/>
      <c r="E10356" s="130"/>
    </row>
    <row r="10357" spans="1:5" x14ac:dyDescent="0.25">
      <c r="A10357" s="1033"/>
      <c r="E10357" s="130"/>
    </row>
    <row r="10358" spans="1:5" x14ac:dyDescent="0.25">
      <c r="A10358" s="1033"/>
      <c r="E10358" s="130"/>
    </row>
    <row r="10359" spans="1:5" x14ac:dyDescent="0.25">
      <c r="A10359" s="1033"/>
      <c r="E10359" s="130"/>
    </row>
    <row r="10360" spans="1:5" x14ac:dyDescent="0.25">
      <c r="A10360" s="1033"/>
      <c r="E10360" s="130"/>
    </row>
    <row r="10361" spans="1:5" x14ac:dyDescent="0.25">
      <c r="A10361" s="1033"/>
      <c r="E10361" s="130"/>
    </row>
    <row r="10362" spans="1:5" x14ac:dyDescent="0.25">
      <c r="A10362" s="1033"/>
      <c r="E10362" s="130"/>
    </row>
    <row r="10363" spans="1:5" x14ac:dyDescent="0.25">
      <c r="A10363" s="1033"/>
      <c r="E10363" s="130"/>
    </row>
    <row r="10364" spans="1:5" x14ac:dyDescent="0.25">
      <c r="A10364" s="1033"/>
      <c r="E10364" s="130"/>
    </row>
    <row r="10365" spans="1:5" x14ac:dyDescent="0.25">
      <c r="A10365" s="1033"/>
      <c r="E10365" s="130"/>
    </row>
    <row r="10366" spans="1:5" x14ac:dyDescent="0.25">
      <c r="A10366" s="1033"/>
      <c r="E10366" s="130"/>
    </row>
    <row r="10367" spans="1:5" x14ac:dyDescent="0.25">
      <c r="A10367" s="1033"/>
      <c r="E10367" s="130"/>
    </row>
    <row r="10368" spans="1:5" x14ac:dyDescent="0.25">
      <c r="A10368" s="1033"/>
      <c r="E10368" s="130"/>
    </row>
    <row r="10369" spans="1:5" x14ac:dyDescent="0.25">
      <c r="A10369" s="1033"/>
      <c r="E10369" s="130"/>
    </row>
    <row r="10370" spans="1:5" x14ac:dyDescent="0.25">
      <c r="A10370" s="1033"/>
      <c r="E10370" s="130"/>
    </row>
    <row r="10371" spans="1:5" x14ac:dyDescent="0.25">
      <c r="A10371" s="1033"/>
      <c r="E10371" s="130"/>
    </row>
    <row r="10372" spans="1:5" x14ac:dyDescent="0.25">
      <c r="A10372" s="1033"/>
      <c r="E10372" s="130"/>
    </row>
    <row r="10373" spans="1:5" x14ac:dyDescent="0.25">
      <c r="A10373" s="1033"/>
      <c r="E10373" s="130"/>
    </row>
    <row r="10374" spans="1:5" x14ac:dyDescent="0.25">
      <c r="A10374" s="1033"/>
      <c r="E10374" s="130"/>
    </row>
    <row r="10375" spans="1:5" x14ac:dyDescent="0.25">
      <c r="A10375" s="1033"/>
      <c r="E10375" s="130"/>
    </row>
    <row r="10376" spans="1:5" x14ac:dyDescent="0.25">
      <c r="A10376" s="1033"/>
      <c r="E10376" s="130"/>
    </row>
    <row r="10377" spans="1:5" x14ac:dyDescent="0.25">
      <c r="A10377" s="1033"/>
      <c r="E10377" s="130"/>
    </row>
    <row r="10378" spans="1:5" x14ac:dyDescent="0.25">
      <c r="A10378" s="1033"/>
      <c r="E10378" s="130"/>
    </row>
    <row r="10379" spans="1:5" x14ac:dyDescent="0.25">
      <c r="A10379" s="1033"/>
      <c r="E10379" s="130"/>
    </row>
    <row r="10380" spans="1:5" x14ac:dyDescent="0.25">
      <c r="A10380" s="1033"/>
      <c r="E10380" s="130"/>
    </row>
    <row r="10381" spans="1:5" x14ac:dyDescent="0.25">
      <c r="A10381" s="1033"/>
      <c r="E10381" s="130"/>
    </row>
    <row r="10382" spans="1:5" x14ac:dyDescent="0.25">
      <c r="A10382" s="1033"/>
      <c r="E10382" s="130"/>
    </row>
    <row r="10383" spans="1:5" x14ac:dyDescent="0.25">
      <c r="A10383" s="1033"/>
      <c r="E10383" s="130"/>
    </row>
    <row r="10384" spans="1:5" x14ac:dyDescent="0.25">
      <c r="A10384" s="1033"/>
      <c r="E10384" s="130"/>
    </row>
    <row r="10385" spans="1:5" x14ac:dyDescent="0.25">
      <c r="A10385" s="1033"/>
      <c r="E10385" s="130"/>
    </row>
    <row r="10386" spans="1:5" x14ac:dyDescent="0.25">
      <c r="A10386" s="1033"/>
      <c r="E10386" s="130"/>
    </row>
    <row r="10387" spans="1:5" x14ac:dyDescent="0.25">
      <c r="A10387" s="1033"/>
      <c r="E10387" s="130"/>
    </row>
    <row r="10388" spans="1:5" x14ac:dyDescent="0.25">
      <c r="A10388" s="1033"/>
      <c r="E10388" s="130"/>
    </row>
    <row r="10389" spans="1:5" x14ac:dyDescent="0.25">
      <c r="A10389" s="1033"/>
      <c r="E10389" s="130"/>
    </row>
    <row r="10390" spans="1:5" x14ac:dyDescent="0.25">
      <c r="A10390" s="1033"/>
      <c r="E10390" s="130"/>
    </row>
    <row r="10391" spans="1:5" x14ac:dyDescent="0.25">
      <c r="A10391" s="1033"/>
      <c r="E10391" s="130"/>
    </row>
    <row r="10392" spans="1:5" x14ac:dyDescent="0.25">
      <c r="A10392" s="1033"/>
      <c r="E10392" s="130"/>
    </row>
    <row r="10393" spans="1:5" x14ac:dyDescent="0.25">
      <c r="A10393" s="1033"/>
      <c r="E10393" s="130"/>
    </row>
    <row r="10394" spans="1:5" x14ac:dyDescent="0.25">
      <c r="A10394" s="1033"/>
      <c r="E10394" s="130"/>
    </row>
    <row r="10395" spans="1:5" x14ac:dyDescent="0.25">
      <c r="A10395" s="1033"/>
      <c r="E10395" s="130"/>
    </row>
    <row r="10396" spans="1:5" x14ac:dyDescent="0.25">
      <c r="A10396" s="1033"/>
      <c r="E10396" s="130"/>
    </row>
    <row r="10397" spans="1:5" x14ac:dyDescent="0.25">
      <c r="A10397" s="1033"/>
      <c r="E10397" s="130"/>
    </row>
    <row r="10398" spans="1:5" x14ac:dyDescent="0.25">
      <c r="A10398" s="1033"/>
      <c r="E10398" s="130"/>
    </row>
    <row r="10399" spans="1:5" x14ac:dyDescent="0.25">
      <c r="A10399" s="1033"/>
      <c r="E10399" s="130"/>
    </row>
    <row r="10400" spans="1:5" x14ac:dyDescent="0.25">
      <c r="A10400" s="1033"/>
      <c r="E10400" s="130"/>
    </row>
    <row r="10401" spans="1:5" x14ac:dyDescent="0.25">
      <c r="A10401" s="1033"/>
      <c r="E10401" s="130"/>
    </row>
    <row r="10402" spans="1:5" x14ac:dyDescent="0.25">
      <c r="A10402" s="1033"/>
      <c r="E10402" s="130"/>
    </row>
    <row r="10403" spans="1:5" x14ac:dyDescent="0.25">
      <c r="A10403" s="1033"/>
      <c r="E10403" s="130"/>
    </row>
    <row r="10404" spans="1:5" x14ac:dyDescent="0.25">
      <c r="A10404" s="1033"/>
      <c r="E10404" s="130"/>
    </row>
    <row r="10405" spans="1:5" x14ac:dyDescent="0.25">
      <c r="A10405" s="1033"/>
      <c r="E10405" s="130"/>
    </row>
    <row r="10406" spans="1:5" x14ac:dyDescent="0.25">
      <c r="A10406" s="1033"/>
      <c r="E10406" s="130"/>
    </row>
    <row r="10407" spans="1:5" x14ac:dyDescent="0.25">
      <c r="A10407" s="1033"/>
      <c r="E10407" s="130"/>
    </row>
    <row r="10408" spans="1:5" x14ac:dyDescent="0.25">
      <c r="A10408" s="1033"/>
      <c r="E10408" s="130"/>
    </row>
    <row r="10409" spans="1:5" x14ac:dyDescent="0.25">
      <c r="A10409" s="1033"/>
      <c r="E10409" s="130"/>
    </row>
    <row r="10410" spans="1:5" x14ac:dyDescent="0.25">
      <c r="A10410" s="1033"/>
      <c r="E10410" s="130"/>
    </row>
    <row r="10411" spans="1:5" x14ac:dyDescent="0.25">
      <c r="A10411" s="1033"/>
      <c r="E10411" s="130"/>
    </row>
    <row r="10412" spans="1:5" x14ac:dyDescent="0.25">
      <c r="A10412" s="1033"/>
      <c r="E10412" s="130"/>
    </row>
    <row r="10413" spans="1:5" x14ac:dyDescent="0.25">
      <c r="A10413" s="1033"/>
      <c r="E10413" s="130"/>
    </row>
    <row r="10414" spans="1:5" x14ac:dyDescent="0.25">
      <c r="A10414" s="1033"/>
      <c r="E10414" s="130"/>
    </row>
    <row r="10415" spans="1:5" x14ac:dyDescent="0.25">
      <c r="A10415" s="1033"/>
      <c r="E10415" s="130"/>
    </row>
    <row r="10416" spans="1:5" x14ac:dyDescent="0.25">
      <c r="A10416" s="1033"/>
      <c r="E10416" s="130"/>
    </row>
    <row r="10417" spans="1:5" x14ac:dyDescent="0.25">
      <c r="A10417" s="1033"/>
      <c r="E10417" s="130"/>
    </row>
    <row r="10418" spans="1:5" x14ac:dyDescent="0.25">
      <c r="A10418" s="1033"/>
      <c r="E10418" s="130"/>
    </row>
    <row r="10419" spans="1:5" x14ac:dyDescent="0.25">
      <c r="A10419" s="1033"/>
      <c r="E10419" s="130"/>
    </row>
    <row r="10420" spans="1:5" x14ac:dyDescent="0.25">
      <c r="A10420" s="1033"/>
      <c r="E10420" s="130"/>
    </row>
    <row r="10421" spans="1:5" x14ac:dyDescent="0.25">
      <c r="A10421" s="1033"/>
      <c r="E10421" s="130"/>
    </row>
    <row r="10422" spans="1:5" x14ac:dyDescent="0.25">
      <c r="A10422" s="1033"/>
      <c r="E10422" s="130"/>
    </row>
    <row r="10423" spans="1:5" x14ac:dyDescent="0.25">
      <c r="A10423" s="1033"/>
      <c r="E10423" s="130"/>
    </row>
    <row r="10424" spans="1:5" x14ac:dyDescent="0.25">
      <c r="A10424" s="1033"/>
      <c r="E10424" s="130"/>
    </row>
    <row r="10425" spans="1:5" x14ac:dyDescent="0.25">
      <c r="A10425" s="1033"/>
      <c r="E10425" s="130"/>
    </row>
    <row r="10426" spans="1:5" x14ac:dyDescent="0.25">
      <c r="A10426" s="1033"/>
      <c r="E10426" s="130"/>
    </row>
    <row r="10427" spans="1:5" x14ac:dyDescent="0.25">
      <c r="A10427" s="1033"/>
      <c r="E10427" s="130"/>
    </row>
    <row r="10428" spans="1:5" x14ac:dyDescent="0.25">
      <c r="A10428" s="1033"/>
      <c r="E10428" s="130"/>
    </row>
    <row r="10429" spans="1:5" x14ac:dyDescent="0.25">
      <c r="A10429" s="1033"/>
      <c r="E10429" s="130"/>
    </row>
    <row r="10430" spans="1:5" x14ac:dyDescent="0.25">
      <c r="A10430" s="1033"/>
      <c r="E10430" s="130"/>
    </row>
    <row r="10431" spans="1:5" x14ac:dyDescent="0.25">
      <c r="A10431" s="1033"/>
      <c r="E10431" s="130"/>
    </row>
    <row r="10432" spans="1:5" x14ac:dyDescent="0.25">
      <c r="A10432" s="1033"/>
      <c r="E10432" s="130"/>
    </row>
    <row r="10433" spans="1:5" x14ac:dyDescent="0.25">
      <c r="A10433" s="1033"/>
      <c r="E10433" s="130"/>
    </row>
    <row r="10434" spans="1:5" x14ac:dyDescent="0.25">
      <c r="A10434" s="1033"/>
      <c r="E10434" s="130"/>
    </row>
    <row r="10435" spans="1:5" x14ac:dyDescent="0.25">
      <c r="A10435" s="1033"/>
      <c r="E10435" s="130"/>
    </row>
    <row r="10436" spans="1:5" x14ac:dyDescent="0.25">
      <c r="A10436" s="1033"/>
      <c r="E10436" s="130"/>
    </row>
    <row r="10437" spans="1:5" x14ac:dyDescent="0.25">
      <c r="A10437" s="1033"/>
      <c r="E10437" s="130"/>
    </row>
    <row r="10438" spans="1:5" x14ac:dyDescent="0.25">
      <c r="A10438" s="1033"/>
      <c r="E10438" s="130"/>
    </row>
    <row r="10439" spans="1:5" x14ac:dyDescent="0.25">
      <c r="A10439" s="1033"/>
      <c r="E10439" s="130"/>
    </row>
    <row r="10440" spans="1:5" x14ac:dyDescent="0.25">
      <c r="A10440" s="1033"/>
      <c r="E10440" s="130"/>
    </row>
    <row r="10441" spans="1:5" x14ac:dyDescent="0.25">
      <c r="A10441" s="1033"/>
      <c r="E10441" s="130"/>
    </row>
    <row r="10442" spans="1:5" x14ac:dyDescent="0.25">
      <c r="A10442" s="1033"/>
      <c r="E10442" s="130"/>
    </row>
    <row r="10443" spans="1:5" x14ac:dyDescent="0.25">
      <c r="A10443" s="1033"/>
      <c r="E10443" s="130"/>
    </row>
    <row r="10444" spans="1:5" x14ac:dyDescent="0.25">
      <c r="A10444" s="1033"/>
      <c r="E10444" s="130"/>
    </row>
    <row r="10445" spans="1:5" x14ac:dyDescent="0.25">
      <c r="A10445" s="1033"/>
      <c r="E10445" s="130"/>
    </row>
    <row r="10446" spans="1:5" x14ac:dyDescent="0.25">
      <c r="A10446" s="1033"/>
      <c r="E10446" s="130"/>
    </row>
    <row r="10447" spans="1:5" x14ac:dyDescent="0.25">
      <c r="A10447" s="1033"/>
      <c r="E10447" s="130"/>
    </row>
    <row r="10448" spans="1:5" x14ac:dyDescent="0.25">
      <c r="A10448" s="1033"/>
      <c r="E10448" s="130"/>
    </row>
    <row r="10449" spans="1:5" x14ac:dyDescent="0.25">
      <c r="A10449" s="1033"/>
      <c r="E10449" s="130"/>
    </row>
    <row r="10450" spans="1:5" x14ac:dyDescent="0.25">
      <c r="A10450" s="1033"/>
      <c r="E10450" s="130"/>
    </row>
    <row r="10451" spans="1:5" x14ac:dyDescent="0.25">
      <c r="A10451" s="1033"/>
      <c r="E10451" s="130"/>
    </row>
    <row r="10452" spans="1:5" x14ac:dyDescent="0.25">
      <c r="A10452" s="1033"/>
      <c r="E10452" s="130"/>
    </row>
    <row r="10453" spans="1:5" x14ac:dyDescent="0.25">
      <c r="A10453" s="1033"/>
      <c r="E10453" s="130"/>
    </row>
    <row r="10454" spans="1:5" x14ac:dyDescent="0.25">
      <c r="A10454" s="1033"/>
      <c r="E10454" s="130"/>
    </row>
    <row r="10455" spans="1:5" x14ac:dyDescent="0.25">
      <c r="A10455" s="1033"/>
      <c r="E10455" s="130"/>
    </row>
    <row r="10456" spans="1:5" x14ac:dyDescent="0.25">
      <c r="A10456" s="1033"/>
      <c r="E10456" s="130"/>
    </row>
    <row r="10457" spans="1:5" x14ac:dyDescent="0.25">
      <c r="A10457" s="1033"/>
      <c r="E10457" s="130"/>
    </row>
    <row r="10458" spans="1:5" x14ac:dyDescent="0.25">
      <c r="A10458" s="1033"/>
      <c r="E10458" s="130"/>
    </row>
    <row r="10459" spans="1:5" x14ac:dyDescent="0.25">
      <c r="A10459" s="1033"/>
      <c r="E10459" s="130"/>
    </row>
    <row r="10460" spans="1:5" x14ac:dyDescent="0.25">
      <c r="A10460" s="1033"/>
      <c r="E10460" s="130"/>
    </row>
    <row r="10461" spans="1:5" x14ac:dyDescent="0.25">
      <c r="A10461" s="1033"/>
      <c r="E10461" s="130"/>
    </row>
    <row r="10462" spans="1:5" x14ac:dyDescent="0.25">
      <c r="A10462" s="1033"/>
      <c r="E10462" s="130"/>
    </row>
    <row r="10463" spans="1:5" x14ac:dyDescent="0.25">
      <c r="A10463" s="1033"/>
      <c r="E10463" s="130"/>
    </row>
    <row r="10464" spans="1:5" x14ac:dyDescent="0.25">
      <c r="A10464" s="1033"/>
      <c r="E10464" s="130"/>
    </row>
    <row r="10465" spans="1:5" x14ac:dyDescent="0.25">
      <c r="A10465" s="1033"/>
      <c r="E10465" s="130"/>
    </row>
    <row r="10466" spans="1:5" x14ac:dyDescent="0.25">
      <c r="A10466" s="1033"/>
      <c r="E10466" s="130"/>
    </row>
    <row r="10467" spans="1:5" x14ac:dyDescent="0.25">
      <c r="A10467" s="1033"/>
      <c r="E10467" s="130"/>
    </row>
    <row r="10468" spans="1:5" x14ac:dyDescent="0.25">
      <c r="A10468" s="1033"/>
      <c r="E10468" s="130"/>
    </row>
    <row r="10469" spans="1:5" x14ac:dyDescent="0.25">
      <c r="A10469" s="1033"/>
      <c r="E10469" s="130"/>
    </row>
    <row r="10470" spans="1:5" x14ac:dyDescent="0.25">
      <c r="A10470" s="1033"/>
      <c r="E10470" s="130"/>
    </row>
    <row r="10471" spans="1:5" x14ac:dyDescent="0.25">
      <c r="A10471" s="1033"/>
      <c r="E10471" s="130"/>
    </row>
    <row r="10472" spans="1:5" x14ac:dyDescent="0.25">
      <c r="A10472" s="1033"/>
      <c r="E10472" s="130"/>
    </row>
    <row r="10473" spans="1:5" x14ac:dyDescent="0.25">
      <c r="A10473" s="1033"/>
      <c r="E10473" s="130"/>
    </row>
    <row r="10474" spans="1:5" x14ac:dyDescent="0.25">
      <c r="A10474" s="1033"/>
      <c r="E10474" s="130"/>
    </row>
    <row r="10475" spans="1:5" x14ac:dyDescent="0.25">
      <c r="A10475" s="1033"/>
      <c r="E10475" s="130"/>
    </row>
    <row r="10476" spans="1:5" x14ac:dyDescent="0.25">
      <c r="A10476" s="1033"/>
      <c r="E10476" s="130"/>
    </row>
    <row r="10477" spans="1:5" x14ac:dyDescent="0.25">
      <c r="A10477" s="1033"/>
      <c r="E10477" s="130"/>
    </row>
    <row r="10478" spans="1:5" x14ac:dyDescent="0.25">
      <c r="A10478" s="1033"/>
      <c r="E10478" s="130"/>
    </row>
    <row r="10479" spans="1:5" x14ac:dyDescent="0.25">
      <c r="A10479" s="1033"/>
      <c r="E10479" s="130"/>
    </row>
    <row r="10480" spans="1:5" x14ac:dyDescent="0.25">
      <c r="A10480" s="1033"/>
      <c r="E10480" s="130"/>
    </row>
    <row r="10481" spans="1:5" x14ac:dyDescent="0.25">
      <c r="A10481" s="1033"/>
      <c r="E10481" s="130"/>
    </row>
    <row r="10482" spans="1:5" x14ac:dyDescent="0.25">
      <c r="A10482" s="1033"/>
      <c r="E10482" s="130"/>
    </row>
    <row r="10483" spans="1:5" x14ac:dyDescent="0.25">
      <c r="A10483" s="1033"/>
      <c r="E10483" s="130"/>
    </row>
    <row r="10484" spans="1:5" x14ac:dyDescent="0.25">
      <c r="A10484" s="1033"/>
      <c r="E10484" s="130"/>
    </row>
    <row r="10485" spans="1:5" x14ac:dyDescent="0.25">
      <c r="A10485" s="1033"/>
      <c r="E10485" s="130"/>
    </row>
    <row r="10486" spans="1:5" x14ac:dyDescent="0.25">
      <c r="A10486" s="1033"/>
      <c r="E10486" s="130"/>
    </row>
    <row r="10487" spans="1:5" x14ac:dyDescent="0.25">
      <c r="A10487" s="1033"/>
      <c r="E10487" s="130"/>
    </row>
    <row r="10488" spans="1:5" x14ac:dyDescent="0.25">
      <c r="A10488" s="1033"/>
      <c r="E10488" s="130"/>
    </row>
    <row r="10489" spans="1:5" x14ac:dyDescent="0.25">
      <c r="A10489" s="1033"/>
      <c r="E10489" s="130"/>
    </row>
    <row r="10490" spans="1:5" x14ac:dyDescent="0.25">
      <c r="A10490" s="1033"/>
      <c r="E10490" s="130"/>
    </row>
    <row r="10491" spans="1:5" x14ac:dyDescent="0.25">
      <c r="A10491" s="1033"/>
      <c r="E10491" s="130"/>
    </row>
    <row r="10492" spans="1:5" x14ac:dyDescent="0.25">
      <c r="A10492" s="1033"/>
      <c r="E10492" s="130"/>
    </row>
    <row r="10493" spans="1:5" x14ac:dyDescent="0.25">
      <c r="A10493" s="1033"/>
      <c r="E10493" s="130"/>
    </row>
    <row r="10494" spans="1:5" x14ac:dyDescent="0.25">
      <c r="A10494" s="1033"/>
      <c r="E10494" s="130"/>
    </row>
    <row r="10495" spans="1:5" x14ac:dyDescent="0.25">
      <c r="A10495" s="1033"/>
      <c r="E10495" s="130"/>
    </row>
    <row r="10496" spans="1:5" x14ac:dyDescent="0.25">
      <c r="A10496" s="1033"/>
      <c r="E10496" s="130"/>
    </row>
    <row r="10497" spans="1:5" x14ac:dyDescent="0.25">
      <c r="A10497" s="1033"/>
      <c r="E10497" s="130"/>
    </row>
    <row r="10498" spans="1:5" x14ac:dyDescent="0.25">
      <c r="A10498" s="1033"/>
      <c r="E10498" s="130"/>
    </row>
    <row r="10499" spans="1:5" x14ac:dyDescent="0.25">
      <c r="A10499" s="1033"/>
      <c r="E10499" s="130"/>
    </row>
    <row r="10500" spans="1:5" x14ac:dyDescent="0.25">
      <c r="A10500" s="1033"/>
      <c r="E10500" s="130"/>
    </row>
    <row r="10501" spans="1:5" x14ac:dyDescent="0.25">
      <c r="A10501" s="1033"/>
      <c r="E10501" s="130"/>
    </row>
    <row r="10502" spans="1:5" x14ac:dyDescent="0.25">
      <c r="A10502" s="1033"/>
      <c r="E10502" s="130"/>
    </row>
    <row r="10503" spans="1:5" x14ac:dyDescent="0.25">
      <c r="A10503" s="1033"/>
      <c r="E10503" s="130"/>
    </row>
    <row r="10504" spans="1:5" x14ac:dyDescent="0.25">
      <c r="A10504" s="1033"/>
      <c r="E10504" s="130"/>
    </row>
    <row r="10505" spans="1:5" x14ac:dyDescent="0.25">
      <c r="A10505" s="1033"/>
      <c r="E10505" s="130"/>
    </row>
    <row r="10506" spans="1:5" x14ac:dyDescent="0.25">
      <c r="A10506" s="1033"/>
      <c r="E10506" s="130"/>
    </row>
    <row r="10507" spans="1:5" x14ac:dyDescent="0.25">
      <c r="A10507" s="1033"/>
      <c r="E10507" s="130"/>
    </row>
    <row r="10508" spans="1:5" x14ac:dyDescent="0.25">
      <c r="A10508" s="1033"/>
      <c r="E10508" s="130"/>
    </row>
    <row r="10509" spans="1:5" x14ac:dyDescent="0.25">
      <c r="A10509" s="1033"/>
      <c r="E10509" s="130"/>
    </row>
    <row r="10510" spans="1:5" x14ac:dyDescent="0.25">
      <c r="A10510" s="1033"/>
      <c r="E10510" s="130"/>
    </row>
    <row r="10511" spans="1:5" x14ac:dyDescent="0.25">
      <c r="A10511" s="1033"/>
      <c r="E10511" s="130"/>
    </row>
    <row r="10512" spans="1:5" x14ac:dyDescent="0.25">
      <c r="A10512" s="1033"/>
      <c r="E10512" s="130"/>
    </row>
    <row r="10513" spans="1:5" x14ac:dyDescent="0.25">
      <c r="A10513" s="1033"/>
      <c r="E10513" s="130"/>
    </row>
    <row r="10514" spans="1:5" x14ac:dyDescent="0.25">
      <c r="A10514" s="1033"/>
      <c r="E10514" s="130"/>
    </row>
    <row r="10515" spans="1:5" x14ac:dyDescent="0.25">
      <c r="A10515" s="1033"/>
      <c r="E10515" s="130"/>
    </row>
    <row r="10516" spans="1:5" x14ac:dyDescent="0.25">
      <c r="A10516" s="1033"/>
      <c r="E10516" s="130"/>
    </row>
    <row r="10517" spans="1:5" x14ac:dyDescent="0.25">
      <c r="A10517" s="1033"/>
      <c r="E10517" s="130"/>
    </row>
    <row r="10518" spans="1:5" x14ac:dyDescent="0.25">
      <c r="A10518" s="1033"/>
      <c r="E10518" s="130"/>
    </row>
    <row r="10519" spans="1:5" x14ac:dyDescent="0.25">
      <c r="A10519" s="1033"/>
      <c r="E10519" s="130"/>
    </row>
    <row r="10520" spans="1:5" x14ac:dyDescent="0.25">
      <c r="A10520" s="1033"/>
      <c r="E10520" s="130"/>
    </row>
    <row r="10521" spans="1:5" x14ac:dyDescent="0.25">
      <c r="A10521" s="1033"/>
      <c r="E10521" s="130"/>
    </row>
    <row r="10522" spans="1:5" x14ac:dyDescent="0.25">
      <c r="A10522" s="1033"/>
      <c r="E10522" s="130"/>
    </row>
    <row r="10523" spans="1:5" x14ac:dyDescent="0.25">
      <c r="A10523" s="1033"/>
      <c r="E10523" s="130"/>
    </row>
    <row r="10524" spans="1:5" x14ac:dyDescent="0.25">
      <c r="A10524" s="1033"/>
      <c r="E10524" s="130"/>
    </row>
    <row r="10525" spans="1:5" x14ac:dyDescent="0.25">
      <c r="A10525" s="1033"/>
      <c r="E10525" s="130"/>
    </row>
    <row r="10526" spans="1:5" x14ac:dyDescent="0.25">
      <c r="A10526" s="1033"/>
      <c r="E10526" s="130"/>
    </row>
    <row r="10527" spans="1:5" x14ac:dyDescent="0.25">
      <c r="A10527" s="1033"/>
      <c r="E10527" s="130"/>
    </row>
    <row r="10528" spans="1:5" x14ac:dyDescent="0.25">
      <c r="A10528" s="1033"/>
      <c r="E10528" s="130"/>
    </row>
    <row r="10529" spans="1:5" x14ac:dyDescent="0.25">
      <c r="A10529" s="1033"/>
      <c r="E10529" s="130"/>
    </row>
    <row r="10530" spans="1:5" x14ac:dyDescent="0.25">
      <c r="A10530" s="1033"/>
      <c r="E10530" s="130"/>
    </row>
    <row r="10531" spans="1:5" x14ac:dyDescent="0.25">
      <c r="A10531" s="1033"/>
      <c r="E10531" s="130"/>
    </row>
    <row r="10532" spans="1:5" x14ac:dyDescent="0.25">
      <c r="A10532" s="1033"/>
      <c r="E10532" s="130"/>
    </row>
    <row r="10533" spans="1:5" x14ac:dyDescent="0.25">
      <c r="A10533" s="1033"/>
      <c r="E10533" s="130"/>
    </row>
    <row r="10534" spans="1:5" x14ac:dyDescent="0.25">
      <c r="A10534" s="1033"/>
      <c r="E10534" s="130"/>
    </row>
    <row r="10535" spans="1:5" x14ac:dyDescent="0.25">
      <c r="A10535" s="1033"/>
      <c r="E10535" s="130"/>
    </row>
    <row r="10536" spans="1:5" x14ac:dyDescent="0.25">
      <c r="A10536" s="1033"/>
      <c r="E10536" s="130"/>
    </row>
    <row r="10537" spans="1:5" x14ac:dyDescent="0.25">
      <c r="A10537" s="1033"/>
      <c r="E10537" s="130"/>
    </row>
    <row r="10538" spans="1:5" x14ac:dyDescent="0.25">
      <c r="A10538" s="1033"/>
      <c r="E10538" s="130"/>
    </row>
    <row r="10539" spans="1:5" x14ac:dyDescent="0.25">
      <c r="A10539" s="1033"/>
      <c r="E10539" s="130"/>
    </row>
    <row r="10540" spans="1:5" x14ac:dyDescent="0.25">
      <c r="A10540" s="1033"/>
      <c r="E10540" s="130"/>
    </row>
    <row r="10541" spans="1:5" x14ac:dyDescent="0.25">
      <c r="A10541" s="1033"/>
      <c r="E10541" s="130"/>
    </row>
    <row r="10542" spans="1:5" x14ac:dyDescent="0.25">
      <c r="A10542" s="1033"/>
      <c r="E10542" s="130"/>
    </row>
    <row r="10543" spans="1:5" x14ac:dyDescent="0.25">
      <c r="A10543" s="1033"/>
      <c r="E10543" s="130"/>
    </row>
    <row r="10544" spans="1:5" x14ac:dyDescent="0.25">
      <c r="A10544" s="1033"/>
      <c r="E10544" s="130"/>
    </row>
    <row r="10545" spans="1:5" x14ac:dyDescent="0.25">
      <c r="A10545" s="1033"/>
      <c r="E10545" s="130"/>
    </row>
    <row r="10546" spans="1:5" x14ac:dyDescent="0.25">
      <c r="A10546" s="1033"/>
      <c r="E10546" s="130"/>
    </row>
    <row r="10547" spans="1:5" x14ac:dyDescent="0.25">
      <c r="A10547" s="1033"/>
      <c r="E10547" s="130"/>
    </row>
    <row r="10548" spans="1:5" x14ac:dyDescent="0.25">
      <c r="A10548" s="1033"/>
      <c r="E10548" s="130"/>
    </row>
    <row r="10549" spans="1:5" x14ac:dyDescent="0.25">
      <c r="A10549" s="1033"/>
      <c r="E10549" s="130"/>
    </row>
    <row r="10550" spans="1:5" x14ac:dyDescent="0.25">
      <c r="A10550" s="1033"/>
      <c r="E10550" s="130"/>
    </row>
    <row r="10551" spans="1:5" x14ac:dyDescent="0.25">
      <c r="A10551" s="1033"/>
      <c r="E10551" s="130"/>
    </row>
    <row r="10552" spans="1:5" x14ac:dyDescent="0.25">
      <c r="A10552" s="1033"/>
      <c r="E10552" s="130"/>
    </row>
    <row r="10553" spans="1:5" x14ac:dyDescent="0.25">
      <c r="A10553" s="1033"/>
      <c r="E10553" s="130"/>
    </row>
    <row r="10554" spans="1:5" x14ac:dyDescent="0.25">
      <c r="A10554" s="1033"/>
      <c r="E10554" s="130"/>
    </row>
    <row r="10555" spans="1:5" x14ac:dyDescent="0.25">
      <c r="A10555" s="1033"/>
      <c r="E10555" s="130"/>
    </row>
    <row r="10556" spans="1:5" x14ac:dyDescent="0.25">
      <c r="A10556" s="1033"/>
      <c r="E10556" s="130"/>
    </row>
    <row r="10557" spans="1:5" x14ac:dyDescent="0.25">
      <c r="A10557" s="1033"/>
      <c r="E10557" s="130"/>
    </row>
    <row r="10558" spans="1:5" x14ac:dyDescent="0.25">
      <c r="A10558" s="1033"/>
      <c r="E10558" s="130"/>
    </row>
    <row r="10559" spans="1:5" x14ac:dyDescent="0.25">
      <c r="A10559" s="1033"/>
      <c r="E10559" s="130"/>
    </row>
    <row r="10560" spans="1:5" x14ac:dyDescent="0.25">
      <c r="A10560" s="1033"/>
      <c r="E10560" s="130"/>
    </row>
    <row r="10561" spans="1:5" x14ac:dyDescent="0.25">
      <c r="A10561" s="1033"/>
      <c r="E10561" s="130"/>
    </row>
    <row r="10562" spans="1:5" x14ac:dyDescent="0.25">
      <c r="A10562" s="1033"/>
      <c r="E10562" s="130"/>
    </row>
    <row r="10563" spans="1:5" x14ac:dyDescent="0.25">
      <c r="A10563" s="1033"/>
      <c r="E10563" s="130"/>
    </row>
    <row r="10564" spans="1:5" x14ac:dyDescent="0.25">
      <c r="A10564" s="1033"/>
      <c r="E10564" s="130"/>
    </row>
    <row r="10565" spans="1:5" x14ac:dyDescent="0.25">
      <c r="A10565" s="1033"/>
      <c r="E10565" s="130"/>
    </row>
    <row r="10566" spans="1:5" x14ac:dyDescent="0.25">
      <c r="A10566" s="1033"/>
      <c r="E10566" s="130"/>
    </row>
    <row r="10567" spans="1:5" x14ac:dyDescent="0.25">
      <c r="A10567" s="1033"/>
      <c r="E10567" s="130"/>
    </row>
    <row r="10568" spans="1:5" x14ac:dyDescent="0.25">
      <c r="A10568" s="1033"/>
      <c r="E10568" s="130"/>
    </row>
    <row r="10569" spans="1:5" x14ac:dyDescent="0.25">
      <c r="A10569" s="1033"/>
      <c r="E10569" s="130"/>
    </row>
    <row r="10570" spans="1:5" x14ac:dyDescent="0.25">
      <c r="A10570" s="1033"/>
      <c r="E10570" s="130"/>
    </row>
    <row r="10571" spans="1:5" x14ac:dyDescent="0.25">
      <c r="A10571" s="1033"/>
      <c r="E10571" s="130"/>
    </row>
    <row r="10572" spans="1:5" x14ac:dyDescent="0.25">
      <c r="A10572" s="1033"/>
      <c r="E10572" s="130"/>
    </row>
    <row r="10573" spans="1:5" x14ac:dyDescent="0.25">
      <c r="A10573" s="1033"/>
      <c r="E10573" s="130"/>
    </row>
    <row r="10574" spans="1:5" x14ac:dyDescent="0.25">
      <c r="A10574" s="1033"/>
      <c r="E10574" s="130"/>
    </row>
    <row r="10575" spans="1:5" x14ac:dyDescent="0.25">
      <c r="A10575" s="1033"/>
      <c r="E10575" s="130"/>
    </row>
    <row r="10576" spans="1:5" x14ac:dyDescent="0.25">
      <c r="A10576" s="1033"/>
      <c r="E10576" s="130"/>
    </row>
    <row r="10577" spans="1:5" x14ac:dyDescent="0.25">
      <c r="A10577" s="1033"/>
      <c r="E10577" s="130"/>
    </row>
    <row r="10578" spans="1:5" x14ac:dyDescent="0.25">
      <c r="A10578" s="1033"/>
      <c r="E10578" s="130"/>
    </row>
    <row r="10579" spans="1:5" x14ac:dyDescent="0.25">
      <c r="A10579" s="1033"/>
      <c r="E10579" s="130"/>
    </row>
    <row r="10580" spans="1:5" x14ac:dyDescent="0.25">
      <c r="A10580" s="1033"/>
      <c r="E10580" s="130"/>
    </row>
    <row r="10581" spans="1:5" x14ac:dyDescent="0.25">
      <c r="A10581" s="1033"/>
      <c r="E10581" s="130"/>
    </row>
    <row r="10582" spans="1:5" x14ac:dyDescent="0.25">
      <c r="A10582" s="1033"/>
      <c r="E10582" s="130"/>
    </row>
    <row r="10583" spans="1:5" x14ac:dyDescent="0.25">
      <c r="A10583" s="1033"/>
      <c r="E10583" s="130"/>
    </row>
    <row r="10584" spans="1:5" x14ac:dyDescent="0.25">
      <c r="A10584" s="1033"/>
      <c r="E10584" s="130"/>
    </row>
    <row r="10585" spans="1:5" x14ac:dyDescent="0.25">
      <c r="A10585" s="1033"/>
      <c r="E10585" s="130"/>
    </row>
    <row r="10586" spans="1:5" x14ac:dyDescent="0.25">
      <c r="A10586" s="1033"/>
      <c r="E10586" s="130"/>
    </row>
    <row r="10587" spans="1:5" x14ac:dyDescent="0.25">
      <c r="A10587" s="1033"/>
      <c r="E10587" s="130"/>
    </row>
    <row r="10588" spans="1:5" x14ac:dyDescent="0.25">
      <c r="A10588" s="1033"/>
      <c r="E10588" s="130"/>
    </row>
    <row r="10589" spans="1:5" x14ac:dyDescent="0.25">
      <c r="A10589" s="1033"/>
      <c r="E10589" s="130"/>
    </row>
    <row r="10590" spans="1:5" x14ac:dyDescent="0.25">
      <c r="A10590" s="1033"/>
      <c r="E10590" s="130"/>
    </row>
    <row r="10591" spans="1:5" x14ac:dyDescent="0.25">
      <c r="A10591" s="1033"/>
      <c r="E10591" s="130"/>
    </row>
    <row r="10592" spans="1:5" x14ac:dyDescent="0.25">
      <c r="A10592" s="1033"/>
      <c r="E10592" s="130"/>
    </row>
    <row r="10593" spans="1:5" x14ac:dyDescent="0.25">
      <c r="A10593" s="1033"/>
      <c r="E10593" s="130"/>
    </row>
    <row r="10594" spans="1:5" x14ac:dyDescent="0.25">
      <c r="A10594" s="1033"/>
      <c r="E10594" s="130"/>
    </row>
    <row r="10595" spans="1:5" x14ac:dyDescent="0.25">
      <c r="A10595" s="1033"/>
      <c r="E10595" s="130"/>
    </row>
    <row r="10596" spans="1:5" x14ac:dyDescent="0.25">
      <c r="A10596" s="1033"/>
      <c r="E10596" s="130"/>
    </row>
    <row r="10597" spans="1:5" x14ac:dyDescent="0.25">
      <c r="A10597" s="1033"/>
      <c r="E10597" s="130"/>
    </row>
    <row r="10598" spans="1:5" x14ac:dyDescent="0.25">
      <c r="A10598" s="1033"/>
      <c r="E10598" s="130"/>
    </row>
    <row r="10599" spans="1:5" x14ac:dyDescent="0.25">
      <c r="A10599" s="1033"/>
      <c r="E10599" s="130"/>
    </row>
    <row r="10600" spans="1:5" x14ac:dyDescent="0.25">
      <c r="A10600" s="1033"/>
      <c r="E10600" s="130"/>
    </row>
    <row r="10601" spans="1:5" x14ac:dyDescent="0.25">
      <c r="A10601" s="1033"/>
      <c r="E10601" s="130"/>
    </row>
    <row r="10602" spans="1:5" x14ac:dyDescent="0.25">
      <c r="A10602" s="1033"/>
      <c r="E10602" s="130"/>
    </row>
    <row r="10603" spans="1:5" x14ac:dyDescent="0.25">
      <c r="A10603" s="1033"/>
      <c r="E10603" s="130"/>
    </row>
    <row r="10604" spans="1:5" x14ac:dyDescent="0.25">
      <c r="A10604" s="1033"/>
      <c r="E10604" s="130"/>
    </row>
    <row r="10605" spans="1:5" x14ac:dyDescent="0.25">
      <c r="A10605" s="1033"/>
      <c r="E10605" s="130"/>
    </row>
    <row r="10606" spans="1:5" x14ac:dyDescent="0.25">
      <c r="A10606" s="1033"/>
      <c r="E10606" s="130"/>
    </row>
    <row r="10607" spans="1:5" x14ac:dyDescent="0.25">
      <c r="A10607" s="1033"/>
      <c r="E10607" s="130"/>
    </row>
    <row r="10608" spans="1:5" x14ac:dyDescent="0.25">
      <c r="A10608" s="1033"/>
      <c r="E10608" s="130"/>
    </row>
    <row r="10609" spans="1:5" x14ac:dyDescent="0.25">
      <c r="A10609" s="1033"/>
      <c r="E10609" s="130"/>
    </row>
    <row r="10610" spans="1:5" x14ac:dyDescent="0.25">
      <c r="A10610" s="1033"/>
      <c r="E10610" s="130"/>
    </row>
    <row r="10611" spans="1:5" x14ac:dyDescent="0.25">
      <c r="A10611" s="1033"/>
      <c r="E10611" s="130"/>
    </row>
    <row r="10612" spans="1:5" x14ac:dyDescent="0.25">
      <c r="A10612" s="1033"/>
      <c r="E10612" s="130"/>
    </row>
    <row r="10613" spans="1:5" x14ac:dyDescent="0.25">
      <c r="A10613" s="1033"/>
      <c r="E10613" s="130"/>
    </row>
    <row r="10614" spans="1:5" x14ac:dyDescent="0.25">
      <c r="A10614" s="1033"/>
      <c r="E10614" s="130"/>
    </row>
    <row r="10615" spans="1:5" x14ac:dyDescent="0.25">
      <c r="A10615" s="1033"/>
      <c r="E10615" s="130"/>
    </row>
    <row r="10616" spans="1:5" x14ac:dyDescent="0.25">
      <c r="A10616" s="1033"/>
      <c r="E10616" s="130"/>
    </row>
    <row r="10617" spans="1:5" x14ac:dyDescent="0.25">
      <c r="A10617" s="1033"/>
      <c r="E10617" s="130"/>
    </row>
    <row r="10618" spans="1:5" x14ac:dyDescent="0.25">
      <c r="A10618" s="1033"/>
      <c r="E10618" s="130"/>
    </row>
    <row r="10619" spans="1:5" x14ac:dyDescent="0.25">
      <c r="A10619" s="1033"/>
      <c r="E10619" s="130"/>
    </row>
    <row r="10620" spans="1:5" x14ac:dyDescent="0.25">
      <c r="A10620" s="1033"/>
      <c r="E10620" s="130"/>
    </row>
    <row r="10621" spans="1:5" x14ac:dyDescent="0.25">
      <c r="A10621" s="1033"/>
      <c r="E10621" s="130"/>
    </row>
    <row r="10622" spans="1:5" x14ac:dyDescent="0.25">
      <c r="A10622" s="1033"/>
      <c r="E10622" s="130"/>
    </row>
    <row r="10623" spans="1:5" x14ac:dyDescent="0.25">
      <c r="A10623" s="1033"/>
      <c r="E10623" s="130"/>
    </row>
    <row r="10624" spans="1:5" x14ac:dyDescent="0.25">
      <c r="A10624" s="1033"/>
      <c r="E10624" s="130"/>
    </row>
    <row r="10625" spans="1:5" x14ac:dyDescent="0.25">
      <c r="A10625" s="1033"/>
      <c r="E10625" s="130"/>
    </row>
    <row r="10626" spans="1:5" x14ac:dyDescent="0.25">
      <c r="A10626" s="1033"/>
      <c r="E10626" s="130"/>
    </row>
    <row r="10627" spans="1:5" x14ac:dyDescent="0.25">
      <c r="A10627" s="1033"/>
      <c r="E10627" s="130"/>
    </row>
    <row r="10628" spans="1:5" x14ac:dyDescent="0.25">
      <c r="A10628" s="1033"/>
      <c r="E10628" s="130"/>
    </row>
    <row r="10629" spans="1:5" x14ac:dyDescent="0.25">
      <c r="A10629" s="1033"/>
      <c r="E10629" s="130"/>
    </row>
    <row r="10630" spans="1:5" x14ac:dyDescent="0.25">
      <c r="A10630" s="1033"/>
      <c r="E10630" s="130"/>
    </row>
    <row r="10631" spans="1:5" x14ac:dyDescent="0.25">
      <c r="A10631" s="1033"/>
      <c r="E10631" s="130"/>
    </row>
    <row r="10632" spans="1:5" x14ac:dyDescent="0.25">
      <c r="A10632" s="1033"/>
      <c r="E10632" s="130"/>
    </row>
    <row r="10633" spans="1:5" x14ac:dyDescent="0.25">
      <c r="A10633" s="1033"/>
      <c r="E10633" s="130"/>
    </row>
    <row r="10634" spans="1:5" x14ac:dyDescent="0.25">
      <c r="A10634" s="1033"/>
      <c r="E10634" s="130"/>
    </row>
    <row r="10635" spans="1:5" x14ac:dyDescent="0.25">
      <c r="A10635" s="1033"/>
      <c r="E10635" s="130"/>
    </row>
    <row r="10636" spans="1:5" x14ac:dyDescent="0.25">
      <c r="A10636" s="1033"/>
      <c r="E10636" s="130"/>
    </row>
    <row r="10637" spans="1:5" x14ac:dyDescent="0.25">
      <c r="A10637" s="1033"/>
      <c r="E10637" s="130"/>
    </row>
    <row r="10638" spans="1:5" x14ac:dyDescent="0.25">
      <c r="A10638" s="1033"/>
      <c r="E10638" s="130"/>
    </row>
    <row r="10639" spans="1:5" x14ac:dyDescent="0.25">
      <c r="A10639" s="1033"/>
      <c r="E10639" s="130"/>
    </row>
    <row r="10640" spans="1:5" x14ac:dyDescent="0.25">
      <c r="A10640" s="1033"/>
      <c r="E10640" s="130"/>
    </row>
    <row r="10641" spans="1:5" x14ac:dyDescent="0.25">
      <c r="A10641" s="1033"/>
      <c r="E10641" s="130"/>
    </row>
    <row r="10642" spans="1:5" x14ac:dyDescent="0.25">
      <c r="A10642" s="1033"/>
      <c r="E10642" s="130"/>
    </row>
    <row r="10643" spans="1:5" x14ac:dyDescent="0.25">
      <c r="A10643" s="1033"/>
      <c r="E10643" s="130"/>
    </row>
    <row r="10644" spans="1:5" x14ac:dyDescent="0.25">
      <c r="A10644" s="1033"/>
      <c r="E10644" s="130"/>
    </row>
    <row r="10645" spans="1:5" x14ac:dyDescent="0.25">
      <c r="A10645" s="1033"/>
      <c r="E10645" s="130"/>
    </row>
    <row r="10646" spans="1:5" x14ac:dyDescent="0.25">
      <c r="A10646" s="1033"/>
      <c r="E10646" s="130"/>
    </row>
    <row r="10647" spans="1:5" x14ac:dyDescent="0.25">
      <c r="A10647" s="1033"/>
      <c r="E10647" s="130"/>
    </row>
    <row r="10648" spans="1:5" x14ac:dyDescent="0.25">
      <c r="A10648" s="1033"/>
      <c r="E10648" s="130"/>
    </row>
    <row r="10649" spans="1:5" x14ac:dyDescent="0.25">
      <c r="A10649" s="1033"/>
      <c r="E10649" s="130"/>
    </row>
    <row r="10650" spans="1:5" x14ac:dyDescent="0.25">
      <c r="A10650" s="1033"/>
      <c r="E10650" s="130"/>
    </row>
    <row r="10651" spans="1:5" x14ac:dyDescent="0.25">
      <c r="A10651" s="1033"/>
      <c r="E10651" s="130"/>
    </row>
    <row r="10652" spans="1:5" x14ac:dyDescent="0.25">
      <c r="A10652" s="1033"/>
      <c r="E10652" s="130"/>
    </row>
    <row r="10653" spans="1:5" x14ac:dyDescent="0.25">
      <c r="A10653" s="1033"/>
      <c r="E10653" s="130"/>
    </row>
    <row r="10654" spans="1:5" x14ac:dyDescent="0.25">
      <c r="A10654" s="1033"/>
      <c r="E10654" s="130"/>
    </row>
    <row r="10655" spans="1:5" x14ac:dyDescent="0.25">
      <c r="A10655" s="1033"/>
      <c r="E10655" s="130"/>
    </row>
    <row r="10656" spans="1:5" x14ac:dyDescent="0.25">
      <c r="A10656" s="1033"/>
      <c r="E10656" s="130"/>
    </row>
    <row r="10657" spans="1:5" x14ac:dyDescent="0.25">
      <c r="A10657" s="1033"/>
      <c r="E10657" s="130"/>
    </row>
    <row r="10658" spans="1:5" x14ac:dyDescent="0.25">
      <c r="A10658" s="1033"/>
      <c r="E10658" s="130"/>
    </row>
    <row r="10659" spans="1:5" x14ac:dyDescent="0.25">
      <c r="A10659" s="1033"/>
      <c r="E10659" s="130"/>
    </row>
    <row r="10660" spans="1:5" x14ac:dyDescent="0.25">
      <c r="A10660" s="1033"/>
      <c r="E10660" s="130"/>
    </row>
    <row r="10661" spans="1:5" x14ac:dyDescent="0.25">
      <c r="A10661" s="1033"/>
      <c r="E10661" s="130"/>
    </row>
    <row r="10662" spans="1:5" x14ac:dyDescent="0.25">
      <c r="A10662" s="1033"/>
      <c r="E10662" s="130"/>
    </row>
    <row r="10663" spans="1:5" x14ac:dyDescent="0.25">
      <c r="A10663" s="1033"/>
      <c r="E10663" s="130"/>
    </row>
    <row r="10664" spans="1:5" x14ac:dyDescent="0.25">
      <c r="A10664" s="1033"/>
      <c r="E10664" s="130"/>
    </row>
    <row r="10665" spans="1:5" x14ac:dyDescent="0.25">
      <c r="A10665" s="1033"/>
      <c r="E10665" s="130"/>
    </row>
    <row r="10666" spans="1:5" x14ac:dyDescent="0.25">
      <c r="A10666" s="1033"/>
      <c r="E10666" s="130"/>
    </row>
    <row r="10667" spans="1:5" x14ac:dyDescent="0.25">
      <c r="A10667" s="1033"/>
      <c r="E10667" s="130"/>
    </row>
    <row r="10668" spans="1:5" x14ac:dyDescent="0.25">
      <c r="A10668" s="1033"/>
      <c r="E10668" s="130"/>
    </row>
    <row r="10669" spans="1:5" x14ac:dyDescent="0.25">
      <c r="A10669" s="1033"/>
      <c r="E10669" s="130"/>
    </row>
    <row r="10670" spans="1:5" x14ac:dyDescent="0.25">
      <c r="A10670" s="1033"/>
      <c r="E10670" s="130"/>
    </row>
    <row r="10671" spans="1:5" x14ac:dyDescent="0.25">
      <c r="A10671" s="1033"/>
      <c r="E10671" s="130"/>
    </row>
    <row r="10672" spans="1:5" x14ac:dyDescent="0.25">
      <c r="A10672" s="1033"/>
      <c r="E10672" s="130"/>
    </row>
    <row r="10673" spans="1:5" x14ac:dyDescent="0.25">
      <c r="A10673" s="1033"/>
      <c r="E10673" s="130"/>
    </row>
    <row r="10674" spans="1:5" x14ac:dyDescent="0.25">
      <c r="A10674" s="1033"/>
      <c r="E10674" s="130"/>
    </row>
    <row r="10675" spans="1:5" x14ac:dyDescent="0.25">
      <c r="A10675" s="1033"/>
      <c r="E10675" s="130"/>
    </row>
    <row r="10676" spans="1:5" x14ac:dyDescent="0.25">
      <c r="A10676" s="1033"/>
      <c r="E10676" s="130"/>
    </row>
    <row r="10677" spans="1:5" x14ac:dyDescent="0.25">
      <c r="A10677" s="1033"/>
      <c r="E10677" s="130"/>
    </row>
    <row r="10678" spans="1:5" x14ac:dyDescent="0.25">
      <c r="A10678" s="1033"/>
      <c r="E10678" s="130"/>
    </row>
    <row r="10679" spans="1:5" x14ac:dyDescent="0.25">
      <c r="A10679" s="1033"/>
      <c r="E10679" s="130"/>
    </row>
    <row r="10680" spans="1:5" x14ac:dyDescent="0.25">
      <c r="A10680" s="1033"/>
      <c r="E10680" s="130"/>
    </row>
    <row r="10681" spans="1:5" x14ac:dyDescent="0.25">
      <c r="A10681" s="1033"/>
      <c r="E10681" s="130"/>
    </row>
    <row r="10682" spans="1:5" x14ac:dyDescent="0.25">
      <c r="A10682" s="1033"/>
      <c r="E10682" s="130"/>
    </row>
    <row r="10683" spans="1:5" x14ac:dyDescent="0.25">
      <c r="A10683" s="1033"/>
      <c r="E10683" s="130"/>
    </row>
    <row r="10684" spans="1:5" x14ac:dyDescent="0.25">
      <c r="A10684" s="1033"/>
      <c r="E10684" s="130"/>
    </row>
    <row r="10685" spans="1:5" x14ac:dyDescent="0.25">
      <c r="A10685" s="1033"/>
      <c r="E10685" s="130"/>
    </row>
    <row r="10686" spans="1:5" x14ac:dyDescent="0.25">
      <c r="A10686" s="1033"/>
      <c r="E10686" s="130"/>
    </row>
    <row r="10687" spans="1:5" x14ac:dyDescent="0.25">
      <c r="A10687" s="1033"/>
      <c r="E10687" s="130"/>
    </row>
    <row r="10688" spans="1:5" x14ac:dyDescent="0.25">
      <c r="A10688" s="1033"/>
      <c r="E10688" s="130"/>
    </row>
    <row r="10689" spans="1:5" x14ac:dyDescent="0.25">
      <c r="A10689" s="1033"/>
      <c r="E10689" s="130"/>
    </row>
    <row r="10690" spans="1:5" x14ac:dyDescent="0.25">
      <c r="A10690" s="1033"/>
      <c r="E10690" s="130"/>
    </row>
    <row r="10691" spans="1:5" x14ac:dyDescent="0.25">
      <c r="A10691" s="1033"/>
      <c r="E10691" s="130"/>
    </row>
    <row r="10692" spans="1:5" x14ac:dyDescent="0.25">
      <c r="A10692" s="1033"/>
      <c r="E10692" s="130"/>
    </row>
    <row r="10693" spans="1:5" x14ac:dyDescent="0.25">
      <c r="A10693" s="1033"/>
      <c r="E10693" s="130"/>
    </row>
    <row r="10694" spans="1:5" x14ac:dyDescent="0.25">
      <c r="A10694" s="1033"/>
      <c r="E10694" s="130"/>
    </row>
    <row r="10695" spans="1:5" x14ac:dyDescent="0.25">
      <c r="A10695" s="1033"/>
      <c r="E10695" s="130"/>
    </row>
    <row r="10696" spans="1:5" x14ac:dyDescent="0.25">
      <c r="A10696" s="1033"/>
      <c r="E10696" s="130"/>
    </row>
    <row r="10697" spans="1:5" x14ac:dyDescent="0.25">
      <c r="A10697" s="1033"/>
      <c r="E10697" s="130"/>
    </row>
    <row r="10698" spans="1:5" x14ac:dyDescent="0.25">
      <c r="A10698" s="1033"/>
      <c r="E10698" s="130"/>
    </row>
    <row r="10699" spans="1:5" x14ac:dyDescent="0.25">
      <c r="A10699" s="1033"/>
      <c r="E10699" s="130"/>
    </row>
    <row r="10700" spans="1:5" x14ac:dyDescent="0.25">
      <c r="A10700" s="1033"/>
      <c r="E10700" s="130"/>
    </row>
    <row r="10701" spans="1:5" x14ac:dyDescent="0.25">
      <c r="A10701" s="1033"/>
      <c r="E10701" s="130"/>
    </row>
    <row r="10702" spans="1:5" x14ac:dyDescent="0.25">
      <c r="A10702" s="1033"/>
      <c r="E10702" s="130"/>
    </row>
    <row r="10703" spans="1:5" x14ac:dyDescent="0.25">
      <c r="A10703" s="1033"/>
      <c r="E10703" s="130"/>
    </row>
    <row r="10704" spans="1:5" x14ac:dyDescent="0.25">
      <c r="A10704" s="1033"/>
      <c r="E10704" s="130"/>
    </row>
    <row r="10705" spans="1:5" x14ac:dyDescent="0.25">
      <c r="A10705" s="1033"/>
      <c r="E10705" s="130"/>
    </row>
    <row r="10706" spans="1:5" x14ac:dyDescent="0.25">
      <c r="A10706" s="1033"/>
      <c r="E10706" s="130"/>
    </row>
    <row r="10707" spans="1:5" x14ac:dyDescent="0.25">
      <c r="A10707" s="1033"/>
      <c r="E10707" s="130"/>
    </row>
    <row r="10708" spans="1:5" x14ac:dyDescent="0.25">
      <c r="A10708" s="1033"/>
      <c r="E10708" s="130"/>
    </row>
    <row r="10709" spans="1:5" x14ac:dyDescent="0.25">
      <c r="A10709" s="1033"/>
      <c r="E10709" s="130"/>
    </row>
    <row r="10710" spans="1:5" x14ac:dyDescent="0.25">
      <c r="A10710" s="1033"/>
      <c r="E10710" s="130"/>
    </row>
    <row r="10711" spans="1:5" x14ac:dyDescent="0.25">
      <c r="A10711" s="1033"/>
      <c r="E10711" s="130"/>
    </row>
    <row r="10712" spans="1:5" x14ac:dyDescent="0.25">
      <c r="A10712" s="1033"/>
      <c r="E10712" s="130"/>
    </row>
    <row r="10713" spans="1:5" x14ac:dyDescent="0.25">
      <c r="A10713" s="1033"/>
      <c r="E10713" s="130"/>
    </row>
    <row r="10714" spans="1:5" x14ac:dyDescent="0.25">
      <c r="A10714" s="1033"/>
      <c r="E10714" s="130"/>
    </row>
    <row r="10715" spans="1:5" x14ac:dyDescent="0.25">
      <c r="A10715" s="1033"/>
      <c r="E10715" s="130"/>
    </row>
    <row r="10716" spans="1:5" x14ac:dyDescent="0.25">
      <c r="A10716" s="1033"/>
      <c r="E10716" s="130"/>
    </row>
    <row r="10717" spans="1:5" x14ac:dyDescent="0.25">
      <c r="A10717" s="1033"/>
      <c r="E10717" s="130"/>
    </row>
    <row r="10718" spans="1:5" x14ac:dyDescent="0.25">
      <c r="A10718" s="1033"/>
      <c r="E10718" s="130"/>
    </row>
    <row r="10719" spans="1:5" x14ac:dyDescent="0.25">
      <c r="A10719" s="1033"/>
      <c r="E10719" s="130"/>
    </row>
    <row r="10720" spans="1:5" x14ac:dyDescent="0.25">
      <c r="A10720" s="1033"/>
      <c r="E10720" s="130"/>
    </row>
    <row r="10721" spans="1:5" x14ac:dyDescent="0.25">
      <c r="A10721" s="1033"/>
      <c r="E10721" s="130"/>
    </row>
    <row r="10722" spans="1:5" x14ac:dyDescent="0.25">
      <c r="A10722" s="1033"/>
      <c r="E10722" s="130"/>
    </row>
    <row r="10723" spans="1:5" x14ac:dyDescent="0.25">
      <c r="A10723" s="1033"/>
      <c r="E10723" s="130"/>
    </row>
    <row r="10724" spans="1:5" x14ac:dyDescent="0.25">
      <c r="A10724" s="1033"/>
      <c r="E10724" s="130"/>
    </row>
    <row r="10725" spans="1:5" x14ac:dyDescent="0.25">
      <c r="A10725" s="1033"/>
      <c r="E10725" s="130"/>
    </row>
    <row r="10726" spans="1:5" x14ac:dyDescent="0.25">
      <c r="A10726" s="1033"/>
      <c r="E10726" s="130"/>
    </row>
    <row r="10727" spans="1:5" x14ac:dyDescent="0.25">
      <c r="A10727" s="1033"/>
      <c r="E10727" s="130"/>
    </row>
    <row r="10728" spans="1:5" x14ac:dyDescent="0.25">
      <c r="A10728" s="1033"/>
      <c r="E10728" s="130"/>
    </row>
    <row r="10729" spans="1:5" x14ac:dyDescent="0.25">
      <c r="A10729" s="1033"/>
      <c r="E10729" s="130"/>
    </row>
    <row r="10730" spans="1:5" x14ac:dyDescent="0.25">
      <c r="A10730" s="1033"/>
      <c r="E10730" s="130"/>
    </row>
    <row r="10731" spans="1:5" x14ac:dyDescent="0.25">
      <c r="A10731" s="1033"/>
      <c r="E10731" s="130"/>
    </row>
    <row r="10732" spans="1:5" x14ac:dyDescent="0.25">
      <c r="A10732" s="1033"/>
      <c r="E10732" s="130"/>
    </row>
    <row r="10733" spans="1:5" x14ac:dyDescent="0.25">
      <c r="A10733" s="1033"/>
      <c r="E10733" s="130"/>
    </row>
    <row r="10734" spans="1:5" x14ac:dyDescent="0.25">
      <c r="A10734" s="1033"/>
      <c r="E10734" s="130"/>
    </row>
    <row r="10735" spans="1:5" x14ac:dyDescent="0.25">
      <c r="A10735" s="1033"/>
      <c r="E10735" s="130"/>
    </row>
    <row r="10736" spans="1:5" x14ac:dyDescent="0.25">
      <c r="A10736" s="1033"/>
      <c r="E10736" s="130"/>
    </row>
    <row r="10737" spans="1:5" x14ac:dyDescent="0.25">
      <c r="A10737" s="1033"/>
      <c r="E10737" s="130"/>
    </row>
    <row r="10738" spans="1:5" x14ac:dyDescent="0.25">
      <c r="A10738" s="1033"/>
      <c r="E10738" s="130"/>
    </row>
    <row r="10739" spans="1:5" x14ac:dyDescent="0.25">
      <c r="A10739" s="1033"/>
      <c r="E10739" s="130"/>
    </row>
    <row r="10740" spans="1:5" x14ac:dyDescent="0.25">
      <c r="A10740" s="1033"/>
      <c r="E10740" s="130"/>
    </row>
    <row r="10741" spans="1:5" x14ac:dyDescent="0.25">
      <c r="A10741" s="1033"/>
      <c r="E10741" s="130"/>
    </row>
    <row r="10742" spans="1:5" x14ac:dyDescent="0.25">
      <c r="A10742" s="1033"/>
      <c r="E10742" s="130"/>
    </row>
    <row r="10743" spans="1:5" x14ac:dyDescent="0.25">
      <c r="A10743" s="1033"/>
      <c r="E10743" s="130"/>
    </row>
    <row r="10744" spans="1:5" x14ac:dyDescent="0.25">
      <c r="A10744" s="1033"/>
      <c r="E10744" s="130"/>
    </row>
    <row r="10745" spans="1:5" x14ac:dyDescent="0.25">
      <c r="A10745" s="1033"/>
      <c r="E10745" s="130"/>
    </row>
    <row r="10746" spans="1:5" x14ac:dyDescent="0.25">
      <c r="A10746" s="1033"/>
      <c r="E10746" s="130"/>
    </row>
    <row r="10747" spans="1:5" x14ac:dyDescent="0.25">
      <c r="A10747" s="1033"/>
      <c r="E10747" s="130"/>
    </row>
    <row r="10748" spans="1:5" x14ac:dyDescent="0.25">
      <c r="A10748" s="1033"/>
      <c r="E10748" s="130"/>
    </row>
    <row r="10749" spans="1:5" x14ac:dyDescent="0.25">
      <c r="A10749" s="1033"/>
      <c r="E10749" s="130"/>
    </row>
    <row r="10750" spans="1:5" x14ac:dyDescent="0.25">
      <c r="A10750" s="1033"/>
      <c r="E10750" s="130"/>
    </row>
    <row r="10751" spans="1:5" x14ac:dyDescent="0.25">
      <c r="A10751" s="1033"/>
      <c r="E10751" s="130"/>
    </row>
    <row r="10752" spans="1:5" x14ac:dyDescent="0.25">
      <c r="A10752" s="1033"/>
      <c r="E10752" s="130"/>
    </row>
    <row r="10753" spans="1:5" x14ac:dyDescent="0.25">
      <c r="A10753" s="1033"/>
      <c r="E10753" s="130"/>
    </row>
    <row r="10754" spans="1:5" x14ac:dyDescent="0.25">
      <c r="A10754" s="1033"/>
      <c r="E10754" s="130"/>
    </row>
    <row r="10755" spans="1:5" x14ac:dyDescent="0.25">
      <c r="A10755" s="1033"/>
      <c r="E10755" s="130"/>
    </row>
    <row r="10756" spans="1:5" x14ac:dyDescent="0.25">
      <c r="A10756" s="1033"/>
      <c r="E10756" s="130"/>
    </row>
    <row r="10757" spans="1:5" x14ac:dyDescent="0.25">
      <c r="A10757" s="1033"/>
      <c r="E10757" s="130"/>
    </row>
    <row r="10758" spans="1:5" x14ac:dyDescent="0.25">
      <c r="A10758" s="1033"/>
      <c r="E10758" s="130"/>
    </row>
    <row r="10759" spans="1:5" x14ac:dyDescent="0.25">
      <c r="A10759" s="1033"/>
      <c r="E10759" s="130"/>
    </row>
    <row r="10760" spans="1:5" x14ac:dyDescent="0.25">
      <c r="A10760" s="1033"/>
      <c r="E10760" s="130"/>
    </row>
    <row r="10761" spans="1:5" x14ac:dyDescent="0.25">
      <c r="A10761" s="1033"/>
      <c r="E10761" s="130"/>
    </row>
    <row r="10762" spans="1:5" x14ac:dyDescent="0.25">
      <c r="A10762" s="1033"/>
      <c r="E10762" s="130"/>
    </row>
    <row r="10763" spans="1:5" x14ac:dyDescent="0.25">
      <c r="A10763" s="1033"/>
      <c r="E10763" s="130"/>
    </row>
    <row r="10764" spans="1:5" x14ac:dyDescent="0.25">
      <c r="A10764" s="1033"/>
      <c r="E10764" s="130"/>
    </row>
    <row r="10765" spans="1:5" x14ac:dyDescent="0.25">
      <c r="A10765" s="1033"/>
      <c r="E10765" s="130"/>
    </row>
    <row r="10766" spans="1:5" x14ac:dyDescent="0.25">
      <c r="A10766" s="1033"/>
      <c r="E10766" s="130"/>
    </row>
    <row r="10767" spans="1:5" x14ac:dyDescent="0.25">
      <c r="A10767" s="1033"/>
      <c r="E10767" s="130"/>
    </row>
    <row r="10768" spans="1:5" x14ac:dyDescent="0.25">
      <c r="A10768" s="1033"/>
      <c r="E10768" s="130"/>
    </row>
    <row r="10769" spans="1:5" x14ac:dyDescent="0.25">
      <c r="A10769" s="1033"/>
      <c r="E10769" s="130"/>
    </row>
    <row r="10770" spans="1:5" x14ac:dyDescent="0.25">
      <c r="A10770" s="1033"/>
      <c r="E10770" s="130"/>
    </row>
    <row r="10771" spans="1:5" x14ac:dyDescent="0.25">
      <c r="A10771" s="1033"/>
      <c r="E10771" s="130"/>
    </row>
    <row r="10772" spans="1:5" x14ac:dyDescent="0.25">
      <c r="A10772" s="1033"/>
      <c r="E10772" s="130"/>
    </row>
    <row r="10773" spans="1:5" x14ac:dyDescent="0.25">
      <c r="A10773" s="1033"/>
      <c r="E10773" s="130"/>
    </row>
    <row r="10774" spans="1:5" x14ac:dyDescent="0.25">
      <c r="A10774" s="1033"/>
      <c r="E10774" s="130"/>
    </row>
    <row r="10775" spans="1:5" x14ac:dyDescent="0.25">
      <c r="A10775" s="1033"/>
      <c r="E10775" s="130"/>
    </row>
    <row r="10776" spans="1:5" x14ac:dyDescent="0.25">
      <c r="A10776" s="1033"/>
      <c r="E10776" s="130"/>
    </row>
    <row r="10777" spans="1:5" x14ac:dyDescent="0.25">
      <c r="A10777" s="1033"/>
      <c r="E10777" s="130"/>
    </row>
    <row r="10778" spans="1:5" x14ac:dyDescent="0.25">
      <c r="A10778" s="1033"/>
      <c r="E10778" s="130"/>
    </row>
    <row r="10779" spans="1:5" x14ac:dyDescent="0.25">
      <c r="A10779" s="1033"/>
      <c r="E10779" s="130"/>
    </row>
    <row r="10780" spans="1:5" x14ac:dyDescent="0.25">
      <c r="A10780" s="1033"/>
      <c r="E10780" s="130"/>
    </row>
    <row r="10781" spans="1:5" x14ac:dyDescent="0.25">
      <c r="A10781" s="1033"/>
      <c r="E10781" s="130"/>
    </row>
    <row r="10782" spans="1:5" x14ac:dyDescent="0.25">
      <c r="A10782" s="1033"/>
      <c r="E10782" s="130"/>
    </row>
    <row r="10783" spans="1:5" x14ac:dyDescent="0.25">
      <c r="A10783" s="1033"/>
      <c r="E10783" s="130"/>
    </row>
    <row r="10784" spans="1:5" x14ac:dyDescent="0.25">
      <c r="A10784" s="1033"/>
      <c r="E10784" s="130"/>
    </row>
    <row r="10785" spans="1:5" x14ac:dyDescent="0.25">
      <c r="A10785" s="1033"/>
      <c r="E10785" s="130"/>
    </row>
    <row r="10786" spans="1:5" x14ac:dyDescent="0.25">
      <c r="A10786" s="1033"/>
      <c r="E10786" s="130"/>
    </row>
    <row r="10787" spans="1:5" x14ac:dyDescent="0.25">
      <c r="A10787" s="1033"/>
      <c r="E10787" s="130"/>
    </row>
    <row r="10788" spans="1:5" x14ac:dyDescent="0.25">
      <c r="A10788" s="1033"/>
      <c r="E10788" s="130"/>
    </row>
    <row r="10789" spans="1:5" x14ac:dyDescent="0.25">
      <c r="A10789" s="1033"/>
      <c r="E10789" s="130"/>
    </row>
    <row r="10790" spans="1:5" x14ac:dyDescent="0.25">
      <c r="A10790" s="1033"/>
      <c r="E10790" s="130"/>
    </row>
    <row r="10791" spans="1:5" x14ac:dyDescent="0.25">
      <c r="A10791" s="1033"/>
      <c r="E10791" s="130"/>
    </row>
    <row r="10792" spans="1:5" x14ac:dyDescent="0.25">
      <c r="A10792" s="1033"/>
      <c r="E10792" s="130"/>
    </row>
    <row r="10793" spans="1:5" x14ac:dyDescent="0.25">
      <c r="A10793" s="1033"/>
      <c r="E10793" s="130"/>
    </row>
    <row r="10794" spans="1:5" x14ac:dyDescent="0.25">
      <c r="A10794" s="1033"/>
      <c r="E10794" s="130"/>
    </row>
    <row r="10795" spans="1:5" x14ac:dyDescent="0.25">
      <c r="A10795" s="1033"/>
      <c r="E10795" s="130"/>
    </row>
    <row r="10796" spans="1:5" x14ac:dyDescent="0.25">
      <c r="A10796" s="1033"/>
      <c r="E10796" s="130"/>
    </row>
    <row r="10797" spans="1:5" x14ac:dyDescent="0.25">
      <c r="A10797" s="1033"/>
      <c r="E10797" s="130"/>
    </row>
    <row r="10798" spans="1:5" x14ac:dyDescent="0.25">
      <c r="A10798" s="1033"/>
      <c r="E10798" s="130"/>
    </row>
    <row r="10799" spans="1:5" x14ac:dyDescent="0.25">
      <c r="A10799" s="1033"/>
      <c r="E10799" s="130"/>
    </row>
    <row r="10800" spans="1:5" x14ac:dyDescent="0.25">
      <c r="A10800" s="1033"/>
      <c r="E10800" s="130"/>
    </row>
    <row r="10801" spans="1:5" x14ac:dyDescent="0.25">
      <c r="A10801" s="1033"/>
      <c r="E10801" s="130"/>
    </row>
    <row r="10802" spans="1:5" x14ac:dyDescent="0.25">
      <c r="A10802" s="1033"/>
      <c r="E10802" s="130"/>
    </row>
    <row r="10803" spans="1:5" x14ac:dyDescent="0.25">
      <c r="A10803" s="1033"/>
      <c r="E10803" s="130"/>
    </row>
    <row r="10804" spans="1:5" x14ac:dyDescent="0.25">
      <c r="A10804" s="1033"/>
      <c r="E10804" s="130"/>
    </row>
    <row r="10805" spans="1:5" x14ac:dyDescent="0.25">
      <c r="A10805" s="1033"/>
      <c r="E10805" s="130"/>
    </row>
    <row r="10806" spans="1:5" x14ac:dyDescent="0.25">
      <c r="A10806" s="1033"/>
      <c r="E10806" s="130"/>
    </row>
    <row r="10807" spans="1:5" x14ac:dyDescent="0.25">
      <c r="A10807" s="1033"/>
      <c r="E10807" s="130"/>
    </row>
    <row r="10808" spans="1:5" x14ac:dyDescent="0.25">
      <c r="A10808" s="1033"/>
      <c r="E10808" s="130"/>
    </row>
    <row r="10809" spans="1:5" x14ac:dyDescent="0.25">
      <c r="A10809" s="1033"/>
      <c r="E10809" s="130"/>
    </row>
    <row r="10810" spans="1:5" x14ac:dyDescent="0.25">
      <c r="A10810" s="1033"/>
      <c r="E10810" s="130"/>
    </row>
    <row r="10811" spans="1:5" x14ac:dyDescent="0.25">
      <c r="A10811" s="1033"/>
      <c r="E10811" s="130"/>
    </row>
    <row r="10812" spans="1:5" x14ac:dyDescent="0.25">
      <c r="A10812" s="1033"/>
      <c r="E10812" s="130"/>
    </row>
    <row r="10813" spans="1:5" x14ac:dyDescent="0.25">
      <c r="A10813" s="1033"/>
      <c r="E10813" s="130"/>
    </row>
    <row r="10814" spans="1:5" x14ac:dyDescent="0.25">
      <c r="A10814" s="1033"/>
      <c r="E10814" s="130"/>
    </row>
    <row r="10815" spans="1:5" x14ac:dyDescent="0.25">
      <c r="A10815" s="1033"/>
      <c r="E10815" s="130"/>
    </row>
    <row r="10816" spans="1:5" x14ac:dyDescent="0.25">
      <c r="A10816" s="1033"/>
      <c r="E10816" s="130"/>
    </row>
    <row r="10817" spans="1:5" x14ac:dyDescent="0.25">
      <c r="A10817" s="1033"/>
      <c r="E10817" s="130"/>
    </row>
    <row r="10818" spans="1:5" x14ac:dyDescent="0.25">
      <c r="A10818" s="1033"/>
      <c r="E10818" s="130"/>
    </row>
    <row r="10819" spans="1:5" x14ac:dyDescent="0.25">
      <c r="A10819" s="1033"/>
      <c r="E10819" s="130"/>
    </row>
    <row r="10820" spans="1:5" x14ac:dyDescent="0.25">
      <c r="A10820" s="1033"/>
      <c r="E10820" s="130"/>
    </row>
    <row r="10821" spans="1:5" x14ac:dyDescent="0.25">
      <c r="A10821" s="1033"/>
      <c r="E10821" s="130"/>
    </row>
    <row r="10822" spans="1:5" x14ac:dyDescent="0.25">
      <c r="A10822" s="1033"/>
      <c r="E10822" s="130"/>
    </row>
    <row r="10823" spans="1:5" x14ac:dyDescent="0.25">
      <c r="A10823" s="1033"/>
      <c r="E10823" s="130"/>
    </row>
    <row r="10824" spans="1:5" x14ac:dyDescent="0.25">
      <c r="A10824" s="1033"/>
      <c r="E10824" s="130"/>
    </row>
    <row r="10825" spans="1:5" x14ac:dyDescent="0.25">
      <c r="A10825" s="1033"/>
      <c r="E10825" s="130"/>
    </row>
    <row r="10826" spans="1:5" x14ac:dyDescent="0.25">
      <c r="A10826" s="1033"/>
      <c r="E10826" s="130"/>
    </row>
    <row r="10827" spans="1:5" x14ac:dyDescent="0.25">
      <c r="A10827" s="1033"/>
      <c r="E10827" s="130"/>
    </row>
    <row r="10828" spans="1:5" x14ac:dyDescent="0.25">
      <c r="A10828" s="1033"/>
      <c r="E10828" s="130"/>
    </row>
    <row r="10829" spans="1:5" x14ac:dyDescent="0.25">
      <c r="A10829" s="1033"/>
      <c r="E10829" s="130"/>
    </row>
    <row r="10830" spans="1:5" x14ac:dyDescent="0.25">
      <c r="A10830" s="1033"/>
      <c r="E10830" s="130"/>
    </row>
    <row r="10831" spans="1:5" x14ac:dyDescent="0.25">
      <c r="A10831" s="1033"/>
      <c r="E10831" s="130"/>
    </row>
    <row r="10832" spans="1:5" x14ac:dyDescent="0.25">
      <c r="A10832" s="1033"/>
      <c r="E10832" s="130"/>
    </row>
    <row r="10833" spans="1:5" x14ac:dyDescent="0.25">
      <c r="A10833" s="1033"/>
      <c r="E10833" s="130"/>
    </row>
    <row r="10834" spans="1:5" x14ac:dyDescent="0.25">
      <c r="A10834" s="1033"/>
      <c r="E10834" s="130"/>
    </row>
    <row r="10835" spans="1:5" x14ac:dyDescent="0.25">
      <c r="A10835" s="1033"/>
      <c r="E10835" s="130"/>
    </row>
    <row r="10836" spans="1:5" x14ac:dyDescent="0.25">
      <c r="A10836" s="1033"/>
      <c r="E10836" s="130"/>
    </row>
    <row r="10837" spans="1:5" x14ac:dyDescent="0.25">
      <c r="A10837" s="1033"/>
      <c r="E10837" s="130"/>
    </row>
    <row r="10838" spans="1:5" x14ac:dyDescent="0.25">
      <c r="A10838" s="1033"/>
      <c r="E10838" s="130"/>
    </row>
    <row r="10839" spans="1:5" x14ac:dyDescent="0.25">
      <c r="A10839" s="1033"/>
      <c r="E10839" s="130"/>
    </row>
    <row r="10840" spans="1:5" x14ac:dyDescent="0.25">
      <c r="A10840" s="1033"/>
      <c r="E10840" s="130"/>
    </row>
    <row r="10841" spans="1:5" x14ac:dyDescent="0.25">
      <c r="A10841" s="1033"/>
      <c r="E10841" s="130"/>
    </row>
    <row r="10842" spans="1:5" x14ac:dyDescent="0.25">
      <c r="A10842" s="1033"/>
      <c r="E10842" s="130"/>
    </row>
    <row r="10843" spans="1:5" x14ac:dyDescent="0.25">
      <c r="A10843" s="1033"/>
      <c r="E10843" s="130"/>
    </row>
    <row r="10844" spans="1:5" x14ac:dyDescent="0.25">
      <c r="A10844" s="1033"/>
      <c r="E10844" s="130"/>
    </row>
    <row r="10845" spans="1:5" x14ac:dyDescent="0.25">
      <c r="A10845" s="1033"/>
      <c r="E10845" s="130"/>
    </row>
    <row r="10846" spans="1:5" x14ac:dyDescent="0.25">
      <c r="A10846" s="1033"/>
      <c r="E10846" s="130"/>
    </row>
    <row r="10847" spans="1:5" x14ac:dyDescent="0.25">
      <c r="A10847" s="1033"/>
      <c r="E10847" s="130"/>
    </row>
    <row r="10848" spans="1:5" x14ac:dyDescent="0.25">
      <c r="A10848" s="1033"/>
      <c r="E10848" s="130"/>
    </row>
    <row r="10849" spans="1:5" x14ac:dyDescent="0.25">
      <c r="A10849" s="1033"/>
      <c r="E10849" s="130"/>
    </row>
    <row r="10850" spans="1:5" x14ac:dyDescent="0.25">
      <c r="A10850" s="1033"/>
      <c r="E10850" s="130"/>
    </row>
    <row r="10851" spans="1:5" x14ac:dyDescent="0.25">
      <c r="A10851" s="1033"/>
      <c r="E10851" s="130"/>
    </row>
    <row r="10852" spans="1:5" x14ac:dyDescent="0.25">
      <c r="A10852" s="1033"/>
      <c r="E10852" s="130"/>
    </row>
    <row r="10853" spans="1:5" x14ac:dyDescent="0.25">
      <c r="A10853" s="1033"/>
      <c r="E10853" s="130"/>
    </row>
    <row r="10854" spans="1:5" x14ac:dyDescent="0.25">
      <c r="A10854" s="1033"/>
      <c r="E10854" s="130"/>
    </row>
    <row r="10855" spans="1:5" x14ac:dyDescent="0.25">
      <c r="A10855" s="1033"/>
      <c r="E10855" s="130"/>
    </row>
    <row r="10856" spans="1:5" x14ac:dyDescent="0.25">
      <c r="A10856" s="1033"/>
      <c r="E10856" s="130"/>
    </row>
    <row r="10857" spans="1:5" x14ac:dyDescent="0.25">
      <c r="A10857" s="1033"/>
      <c r="E10857" s="130"/>
    </row>
    <row r="10858" spans="1:5" x14ac:dyDescent="0.25">
      <c r="A10858" s="1033"/>
      <c r="E10858" s="130"/>
    </row>
    <row r="10859" spans="1:5" x14ac:dyDescent="0.25">
      <c r="A10859" s="1033"/>
      <c r="E10859" s="130"/>
    </row>
    <row r="10860" spans="1:5" x14ac:dyDescent="0.25">
      <c r="A10860" s="1033"/>
      <c r="E10860" s="130"/>
    </row>
    <row r="10861" spans="1:5" x14ac:dyDescent="0.25">
      <c r="A10861" s="1033"/>
      <c r="E10861" s="130"/>
    </row>
    <row r="10862" spans="1:5" x14ac:dyDescent="0.25">
      <c r="A10862" s="1033"/>
      <c r="E10862" s="130"/>
    </row>
    <row r="10863" spans="1:5" x14ac:dyDescent="0.25">
      <c r="A10863" s="1033"/>
      <c r="E10863" s="130"/>
    </row>
    <row r="10864" spans="1:5" x14ac:dyDescent="0.25">
      <c r="A10864" s="1033"/>
      <c r="E10864" s="130"/>
    </row>
    <row r="10865" spans="1:5" x14ac:dyDescent="0.25">
      <c r="A10865" s="1033"/>
      <c r="E10865" s="130"/>
    </row>
    <row r="10866" spans="1:5" x14ac:dyDescent="0.25">
      <c r="A10866" s="1033"/>
      <c r="E10866" s="130"/>
    </row>
    <row r="10867" spans="1:5" x14ac:dyDescent="0.25">
      <c r="A10867" s="1033"/>
      <c r="E10867" s="130"/>
    </row>
    <row r="10868" spans="1:5" x14ac:dyDescent="0.25">
      <c r="A10868" s="1033"/>
      <c r="E10868" s="130"/>
    </row>
    <row r="10869" spans="1:5" x14ac:dyDescent="0.25">
      <c r="A10869" s="1033"/>
      <c r="E10869" s="130"/>
    </row>
    <row r="10870" spans="1:5" x14ac:dyDescent="0.25">
      <c r="A10870" s="1033"/>
      <c r="E10870" s="130"/>
    </row>
    <row r="10871" spans="1:5" x14ac:dyDescent="0.25">
      <c r="A10871" s="1033"/>
      <c r="E10871" s="130"/>
    </row>
    <row r="10872" spans="1:5" x14ac:dyDescent="0.25">
      <c r="A10872" s="1033"/>
      <c r="E10872" s="130"/>
    </row>
    <row r="10873" spans="1:5" x14ac:dyDescent="0.25">
      <c r="A10873" s="1033"/>
      <c r="E10873" s="130"/>
    </row>
    <row r="10874" spans="1:5" x14ac:dyDescent="0.25">
      <c r="A10874" s="1033"/>
      <c r="E10874" s="130"/>
    </row>
    <row r="10875" spans="1:5" x14ac:dyDescent="0.25">
      <c r="A10875" s="1033"/>
      <c r="E10875" s="130"/>
    </row>
    <row r="10876" spans="1:5" x14ac:dyDescent="0.25">
      <c r="A10876" s="1033"/>
      <c r="E10876" s="130"/>
    </row>
    <row r="10877" spans="1:5" x14ac:dyDescent="0.25">
      <c r="A10877" s="1033"/>
      <c r="E10877" s="130"/>
    </row>
    <row r="10878" spans="1:5" x14ac:dyDescent="0.25">
      <c r="A10878" s="1033"/>
      <c r="E10878" s="130"/>
    </row>
    <row r="10879" spans="1:5" x14ac:dyDescent="0.25">
      <c r="A10879" s="1033"/>
      <c r="E10879" s="130"/>
    </row>
    <row r="10880" spans="1:5" x14ac:dyDescent="0.25">
      <c r="A10880" s="1033"/>
      <c r="E10880" s="130"/>
    </row>
    <row r="10881" spans="1:5" x14ac:dyDescent="0.25">
      <c r="A10881" s="1033"/>
      <c r="E10881" s="130"/>
    </row>
    <row r="10882" spans="1:5" x14ac:dyDescent="0.25">
      <c r="A10882" s="1033"/>
      <c r="E10882" s="130"/>
    </row>
    <row r="10883" spans="1:5" x14ac:dyDescent="0.25">
      <c r="A10883" s="1033"/>
      <c r="E10883" s="130"/>
    </row>
    <row r="10884" spans="1:5" x14ac:dyDescent="0.25">
      <c r="A10884" s="1033"/>
      <c r="E10884" s="130"/>
    </row>
    <row r="10885" spans="1:5" x14ac:dyDescent="0.25">
      <c r="A10885" s="1033"/>
      <c r="E10885" s="130"/>
    </row>
    <row r="10886" spans="1:5" x14ac:dyDescent="0.25">
      <c r="A10886" s="1033"/>
      <c r="E10886" s="130"/>
    </row>
    <row r="10887" spans="1:5" x14ac:dyDescent="0.25">
      <c r="A10887" s="1033"/>
      <c r="E10887" s="130"/>
    </row>
    <row r="10888" spans="1:5" x14ac:dyDescent="0.25">
      <c r="A10888" s="1033"/>
      <c r="E10888" s="130"/>
    </row>
    <row r="10889" spans="1:5" x14ac:dyDescent="0.25">
      <c r="A10889" s="1033"/>
      <c r="E10889" s="130"/>
    </row>
    <row r="10890" spans="1:5" x14ac:dyDescent="0.25">
      <c r="A10890" s="1033"/>
      <c r="E10890" s="130"/>
    </row>
    <row r="10891" spans="1:5" x14ac:dyDescent="0.25">
      <c r="A10891" s="1033"/>
      <c r="E10891" s="130"/>
    </row>
    <row r="10892" spans="1:5" x14ac:dyDescent="0.25">
      <c r="A10892" s="1033"/>
      <c r="E10892" s="130"/>
    </row>
    <row r="10893" spans="1:5" x14ac:dyDescent="0.25">
      <c r="A10893" s="1033"/>
      <c r="E10893" s="130"/>
    </row>
    <row r="10894" spans="1:5" x14ac:dyDescent="0.25">
      <c r="A10894" s="1033"/>
      <c r="E10894" s="130"/>
    </row>
    <row r="10895" spans="1:5" x14ac:dyDescent="0.25">
      <c r="A10895" s="1033"/>
      <c r="E10895" s="130"/>
    </row>
    <row r="10896" spans="1:5" x14ac:dyDescent="0.25">
      <c r="A10896" s="1033"/>
      <c r="E10896" s="130"/>
    </row>
    <row r="10897" spans="1:5" x14ac:dyDescent="0.25">
      <c r="A10897" s="1033"/>
      <c r="E10897" s="130"/>
    </row>
    <row r="10898" spans="1:5" x14ac:dyDescent="0.25">
      <c r="A10898" s="1033"/>
      <c r="E10898" s="130"/>
    </row>
    <row r="10899" spans="1:5" x14ac:dyDescent="0.25">
      <c r="A10899" s="1033"/>
      <c r="E10899" s="130"/>
    </row>
    <row r="10900" spans="1:5" x14ac:dyDescent="0.25">
      <c r="A10900" s="1033"/>
      <c r="E10900" s="130"/>
    </row>
    <row r="10901" spans="1:5" x14ac:dyDescent="0.25">
      <c r="A10901" s="1033"/>
      <c r="E10901" s="130"/>
    </row>
    <row r="10902" spans="1:5" x14ac:dyDescent="0.25">
      <c r="A10902" s="1033"/>
      <c r="E10902" s="130"/>
    </row>
    <row r="10903" spans="1:5" x14ac:dyDescent="0.25">
      <c r="A10903" s="1033"/>
      <c r="E10903" s="130"/>
    </row>
    <row r="10904" spans="1:5" x14ac:dyDescent="0.25">
      <c r="A10904" s="1033"/>
      <c r="E10904" s="130"/>
    </row>
    <row r="10905" spans="1:5" x14ac:dyDescent="0.25">
      <c r="A10905" s="1033"/>
      <c r="E10905" s="130"/>
    </row>
    <row r="10906" spans="1:5" x14ac:dyDescent="0.25">
      <c r="A10906" s="1033"/>
      <c r="E10906" s="130"/>
    </row>
    <row r="10907" spans="1:5" x14ac:dyDescent="0.25">
      <c r="A10907" s="1033"/>
      <c r="E10907" s="130"/>
    </row>
    <row r="10908" spans="1:5" x14ac:dyDescent="0.25">
      <c r="A10908" s="1033"/>
      <c r="E10908" s="130"/>
    </row>
    <row r="10909" spans="1:5" x14ac:dyDescent="0.25">
      <c r="A10909" s="1033"/>
      <c r="E10909" s="130"/>
    </row>
    <row r="10910" spans="1:5" x14ac:dyDescent="0.25">
      <c r="A10910" s="1033"/>
      <c r="E10910" s="130"/>
    </row>
    <row r="10911" spans="1:5" x14ac:dyDescent="0.25">
      <c r="A10911" s="1033"/>
      <c r="E10911" s="130"/>
    </row>
    <row r="10912" spans="1:5" x14ac:dyDescent="0.25">
      <c r="A10912" s="1033"/>
      <c r="E10912" s="130"/>
    </row>
    <row r="10913" spans="1:5" x14ac:dyDescent="0.25">
      <c r="A10913" s="1033"/>
      <c r="E10913" s="130"/>
    </row>
    <row r="10914" spans="1:5" x14ac:dyDescent="0.25">
      <c r="A10914" s="1033"/>
      <c r="E10914" s="130"/>
    </row>
    <row r="10915" spans="1:5" x14ac:dyDescent="0.25">
      <c r="A10915" s="1033"/>
      <c r="E10915" s="130"/>
    </row>
    <row r="10916" spans="1:5" x14ac:dyDescent="0.25">
      <c r="A10916" s="1033"/>
      <c r="E10916" s="130"/>
    </row>
    <row r="10917" spans="1:5" x14ac:dyDescent="0.25">
      <c r="A10917" s="1033"/>
      <c r="E10917" s="130"/>
    </row>
    <row r="10918" spans="1:5" x14ac:dyDescent="0.25">
      <c r="A10918" s="1033"/>
      <c r="E10918" s="130"/>
    </row>
    <row r="10919" spans="1:5" x14ac:dyDescent="0.25">
      <c r="A10919" s="1033"/>
      <c r="E10919" s="130"/>
    </row>
    <row r="10920" spans="1:5" x14ac:dyDescent="0.25">
      <c r="A10920" s="1033"/>
      <c r="E10920" s="130"/>
    </row>
    <row r="10921" spans="1:5" x14ac:dyDescent="0.25">
      <c r="A10921" s="1033"/>
      <c r="E10921" s="130"/>
    </row>
    <row r="10922" spans="1:5" x14ac:dyDescent="0.25">
      <c r="A10922" s="1033"/>
      <c r="E10922" s="130"/>
    </row>
    <row r="10923" spans="1:5" x14ac:dyDescent="0.25">
      <c r="A10923" s="1033"/>
      <c r="E10923" s="130"/>
    </row>
    <row r="10924" spans="1:5" x14ac:dyDescent="0.25">
      <c r="A10924" s="1033"/>
      <c r="E10924" s="130"/>
    </row>
    <row r="10925" spans="1:5" x14ac:dyDescent="0.25">
      <c r="A10925" s="1033"/>
      <c r="E10925" s="130"/>
    </row>
    <row r="10926" spans="1:5" x14ac:dyDescent="0.25">
      <c r="A10926" s="1033"/>
      <c r="E10926" s="130"/>
    </row>
    <row r="10927" spans="1:5" x14ac:dyDescent="0.25">
      <c r="A10927" s="1033"/>
      <c r="E10927" s="130"/>
    </row>
    <row r="10928" spans="1:5" x14ac:dyDescent="0.25">
      <c r="A10928" s="1033"/>
      <c r="E10928" s="130"/>
    </row>
    <row r="10929" spans="1:5" x14ac:dyDescent="0.25">
      <c r="A10929" s="1033"/>
      <c r="E10929" s="130"/>
    </row>
    <row r="10930" spans="1:5" x14ac:dyDescent="0.25">
      <c r="A10930" s="1033"/>
      <c r="E10930" s="130"/>
    </row>
    <row r="10931" spans="1:5" x14ac:dyDescent="0.25">
      <c r="A10931" s="1033"/>
      <c r="E10931" s="130"/>
    </row>
    <row r="10932" spans="1:5" x14ac:dyDescent="0.25">
      <c r="A10932" s="1033"/>
      <c r="E10932" s="130"/>
    </row>
    <row r="10933" spans="1:5" x14ac:dyDescent="0.25">
      <c r="A10933" s="1033"/>
      <c r="E10933" s="130"/>
    </row>
    <row r="10934" spans="1:5" x14ac:dyDescent="0.25">
      <c r="A10934" s="1033"/>
      <c r="E10934" s="130"/>
    </row>
    <row r="10935" spans="1:5" x14ac:dyDescent="0.25">
      <c r="A10935" s="1033"/>
      <c r="E10935" s="130"/>
    </row>
    <row r="10936" spans="1:5" x14ac:dyDescent="0.25">
      <c r="A10936" s="1033"/>
      <c r="E10936" s="130"/>
    </row>
    <row r="10937" spans="1:5" x14ac:dyDescent="0.25">
      <c r="A10937" s="1033"/>
      <c r="E10937" s="130"/>
    </row>
    <row r="10938" spans="1:5" x14ac:dyDescent="0.25">
      <c r="A10938" s="1033"/>
      <c r="E10938" s="130"/>
    </row>
    <row r="10939" spans="1:5" x14ac:dyDescent="0.25">
      <c r="A10939" s="1033"/>
      <c r="E10939" s="130"/>
    </row>
    <row r="10940" spans="1:5" x14ac:dyDescent="0.25">
      <c r="A10940" s="1033"/>
      <c r="E10940" s="130"/>
    </row>
    <row r="10941" spans="1:5" x14ac:dyDescent="0.25">
      <c r="A10941" s="1033"/>
      <c r="E10941" s="130"/>
    </row>
    <row r="10942" spans="1:5" x14ac:dyDescent="0.25">
      <c r="A10942" s="1033"/>
      <c r="E10942" s="130"/>
    </row>
    <row r="10943" spans="1:5" x14ac:dyDescent="0.25">
      <c r="A10943" s="1033"/>
      <c r="E10943" s="130"/>
    </row>
    <row r="10944" spans="1:5" x14ac:dyDescent="0.25">
      <c r="A10944" s="1033"/>
      <c r="E10944" s="130"/>
    </row>
    <row r="10945" spans="1:5" x14ac:dyDescent="0.25">
      <c r="A10945" s="1033"/>
      <c r="E10945" s="130"/>
    </row>
    <row r="10946" spans="1:5" x14ac:dyDescent="0.25">
      <c r="A10946" s="1033"/>
      <c r="E10946" s="130"/>
    </row>
    <row r="10947" spans="1:5" x14ac:dyDescent="0.25">
      <c r="A10947" s="1033"/>
      <c r="E10947" s="130"/>
    </row>
    <row r="10948" spans="1:5" x14ac:dyDescent="0.25">
      <c r="A10948" s="1033"/>
      <c r="E10948" s="130"/>
    </row>
    <row r="10949" spans="1:5" x14ac:dyDescent="0.25">
      <c r="A10949" s="1033"/>
      <c r="E10949" s="130"/>
    </row>
    <row r="10950" spans="1:5" x14ac:dyDescent="0.25">
      <c r="A10950" s="1033"/>
      <c r="E10950" s="130"/>
    </row>
    <row r="10951" spans="1:5" x14ac:dyDescent="0.25">
      <c r="A10951" s="1033"/>
      <c r="E10951" s="130"/>
    </row>
    <row r="10952" spans="1:5" x14ac:dyDescent="0.25">
      <c r="A10952" s="1033"/>
      <c r="E10952" s="130"/>
    </row>
    <row r="10953" spans="1:5" x14ac:dyDescent="0.25">
      <c r="A10953" s="1033"/>
      <c r="E10953" s="130"/>
    </row>
    <row r="10954" spans="1:5" x14ac:dyDescent="0.25">
      <c r="A10954" s="1033"/>
      <c r="E10954" s="130"/>
    </row>
    <row r="10955" spans="1:5" x14ac:dyDescent="0.25">
      <c r="A10955" s="1033"/>
      <c r="E10955" s="130"/>
    </row>
    <row r="10956" spans="1:5" x14ac:dyDescent="0.25">
      <c r="A10956" s="1033"/>
      <c r="E10956" s="130"/>
    </row>
    <row r="10957" spans="1:5" x14ac:dyDescent="0.25">
      <c r="A10957" s="1033"/>
      <c r="E10957" s="130"/>
    </row>
    <row r="10958" spans="1:5" x14ac:dyDescent="0.25">
      <c r="A10958" s="1033"/>
      <c r="E10958" s="130"/>
    </row>
    <row r="10959" spans="1:5" x14ac:dyDescent="0.25">
      <c r="A10959" s="1033"/>
      <c r="E10959" s="130"/>
    </row>
    <row r="10960" spans="1:5" x14ac:dyDescent="0.25">
      <c r="A10960" s="1033"/>
      <c r="E10960" s="130"/>
    </row>
    <row r="10961" spans="1:5" x14ac:dyDescent="0.25">
      <c r="A10961" s="1033"/>
      <c r="E10961" s="130"/>
    </row>
    <row r="10962" spans="1:5" x14ac:dyDescent="0.25">
      <c r="A10962" s="1033"/>
      <c r="E10962" s="130"/>
    </row>
    <row r="10963" spans="1:5" x14ac:dyDescent="0.25">
      <c r="A10963" s="1033"/>
      <c r="E10963" s="130"/>
    </row>
    <row r="10964" spans="1:5" x14ac:dyDescent="0.25">
      <c r="A10964" s="1033"/>
      <c r="E10964" s="130"/>
    </row>
    <row r="10965" spans="1:5" x14ac:dyDescent="0.25">
      <c r="A10965" s="1033"/>
      <c r="E10965" s="130"/>
    </row>
    <row r="10966" spans="1:5" x14ac:dyDescent="0.25">
      <c r="A10966" s="1033"/>
      <c r="E10966" s="130"/>
    </row>
    <row r="10967" spans="1:5" x14ac:dyDescent="0.25">
      <c r="A10967" s="1033"/>
      <c r="E10967" s="130"/>
    </row>
    <row r="10968" spans="1:5" x14ac:dyDescent="0.25">
      <c r="A10968" s="1033"/>
      <c r="E10968" s="130"/>
    </row>
    <row r="10969" spans="1:5" x14ac:dyDescent="0.25">
      <c r="A10969" s="1033"/>
      <c r="E10969" s="130"/>
    </row>
    <row r="10970" spans="1:5" x14ac:dyDescent="0.25">
      <c r="A10970" s="1033"/>
      <c r="E10970" s="130"/>
    </row>
    <row r="10971" spans="1:5" x14ac:dyDescent="0.25">
      <c r="A10971" s="1033"/>
      <c r="E10971" s="130"/>
    </row>
    <row r="10972" spans="1:5" x14ac:dyDescent="0.25">
      <c r="A10972" s="1033"/>
      <c r="E10972" s="130"/>
    </row>
    <row r="10973" spans="1:5" x14ac:dyDescent="0.25">
      <c r="A10973" s="1033"/>
      <c r="E10973" s="130"/>
    </row>
    <row r="10974" spans="1:5" x14ac:dyDescent="0.25">
      <c r="A10974" s="1033"/>
      <c r="E10974" s="130"/>
    </row>
    <row r="10975" spans="1:5" x14ac:dyDescent="0.25">
      <c r="A10975" s="1033"/>
      <c r="E10975" s="130"/>
    </row>
    <row r="10976" spans="1:5" x14ac:dyDescent="0.25">
      <c r="A10976" s="1033"/>
      <c r="E10976" s="130"/>
    </row>
    <row r="10977" spans="1:5" x14ac:dyDescent="0.25">
      <c r="A10977" s="1033"/>
      <c r="E10977" s="130"/>
    </row>
    <row r="10978" spans="1:5" x14ac:dyDescent="0.25">
      <c r="A10978" s="1033"/>
      <c r="E10978" s="130"/>
    </row>
    <row r="10979" spans="1:5" x14ac:dyDescent="0.25">
      <c r="A10979" s="1033"/>
      <c r="E10979" s="130"/>
    </row>
    <row r="10980" spans="1:5" x14ac:dyDescent="0.25">
      <c r="A10980" s="1033"/>
      <c r="E10980" s="130"/>
    </row>
    <row r="10981" spans="1:5" x14ac:dyDescent="0.25">
      <c r="A10981" s="1033"/>
      <c r="E10981" s="130"/>
    </row>
    <row r="10982" spans="1:5" x14ac:dyDescent="0.25">
      <c r="A10982" s="1033"/>
      <c r="E10982" s="130"/>
    </row>
    <row r="10983" spans="1:5" x14ac:dyDescent="0.25">
      <c r="A10983" s="1033"/>
      <c r="E10983" s="130"/>
    </row>
    <row r="10984" spans="1:5" x14ac:dyDescent="0.25">
      <c r="A10984" s="1033"/>
      <c r="E10984" s="130"/>
    </row>
    <row r="10985" spans="1:5" x14ac:dyDescent="0.25">
      <c r="A10985" s="1033"/>
      <c r="E10985" s="130"/>
    </row>
    <row r="10986" spans="1:5" x14ac:dyDescent="0.25">
      <c r="A10986" s="1033"/>
      <c r="E10986" s="130"/>
    </row>
    <row r="10987" spans="1:5" x14ac:dyDescent="0.25">
      <c r="A10987" s="1033"/>
      <c r="E10987" s="130"/>
    </row>
    <row r="10988" spans="1:5" x14ac:dyDescent="0.25">
      <c r="A10988" s="1033"/>
      <c r="E10988" s="130"/>
    </row>
    <row r="10989" spans="1:5" x14ac:dyDescent="0.25">
      <c r="A10989" s="1033"/>
      <c r="E10989" s="130"/>
    </row>
    <row r="10990" spans="1:5" x14ac:dyDescent="0.25">
      <c r="A10990" s="1033"/>
      <c r="E10990" s="130"/>
    </row>
    <row r="10991" spans="1:5" x14ac:dyDescent="0.25">
      <c r="A10991" s="1033"/>
      <c r="E10991" s="130"/>
    </row>
    <row r="10992" spans="1:5" x14ac:dyDescent="0.25">
      <c r="A10992" s="1033"/>
      <c r="E10992" s="130"/>
    </row>
    <row r="10993" spans="1:5" x14ac:dyDescent="0.25">
      <c r="A10993" s="1033"/>
      <c r="E10993" s="130"/>
    </row>
    <row r="10994" spans="1:5" x14ac:dyDescent="0.25">
      <c r="A10994" s="1033"/>
      <c r="E10994" s="130"/>
    </row>
    <row r="10995" spans="1:5" x14ac:dyDescent="0.25">
      <c r="A10995" s="1033"/>
      <c r="E10995" s="130"/>
    </row>
    <row r="10996" spans="1:5" x14ac:dyDescent="0.25">
      <c r="A10996" s="1033"/>
      <c r="E10996" s="130"/>
    </row>
    <row r="10997" spans="1:5" x14ac:dyDescent="0.25">
      <c r="A10997" s="1033"/>
      <c r="E10997" s="130"/>
    </row>
    <row r="10998" spans="1:5" x14ac:dyDescent="0.25">
      <c r="A10998" s="1033"/>
      <c r="E10998" s="130"/>
    </row>
    <row r="10999" spans="1:5" x14ac:dyDescent="0.25">
      <c r="A10999" s="1033"/>
      <c r="E10999" s="130"/>
    </row>
    <row r="11000" spans="1:5" x14ac:dyDescent="0.25">
      <c r="A11000" s="1033"/>
      <c r="E11000" s="130"/>
    </row>
    <row r="11001" spans="1:5" x14ac:dyDescent="0.25">
      <c r="A11001" s="1033"/>
      <c r="E11001" s="130"/>
    </row>
    <row r="11002" spans="1:5" x14ac:dyDescent="0.25">
      <c r="A11002" s="1033"/>
      <c r="E11002" s="130"/>
    </row>
    <row r="11003" spans="1:5" x14ac:dyDescent="0.25">
      <c r="A11003" s="1033"/>
      <c r="E11003" s="130"/>
    </row>
    <row r="11004" spans="1:5" x14ac:dyDescent="0.25">
      <c r="A11004" s="1033"/>
      <c r="E11004" s="130"/>
    </row>
    <row r="11005" spans="1:5" x14ac:dyDescent="0.25">
      <c r="A11005" s="1033"/>
      <c r="E11005" s="130"/>
    </row>
    <row r="11006" spans="1:5" x14ac:dyDescent="0.25">
      <c r="A11006" s="1033"/>
      <c r="E11006" s="130"/>
    </row>
    <row r="11007" spans="1:5" x14ac:dyDescent="0.25">
      <c r="A11007" s="1033"/>
      <c r="E11007" s="130"/>
    </row>
    <row r="11008" spans="1:5" x14ac:dyDescent="0.25">
      <c r="A11008" s="1033"/>
      <c r="E11008" s="130"/>
    </row>
    <row r="11009" spans="1:5" x14ac:dyDescent="0.25">
      <c r="A11009" s="1033"/>
      <c r="E11009" s="130"/>
    </row>
    <row r="11010" spans="1:5" x14ac:dyDescent="0.25">
      <c r="A11010" s="1033"/>
      <c r="E11010" s="130"/>
    </row>
    <row r="11011" spans="1:5" x14ac:dyDescent="0.25">
      <c r="A11011" s="1033"/>
      <c r="E11011" s="130"/>
    </row>
    <row r="11012" spans="1:5" x14ac:dyDescent="0.25">
      <c r="A11012" s="1033"/>
      <c r="E11012" s="130"/>
    </row>
    <row r="11013" spans="1:5" x14ac:dyDescent="0.25">
      <c r="A11013" s="1033"/>
      <c r="E11013" s="130"/>
    </row>
    <row r="11014" spans="1:5" x14ac:dyDescent="0.25">
      <c r="A11014" s="1033"/>
      <c r="E11014" s="130"/>
    </row>
    <row r="11015" spans="1:5" x14ac:dyDescent="0.25">
      <c r="A11015" s="1033"/>
      <c r="E11015" s="130"/>
    </row>
    <row r="11016" spans="1:5" x14ac:dyDescent="0.25">
      <c r="A11016" s="1033"/>
      <c r="E11016" s="130"/>
    </row>
    <row r="11017" spans="1:5" x14ac:dyDescent="0.25">
      <c r="A11017" s="1033"/>
      <c r="E11017" s="130"/>
    </row>
    <row r="11018" spans="1:5" x14ac:dyDescent="0.25">
      <c r="A11018" s="1033"/>
      <c r="E11018" s="130"/>
    </row>
    <row r="11019" spans="1:5" x14ac:dyDescent="0.25">
      <c r="A11019" s="1033"/>
      <c r="E11019" s="130"/>
    </row>
    <row r="11020" spans="1:5" x14ac:dyDescent="0.25">
      <c r="A11020" s="1033"/>
      <c r="E11020" s="130"/>
    </row>
    <row r="11021" spans="1:5" x14ac:dyDescent="0.25">
      <c r="A11021" s="1033"/>
      <c r="E11021" s="130"/>
    </row>
    <row r="11022" spans="1:5" x14ac:dyDescent="0.25">
      <c r="A11022" s="1033"/>
      <c r="E11022" s="130"/>
    </row>
    <row r="11023" spans="1:5" x14ac:dyDescent="0.25">
      <c r="A11023" s="1033"/>
      <c r="E11023" s="130"/>
    </row>
    <row r="11024" spans="1:5" x14ac:dyDescent="0.25">
      <c r="A11024" s="1033"/>
      <c r="E11024" s="130"/>
    </row>
    <row r="11025" spans="1:5" x14ac:dyDescent="0.25">
      <c r="A11025" s="1033"/>
      <c r="E11025" s="130"/>
    </row>
    <row r="11026" spans="1:5" x14ac:dyDescent="0.25">
      <c r="A11026" s="1033"/>
      <c r="E11026" s="130"/>
    </row>
    <row r="11027" spans="1:5" x14ac:dyDescent="0.25">
      <c r="A11027" s="1033"/>
      <c r="E11027" s="130"/>
    </row>
    <row r="11028" spans="1:5" x14ac:dyDescent="0.25">
      <c r="A11028" s="1033"/>
      <c r="E11028" s="130"/>
    </row>
    <row r="11029" spans="1:5" x14ac:dyDescent="0.25">
      <c r="A11029" s="1033"/>
      <c r="E11029" s="130"/>
    </row>
    <row r="11030" spans="1:5" x14ac:dyDescent="0.25">
      <c r="A11030" s="1033"/>
      <c r="E11030" s="130"/>
    </row>
    <row r="11031" spans="1:5" x14ac:dyDescent="0.25">
      <c r="A11031" s="1033"/>
      <c r="E11031" s="130"/>
    </row>
    <row r="11032" spans="1:5" x14ac:dyDescent="0.25">
      <c r="A11032" s="1033"/>
      <c r="E11032" s="130"/>
    </row>
    <row r="11033" spans="1:5" x14ac:dyDescent="0.25">
      <c r="A11033" s="1033"/>
      <c r="E11033" s="130"/>
    </row>
    <row r="11034" spans="1:5" x14ac:dyDescent="0.25">
      <c r="A11034" s="1033"/>
      <c r="E11034" s="130"/>
    </row>
    <row r="11035" spans="1:5" x14ac:dyDescent="0.25">
      <c r="A11035" s="1033"/>
      <c r="E11035" s="130"/>
    </row>
    <row r="11036" spans="1:5" x14ac:dyDescent="0.25">
      <c r="A11036" s="1033"/>
      <c r="E11036" s="130"/>
    </row>
    <row r="11037" spans="1:5" x14ac:dyDescent="0.25">
      <c r="A11037" s="1033"/>
      <c r="E11037" s="130"/>
    </row>
    <row r="11038" spans="1:5" x14ac:dyDescent="0.25">
      <c r="A11038" s="1033"/>
      <c r="E11038" s="130"/>
    </row>
    <row r="11039" spans="1:5" x14ac:dyDescent="0.25">
      <c r="A11039" s="1033"/>
      <c r="E11039" s="130"/>
    </row>
    <row r="11040" spans="1:5" x14ac:dyDescent="0.25">
      <c r="A11040" s="1033"/>
      <c r="E11040" s="130"/>
    </row>
    <row r="11041" spans="1:5" x14ac:dyDescent="0.25">
      <c r="A11041" s="1033"/>
      <c r="E11041" s="130"/>
    </row>
    <row r="11042" spans="1:5" x14ac:dyDescent="0.25">
      <c r="A11042" s="1033"/>
      <c r="E11042" s="130"/>
    </row>
    <row r="11043" spans="1:5" x14ac:dyDescent="0.25">
      <c r="A11043" s="1033"/>
      <c r="E11043" s="130"/>
    </row>
    <row r="11044" spans="1:5" x14ac:dyDescent="0.25">
      <c r="A11044" s="1033"/>
      <c r="E11044" s="130"/>
    </row>
    <row r="11045" spans="1:5" x14ac:dyDescent="0.25">
      <c r="A11045" s="1033"/>
      <c r="E11045" s="130"/>
    </row>
    <row r="11046" spans="1:5" x14ac:dyDescent="0.25">
      <c r="A11046" s="1033"/>
      <c r="E11046" s="130"/>
    </row>
    <row r="11047" spans="1:5" x14ac:dyDescent="0.25">
      <c r="A11047" s="1033"/>
      <c r="E11047" s="130"/>
    </row>
    <row r="11048" spans="1:5" x14ac:dyDescent="0.25">
      <c r="A11048" s="1033"/>
      <c r="E11048" s="130"/>
    </row>
    <row r="11049" spans="1:5" x14ac:dyDescent="0.25">
      <c r="A11049" s="1033"/>
      <c r="E11049" s="130"/>
    </row>
    <row r="11050" spans="1:5" x14ac:dyDescent="0.25">
      <c r="A11050" s="1033"/>
      <c r="E11050" s="130"/>
    </row>
    <row r="11051" spans="1:5" x14ac:dyDescent="0.25">
      <c r="A11051" s="1033"/>
      <c r="E11051" s="130"/>
    </row>
    <row r="11052" spans="1:5" x14ac:dyDescent="0.25">
      <c r="A11052" s="1033"/>
      <c r="E11052" s="130"/>
    </row>
    <row r="11053" spans="1:5" x14ac:dyDescent="0.25">
      <c r="A11053" s="1033"/>
      <c r="E11053" s="130"/>
    </row>
    <row r="11054" spans="1:5" x14ac:dyDescent="0.25">
      <c r="A11054" s="1033"/>
      <c r="E11054" s="130"/>
    </row>
    <row r="11055" spans="1:5" x14ac:dyDescent="0.25">
      <c r="A11055" s="1033"/>
      <c r="E11055" s="130"/>
    </row>
    <row r="11056" spans="1:5" x14ac:dyDescent="0.25">
      <c r="A11056" s="1033"/>
      <c r="E11056" s="130"/>
    </row>
    <row r="11057" spans="1:5" x14ac:dyDescent="0.25">
      <c r="A11057" s="1033"/>
      <c r="E11057" s="130"/>
    </row>
    <row r="11058" spans="1:5" x14ac:dyDescent="0.25">
      <c r="A11058" s="1033"/>
      <c r="E11058" s="130"/>
    </row>
    <row r="11059" spans="1:5" x14ac:dyDescent="0.25">
      <c r="A11059" s="1033"/>
      <c r="E11059" s="130"/>
    </row>
    <row r="11060" spans="1:5" x14ac:dyDescent="0.25">
      <c r="A11060" s="1033"/>
      <c r="E11060" s="130"/>
    </row>
    <row r="11061" spans="1:5" x14ac:dyDescent="0.25">
      <c r="A11061" s="1033"/>
      <c r="E11061" s="130"/>
    </row>
    <row r="11062" spans="1:5" x14ac:dyDescent="0.25">
      <c r="A11062" s="1033"/>
      <c r="E11062" s="130"/>
    </row>
    <row r="11063" spans="1:5" x14ac:dyDescent="0.25">
      <c r="A11063" s="1033"/>
      <c r="E11063" s="130"/>
    </row>
    <row r="11064" spans="1:5" x14ac:dyDescent="0.25">
      <c r="A11064" s="1033"/>
      <c r="E11064" s="130"/>
    </row>
    <row r="11065" spans="1:5" x14ac:dyDescent="0.25">
      <c r="A11065" s="1033"/>
      <c r="E11065" s="130"/>
    </row>
    <row r="11066" spans="1:5" x14ac:dyDescent="0.25">
      <c r="A11066" s="1033"/>
      <c r="E11066" s="130"/>
    </row>
    <row r="11067" spans="1:5" x14ac:dyDescent="0.25">
      <c r="A11067" s="1033"/>
      <c r="E11067" s="130"/>
    </row>
    <row r="11068" spans="1:5" x14ac:dyDescent="0.25">
      <c r="A11068" s="1033"/>
      <c r="E11068" s="130"/>
    </row>
    <row r="11069" spans="1:5" x14ac:dyDescent="0.25">
      <c r="A11069" s="1033"/>
      <c r="E11069" s="130"/>
    </row>
    <row r="11070" spans="1:5" x14ac:dyDescent="0.25">
      <c r="A11070" s="1033"/>
      <c r="E11070" s="130"/>
    </row>
    <row r="11071" spans="1:5" x14ac:dyDescent="0.25">
      <c r="A11071" s="1033"/>
      <c r="E11071" s="130"/>
    </row>
    <row r="11072" spans="1:5" x14ac:dyDescent="0.25">
      <c r="A11072" s="1033"/>
      <c r="E11072" s="130"/>
    </row>
    <row r="11073" spans="1:5" x14ac:dyDescent="0.25">
      <c r="A11073" s="1033"/>
      <c r="E11073" s="130"/>
    </row>
    <row r="11074" spans="1:5" x14ac:dyDescent="0.25">
      <c r="A11074" s="1033"/>
      <c r="E11074" s="130"/>
    </row>
    <row r="11075" spans="1:5" x14ac:dyDescent="0.25">
      <c r="A11075" s="1033"/>
      <c r="E11075" s="130"/>
    </row>
    <row r="11076" spans="1:5" x14ac:dyDescent="0.25">
      <c r="A11076" s="1033"/>
      <c r="E11076" s="130"/>
    </row>
    <row r="11077" spans="1:5" x14ac:dyDescent="0.25">
      <c r="A11077" s="1033"/>
      <c r="E11077" s="130"/>
    </row>
    <row r="11078" spans="1:5" x14ac:dyDescent="0.25">
      <c r="A11078" s="1033"/>
      <c r="E11078" s="130"/>
    </row>
    <row r="11079" spans="1:5" x14ac:dyDescent="0.25">
      <c r="A11079" s="1033"/>
      <c r="E11079" s="130"/>
    </row>
    <row r="11080" spans="1:5" x14ac:dyDescent="0.25">
      <c r="A11080" s="1033"/>
      <c r="E11080" s="130"/>
    </row>
    <row r="11081" spans="1:5" x14ac:dyDescent="0.25">
      <c r="A11081" s="1033"/>
      <c r="E11081" s="130"/>
    </row>
    <row r="11082" spans="1:5" x14ac:dyDescent="0.25">
      <c r="A11082" s="1033"/>
      <c r="E11082" s="130"/>
    </row>
    <row r="11083" spans="1:5" x14ac:dyDescent="0.25">
      <c r="A11083" s="1033"/>
      <c r="E11083" s="130"/>
    </row>
    <row r="11084" spans="1:5" x14ac:dyDescent="0.25">
      <c r="A11084" s="1033"/>
      <c r="E11084" s="130"/>
    </row>
    <row r="11085" spans="1:5" x14ac:dyDescent="0.25">
      <c r="A11085" s="1033"/>
      <c r="E11085" s="130"/>
    </row>
    <row r="11086" spans="1:5" x14ac:dyDescent="0.25">
      <c r="A11086" s="1033"/>
      <c r="E11086" s="130"/>
    </row>
    <row r="11087" spans="1:5" x14ac:dyDescent="0.25">
      <c r="A11087" s="1033"/>
      <c r="E11087" s="130"/>
    </row>
    <row r="11088" spans="1:5" x14ac:dyDescent="0.25">
      <c r="A11088" s="1033"/>
      <c r="E11088" s="130"/>
    </row>
    <row r="11089" spans="1:5" x14ac:dyDescent="0.25">
      <c r="A11089" s="1033"/>
      <c r="E11089" s="130"/>
    </row>
    <row r="11090" spans="1:5" x14ac:dyDescent="0.25">
      <c r="A11090" s="1033"/>
      <c r="E11090" s="130"/>
    </row>
    <row r="11091" spans="1:5" x14ac:dyDescent="0.25">
      <c r="A11091" s="1033"/>
      <c r="E11091" s="130"/>
    </row>
    <row r="11092" spans="1:5" x14ac:dyDescent="0.25">
      <c r="A11092" s="1033"/>
      <c r="E11092" s="130"/>
    </row>
    <row r="11093" spans="1:5" x14ac:dyDescent="0.25">
      <c r="A11093" s="1033"/>
      <c r="E11093" s="130"/>
    </row>
    <row r="11094" spans="1:5" x14ac:dyDescent="0.25">
      <c r="A11094" s="1033"/>
      <c r="E11094" s="130"/>
    </row>
    <row r="11095" spans="1:5" x14ac:dyDescent="0.25">
      <c r="A11095" s="1033"/>
      <c r="E11095" s="130"/>
    </row>
    <row r="11096" spans="1:5" x14ac:dyDescent="0.25">
      <c r="A11096" s="1033"/>
      <c r="E11096" s="130"/>
    </row>
    <row r="11097" spans="1:5" x14ac:dyDescent="0.25">
      <c r="A11097" s="1033"/>
      <c r="E11097" s="130"/>
    </row>
    <row r="11098" spans="1:5" x14ac:dyDescent="0.25">
      <c r="A11098" s="1033"/>
      <c r="E11098" s="130"/>
    </row>
    <row r="11099" spans="1:5" x14ac:dyDescent="0.25">
      <c r="A11099" s="1033"/>
      <c r="E11099" s="130"/>
    </row>
    <row r="11100" spans="1:5" x14ac:dyDescent="0.25">
      <c r="A11100" s="1033"/>
      <c r="E11100" s="130"/>
    </row>
    <row r="11101" spans="1:5" x14ac:dyDescent="0.25">
      <c r="A11101" s="1033"/>
      <c r="E11101" s="130"/>
    </row>
    <row r="11102" spans="1:5" x14ac:dyDescent="0.25">
      <c r="A11102" s="1033"/>
      <c r="E11102" s="130"/>
    </row>
    <row r="11103" spans="1:5" x14ac:dyDescent="0.25">
      <c r="A11103" s="1033"/>
      <c r="E11103" s="130"/>
    </row>
    <row r="11104" spans="1:5" x14ac:dyDescent="0.25">
      <c r="A11104" s="1033"/>
      <c r="E11104" s="130"/>
    </row>
    <row r="11105" spans="1:5" x14ac:dyDescent="0.25">
      <c r="A11105" s="1033"/>
      <c r="E11105" s="130"/>
    </row>
    <row r="11106" spans="1:5" x14ac:dyDescent="0.25">
      <c r="A11106" s="1033"/>
      <c r="E11106" s="130"/>
    </row>
    <row r="11107" spans="1:5" x14ac:dyDescent="0.25">
      <c r="A11107" s="1033"/>
      <c r="E11107" s="130"/>
    </row>
    <row r="11108" spans="1:5" x14ac:dyDescent="0.25">
      <c r="A11108" s="1033"/>
      <c r="E11108" s="130"/>
    </row>
    <row r="11109" spans="1:5" x14ac:dyDescent="0.25">
      <c r="A11109" s="1033"/>
      <c r="E11109" s="130"/>
    </row>
    <row r="11110" spans="1:5" x14ac:dyDescent="0.25">
      <c r="A11110" s="1033"/>
      <c r="E11110" s="130"/>
    </row>
    <row r="11111" spans="1:5" x14ac:dyDescent="0.25">
      <c r="A11111" s="1033"/>
      <c r="E11111" s="130"/>
    </row>
    <row r="11112" spans="1:5" x14ac:dyDescent="0.25">
      <c r="A11112" s="1033"/>
      <c r="E11112" s="130"/>
    </row>
    <row r="11113" spans="1:5" x14ac:dyDescent="0.25">
      <c r="A11113" s="1033"/>
      <c r="E11113" s="130"/>
    </row>
    <row r="11114" spans="1:5" x14ac:dyDescent="0.25">
      <c r="A11114" s="1033"/>
      <c r="E11114" s="130"/>
    </row>
    <row r="11115" spans="1:5" x14ac:dyDescent="0.25">
      <c r="A11115" s="1033"/>
      <c r="E11115" s="130"/>
    </row>
    <row r="11116" spans="1:5" x14ac:dyDescent="0.25">
      <c r="A11116" s="1033"/>
      <c r="E11116" s="130"/>
    </row>
    <row r="11117" spans="1:5" x14ac:dyDescent="0.25">
      <c r="A11117" s="1033"/>
      <c r="E11117" s="130"/>
    </row>
    <row r="11118" spans="1:5" x14ac:dyDescent="0.25">
      <c r="A11118" s="1033"/>
      <c r="E11118" s="130"/>
    </row>
    <row r="11119" spans="1:5" x14ac:dyDescent="0.25">
      <c r="A11119" s="1033"/>
      <c r="E11119" s="130"/>
    </row>
    <row r="11120" spans="1:5" x14ac:dyDescent="0.25">
      <c r="A11120" s="1033"/>
      <c r="E11120" s="130"/>
    </row>
    <row r="11121" spans="1:5" x14ac:dyDescent="0.25">
      <c r="A11121" s="1033"/>
      <c r="E11121" s="130"/>
    </row>
    <row r="11122" spans="1:5" x14ac:dyDescent="0.25">
      <c r="A11122" s="1033"/>
      <c r="E11122" s="130"/>
    </row>
    <row r="11123" spans="1:5" x14ac:dyDescent="0.25">
      <c r="A11123" s="1033"/>
      <c r="E11123" s="130"/>
    </row>
    <row r="11124" spans="1:5" x14ac:dyDescent="0.25">
      <c r="A11124" s="1033"/>
      <c r="E11124" s="130"/>
    </row>
    <row r="11125" spans="1:5" x14ac:dyDescent="0.25">
      <c r="A11125" s="1033"/>
      <c r="E11125" s="130"/>
    </row>
    <row r="11126" spans="1:5" x14ac:dyDescent="0.25">
      <c r="A11126" s="1033"/>
      <c r="E11126" s="130"/>
    </row>
    <row r="11127" spans="1:5" x14ac:dyDescent="0.25">
      <c r="A11127" s="1033"/>
      <c r="E11127" s="130"/>
    </row>
    <row r="11128" spans="1:5" x14ac:dyDescent="0.25">
      <c r="A11128" s="1033"/>
      <c r="E11128" s="130"/>
    </row>
    <row r="11129" spans="1:5" x14ac:dyDescent="0.25">
      <c r="A11129" s="1033"/>
      <c r="E11129" s="130"/>
    </row>
    <row r="11130" spans="1:5" x14ac:dyDescent="0.25">
      <c r="A11130" s="1033"/>
      <c r="E11130" s="130"/>
    </row>
    <row r="11131" spans="1:5" x14ac:dyDescent="0.25">
      <c r="A11131" s="1033"/>
      <c r="E11131" s="130"/>
    </row>
    <row r="11132" spans="1:5" x14ac:dyDescent="0.25">
      <c r="A11132" s="1033"/>
      <c r="E11132" s="130"/>
    </row>
    <row r="11133" spans="1:5" x14ac:dyDescent="0.25">
      <c r="A11133" s="1033"/>
      <c r="E11133" s="130"/>
    </row>
    <row r="11134" spans="1:5" x14ac:dyDescent="0.25">
      <c r="A11134" s="1033"/>
      <c r="E11134" s="130"/>
    </row>
    <row r="11135" spans="1:5" x14ac:dyDescent="0.25">
      <c r="A11135" s="1033"/>
      <c r="E11135" s="130"/>
    </row>
    <row r="11136" spans="1:5" x14ac:dyDescent="0.25">
      <c r="A11136" s="1033"/>
      <c r="E11136" s="130"/>
    </row>
    <row r="11137" spans="1:5" x14ac:dyDescent="0.25">
      <c r="A11137" s="1033"/>
      <c r="E11137" s="130"/>
    </row>
    <row r="11138" spans="1:5" x14ac:dyDescent="0.25">
      <c r="A11138" s="1033"/>
      <c r="E11138" s="130"/>
    </row>
    <row r="11139" spans="1:5" x14ac:dyDescent="0.25">
      <c r="A11139" s="1033"/>
      <c r="E11139" s="130"/>
    </row>
    <row r="11140" spans="1:5" x14ac:dyDescent="0.25">
      <c r="A11140" s="1033"/>
      <c r="E11140" s="130"/>
    </row>
    <row r="11141" spans="1:5" x14ac:dyDescent="0.25">
      <c r="A11141" s="1033"/>
      <c r="E11141" s="130"/>
    </row>
    <row r="11142" spans="1:5" x14ac:dyDescent="0.25">
      <c r="A11142" s="1033"/>
      <c r="E11142" s="130"/>
    </row>
    <row r="11143" spans="1:5" x14ac:dyDescent="0.25">
      <c r="A11143" s="1033"/>
      <c r="E11143" s="130"/>
    </row>
    <row r="11144" spans="1:5" x14ac:dyDescent="0.25">
      <c r="A11144" s="1033"/>
      <c r="E11144" s="130"/>
    </row>
    <row r="11145" spans="1:5" x14ac:dyDescent="0.25">
      <c r="A11145" s="1033"/>
      <c r="E11145" s="130"/>
    </row>
    <row r="11146" spans="1:5" x14ac:dyDescent="0.25">
      <c r="A11146" s="1033"/>
      <c r="E11146" s="130"/>
    </row>
    <row r="11147" spans="1:5" x14ac:dyDescent="0.25">
      <c r="A11147" s="1033"/>
      <c r="E11147" s="130"/>
    </row>
    <row r="11148" spans="1:5" x14ac:dyDescent="0.25">
      <c r="A11148" s="1033"/>
      <c r="E11148" s="130"/>
    </row>
    <row r="11149" spans="1:5" x14ac:dyDescent="0.25">
      <c r="A11149" s="1033"/>
      <c r="E11149" s="130"/>
    </row>
    <row r="11150" spans="1:5" x14ac:dyDescent="0.25">
      <c r="A11150" s="1033"/>
      <c r="E11150" s="130"/>
    </row>
    <row r="11151" spans="1:5" x14ac:dyDescent="0.25">
      <c r="A11151" s="1033"/>
      <c r="E11151" s="130"/>
    </row>
    <row r="11152" spans="1:5" x14ac:dyDescent="0.25">
      <c r="A11152" s="1033"/>
      <c r="E11152" s="130"/>
    </row>
    <row r="11153" spans="1:5" x14ac:dyDescent="0.25">
      <c r="A11153" s="1033"/>
      <c r="E11153" s="130"/>
    </row>
    <row r="11154" spans="1:5" x14ac:dyDescent="0.25">
      <c r="A11154" s="1033"/>
      <c r="E11154" s="130"/>
    </row>
    <row r="11155" spans="1:5" x14ac:dyDescent="0.25">
      <c r="A11155" s="1033"/>
      <c r="E11155" s="130"/>
    </row>
    <row r="11156" spans="1:5" x14ac:dyDescent="0.25">
      <c r="A11156" s="1033"/>
      <c r="E11156" s="130"/>
    </row>
    <row r="11157" spans="1:5" x14ac:dyDescent="0.25">
      <c r="A11157" s="1033"/>
      <c r="E11157" s="130"/>
    </row>
    <row r="11158" spans="1:5" x14ac:dyDescent="0.25">
      <c r="A11158" s="1033"/>
      <c r="E11158" s="130"/>
    </row>
    <row r="11159" spans="1:5" x14ac:dyDescent="0.25">
      <c r="A11159" s="1033"/>
      <c r="E11159" s="130"/>
    </row>
    <row r="11160" spans="1:5" x14ac:dyDescent="0.25">
      <c r="A11160" s="1033"/>
      <c r="E11160" s="130"/>
    </row>
    <row r="11161" spans="1:5" x14ac:dyDescent="0.25">
      <c r="A11161" s="1033"/>
      <c r="E11161" s="130"/>
    </row>
    <row r="11162" spans="1:5" x14ac:dyDescent="0.25">
      <c r="A11162" s="1033"/>
      <c r="E11162" s="130"/>
    </row>
    <row r="11163" spans="1:5" x14ac:dyDescent="0.25">
      <c r="A11163" s="1033"/>
      <c r="E11163" s="130"/>
    </row>
    <row r="11164" spans="1:5" x14ac:dyDescent="0.25">
      <c r="A11164" s="1033"/>
      <c r="E11164" s="130"/>
    </row>
    <row r="11165" spans="1:5" x14ac:dyDescent="0.25">
      <c r="A11165" s="1033"/>
      <c r="E11165" s="130"/>
    </row>
    <row r="11166" spans="1:5" x14ac:dyDescent="0.25">
      <c r="A11166" s="1033"/>
      <c r="E11166" s="130"/>
    </row>
    <row r="11167" spans="1:5" x14ac:dyDescent="0.25">
      <c r="A11167" s="1033"/>
      <c r="E11167" s="130"/>
    </row>
    <row r="11168" spans="1:5" x14ac:dyDescent="0.25">
      <c r="A11168" s="1033"/>
      <c r="E11168" s="130"/>
    </row>
    <row r="11169" spans="1:5" x14ac:dyDescent="0.25">
      <c r="A11169" s="1033"/>
      <c r="E11169" s="130"/>
    </row>
    <row r="11170" spans="1:5" x14ac:dyDescent="0.25">
      <c r="A11170" s="1033"/>
      <c r="E11170" s="130"/>
    </row>
    <row r="11171" spans="1:5" x14ac:dyDescent="0.25">
      <c r="A11171" s="1033"/>
      <c r="E11171" s="130"/>
    </row>
    <row r="11172" spans="1:5" x14ac:dyDescent="0.25">
      <c r="A11172" s="1033"/>
      <c r="E11172" s="130"/>
    </row>
    <row r="11173" spans="1:5" x14ac:dyDescent="0.25">
      <c r="A11173" s="1033"/>
      <c r="E11173" s="130"/>
    </row>
    <row r="11174" spans="1:5" x14ac:dyDescent="0.25">
      <c r="A11174" s="1033"/>
      <c r="E11174" s="130"/>
    </row>
    <row r="11175" spans="1:5" x14ac:dyDescent="0.25">
      <c r="A11175" s="1033"/>
      <c r="E11175" s="130"/>
    </row>
    <row r="11176" spans="1:5" x14ac:dyDescent="0.25">
      <c r="A11176" s="1033"/>
      <c r="E11176" s="130"/>
    </row>
    <row r="11177" spans="1:5" x14ac:dyDescent="0.25">
      <c r="A11177" s="1033"/>
      <c r="E11177" s="130"/>
    </row>
    <row r="11178" spans="1:5" x14ac:dyDescent="0.25">
      <c r="A11178" s="1033"/>
      <c r="E11178" s="130"/>
    </row>
    <row r="11179" spans="1:5" x14ac:dyDescent="0.25">
      <c r="A11179" s="1033"/>
      <c r="E11179" s="130"/>
    </row>
    <row r="11180" spans="1:5" x14ac:dyDescent="0.25">
      <c r="A11180" s="1033"/>
      <c r="E11180" s="130"/>
    </row>
    <row r="11181" spans="1:5" x14ac:dyDescent="0.25">
      <c r="A11181" s="1033"/>
      <c r="E11181" s="130"/>
    </row>
    <row r="11182" spans="1:5" x14ac:dyDescent="0.25">
      <c r="A11182" s="1033"/>
      <c r="E11182" s="130"/>
    </row>
    <row r="11183" spans="1:5" x14ac:dyDescent="0.25">
      <c r="A11183" s="1033"/>
      <c r="E11183" s="130"/>
    </row>
    <row r="11184" spans="1:5" x14ac:dyDescent="0.25">
      <c r="A11184" s="1033"/>
      <c r="E11184" s="130"/>
    </row>
    <row r="11185" spans="1:5" x14ac:dyDescent="0.25">
      <c r="A11185" s="1033"/>
      <c r="E11185" s="130"/>
    </row>
    <row r="11186" spans="1:5" x14ac:dyDescent="0.25">
      <c r="A11186" s="1033"/>
      <c r="E11186" s="130"/>
    </row>
    <row r="11187" spans="1:5" x14ac:dyDescent="0.25">
      <c r="A11187" s="1033"/>
      <c r="E11187" s="130"/>
    </row>
    <row r="11188" spans="1:5" x14ac:dyDescent="0.25">
      <c r="A11188" s="1033"/>
      <c r="E11188" s="130"/>
    </row>
    <row r="11189" spans="1:5" x14ac:dyDescent="0.25">
      <c r="A11189" s="1033"/>
      <c r="E11189" s="130"/>
    </row>
    <row r="11190" spans="1:5" x14ac:dyDescent="0.25">
      <c r="A11190" s="1033"/>
      <c r="E11190" s="130"/>
    </row>
    <row r="11191" spans="1:5" x14ac:dyDescent="0.25">
      <c r="A11191" s="1033"/>
      <c r="E11191" s="130"/>
    </row>
    <row r="11192" spans="1:5" x14ac:dyDescent="0.25">
      <c r="A11192" s="1033"/>
      <c r="E11192" s="130"/>
    </row>
    <row r="11193" spans="1:5" x14ac:dyDescent="0.25">
      <c r="A11193" s="1033"/>
      <c r="E11193" s="130"/>
    </row>
    <row r="11194" spans="1:5" x14ac:dyDescent="0.25">
      <c r="A11194" s="1033"/>
      <c r="E11194" s="130"/>
    </row>
    <row r="11195" spans="1:5" x14ac:dyDescent="0.25">
      <c r="A11195" s="1033"/>
      <c r="E11195" s="130"/>
    </row>
    <row r="11196" spans="1:5" x14ac:dyDescent="0.25">
      <c r="A11196" s="1033"/>
      <c r="E11196" s="130"/>
    </row>
    <row r="11197" spans="1:5" x14ac:dyDescent="0.25">
      <c r="A11197" s="1033"/>
      <c r="E11197" s="130"/>
    </row>
    <row r="11198" spans="1:5" x14ac:dyDescent="0.25">
      <c r="A11198" s="1033"/>
      <c r="E11198" s="130"/>
    </row>
    <row r="11199" spans="1:5" x14ac:dyDescent="0.25">
      <c r="A11199" s="1033"/>
      <c r="E11199" s="130"/>
    </row>
    <row r="11200" spans="1:5" x14ac:dyDescent="0.25">
      <c r="A11200" s="1033"/>
      <c r="E11200" s="130"/>
    </row>
    <row r="11201" spans="1:5" x14ac:dyDescent="0.25">
      <c r="A11201" s="1033"/>
      <c r="E11201" s="130"/>
    </row>
    <row r="11202" spans="1:5" x14ac:dyDescent="0.25">
      <c r="A11202" s="1033"/>
      <c r="E11202" s="130"/>
    </row>
    <row r="11203" spans="1:5" x14ac:dyDescent="0.25">
      <c r="A11203" s="1033"/>
      <c r="E11203" s="130"/>
    </row>
    <row r="11204" spans="1:5" x14ac:dyDescent="0.25">
      <c r="A11204" s="1033"/>
      <c r="E11204" s="130"/>
    </row>
    <row r="11205" spans="1:5" x14ac:dyDescent="0.25">
      <c r="A11205" s="1033"/>
      <c r="E11205" s="130"/>
    </row>
    <row r="11206" spans="1:5" x14ac:dyDescent="0.25">
      <c r="A11206" s="1033"/>
      <c r="E11206" s="130"/>
    </row>
    <row r="11207" spans="1:5" x14ac:dyDescent="0.25">
      <c r="A11207" s="1033"/>
      <c r="E11207" s="130"/>
    </row>
    <row r="11208" spans="1:5" x14ac:dyDescent="0.25">
      <c r="A11208" s="1033"/>
      <c r="E11208" s="130"/>
    </row>
    <row r="11209" spans="1:5" x14ac:dyDescent="0.25">
      <c r="A11209" s="1033"/>
      <c r="E11209" s="130"/>
    </row>
    <row r="11210" spans="1:5" x14ac:dyDescent="0.25">
      <c r="A11210" s="1033"/>
      <c r="E11210" s="130"/>
    </row>
    <row r="11211" spans="1:5" x14ac:dyDescent="0.25">
      <c r="A11211" s="1033"/>
      <c r="E11211" s="130"/>
    </row>
    <row r="11212" spans="1:5" x14ac:dyDescent="0.25">
      <c r="A11212" s="1033"/>
      <c r="E11212" s="130"/>
    </row>
    <row r="11213" spans="1:5" x14ac:dyDescent="0.25">
      <c r="A11213" s="1033"/>
      <c r="E11213" s="130"/>
    </row>
    <row r="11214" spans="1:5" x14ac:dyDescent="0.25">
      <c r="A11214" s="1033"/>
      <c r="E11214" s="130"/>
    </row>
    <row r="11215" spans="1:5" x14ac:dyDescent="0.25">
      <c r="A11215" s="1033"/>
      <c r="E11215" s="130"/>
    </row>
    <row r="11216" spans="1:5" x14ac:dyDescent="0.25">
      <c r="A11216" s="1033"/>
      <c r="E11216" s="130"/>
    </row>
    <row r="11217" spans="1:5" x14ac:dyDescent="0.25">
      <c r="A11217" s="1033"/>
      <c r="E11217" s="130"/>
    </row>
    <row r="11218" spans="1:5" x14ac:dyDescent="0.25">
      <c r="A11218" s="1033"/>
      <c r="E11218" s="130"/>
    </row>
    <row r="11219" spans="1:5" x14ac:dyDescent="0.25">
      <c r="A11219" s="1033"/>
      <c r="E11219" s="130"/>
    </row>
    <row r="11220" spans="1:5" x14ac:dyDescent="0.25">
      <c r="A11220" s="1033"/>
      <c r="E11220" s="130"/>
    </row>
    <row r="11221" spans="1:5" x14ac:dyDescent="0.25">
      <c r="A11221" s="1033"/>
      <c r="E11221" s="130"/>
    </row>
    <row r="11222" spans="1:5" x14ac:dyDescent="0.25">
      <c r="A11222" s="1033"/>
      <c r="E11222" s="130"/>
    </row>
    <row r="11223" spans="1:5" x14ac:dyDescent="0.25">
      <c r="A11223" s="1033"/>
      <c r="E11223" s="130"/>
    </row>
    <row r="11224" spans="1:5" x14ac:dyDescent="0.25">
      <c r="A11224" s="1033"/>
      <c r="E11224" s="130"/>
    </row>
    <row r="11225" spans="1:5" x14ac:dyDescent="0.25">
      <c r="A11225" s="1033"/>
      <c r="E11225" s="130"/>
    </row>
    <row r="11226" spans="1:5" x14ac:dyDescent="0.25">
      <c r="A11226" s="1033"/>
      <c r="E11226" s="130"/>
    </row>
    <row r="11227" spans="1:5" x14ac:dyDescent="0.25">
      <c r="A11227" s="1033"/>
      <c r="E11227" s="130"/>
    </row>
    <row r="11228" spans="1:5" x14ac:dyDescent="0.25">
      <c r="A11228" s="1033"/>
      <c r="E11228" s="130"/>
    </row>
    <row r="11229" spans="1:5" x14ac:dyDescent="0.25">
      <c r="A11229" s="1033"/>
      <c r="E11229" s="130"/>
    </row>
    <row r="11230" spans="1:5" x14ac:dyDescent="0.25">
      <c r="A11230" s="1033"/>
      <c r="E11230" s="130"/>
    </row>
    <row r="11231" spans="1:5" x14ac:dyDescent="0.25">
      <c r="A11231" s="1033"/>
      <c r="E11231" s="130"/>
    </row>
    <row r="11232" spans="1:5" x14ac:dyDescent="0.25">
      <c r="A11232" s="1033"/>
      <c r="E11232" s="130"/>
    </row>
    <row r="11233" spans="1:5" x14ac:dyDescent="0.25">
      <c r="A11233" s="1033"/>
      <c r="E11233" s="130"/>
    </row>
    <row r="11234" spans="1:5" x14ac:dyDescent="0.25">
      <c r="A11234" s="1033"/>
      <c r="E11234" s="130"/>
    </row>
    <row r="11235" spans="1:5" x14ac:dyDescent="0.25">
      <c r="A11235" s="1033"/>
      <c r="E11235" s="130"/>
    </row>
    <row r="11236" spans="1:5" x14ac:dyDescent="0.25">
      <c r="A11236" s="1033"/>
      <c r="E11236" s="130"/>
    </row>
    <row r="11237" spans="1:5" x14ac:dyDescent="0.25">
      <c r="A11237" s="1033"/>
      <c r="E11237" s="130"/>
    </row>
    <row r="11238" spans="1:5" x14ac:dyDescent="0.25">
      <c r="A11238" s="1033"/>
      <c r="E11238" s="130"/>
    </row>
    <row r="11239" spans="1:5" x14ac:dyDescent="0.25">
      <c r="A11239" s="1033"/>
      <c r="E11239" s="130"/>
    </row>
    <row r="11240" spans="1:5" x14ac:dyDescent="0.25">
      <c r="A11240" s="1033"/>
      <c r="E11240" s="130"/>
    </row>
    <row r="11241" spans="1:5" x14ac:dyDescent="0.25">
      <c r="A11241" s="1033"/>
      <c r="E11241" s="130"/>
    </row>
    <row r="11242" spans="1:5" x14ac:dyDescent="0.25">
      <c r="A11242" s="1033"/>
      <c r="E11242" s="130"/>
    </row>
    <row r="11243" spans="1:5" x14ac:dyDescent="0.25">
      <c r="A11243" s="1033"/>
      <c r="E11243" s="130"/>
    </row>
    <row r="11244" spans="1:5" x14ac:dyDescent="0.25">
      <c r="A11244" s="1033"/>
      <c r="E11244" s="130"/>
    </row>
    <row r="11245" spans="1:5" x14ac:dyDescent="0.25">
      <c r="A11245" s="1033"/>
      <c r="E11245" s="130"/>
    </row>
    <row r="11246" spans="1:5" x14ac:dyDescent="0.25">
      <c r="A11246" s="1033"/>
      <c r="E11246" s="130"/>
    </row>
    <row r="11247" spans="1:5" x14ac:dyDescent="0.25">
      <c r="A11247" s="1033"/>
      <c r="E11247" s="130"/>
    </row>
    <row r="11248" spans="1:5" x14ac:dyDescent="0.25">
      <c r="A11248" s="1033"/>
      <c r="E11248" s="130"/>
    </row>
    <row r="11249" spans="1:5" x14ac:dyDescent="0.25">
      <c r="A11249" s="1033"/>
      <c r="E11249" s="130"/>
    </row>
    <row r="11250" spans="1:5" x14ac:dyDescent="0.25">
      <c r="A11250" s="1033"/>
      <c r="E11250" s="130"/>
    </row>
    <row r="11251" spans="1:5" x14ac:dyDescent="0.25">
      <c r="A11251" s="1033"/>
      <c r="E11251" s="130"/>
    </row>
    <row r="11252" spans="1:5" x14ac:dyDescent="0.25">
      <c r="A11252" s="1033"/>
      <c r="E11252" s="130"/>
    </row>
    <row r="11253" spans="1:5" x14ac:dyDescent="0.25">
      <c r="A11253" s="1033"/>
      <c r="E11253" s="130"/>
    </row>
    <row r="11254" spans="1:5" x14ac:dyDescent="0.25">
      <c r="A11254" s="1033"/>
      <c r="E11254" s="130"/>
    </row>
    <row r="11255" spans="1:5" x14ac:dyDescent="0.25">
      <c r="A11255" s="1033"/>
      <c r="E11255" s="130"/>
    </row>
    <row r="11256" spans="1:5" x14ac:dyDescent="0.25">
      <c r="A11256" s="1033"/>
      <c r="E11256" s="130"/>
    </row>
    <row r="11257" spans="1:5" x14ac:dyDescent="0.25">
      <c r="A11257" s="1033"/>
      <c r="E11257" s="130"/>
    </row>
    <row r="11258" spans="1:5" x14ac:dyDescent="0.25">
      <c r="A11258" s="1033"/>
      <c r="E11258" s="130"/>
    </row>
    <row r="11259" spans="1:5" x14ac:dyDescent="0.25">
      <c r="A11259" s="1033"/>
      <c r="E11259" s="130"/>
    </row>
    <row r="11260" spans="1:5" x14ac:dyDescent="0.25">
      <c r="A11260" s="1033"/>
      <c r="E11260" s="130"/>
    </row>
    <row r="11261" spans="1:5" x14ac:dyDescent="0.25">
      <c r="A11261" s="1033"/>
      <c r="E11261" s="130"/>
    </row>
    <row r="11262" spans="1:5" x14ac:dyDescent="0.25">
      <c r="A11262" s="1033"/>
      <c r="E11262" s="130"/>
    </row>
    <row r="11263" spans="1:5" x14ac:dyDescent="0.25">
      <c r="A11263" s="1033"/>
      <c r="E11263" s="130"/>
    </row>
    <row r="11264" spans="1:5" x14ac:dyDescent="0.25">
      <c r="A11264" s="1033"/>
      <c r="E11264" s="130"/>
    </row>
    <row r="11265" spans="1:5" x14ac:dyDescent="0.25">
      <c r="A11265" s="1033"/>
      <c r="E11265" s="130"/>
    </row>
    <row r="11266" spans="1:5" x14ac:dyDescent="0.25">
      <c r="A11266" s="1033"/>
      <c r="E11266" s="130"/>
    </row>
    <row r="11267" spans="1:5" x14ac:dyDescent="0.25">
      <c r="A11267" s="1033"/>
      <c r="E11267" s="130"/>
    </row>
    <row r="11268" spans="1:5" x14ac:dyDescent="0.25">
      <c r="A11268" s="1033"/>
      <c r="E11268" s="130"/>
    </row>
    <row r="11269" spans="1:5" x14ac:dyDescent="0.25">
      <c r="A11269" s="1033"/>
      <c r="E11269" s="130"/>
    </row>
    <row r="11270" spans="1:5" x14ac:dyDescent="0.25">
      <c r="A11270" s="1033"/>
      <c r="E11270" s="130"/>
    </row>
    <row r="11271" spans="1:5" x14ac:dyDescent="0.25">
      <c r="A11271" s="1033"/>
      <c r="E11271" s="130"/>
    </row>
    <row r="11272" spans="1:5" x14ac:dyDescent="0.25">
      <c r="A11272" s="1033"/>
      <c r="E11272" s="130"/>
    </row>
    <row r="11273" spans="1:5" x14ac:dyDescent="0.25">
      <c r="A11273" s="1033"/>
      <c r="E11273" s="130"/>
    </row>
    <row r="11274" spans="1:5" x14ac:dyDescent="0.25">
      <c r="A11274" s="1033"/>
      <c r="E11274" s="130"/>
    </row>
    <row r="11275" spans="1:5" x14ac:dyDescent="0.25">
      <c r="A11275" s="1033"/>
      <c r="E11275" s="130"/>
    </row>
    <row r="11276" spans="1:5" x14ac:dyDescent="0.25">
      <c r="A11276" s="1033"/>
      <c r="E11276" s="130"/>
    </row>
    <row r="11277" spans="1:5" x14ac:dyDescent="0.25">
      <c r="A11277" s="1033"/>
      <c r="E11277" s="130"/>
    </row>
    <row r="11278" spans="1:5" x14ac:dyDescent="0.25">
      <c r="A11278" s="1033"/>
      <c r="E11278" s="130"/>
    </row>
    <row r="11279" spans="1:5" x14ac:dyDescent="0.25">
      <c r="A11279" s="1033"/>
      <c r="E11279" s="130"/>
    </row>
    <row r="11280" spans="1:5" x14ac:dyDescent="0.25">
      <c r="A11280" s="1033"/>
      <c r="E11280" s="130"/>
    </row>
    <row r="11281" spans="1:5" x14ac:dyDescent="0.25">
      <c r="A11281" s="1033"/>
      <c r="E11281" s="130"/>
    </row>
    <row r="11282" spans="1:5" x14ac:dyDescent="0.25">
      <c r="A11282" s="1033"/>
      <c r="E11282" s="130"/>
    </row>
    <row r="11283" spans="1:5" x14ac:dyDescent="0.25">
      <c r="A11283" s="1033"/>
      <c r="E11283" s="130"/>
    </row>
    <row r="11284" spans="1:5" x14ac:dyDescent="0.25">
      <c r="A11284" s="1033"/>
      <c r="E11284" s="130"/>
    </row>
    <row r="11285" spans="1:5" x14ac:dyDescent="0.25">
      <c r="A11285" s="1033"/>
      <c r="E11285" s="130"/>
    </row>
    <row r="11286" spans="1:5" x14ac:dyDescent="0.25">
      <c r="A11286" s="1033"/>
      <c r="E11286" s="130"/>
    </row>
    <row r="11287" spans="1:5" x14ac:dyDescent="0.25">
      <c r="A11287" s="1033"/>
      <c r="E11287" s="130"/>
    </row>
    <row r="11288" spans="1:5" x14ac:dyDescent="0.25">
      <c r="A11288" s="1033"/>
      <c r="E11288" s="130"/>
    </row>
    <row r="11289" spans="1:5" x14ac:dyDescent="0.25">
      <c r="A11289" s="1033"/>
      <c r="E11289" s="130"/>
    </row>
    <row r="11290" spans="1:5" x14ac:dyDescent="0.25">
      <c r="A11290" s="1033"/>
      <c r="E11290" s="130"/>
    </row>
    <row r="11291" spans="1:5" x14ac:dyDescent="0.25">
      <c r="A11291" s="1033"/>
      <c r="E11291" s="130"/>
    </row>
    <row r="11292" spans="1:5" x14ac:dyDescent="0.25">
      <c r="A11292" s="1033"/>
      <c r="E11292" s="130"/>
    </row>
    <row r="11293" spans="1:5" x14ac:dyDescent="0.25">
      <c r="A11293" s="1033"/>
      <c r="E11293" s="130"/>
    </row>
    <row r="11294" spans="1:5" x14ac:dyDescent="0.25">
      <c r="A11294" s="1033"/>
      <c r="E11294" s="130"/>
    </row>
    <row r="11295" spans="1:5" x14ac:dyDescent="0.25">
      <c r="A11295" s="1033"/>
      <c r="E11295" s="130"/>
    </row>
    <row r="11296" spans="1:5" x14ac:dyDescent="0.25">
      <c r="A11296" s="1033"/>
      <c r="E11296" s="130"/>
    </row>
    <row r="11297" spans="1:5" x14ac:dyDescent="0.25">
      <c r="A11297" s="1033"/>
      <c r="E11297" s="130"/>
    </row>
    <row r="11298" spans="1:5" x14ac:dyDescent="0.25">
      <c r="A11298" s="1033"/>
      <c r="E11298" s="130"/>
    </row>
    <row r="11299" spans="1:5" x14ac:dyDescent="0.25">
      <c r="A11299" s="1033"/>
      <c r="E11299" s="130"/>
    </row>
    <row r="11300" spans="1:5" x14ac:dyDescent="0.25">
      <c r="A11300" s="1033"/>
      <c r="E11300" s="130"/>
    </row>
    <row r="11301" spans="1:5" x14ac:dyDescent="0.25">
      <c r="A11301" s="1033"/>
      <c r="E11301" s="130"/>
    </row>
    <row r="11302" spans="1:5" x14ac:dyDescent="0.25">
      <c r="A11302" s="1033"/>
      <c r="E11302" s="130"/>
    </row>
    <row r="11303" spans="1:5" x14ac:dyDescent="0.25">
      <c r="A11303" s="1033"/>
      <c r="E11303" s="130"/>
    </row>
    <row r="11304" spans="1:5" x14ac:dyDescent="0.25">
      <c r="A11304" s="1033"/>
      <c r="E11304" s="130"/>
    </row>
    <row r="11305" spans="1:5" x14ac:dyDescent="0.25">
      <c r="A11305" s="1033"/>
      <c r="E11305" s="130"/>
    </row>
    <row r="11306" spans="1:5" x14ac:dyDescent="0.25">
      <c r="A11306" s="1033"/>
      <c r="E11306" s="130"/>
    </row>
    <row r="11307" spans="1:5" x14ac:dyDescent="0.25">
      <c r="A11307" s="1033"/>
      <c r="E11307" s="130"/>
    </row>
    <row r="11308" spans="1:5" x14ac:dyDescent="0.25">
      <c r="A11308" s="1033"/>
      <c r="E11308" s="130"/>
    </row>
    <row r="11309" spans="1:5" x14ac:dyDescent="0.25">
      <c r="A11309" s="1033"/>
      <c r="E11309" s="130"/>
    </row>
    <row r="11310" spans="1:5" x14ac:dyDescent="0.25">
      <c r="A11310" s="1033"/>
      <c r="E11310" s="130"/>
    </row>
    <row r="11311" spans="1:5" x14ac:dyDescent="0.25">
      <c r="A11311" s="1033"/>
      <c r="E11311" s="130"/>
    </row>
    <row r="11312" spans="1:5" x14ac:dyDescent="0.25">
      <c r="A11312" s="1033"/>
      <c r="E11312" s="130"/>
    </row>
    <row r="11313" spans="1:5" x14ac:dyDescent="0.25">
      <c r="A11313" s="1033"/>
      <c r="E11313" s="130"/>
    </row>
    <row r="11314" spans="1:5" x14ac:dyDescent="0.25">
      <c r="A11314" s="1033"/>
      <c r="E11314" s="130"/>
    </row>
    <row r="11315" spans="1:5" x14ac:dyDescent="0.25">
      <c r="A11315" s="1033"/>
      <c r="E11315" s="130"/>
    </row>
    <row r="11316" spans="1:5" x14ac:dyDescent="0.25">
      <c r="A11316" s="1033"/>
      <c r="E11316" s="130"/>
    </row>
    <row r="11317" spans="1:5" x14ac:dyDescent="0.25">
      <c r="A11317" s="1033"/>
      <c r="E11317" s="130"/>
    </row>
    <row r="11318" spans="1:5" x14ac:dyDescent="0.25">
      <c r="A11318" s="1033"/>
      <c r="E11318" s="130"/>
    </row>
    <row r="11319" spans="1:5" x14ac:dyDescent="0.25">
      <c r="A11319" s="1033"/>
      <c r="E11319" s="130"/>
    </row>
    <row r="11320" spans="1:5" x14ac:dyDescent="0.25">
      <c r="A11320" s="1033"/>
      <c r="E11320" s="130"/>
    </row>
    <row r="11321" spans="1:5" x14ac:dyDescent="0.25">
      <c r="A11321" s="1033"/>
      <c r="E11321" s="130"/>
    </row>
    <row r="11322" spans="1:5" x14ac:dyDescent="0.25">
      <c r="A11322" s="1033"/>
      <c r="E11322" s="130"/>
    </row>
    <row r="11323" spans="1:5" x14ac:dyDescent="0.25">
      <c r="A11323" s="1033"/>
      <c r="E11323" s="130"/>
    </row>
    <row r="11324" spans="1:5" x14ac:dyDescent="0.25">
      <c r="A11324" s="1033"/>
      <c r="E11324" s="130"/>
    </row>
    <row r="11325" spans="1:5" x14ac:dyDescent="0.25">
      <c r="A11325" s="1033"/>
      <c r="E11325" s="130"/>
    </row>
    <row r="11326" spans="1:5" x14ac:dyDescent="0.25">
      <c r="A11326" s="1033"/>
      <c r="E11326" s="130"/>
    </row>
    <row r="11327" spans="1:5" x14ac:dyDescent="0.25">
      <c r="A11327" s="1033"/>
      <c r="E11327" s="130"/>
    </row>
    <row r="11328" spans="1:5" x14ac:dyDescent="0.25">
      <c r="A11328" s="1033"/>
      <c r="E11328" s="130"/>
    </row>
    <row r="11329" spans="1:5" x14ac:dyDescent="0.25">
      <c r="A11329" s="1033"/>
      <c r="E11329" s="130"/>
    </row>
    <row r="11330" spans="1:5" x14ac:dyDescent="0.25">
      <c r="A11330" s="1033"/>
      <c r="E11330" s="130"/>
    </row>
    <row r="11331" spans="1:5" x14ac:dyDescent="0.25">
      <c r="A11331" s="1033"/>
      <c r="E11331" s="130"/>
    </row>
    <row r="11332" spans="1:5" x14ac:dyDescent="0.25">
      <c r="A11332" s="1033"/>
      <c r="E11332" s="130"/>
    </row>
    <row r="11333" spans="1:5" x14ac:dyDescent="0.25">
      <c r="A11333" s="1033"/>
      <c r="E11333" s="130"/>
    </row>
    <row r="11334" spans="1:5" x14ac:dyDescent="0.25">
      <c r="A11334" s="1033"/>
      <c r="E11334" s="130"/>
    </row>
    <row r="11335" spans="1:5" x14ac:dyDescent="0.25">
      <c r="A11335" s="1033"/>
      <c r="E11335" s="130"/>
    </row>
    <row r="11336" spans="1:5" x14ac:dyDescent="0.25">
      <c r="A11336" s="1033"/>
      <c r="E11336" s="130"/>
    </row>
    <row r="11337" spans="1:5" x14ac:dyDescent="0.25">
      <c r="A11337" s="1033"/>
      <c r="E11337" s="130"/>
    </row>
    <row r="11338" spans="1:5" x14ac:dyDescent="0.25">
      <c r="A11338" s="1033"/>
      <c r="E11338" s="130"/>
    </row>
    <row r="11339" spans="1:5" x14ac:dyDescent="0.25">
      <c r="A11339" s="1033"/>
      <c r="E11339" s="130"/>
    </row>
    <row r="11340" spans="1:5" x14ac:dyDescent="0.25">
      <c r="A11340" s="1033"/>
      <c r="E11340" s="130"/>
    </row>
    <row r="11341" spans="1:5" x14ac:dyDescent="0.25">
      <c r="A11341" s="1033"/>
      <c r="E11341" s="130"/>
    </row>
    <row r="11342" spans="1:5" x14ac:dyDescent="0.25">
      <c r="A11342" s="1033"/>
      <c r="E11342" s="130"/>
    </row>
    <row r="11343" spans="1:5" x14ac:dyDescent="0.25">
      <c r="A11343" s="1033"/>
      <c r="E11343" s="130"/>
    </row>
    <row r="11344" spans="1:5" x14ac:dyDescent="0.25">
      <c r="A11344" s="1033"/>
      <c r="E11344" s="130"/>
    </row>
    <row r="11345" spans="1:5" x14ac:dyDescent="0.25">
      <c r="A11345" s="1033"/>
      <c r="E11345" s="130"/>
    </row>
    <row r="11346" spans="1:5" x14ac:dyDescent="0.25">
      <c r="A11346" s="1033"/>
      <c r="E11346" s="130"/>
    </row>
    <row r="11347" spans="1:5" x14ac:dyDescent="0.25">
      <c r="A11347" s="1033"/>
      <c r="E11347" s="130"/>
    </row>
    <row r="11348" spans="1:5" x14ac:dyDescent="0.25">
      <c r="A11348" s="1033"/>
      <c r="E11348" s="130"/>
    </row>
    <row r="11349" spans="1:5" x14ac:dyDescent="0.25">
      <c r="A11349" s="1033"/>
      <c r="E11349" s="130"/>
    </row>
    <row r="11350" spans="1:5" x14ac:dyDescent="0.25">
      <c r="A11350" s="1033"/>
      <c r="E11350" s="130"/>
    </row>
    <row r="11351" spans="1:5" x14ac:dyDescent="0.25">
      <c r="A11351" s="1033"/>
      <c r="E11351" s="130"/>
    </row>
    <row r="11352" spans="1:5" x14ac:dyDescent="0.25">
      <c r="A11352" s="1033"/>
      <c r="E11352" s="130"/>
    </row>
    <row r="11353" spans="1:5" x14ac:dyDescent="0.25">
      <c r="A11353" s="1033"/>
      <c r="E11353" s="130"/>
    </row>
    <row r="11354" spans="1:5" x14ac:dyDescent="0.25">
      <c r="A11354" s="1033"/>
      <c r="E11354" s="130"/>
    </row>
    <row r="11355" spans="1:5" x14ac:dyDescent="0.25">
      <c r="A11355" s="1033"/>
      <c r="E11355" s="130"/>
    </row>
    <row r="11356" spans="1:5" x14ac:dyDescent="0.25">
      <c r="A11356" s="1033"/>
      <c r="E11356" s="130"/>
    </row>
    <row r="11357" spans="1:5" x14ac:dyDescent="0.25">
      <c r="A11357" s="1033"/>
      <c r="E11357" s="130"/>
    </row>
    <row r="11358" spans="1:5" x14ac:dyDescent="0.25">
      <c r="A11358" s="1033"/>
      <c r="E11358" s="130"/>
    </row>
    <row r="11359" spans="1:5" x14ac:dyDescent="0.25">
      <c r="A11359" s="1033"/>
      <c r="E11359" s="130"/>
    </row>
    <row r="11360" spans="1:5" x14ac:dyDescent="0.25">
      <c r="A11360" s="1033"/>
      <c r="E11360" s="130"/>
    </row>
    <row r="11361" spans="1:5" x14ac:dyDescent="0.25">
      <c r="A11361" s="1033"/>
      <c r="E11361" s="130"/>
    </row>
    <row r="11362" spans="1:5" x14ac:dyDescent="0.25">
      <c r="A11362" s="1033"/>
      <c r="E11362" s="130"/>
    </row>
    <row r="11363" spans="1:5" x14ac:dyDescent="0.25">
      <c r="A11363" s="1033"/>
      <c r="E11363" s="130"/>
    </row>
    <row r="11364" spans="1:5" x14ac:dyDescent="0.25">
      <c r="A11364" s="1033"/>
      <c r="E11364" s="130"/>
    </row>
    <row r="11365" spans="1:5" x14ac:dyDescent="0.25">
      <c r="A11365" s="1033"/>
      <c r="E11365" s="130"/>
    </row>
    <row r="11366" spans="1:5" x14ac:dyDescent="0.25">
      <c r="A11366" s="1033"/>
      <c r="E11366" s="130"/>
    </row>
    <row r="11367" spans="1:5" x14ac:dyDescent="0.25">
      <c r="A11367" s="1033"/>
      <c r="E11367" s="130"/>
    </row>
    <row r="11368" spans="1:5" x14ac:dyDescent="0.25">
      <c r="A11368" s="1033"/>
      <c r="E11368" s="130"/>
    </row>
    <row r="11369" spans="1:5" x14ac:dyDescent="0.25">
      <c r="A11369" s="1033"/>
      <c r="E11369" s="130"/>
    </row>
    <row r="11370" spans="1:5" x14ac:dyDescent="0.25">
      <c r="A11370" s="1033"/>
      <c r="E11370" s="130"/>
    </row>
    <row r="11371" spans="1:5" x14ac:dyDescent="0.25">
      <c r="A11371" s="1033"/>
      <c r="E11371" s="130"/>
    </row>
    <row r="11372" spans="1:5" x14ac:dyDescent="0.25">
      <c r="A11372" s="1033"/>
      <c r="E11372" s="130"/>
    </row>
    <row r="11373" spans="1:5" x14ac:dyDescent="0.25">
      <c r="A11373" s="1033"/>
      <c r="E11373" s="130"/>
    </row>
    <row r="11374" spans="1:5" x14ac:dyDescent="0.25">
      <c r="A11374" s="1033"/>
      <c r="E11374" s="130"/>
    </row>
    <row r="11375" spans="1:5" x14ac:dyDescent="0.25">
      <c r="A11375" s="1033"/>
      <c r="E11375" s="130"/>
    </row>
    <row r="11376" spans="1:5" x14ac:dyDescent="0.25">
      <c r="A11376" s="1033"/>
      <c r="E11376" s="130"/>
    </row>
    <row r="11377" spans="1:5" x14ac:dyDescent="0.25">
      <c r="A11377" s="1033"/>
      <c r="E11377" s="130"/>
    </row>
    <row r="11378" spans="1:5" x14ac:dyDescent="0.25">
      <c r="A11378" s="1033"/>
      <c r="E11378" s="130"/>
    </row>
    <row r="11379" spans="1:5" x14ac:dyDescent="0.25">
      <c r="A11379" s="1033"/>
      <c r="E11379" s="130"/>
    </row>
    <row r="11380" spans="1:5" x14ac:dyDescent="0.25">
      <c r="A11380" s="1033"/>
      <c r="E11380" s="130"/>
    </row>
    <row r="11381" spans="1:5" x14ac:dyDescent="0.25">
      <c r="A11381" s="1033"/>
      <c r="E11381" s="130"/>
    </row>
    <row r="11382" spans="1:5" x14ac:dyDescent="0.25">
      <c r="A11382" s="1033"/>
      <c r="E11382" s="130"/>
    </row>
    <row r="11383" spans="1:5" x14ac:dyDescent="0.25">
      <c r="A11383" s="1033"/>
      <c r="E11383" s="130"/>
    </row>
    <row r="11384" spans="1:5" x14ac:dyDescent="0.25">
      <c r="A11384" s="1033"/>
      <c r="E11384" s="130"/>
    </row>
    <row r="11385" spans="1:5" x14ac:dyDescent="0.25">
      <c r="A11385" s="1033"/>
      <c r="E11385" s="130"/>
    </row>
    <row r="11386" spans="1:5" x14ac:dyDescent="0.25">
      <c r="A11386" s="1033"/>
      <c r="E11386" s="130"/>
    </row>
    <row r="11387" spans="1:5" x14ac:dyDescent="0.25">
      <c r="A11387" s="1033"/>
      <c r="E11387" s="130"/>
    </row>
    <row r="11388" spans="1:5" x14ac:dyDescent="0.25">
      <c r="A11388" s="1033"/>
      <c r="E11388" s="130"/>
    </row>
    <row r="11389" spans="1:5" x14ac:dyDescent="0.25">
      <c r="A11389" s="1033"/>
      <c r="E11389" s="130"/>
    </row>
    <row r="11390" spans="1:5" x14ac:dyDescent="0.25">
      <c r="A11390" s="1033"/>
      <c r="E11390" s="130"/>
    </row>
    <row r="11391" spans="1:5" x14ac:dyDescent="0.25">
      <c r="A11391" s="1033"/>
      <c r="E11391" s="130"/>
    </row>
    <row r="11392" spans="1:5" x14ac:dyDescent="0.25">
      <c r="A11392" s="1033"/>
      <c r="E11392" s="130"/>
    </row>
    <row r="11393" spans="1:5" x14ac:dyDescent="0.25">
      <c r="A11393" s="1033"/>
      <c r="E11393" s="130"/>
    </row>
    <row r="11394" spans="1:5" x14ac:dyDescent="0.25">
      <c r="A11394" s="1033"/>
      <c r="E11394" s="130"/>
    </row>
    <row r="11395" spans="1:5" x14ac:dyDescent="0.25">
      <c r="A11395" s="1033"/>
      <c r="E11395" s="130"/>
    </row>
    <row r="11396" spans="1:5" x14ac:dyDescent="0.25">
      <c r="A11396" s="1033"/>
      <c r="E11396" s="130"/>
    </row>
    <row r="11397" spans="1:5" x14ac:dyDescent="0.25">
      <c r="A11397" s="1033"/>
      <c r="E11397" s="130"/>
    </row>
    <row r="11398" spans="1:5" x14ac:dyDescent="0.25">
      <c r="A11398" s="1033"/>
      <c r="E11398" s="130"/>
    </row>
    <row r="11399" spans="1:5" x14ac:dyDescent="0.25">
      <c r="A11399" s="1033"/>
      <c r="E11399" s="130"/>
    </row>
    <row r="11400" spans="1:5" x14ac:dyDescent="0.25">
      <c r="A11400" s="1033"/>
      <c r="E11400" s="130"/>
    </row>
    <row r="11401" spans="1:5" x14ac:dyDescent="0.25">
      <c r="A11401" s="1033"/>
      <c r="E11401" s="130"/>
    </row>
    <row r="11402" spans="1:5" x14ac:dyDescent="0.25">
      <c r="A11402" s="1033"/>
      <c r="E11402" s="130"/>
    </row>
    <row r="11403" spans="1:5" x14ac:dyDescent="0.25">
      <c r="A11403" s="1033"/>
      <c r="E11403" s="130"/>
    </row>
    <row r="11404" spans="1:5" x14ac:dyDescent="0.25">
      <c r="A11404" s="1033"/>
      <c r="E11404" s="130"/>
    </row>
    <row r="11405" spans="1:5" x14ac:dyDescent="0.25">
      <c r="A11405" s="1033"/>
      <c r="E11405" s="130"/>
    </row>
    <row r="11406" spans="1:5" x14ac:dyDescent="0.25">
      <c r="A11406" s="1033"/>
      <c r="E11406" s="130"/>
    </row>
    <row r="11407" spans="1:5" x14ac:dyDescent="0.25">
      <c r="A11407" s="1033"/>
      <c r="E11407" s="130"/>
    </row>
    <row r="11408" spans="1:5" x14ac:dyDescent="0.25">
      <c r="A11408" s="1033"/>
      <c r="E11408" s="130"/>
    </row>
    <row r="11409" spans="1:5" x14ac:dyDescent="0.25">
      <c r="A11409" s="1033"/>
      <c r="E11409" s="130"/>
    </row>
    <row r="11410" spans="1:5" x14ac:dyDescent="0.25">
      <c r="A11410" s="1033"/>
      <c r="E11410" s="130"/>
    </row>
    <row r="11411" spans="1:5" x14ac:dyDescent="0.25">
      <c r="A11411" s="1033"/>
      <c r="E11411" s="130"/>
    </row>
    <row r="11412" spans="1:5" x14ac:dyDescent="0.25">
      <c r="A11412" s="1033"/>
      <c r="E11412" s="130"/>
    </row>
    <row r="11413" spans="1:5" x14ac:dyDescent="0.25">
      <c r="A11413" s="1033"/>
      <c r="E11413" s="130"/>
    </row>
    <row r="11414" spans="1:5" x14ac:dyDescent="0.25">
      <c r="A11414" s="1033"/>
      <c r="E11414" s="130"/>
    </row>
    <row r="11415" spans="1:5" x14ac:dyDescent="0.25">
      <c r="A11415" s="1033"/>
      <c r="E11415" s="130"/>
    </row>
    <row r="11416" spans="1:5" x14ac:dyDescent="0.25">
      <c r="A11416" s="1033"/>
      <c r="E11416" s="130"/>
    </row>
    <row r="11417" spans="1:5" x14ac:dyDescent="0.25">
      <c r="A11417" s="1033"/>
      <c r="E11417" s="130"/>
    </row>
    <row r="11418" spans="1:5" x14ac:dyDescent="0.25">
      <c r="A11418" s="1033"/>
      <c r="E11418" s="130"/>
    </row>
    <row r="11419" spans="1:5" x14ac:dyDescent="0.25">
      <c r="A11419" s="1033"/>
      <c r="E11419" s="130"/>
    </row>
    <row r="11420" spans="1:5" x14ac:dyDescent="0.25">
      <c r="A11420" s="1033"/>
      <c r="E11420" s="130"/>
    </row>
    <row r="11421" spans="1:5" x14ac:dyDescent="0.25">
      <c r="A11421" s="1033"/>
      <c r="E11421" s="130"/>
    </row>
    <row r="11422" spans="1:5" x14ac:dyDescent="0.25">
      <c r="A11422" s="1033"/>
      <c r="E11422" s="130"/>
    </row>
    <row r="11423" spans="1:5" x14ac:dyDescent="0.25">
      <c r="A11423" s="1033"/>
      <c r="E11423" s="130"/>
    </row>
    <row r="11424" spans="1:5" x14ac:dyDescent="0.25">
      <c r="A11424" s="1033"/>
      <c r="E11424" s="130"/>
    </row>
    <row r="11425" spans="1:5" x14ac:dyDescent="0.25">
      <c r="A11425" s="1033"/>
      <c r="E11425" s="130"/>
    </row>
    <row r="11426" spans="1:5" x14ac:dyDescent="0.25">
      <c r="A11426" s="1033"/>
      <c r="E11426" s="130"/>
    </row>
    <row r="11427" spans="1:5" x14ac:dyDescent="0.25">
      <c r="A11427" s="1033"/>
      <c r="E11427" s="130"/>
    </row>
    <row r="11428" spans="1:5" x14ac:dyDescent="0.25">
      <c r="A11428" s="1033"/>
      <c r="E11428" s="130"/>
    </row>
    <row r="11429" spans="1:5" x14ac:dyDescent="0.25">
      <c r="A11429" s="1033"/>
      <c r="E11429" s="130"/>
    </row>
    <row r="11430" spans="1:5" x14ac:dyDescent="0.25">
      <c r="A11430" s="1033"/>
      <c r="E11430" s="130"/>
    </row>
    <row r="11431" spans="1:5" x14ac:dyDescent="0.25">
      <c r="A11431" s="1033"/>
      <c r="E11431" s="130"/>
    </row>
    <row r="11432" spans="1:5" x14ac:dyDescent="0.25">
      <c r="A11432" s="1033"/>
      <c r="E11432" s="130"/>
    </row>
    <row r="11433" spans="1:5" x14ac:dyDescent="0.25">
      <c r="A11433" s="1033"/>
      <c r="E11433" s="130"/>
    </row>
    <row r="11434" spans="1:5" x14ac:dyDescent="0.25">
      <c r="A11434" s="1033"/>
      <c r="E11434" s="130"/>
    </row>
    <row r="11435" spans="1:5" x14ac:dyDescent="0.25">
      <c r="A11435" s="1033"/>
      <c r="E11435" s="130"/>
    </row>
    <row r="11436" spans="1:5" x14ac:dyDescent="0.25">
      <c r="A11436" s="1033"/>
      <c r="E11436" s="130"/>
    </row>
    <row r="11437" spans="1:5" x14ac:dyDescent="0.25">
      <c r="A11437" s="1033"/>
      <c r="E11437" s="130"/>
    </row>
    <row r="11438" spans="1:5" x14ac:dyDescent="0.25">
      <c r="A11438" s="1033"/>
      <c r="E11438" s="130"/>
    </row>
    <row r="11439" spans="1:5" x14ac:dyDescent="0.25">
      <c r="A11439" s="1033"/>
      <c r="E11439" s="130"/>
    </row>
    <row r="11440" spans="1:5" x14ac:dyDescent="0.25">
      <c r="A11440" s="1033"/>
      <c r="E11440" s="130"/>
    </row>
    <row r="11441" spans="1:5" x14ac:dyDescent="0.25">
      <c r="A11441" s="1033"/>
      <c r="E11441" s="130"/>
    </row>
    <row r="11442" spans="1:5" x14ac:dyDescent="0.25">
      <c r="A11442" s="1033"/>
      <c r="E11442" s="130"/>
    </row>
    <row r="11443" spans="1:5" x14ac:dyDescent="0.25">
      <c r="A11443" s="1033"/>
      <c r="E11443" s="130"/>
    </row>
    <row r="11444" spans="1:5" x14ac:dyDescent="0.25">
      <c r="A11444" s="1033"/>
      <c r="E11444" s="130"/>
    </row>
    <row r="11445" spans="1:5" x14ac:dyDescent="0.25">
      <c r="A11445" s="1033"/>
      <c r="E11445" s="130"/>
    </row>
    <row r="11446" spans="1:5" x14ac:dyDescent="0.25">
      <c r="A11446" s="1033"/>
      <c r="E11446" s="130"/>
    </row>
    <row r="11447" spans="1:5" x14ac:dyDescent="0.25">
      <c r="A11447" s="1033"/>
      <c r="E11447" s="130"/>
    </row>
    <row r="11448" spans="1:5" x14ac:dyDescent="0.25">
      <c r="A11448" s="1033"/>
      <c r="E11448" s="130"/>
    </row>
    <row r="11449" spans="1:5" x14ac:dyDescent="0.25">
      <c r="A11449" s="1033"/>
      <c r="E11449" s="130"/>
    </row>
    <row r="11450" spans="1:5" x14ac:dyDescent="0.25">
      <c r="A11450" s="1033"/>
      <c r="E11450" s="130"/>
    </row>
    <row r="11451" spans="1:5" x14ac:dyDescent="0.25">
      <c r="A11451" s="1033"/>
      <c r="E11451" s="130"/>
    </row>
    <row r="11452" spans="1:5" x14ac:dyDescent="0.25">
      <c r="A11452" s="1033"/>
      <c r="E11452" s="130"/>
    </row>
    <row r="11453" spans="1:5" x14ac:dyDescent="0.25">
      <c r="A11453" s="1033"/>
      <c r="E11453" s="130"/>
    </row>
    <row r="11454" spans="1:5" x14ac:dyDescent="0.25">
      <c r="A11454" s="1033"/>
      <c r="E11454" s="130"/>
    </row>
    <row r="11455" spans="1:5" x14ac:dyDescent="0.25">
      <c r="A11455" s="1033"/>
      <c r="E11455" s="130"/>
    </row>
    <row r="11456" spans="1:5" x14ac:dyDescent="0.25">
      <c r="A11456" s="1033"/>
      <c r="E11456" s="130"/>
    </row>
    <row r="11457" spans="1:5" x14ac:dyDescent="0.25">
      <c r="A11457" s="1033"/>
      <c r="E11457" s="130"/>
    </row>
    <row r="11458" spans="1:5" x14ac:dyDescent="0.25">
      <c r="A11458" s="1033"/>
      <c r="E11458" s="130"/>
    </row>
    <row r="11459" spans="1:5" x14ac:dyDescent="0.25">
      <c r="A11459" s="1033"/>
      <c r="E11459" s="130"/>
    </row>
    <row r="11460" spans="1:5" x14ac:dyDescent="0.25">
      <c r="A11460" s="1033"/>
      <c r="E11460" s="130"/>
    </row>
    <row r="11461" spans="1:5" x14ac:dyDescent="0.25">
      <c r="A11461" s="1033"/>
      <c r="E11461" s="130"/>
    </row>
    <row r="11462" spans="1:5" x14ac:dyDescent="0.25">
      <c r="A11462" s="1033"/>
      <c r="E11462" s="130"/>
    </row>
    <row r="11463" spans="1:5" x14ac:dyDescent="0.25">
      <c r="A11463" s="1033"/>
      <c r="E11463" s="130"/>
    </row>
    <row r="11464" spans="1:5" x14ac:dyDescent="0.25">
      <c r="A11464" s="1033"/>
      <c r="E11464" s="130"/>
    </row>
    <row r="11465" spans="1:5" x14ac:dyDescent="0.25">
      <c r="A11465" s="1033"/>
      <c r="E11465" s="130"/>
    </row>
    <row r="11466" spans="1:5" x14ac:dyDescent="0.25">
      <c r="A11466" s="1033"/>
      <c r="E11466" s="130"/>
    </row>
    <row r="11467" spans="1:5" x14ac:dyDescent="0.25">
      <c r="A11467" s="1033"/>
      <c r="E11467" s="130"/>
    </row>
    <row r="11468" spans="1:5" x14ac:dyDescent="0.25">
      <c r="A11468" s="1033"/>
      <c r="E11468" s="130"/>
    </row>
    <row r="11469" spans="1:5" x14ac:dyDescent="0.25">
      <c r="A11469" s="1033"/>
      <c r="E11469" s="130"/>
    </row>
    <row r="11470" spans="1:5" x14ac:dyDescent="0.25">
      <c r="A11470" s="1033"/>
      <c r="E11470" s="130"/>
    </row>
    <row r="11471" spans="1:5" x14ac:dyDescent="0.25">
      <c r="A11471" s="1033"/>
      <c r="E11471" s="130"/>
    </row>
    <row r="11472" spans="1:5" x14ac:dyDescent="0.25">
      <c r="A11472" s="1033"/>
      <c r="E11472" s="130"/>
    </row>
    <row r="11473" spans="1:5" x14ac:dyDescent="0.25">
      <c r="A11473" s="1033"/>
      <c r="E11473" s="130"/>
    </row>
    <row r="11474" spans="1:5" x14ac:dyDescent="0.25">
      <c r="A11474" s="1033"/>
      <c r="E11474" s="130"/>
    </row>
    <row r="11475" spans="1:5" x14ac:dyDescent="0.25">
      <c r="A11475" s="1033"/>
      <c r="E11475" s="130"/>
    </row>
    <row r="11476" spans="1:5" x14ac:dyDescent="0.25">
      <c r="A11476" s="1033"/>
      <c r="E11476" s="130"/>
    </row>
    <row r="11477" spans="1:5" x14ac:dyDescent="0.25">
      <c r="A11477" s="1033"/>
      <c r="E11477" s="130"/>
    </row>
    <row r="11478" spans="1:5" x14ac:dyDescent="0.25">
      <c r="A11478" s="1033"/>
      <c r="E11478" s="130"/>
    </row>
    <row r="11479" spans="1:5" x14ac:dyDescent="0.25">
      <c r="A11479" s="1033"/>
      <c r="E11479" s="130"/>
    </row>
    <row r="11480" spans="1:5" x14ac:dyDescent="0.25">
      <c r="A11480" s="1033"/>
      <c r="E11480" s="130"/>
    </row>
    <row r="11481" spans="1:5" x14ac:dyDescent="0.25">
      <c r="A11481" s="1033"/>
      <c r="E11481" s="130"/>
    </row>
    <row r="11482" spans="1:5" x14ac:dyDescent="0.25">
      <c r="A11482" s="1033"/>
      <c r="E11482" s="130"/>
    </row>
    <row r="11483" spans="1:5" x14ac:dyDescent="0.25">
      <c r="A11483" s="1033"/>
      <c r="E11483" s="130"/>
    </row>
    <row r="11484" spans="1:5" x14ac:dyDescent="0.25">
      <c r="A11484" s="1033"/>
      <c r="E11484" s="130"/>
    </row>
    <row r="11485" spans="1:5" x14ac:dyDescent="0.25">
      <c r="A11485" s="1033"/>
      <c r="E11485" s="130"/>
    </row>
    <row r="11486" spans="1:5" x14ac:dyDescent="0.25">
      <c r="A11486" s="1033"/>
      <c r="E11486" s="130"/>
    </row>
    <row r="11487" spans="1:5" x14ac:dyDescent="0.25">
      <c r="A11487" s="1033"/>
      <c r="E11487" s="130"/>
    </row>
    <row r="11488" spans="1:5" x14ac:dyDescent="0.25">
      <c r="A11488" s="1033"/>
      <c r="E11488" s="130"/>
    </row>
    <row r="11489" spans="1:5" x14ac:dyDescent="0.25">
      <c r="A11489" s="1033"/>
      <c r="E11489" s="130"/>
    </row>
    <row r="11490" spans="1:5" x14ac:dyDescent="0.25">
      <c r="A11490" s="1033"/>
      <c r="E11490" s="130"/>
    </row>
    <row r="11491" spans="1:5" x14ac:dyDescent="0.25">
      <c r="A11491" s="1033"/>
      <c r="E11491" s="130"/>
    </row>
    <row r="11492" spans="1:5" x14ac:dyDescent="0.25">
      <c r="A11492" s="1033"/>
      <c r="E11492" s="130"/>
    </row>
    <row r="11493" spans="1:5" x14ac:dyDescent="0.25">
      <c r="A11493" s="1033"/>
      <c r="E11493" s="130"/>
    </row>
    <row r="11494" spans="1:5" x14ac:dyDescent="0.25">
      <c r="A11494" s="1033"/>
      <c r="E11494" s="130"/>
    </row>
    <row r="11495" spans="1:5" x14ac:dyDescent="0.25">
      <c r="A11495" s="1033"/>
      <c r="E11495" s="130"/>
    </row>
    <row r="11496" spans="1:5" x14ac:dyDescent="0.25">
      <c r="A11496" s="1033"/>
      <c r="E11496" s="130"/>
    </row>
    <row r="11497" spans="1:5" x14ac:dyDescent="0.25">
      <c r="A11497" s="1033"/>
      <c r="E11497" s="130"/>
    </row>
    <row r="11498" spans="1:5" x14ac:dyDescent="0.25">
      <c r="A11498" s="1033"/>
      <c r="E11498" s="130"/>
    </row>
    <row r="11499" spans="1:5" x14ac:dyDescent="0.25">
      <c r="A11499" s="1033"/>
      <c r="E11499" s="130"/>
    </row>
    <row r="11500" spans="1:5" x14ac:dyDescent="0.25">
      <c r="A11500" s="1033"/>
      <c r="E11500" s="130"/>
    </row>
    <row r="11501" spans="1:5" x14ac:dyDescent="0.25">
      <c r="A11501" s="1033"/>
      <c r="E11501" s="130"/>
    </row>
    <row r="11502" spans="1:5" x14ac:dyDescent="0.25">
      <c r="A11502" s="1033"/>
      <c r="E11502" s="130"/>
    </row>
    <row r="11503" spans="1:5" x14ac:dyDescent="0.25">
      <c r="A11503" s="1033"/>
      <c r="E11503" s="130"/>
    </row>
    <row r="11504" spans="1:5" x14ac:dyDescent="0.25">
      <c r="A11504" s="1033"/>
      <c r="E11504" s="130"/>
    </row>
    <row r="11505" spans="1:5" x14ac:dyDescent="0.25">
      <c r="A11505" s="1033"/>
      <c r="E11505" s="130"/>
    </row>
    <row r="11506" spans="1:5" x14ac:dyDescent="0.25">
      <c r="A11506" s="1033"/>
      <c r="E11506" s="130"/>
    </row>
    <row r="11507" spans="1:5" x14ac:dyDescent="0.25">
      <c r="A11507" s="1033"/>
      <c r="E11507" s="130"/>
    </row>
    <row r="11508" spans="1:5" x14ac:dyDescent="0.25">
      <c r="A11508" s="1033"/>
      <c r="E11508" s="130"/>
    </row>
    <row r="11509" spans="1:5" x14ac:dyDescent="0.25">
      <c r="A11509" s="1033"/>
      <c r="E11509" s="130"/>
    </row>
    <row r="11510" spans="1:5" x14ac:dyDescent="0.25">
      <c r="A11510" s="1033"/>
      <c r="E11510" s="130"/>
    </row>
    <row r="11511" spans="1:5" x14ac:dyDescent="0.25">
      <c r="A11511" s="1033"/>
      <c r="E11511" s="130"/>
    </row>
    <row r="11512" spans="1:5" x14ac:dyDescent="0.25">
      <c r="A11512" s="1033"/>
      <c r="E11512" s="130"/>
    </row>
    <row r="11513" spans="1:5" x14ac:dyDescent="0.25">
      <c r="A11513" s="1033"/>
      <c r="E11513" s="130"/>
    </row>
    <row r="11514" spans="1:5" x14ac:dyDescent="0.25">
      <c r="A11514" s="1033"/>
      <c r="E11514" s="130"/>
    </row>
    <row r="11515" spans="1:5" x14ac:dyDescent="0.25">
      <c r="A11515" s="1033"/>
      <c r="E11515" s="130"/>
    </row>
    <row r="11516" spans="1:5" x14ac:dyDescent="0.25">
      <c r="A11516" s="1033"/>
      <c r="E11516" s="130"/>
    </row>
    <row r="11517" spans="1:5" x14ac:dyDescent="0.25">
      <c r="A11517" s="1033"/>
      <c r="E11517" s="130"/>
    </row>
    <row r="11518" spans="1:5" x14ac:dyDescent="0.25">
      <c r="A11518" s="1033"/>
      <c r="E11518" s="130"/>
    </row>
    <row r="11519" spans="1:5" x14ac:dyDescent="0.25">
      <c r="A11519" s="1033"/>
      <c r="E11519" s="130"/>
    </row>
    <row r="11520" spans="1:5" x14ac:dyDescent="0.25">
      <c r="A11520" s="1033"/>
      <c r="E11520" s="130"/>
    </row>
    <row r="11521" spans="1:5" x14ac:dyDescent="0.25">
      <c r="A11521" s="1033"/>
      <c r="E11521" s="130"/>
    </row>
    <row r="11522" spans="1:5" x14ac:dyDescent="0.25">
      <c r="A11522" s="1033"/>
      <c r="E11522" s="130"/>
    </row>
    <row r="11523" spans="1:5" x14ac:dyDescent="0.25">
      <c r="A11523" s="1033"/>
      <c r="E11523" s="130"/>
    </row>
    <row r="11524" spans="1:5" x14ac:dyDescent="0.25">
      <c r="A11524" s="1033"/>
      <c r="E11524" s="130"/>
    </row>
    <row r="11525" spans="1:5" x14ac:dyDescent="0.25">
      <c r="A11525" s="1033"/>
      <c r="E11525" s="130"/>
    </row>
    <row r="11526" spans="1:5" x14ac:dyDescent="0.25">
      <c r="A11526" s="1033"/>
      <c r="E11526" s="130"/>
    </row>
    <row r="11527" spans="1:5" x14ac:dyDescent="0.25">
      <c r="A11527" s="1033"/>
      <c r="E11527" s="130"/>
    </row>
    <row r="11528" spans="1:5" x14ac:dyDescent="0.25">
      <c r="A11528" s="1033"/>
      <c r="E11528" s="130"/>
    </row>
    <row r="11529" spans="1:5" x14ac:dyDescent="0.25">
      <c r="A11529" s="1033"/>
      <c r="E11529" s="130"/>
    </row>
    <row r="11530" spans="1:5" x14ac:dyDescent="0.25">
      <c r="A11530" s="1033"/>
      <c r="E11530" s="130"/>
    </row>
    <row r="11531" spans="1:5" x14ac:dyDescent="0.25">
      <c r="A11531" s="1033"/>
      <c r="E11531" s="130"/>
    </row>
    <row r="11532" spans="1:5" x14ac:dyDescent="0.25">
      <c r="A11532" s="1033"/>
      <c r="E11532" s="130"/>
    </row>
    <row r="11533" spans="1:5" x14ac:dyDescent="0.25">
      <c r="A11533" s="1033"/>
      <c r="E11533" s="130"/>
    </row>
    <row r="11534" spans="1:5" x14ac:dyDescent="0.25">
      <c r="A11534" s="1033"/>
      <c r="E11534" s="130"/>
    </row>
    <row r="11535" spans="1:5" x14ac:dyDescent="0.25">
      <c r="A11535" s="1033"/>
      <c r="E11535" s="130"/>
    </row>
    <row r="11536" spans="1:5" x14ac:dyDescent="0.25">
      <c r="A11536" s="1033"/>
      <c r="E11536" s="130"/>
    </row>
    <row r="11537" spans="1:5" x14ac:dyDescent="0.25">
      <c r="A11537" s="1033"/>
      <c r="E11537" s="130"/>
    </row>
    <row r="11538" spans="1:5" x14ac:dyDescent="0.25">
      <c r="A11538" s="1033"/>
      <c r="E11538" s="130"/>
    </row>
    <row r="11539" spans="1:5" x14ac:dyDescent="0.25">
      <c r="A11539" s="1033"/>
      <c r="E11539" s="130"/>
    </row>
    <row r="11540" spans="1:5" x14ac:dyDescent="0.25">
      <c r="A11540" s="1033"/>
      <c r="E11540" s="130"/>
    </row>
    <row r="11541" spans="1:5" x14ac:dyDescent="0.25">
      <c r="A11541" s="1033"/>
      <c r="E11541" s="130"/>
    </row>
    <row r="11542" spans="1:5" x14ac:dyDescent="0.25">
      <c r="A11542" s="1033"/>
      <c r="E11542" s="130"/>
    </row>
    <row r="11543" spans="1:5" x14ac:dyDescent="0.25">
      <c r="A11543" s="1033"/>
      <c r="E11543" s="130"/>
    </row>
    <row r="11544" spans="1:5" x14ac:dyDescent="0.25">
      <c r="A11544" s="1033"/>
      <c r="E11544" s="130"/>
    </row>
    <row r="11545" spans="1:5" x14ac:dyDescent="0.25">
      <c r="A11545" s="1033"/>
      <c r="E11545" s="130"/>
    </row>
    <row r="11546" spans="1:5" x14ac:dyDescent="0.25">
      <c r="A11546" s="1033"/>
      <c r="E11546" s="130"/>
    </row>
    <row r="11547" spans="1:5" x14ac:dyDescent="0.25">
      <c r="A11547" s="1033"/>
      <c r="E11547" s="130"/>
    </row>
    <row r="11548" spans="1:5" x14ac:dyDescent="0.25">
      <c r="A11548" s="1033"/>
      <c r="E11548" s="130"/>
    </row>
    <row r="11549" spans="1:5" x14ac:dyDescent="0.25">
      <c r="A11549" s="1033"/>
      <c r="E11549" s="130"/>
    </row>
    <row r="11550" spans="1:5" x14ac:dyDescent="0.25">
      <c r="A11550" s="1033"/>
      <c r="E11550" s="130"/>
    </row>
    <row r="11551" spans="1:5" x14ac:dyDescent="0.25">
      <c r="A11551" s="1033"/>
      <c r="E11551" s="130"/>
    </row>
    <row r="11552" spans="1:5" x14ac:dyDescent="0.25">
      <c r="A11552" s="1033"/>
      <c r="E11552" s="130"/>
    </row>
    <row r="11553" spans="1:5" x14ac:dyDescent="0.25">
      <c r="A11553" s="1033"/>
      <c r="E11553" s="130"/>
    </row>
    <row r="11554" spans="1:5" x14ac:dyDescent="0.25">
      <c r="A11554" s="1033"/>
      <c r="E11554" s="130"/>
    </row>
    <row r="11555" spans="1:5" x14ac:dyDescent="0.25">
      <c r="A11555" s="1033"/>
      <c r="E11555" s="130"/>
    </row>
    <row r="11556" spans="1:5" x14ac:dyDescent="0.25">
      <c r="A11556" s="1033"/>
      <c r="E11556" s="130"/>
    </row>
    <row r="11557" spans="1:5" x14ac:dyDescent="0.25">
      <c r="A11557" s="1033"/>
      <c r="E11557" s="130"/>
    </row>
    <row r="11558" spans="1:5" x14ac:dyDescent="0.25">
      <c r="A11558" s="1033"/>
      <c r="E11558" s="130"/>
    </row>
    <row r="11559" spans="1:5" x14ac:dyDescent="0.25">
      <c r="A11559" s="1033"/>
      <c r="E11559" s="130"/>
    </row>
    <row r="11560" spans="1:5" x14ac:dyDescent="0.25">
      <c r="A11560" s="1033"/>
      <c r="E11560" s="130"/>
    </row>
    <row r="11561" spans="1:5" x14ac:dyDescent="0.25">
      <c r="A11561" s="1033"/>
      <c r="E11561" s="130"/>
    </row>
    <row r="11562" spans="1:5" x14ac:dyDescent="0.25">
      <c r="A11562" s="1033"/>
      <c r="E11562" s="130"/>
    </row>
    <row r="11563" spans="1:5" x14ac:dyDescent="0.25">
      <c r="A11563" s="1033"/>
      <c r="E11563" s="130"/>
    </row>
    <row r="11564" spans="1:5" x14ac:dyDescent="0.25">
      <c r="A11564" s="1033"/>
      <c r="E11564" s="130"/>
    </row>
    <row r="11565" spans="1:5" x14ac:dyDescent="0.25">
      <c r="A11565" s="1033"/>
      <c r="E11565" s="130"/>
    </row>
    <row r="11566" spans="1:5" x14ac:dyDescent="0.25">
      <c r="A11566" s="1033"/>
      <c r="E11566" s="130"/>
    </row>
    <row r="11567" spans="1:5" x14ac:dyDescent="0.25">
      <c r="A11567" s="1033"/>
      <c r="E11567" s="130"/>
    </row>
    <row r="11568" spans="1:5" x14ac:dyDescent="0.25">
      <c r="A11568" s="1033"/>
      <c r="E11568" s="130"/>
    </row>
    <row r="11569" spans="1:5" x14ac:dyDescent="0.25">
      <c r="A11569" s="1033"/>
      <c r="E11569" s="130"/>
    </row>
    <row r="11570" spans="1:5" x14ac:dyDescent="0.25">
      <c r="A11570" s="1033"/>
      <c r="E11570" s="130"/>
    </row>
    <row r="11571" spans="1:5" x14ac:dyDescent="0.25">
      <c r="A11571" s="1033"/>
      <c r="E11571" s="130"/>
    </row>
    <row r="11572" spans="1:5" x14ac:dyDescent="0.25">
      <c r="A11572" s="1033"/>
      <c r="E11572" s="130"/>
    </row>
    <row r="11573" spans="1:5" x14ac:dyDescent="0.25">
      <c r="A11573" s="1033"/>
      <c r="E11573" s="130"/>
    </row>
    <row r="11574" spans="1:5" x14ac:dyDescent="0.25">
      <c r="A11574" s="1033"/>
      <c r="E11574" s="130"/>
    </row>
    <row r="11575" spans="1:5" x14ac:dyDescent="0.25">
      <c r="A11575" s="1033"/>
      <c r="E11575" s="130"/>
    </row>
    <row r="11576" spans="1:5" x14ac:dyDescent="0.25">
      <c r="A11576" s="1033"/>
      <c r="E11576" s="130"/>
    </row>
    <row r="11577" spans="1:5" x14ac:dyDescent="0.25">
      <c r="A11577" s="1033"/>
      <c r="E11577" s="130"/>
    </row>
    <row r="11578" spans="1:5" x14ac:dyDescent="0.25">
      <c r="A11578" s="1033"/>
      <c r="E11578" s="130"/>
    </row>
    <row r="11579" spans="1:5" x14ac:dyDescent="0.25">
      <c r="A11579" s="1033"/>
      <c r="E11579" s="130"/>
    </row>
    <row r="11580" spans="1:5" x14ac:dyDescent="0.25">
      <c r="A11580" s="1033"/>
      <c r="E11580" s="130"/>
    </row>
    <row r="11581" spans="1:5" x14ac:dyDescent="0.25">
      <c r="A11581" s="1033"/>
      <c r="E11581" s="130"/>
    </row>
    <row r="11582" spans="1:5" x14ac:dyDescent="0.25">
      <c r="A11582" s="1033"/>
      <c r="E11582" s="130"/>
    </row>
    <row r="11583" spans="1:5" x14ac:dyDescent="0.25">
      <c r="A11583" s="1033"/>
      <c r="E11583" s="130"/>
    </row>
    <row r="11584" spans="1:5" x14ac:dyDescent="0.25">
      <c r="A11584" s="1033"/>
      <c r="E11584" s="130"/>
    </row>
    <row r="11585" spans="1:5" x14ac:dyDescent="0.25">
      <c r="A11585" s="1033"/>
      <c r="E11585" s="130"/>
    </row>
    <row r="11586" spans="1:5" x14ac:dyDescent="0.25">
      <c r="A11586" s="1033"/>
      <c r="E11586" s="130"/>
    </row>
    <row r="11587" spans="1:5" x14ac:dyDescent="0.25">
      <c r="A11587" s="1033"/>
      <c r="E11587" s="130"/>
    </row>
    <row r="11588" spans="1:5" x14ac:dyDescent="0.25">
      <c r="A11588" s="1033"/>
      <c r="E11588" s="130"/>
    </row>
    <row r="11589" spans="1:5" x14ac:dyDescent="0.25">
      <c r="A11589" s="1033"/>
      <c r="E11589" s="130"/>
    </row>
    <row r="11590" spans="1:5" x14ac:dyDescent="0.25">
      <c r="A11590" s="1033"/>
      <c r="E11590" s="130"/>
    </row>
    <row r="11591" spans="1:5" x14ac:dyDescent="0.25">
      <c r="A11591" s="1033"/>
      <c r="E11591" s="130"/>
    </row>
    <row r="11592" spans="1:5" x14ac:dyDescent="0.25">
      <c r="A11592" s="1033"/>
      <c r="E11592" s="130"/>
    </row>
    <row r="11593" spans="1:5" x14ac:dyDescent="0.25">
      <c r="A11593" s="1033"/>
      <c r="E11593" s="130"/>
    </row>
    <row r="11594" spans="1:5" x14ac:dyDescent="0.25">
      <c r="A11594" s="1033"/>
      <c r="E11594" s="130"/>
    </row>
    <row r="11595" spans="1:5" x14ac:dyDescent="0.25">
      <c r="A11595" s="1033"/>
      <c r="E11595" s="130"/>
    </row>
    <row r="11596" spans="1:5" x14ac:dyDescent="0.25">
      <c r="A11596" s="1033"/>
      <c r="E11596" s="130"/>
    </row>
    <row r="11597" spans="1:5" x14ac:dyDescent="0.25">
      <c r="A11597" s="1033"/>
      <c r="E11597" s="130"/>
    </row>
    <row r="11598" spans="1:5" x14ac:dyDescent="0.25">
      <c r="A11598" s="1033"/>
      <c r="E11598" s="130"/>
    </row>
    <row r="11599" spans="1:5" x14ac:dyDescent="0.25">
      <c r="A11599" s="1033"/>
      <c r="E11599" s="130"/>
    </row>
    <row r="11600" spans="1:5" x14ac:dyDescent="0.25">
      <c r="A11600" s="1033"/>
      <c r="E11600" s="130"/>
    </row>
    <row r="11601" spans="1:5" x14ac:dyDescent="0.25">
      <c r="A11601" s="1033"/>
      <c r="E11601" s="130"/>
    </row>
    <row r="11602" spans="1:5" x14ac:dyDescent="0.25">
      <c r="A11602" s="1033"/>
      <c r="E11602" s="130"/>
    </row>
    <row r="11603" spans="1:5" x14ac:dyDescent="0.25">
      <c r="A11603" s="1033"/>
      <c r="E11603" s="130"/>
    </row>
    <row r="11604" spans="1:5" x14ac:dyDescent="0.25">
      <c r="A11604" s="1033"/>
      <c r="E11604" s="130"/>
    </row>
    <row r="11605" spans="1:5" x14ac:dyDescent="0.25">
      <c r="A11605" s="1033"/>
      <c r="E11605" s="130"/>
    </row>
    <row r="11606" spans="1:5" x14ac:dyDescent="0.25">
      <c r="A11606" s="1033"/>
      <c r="E11606" s="130"/>
    </row>
    <row r="11607" spans="1:5" x14ac:dyDescent="0.25">
      <c r="A11607" s="1033"/>
      <c r="E11607" s="130"/>
    </row>
    <row r="11608" spans="1:5" x14ac:dyDescent="0.25">
      <c r="A11608" s="1033"/>
      <c r="E11608" s="130"/>
    </row>
    <row r="11609" spans="1:5" x14ac:dyDescent="0.25">
      <c r="A11609" s="1033"/>
      <c r="E11609" s="130"/>
    </row>
    <row r="11610" spans="1:5" x14ac:dyDescent="0.25">
      <c r="A11610" s="1033"/>
      <c r="E11610" s="130"/>
    </row>
    <row r="11611" spans="1:5" x14ac:dyDescent="0.25">
      <c r="A11611" s="1033"/>
      <c r="E11611" s="130"/>
    </row>
    <row r="11612" spans="1:5" x14ac:dyDescent="0.25">
      <c r="A11612" s="1033"/>
      <c r="E11612" s="130"/>
    </row>
    <row r="11613" spans="1:5" x14ac:dyDescent="0.25">
      <c r="A11613" s="1033"/>
      <c r="E11613" s="130"/>
    </row>
    <row r="11614" spans="1:5" x14ac:dyDescent="0.25">
      <c r="A11614" s="1033"/>
      <c r="E11614" s="130"/>
    </row>
    <row r="11615" spans="1:5" x14ac:dyDescent="0.25">
      <c r="A11615" s="1033"/>
      <c r="E11615" s="130"/>
    </row>
    <row r="11616" spans="1:5" x14ac:dyDescent="0.25">
      <c r="A11616" s="1033"/>
      <c r="E11616" s="130"/>
    </row>
    <row r="11617" spans="1:5" x14ac:dyDescent="0.25">
      <c r="A11617" s="1033"/>
      <c r="E11617" s="130"/>
    </row>
    <row r="11618" spans="1:5" x14ac:dyDescent="0.25">
      <c r="A11618" s="1033"/>
      <c r="E11618" s="130"/>
    </row>
    <row r="11619" spans="1:5" x14ac:dyDescent="0.25">
      <c r="A11619" s="1033"/>
      <c r="E11619" s="130"/>
    </row>
    <row r="11620" spans="1:5" x14ac:dyDescent="0.25">
      <c r="A11620" s="1033"/>
      <c r="E11620" s="130"/>
    </row>
    <row r="11621" spans="1:5" x14ac:dyDescent="0.25">
      <c r="A11621" s="1033"/>
      <c r="E11621" s="130"/>
    </row>
    <row r="11622" spans="1:5" x14ac:dyDescent="0.25">
      <c r="A11622" s="1033"/>
      <c r="E11622" s="130"/>
    </row>
    <row r="11623" spans="1:5" x14ac:dyDescent="0.25">
      <c r="A11623" s="1033"/>
      <c r="E11623" s="130"/>
    </row>
    <row r="11624" spans="1:5" x14ac:dyDescent="0.25">
      <c r="A11624" s="1033"/>
      <c r="E11624" s="130"/>
    </row>
    <row r="11625" spans="1:5" x14ac:dyDescent="0.25">
      <c r="A11625" s="1033"/>
      <c r="E11625" s="130"/>
    </row>
    <row r="11626" spans="1:5" x14ac:dyDescent="0.25">
      <c r="A11626" s="1033"/>
      <c r="E11626" s="130"/>
    </row>
    <row r="11627" spans="1:5" x14ac:dyDescent="0.25">
      <c r="A11627" s="1033"/>
      <c r="E11627" s="130"/>
    </row>
    <row r="11628" spans="1:5" x14ac:dyDescent="0.25">
      <c r="A11628" s="1033"/>
      <c r="E11628" s="130"/>
    </row>
    <row r="11629" spans="1:5" x14ac:dyDescent="0.25">
      <c r="A11629" s="1033"/>
      <c r="E11629" s="130"/>
    </row>
    <row r="11630" spans="1:5" x14ac:dyDescent="0.25">
      <c r="A11630" s="1033"/>
      <c r="E11630" s="130"/>
    </row>
    <row r="11631" spans="1:5" x14ac:dyDescent="0.25">
      <c r="A11631" s="1033"/>
      <c r="E11631" s="130"/>
    </row>
    <row r="11632" spans="1:5" x14ac:dyDescent="0.25">
      <c r="A11632" s="1033"/>
      <c r="E11632" s="130"/>
    </row>
    <row r="11633" spans="1:5" x14ac:dyDescent="0.25">
      <c r="A11633" s="1033"/>
      <c r="E11633" s="130"/>
    </row>
    <row r="11634" spans="1:5" x14ac:dyDescent="0.25">
      <c r="A11634" s="1033"/>
      <c r="E11634" s="130"/>
    </row>
    <row r="11635" spans="1:5" x14ac:dyDescent="0.25">
      <c r="A11635" s="1033"/>
      <c r="E11635" s="130"/>
    </row>
    <row r="11636" spans="1:5" x14ac:dyDescent="0.25">
      <c r="A11636" s="1033"/>
      <c r="E11636" s="130"/>
    </row>
    <row r="11637" spans="1:5" x14ac:dyDescent="0.25">
      <c r="A11637" s="1033"/>
      <c r="E11637" s="130"/>
    </row>
    <row r="11638" spans="1:5" x14ac:dyDescent="0.25">
      <c r="A11638" s="1033"/>
      <c r="E11638" s="130"/>
    </row>
    <row r="11639" spans="1:5" x14ac:dyDescent="0.25">
      <c r="A11639" s="1033"/>
      <c r="E11639" s="130"/>
    </row>
    <row r="11640" spans="1:5" x14ac:dyDescent="0.25">
      <c r="A11640" s="1033"/>
      <c r="E11640" s="130"/>
    </row>
    <row r="11641" spans="1:5" x14ac:dyDescent="0.25">
      <c r="A11641" s="1033"/>
      <c r="E11641" s="130"/>
    </row>
    <row r="11642" spans="1:5" x14ac:dyDescent="0.25">
      <c r="A11642" s="1033"/>
      <c r="E11642" s="130"/>
    </row>
    <row r="11643" spans="1:5" x14ac:dyDescent="0.25">
      <c r="A11643" s="1033"/>
      <c r="E11643" s="130"/>
    </row>
    <row r="11644" spans="1:5" x14ac:dyDescent="0.25">
      <c r="A11644" s="1033"/>
      <c r="E11644" s="130"/>
    </row>
    <row r="11645" spans="1:5" x14ac:dyDescent="0.25">
      <c r="A11645" s="1033"/>
      <c r="E11645" s="130"/>
    </row>
    <row r="11646" spans="1:5" x14ac:dyDescent="0.25">
      <c r="A11646" s="1033"/>
      <c r="E11646" s="130"/>
    </row>
    <row r="11647" spans="1:5" x14ac:dyDescent="0.25">
      <c r="A11647" s="1033"/>
      <c r="E11647" s="130"/>
    </row>
    <row r="11648" spans="1:5" x14ac:dyDescent="0.25">
      <c r="A11648" s="1033"/>
      <c r="E11648" s="130"/>
    </row>
    <row r="11649" spans="1:5" x14ac:dyDescent="0.25">
      <c r="A11649" s="1033"/>
      <c r="E11649" s="130"/>
    </row>
    <row r="11650" spans="1:5" x14ac:dyDescent="0.25">
      <c r="A11650" s="1033"/>
      <c r="E11650" s="130"/>
    </row>
    <row r="11651" spans="1:5" x14ac:dyDescent="0.25">
      <c r="A11651" s="1033"/>
      <c r="E11651" s="130"/>
    </row>
    <row r="11652" spans="1:5" x14ac:dyDescent="0.25">
      <c r="A11652" s="1033"/>
      <c r="E11652" s="130"/>
    </row>
    <row r="11653" spans="1:5" x14ac:dyDescent="0.25">
      <c r="A11653" s="1033"/>
      <c r="E11653" s="130"/>
    </row>
    <row r="11654" spans="1:5" x14ac:dyDescent="0.25">
      <c r="A11654" s="1033"/>
      <c r="E11654" s="130"/>
    </row>
    <row r="11655" spans="1:5" x14ac:dyDescent="0.25">
      <c r="A11655" s="1033"/>
      <c r="E11655" s="130"/>
    </row>
    <row r="11656" spans="1:5" x14ac:dyDescent="0.25">
      <c r="A11656" s="1033"/>
      <c r="E11656" s="130"/>
    </row>
    <row r="11657" spans="1:5" x14ac:dyDescent="0.25">
      <c r="A11657" s="1033"/>
      <c r="E11657" s="130"/>
    </row>
    <row r="11658" spans="1:5" x14ac:dyDescent="0.25">
      <c r="A11658" s="1033"/>
      <c r="E11658" s="130"/>
    </row>
    <row r="11659" spans="1:5" x14ac:dyDescent="0.25">
      <c r="A11659" s="1033"/>
      <c r="E11659" s="130"/>
    </row>
    <row r="11660" spans="1:5" x14ac:dyDescent="0.25">
      <c r="A11660" s="1033"/>
      <c r="E11660" s="130"/>
    </row>
    <row r="11661" spans="1:5" x14ac:dyDescent="0.25">
      <c r="A11661" s="1033"/>
      <c r="E11661" s="130"/>
    </row>
    <row r="11662" spans="1:5" x14ac:dyDescent="0.25">
      <c r="A11662" s="1033"/>
      <c r="E11662" s="130"/>
    </row>
    <row r="11663" spans="1:5" x14ac:dyDescent="0.25">
      <c r="A11663" s="1033"/>
      <c r="E11663" s="130"/>
    </row>
    <row r="11664" spans="1:5" x14ac:dyDescent="0.25">
      <c r="A11664" s="1033"/>
      <c r="E11664" s="130"/>
    </row>
    <row r="11665" spans="1:5" x14ac:dyDescent="0.25">
      <c r="A11665" s="1033"/>
      <c r="E11665" s="130"/>
    </row>
    <row r="11666" spans="1:5" x14ac:dyDescent="0.25">
      <c r="A11666" s="1033"/>
      <c r="E11666" s="130"/>
    </row>
    <row r="11667" spans="1:5" x14ac:dyDescent="0.25">
      <c r="A11667" s="1033"/>
      <c r="E11667" s="130"/>
    </row>
    <row r="11668" spans="1:5" x14ac:dyDescent="0.25">
      <c r="A11668" s="1033"/>
      <c r="E11668" s="130"/>
    </row>
    <row r="11669" spans="1:5" x14ac:dyDescent="0.25">
      <c r="A11669" s="1033"/>
      <c r="E11669" s="130"/>
    </row>
    <row r="11670" spans="1:5" x14ac:dyDescent="0.25">
      <c r="A11670" s="1033"/>
      <c r="E11670" s="130"/>
    </row>
    <row r="11671" spans="1:5" x14ac:dyDescent="0.25">
      <c r="A11671" s="1033"/>
      <c r="E11671" s="130"/>
    </row>
    <row r="11672" spans="1:5" x14ac:dyDescent="0.25">
      <c r="A11672" s="1033"/>
      <c r="E11672" s="130"/>
    </row>
    <row r="11673" spans="1:5" x14ac:dyDescent="0.25">
      <c r="A11673" s="1033"/>
      <c r="E11673" s="130"/>
    </row>
    <row r="11674" spans="1:5" x14ac:dyDescent="0.25">
      <c r="A11674" s="1033"/>
      <c r="E11674" s="130"/>
    </row>
    <row r="11675" spans="1:5" x14ac:dyDescent="0.25">
      <c r="A11675" s="1033"/>
      <c r="E11675" s="130"/>
    </row>
    <row r="11676" spans="1:5" x14ac:dyDescent="0.25">
      <c r="A11676" s="1033"/>
      <c r="E11676" s="130"/>
    </row>
    <row r="11677" spans="1:5" x14ac:dyDescent="0.25">
      <c r="A11677" s="1033"/>
      <c r="E11677" s="130"/>
    </row>
    <row r="11678" spans="1:5" x14ac:dyDescent="0.25">
      <c r="A11678" s="1033"/>
      <c r="E11678" s="130"/>
    </row>
    <row r="11679" spans="1:5" x14ac:dyDescent="0.25">
      <c r="A11679" s="1033"/>
      <c r="E11679" s="130"/>
    </row>
    <row r="11680" spans="1:5" x14ac:dyDescent="0.25">
      <c r="A11680" s="1033"/>
      <c r="E11680" s="130"/>
    </row>
    <row r="11681" spans="1:5" x14ac:dyDescent="0.25">
      <c r="A11681" s="1033"/>
      <c r="E11681" s="130"/>
    </row>
    <row r="11682" spans="1:5" x14ac:dyDescent="0.25">
      <c r="A11682" s="1033"/>
      <c r="E11682" s="130"/>
    </row>
    <row r="11683" spans="1:5" x14ac:dyDescent="0.25">
      <c r="A11683" s="1033"/>
      <c r="E11683" s="130"/>
    </row>
    <row r="11684" spans="1:5" x14ac:dyDescent="0.25">
      <c r="A11684" s="1033"/>
      <c r="E11684" s="130"/>
    </row>
    <row r="11685" spans="1:5" x14ac:dyDescent="0.25">
      <c r="A11685" s="1033"/>
      <c r="E11685" s="130"/>
    </row>
    <row r="11686" spans="1:5" x14ac:dyDescent="0.25">
      <c r="A11686" s="1033"/>
      <c r="E11686" s="130"/>
    </row>
    <row r="11687" spans="1:5" x14ac:dyDescent="0.25">
      <c r="A11687" s="1033"/>
      <c r="E11687" s="130"/>
    </row>
    <row r="11688" spans="1:5" x14ac:dyDescent="0.25">
      <c r="A11688" s="1033"/>
      <c r="E11688" s="130"/>
    </row>
    <row r="11689" spans="1:5" x14ac:dyDescent="0.25">
      <c r="A11689" s="1033"/>
      <c r="E11689" s="130"/>
    </row>
    <row r="11690" spans="1:5" x14ac:dyDescent="0.25">
      <c r="A11690" s="1033"/>
      <c r="E11690" s="130"/>
    </row>
    <row r="11691" spans="1:5" x14ac:dyDescent="0.25">
      <c r="A11691" s="1033"/>
      <c r="E11691" s="130"/>
    </row>
    <row r="11692" spans="1:5" x14ac:dyDescent="0.25">
      <c r="A11692" s="1033"/>
      <c r="E11692" s="130"/>
    </row>
    <row r="11693" spans="1:5" x14ac:dyDescent="0.25">
      <c r="A11693" s="1033"/>
      <c r="E11693" s="130"/>
    </row>
    <row r="11694" spans="1:5" x14ac:dyDescent="0.25">
      <c r="A11694" s="1033"/>
      <c r="E11694" s="130"/>
    </row>
    <row r="11695" spans="1:5" x14ac:dyDescent="0.25">
      <c r="A11695" s="1033"/>
      <c r="E11695" s="130"/>
    </row>
    <row r="11696" spans="1:5" x14ac:dyDescent="0.25">
      <c r="A11696" s="1033"/>
      <c r="E11696" s="130"/>
    </row>
    <row r="11697" spans="1:5" x14ac:dyDescent="0.25">
      <c r="A11697" s="1033"/>
      <c r="E11697" s="130"/>
    </row>
    <row r="11698" spans="1:5" x14ac:dyDescent="0.25">
      <c r="A11698" s="1033"/>
      <c r="E11698" s="130"/>
    </row>
    <row r="11699" spans="1:5" x14ac:dyDescent="0.25">
      <c r="A11699" s="1033"/>
      <c r="E11699" s="130"/>
    </row>
    <row r="11700" spans="1:5" x14ac:dyDescent="0.25">
      <c r="A11700" s="1033"/>
      <c r="E11700" s="130"/>
    </row>
    <row r="11701" spans="1:5" x14ac:dyDescent="0.25">
      <c r="A11701" s="1033"/>
      <c r="E11701" s="130"/>
    </row>
    <row r="11702" spans="1:5" x14ac:dyDescent="0.25">
      <c r="A11702" s="1033"/>
      <c r="E11702" s="130"/>
    </row>
    <row r="11703" spans="1:5" x14ac:dyDescent="0.25">
      <c r="A11703" s="1033"/>
      <c r="E11703" s="130"/>
    </row>
    <row r="11704" spans="1:5" x14ac:dyDescent="0.25">
      <c r="A11704" s="1033"/>
      <c r="E11704" s="130"/>
    </row>
    <row r="11705" spans="1:5" x14ac:dyDescent="0.25">
      <c r="A11705" s="1033"/>
      <c r="E11705" s="130"/>
    </row>
    <row r="11706" spans="1:5" x14ac:dyDescent="0.25">
      <c r="A11706" s="1033"/>
      <c r="E11706" s="130"/>
    </row>
    <row r="11707" spans="1:5" x14ac:dyDescent="0.25">
      <c r="A11707" s="1033"/>
      <c r="E11707" s="130"/>
    </row>
    <row r="11708" spans="1:5" x14ac:dyDescent="0.25">
      <c r="A11708" s="1033"/>
      <c r="E11708" s="130"/>
    </row>
    <row r="11709" spans="1:5" x14ac:dyDescent="0.25">
      <c r="A11709" s="1033"/>
      <c r="E11709" s="130"/>
    </row>
    <row r="11710" spans="1:5" x14ac:dyDescent="0.25">
      <c r="A11710" s="1033"/>
      <c r="E11710" s="130"/>
    </row>
    <row r="11711" spans="1:5" x14ac:dyDescent="0.25">
      <c r="A11711" s="1033"/>
      <c r="E11711" s="130"/>
    </row>
    <row r="11712" spans="1:5" x14ac:dyDescent="0.25">
      <c r="A11712" s="1033"/>
      <c r="E11712" s="130"/>
    </row>
    <row r="11713" spans="1:5" x14ac:dyDescent="0.25">
      <c r="A11713" s="1033"/>
      <c r="E11713" s="130"/>
    </row>
    <row r="11714" spans="1:5" x14ac:dyDescent="0.25">
      <c r="A11714" s="1033"/>
      <c r="E11714" s="130"/>
    </row>
    <row r="11715" spans="1:5" x14ac:dyDescent="0.25">
      <c r="A11715" s="1033"/>
      <c r="E11715" s="130"/>
    </row>
    <row r="11716" spans="1:5" x14ac:dyDescent="0.25">
      <c r="A11716" s="1033"/>
      <c r="E11716" s="130"/>
    </row>
    <row r="11717" spans="1:5" x14ac:dyDescent="0.25">
      <c r="A11717" s="1033"/>
      <c r="E11717" s="130"/>
    </row>
    <row r="11718" spans="1:5" x14ac:dyDescent="0.25">
      <c r="A11718" s="1033"/>
      <c r="E11718" s="130"/>
    </row>
    <row r="11719" spans="1:5" x14ac:dyDescent="0.25">
      <c r="A11719" s="1033"/>
      <c r="E11719" s="130"/>
    </row>
    <row r="11720" spans="1:5" x14ac:dyDescent="0.25">
      <c r="A11720" s="1033"/>
      <c r="E11720" s="130"/>
    </row>
    <row r="11721" spans="1:5" x14ac:dyDescent="0.25">
      <c r="A11721" s="1033"/>
      <c r="E11721" s="130"/>
    </row>
    <row r="11722" spans="1:5" x14ac:dyDescent="0.25">
      <c r="A11722" s="1033"/>
      <c r="E11722" s="130"/>
    </row>
    <row r="11723" spans="1:5" x14ac:dyDescent="0.25">
      <c r="A11723" s="1033"/>
      <c r="E11723" s="130"/>
    </row>
    <row r="11724" spans="1:5" x14ac:dyDescent="0.25">
      <c r="A11724" s="1033"/>
      <c r="E11724" s="130"/>
    </row>
    <row r="11725" spans="1:5" x14ac:dyDescent="0.25">
      <c r="A11725" s="1033"/>
      <c r="E11725" s="130"/>
    </row>
    <row r="11726" spans="1:5" x14ac:dyDescent="0.25">
      <c r="A11726" s="1033"/>
      <c r="E11726" s="130"/>
    </row>
    <row r="11727" spans="1:5" x14ac:dyDescent="0.25">
      <c r="A11727" s="1033"/>
      <c r="E11727" s="130"/>
    </row>
    <row r="11728" spans="1:5" x14ac:dyDescent="0.25">
      <c r="A11728" s="1033"/>
      <c r="E11728" s="130"/>
    </row>
    <row r="11729" spans="1:5" x14ac:dyDescent="0.25">
      <c r="A11729" s="1033"/>
      <c r="E11729" s="130"/>
    </row>
    <row r="11730" spans="1:5" x14ac:dyDescent="0.25">
      <c r="A11730" s="1033"/>
      <c r="E11730" s="130"/>
    </row>
    <row r="11731" spans="1:5" x14ac:dyDescent="0.25">
      <c r="A11731" s="1033"/>
      <c r="E11731" s="130"/>
    </row>
    <row r="11732" spans="1:5" x14ac:dyDescent="0.25">
      <c r="A11732" s="1033"/>
      <c r="E11732" s="130"/>
    </row>
    <row r="11733" spans="1:5" x14ac:dyDescent="0.25">
      <c r="A11733" s="1033"/>
      <c r="E11733" s="130"/>
    </row>
    <row r="11734" spans="1:5" x14ac:dyDescent="0.25">
      <c r="A11734" s="1033"/>
      <c r="E11734" s="130"/>
    </row>
    <row r="11735" spans="1:5" x14ac:dyDescent="0.25">
      <c r="A11735" s="1033"/>
      <c r="E11735" s="130"/>
    </row>
    <row r="11736" spans="1:5" x14ac:dyDescent="0.25">
      <c r="A11736" s="1033"/>
      <c r="E11736" s="130"/>
    </row>
    <row r="11737" spans="1:5" x14ac:dyDescent="0.25">
      <c r="A11737" s="1033"/>
      <c r="E11737" s="130"/>
    </row>
    <row r="11738" spans="1:5" x14ac:dyDescent="0.25">
      <c r="A11738" s="1033"/>
      <c r="E11738" s="130"/>
    </row>
    <row r="11739" spans="1:5" x14ac:dyDescent="0.25">
      <c r="A11739" s="1033"/>
      <c r="E11739" s="130"/>
    </row>
    <row r="11740" spans="1:5" x14ac:dyDescent="0.25">
      <c r="A11740" s="1033"/>
      <c r="E11740" s="130"/>
    </row>
    <row r="11741" spans="1:5" x14ac:dyDescent="0.25">
      <c r="A11741" s="1033"/>
      <c r="E11741" s="130"/>
    </row>
    <row r="11742" spans="1:5" x14ac:dyDescent="0.25">
      <c r="A11742" s="1033"/>
      <c r="E11742" s="130"/>
    </row>
    <row r="11743" spans="1:5" x14ac:dyDescent="0.25">
      <c r="A11743" s="1033"/>
      <c r="E11743" s="130"/>
    </row>
    <row r="11744" spans="1:5" x14ac:dyDescent="0.25">
      <c r="A11744" s="1033"/>
      <c r="E11744" s="130"/>
    </row>
    <row r="11745" spans="1:5" x14ac:dyDescent="0.25">
      <c r="A11745" s="1033"/>
      <c r="E11745" s="130"/>
    </row>
    <row r="11746" spans="1:5" x14ac:dyDescent="0.25">
      <c r="A11746" s="1033"/>
      <c r="E11746" s="130"/>
    </row>
    <row r="11747" spans="1:5" x14ac:dyDescent="0.25">
      <c r="A11747" s="1033"/>
      <c r="E11747" s="130"/>
    </row>
    <row r="11748" spans="1:5" x14ac:dyDescent="0.25">
      <c r="A11748" s="1033"/>
      <c r="E11748" s="130"/>
    </row>
    <row r="11749" spans="1:5" x14ac:dyDescent="0.25">
      <c r="A11749" s="1033"/>
      <c r="E11749" s="130"/>
    </row>
    <row r="11750" spans="1:5" x14ac:dyDescent="0.25">
      <c r="A11750" s="1033"/>
      <c r="E11750" s="130"/>
    </row>
    <row r="11751" spans="1:5" x14ac:dyDescent="0.25">
      <c r="A11751" s="1033"/>
      <c r="E11751" s="130"/>
    </row>
    <row r="11752" spans="1:5" x14ac:dyDescent="0.25">
      <c r="A11752" s="1033"/>
      <c r="E11752" s="130"/>
    </row>
    <row r="11753" spans="1:5" x14ac:dyDescent="0.25">
      <c r="A11753" s="1033"/>
      <c r="E11753" s="130"/>
    </row>
    <row r="11754" spans="1:5" x14ac:dyDescent="0.25">
      <c r="A11754" s="1033"/>
      <c r="E11754" s="130"/>
    </row>
    <row r="11755" spans="1:5" x14ac:dyDescent="0.25">
      <c r="A11755" s="1033"/>
      <c r="E11755" s="130"/>
    </row>
    <row r="11756" spans="1:5" x14ac:dyDescent="0.25">
      <c r="A11756" s="1033"/>
      <c r="E11756" s="130"/>
    </row>
    <row r="11757" spans="1:5" x14ac:dyDescent="0.25">
      <c r="A11757" s="1033"/>
      <c r="E11757" s="130"/>
    </row>
    <row r="11758" spans="1:5" x14ac:dyDescent="0.25">
      <c r="A11758" s="1033"/>
      <c r="E11758" s="130"/>
    </row>
    <row r="11759" spans="1:5" x14ac:dyDescent="0.25">
      <c r="A11759" s="1033"/>
      <c r="E11759" s="130"/>
    </row>
    <row r="11760" spans="1:5" x14ac:dyDescent="0.25">
      <c r="A11760" s="1033"/>
      <c r="E11760" s="130"/>
    </row>
    <row r="11761" spans="1:5" x14ac:dyDescent="0.25">
      <c r="A11761" s="1033"/>
      <c r="E11761" s="130"/>
    </row>
    <row r="11762" spans="1:5" x14ac:dyDescent="0.25">
      <c r="A11762" s="1033"/>
      <c r="E11762" s="130"/>
    </row>
    <row r="11763" spans="1:5" x14ac:dyDescent="0.25">
      <c r="A11763" s="1033"/>
      <c r="E11763" s="130"/>
    </row>
    <row r="11764" spans="1:5" x14ac:dyDescent="0.25">
      <c r="A11764" s="1033"/>
      <c r="E11764" s="130"/>
    </row>
    <row r="11765" spans="1:5" x14ac:dyDescent="0.25">
      <c r="A11765" s="1033"/>
      <c r="E11765" s="130"/>
    </row>
    <row r="11766" spans="1:5" x14ac:dyDescent="0.25">
      <c r="A11766" s="1033"/>
      <c r="E11766" s="130"/>
    </row>
    <row r="11767" spans="1:5" x14ac:dyDescent="0.25">
      <c r="A11767" s="1033"/>
      <c r="E11767" s="130"/>
    </row>
    <row r="11768" spans="1:5" x14ac:dyDescent="0.25">
      <c r="A11768" s="1033"/>
      <c r="E11768" s="130"/>
    </row>
    <row r="11769" spans="1:5" x14ac:dyDescent="0.25">
      <c r="A11769" s="1033"/>
      <c r="E11769" s="130"/>
    </row>
    <row r="11770" spans="1:5" x14ac:dyDescent="0.25">
      <c r="A11770" s="1033"/>
      <c r="E11770" s="130"/>
    </row>
    <row r="11771" spans="1:5" x14ac:dyDescent="0.25">
      <c r="A11771" s="1033"/>
      <c r="E11771" s="130"/>
    </row>
    <row r="11772" spans="1:5" x14ac:dyDescent="0.25">
      <c r="A11772" s="1033"/>
      <c r="E11772" s="130"/>
    </row>
    <row r="11773" spans="1:5" x14ac:dyDescent="0.25">
      <c r="A11773" s="1033"/>
      <c r="E11773" s="130"/>
    </row>
    <row r="11774" spans="1:5" x14ac:dyDescent="0.25">
      <c r="A11774" s="1033"/>
      <c r="E11774" s="130"/>
    </row>
    <row r="11775" spans="1:5" x14ac:dyDescent="0.25">
      <c r="A11775" s="1033"/>
      <c r="E11775" s="130"/>
    </row>
    <row r="11776" spans="1:5" x14ac:dyDescent="0.25">
      <c r="A11776" s="1033"/>
      <c r="E11776" s="130"/>
    </row>
    <row r="11777" spans="1:5" x14ac:dyDescent="0.25">
      <c r="A11777" s="1033"/>
      <c r="E11777" s="130"/>
    </row>
    <row r="11778" spans="1:5" x14ac:dyDescent="0.25">
      <c r="A11778" s="1033"/>
      <c r="E11778" s="130"/>
    </row>
    <row r="11779" spans="1:5" x14ac:dyDescent="0.25">
      <c r="A11779" s="1033"/>
      <c r="E11779" s="130"/>
    </row>
    <row r="11780" spans="1:5" x14ac:dyDescent="0.25">
      <c r="A11780" s="1033"/>
      <c r="E11780" s="130"/>
    </row>
    <row r="11781" spans="1:5" x14ac:dyDescent="0.25">
      <c r="A11781" s="1033"/>
      <c r="E11781" s="130"/>
    </row>
    <row r="11782" spans="1:5" x14ac:dyDescent="0.25">
      <c r="A11782" s="1033"/>
      <c r="E11782" s="130"/>
    </row>
    <row r="11783" spans="1:5" x14ac:dyDescent="0.25">
      <c r="A11783" s="1033"/>
      <c r="E11783" s="130"/>
    </row>
    <row r="11784" spans="1:5" x14ac:dyDescent="0.25">
      <c r="A11784" s="1033"/>
      <c r="E11784" s="130"/>
    </row>
    <row r="11785" spans="1:5" x14ac:dyDescent="0.25">
      <c r="A11785" s="1033"/>
      <c r="E11785" s="130"/>
    </row>
    <row r="11786" spans="1:5" x14ac:dyDescent="0.25">
      <c r="A11786" s="1033"/>
      <c r="E11786" s="130"/>
    </row>
    <row r="11787" spans="1:5" x14ac:dyDescent="0.25">
      <c r="A11787" s="1033"/>
      <c r="E11787" s="130"/>
    </row>
    <row r="11788" spans="1:5" x14ac:dyDescent="0.25">
      <c r="A11788" s="1033"/>
      <c r="E11788" s="130"/>
    </row>
    <row r="11789" spans="1:5" x14ac:dyDescent="0.25">
      <c r="A11789" s="1033"/>
      <c r="E11789" s="130"/>
    </row>
    <row r="11790" spans="1:5" x14ac:dyDescent="0.25">
      <c r="A11790" s="1033"/>
      <c r="E11790" s="130"/>
    </row>
    <row r="11791" spans="1:5" x14ac:dyDescent="0.25">
      <c r="A11791" s="1033"/>
      <c r="E11791" s="130"/>
    </row>
    <row r="11792" spans="1:5" x14ac:dyDescent="0.25">
      <c r="A11792" s="1033"/>
      <c r="E11792" s="130"/>
    </row>
    <row r="11793" spans="1:5" x14ac:dyDescent="0.25">
      <c r="A11793" s="1033"/>
      <c r="E11793" s="130"/>
    </row>
    <row r="11794" spans="1:5" x14ac:dyDescent="0.25">
      <c r="A11794" s="1033"/>
      <c r="E11794" s="130"/>
    </row>
    <row r="11795" spans="1:5" x14ac:dyDescent="0.25">
      <c r="A11795" s="1033"/>
      <c r="E11795" s="130"/>
    </row>
    <row r="11796" spans="1:5" x14ac:dyDescent="0.25">
      <c r="A11796" s="1033"/>
      <c r="E11796" s="130"/>
    </row>
    <row r="11797" spans="1:5" x14ac:dyDescent="0.25">
      <c r="A11797" s="1033"/>
      <c r="E11797" s="130"/>
    </row>
    <row r="11798" spans="1:5" x14ac:dyDescent="0.25">
      <c r="A11798" s="1033"/>
      <c r="E11798" s="130"/>
    </row>
    <row r="11799" spans="1:5" x14ac:dyDescent="0.25">
      <c r="A11799" s="1033"/>
      <c r="E11799" s="130"/>
    </row>
    <row r="11800" spans="1:5" x14ac:dyDescent="0.25">
      <c r="A11800" s="1033"/>
      <c r="E11800" s="130"/>
    </row>
    <row r="11801" spans="1:5" x14ac:dyDescent="0.25">
      <c r="A11801" s="1033"/>
      <c r="E11801" s="130"/>
    </row>
    <row r="11802" spans="1:5" x14ac:dyDescent="0.25">
      <c r="A11802" s="1033"/>
      <c r="E11802" s="130"/>
    </row>
    <row r="11803" spans="1:5" x14ac:dyDescent="0.25">
      <c r="A11803" s="1033"/>
      <c r="E11803" s="130"/>
    </row>
    <row r="11804" spans="1:5" x14ac:dyDescent="0.25">
      <c r="A11804" s="1033"/>
      <c r="E11804" s="130"/>
    </row>
    <row r="11805" spans="1:5" x14ac:dyDescent="0.25">
      <c r="A11805" s="1033"/>
      <c r="E11805" s="130"/>
    </row>
    <row r="11806" spans="1:5" x14ac:dyDescent="0.25">
      <c r="A11806" s="1033"/>
      <c r="E11806" s="130"/>
    </row>
    <row r="11807" spans="1:5" x14ac:dyDescent="0.25">
      <c r="A11807" s="1033"/>
      <c r="E11807" s="130"/>
    </row>
    <row r="11808" spans="1:5" x14ac:dyDescent="0.25">
      <c r="A11808" s="1033"/>
      <c r="E11808" s="130"/>
    </row>
    <row r="11809" spans="1:5" x14ac:dyDescent="0.25">
      <c r="A11809" s="1033"/>
      <c r="E11809" s="130"/>
    </row>
    <row r="11810" spans="1:5" x14ac:dyDescent="0.25">
      <c r="A11810" s="1033"/>
      <c r="E11810" s="130"/>
    </row>
    <row r="11811" spans="1:5" x14ac:dyDescent="0.25">
      <c r="A11811" s="1033"/>
      <c r="E11811" s="130"/>
    </row>
    <row r="11812" spans="1:5" x14ac:dyDescent="0.25">
      <c r="A11812" s="1033"/>
      <c r="E11812" s="130"/>
    </row>
    <row r="11813" spans="1:5" x14ac:dyDescent="0.25">
      <c r="A11813" s="1033"/>
      <c r="E11813" s="130"/>
    </row>
    <row r="11814" spans="1:5" x14ac:dyDescent="0.25">
      <c r="A11814" s="1033"/>
      <c r="E11814" s="130"/>
    </row>
    <row r="11815" spans="1:5" x14ac:dyDescent="0.25">
      <c r="A11815" s="1033"/>
      <c r="E11815" s="130"/>
    </row>
    <row r="11816" spans="1:5" x14ac:dyDescent="0.25">
      <c r="A11816" s="1033"/>
      <c r="E11816" s="130"/>
    </row>
    <row r="11817" spans="1:5" x14ac:dyDescent="0.25">
      <c r="A11817" s="1033"/>
      <c r="E11817" s="130"/>
    </row>
    <row r="11818" spans="1:5" x14ac:dyDescent="0.25">
      <c r="A11818" s="1033"/>
      <c r="E11818" s="130"/>
    </row>
    <row r="11819" spans="1:5" x14ac:dyDescent="0.25">
      <c r="A11819" s="1033"/>
      <c r="E11819" s="130"/>
    </row>
    <row r="11820" spans="1:5" x14ac:dyDescent="0.25">
      <c r="A11820" s="1033"/>
      <c r="E11820" s="130"/>
    </row>
    <row r="11821" spans="1:5" x14ac:dyDescent="0.25">
      <c r="A11821" s="1033"/>
      <c r="E11821" s="130"/>
    </row>
    <row r="11822" spans="1:5" x14ac:dyDescent="0.25">
      <c r="A11822" s="1033"/>
      <c r="E11822" s="130"/>
    </row>
    <row r="11823" spans="1:5" x14ac:dyDescent="0.25">
      <c r="A11823" s="1033"/>
      <c r="E11823" s="130"/>
    </row>
    <row r="11824" spans="1:5" x14ac:dyDescent="0.25">
      <c r="A11824" s="1033"/>
      <c r="E11824" s="130"/>
    </row>
    <row r="11825" spans="1:5" x14ac:dyDescent="0.25">
      <c r="A11825" s="1033"/>
      <c r="E11825" s="130"/>
    </row>
    <row r="11826" spans="1:5" x14ac:dyDescent="0.25">
      <c r="A11826" s="1033"/>
      <c r="E11826" s="130"/>
    </row>
    <row r="11827" spans="1:5" x14ac:dyDescent="0.25">
      <c r="A11827" s="1033"/>
      <c r="E11827" s="130"/>
    </row>
    <row r="11828" spans="1:5" x14ac:dyDescent="0.25">
      <c r="A11828" s="1033"/>
      <c r="E11828" s="130"/>
    </row>
    <row r="11829" spans="1:5" x14ac:dyDescent="0.25">
      <c r="A11829" s="1033"/>
      <c r="E11829" s="130"/>
    </row>
    <row r="11830" spans="1:5" x14ac:dyDescent="0.25">
      <c r="A11830" s="1033"/>
      <c r="E11830" s="130"/>
    </row>
    <row r="11831" spans="1:5" x14ac:dyDescent="0.25">
      <c r="A11831" s="1033"/>
      <c r="E11831" s="130"/>
    </row>
    <row r="11832" spans="1:5" x14ac:dyDescent="0.25">
      <c r="A11832" s="1033"/>
      <c r="E11832" s="130"/>
    </row>
    <row r="11833" spans="1:5" x14ac:dyDescent="0.25">
      <c r="A11833" s="1033"/>
      <c r="E11833" s="130"/>
    </row>
    <row r="11834" spans="1:5" x14ac:dyDescent="0.25">
      <c r="A11834" s="1033"/>
      <c r="E11834" s="130"/>
    </row>
    <row r="11835" spans="1:5" x14ac:dyDescent="0.25">
      <c r="A11835" s="1033"/>
      <c r="E11835" s="130"/>
    </row>
    <row r="11836" spans="1:5" x14ac:dyDescent="0.25">
      <c r="A11836" s="1033"/>
      <c r="E11836" s="130"/>
    </row>
    <row r="11837" spans="1:5" x14ac:dyDescent="0.25">
      <c r="A11837" s="1033"/>
      <c r="E11837" s="130"/>
    </row>
    <row r="11838" spans="1:5" x14ac:dyDescent="0.25">
      <c r="A11838" s="1033"/>
      <c r="E11838" s="130"/>
    </row>
    <row r="11839" spans="1:5" x14ac:dyDescent="0.25">
      <c r="A11839" s="1033"/>
      <c r="E11839" s="130"/>
    </row>
    <row r="11840" spans="1:5" x14ac:dyDescent="0.25">
      <c r="A11840" s="1033"/>
      <c r="E11840" s="130"/>
    </row>
    <row r="11841" spans="1:5" x14ac:dyDescent="0.25">
      <c r="A11841" s="1033"/>
      <c r="E11841" s="130"/>
    </row>
    <row r="11842" spans="1:5" x14ac:dyDescent="0.25">
      <c r="A11842" s="1033"/>
      <c r="E11842" s="130"/>
    </row>
    <row r="11843" spans="1:5" x14ac:dyDescent="0.25">
      <c r="A11843" s="1033"/>
      <c r="E11843" s="130"/>
    </row>
    <row r="11844" spans="1:5" x14ac:dyDescent="0.25">
      <c r="A11844" s="1033"/>
      <c r="E11844" s="130"/>
    </row>
    <row r="11845" spans="1:5" x14ac:dyDescent="0.25">
      <c r="A11845" s="1033"/>
      <c r="E11845" s="130"/>
    </row>
    <row r="11846" spans="1:5" x14ac:dyDescent="0.25">
      <c r="A11846" s="1033"/>
      <c r="E11846" s="130"/>
    </row>
    <row r="11847" spans="1:5" x14ac:dyDescent="0.25">
      <c r="A11847" s="1033"/>
      <c r="E11847" s="130"/>
    </row>
    <row r="11848" spans="1:5" x14ac:dyDescent="0.25">
      <c r="A11848" s="1033"/>
      <c r="E11848" s="130"/>
    </row>
    <row r="11849" spans="1:5" x14ac:dyDescent="0.25">
      <c r="A11849" s="1033"/>
      <c r="E11849" s="130"/>
    </row>
    <row r="11850" spans="1:5" x14ac:dyDescent="0.25">
      <c r="A11850" s="1033"/>
      <c r="E11850" s="130"/>
    </row>
    <row r="11851" spans="1:5" x14ac:dyDescent="0.25">
      <c r="A11851" s="1033"/>
      <c r="E11851" s="130"/>
    </row>
    <row r="11852" spans="1:5" x14ac:dyDescent="0.25">
      <c r="A11852" s="1033"/>
      <c r="E11852" s="130"/>
    </row>
    <row r="11853" spans="1:5" x14ac:dyDescent="0.25">
      <c r="A11853" s="1033"/>
      <c r="E11853" s="130"/>
    </row>
    <row r="11854" spans="1:5" x14ac:dyDescent="0.25">
      <c r="A11854" s="1033"/>
      <c r="E11854" s="130"/>
    </row>
    <row r="11855" spans="1:5" x14ac:dyDescent="0.25">
      <c r="A11855" s="1033"/>
      <c r="E11855" s="130"/>
    </row>
    <row r="11856" spans="1:5" x14ac:dyDescent="0.25">
      <c r="A11856" s="1033"/>
      <c r="E11856" s="130"/>
    </row>
    <row r="11857" spans="1:5" x14ac:dyDescent="0.25">
      <c r="A11857" s="1033"/>
      <c r="E11857" s="130"/>
    </row>
    <row r="11858" spans="1:5" x14ac:dyDescent="0.25">
      <c r="A11858" s="1033"/>
      <c r="E11858" s="130"/>
    </row>
    <row r="11859" spans="1:5" x14ac:dyDescent="0.25">
      <c r="A11859" s="1033"/>
      <c r="E11859" s="130"/>
    </row>
    <row r="11860" spans="1:5" x14ac:dyDescent="0.25">
      <c r="A11860" s="1033"/>
      <c r="E11860" s="130"/>
    </row>
    <row r="11861" spans="1:5" x14ac:dyDescent="0.25">
      <c r="A11861" s="1033"/>
      <c r="E11861" s="130"/>
    </row>
    <row r="11862" spans="1:5" x14ac:dyDescent="0.25">
      <c r="A11862" s="1033"/>
      <c r="E11862" s="130"/>
    </row>
    <row r="11863" spans="1:5" x14ac:dyDescent="0.25">
      <c r="A11863" s="1033"/>
      <c r="E11863" s="130"/>
    </row>
    <row r="11864" spans="1:5" x14ac:dyDescent="0.25">
      <c r="A11864" s="1033"/>
      <c r="E11864" s="130"/>
    </row>
    <row r="11865" spans="1:5" x14ac:dyDescent="0.25">
      <c r="A11865" s="1033"/>
      <c r="E11865" s="130"/>
    </row>
    <row r="11866" spans="1:5" x14ac:dyDescent="0.25">
      <c r="A11866" s="1033"/>
      <c r="E11866" s="130"/>
    </row>
    <row r="11867" spans="1:5" x14ac:dyDescent="0.25">
      <c r="A11867" s="1033"/>
      <c r="E11867" s="130"/>
    </row>
    <row r="11868" spans="1:5" x14ac:dyDescent="0.25">
      <c r="A11868" s="1033"/>
      <c r="E11868" s="130"/>
    </row>
    <row r="11869" spans="1:5" x14ac:dyDescent="0.25">
      <c r="A11869" s="1033"/>
      <c r="E11869" s="130"/>
    </row>
    <row r="11870" spans="1:5" x14ac:dyDescent="0.25">
      <c r="A11870" s="1033"/>
      <c r="E11870" s="130"/>
    </row>
    <row r="11871" spans="1:5" x14ac:dyDescent="0.25">
      <c r="A11871" s="1033"/>
      <c r="E11871" s="130"/>
    </row>
    <row r="11872" spans="1:5" x14ac:dyDescent="0.25">
      <c r="A11872" s="1033"/>
      <c r="E11872" s="130"/>
    </row>
    <row r="11873" spans="1:5" x14ac:dyDescent="0.25">
      <c r="A11873" s="1033"/>
      <c r="E11873" s="130"/>
    </row>
    <row r="11874" spans="1:5" x14ac:dyDescent="0.25">
      <c r="A11874" s="1033"/>
      <c r="E11874" s="130"/>
    </row>
    <row r="11875" spans="1:5" x14ac:dyDescent="0.25">
      <c r="A11875" s="1033"/>
      <c r="E11875" s="130"/>
    </row>
    <row r="11876" spans="1:5" x14ac:dyDescent="0.25">
      <c r="A11876" s="1033"/>
      <c r="E11876" s="130"/>
    </row>
    <row r="11877" spans="1:5" x14ac:dyDescent="0.25">
      <c r="A11877" s="1033"/>
      <c r="E11877" s="130"/>
    </row>
    <row r="11878" spans="1:5" x14ac:dyDescent="0.25">
      <c r="A11878" s="1033"/>
      <c r="E11878" s="130"/>
    </row>
    <row r="11879" spans="1:5" x14ac:dyDescent="0.25">
      <c r="A11879" s="1033"/>
      <c r="E11879" s="130"/>
    </row>
    <row r="11880" spans="1:5" x14ac:dyDescent="0.25">
      <c r="A11880" s="1033"/>
      <c r="E11880" s="130"/>
    </row>
    <row r="11881" spans="1:5" x14ac:dyDescent="0.25">
      <c r="A11881" s="1033"/>
      <c r="E11881" s="130"/>
    </row>
    <row r="11882" spans="1:5" x14ac:dyDescent="0.25">
      <c r="A11882" s="1033"/>
      <c r="E11882" s="130"/>
    </row>
    <row r="11883" spans="1:5" x14ac:dyDescent="0.25">
      <c r="A11883" s="1033"/>
      <c r="E11883" s="130"/>
    </row>
    <row r="11884" spans="1:5" x14ac:dyDescent="0.25">
      <c r="A11884" s="1033"/>
      <c r="E11884" s="130"/>
    </row>
    <row r="11885" spans="1:5" x14ac:dyDescent="0.25">
      <c r="A11885" s="1033"/>
      <c r="E11885" s="130"/>
    </row>
    <row r="11886" spans="1:5" x14ac:dyDescent="0.25">
      <c r="A11886" s="1033"/>
      <c r="E11886" s="130"/>
    </row>
    <row r="11887" spans="1:5" x14ac:dyDescent="0.25">
      <c r="A11887" s="1033"/>
      <c r="E11887" s="130"/>
    </row>
    <row r="11888" spans="1:5" x14ac:dyDescent="0.25">
      <c r="A11888" s="1033"/>
      <c r="E11888" s="130"/>
    </row>
    <row r="11889" spans="1:5" x14ac:dyDescent="0.25">
      <c r="A11889" s="1033"/>
      <c r="E11889" s="130"/>
    </row>
    <row r="11890" spans="1:5" x14ac:dyDescent="0.25">
      <c r="A11890" s="1033"/>
      <c r="E11890" s="130"/>
    </row>
    <row r="11891" spans="1:5" x14ac:dyDescent="0.25">
      <c r="A11891" s="1033"/>
      <c r="E11891" s="130"/>
    </row>
    <row r="11892" spans="1:5" x14ac:dyDescent="0.25">
      <c r="A11892" s="1033"/>
      <c r="E11892" s="130"/>
    </row>
    <row r="11893" spans="1:5" x14ac:dyDescent="0.25">
      <c r="A11893" s="1033"/>
      <c r="E11893" s="130"/>
    </row>
    <row r="11894" spans="1:5" x14ac:dyDescent="0.25">
      <c r="A11894" s="1033"/>
      <c r="E11894" s="130"/>
    </row>
    <row r="11895" spans="1:5" x14ac:dyDescent="0.25">
      <c r="A11895" s="1033"/>
      <c r="E11895" s="130"/>
    </row>
    <row r="11896" spans="1:5" x14ac:dyDescent="0.25">
      <c r="A11896" s="1033"/>
      <c r="E11896" s="130"/>
    </row>
    <row r="11897" spans="1:5" x14ac:dyDescent="0.25">
      <c r="A11897" s="1033"/>
      <c r="E11897" s="130"/>
    </row>
    <row r="11898" spans="1:5" x14ac:dyDescent="0.25">
      <c r="A11898" s="1033"/>
      <c r="E11898" s="130"/>
    </row>
    <row r="11899" spans="1:5" x14ac:dyDescent="0.25">
      <c r="A11899" s="1033"/>
      <c r="E11899" s="130"/>
    </row>
    <row r="11900" spans="1:5" x14ac:dyDescent="0.25">
      <c r="A11900" s="1033"/>
      <c r="E11900" s="130"/>
    </row>
    <row r="11901" spans="1:5" x14ac:dyDescent="0.25">
      <c r="A11901" s="1033"/>
      <c r="E11901" s="130"/>
    </row>
    <row r="11902" spans="1:5" x14ac:dyDescent="0.25">
      <c r="A11902" s="1033"/>
      <c r="E11902" s="130"/>
    </row>
    <row r="11903" spans="1:5" x14ac:dyDescent="0.25">
      <c r="A11903" s="1033"/>
      <c r="E11903" s="130"/>
    </row>
    <row r="11904" spans="1:5" x14ac:dyDescent="0.25">
      <c r="A11904" s="1033"/>
      <c r="E11904" s="130"/>
    </row>
    <row r="11905" spans="1:5" x14ac:dyDescent="0.25">
      <c r="A11905" s="1033"/>
      <c r="E11905" s="130"/>
    </row>
    <row r="11906" spans="1:5" x14ac:dyDescent="0.25">
      <c r="A11906" s="1033"/>
      <c r="E11906" s="130"/>
    </row>
    <row r="11907" spans="1:5" x14ac:dyDescent="0.25">
      <c r="A11907" s="1033"/>
      <c r="E11907" s="130"/>
    </row>
    <row r="11908" spans="1:5" x14ac:dyDescent="0.25">
      <c r="A11908" s="1033"/>
      <c r="E11908" s="130"/>
    </row>
    <row r="11909" spans="1:5" x14ac:dyDescent="0.25">
      <c r="A11909" s="1033"/>
      <c r="E11909" s="130"/>
    </row>
    <row r="11910" spans="1:5" x14ac:dyDescent="0.25">
      <c r="A11910" s="1033"/>
      <c r="E11910" s="130"/>
    </row>
    <row r="11911" spans="1:5" x14ac:dyDescent="0.25">
      <c r="A11911" s="1033"/>
      <c r="E11911" s="130"/>
    </row>
    <row r="11912" spans="1:5" x14ac:dyDescent="0.25">
      <c r="A11912" s="1033"/>
      <c r="E11912" s="130"/>
    </row>
    <row r="11913" spans="1:5" x14ac:dyDescent="0.25">
      <c r="A11913" s="1033"/>
      <c r="E11913" s="130"/>
    </row>
    <row r="11914" spans="1:5" x14ac:dyDescent="0.25">
      <c r="A11914" s="1033"/>
      <c r="E11914" s="130"/>
    </row>
    <row r="11915" spans="1:5" x14ac:dyDescent="0.25">
      <c r="A11915" s="1033"/>
      <c r="E11915" s="130"/>
    </row>
    <row r="11916" spans="1:5" x14ac:dyDescent="0.25">
      <c r="A11916" s="1033"/>
      <c r="E11916" s="130"/>
    </row>
    <row r="11917" spans="1:5" x14ac:dyDescent="0.25">
      <c r="A11917" s="1033"/>
      <c r="E11917" s="130"/>
    </row>
    <row r="11918" spans="1:5" x14ac:dyDescent="0.25">
      <c r="A11918" s="1033"/>
      <c r="E11918" s="130"/>
    </row>
    <row r="11919" spans="1:5" x14ac:dyDescent="0.25">
      <c r="A11919" s="1033"/>
      <c r="E11919" s="130"/>
    </row>
    <row r="11920" spans="1:5" x14ac:dyDescent="0.25">
      <c r="A11920" s="1033"/>
      <c r="E11920" s="130"/>
    </row>
    <row r="11921" spans="1:5" x14ac:dyDescent="0.25">
      <c r="A11921" s="1033"/>
      <c r="E11921" s="130"/>
    </row>
    <row r="11922" spans="1:5" x14ac:dyDescent="0.25">
      <c r="A11922" s="1033"/>
      <c r="E11922" s="130"/>
    </row>
    <row r="11923" spans="1:5" x14ac:dyDescent="0.25">
      <c r="A11923" s="1033"/>
      <c r="E11923" s="130"/>
    </row>
    <row r="11924" spans="1:5" x14ac:dyDescent="0.25">
      <c r="A11924" s="1033"/>
      <c r="E11924" s="130"/>
    </row>
    <row r="11925" spans="1:5" x14ac:dyDescent="0.25">
      <c r="A11925" s="1033"/>
      <c r="E11925" s="130"/>
    </row>
    <row r="11926" spans="1:5" x14ac:dyDescent="0.25">
      <c r="A11926" s="1033"/>
      <c r="E11926" s="130"/>
    </row>
    <row r="11927" spans="1:5" x14ac:dyDescent="0.25">
      <c r="A11927" s="1033"/>
      <c r="E11927" s="130"/>
    </row>
    <row r="11928" spans="1:5" x14ac:dyDescent="0.25">
      <c r="A11928" s="1033"/>
      <c r="E11928" s="130"/>
    </row>
    <row r="11929" spans="1:5" x14ac:dyDescent="0.25">
      <c r="A11929" s="1033"/>
      <c r="E11929" s="130"/>
    </row>
    <row r="11930" spans="1:5" x14ac:dyDescent="0.25">
      <c r="A11930" s="1033"/>
      <c r="E11930" s="130"/>
    </row>
    <row r="11931" spans="1:5" x14ac:dyDescent="0.25">
      <c r="A11931" s="1033"/>
      <c r="E11931" s="130"/>
    </row>
    <row r="11932" spans="1:5" x14ac:dyDescent="0.25">
      <c r="A11932" s="1033"/>
      <c r="E11932" s="130"/>
    </row>
    <row r="11933" spans="1:5" x14ac:dyDescent="0.25">
      <c r="A11933" s="1033"/>
      <c r="E11933" s="130"/>
    </row>
    <row r="11934" spans="1:5" x14ac:dyDescent="0.25">
      <c r="A11934" s="1033"/>
      <c r="E11934" s="130"/>
    </row>
    <row r="11935" spans="1:5" x14ac:dyDescent="0.25">
      <c r="A11935" s="1033"/>
      <c r="E11935" s="130"/>
    </row>
    <row r="11936" spans="1:5" x14ac:dyDescent="0.25">
      <c r="A11936" s="1033"/>
      <c r="E11936" s="130"/>
    </row>
    <row r="11937" spans="1:5" x14ac:dyDescent="0.25">
      <c r="A11937" s="1033"/>
      <c r="E11937" s="130"/>
    </row>
    <row r="11938" spans="1:5" x14ac:dyDescent="0.25">
      <c r="A11938" s="1033"/>
      <c r="E11938" s="130"/>
    </row>
    <row r="11939" spans="1:5" x14ac:dyDescent="0.25">
      <c r="A11939" s="1033"/>
      <c r="E11939" s="130"/>
    </row>
    <row r="11940" spans="1:5" x14ac:dyDescent="0.25">
      <c r="A11940" s="1033"/>
      <c r="E11940" s="130"/>
    </row>
    <row r="11941" spans="1:5" x14ac:dyDescent="0.25">
      <c r="A11941" s="1033"/>
      <c r="E11941" s="130"/>
    </row>
    <row r="11942" spans="1:5" x14ac:dyDescent="0.25">
      <c r="A11942" s="1033"/>
      <c r="E11942" s="130"/>
    </row>
    <row r="11943" spans="1:5" x14ac:dyDescent="0.25">
      <c r="A11943" s="1033"/>
      <c r="E11943" s="130"/>
    </row>
    <row r="11944" spans="1:5" x14ac:dyDescent="0.25">
      <c r="A11944" s="1033"/>
      <c r="E11944" s="130"/>
    </row>
    <row r="11945" spans="1:5" x14ac:dyDescent="0.25">
      <c r="A11945" s="1033"/>
      <c r="E11945" s="130"/>
    </row>
    <row r="11946" spans="1:5" x14ac:dyDescent="0.25">
      <c r="A11946" s="1033"/>
      <c r="E11946" s="130"/>
    </row>
    <row r="11947" spans="1:5" x14ac:dyDescent="0.25">
      <c r="A11947" s="1033"/>
      <c r="E11947" s="130"/>
    </row>
    <row r="11948" spans="1:5" x14ac:dyDescent="0.25">
      <c r="A11948" s="1033"/>
      <c r="E11948" s="130"/>
    </row>
    <row r="11949" spans="1:5" x14ac:dyDescent="0.25">
      <c r="A11949" s="1033"/>
      <c r="E11949" s="130"/>
    </row>
    <row r="11950" spans="1:5" x14ac:dyDescent="0.25">
      <c r="A11950" s="1033"/>
      <c r="E11950" s="130"/>
    </row>
    <row r="11951" spans="1:5" x14ac:dyDescent="0.25">
      <c r="A11951" s="1033"/>
      <c r="E11951" s="130"/>
    </row>
    <row r="11952" spans="1:5" x14ac:dyDescent="0.25">
      <c r="A11952" s="1033"/>
      <c r="E11952" s="130"/>
    </row>
    <row r="11953" spans="1:5" x14ac:dyDescent="0.25">
      <c r="A11953" s="1033"/>
      <c r="E11953" s="130"/>
    </row>
    <row r="11954" spans="1:5" x14ac:dyDescent="0.25">
      <c r="A11954" s="1033"/>
      <c r="E11954" s="130"/>
    </row>
    <row r="11955" spans="1:5" x14ac:dyDescent="0.25">
      <c r="A11955" s="1033"/>
      <c r="E11955" s="130"/>
    </row>
    <row r="11956" spans="1:5" x14ac:dyDescent="0.25">
      <c r="A11956" s="1033"/>
      <c r="E11956" s="130"/>
    </row>
    <row r="11957" spans="1:5" x14ac:dyDescent="0.25">
      <c r="A11957" s="1033"/>
      <c r="E11957" s="130"/>
    </row>
    <row r="11958" spans="1:5" x14ac:dyDescent="0.25">
      <c r="A11958" s="1033"/>
      <c r="E11958" s="130"/>
    </row>
    <row r="11959" spans="1:5" x14ac:dyDescent="0.25">
      <c r="A11959" s="1033"/>
      <c r="E11959" s="130"/>
    </row>
    <row r="11960" spans="1:5" x14ac:dyDescent="0.25">
      <c r="A11960" s="1033"/>
      <c r="E11960" s="130"/>
    </row>
    <row r="11961" spans="1:5" x14ac:dyDescent="0.25">
      <c r="A11961" s="1033"/>
      <c r="E11961" s="130"/>
    </row>
    <row r="11962" spans="1:5" x14ac:dyDescent="0.25">
      <c r="A11962" s="1033"/>
      <c r="E11962" s="130"/>
    </row>
    <row r="11963" spans="1:5" x14ac:dyDescent="0.25">
      <c r="A11963" s="1033"/>
      <c r="E11963" s="130"/>
    </row>
    <row r="11964" spans="1:5" x14ac:dyDescent="0.25">
      <c r="A11964" s="1033"/>
      <c r="E11964" s="130"/>
    </row>
    <row r="11965" spans="1:5" x14ac:dyDescent="0.25">
      <c r="A11965" s="1033"/>
      <c r="E11965" s="130"/>
    </row>
    <row r="11966" spans="1:5" x14ac:dyDescent="0.25">
      <c r="A11966" s="1033"/>
      <c r="E11966" s="130"/>
    </row>
    <row r="11967" spans="1:5" x14ac:dyDescent="0.25">
      <c r="A11967" s="1033"/>
      <c r="E11967" s="130"/>
    </row>
    <row r="11968" spans="1:5" x14ac:dyDescent="0.25">
      <c r="A11968" s="1033"/>
      <c r="E11968" s="130"/>
    </row>
    <row r="11969" spans="1:5" x14ac:dyDescent="0.25">
      <c r="A11969" s="1033"/>
      <c r="E11969" s="130"/>
    </row>
    <row r="11970" spans="1:5" x14ac:dyDescent="0.25">
      <c r="A11970" s="1033"/>
      <c r="E11970" s="130"/>
    </row>
    <row r="11971" spans="1:5" x14ac:dyDescent="0.25">
      <c r="A11971" s="1033"/>
      <c r="E11971" s="130"/>
    </row>
    <row r="11972" spans="1:5" x14ac:dyDescent="0.25">
      <c r="A11972" s="1033"/>
      <c r="E11972" s="130"/>
    </row>
    <row r="11973" spans="1:5" x14ac:dyDescent="0.25">
      <c r="A11973" s="1033"/>
      <c r="E11973" s="130"/>
    </row>
    <row r="11974" spans="1:5" x14ac:dyDescent="0.25">
      <c r="A11974" s="1033"/>
      <c r="E11974" s="130"/>
    </row>
    <row r="11975" spans="1:5" x14ac:dyDescent="0.25">
      <c r="A11975" s="1033"/>
      <c r="E11975" s="130"/>
    </row>
    <row r="11976" spans="1:5" x14ac:dyDescent="0.25">
      <c r="A11976" s="1033"/>
      <c r="E11976" s="130"/>
    </row>
    <row r="11977" spans="1:5" x14ac:dyDescent="0.25">
      <c r="A11977" s="1033"/>
      <c r="E11977" s="130"/>
    </row>
    <row r="11978" spans="1:5" x14ac:dyDescent="0.25">
      <c r="A11978" s="1033"/>
      <c r="E11978" s="130"/>
    </row>
    <row r="11979" spans="1:5" x14ac:dyDescent="0.25">
      <c r="A11979" s="1033"/>
      <c r="E11979" s="130"/>
    </row>
    <row r="11980" spans="1:5" x14ac:dyDescent="0.25">
      <c r="A11980" s="1033"/>
      <c r="E11980" s="130"/>
    </row>
    <row r="11981" spans="1:5" x14ac:dyDescent="0.25">
      <c r="A11981" s="1033"/>
      <c r="E11981" s="130"/>
    </row>
    <row r="11982" spans="1:5" x14ac:dyDescent="0.25">
      <c r="A11982" s="1033"/>
      <c r="E11982" s="130"/>
    </row>
    <row r="11983" spans="1:5" x14ac:dyDescent="0.25">
      <c r="A11983" s="1033"/>
      <c r="E11983" s="130"/>
    </row>
    <row r="11984" spans="1:5" x14ac:dyDescent="0.25">
      <c r="A11984" s="1033"/>
      <c r="E11984" s="130"/>
    </row>
    <row r="11985" spans="1:5" x14ac:dyDescent="0.25">
      <c r="A11985" s="1033"/>
      <c r="E11985" s="130"/>
    </row>
    <row r="11986" spans="1:5" x14ac:dyDescent="0.25">
      <c r="A11986" s="1033"/>
      <c r="E11986" s="130"/>
    </row>
    <row r="11987" spans="1:5" x14ac:dyDescent="0.25">
      <c r="A11987" s="1033"/>
      <c r="E11987" s="130"/>
    </row>
    <row r="11988" spans="1:5" x14ac:dyDescent="0.25">
      <c r="A11988" s="1033"/>
      <c r="E11988" s="130"/>
    </row>
    <row r="11989" spans="1:5" x14ac:dyDescent="0.25">
      <c r="A11989" s="1033"/>
      <c r="E11989" s="130"/>
    </row>
    <row r="11990" spans="1:5" x14ac:dyDescent="0.25">
      <c r="A11990" s="1033"/>
      <c r="E11990" s="130"/>
    </row>
    <row r="11991" spans="1:5" x14ac:dyDescent="0.25">
      <c r="A11991" s="1033"/>
      <c r="E11991" s="130"/>
    </row>
    <row r="11992" spans="1:5" x14ac:dyDescent="0.25">
      <c r="A11992" s="1033"/>
      <c r="E11992" s="130"/>
    </row>
    <row r="11993" spans="1:5" x14ac:dyDescent="0.25">
      <c r="A11993" s="1033"/>
      <c r="E11993" s="130"/>
    </row>
    <row r="11994" spans="1:5" x14ac:dyDescent="0.25">
      <c r="A11994" s="1033"/>
      <c r="E11994" s="130"/>
    </row>
    <row r="11995" spans="1:5" x14ac:dyDescent="0.25">
      <c r="A11995" s="1033"/>
      <c r="E11995" s="130"/>
    </row>
    <row r="11996" spans="1:5" x14ac:dyDescent="0.25">
      <c r="A11996" s="1033"/>
      <c r="E11996" s="130"/>
    </row>
    <row r="11997" spans="1:5" x14ac:dyDescent="0.25">
      <c r="A11997" s="1033"/>
      <c r="E11997" s="130"/>
    </row>
    <row r="11998" spans="1:5" x14ac:dyDescent="0.25">
      <c r="A11998" s="1033"/>
      <c r="E11998" s="130"/>
    </row>
    <row r="11999" spans="1:5" x14ac:dyDescent="0.25">
      <c r="A11999" s="1033"/>
      <c r="E11999" s="130"/>
    </row>
    <row r="12000" spans="1:5" x14ac:dyDescent="0.25">
      <c r="A12000" s="1033"/>
      <c r="E12000" s="130"/>
    </row>
    <row r="12001" spans="1:5" x14ac:dyDescent="0.25">
      <c r="A12001" s="1033"/>
      <c r="E12001" s="130"/>
    </row>
    <row r="12002" spans="1:5" x14ac:dyDescent="0.25">
      <c r="A12002" s="1033"/>
      <c r="E12002" s="130"/>
    </row>
    <row r="12003" spans="1:5" x14ac:dyDescent="0.25">
      <c r="A12003" s="1033"/>
      <c r="E12003" s="130"/>
    </row>
    <row r="12004" spans="1:5" x14ac:dyDescent="0.25">
      <c r="A12004" s="1033"/>
      <c r="E12004" s="130"/>
    </row>
    <row r="12005" spans="1:5" x14ac:dyDescent="0.25">
      <c r="A12005" s="1033"/>
      <c r="E12005" s="130"/>
    </row>
    <row r="12006" spans="1:5" x14ac:dyDescent="0.25">
      <c r="A12006" s="1033"/>
      <c r="E12006" s="130"/>
    </row>
    <row r="12007" spans="1:5" x14ac:dyDescent="0.25">
      <c r="A12007" s="1033"/>
      <c r="E12007" s="130"/>
    </row>
    <row r="12008" spans="1:5" x14ac:dyDescent="0.25">
      <c r="A12008" s="1033"/>
      <c r="E12008" s="130"/>
    </row>
    <row r="12009" spans="1:5" x14ac:dyDescent="0.25">
      <c r="A12009" s="1033"/>
      <c r="E12009" s="130"/>
    </row>
    <row r="12010" spans="1:5" x14ac:dyDescent="0.25">
      <c r="A12010" s="1033"/>
      <c r="E12010" s="130"/>
    </row>
    <row r="12011" spans="1:5" x14ac:dyDescent="0.25">
      <c r="A12011" s="1033"/>
      <c r="E12011" s="130"/>
    </row>
    <row r="12012" spans="1:5" x14ac:dyDescent="0.25">
      <c r="A12012" s="1033"/>
      <c r="E12012" s="130"/>
    </row>
    <row r="12013" spans="1:5" x14ac:dyDescent="0.25">
      <c r="A12013" s="1033"/>
      <c r="E12013" s="130"/>
    </row>
    <row r="12014" spans="1:5" x14ac:dyDescent="0.25">
      <c r="A12014" s="1033"/>
      <c r="E12014" s="130"/>
    </row>
    <row r="12015" spans="1:5" x14ac:dyDescent="0.25">
      <c r="A12015" s="1033"/>
      <c r="E12015" s="130"/>
    </row>
    <row r="12016" spans="1:5" x14ac:dyDescent="0.25">
      <c r="A12016" s="1033"/>
      <c r="E12016" s="130"/>
    </row>
    <row r="12017" spans="1:5" x14ac:dyDescent="0.25">
      <c r="A12017" s="1033"/>
      <c r="E12017" s="130"/>
    </row>
    <row r="12018" spans="1:5" x14ac:dyDescent="0.25">
      <c r="A12018" s="1033"/>
      <c r="E12018" s="130"/>
    </row>
    <row r="12019" spans="1:5" x14ac:dyDescent="0.25">
      <c r="A12019" s="1033"/>
      <c r="E12019" s="130"/>
    </row>
    <row r="12020" spans="1:5" x14ac:dyDescent="0.25">
      <c r="A12020" s="1033"/>
      <c r="E12020" s="130"/>
    </row>
    <row r="12021" spans="1:5" x14ac:dyDescent="0.25">
      <c r="A12021" s="1033"/>
      <c r="E12021" s="130"/>
    </row>
    <row r="12022" spans="1:5" x14ac:dyDescent="0.25">
      <c r="A12022" s="1033"/>
      <c r="E12022" s="130"/>
    </row>
    <row r="12023" spans="1:5" x14ac:dyDescent="0.25">
      <c r="A12023" s="1033"/>
      <c r="E12023" s="130"/>
    </row>
    <row r="12024" spans="1:5" x14ac:dyDescent="0.25">
      <c r="A12024" s="1033"/>
      <c r="E12024" s="130"/>
    </row>
    <row r="12025" spans="1:5" x14ac:dyDescent="0.25">
      <c r="A12025" s="1033"/>
      <c r="E12025" s="130"/>
    </row>
    <row r="12026" spans="1:5" x14ac:dyDescent="0.25">
      <c r="A12026" s="1033"/>
      <c r="E12026" s="130"/>
    </row>
    <row r="12027" spans="1:5" x14ac:dyDescent="0.25">
      <c r="A12027" s="1033"/>
      <c r="E12027" s="130"/>
    </row>
    <row r="12028" spans="1:5" x14ac:dyDescent="0.25">
      <c r="A12028" s="1033"/>
      <c r="E12028" s="130"/>
    </row>
    <row r="12029" spans="1:5" x14ac:dyDescent="0.25">
      <c r="A12029" s="1033"/>
      <c r="E12029" s="130"/>
    </row>
    <row r="12030" spans="1:5" x14ac:dyDescent="0.25">
      <c r="A12030" s="1033"/>
      <c r="E12030" s="130"/>
    </row>
    <row r="12031" spans="1:5" x14ac:dyDescent="0.25">
      <c r="A12031" s="1033"/>
      <c r="E12031" s="130"/>
    </row>
    <row r="12032" spans="1:5" x14ac:dyDescent="0.25">
      <c r="A12032" s="1033"/>
      <c r="E12032" s="130"/>
    </row>
    <row r="12033" spans="1:5" x14ac:dyDescent="0.25">
      <c r="A12033" s="1033"/>
      <c r="E12033" s="130"/>
    </row>
    <row r="12034" spans="1:5" x14ac:dyDescent="0.25">
      <c r="A12034" s="1033"/>
      <c r="E12034" s="130"/>
    </row>
    <row r="12035" spans="1:5" x14ac:dyDescent="0.25">
      <c r="A12035" s="1033"/>
      <c r="E12035" s="130"/>
    </row>
    <row r="12036" spans="1:5" x14ac:dyDescent="0.25">
      <c r="A12036" s="1033"/>
      <c r="E12036" s="130"/>
    </row>
    <row r="12037" spans="1:5" x14ac:dyDescent="0.25">
      <c r="A12037" s="1033"/>
      <c r="E12037" s="130"/>
    </row>
    <row r="12038" spans="1:5" x14ac:dyDescent="0.25">
      <c r="A12038" s="1033"/>
      <c r="E12038" s="130"/>
    </row>
    <row r="12039" spans="1:5" x14ac:dyDescent="0.25">
      <c r="A12039" s="1033"/>
      <c r="E12039" s="130"/>
    </row>
    <row r="12040" spans="1:5" x14ac:dyDescent="0.25">
      <c r="A12040" s="1033"/>
      <c r="E12040" s="130"/>
    </row>
    <row r="12041" spans="1:5" x14ac:dyDescent="0.25">
      <c r="A12041" s="1033"/>
      <c r="E12041" s="130"/>
    </row>
    <row r="12042" spans="1:5" x14ac:dyDescent="0.25">
      <c r="A12042" s="1033"/>
      <c r="E12042" s="130"/>
    </row>
    <row r="12043" spans="1:5" x14ac:dyDescent="0.25">
      <c r="A12043" s="1033"/>
      <c r="E12043" s="130"/>
    </row>
    <row r="12044" spans="1:5" x14ac:dyDescent="0.25">
      <c r="A12044" s="1033"/>
      <c r="E12044" s="130"/>
    </row>
    <row r="12045" spans="1:5" x14ac:dyDescent="0.25">
      <c r="A12045" s="1033"/>
      <c r="E12045" s="130"/>
    </row>
    <row r="12046" spans="1:5" x14ac:dyDescent="0.25">
      <c r="A12046" s="1033"/>
      <c r="E12046" s="130"/>
    </row>
    <row r="12047" spans="1:5" x14ac:dyDescent="0.25">
      <c r="A12047" s="1033"/>
      <c r="E12047" s="130"/>
    </row>
    <row r="12048" spans="1:5" x14ac:dyDescent="0.25">
      <c r="A12048" s="1033"/>
      <c r="E12048" s="130"/>
    </row>
    <row r="12049" spans="1:5" x14ac:dyDescent="0.25">
      <c r="A12049" s="1033"/>
      <c r="E12049" s="130"/>
    </row>
    <row r="12050" spans="1:5" x14ac:dyDescent="0.25">
      <c r="A12050" s="1033"/>
      <c r="E12050" s="130"/>
    </row>
    <row r="12051" spans="1:5" x14ac:dyDescent="0.25">
      <c r="A12051" s="1033"/>
      <c r="E12051" s="130"/>
    </row>
    <row r="12052" spans="1:5" x14ac:dyDescent="0.25">
      <c r="A12052" s="1033"/>
      <c r="E12052" s="130"/>
    </row>
    <row r="12053" spans="1:5" x14ac:dyDescent="0.25">
      <c r="A12053" s="1033"/>
      <c r="E12053" s="130"/>
    </row>
    <row r="12054" spans="1:5" x14ac:dyDescent="0.25">
      <c r="A12054" s="1033"/>
      <c r="E12054" s="130"/>
    </row>
    <row r="12055" spans="1:5" x14ac:dyDescent="0.25">
      <c r="A12055" s="1033"/>
      <c r="E12055" s="130"/>
    </row>
    <row r="12056" spans="1:5" x14ac:dyDescent="0.25">
      <c r="A12056" s="1033"/>
      <c r="E12056" s="130"/>
    </row>
    <row r="12057" spans="1:5" x14ac:dyDescent="0.25">
      <c r="A12057" s="1033"/>
      <c r="E12057" s="130"/>
    </row>
    <row r="12058" spans="1:5" x14ac:dyDescent="0.25">
      <c r="A12058" s="1033"/>
      <c r="E12058" s="130"/>
    </row>
    <row r="12059" spans="1:5" x14ac:dyDescent="0.25">
      <c r="A12059" s="1033"/>
      <c r="E12059" s="130"/>
    </row>
    <row r="12060" spans="1:5" x14ac:dyDescent="0.25">
      <c r="A12060" s="1033"/>
      <c r="E12060" s="130"/>
    </row>
    <row r="12061" spans="1:5" x14ac:dyDescent="0.25">
      <c r="A12061" s="1033"/>
      <c r="E12061" s="130"/>
    </row>
    <row r="12062" spans="1:5" x14ac:dyDescent="0.25">
      <c r="A12062" s="1033"/>
      <c r="E12062" s="130"/>
    </row>
    <row r="12063" spans="1:5" x14ac:dyDescent="0.25">
      <c r="A12063" s="1033"/>
      <c r="E12063" s="130"/>
    </row>
    <row r="12064" spans="1:5" x14ac:dyDescent="0.25">
      <c r="A12064" s="1033"/>
      <c r="E12064" s="130"/>
    </row>
    <row r="12065" spans="1:5" x14ac:dyDescent="0.25">
      <c r="A12065" s="1033"/>
      <c r="E12065" s="130"/>
    </row>
    <row r="12066" spans="1:5" x14ac:dyDescent="0.25">
      <c r="A12066" s="1033"/>
      <c r="E12066" s="130"/>
    </row>
    <row r="12067" spans="1:5" x14ac:dyDescent="0.25">
      <c r="A12067" s="1033"/>
      <c r="E12067" s="130"/>
    </row>
    <row r="12068" spans="1:5" x14ac:dyDescent="0.25">
      <c r="A12068" s="1033"/>
      <c r="E12068" s="130"/>
    </row>
    <row r="12069" spans="1:5" x14ac:dyDescent="0.25">
      <c r="A12069" s="1033"/>
      <c r="E12069" s="130"/>
    </row>
    <row r="12070" spans="1:5" x14ac:dyDescent="0.25">
      <c r="A12070" s="1033"/>
      <c r="E12070" s="130"/>
    </row>
    <row r="12071" spans="1:5" x14ac:dyDescent="0.25">
      <c r="A12071" s="1033"/>
      <c r="E12071" s="130"/>
    </row>
    <row r="12072" spans="1:5" x14ac:dyDescent="0.25">
      <c r="A12072" s="1033"/>
      <c r="E12072" s="130"/>
    </row>
    <row r="12073" spans="1:5" x14ac:dyDescent="0.25">
      <c r="A12073" s="1033"/>
      <c r="E12073" s="130"/>
    </row>
    <row r="12074" spans="1:5" x14ac:dyDescent="0.25">
      <c r="A12074" s="1033"/>
      <c r="E12074" s="130"/>
    </row>
    <row r="12075" spans="1:5" x14ac:dyDescent="0.25">
      <c r="A12075" s="1033"/>
      <c r="E12075" s="130"/>
    </row>
    <row r="12076" spans="1:5" x14ac:dyDescent="0.25">
      <c r="A12076" s="1033"/>
      <c r="E12076" s="130"/>
    </row>
    <row r="12077" spans="1:5" x14ac:dyDescent="0.25">
      <c r="A12077" s="1033"/>
      <c r="E12077" s="130"/>
    </row>
    <row r="12078" spans="1:5" x14ac:dyDescent="0.25">
      <c r="A12078" s="1033"/>
      <c r="E12078" s="130"/>
    </row>
    <row r="12079" spans="1:5" x14ac:dyDescent="0.25">
      <c r="A12079" s="1033"/>
      <c r="E12079" s="130"/>
    </row>
    <row r="12080" spans="1:5" x14ac:dyDescent="0.25">
      <c r="A12080" s="1033"/>
      <c r="E12080" s="130"/>
    </row>
    <row r="12081" spans="1:5" x14ac:dyDescent="0.25">
      <c r="A12081" s="1033"/>
      <c r="E12081" s="130"/>
    </row>
    <row r="12082" spans="1:5" x14ac:dyDescent="0.25">
      <c r="A12082" s="1033"/>
      <c r="E12082" s="130"/>
    </row>
    <row r="12083" spans="1:5" x14ac:dyDescent="0.25">
      <c r="A12083" s="1033"/>
      <c r="E12083" s="130"/>
    </row>
    <row r="12084" spans="1:5" x14ac:dyDescent="0.25">
      <c r="A12084" s="1033"/>
      <c r="E12084" s="130"/>
    </row>
    <row r="12085" spans="1:5" x14ac:dyDescent="0.25">
      <c r="A12085" s="1033"/>
      <c r="E12085" s="130"/>
    </row>
    <row r="12086" spans="1:5" x14ac:dyDescent="0.25">
      <c r="A12086" s="1033"/>
      <c r="E12086" s="130"/>
    </row>
    <row r="12087" spans="1:5" x14ac:dyDescent="0.25">
      <c r="A12087" s="1033"/>
      <c r="E12087" s="130"/>
    </row>
    <row r="12088" spans="1:5" x14ac:dyDescent="0.25">
      <c r="A12088" s="1033"/>
      <c r="E12088" s="130"/>
    </row>
    <row r="12089" spans="1:5" x14ac:dyDescent="0.25">
      <c r="A12089" s="1033"/>
      <c r="E12089" s="130"/>
    </row>
    <row r="12090" spans="1:5" x14ac:dyDescent="0.25">
      <c r="A12090" s="1033"/>
      <c r="E12090" s="130"/>
    </row>
    <row r="12091" spans="1:5" x14ac:dyDescent="0.25">
      <c r="A12091" s="1033"/>
      <c r="E12091" s="130"/>
    </row>
    <row r="12092" spans="1:5" x14ac:dyDescent="0.25">
      <c r="A12092" s="1033"/>
      <c r="E12092" s="130"/>
    </row>
    <row r="12093" spans="1:5" x14ac:dyDescent="0.25">
      <c r="A12093" s="1033"/>
      <c r="E12093" s="130"/>
    </row>
    <row r="12094" spans="1:5" x14ac:dyDescent="0.25">
      <c r="A12094" s="1033"/>
      <c r="E12094" s="130"/>
    </row>
    <row r="12095" spans="1:5" x14ac:dyDescent="0.25">
      <c r="A12095" s="1033"/>
      <c r="E12095" s="130"/>
    </row>
    <row r="12096" spans="1:5" x14ac:dyDescent="0.25">
      <c r="A12096" s="1033"/>
      <c r="E12096" s="130"/>
    </row>
    <row r="12097" spans="1:5" x14ac:dyDescent="0.25">
      <c r="A12097" s="1033"/>
      <c r="E12097" s="130"/>
    </row>
    <row r="12098" spans="1:5" x14ac:dyDescent="0.25">
      <c r="A12098" s="1033"/>
      <c r="E12098" s="130"/>
    </row>
    <row r="12099" spans="1:5" x14ac:dyDescent="0.25">
      <c r="A12099" s="1033"/>
      <c r="E12099" s="130"/>
    </row>
    <row r="12100" spans="1:5" x14ac:dyDescent="0.25">
      <c r="A12100" s="1033"/>
      <c r="E12100" s="130"/>
    </row>
    <row r="12101" spans="1:5" x14ac:dyDescent="0.25">
      <c r="A12101" s="1033"/>
      <c r="E12101" s="130"/>
    </row>
    <row r="12102" spans="1:5" x14ac:dyDescent="0.25">
      <c r="A12102" s="1033"/>
      <c r="E12102" s="130"/>
    </row>
    <row r="12103" spans="1:5" x14ac:dyDescent="0.25">
      <c r="A12103" s="1033"/>
      <c r="E12103" s="130"/>
    </row>
    <row r="12104" spans="1:5" x14ac:dyDescent="0.25">
      <c r="A12104" s="1033"/>
      <c r="E12104" s="130"/>
    </row>
    <row r="12105" spans="1:5" x14ac:dyDescent="0.25">
      <c r="A12105" s="1033"/>
      <c r="E12105" s="130"/>
    </row>
    <row r="12106" spans="1:5" x14ac:dyDescent="0.25">
      <c r="A12106" s="1033"/>
      <c r="E12106" s="130"/>
    </row>
    <row r="12107" spans="1:5" x14ac:dyDescent="0.25">
      <c r="A12107" s="1033"/>
      <c r="E12107" s="130"/>
    </row>
    <row r="12108" spans="1:5" x14ac:dyDescent="0.25">
      <c r="A12108" s="1033"/>
      <c r="E12108" s="130"/>
    </row>
    <row r="12109" spans="1:5" x14ac:dyDescent="0.25">
      <c r="A12109" s="1033"/>
      <c r="E12109" s="130"/>
    </row>
    <row r="12110" spans="1:5" x14ac:dyDescent="0.25">
      <c r="A12110" s="1033"/>
      <c r="E12110" s="130"/>
    </row>
    <row r="12111" spans="1:5" x14ac:dyDescent="0.25">
      <c r="A12111" s="1033"/>
      <c r="E12111" s="130"/>
    </row>
    <row r="12112" spans="1:5" x14ac:dyDescent="0.25">
      <c r="A12112" s="1033"/>
      <c r="E12112" s="130"/>
    </row>
    <row r="12113" spans="1:5" x14ac:dyDescent="0.25">
      <c r="A12113" s="1033"/>
      <c r="E12113" s="130"/>
    </row>
    <row r="12114" spans="1:5" x14ac:dyDescent="0.25">
      <c r="A12114" s="1033"/>
      <c r="E12114" s="130"/>
    </row>
    <row r="12115" spans="1:5" x14ac:dyDescent="0.25">
      <c r="A12115" s="1033"/>
      <c r="E12115" s="130"/>
    </row>
    <row r="12116" spans="1:5" x14ac:dyDescent="0.25">
      <c r="A12116" s="1033"/>
      <c r="E12116" s="130"/>
    </row>
    <row r="12117" spans="1:5" x14ac:dyDescent="0.25">
      <c r="A12117" s="1033"/>
      <c r="E12117" s="130"/>
    </row>
    <row r="12118" spans="1:5" x14ac:dyDescent="0.25">
      <c r="A12118" s="1033"/>
      <c r="E12118" s="130"/>
    </row>
    <row r="12119" spans="1:5" x14ac:dyDescent="0.25">
      <c r="A12119" s="1033"/>
      <c r="E12119" s="130"/>
    </row>
    <row r="12120" spans="1:5" x14ac:dyDescent="0.25">
      <c r="A12120" s="1033"/>
      <c r="E12120" s="130"/>
    </row>
    <row r="12121" spans="1:5" x14ac:dyDescent="0.25">
      <c r="A12121" s="1033"/>
      <c r="E12121" s="130"/>
    </row>
    <row r="12122" spans="1:5" x14ac:dyDescent="0.25">
      <c r="A12122" s="1033"/>
      <c r="E12122" s="130"/>
    </row>
    <row r="12123" spans="1:5" x14ac:dyDescent="0.25">
      <c r="A12123" s="1033"/>
      <c r="E12123" s="130"/>
    </row>
    <row r="12124" spans="1:5" x14ac:dyDescent="0.25">
      <c r="A12124" s="1033"/>
      <c r="E12124" s="130"/>
    </row>
    <row r="12125" spans="1:5" x14ac:dyDescent="0.25">
      <c r="A12125" s="1033"/>
      <c r="E12125" s="130"/>
    </row>
    <row r="12126" spans="1:5" x14ac:dyDescent="0.25">
      <c r="A12126" s="1033"/>
      <c r="E12126" s="130"/>
    </row>
    <row r="12127" spans="1:5" x14ac:dyDescent="0.25">
      <c r="A12127" s="1033"/>
      <c r="E12127" s="130"/>
    </row>
    <row r="12128" spans="1:5" x14ac:dyDescent="0.25">
      <c r="A12128" s="1033"/>
      <c r="E12128" s="130"/>
    </row>
    <row r="12129" spans="1:5" x14ac:dyDescent="0.25">
      <c r="A12129" s="1033"/>
      <c r="E12129" s="130"/>
    </row>
    <row r="12130" spans="1:5" x14ac:dyDescent="0.25">
      <c r="A12130" s="1033"/>
      <c r="E12130" s="130"/>
    </row>
    <row r="12131" spans="1:5" x14ac:dyDescent="0.25">
      <c r="A12131" s="1033"/>
      <c r="E12131" s="130"/>
    </row>
    <row r="12132" spans="1:5" x14ac:dyDescent="0.25">
      <c r="A12132" s="1033"/>
      <c r="E12132" s="130"/>
    </row>
    <row r="12133" spans="1:5" x14ac:dyDescent="0.25">
      <c r="A12133" s="1033"/>
      <c r="E12133" s="130"/>
    </row>
    <row r="12134" spans="1:5" x14ac:dyDescent="0.25">
      <c r="A12134" s="1033"/>
      <c r="E12134" s="130"/>
    </row>
    <row r="12135" spans="1:5" x14ac:dyDescent="0.25">
      <c r="A12135" s="1033"/>
      <c r="E12135" s="130"/>
    </row>
    <row r="12136" spans="1:5" x14ac:dyDescent="0.25">
      <c r="A12136" s="1033"/>
      <c r="E12136" s="130"/>
    </row>
    <row r="12137" spans="1:5" x14ac:dyDescent="0.25">
      <c r="A12137" s="1033"/>
      <c r="E12137" s="130"/>
    </row>
    <row r="12138" spans="1:5" x14ac:dyDescent="0.25">
      <c r="A12138" s="1033"/>
      <c r="E12138" s="130"/>
    </row>
    <row r="12139" spans="1:5" x14ac:dyDescent="0.25">
      <c r="A12139" s="1033"/>
      <c r="E12139" s="130"/>
    </row>
    <row r="12140" spans="1:5" x14ac:dyDescent="0.25">
      <c r="A12140" s="1033"/>
      <c r="E12140" s="130"/>
    </row>
    <row r="12141" spans="1:5" x14ac:dyDescent="0.25">
      <c r="A12141" s="1033"/>
      <c r="E12141" s="130"/>
    </row>
    <row r="12142" spans="1:5" x14ac:dyDescent="0.25">
      <c r="A12142" s="1033"/>
      <c r="E12142" s="130"/>
    </row>
    <row r="12143" spans="1:5" x14ac:dyDescent="0.25">
      <c r="A12143" s="1033"/>
      <c r="E12143" s="130"/>
    </row>
    <row r="12144" spans="1:5" x14ac:dyDescent="0.25">
      <c r="A12144" s="1033"/>
      <c r="E12144" s="130"/>
    </row>
    <row r="12145" spans="1:5" x14ac:dyDescent="0.25">
      <c r="A12145" s="1033"/>
      <c r="E12145" s="130"/>
    </row>
    <row r="12146" spans="1:5" x14ac:dyDescent="0.25">
      <c r="A12146" s="1033"/>
      <c r="E12146" s="130"/>
    </row>
    <row r="12147" spans="1:5" x14ac:dyDescent="0.25">
      <c r="A12147" s="1033"/>
      <c r="E12147" s="130"/>
    </row>
    <row r="12148" spans="1:5" x14ac:dyDescent="0.25">
      <c r="A12148" s="1033"/>
      <c r="E12148" s="130"/>
    </row>
    <row r="12149" spans="1:5" x14ac:dyDescent="0.25">
      <c r="A12149" s="1033"/>
      <c r="E12149" s="130"/>
    </row>
    <row r="12150" spans="1:5" x14ac:dyDescent="0.25">
      <c r="A12150" s="1033"/>
      <c r="E12150" s="130"/>
    </row>
    <row r="12151" spans="1:5" x14ac:dyDescent="0.25">
      <c r="A12151" s="1033"/>
      <c r="E12151" s="130"/>
    </row>
    <row r="12152" spans="1:5" x14ac:dyDescent="0.25">
      <c r="A12152" s="1033"/>
      <c r="E12152" s="130"/>
    </row>
    <row r="12153" spans="1:5" x14ac:dyDescent="0.25">
      <c r="A12153" s="1033"/>
      <c r="E12153" s="130"/>
    </row>
    <row r="12154" spans="1:5" x14ac:dyDescent="0.25">
      <c r="A12154" s="1033"/>
      <c r="E12154" s="130"/>
    </row>
    <row r="12155" spans="1:5" x14ac:dyDescent="0.25">
      <c r="A12155" s="1033"/>
      <c r="E12155" s="130"/>
    </row>
    <row r="12156" spans="1:5" x14ac:dyDescent="0.25">
      <c r="A12156" s="1033"/>
      <c r="E12156" s="130"/>
    </row>
    <row r="12157" spans="1:5" x14ac:dyDescent="0.25">
      <c r="A12157" s="1033"/>
      <c r="E12157" s="130"/>
    </row>
    <row r="12158" spans="1:5" x14ac:dyDescent="0.25">
      <c r="A12158" s="1033"/>
      <c r="E12158" s="130"/>
    </row>
    <row r="12159" spans="1:5" x14ac:dyDescent="0.25">
      <c r="A12159" s="1033"/>
      <c r="E12159" s="130"/>
    </row>
    <row r="12160" spans="1:5" x14ac:dyDescent="0.25">
      <c r="A12160" s="1033"/>
      <c r="E12160" s="130"/>
    </row>
    <row r="12161" spans="1:5" x14ac:dyDescent="0.25">
      <c r="A12161" s="1033"/>
      <c r="E12161" s="130"/>
    </row>
    <row r="12162" spans="1:5" x14ac:dyDescent="0.25">
      <c r="A12162" s="1033"/>
      <c r="E12162" s="130"/>
    </row>
    <row r="12163" spans="1:5" x14ac:dyDescent="0.25">
      <c r="A12163" s="1033"/>
      <c r="E12163" s="130"/>
    </row>
    <row r="12164" spans="1:5" x14ac:dyDescent="0.25">
      <c r="A12164" s="1033"/>
      <c r="E12164" s="130"/>
    </row>
    <row r="12165" spans="1:5" x14ac:dyDescent="0.25">
      <c r="A12165" s="1033"/>
      <c r="E12165" s="130"/>
    </row>
    <row r="12166" spans="1:5" x14ac:dyDescent="0.25">
      <c r="A12166" s="1033"/>
      <c r="E12166" s="130"/>
    </row>
    <row r="12167" spans="1:5" x14ac:dyDescent="0.25">
      <c r="A12167" s="1033"/>
      <c r="E12167" s="130"/>
    </row>
    <row r="12168" spans="1:5" x14ac:dyDescent="0.25">
      <c r="A12168" s="1033"/>
      <c r="E12168" s="130"/>
    </row>
    <row r="12169" spans="1:5" x14ac:dyDescent="0.25">
      <c r="A12169" s="1033"/>
      <c r="E12169" s="130"/>
    </row>
    <row r="12170" spans="1:5" x14ac:dyDescent="0.25">
      <c r="A12170" s="1033"/>
      <c r="E12170" s="130"/>
    </row>
    <row r="12171" spans="1:5" x14ac:dyDescent="0.25">
      <c r="A12171" s="1033"/>
      <c r="E12171" s="130"/>
    </row>
    <row r="12172" spans="1:5" x14ac:dyDescent="0.25">
      <c r="A12172" s="1033"/>
      <c r="E12172" s="130"/>
    </row>
    <row r="12173" spans="1:5" x14ac:dyDescent="0.25">
      <c r="A12173" s="1033"/>
      <c r="E12173" s="130"/>
    </row>
    <row r="12174" spans="1:5" x14ac:dyDescent="0.25">
      <c r="A12174" s="1033"/>
      <c r="E12174" s="130"/>
    </row>
    <row r="12175" spans="1:5" x14ac:dyDescent="0.25">
      <c r="A12175" s="1033"/>
      <c r="E12175" s="130"/>
    </row>
    <row r="12176" spans="1:5" x14ac:dyDescent="0.25">
      <c r="A12176" s="1033"/>
      <c r="E12176" s="130"/>
    </row>
    <row r="12177" spans="1:5" x14ac:dyDescent="0.25">
      <c r="A12177" s="1033"/>
      <c r="E12177" s="130"/>
    </row>
    <row r="12178" spans="1:5" x14ac:dyDescent="0.25">
      <c r="A12178" s="1033"/>
      <c r="E12178" s="130"/>
    </row>
    <row r="12179" spans="1:5" x14ac:dyDescent="0.25">
      <c r="A12179" s="1033"/>
      <c r="E12179" s="130"/>
    </row>
    <row r="12180" spans="1:5" x14ac:dyDescent="0.25">
      <c r="A12180" s="1033"/>
      <c r="E12180" s="130"/>
    </row>
    <row r="12181" spans="1:5" x14ac:dyDescent="0.25">
      <c r="A12181" s="1033"/>
      <c r="E12181" s="130"/>
    </row>
    <row r="12182" spans="1:5" x14ac:dyDescent="0.25">
      <c r="A12182" s="1033"/>
      <c r="E12182" s="130"/>
    </row>
    <row r="12183" spans="1:5" x14ac:dyDescent="0.25">
      <c r="A12183" s="1033"/>
      <c r="E12183" s="130"/>
    </row>
    <row r="12184" spans="1:5" x14ac:dyDescent="0.25">
      <c r="A12184" s="1033"/>
      <c r="E12184" s="130"/>
    </row>
    <row r="12185" spans="1:5" x14ac:dyDescent="0.25">
      <c r="A12185" s="1033"/>
      <c r="E12185" s="130"/>
    </row>
    <row r="12186" spans="1:5" x14ac:dyDescent="0.25">
      <c r="A12186" s="1033"/>
      <c r="E12186" s="130"/>
    </row>
    <row r="12187" spans="1:5" x14ac:dyDescent="0.25">
      <c r="A12187" s="1033"/>
      <c r="E12187" s="130"/>
    </row>
    <row r="12188" spans="1:5" x14ac:dyDescent="0.25">
      <c r="A12188" s="1033"/>
      <c r="E12188" s="130"/>
    </row>
    <row r="12189" spans="1:5" x14ac:dyDescent="0.25">
      <c r="A12189" s="1033"/>
      <c r="E12189" s="130"/>
    </row>
    <row r="12190" spans="1:5" x14ac:dyDescent="0.25">
      <c r="A12190" s="1033"/>
      <c r="E12190" s="130"/>
    </row>
    <row r="12191" spans="1:5" x14ac:dyDescent="0.25">
      <c r="A12191" s="1033"/>
      <c r="E12191" s="130"/>
    </row>
    <row r="12192" spans="1:5" x14ac:dyDescent="0.25">
      <c r="A12192" s="1033"/>
      <c r="E12192" s="130"/>
    </row>
    <row r="12193" spans="1:5" x14ac:dyDescent="0.25">
      <c r="A12193" s="1033"/>
      <c r="E12193" s="130"/>
    </row>
    <row r="12194" spans="1:5" x14ac:dyDescent="0.25">
      <c r="A12194" s="1033"/>
      <c r="E12194" s="130"/>
    </row>
    <row r="12195" spans="1:5" x14ac:dyDescent="0.25">
      <c r="A12195" s="1033"/>
      <c r="E12195" s="130"/>
    </row>
    <row r="12196" spans="1:5" x14ac:dyDescent="0.25">
      <c r="A12196" s="1033"/>
      <c r="E12196" s="130"/>
    </row>
    <row r="12197" spans="1:5" x14ac:dyDescent="0.25">
      <c r="A12197" s="1033"/>
      <c r="E12197" s="130"/>
    </row>
    <row r="12198" spans="1:5" x14ac:dyDescent="0.25">
      <c r="A12198" s="1033"/>
      <c r="E12198" s="130"/>
    </row>
    <row r="12199" spans="1:5" x14ac:dyDescent="0.25">
      <c r="A12199" s="1033"/>
      <c r="E12199" s="130"/>
    </row>
    <row r="12200" spans="1:5" x14ac:dyDescent="0.25">
      <c r="A12200" s="1033"/>
      <c r="E12200" s="130"/>
    </row>
    <row r="12201" spans="1:5" x14ac:dyDescent="0.25">
      <c r="A12201" s="1033"/>
      <c r="E12201" s="130"/>
    </row>
    <row r="12202" spans="1:5" x14ac:dyDescent="0.25">
      <c r="A12202" s="1033"/>
      <c r="E12202" s="130"/>
    </row>
    <row r="12203" spans="1:5" x14ac:dyDescent="0.25">
      <c r="A12203" s="1033"/>
      <c r="E12203" s="130"/>
    </row>
    <row r="12204" spans="1:5" x14ac:dyDescent="0.25">
      <c r="A12204" s="1033"/>
      <c r="E12204" s="130"/>
    </row>
    <row r="12205" spans="1:5" x14ac:dyDescent="0.25">
      <c r="A12205" s="1033"/>
      <c r="E12205" s="130"/>
    </row>
    <row r="12206" spans="1:5" x14ac:dyDescent="0.25">
      <c r="A12206" s="1033"/>
      <c r="E12206" s="130"/>
    </row>
    <row r="12207" spans="1:5" x14ac:dyDescent="0.25">
      <c r="A12207" s="1033"/>
      <c r="E12207" s="130"/>
    </row>
    <row r="12208" spans="1:5" x14ac:dyDescent="0.25">
      <c r="A12208" s="1033"/>
      <c r="E12208" s="130"/>
    </row>
    <row r="12209" spans="1:5" x14ac:dyDescent="0.25">
      <c r="A12209" s="1033"/>
      <c r="E12209" s="130"/>
    </row>
    <row r="12210" spans="1:5" x14ac:dyDescent="0.25">
      <c r="A12210" s="1033"/>
      <c r="E12210" s="130"/>
    </row>
    <row r="12211" spans="1:5" x14ac:dyDescent="0.25">
      <c r="A12211" s="1033"/>
      <c r="E12211" s="130"/>
    </row>
    <row r="12212" spans="1:5" x14ac:dyDescent="0.25">
      <c r="A12212" s="1033"/>
      <c r="E12212" s="130"/>
    </row>
    <row r="12213" spans="1:5" x14ac:dyDescent="0.25">
      <c r="A12213" s="1033"/>
      <c r="E12213" s="130"/>
    </row>
    <row r="12214" spans="1:5" x14ac:dyDescent="0.25">
      <c r="A12214" s="1033"/>
      <c r="E12214" s="130"/>
    </row>
    <row r="12215" spans="1:5" x14ac:dyDescent="0.25">
      <c r="A12215" s="1033"/>
      <c r="E12215" s="130"/>
    </row>
    <row r="12216" spans="1:5" x14ac:dyDescent="0.25">
      <c r="A12216" s="1033"/>
      <c r="E12216" s="130"/>
    </row>
    <row r="12217" spans="1:5" x14ac:dyDescent="0.25">
      <c r="A12217" s="1033"/>
      <c r="E12217" s="130"/>
    </row>
    <row r="12218" spans="1:5" x14ac:dyDescent="0.25">
      <c r="A12218" s="1033"/>
      <c r="E12218" s="130"/>
    </row>
    <row r="12219" spans="1:5" x14ac:dyDescent="0.25">
      <c r="A12219" s="1033"/>
      <c r="E12219" s="130"/>
    </row>
    <row r="12220" spans="1:5" x14ac:dyDescent="0.25">
      <c r="A12220" s="1033"/>
      <c r="E12220" s="130"/>
    </row>
    <row r="12221" spans="1:5" x14ac:dyDescent="0.25">
      <c r="A12221" s="1033"/>
      <c r="E12221" s="130"/>
    </row>
    <row r="12222" spans="1:5" x14ac:dyDescent="0.25">
      <c r="A12222" s="1033"/>
      <c r="E12222" s="130"/>
    </row>
    <row r="12223" spans="1:5" x14ac:dyDescent="0.25">
      <c r="A12223" s="1033"/>
      <c r="E12223" s="130"/>
    </row>
    <row r="12224" spans="1:5" x14ac:dyDescent="0.25">
      <c r="A12224" s="1033"/>
      <c r="E12224" s="130"/>
    </row>
    <row r="12225" spans="1:5" x14ac:dyDescent="0.25">
      <c r="A12225" s="1033"/>
      <c r="E12225" s="130"/>
    </row>
    <row r="12226" spans="1:5" x14ac:dyDescent="0.25">
      <c r="A12226" s="1033"/>
      <c r="E12226" s="130"/>
    </row>
    <row r="12227" spans="1:5" x14ac:dyDescent="0.25">
      <c r="A12227" s="1033"/>
      <c r="E12227" s="130"/>
    </row>
    <row r="12228" spans="1:5" x14ac:dyDescent="0.25">
      <c r="A12228" s="1033"/>
      <c r="E12228" s="130"/>
    </row>
    <row r="12229" spans="1:5" x14ac:dyDescent="0.25">
      <c r="A12229" s="1033"/>
      <c r="E12229" s="130"/>
    </row>
    <row r="12230" spans="1:5" x14ac:dyDescent="0.25">
      <c r="A12230" s="1033"/>
      <c r="E12230" s="130"/>
    </row>
    <row r="12231" spans="1:5" x14ac:dyDescent="0.25">
      <c r="A12231" s="1033"/>
      <c r="E12231" s="130"/>
    </row>
    <row r="12232" spans="1:5" x14ac:dyDescent="0.25">
      <c r="A12232" s="1033"/>
      <c r="E12232" s="130"/>
    </row>
    <row r="12233" spans="1:5" x14ac:dyDescent="0.25">
      <c r="A12233" s="1033"/>
      <c r="E12233" s="130"/>
    </row>
    <row r="12234" spans="1:5" x14ac:dyDescent="0.25">
      <c r="A12234" s="1033"/>
      <c r="E12234" s="130"/>
    </row>
    <row r="12235" spans="1:5" x14ac:dyDescent="0.25">
      <c r="A12235" s="1033"/>
      <c r="E12235" s="130"/>
    </row>
    <row r="12236" spans="1:5" x14ac:dyDescent="0.25">
      <c r="A12236" s="1033"/>
      <c r="E12236" s="130"/>
    </row>
    <row r="12237" spans="1:5" x14ac:dyDescent="0.25">
      <c r="A12237" s="1033"/>
      <c r="E12237" s="130"/>
    </row>
    <row r="12238" spans="1:5" x14ac:dyDescent="0.25">
      <c r="A12238" s="1033"/>
      <c r="E12238" s="130"/>
    </row>
    <row r="12239" spans="1:5" x14ac:dyDescent="0.25">
      <c r="A12239" s="1033"/>
      <c r="E12239" s="130"/>
    </row>
    <row r="12240" spans="1:5" x14ac:dyDescent="0.25">
      <c r="A12240" s="1033"/>
      <c r="E12240" s="130"/>
    </row>
    <row r="12241" spans="1:5" x14ac:dyDescent="0.25">
      <c r="A12241" s="1033"/>
      <c r="E12241" s="130"/>
    </row>
    <row r="12242" spans="1:5" x14ac:dyDescent="0.25">
      <c r="A12242" s="1033"/>
      <c r="E12242" s="130"/>
    </row>
    <row r="12243" spans="1:5" x14ac:dyDescent="0.25">
      <c r="A12243" s="1033"/>
      <c r="E12243" s="130"/>
    </row>
    <row r="12244" spans="1:5" x14ac:dyDescent="0.25">
      <c r="A12244" s="1033"/>
      <c r="E12244" s="130"/>
    </row>
    <row r="12245" spans="1:5" x14ac:dyDescent="0.25">
      <c r="A12245" s="1033"/>
      <c r="E12245" s="130"/>
    </row>
    <row r="12246" spans="1:5" x14ac:dyDescent="0.25">
      <c r="A12246" s="1033"/>
      <c r="E12246" s="130"/>
    </row>
    <row r="12247" spans="1:5" x14ac:dyDescent="0.25">
      <c r="A12247" s="1033"/>
      <c r="E12247" s="130"/>
    </row>
    <row r="12248" spans="1:5" x14ac:dyDescent="0.25">
      <c r="A12248" s="1033"/>
      <c r="E12248" s="130"/>
    </row>
    <row r="12249" spans="1:5" x14ac:dyDescent="0.25">
      <c r="A12249" s="1033"/>
      <c r="E12249" s="130"/>
    </row>
    <row r="12250" spans="1:5" x14ac:dyDescent="0.25">
      <c r="A12250" s="1033"/>
      <c r="E12250" s="130"/>
    </row>
    <row r="12251" spans="1:5" x14ac:dyDescent="0.25">
      <c r="A12251" s="1033"/>
      <c r="E12251" s="130"/>
    </row>
    <row r="12252" spans="1:5" x14ac:dyDescent="0.25">
      <c r="A12252" s="1033"/>
      <c r="E12252" s="130"/>
    </row>
    <row r="12253" spans="1:5" x14ac:dyDescent="0.25">
      <c r="A12253" s="1033"/>
      <c r="E12253" s="130"/>
    </row>
    <row r="12254" spans="1:5" x14ac:dyDescent="0.25">
      <c r="A12254" s="1033"/>
      <c r="E12254" s="130"/>
    </row>
    <row r="12255" spans="1:5" x14ac:dyDescent="0.25">
      <c r="A12255" s="1033"/>
      <c r="E12255" s="130"/>
    </row>
    <row r="12256" spans="1:5" x14ac:dyDescent="0.25">
      <c r="A12256" s="1033"/>
      <c r="E12256" s="130"/>
    </row>
    <row r="12257" spans="1:5" x14ac:dyDescent="0.25">
      <c r="A12257" s="1033"/>
      <c r="E12257" s="130"/>
    </row>
    <row r="12258" spans="1:5" x14ac:dyDescent="0.25">
      <c r="A12258" s="1033"/>
      <c r="E12258" s="130"/>
    </row>
    <row r="12259" spans="1:5" x14ac:dyDescent="0.25">
      <c r="A12259" s="1033"/>
      <c r="E12259" s="130"/>
    </row>
    <row r="12260" spans="1:5" x14ac:dyDescent="0.25">
      <c r="A12260" s="1033"/>
      <c r="E12260" s="130"/>
    </row>
    <row r="12261" spans="1:5" x14ac:dyDescent="0.25">
      <c r="A12261" s="1033"/>
      <c r="E12261" s="130"/>
    </row>
    <row r="12262" spans="1:5" x14ac:dyDescent="0.25">
      <c r="A12262" s="1033"/>
      <c r="E12262" s="130"/>
    </row>
    <row r="12263" spans="1:5" x14ac:dyDescent="0.25">
      <c r="A12263" s="1033"/>
      <c r="E12263" s="130"/>
    </row>
    <row r="12264" spans="1:5" x14ac:dyDescent="0.25">
      <c r="A12264" s="1033"/>
      <c r="E12264" s="130"/>
    </row>
    <row r="12265" spans="1:5" x14ac:dyDescent="0.25">
      <c r="A12265" s="1033"/>
      <c r="E12265" s="130"/>
    </row>
    <row r="12266" spans="1:5" x14ac:dyDescent="0.25">
      <c r="A12266" s="1033"/>
      <c r="E12266" s="130"/>
    </row>
    <row r="12267" spans="1:5" x14ac:dyDescent="0.25">
      <c r="A12267" s="1033"/>
      <c r="E12267" s="130"/>
    </row>
    <row r="12268" spans="1:5" x14ac:dyDescent="0.25">
      <c r="A12268" s="1033"/>
      <c r="E12268" s="130"/>
    </row>
    <row r="12269" spans="1:5" x14ac:dyDescent="0.25">
      <c r="A12269" s="1033"/>
      <c r="E12269" s="130"/>
    </row>
    <row r="12270" spans="1:5" x14ac:dyDescent="0.25">
      <c r="A12270" s="1033"/>
      <c r="E12270" s="130"/>
    </row>
    <row r="12271" spans="1:5" x14ac:dyDescent="0.25">
      <c r="A12271" s="1033"/>
      <c r="E12271" s="130"/>
    </row>
    <row r="12272" spans="1:5" x14ac:dyDescent="0.25">
      <c r="A12272" s="1033"/>
      <c r="E12272" s="130"/>
    </row>
    <row r="12273" spans="1:5" x14ac:dyDescent="0.25">
      <c r="A12273" s="1033"/>
      <c r="E12273" s="130"/>
    </row>
    <row r="12274" spans="1:5" x14ac:dyDescent="0.25">
      <c r="A12274" s="1033"/>
      <c r="E12274" s="130"/>
    </row>
    <row r="12275" spans="1:5" x14ac:dyDescent="0.25">
      <c r="A12275" s="1033"/>
      <c r="E12275" s="130"/>
    </row>
    <row r="12276" spans="1:5" x14ac:dyDescent="0.25">
      <c r="A12276" s="1033"/>
      <c r="E12276" s="130"/>
    </row>
    <row r="12277" spans="1:5" x14ac:dyDescent="0.25">
      <c r="A12277" s="1033"/>
      <c r="E12277" s="130"/>
    </row>
    <row r="12278" spans="1:5" x14ac:dyDescent="0.25">
      <c r="A12278" s="1033"/>
      <c r="E12278" s="130"/>
    </row>
    <row r="12279" spans="1:5" x14ac:dyDescent="0.25">
      <c r="A12279" s="1033"/>
      <c r="E12279" s="130"/>
    </row>
    <row r="12280" spans="1:5" x14ac:dyDescent="0.25">
      <c r="A12280" s="1033"/>
      <c r="E12280" s="130"/>
    </row>
    <row r="12281" spans="1:5" x14ac:dyDescent="0.25">
      <c r="A12281" s="1033"/>
      <c r="E12281" s="130"/>
    </row>
    <row r="12282" spans="1:5" x14ac:dyDescent="0.25">
      <c r="A12282" s="1033"/>
      <c r="E12282" s="130"/>
    </row>
    <row r="12283" spans="1:5" x14ac:dyDescent="0.25">
      <c r="A12283" s="1033"/>
      <c r="E12283" s="130"/>
    </row>
    <row r="12284" spans="1:5" x14ac:dyDescent="0.25">
      <c r="A12284" s="1033"/>
      <c r="E12284" s="130"/>
    </row>
    <row r="12285" spans="1:5" x14ac:dyDescent="0.25">
      <c r="A12285" s="1033"/>
      <c r="E12285" s="130"/>
    </row>
    <row r="12286" spans="1:5" x14ac:dyDescent="0.25">
      <c r="A12286" s="1033"/>
      <c r="E12286" s="130"/>
    </row>
    <row r="12287" spans="1:5" x14ac:dyDescent="0.25">
      <c r="A12287" s="1033"/>
      <c r="E12287" s="130"/>
    </row>
    <row r="12288" spans="1:5" x14ac:dyDescent="0.25">
      <c r="A12288" s="1033"/>
      <c r="E12288" s="130"/>
    </row>
    <row r="12289" spans="1:5" x14ac:dyDescent="0.25">
      <c r="A12289" s="1033"/>
      <c r="E12289" s="130"/>
    </row>
    <row r="12290" spans="1:5" x14ac:dyDescent="0.25">
      <c r="A12290" s="1033"/>
      <c r="E12290" s="130"/>
    </row>
    <row r="12291" spans="1:5" x14ac:dyDescent="0.25">
      <c r="A12291" s="1033"/>
      <c r="E12291" s="130"/>
    </row>
    <row r="12292" spans="1:5" x14ac:dyDescent="0.25">
      <c r="A12292" s="1033"/>
      <c r="E12292" s="130"/>
    </row>
    <row r="12293" spans="1:5" x14ac:dyDescent="0.25">
      <c r="A12293" s="1033"/>
      <c r="E12293" s="130"/>
    </row>
    <row r="12294" spans="1:5" x14ac:dyDescent="0.25">
      <c r="A12294" s="1033"/>
      <c r="E12294" s="130"/>
    </row>
    <row r="12295" spans="1:5" x14ac:dyDescent="0.25">
      <c r="A12295" s="1033"/>
      <c r="E12295" s="130"/>
    </row>
    <row r="12296" spans="1:5" x14ac:dyDescent="0.25">
      <c r="A12296" s="1033"/>
      <c r="E12296" s="130"/>
    </row>
    <row r="12297" spans="1:5" x14ac:dyDescent="0.25">
      <c r="A12297" s="1033"/>
      <c r="E12297" s="130"/>
    </row>
    <row r="12298" spans="1:5" x14ac:dyDescent="0.25">
      <c r="A12298" s="1033"/>
      <c r="E12298" s="130"/>
    </row>
    <row r="12299" spans="1:5" x14ac:dyDescent="0.25">
      <c r="A12299" s="1033"/>
      <c r="E12299" s="130"/>
    </row>
    <row r="12300" spans="1:5" x14ac:dyDescent="0.25">
      <c r="A12300" s="1033"/>
      <c r="E12300" s="130"/>
    </row>
    <row r="12301" spans="1:5" x14ac:dyDescent="0.25">
      <c r="A12301" s="1033"/>
      <c r="E12301" s="130"/>
    </row>
    <row r="12302" spans="1:5" x14ac:dyDescent="0.25">
      <c r="A12302" s="1033"/>
      <c r="E12302" s="130"/>
    </row>
    <row r="12303" spans="1:5" x14ac:dyDescent="0.25">
      <c r="A12303" s="1033"/>
      <c r="E12303" s="130"/>
    </row>
    <row r="12304" spans="1:5" x14ac:dyDescent="0.25">
      <c r="A12304" s="1033"/>
      <c r="E12304" s="130"/>
    </row>
    <row r="12305" spans="1:5" x14ac:dyDescent="0.25">
      <c r="A12305" s="1033"/>
      <c r="E12305" s="130"/>
    </row>
    <row r="12306" spans="1:5" x14ac:dyDescent="0.25">
      <c r="A12306" s="1033"/>
      <c r="E12306" s="130"/>
    </row>
    <row r="12307" spans="1:5" x14ac:dyDescent="0.25">
      <c r="A12307" s="1033"/>
      <c r="E12307" s="130"/>
    </row>
    <row r="12308" spans="1:5" x14ac:dyDescent="0.25">
      <c r="A12308" s="1033"/>
      <c r="E12308" s="130"/>
    </row>
    <row r="12309" spans="1:5" x14ac:dyDescent="0.25">
      <c r="A12309" s="1033"/>
      <c r="E12309" s="130"/>
    </row>
    <row r="12310" spans="1:5" x14ac:dyDescent="0.25">
      <c r="A12310" s="1033"/>
      <c r="E12310" s="130"/>
    </row>
    <row r="12311" spans="1:5" x14ac:dyDescent="0.25">
      <c r="A12311" s="1033"/>
      <c r="E12311" s="130"/>
    </row>
    <row r="12312" spans="1:5" x14ac:dyDescent="0.25">
      <c r="A12312" s="1033"/>
      <c r="E12312" s="130"/>
    </row>
    <row r="12313" spans="1:5" x14ac:dyDescent="0.25">
      <c r="A12313" s="1033"/>
      <c r="E12313" s="130"/>
    </row>
    <row r="12314" spans="1:5" x14ac:dyDescent="0.25">
      <c r="A12314" s="1033"/>
      <c r="E12314" s="130"/>
    </row>
    <row r="12315" spans="1:5" x14ac:dyDescent="0.25">
      <c r="A12315" s="1033"/>
      <c r="E12315" s="130"/>
    </row>
    <row r="12316" spans="1:5" x14ac:dyDescent="0.25">
      <c r="A12316" s="1033"/>
      <c r="E12316" s="130"/>
    </row>
    <row r="12317" spans="1:5" x14ac:dyDescent="0.25">
      <c r="A12317" s="1033"/>
      <c r="E12317" s="130"/>
    </row>
    <row r="12318" spans="1:5" x14ac:dyDescent="0.25">
      <c r="A12318" s="1033"/>
      <c r="E12318" s="130"/>
    </row>
    <row r="12319" spans="1:5" x14ac:dyDescent="0.25">
      <c r="A12319" s="1033"/>
      <c r="E12319" s="130"/>
    </row>
    <row r="12320" spans="1:5" x14ac:dyDescent="0.25">
      <c r="A12320" s="1033"/>
      <c r="E12320" s="130"/>
    </row>
    <row r="12321" spans="1:5" x14ac:dyDescent="0.25">
      <c r="A12321" s="1033"/>
      <c r="E12321" s="130"/>
    </row>
    <row r="12322" spans="1:5" x14ac:dyDescent="0.25">
      <c r="A12322" s="1033"/>
      <c r="E12322" s="130"/>
    </row>
    <row r="12323" spans="1:5" x14ac:dyDescent="0.25">
      <c r="A12323" s="1033"/>
      <c r="E12323" s="130"/>
    </row>
    <row r="12324" spans="1:5" x14ac:dyDescent="0.25">
      <c r="A12324" s="1033"/>
      <c r="E12324" s="130"/>
    </row>
    <row r="12325" spans="1:5" x14ac:dyDescent="0.25">
      <c r="A12325" s="1033"/>
      <c r="E12325" s="130"/>
    </row>
    <row r="12326" spans="1:5" x14ac:dyDescent="0.25">
      <c r="A12326" s="1033"/>
      <c r="E12326" s="130"/>
    </row>
    <row r="12327" spans="1:5" x14ac:dyDescent="0.25">
      <c r="A12327" s="1033"/>
      <c r="E12327" s="130"/>
    </row>
    <row r="12328" spans="1:5" x14ac:dyDescent="0.25">
      <c r="A12328" s="1033"/>
      <c r="E12328" s="130"/>
    </row>
    <row r="12329" spans="1:5" x14ac:dyDescent="0.25">
      <c r="A12329" s="1033"/>
      <c r="E12329" s="130"/>
    </row>
    <row r="12330" spans="1:5" x14ac:dyDescent="0.25">
      <c r="A12330" s="1033"/>
      <c r="E12330" s="130"/>
    </row>
    <row r="12331" spans="1:5" x14ac:dyDescent="0.25">
      <c r="A12331" s="1033"/>
      <c r="E12331" s="130"/>
    </row>
    <row r="12332" spans="1:5" x14ac:dyDescent="0.25">
      <c r="A12332" s="1033"/>
      <c r="E12332" s="130"/>
    </row>
    <row r="12333" spans="1:5" x14ac:dyDescent="0.25">
      <c r="A12333" s="1033"/>
      <c r="E12333" s="130"/>
    </row>
    <row r="12334" spans="1:5" x14ac:dyDescent="0.25">
      <c r="A12334" s="1033"/>
      <c r="E12334" s="130"/>
    </row>
    <row r="12335" spans="1:5" x14ac:dyDescent="0.25">
      <c r="A12335" s="1033"/>
      <c r="E12335" s="130"/>
    </row>
    <row r="12336" spans="1:5" x14ac:dyDescent="0.25">
      <c r="A12336" s="1033"/>
      <c r="E12336" s="130"/>
    </row>
    <row r="12337" spans="1:5" x14ac:dyDescent="0.25">
      <c r="A12337" s="1033"/>
      <c r="E12337" s="130"/>
    </row>
    <row r="12338" spans="1:5" x14ac:dyDescent="0.25">
      <c r="A12338" s="1033"/>
      <c r="E12338" s="130"/>
    </row>
    <row r="12339" spans="1:5" x14ac:dyDescent="0.25">
      <c r="A12339" s="1033"/>
      <c r="E12339" s="130"/>
    </row>
    <row r="12340" spans="1:5" x14ac:dyDescent="0.25">
      <c r="A12340" s="1033"/>
      <c r="E12340" s="130"/>
    </row>
    <row r="12341" spans="1:5" x14ac:dyDescent="0.25">
      <c r="A12341" s="1033"/>
      <c r="E12341" s="130"/>
    </row>
    <row r="12342" spans="1:5" x14ac:dyDescent="0.25">
      <c r="A12342" s="1033"/>
      <c r="E12342" s="130"/>
    </row>
    <row r="12343" spans="1:5" x14ac:dyDescent="0.25">
      <c r="A12343" s="1033"/>
      <c r="E12343" s="130"/>
    </row>
    <row r="12344" spans="1:5" x14ac:dyDescent="0.25">
      <c r="A12344" s="1033"/>
      <c r="E12344" s="130"/>
    </row>
    <row r="12345" spans="1:5" x14ac:dyDescent="0.25">
      <c r="A12345" s="1033"/>
      <c r="E12345" s="130"/>
    </row>
    <row r="12346" spans="1:5" x14ac:dyDescent="0.25">
      <c r="A12346" s="1033"/>
      <c r="E12346" s="130"/>
    </row>
    <row r="12347" spans="1:5" x14ac:dyDescent="0.25">
      <c r="A12347" s="1033"/>
      <c r="E12347" s="130"/>
    </row>
    <row r="12348" spans="1:5" x14ac:dyDescent="0.25">
      <c r="A12348" s="1033"/>
      <c r="E12348" s="130"/>
    </row>
    <row r="12349" spans="1:5" x14ac:dyDescent="0.25">
      <c r="A12349" s="1033"/>
      <c r="E12349" s="130"/>
    </row>
    <row r="12350" spans="1:5" x14ac:dyDescent="0.25">
      <c r="A12350" s="1033"/>
      <c r="E12350" s="130"/>
    </row>
    <row r="12351" spans="1:5" x14ac:dyDescent="0.25">
      <c r="A12351" s="1033"/>
      <c r="E12351" s="130"/>
    </row>
    <row r="12352" spans="1:5" x14ac:dyDescent="0.25">
      <c r="A12352" s="1033"/>
      <c r="E12352" s="130"/>
    </row>
    <row r="12353" spans="1:5" x14ac:dyDescent="0.25">
      <c r="A12353" s="1033"/>
      <c r="E12353" s="130"/>
    </row>
    <row r="12354" spans="1:5" x14ac:dyDescent="0.25">
      <c r="A12354" s="1033"/>
      <c r="E12354" s="130"/>
    </row>
    <row r="12355" spans="1:5" x14ac:dyDescent="0.25">
      <c r="A12355" s="1033"/>
      <c r="E12355" s="130"/>
    </row>
    <row r="12356" spans="1:5" x14ac:dyDescent="0.25">
      <c r="A12356" s="1033"/>
      <c r="E12356" s="130"/>
    </row>
    <row r="12357" spans="1:5" x14ac:dyDescent="0.25">
      <c r="A12357" s="1033"/>
      <c r="E12357" s="130"/>
    </row>
    <row r="12358" spans="1:5" x14ac:dyDescent="0.25">
      <c r="A12358" s="1033"/>
      <c r="E12358" s="130"/>
    </row>
    <row r="12359" spans="1:5" x14ac:dyDescent="0.25">
      <c r="A12359" s="1033"/>
      <c r="E12359" s="130"/>
    </row>
    <row r="12360" spans="1:5" x14ac:dyDescent="0.25">
      <c r="A12360" s="1033"/>
      <c r="E12360" s="130"/>
    </row>
    <row r="12361" spans="1:5" x14ac:dyDescent="0.25">
      <c r="A12361" s="1033"/>
      <c r="E12361" s="130"/>
    </row>
    <row r="12362" spans="1:5" x14ac:dyDescent="0.25">
      <c r="A12362" s="1033"/>
      <c r="E12362" s="130"/>
    </row>
    <row r="12363" spans="1:5" x14ac:dyDescent="0.25">
      <c r="A12363" s="1033"/>
      <c r="E12363" s="130"/>
    </row>
    <row r="12364" spans="1:5" x14ac:dyDescent="0.25">
      <c r="A12364" s="1033"/>
      <c r="E12364" s="130"/>
    </row>
    <row r="12365" spans="1:5" x14ac:dyDescent="0.25">
      <c r="A12365" s="1033"/>
      <c r="E12365" s="130"/>
    </row>
    <row r="12366" spans="1:5" x14ac:dyDescent="0.25">
      <c r="A12366" s="1033"/>
      <c r="E12366" s="130"/>
    </row>
    <row r="12367" spans="1:5" x14ac:dyDescent="0.25">
      <c r="A12367" s="1033"/>
      <c r="E12367" s="130"/>
    </row>
    <row r="12368" spans="1:5" x14ac:dyDescent="0.25">
      <c r="A12368" s="1033"/>
      <c r="E12368" s="130"/>
    </row>
    <row r="12369" spans="1:5" x14ac:dyDescent="0.25">
      <c r="A12369" s="1033"/>
      <c r="E12369" s="130"/>
    </row>
    <row r="12370" spans="1:5" x14ac:dyDescent="0.25">
      <c r="A12370" s="1033"/>
      <c r="E12370" s="130"/>
    </row>
    <row r="12371" spans="1:5" x14ac:dyDescent="0.25">
      <c r="A12371" s="1033"/>
      <c r="E12371" s="130"/>
    </row>
    <row r="12372" spans="1:5" x14ac:dyDescent="0.25">
      <c r="A12372" s="1033"/>
      <c r="E12372" s="130"/>
    </row>
    <row r="12373" spans="1:5" x14ac:dyDescent="0.25">
      <c r="A12373" s="1033"/>
      <c r="E12373" s="130"/>
    </row>
    <row r="12374" spans="1:5" x14ac:dyDescent="0.25">
      <c r="A12374" s="1033"/>
      <c r="E12374" s="130"/>
    </row>
    <row r="12375" spans="1:5" x14ac:dyDescent="0.25">
      <c r="A12375" s="1033"/>
      <c r="E12375" s="130"/>
    </row>
    <row r="12376" spans="1:5" x14ac:dyDescent="0.25">
      <c r="A12376" s="1033"/>
      <c r="E12376" s="130"/>
    </row>
    <row r="12377" spans="1:5" x14ac:dyDescent="0.25">
      <c r="A12377" s="1033"/>
      <c r="E12377" s="130"/>
    </row>
    <row r="12378" spans="1:5" x14ac:dyDescent="0.25">
      <c r="A12378" s="1033"/>
      <c r="E12378" s="130"/>
    </row>
    <row r="12379" spans="1:5" x14ac:dyDescent="0.25">
      <c r="A12379" s="1033"/>
      <c r="E12379" s="130"/>
    </row>
    <row r="12380" spans="1:5" x14ac:dyDescent="0.25">
      <c r="A12380" s="1033"/>
      <c r="E12380" s="130"/>
    </row>
    <row r="12381" spans="1:5" x14ac:dyDescent="0.25">
      <c r="A12381" s="1033"/>
      <c r="E12381" s="130"/>
    </row>
    <row r="12382" spans="1:5" x14ac:dyDescent="0.25">
      <c r="A12382" s="1033"/>
      <c r="E12382" s="130"/>
    </row>
    <row r="12383" spans="1:5" x14ac:dyDescent="0.25">
      <c r="A12383" s="1033"/>
      <c r="E12383" s="130"/>
    </row>
    <row r="12384" spans="1:5" x14ac:dyDescent="0.25">
      <c r="A12384" s="1033"/>
      <c r="E12384" s="130"/>
    </row>
    <row r="12385" spans="1:5" x14ac:dyDescent="0.25">
      <c r="A12385" s="1033"/>
      <c r="E12385" s="130"/>
    </row>
    <row r="12386" spans="1:5" x14ac:dyDescent="0.25">
      <c r="A12386" s="1033"/>
      <c r="E12386" s="130"/>
    </row>
    <row r="12387" spans="1:5" x14ac:dyDescent="0.25">
      <c r="A12387" s="1033"/>
      <c r="E12387" s="130"/>
    </row>
    <row r="12388" spans="1:5" x14ac:dyDescent="0.25">
      <c r="A12388" s="1033"/>
      <c r="E12388" s="130"/>
    </row>
    <row r="12389" spans="1:5" x14ac:dyDescent="0.25">
      <c r="A12389" s="1033"/>
      <c r="E12389" s="130"/>
    </row>
    <row r="12390" spans="1:5" x14ac:dyDescent="0.25">
      <c r="A12390" s="1033"/>
      <c r="E12390" s="130"/>
    </row>
    <row r="12391" spans="1:5" x14ac:dyDescent="0.25">
      <c r="A12391" s="1033"/>
      <c r="E12391" s="130"/>
    </row>
    <row r="12392" spans="1:5" x14ac:dyDescent="0.25">
      <c r="A12392" s="1033"/>
      <c r="E12392" s="130"/>
    </row>
    <row r="12393" spans="1:5" x14ac:dyDescent="0.25">
      <c r="A12393" s="1033"/>
      <c r="E12393" s="130"/>
    </row>
    <row r="12394" spans="1:5" x14ac:dyDescent="0.25">
      <c r="A12394" s="1033"/>
      <c r="E12394" s="130"/>
    </row>
    <row r="12395" spans="1:5" x14ac:dyDescent="0.25">
      <c r="A12395" s="1033"/>
      <c r="E12395" s="130"/>
    </row>
    <row r="12396" spans="1:5" x14ac:dyDescent="0.25">
      <c r="A12396" s="1033"/>
      <c r="E12396" s="130"/>
    </row>
    <row r="12397" spans="1:5" x14ac:dyDescent="0.25">
      <c r="A12397" s="1033"/>
      <c r="E12397" s="130"/>
    </row>
    <row r="12398" spans="1:5" x14ac:dyDescent="0.25">
      <c r="A12398" s="1033"/>
      <c r="E12398" s="130"/>
    </row>
    <row r="12399" spans="1:5" x14ac:dyDescent="0.25">
      <c r="A12399" s="1033"/>
      <c r="E12399" s="130"/>
    </row>
    <row r="12400" spans="1:5" x14ac:dyDescent="0.25">
      <c r="A12400" s="1033"/>
      <c r="E12400" s="130"/>
    </row>
    <row r="12401" spans="1:5" x14ac:dyDescent="0.25">
      <c r="A12401" s="1033"/>
      <c r="E12401" s="130"/>
    </row>
    <row r="12402" spans="1:5" x14ac:dyDescent="0.25">
      <c r="A12402" s="1033"/>
      <c r="E12402" s="130"/>
    </row>
    <row r="12403" spans="1:5" x14ac:dyDescent="0.25">
      <c r="A12403" s="1033"/>
      <c r="E12403" s="130"/>
    </row>
    <row r="12404" spans="1:5" x14ac:dyDescent="0.25">
      <c r="A12404" s="1033"/>
      <c r="E12404" s="130"/>
    </row>
    <row r="12405" spans="1:5" x14ac:dyDescent="0.25">
      <c r="A12405" s="1033"/>
      <c r="E12405" s="130"/>
    </row>
    <row r="12406" spans="1:5" x14ac:dyDescent="0.25">
      <c r="A12406" s="1033"/>
      <c r="E12406" s="130"/>
    </row>
    <row r="12407" spans="1:5" x14ac:dyDescent="0.25">
      <c r="A12407" s="1033"/>
      <c r="E12407" s="130"/>
    </row>
    <row r="12408" spans="1:5" x14ac:dyDescent="0.25">
      <c r="A12408" s="1033"/>
      <c r="E12408" s="130"/>
    </row>
    <row r="12409" spans="1:5" x14ac:dyDescent="0.25">
      <c r="A12409" s="1033"/>
      <c r="E12409" s="130"/>
    </row>
    <row r="12410" spans="1:5" x14ac:dyDescent="0.25">
      <c r="A12410" s="1033"/>
      <c r="E12410" s="130"/>
    </row>
    <row r="12411" spans="1:5" x14ac:dyDescent="0.25">
      <c r="A12411" s="1033"/>
      <c r="E12411" s="130"/>
    </row>
    <row r="12412" spans="1:5" x14ac:dyDescent="0.25">
      <c r="A12412" s="1033"/>
      <c r="E12412" s="130"/>
    </row>
    <row r="12413" spans="1:5" x14ac:dyDescent="0.25">
      <c r="A12413" s="1033"/>
      <c r="E12413" s="130"/>
    </row>
    <row r="12414" spans="1:5" x14ac:dyDescent="0.25">
      <c r="A12414" s="1033"/>
      <c r="E12414" s="130"/>
    </row>
    <row r="12415" spans="1:5" x14ac:dyDescent="0.25">
      <c r="A12415" s="1033"/>
      <c r="E12415" s="130"/>
    </row>
    <row r="12416" spans="1:5" x14ac:dyDescent="0.25">
      <c r="A12416" s="1033"/>
      <c r="E12416" s="130"/>
    </row>
    <row r="12417" spans="1:5" x14ac:dyDescent="0.25">
      <c r="A12417" s="1033"/>
      <c r="E12417" s="130"/>
    </row>
    <row r="12418" spans="1:5" x14ac:dyDescent="0.25">
      <c r="A12418" s="1033"/>
      <c r="E12418" s="130"/>
    </row>
    <row r="12419" spans="1:5" x14ac:dyDescent="0.25">
      <c r="A12419" s="1033"/>
      <c r="E12419" s="130"/>
    </row>
    <row r="12420" spans="1:5" x14ac:dyDescent="0.25">
      <c r="A12420" s="1033"/>
      <c r="E12420" s="130"/>
    </row>
    <row r="12421" spans="1:5" x14ac:dyDescent="0.25">
      <c r="A12421" s="1033"/>
      <c r="E12421" s="130"/>
    </row>
    <row r="12422" spans="1:5" x14ac:dyDescent="0.25">
      <c r="A12422" s="1033"/>
      <c r="E12422" s="130"/>
    </row>
    <row r="12423" spans="1:5" x14ac:dyDescent="0.25">
      <c r="A12423" s="1033"/>
      <c r="E12423" s="130"/>
    </row>
    <row r="12424" spans="1:5" x14ac:dyDescent="0.25">
      <c r="A12424" s="1033"/>
      <c r="E12424" s="130"/>
    </row>
    <row r="12425" spans="1:5" x14ac:dyDescent="0.25">
      <c r="A12425" s="1033"/>
      <c r="E12425" s="130"/>
    </row>
    <row r="12426" spans="1:5" x14ac:dyDescent="0.25">
      <c r="A12426" s="1033"/>
      <c r="E12426" s="130"/>
    </row>
    <row r="12427" spans="1:5" x14ac:dyDescent="0.25">
      <c r="A12427" s="1033"/>
      <c r="E12427" s="130"/>
    </row>
    <row r="12428" spans="1:5" x14ac:dyDescent="0.25">
      <c r="A12428" s="1033"/>
      <c r="E12428" s="130"/>
    </row>
    <row r="12429" spans="1:5" x14ac:dyDescent="0.25">
      <c r="A12429" s="1033"/>
      <c r="E12429" s="130"/>
    </row>
    <row r="12430" spans="1:5" x14ac:dyDescent="0.25">
      <c r="A12430" s="1033"/>
      <c r="E12430" s="130"/>
    </row>
    <row r="12431" spans="1:5" x14ac:dyDescent="0.25">
      <c r="A12431" s="1033"/>
      <c r="E12431" s="130"/>
    </row>
    <row r="12432" spans="1:5" x14ac:dyDescent="0.25">
      <c r="A12432" s="1033"/>
      <c r="E12432" s="130"/>
    </row>
    <row r="12433" spans="1:5" x14ac:dyDescent="0.25">
      <c r="A12433" s="1033"/>
      <c r="E12433" s="130"/>
    </row>
    <row r="12434" spans="1:5" x14ac:dyDescent="0.25">
      <c r="A12434" s="1033"/>
      <c r="E12434" s="130"/>
    </row>
    <row r="12435" spans="1:5" x14ac:dyDescent="0.25">
      <c r="A12435" s="1033"/>
      <c r="E12435" s="130"/>
    </row>
    <row r="12436" spans="1:5" x14ac:dyDescent="0.25">
      <c r="A12436" s="1033"/>
      <c r="E12436" s="130"/>
    </row>
    <row r="12437" spans="1:5" x14ac:dyDescent="0.25">
      <c r="A12437" s="1033"/>
      <c r="E12437" s="130"/>
    </row>
    <row r="12438" spans="1:5" x14ac:dyDescent="0.25">
      <c r="A12438" s="1033"/>
      <c r="E12438" s="130"/>
    </row>
    <row r="12439" spans="1:5" x14ac:dyDescent="0.25">
      <c r="A12439" s="1033"/>
      <c r="E12439" s="130"/>
    </row>
    <row r="12440" spans="1:5" x14ac:dyDescent="0.25">
      <c r="A12440" s="1033"/>
      <c r="E12440" s="130"/>
    </row>
    <row r="12441" spans="1:5" x14ac:dyDescent="0.25">
      <c r="A12441" s="1033"/>
      <c r="E12441" s="130"/>
    </row>
    <row r="12442" spans="1:5" x14ac:dyDescent="0.25">
      <c r="A12442" s="1033"/>
      <c r="E12442" s="130"/>
    </row>
    <row r="12443" spans="1:5" x14ac:dyDescent="0.25">
      <c r="A12443" s="1033"/>
      <c r="E12443" s="130"/>
    </row>
    <row r="12444" spans="1:5" x14ac:dyDescent="0.25">
      <c r="A12444" s="1033"/>
      <c r="E12444" s="130"/>
    </row>
    <row r="12445" spans="1:5" x14ac:dyDescent="0.25">
      <c r="A12445" s="1033"/>
      <c r="E12445" s="130"/>
    </row>
    <row r="12446" spans="1:5" x14ac:dyDescent="0.25">
      <c r="A12446" s="1033"/>
      <c r="E12446" s="130"/>
    </row>
    <row r="12447" spans="1:5" x14ac:dyDescent="0.25">
      <c r="A12447" s="1033"/>
      <c r="E12447" s="130"/>
    </row>
    <row r="12448" spans="1:5" x14ac:dyDescent="0.25">
      <c r="A12448" s="1033"/>
      <c r="E12448" s="130"/>
    </row>
    <row r="12449" spans="1:5" x14ac:dyDescent="0.25">
      <c r="A12449" s="1033"/>
      <c r="E12449" s="130"/>
    </row>
    <row r="12450" spans="1:5" x14ac:dyDescent="0.25">
      <c r="A12450" s="1033"/>
      <c r="E12450" s="130"/>
    </row>
    <row r="12451" spans="1:5" x14ac:dyDescent="0.25">
      <c r="A12451" s="1033"/>
      <c r="E12451" s="130"/>
    </row>
    <row r="12452" spans="1:5" x14ac:dyDescent="0.25">
      <c r="A12452" s="1033"/>
      <c r="E12452" s="130"/>
    </row>
    <row r="12453" spans="1:5" x14ac:dyDescent="0.25">
      <c r="A12453" s="1033"/>
      <c r="E12453" s="130"/>
    </row>
    <row r="12454" spans="1:5" x14ac:dyDescent="0.25">
      <c r="A12454" s="1033"/>
      <c r="E12454" s="130"/>
    </row>
    <row r="12455" spans="1:5" x14ac:dyDescent="0.25">
      <c r="A12455" s="1033"/>
      <c r="E12455" s="130"/>
    </row>
    <row r="12456" spans="1:5" x14ac:dyDescent="0.25">
      <c r="A12456" s="1033"/>
      <c r="E12456" s="130"/>
    </row>
    <row r="12457" spans="1:5" x14ac:dyDescent="0.25">
      <c r="A12457" s="1033"/>
      <c r="E12457" s="130"/>
    </row>
    <row r="12458" spans="1:5" x14ac:dyDescent="0.25">
      <c r="A12458" s="1033"/>
      <c r="E12458" s="130"/>
    </row>
    <row r="12459" spans="1:5" x14ac:dyDescent="0.25">
      <c r="A12459" s="1033"/>
      <c r="E12459" s="130"/>
    </row>
    <row r="12460" spans="1:5" x14ac:dyDescent="0.25">
      <c r="A12460" s="1033"/>
      <c r="E12460" s="130"/>
    </row>
    <row r="12461" spans="1:5" x14ac:dyDescent="0.25">
      <c r="A12461" s="1033"/>
      <c r="E12461" s="130"/>
    </row>
    <row r="12462" spans="1:5" x14ac:dyDescent="0.25">
      <c r="A12462" s="1033"/>
      <c r="E12462" s="130"/>
    </row>
    <row r="12463" spans="1:5" x14ac:dyDescent="0.25">
      <c r="A12463" s="1033"/>
      <c r="E12463" s="130"/>
    </row>
    <row r="12464" spans="1:5" x14ac:dyDescent="0.25">
      <c r="A12464" s="1033"/>
      <c r="E12464" s="130"/>
    </row>
    <row r="12465" spans="1:5" x14ac:dyDescent="0.25">
      <c r="A12465" s="1033"/>
      <c r="E12465" s="130"/>
    </row>
    <row r="12466" spans="1:5" x14ac:dyDescent="0.25">
      <c r="A12466" s="1033"/>
      <c r="E12466" s="130"/>
    </row>
    <row r="12467" spans="1:5" x14ac:dyDescent="0.25">
      <c r="A12467" s="1033"/>
      <c r="E12467" s="130"/>
    </row>
    <row r="12468" spans="1:5" x14ac:dyDescent="0.25">
      <c r="A12468" s="1033"/>
      <c r="E12468" s="130"/>
    </row>
    <row r="12469" spans="1:5" x14ac:dyDescent="0.25">
      <c r="A12469" s="1033"/>
      <c r="E12469" s="130"/>
    </row>
    <row r="12470" spans="1:5" x14ac:dyDescent="0.25">
      <c r="A12470" s="1033"/>
      <c r="E12470" s="130"/>
    </row>
    <row r="12471" spans="1:5" x14ac:dyDescent="0.25">
      <c r="A12471" s="1033"/>
      <c r="E12471" s="130"/>
    </row>
    <row r="12472" spans="1:5" x14ac:dyDescent="0.25">
      <c r="A12472" s="1033"/>
      <c r="E12472" s="130"/>
    </row>
    <row r="12473" spans="1:5" x14ac:dyDescent="0.25">
      <c r="A12473" s="1033"/>
      <c r="E12473" s="130"/>
    </row>
    <row r="12474" spans="1:5" x14ac:dyDescent="0.25">
      <c r="A12474" s="1033"/>
      <c r="E12474" s="130"/>
    </row>
    <row r="12475" spans="1:5" x14ac:dyDescent="0.25">
      <c r="A12475" s="1033"/>
      <c r="E12475" s="130"/>
    </row>
    <row r="12476" spans="1:5" x14ac:dyDescent="0.25">
      <c r="A12476" s="1033"/>
      <c r="E12476" s="130"/>
    </row>
    <row r="12477" spans="1:5" x14ac:dyDescent="0.25">
      <c r="A12477" s="1033"/>
      <c r="E12477" s="130"/>
    </row>
    <row r="12478" spans="1:5" x14ac:dyDescent="0.25">
      <c r="A12478" s="1033"/>
      <c r="E12478" s="130"/>
    </row>
    <row r="12479" spans="1:5" x14ac:dyDescent="0.25">
      <c r="A12479" s="1033"/>
      <c r="E12479" s="130"/>
    </row>
    <row r="12480" spans="1:5" x14ac:dyDescent="0.25">
      <c r="A12480" s="1033"/>
      <c r="E12480" s="130"/>
    </row>
    <row r="12481" spans="1:5" x14ac:dyDescent="0.25">
      <c r="A12481" s="1033"/>
      <c r="E12481" s="130"/>
    </row>
    <row r="12482" spans="1:5" x14ac:dyDescent="0.25">
      <c r="A12482" s="1033"/>
      <c r="E12482" s="130"/>
    </row>
    <row r="12483" spans="1:5" x14ac:dyDescent="0.25">
      <c r="A12483" s="1033"/>
      <c r="E12483" s="130"/>
    </row>
    <row r="12484" spans="1:5" x14ac:dyDescent="0.25">
      <c r="A12484" s="1033"/>
      <c r="E12484" s="130"/>
    </row>
    <row r="12485" spans="1:5" x14ac:dyDescent="0.25">
      <c r="A12485" s="1033"/>
      <c r="E12485" s="130"/>
    </row>
    <row r="12486" spans="1:5" x14ac:dyDescent="0.25">
      <c r="A12486" s="1033"/>
      <c r="E12486" s="130"/>
    </row>
    <row r="12487" spans="1:5" x14ac:dyDescent="0.25">
      <c r="A12487" s="1033"/>
      <c r="E12487" s="130"/>
    </row>
    <row r="12488" spans="1:5" x14ac:dyDescent="0.25">
      <c r="A12488" s="1033"/>
      <c r="E12488" s="130"/>
    </row>
    <row r="12489" spans="1:5" x14ac:dyDescent="0.25">
      <c r="A12489" s="1033"/>
      <c r="E12489" s="130"/>
    </row>
    <row r="12490" spans="1:5" x14ac:dyDescent="0.25">
      <c r="A12490" s="1033"/>
      <c r="E12490" s="130"/>
    </row>
    <row r="12491" spans="1:5" x14ac:dyDescent="0.25">
      <c r="A12491" s="1033"/>
      <c r="E12491" s="130"/>
    </row>
    <row r="12492" spans="1:5" x14ac:dyDescent="0.25">
      <c r="A12492" s="1033"/>
      <c r="E12492" s="130"/>
    </row>
    <row r="12493" spans="1:5" x14ac:dyDescent="0.25">
      <c r="A12493" s="1033"/>
      <c r="E12493" s="130"/>
    </row>
    <row r="12494" spans="1:5" x14ac:dyDescent="0.25">
      <c r="A12494" s="1033"/>
      <c r="E12494" s="130"/>
    </row>
    <row r="12495" spans="1:5" x14ac:dyDescent="0.25">
      <c r="A12495" s="1033"/>
      <c r="E12495" s="130"/>
    </row>
    <row r="12496" spans="1:5" x14ac:dyDescent="0.25">
      <c r="A12496" s="1033"/>
      <c r="E12496" s="130"/>
    </row>
    <row r="12497" spans="1:5" x14ac:dyDescent="0.25">
      <c r="A12497" s="1033"/>
      <c r="E12497" s="130"/>
    </row>
    <row r="12498" spans="1:5" x14ac:dyDescent="0.25">
      <c r="A12498" s="1033"/>
      <c r="E12498" s="130"/>
    </row>
    <row r="12499" spans="1:5" x14ac:dyDescent="0.25">
      <c r="A12499" s="1033"/>
      <c r="E12499" s="130"/>
    </row>
    <row r="12500" spans="1:5" x14ac:dyDescent="0.25">
      <c r="A12500" s="1033"/>
      <c r="E12500" s="130"/>
    </row>
    <row r="12501" spans="1:5" x14ac:dyDescent="0.25">
      <c r="A12501" s="1033"/>
      <c r="E12501" s="130"/>
    </row>
    <row r="12502" spans="1:5" x14ac:dyDescent="0.25">
      <c r="A12502" s="1033"/>
      <c r="E12502" s="130"/>
    </row>
    <row r="12503" spans="1:5" x14ac:dyDescent="0.25">
      <c r="A12503" s="1033"/>
      <c r="E12503" s="130"/>
    </row>
    <row r="12504" spans="1:5" x14ac:dyDescent="0.25">
      <c r="A12504" s="1033"/>
      <c r="E12504" s="130"/>
    </row>
    <row r="12505" spans="1:5" x14ac:dyDescent="0.25">
      <c r="A12505" s="1033"/>
      <c r="E12505" s="130"/>
    </row>
    <row r="12506" spans="1:5" x14ac:dyDescent="0.25">
      <c r="A12506" s="1033"/>
      <c r="E12506" s="130"/>
    </row>
    <row r="12507" spans="1:5" x14ac:dyDescent="0.25">
      <c r="A12507" s="1033"/>
      <c r="E12507" s="130"/>
    </row>
    <row r="12508" spans="1:5" x14ac:dyDescent="0.25">
      <c r="A12508" s="1033"/>
      <c r="E12508" s="130"/>
    </row>
    <row r="12509" spans="1:5" x14ac:dyDescent="0.25">
      <c r="A12509" s="1033"/>
      <c r="E12509" s="130"/>
    </row>
    <row r="12510" spans="1:5" x14ac:dyDescent="0.25">
      <c r="A12510" s="1033"/>
      <c r="E12510" s="130"/>
    </row>
    <row r="12511" spans="1:5" x14ac:dyDescent="0.25">
      <c r="A12511" s="1033"/>
      <c r="E12511" s="130"/>
    </row>
    <row r="12512" spans="1:5" x14ac:dyDescent="0.25">
      <c r="A12512" s="1033"/>
      <c r="E12512" s="130"/>
    </row>
    <row r="12513" spans="1:5" x14ac:dyDescent="0.25">
      <c r="A12513" s="1033"/>
      <c r="E12513" s="130"/>
    </row>
    <row r="12514" spans="1:5" x14ac:dyDescent="0.25">
      <c r="A12514" s="1033"/>
      <c r="E12514" s="130"/>
    </row>
    <row r="12515" spans="1:5" x14ac:dyDescent="0.25">
      <c r="A12515" s="1033"/>
      <c r="E12515" s="130"/>
    </row>
    <row r="12516" spans="1:5" x14ac:dyDescent="0.25">
      <c r="A12516" s="1033"/>
      <c r="E12516" s="130"/>
    </row>
    <row r="12517" spans="1:5" x14ac:dyDescent="0.25">
      <c r="A12517" s="1033"/>
      <c r="E12517" s="130"/>
    </row>
    <row r="12518" spans="1:5" x14ac:dyDescent="0.25">
      <c r="A12518" s="1033"/>
      <c r="E12518" s="130"/>
    </row>
    <row r="12519" spans="1:5" x14ac:dyDescent="0.25">
      <c r="A12519" s="1033"/>
      <c r="E12519" s="130"/>
    </row>
    <row r="12520" spans="1:5" x14ac:dyDescent="0.25">
      <c r="A12520" s="1033"/>
      <c r="E12520" s="130"/>
    </row>
    <row r="12521" spans="1:5" x14ac:dyDescent="0.25">
      <c r="A12521" s="1033"/>
      <c r="E12521" s="130"/>
    </row>
    <row r="12522" spans="1:5" x14ac:dyDescent="0.25">
      <c r="A12522" s="1033"/>
      <c r="E12522" s="130"/>
    </row>
    <row r="12523" spans="1:5" x14ac:dyDescent="0.25">
      <c r="A12523" s="1033"/>
      <c r="E12523" s="130"/>
    </row>
    <row r="12524" spans="1:5" x14ac:dyDescent="0.25">
      <c r="A12524" s="1033"/>
      <c r="E12524" s="130"/>
    </row>
    <row r="12525" spans="1:5" x14ac:dyDescent="0.25">
      <c r="A12525" s="1033"/>
      <c r="E12525" s="130"/>
    </row>
    <row r="12526" spans="1:5" x14ac:dyDescent="0.25">
      <c r="A12526" s="1033"/>
      <c r="E12526" s="130"/>
    </row>
    <row r="12527" spans="1:5" x14ac:dyDescent="0.25">
      <c r="A12527" s="1033"/>
      <c r="E12527" s="130"/>
    </row>
    <row r="12528" spans="1:5" x14ac:dyDescent="0.25">
      <c r="A12528" s="1033"/>
      <c r="E12528" s="130"/>
    </row>
    <row r="12529" spans="1:5" x14ac:dyDescent="0.25">
      <c r="A12529" s="1033"/>
      <c r="E12529" s="130"/>
    </row>
    <row r="12530" spans="1:5" x14ac:dyDescent="0.25">
      <c r="A12530" s="1033"/>
      <c r="E12530" s="130"/>
    </row>
    <row r="12531" spans="1:5" x14ac:dyDescent="0.25">
      <c r="A12531" s="1033"/>
      <c r="E12531" s="130"/>
    </row>
    <row r="12532" spans="1:5" x14ac:dyDescent="0.25">
      <c r="A12532" s="1033"/>
      <c r="E12532" s="130"/>
    </row>
    <row r="12533" spans="1:5" x14ac:dyDescent="0.25">
      <c r="A12533" s="1033"/>
      <c r="E12533" s="130"/>
    </row>
    <row r="12534" spans="1:5" x14ac:dyDescent="0.25">
      <c r="A12534" s="1033"/>
      <c r="E12534" s="130"/>
    </row>
    <row r="12535" spans="1:5" x14ac:dyDescent="0.25">
      <c r="A12535" s="1033"/>
      <c r="E12535" s="130"/>
    </row>
    <row r="12536" spans="1:5" x14ac:dyDescent="0.25">
      <c r="A12536" s="1033"/>
      <c r="E12536" s="130"/>
    </row>
    <row r="12537" spans="1:5" x14ac:dyDescent="0.25">
      <c r="A12537" s="1033"/>
      <c r="E12537" s="130"/>
    </row>
    <row r="12538" spans="1:5" x14ac:dyDescent="0.25">
      <c r="A12538" s="1033"/>
      <c r="E12538" s="130"/>
    </row>
    <row r="12539" spans="1:5" x14ac:dyDescent="0.25">
      <c r="A12539" s="1033"/>
      <c r="E12539" s="130"/>
    </row>
    <row r="12540" spans="1:5" x14ac:dyDescent="0.25">
      <c r="A12540" s="1033"/>
      <c r="E12540" s="130"/>
    </row>
    <row r="12541" spans="1:5" x14ac:dyDescent="0.25">
      <c r="A12541" s="1033"/>
      <c r="E12541" s="130"/>
    </row>
    <row r="12542" spans="1:5" x14ac:dyDescent="0.25">
      <c r="A12542" s="1033"/>
      <c r="E12542" s="130"/>
    </row>
    <row r="12543" spans="1:5" x14ac:dyDescent="0.25">
      <c r="A12543" s="1033"/>
      <c r="E12543" s="130"/>
    </row>
    <row r="12544" spans="1:5" x14ac:dyDescent="0.25">
      <c r="A12544" s="1033"/>
      <c r="E12544" s="130"/>
    </row>
    <row r="12545" spans="1:5" x14ac:dyDescent="0.25">
      <c r="A12545" s="1033"/>
      <c r="E12545" s="130"/>
    </row>
    <row r="12546" spans="1:5" x14ac:dyDescent="0.25">
      <c r="A12546" s="1033"/>
      <c r="E12546" s="130"/>
    </row>
    <row r="12547" spans="1:5" x14ac:dyDescent="0.25">
      <c r="A12547" s="1033"/>
      <c r="E12547" s="130"/>
    </row>
    <row r="12548" spans="1:5" x14ac:dyDescent="0.25">
      <c r="A12548" s="1033"/>
      <c r="E12548" s="130"/>
    </row>
    <row r="12549" spans="1:5" x14ac:dyDescent="0.25">
      <c r="A12549" s="1033"/>
      <c r="E12549" s="130"/>
    </row>
    <row r="12550" spans="1:5" x14ac:dyDescent="0.25">
      <c r="A12550" s="1033"/>
      <c r="E12550" s="130"/>
    </row>
    <row r="12551" spans="1:5" x14ac:dyDescent="0.25">
      <c r="A12551" s="1033"/>
      <c r="E12551" s="130"/>
    </row>
    <row r="12552" spans="1:5" x14ac:dyDescent="0.25">
      <c r="A12552" s="1033"/>
      <c r="E12552" s="130"/>
    </row>
    <row r="12553" spans="1:5" x14ac:dyDescent="0.25">
      <c r="A12553" s="1033"/>
      <c r="E12553" s="130"/>
    </row>
    <row r="12554" spans="1:5" x14ac:dyDescent="0.25">
      <c r="A12554" s="1033"/>
      <c r="E12554" s="130"/>
    </row>
    <row r="12555" spans="1:5" x14ac:dyDescent="0.25">
      <c r="A12555" s="1033"/>
      <c r="E12555" s="130"/>
    </row>
    <row r="12556" spans="1:5" x14ac:dyDescent="0.25">
      <c r="A12556" s="1033"/>
      <c r="E12556" s="130"/>
    </row>
    <row r="12557" spans="1:5" x14ac:dyDescent="0.25">
      <c r="A12557" s="1033"/>
      <c r="E12557" s="130"/>
    </row>
    <row r="12558" spans="1:5" x14ac:dyDescent="0.25">
      <c r="A12558" s="1033"/>
      <c r="E12558" s="130"/>
    </row>
    <row r="12559" spans="1:5" x14ac:dyDescent="0.25">
      <c r="A12559" s="1033"/>
      <c r="E12559" s="130"/>
    </row>
    <row r="12560" spans="1:5" x14ac:dyDescent="0.25">
      <c r="A12560" s="1033"/>
      <c r="E12560" s="130"/>
    </row>
    <row r="12561" spans="1:5" x14ac:dyDescent="0.25">
      <c r="A12561" s="1033"/>
      <c r="E12561" s="130"/>
    </row>
    <row r="12562" spans="1:5" x14ac:dyDescent="0.25">
      <c r="A12562" s="1033"/>
      <c r="E12562" s="130"/>
    </row>
    <row r="12563" spans="1:5" x14ac:dyDescent="0.25">
      <c r="A12563" s="1033"/>
      <c r="E12563" s="130"/>
    </row>
    <row r="12564" spans="1:5" x14ac:dyDescent="0.25">
      <c r="A12564" s="1033"/>
      <c r="E12564" s="130"/>
    </row>
    <row r="12565" spans="1:5" x14ac:dyDescent="0.25">
      <c r="A12565" s="1033"/>
      <c r="E12565" s="130"/>
    </row>
    <row r="12566" spans="1:5" x14ac:dyDescent="0.25">
      <c r="A12566" s="1033"/>
      <c r="E12566" s="130"/>
    </row>
    <row r="12567" spans="1:5" x14ac:dyDescent="0.25">
      <c r="A12567" s="1033"/>
      <c r="E12567" s="130"/>
    </row>
    <row r="12568" spans="1:5" x14ac:dyDescent="0.25">
      <c r="A12568" s="1033"/>
      <c r="E12568" s="130"/>
    </row>
    <row r="12569" spans="1:5" x14ac:dyDescent="0.25">
      <c r="A12569" s="1033"/>
      <c r="E12569" s="130"/>
    </row>
    <row r="12570" spans="1:5" x14ac:dyDescent="0.25">
      <c r="A12570" s="1033"/>
      <c r="E12570" s="130"/>
    </row>
    <row r="12571" spans="1:5" x14ac:dyDescent="0.25">
      <c r="A12571" s="1033"/>
      <c r="E12571" s="130"/>
    </row>
    <row r="12572" spans="1:5" x14ac:dyDescent="0.25">
      <c r="A12572" s="1033"/>
      <c r="E12572" s="130"/>
    </row>
    <row r="12573" spans="1:5" x14ac:dyDescent="0.25">
      <c r="A12573" s="1033"/>
      <c r="E12573" s="130"/>
    </row>
    <row r="12574" spans="1:5" x14ac:dyDescent="0.25">
      <c r="A12574" s="1033"/>
      <c r="E12574" s="130"/>
    </row>
    <row r="12575" spans="1:5" x14ac:dyDescent="0.25">
      <c r="A12575" s="1033"/>
      <c r="E12575" s="130"/>
    </row>
    <row r="12576" spans="1:5" x14ac:dyDescent="0.25">
      <c r="A12576" s="1033"/>
      <c r="E12576" s="130"/>
    </row>
    <row r="12577" spans="1:5" x14ac:dyDescent="0.25">
      <c r="A12577" s="1033"/>
      <c r="E12577" s="130"/>
    </row>
    <row r="12578" spans="1:5" x14ac:dyDescent="0.25">
      <c r="A12578" s="1033"/>
      <c r="E12578" s="130"/>
    </row>
    <row r="12579" spans="1:5" x14ac:dyDescent="0.25">
      <c r="A12579" s="1033"/>
      <c r="E12579" s="130"/>
    </row>
    <row r="12580" spans="1:5" x14ac:dyDescent="0.25">
      <c r="A12580" s="1033"/>
      <c r="E12580" s="130"/>
    </row>
    <row r="12581" spans="1:5" x14ac:dyDescent="0.25">
      <c r="A12581" s="1033"/>
      <c r="E12581" s="130"/>
    </row>
    <row r="12582" spans="1:5" x14ac:dyDescent="0.25">
      <c r="A12582" s="1033"/>
      <c r="E12582" s="130"/>
    </row>
    <row r="12583" spans="1:5" x14ac:dyDescent="0.25">
      <c r="A12583" s="1033"/>
      <c r="E12583" s="130"/>
    </row>
    <row r="12584" spans="1:5" x14ac:dyDescent="0.25">
      <c r="A12584" s="1033"/>
      <c r="E12584" s="130"/>
    </row>
    <row r="12585" spans="1:5" x14ac:dyDescent="0.25">
      <c r="A12585" s="1033"/>
      <c r="E12585" s="130"/>
    </row>
    <row r="12586" spans="1:5" x14ac:dyDescent="0.25">
      <c r="A12586" s="1033"/>
      <c r="E12586" s="130"/>
    </row>
    <row r="12587" spans="1:5" x14ac:dyDescent="0.25">
      <c r="A12587" s="1033"/>
      <c r="E12587" s="130"/>
    </row>
    <row r="12588" spans="1:5" x14ac:dyDescent="0.25">
      <c r="A12588" s="1033"/>
      <c r="E12588" s="130"/>
    </row>
    <row r="12589" spans="1:5" x14ac:dyDescent="0.25">
      <c r="A12589" s="1033"/>
      <c r="E12589" s="130"/>
    </row>
    <row r="12590" spans="1:5" x14ac:dyDescent="0.25">
      <c r="A12590" s="1033"/>
      <c r="E12590" s="130"/>
    </row>
    <row r="12591" spans="1:5" x14ac:dyDescent="0.25">
      <c r="A12591" s="1033"/>
      <c r="E12591" s="130"/>
    </row>
    <row r="12592" spans="1:5" x14ac:dyDescent="0.25">
      <c r="A12592" s="1033"/>
      <c r="E12592" s="130"/>
    </row>
    <row r="12593" spans="1:5" x14ac:dyDescent="0.25">
      <c r="A12593" s="1033"/>
      <c r="E12593" s="130"/>
    </row>
    <row r="12594" spans="1:5" x14ac:dyDescent="0.25">
      <c r="A12594" s="1033"/>
      <c r="E12594" s="130"/>
    </row>
    <row r="12595" spans="1:5" x14ac:dyDescent="0.25">
      <c r="A12595" s="1033"/>
      <c r="E12595" s="130"/>
    </row>
    <row r="12596" spans="1:5" x14ac:dyDescent="0.25">
      <c r="A12596" s="1033"/>
      <c r="E12596" s="130"/>
    </row>
    <row r="12597" spans="1:5" x14ac:dyDescent="0.25">
      <c r="A12597" s="1033"/>
      <c r="E12597" s="130"/>
    </row>
    <row r="12598" spans="1:5" x14ac:dyDescent="0.25">
      <c r="A12598" s="1033"/>
      <c r="E12598" s="130"/>
    </row>
    <row r="12599" spans="1:5" x14ac:dyDescent="0.25">
      <c r="A12599" s="1033"/>
      <c r="E12599" s="130"/>
    </row>
    <row r="12600" spans="1:5" x14ac:dyDescent="0.25">
      <c r="A12600" s="1033"/>
      <c r="E12600" s="130"/>
    </row>
    <row r="12601" spans="1:5" x14ac:dyDescent="0.25">
      <c r="A12601" s="1033"/>
      <c r="E12601" s="130"/>
    </row>
    <row r="12602" spans="1:5" x14ac:dyDescent="0.25">
      <c r="A12602" s="1033"/>
      <c r="E12602" s="130"/>
    </row>
    <row r="12603" spans="1:5" x14ac:dyDescent="0.25">
      <c r="A12603" s="1033"/>
      <c r="E12603" s="130"/>
    </row>
    <row r="12604" spans="1:5" x14ac:dyDescent="0.25">
      <c r="A12604" s="1033"/>
      <c r="E12604" s="130"/>
    </row>
    <row r="12605" spans="1:5" x14ac:dyDescent="0.25">
      <c r="A12605" s="1033"/>
      <c r="E12605" s="130"/>
    </row>
    <row r="12606" spans="1:5" x14ac:dyDescent="0.25">
      <c r="A12606" s="1033"/>
      <c r="E12606" s="130"/>
    </row>
    <row r="12607" spans="1:5" x14ac:dyDescent="0.25">
      <c r="A12607" s="1033"/>
      <c r="E12607" s="130"/>
    </row>
    <row r="12608" spans="1:5" x14ac:dyDescent="0.25">
      <c r="A12608" s="1033"/>
      <c r="E12608" s="130"/>
    </row>
    <row r="12609" spans="1:5" x14ac:dyDescent="0.25">
      <c r="A12609" s="1033"/>
      <c r="E12609" s="130"/>
    </row>
    <row r="12610" spans="1:5" x14ac:dyDescent="0.25">
      <c r="A12610" s="1033"/>
      <c r="E12610" s="130"/>
    </row>
    <row r="12611" spans="1:5" x14ac:dyDescent="0.25">
      <c r="A12611" s="1033"/>
      <c r="E12611" s="130"/>
    </row>
    <row r="12612" spans="1:5" x14ac:dyDescent="0.25">
      <c r="A12612" s="1033"/>
      <c r="E12612" s="130"/>
    </row>
    <row r="12613" spans="1:5" x14ac:dyDescent="0.25">
      <c r="A12613" s="1033"/>
      <c r="E12613" s="130"/>
    </row>
    <row r="12614" spans="1:5" x14ac:dyDescent="0.25">
      <c r="A12614" s="1033"/>
      <c r="E12614" s="130"/>
    </row>
    <row r="12615" spans="1:5" x14ac:dyDescent="0.25">
      <c r="A12615" s="1033"/>
      <c r="E12615" s="130"/>
    </row>
    <row r="12616" spans="1:5" x14ac:dyDescent="0.25">
      <c r="A12616" s="1033"/>
      <c r="E12616" s="130"/>
    </row>
    <row r="12617" spans="1:5" x14ac:dyDescent="0.25">
      <c r="A12617" s="1033"/>
      <c r="E12617" s="130"/>
    </row>
    <row r="12618" spans="1:5" x14ac:dyDescent="0.25">
      <c r="A12618" s="1033"/>
      <c r="E12618" s="130"/>
    </row>
    <row r="12619" spans="1:5" x14ac:dyDescent="0.25">
      <c r="A12619" s="1033"/>
      <c r="E12619" s="130"/>
    </row>
    <row r="12620" spans="1:5" x14ac:dyDescent="0.25">
      <c r="A12620" s="1033"/>
      <c r="E12620" s="130"/>
    </row>
    <row r="12621" spans="1:5" x14ac:dyDescent="0.25">
      <c r="A12621" s="1033"/>
      <c r="E12621" s="130"/>
    </row>
    <row r="12622" spans="1:5" x14ac:dyDescent="0.25">
      <c r="A12622" s="1033"/>
      <c r="E12622" s="130"/>
    </row>
    <row r="12623" spans="1:5" x14ac:dyDescent="0.25">
      <c r="A12623" s="1033"/>
      <c r="E12623" s="130"/>
    </row>
    <row r="12624" spans="1:5" x14ac:dyDescent="0.25">
      <c r="A12624" s="1033"/>
      <c r="E12624" s="130"/>
    </row>
    <row r="12625" spans="1:5" x14ac:dyDescent="0.25">
      <c r="A12625" s="1033"/>
      <c r="E12625" s="130"/>
    </row>
    <row r="12626" spans="1:5" x14ac:dyDescent="0.25">
      <c r="A12626" s="1033"/>
      <c r="E12626" s="130"/>
    </row>
    <row r="12627" spans="1:5" x14ac:dyDescent="0.25">
      <c r="A12627" s="1033"/>
      <c r="E12627" s="130"/>
    </row>
    <row r="12628" spans="1:5" x14ac:dyDescent="0.25">
      <c r="A12628" s="1033"/>
      <c r="E12628" s="130"/>
    </row>
    <row r="12629" spans="1:5" x14ac:dyDescent="0.25">
      <c r="A12629" s="1033"/>
      <c r="E12629" s="130"/>
    </row>
    <row r="12630" spans="1:5" x14ac:dyDescent="0.25">
      <c r="A12630" s="1033"/>
      <c r="E12630" s="130"/>
    </row>
    <row r="12631" spans="1:5" x14ac:dyDescent="0.25">
      <c r="A12631" s="1033"/>
      <c r="E12631" s="130"/>
    </row>
    <row r="12632" spans="1:5" x14ac:dyDescent="0.25">
      <c r="A12632" s="1033"/>
      <c r="E12632" s="130"/>
    </row>
    <row r="12633" spans="1:5" x14ac:dyDescent="0.25">
      <c r="A12633" s="1033"/>
      <c r="E12633" s="130"/>
    </row>
    <row r="12634" spans="1:5" x14ac:dyDescent="0.25">
      <c r="A12634" s="1033"/>
      <c r="E12634" s="130"/>
    </row>
    <row r="12635" spans="1:5" x14ac:dyDescent="0.25">
      <c r="A12635" s="1033"/>
      <c r="E12635" s="130"/>
    </row>
    <row r="12636" spans="1:5" x14ac:dyDescent="0.25">
      <c r="A12636" s="1033"/>
      <c r="E12636" s="130"/>
    </row>
    <row r="12637" spans="1:5" x14ac:dyDescent="0.25">
      <c r="A12637" s="1033"/>
      <c r="E12637" s="130"/>
    </row>
    <row r="12638" spans="1:5" x14ac:dyDescent="0.25">
      <c r="A12638" s="1033"/>
      <c r="E12638" s="130"/>
    </row>
    <row r="12639" spans="1:5" x14ac:dyDescent="0.25">
      <c r="A12639" s="1033"/>
      <c r="E12639" s="130"/>
    </row>
    <row r="12640" spans="1:5" x14ac:dyDescent="0.25">
      <c r="A12640" s="1033"/>
      <c r="E12640" s="130"/>
    </row>
    <row r="12641" spans="1:5" x14ac:dyDescent="0.25">
      <c r="A12641" s="1033"/>
      <c r="E12641" s="130"/>
    </row>
    <row r="12642" spans="1:5" x14ac:dyDescent="0.25">
      <c r="A12642" s="1033"/>
      <c r="E12642" s="130"/>
    </row>
    <row r="12643" spans="1:5" x14ac:dyDescent="0.25">
      <c r="A12643" s="1033"/>
      <c r="E12643" s="130"/>
    </row>
    <row r="12644" spans="1:5" x14ac:dyDescent="0.25">
      <c r="A12644" s="1033"/>
      <c r="E12644" s="130"/>
    </row>
    <row r="12645" spans="1:5" x14ac:dyDescent="0.25">
      <c r="A12645" s="1033"/>
      <c r="E12645" s="130"/>
    </row>
    <row r="12646" spans="1:5" x14ac:dyDescent="0.25">
      <c r="A12646" s="1033"/>
      <c r="E12646" s="130"/>
    </row>
    <row r="12647" spans="1:5" x14ac:dyDescent="0.25">
      <c r="A12647" s="1033"/>
      <c r="E12647" s="130"/>
    </row>
    <row r="12648" spans="1:5" x14ac:dyDescent="0.25">
      <c r="A12648" s="1033"/>
      <c r="E12648" s="130"/>
    </row>
    <row r="12649" spans="1:5" x14ac:dyDescent="0.25">
      <c r="A12649" s="1033"/>
      <c r="E12649" s="130"/>
    </row>
    <row r="12650" spans="1:5" x14ac:dyDescent="0.25">
      <c r="A12650" s="1033"/>
      <c r="E12650" s="130"/>
    </row>
    <row r="12651" spans="1:5" x14ac:dyDescent="0.25">
      <c r="A12651" s="1033"/>
      <c r="E12651" s="130"/>
    </row>
    <row r="12652" spans="1:5" x14ac:dyDescent="0.25">
      <c r="A12652" s="1033"/>
      <c r="E12652" s="130"/>
    </row>
    <row r="12653" spans="1:5" x14ac:dyDescent="0.25">
      <c r="A12653" s="1033"/>
      <c r="E12653" s="130"/>
    </row>
    <row r="12654" spans="1:5" x14ac:dyDescent="0.25">
      <c r="A12654" s="1033"/>
      <c r="E12654" s="130"/>
    </row>
    <row r="12655" spans="1:5" x14ac:dyDescent="0.25">
      <c r="A12655" s="1033"/>
      <c r="E12655" s="130"/>
    </row>
    <row r="12656" spans="1:5" x14ac:dyDescent="0.25">
      <c r="A12656" s="1033"/>
      <c r="E12656" s="130"/>
    </row>
    <row r="12657" spans="1:5" x14ac:dyDescent="0.25">
      <c r="A12657" s="1033"/>
      <c r="E12657" s="130"/>
    </row>
    <row r="12658" spans="1:5" x14ac:dyDescent="0.25">
      <c r="A12658" s="1033"/>
      <c r="E12658" s="130"/>
    </row>
    <row r="12659" spans="1:5" x14ac:dyDescent="0.25">
      <c r="A12659" s="1033"/>
      <c r="E12659" s="130"/>
    </row>
    <row r="12660" spans="1:5" x14ac:dyDescent="0.25">
      <c r="A12660" s="1033"/>
      <c r="E12660" s="130"/>
    </row>
    <row r="12661" spans="1:5" x14ac:dyDescent="0.25">
      <c r="A12661" s="1033"/>
      <c r="E12661" s="130"/>
    </row>
    <row r="12662" spans="1:5" x14ac:dyDescent="0.25">
      <c r="A12662" s="1033"/>
      <c r="E12662" s="130"/>
    </row>
    <row r="12663" spans="1:5" x14ac:dyDescent="0.25">
      <c r="A12663" s="1033"/>
      <c r="E12663" s="130"/>
    </row>
    <row r="12664" spans="1:5" x14ac:dyDescent="0.25">
      <c r="A12664" s="1033"/>
      <c r="E12664" s="130"/>
    </row>
    <row r="12665" spans="1:5" x14ac:dyDescent="0.25">
      <c r="A12665" s="1033"/>
      <c r="E12665" s="130"/>
    </row>
    <row r="12666" spans="1:5" x14ac:dyDescent="0.25">
      <c r="A12666" s="1033"/>
      <c r="E12666" s="130"/>
    </row>
    <row r="12667" spans="1:5" x14ac:dyDescent="0.25">
      <c r="A12667" s="1033"/>
      <c r="E12667" s="130"/>
    </row>
    <row r="12668" spans="1:5" x14ac:dyDescent="0.25">
      <c r="A12668" s="1033"/>
      <c r="E12668" s="130"/>
    </row>
    <row r="12669" spans="1:5" x14ac:dyDescent="0.25">
      <c r="A12669" s="1033"/>
      <c r="E12669" s="130"/>
    </row>
    <row r="12670" spans="1:5" x14ac:dyDescent="0.25">
      <c r="A12670" s="1033"/>
      <c r="E12670" s="130"/>
    </row>
    <row r="12671" spans="1:5" x14ac:dyDescent="0.25">
      <c r="A12671" s="1033"/>
      <c r="E12671" s="130"/>
    </row>
    <row r="12672" spans="1:5" x14ac:dyDescent="0.25">
      <c r="A12672" s="1033"/>
      <c r="E12672" s="130"/>
    </row>
    <row r="12673" spans="1:5" x14ac:dyDescent="0.25">
      <c r="A12673" s="1033"/>
      <c r="E12673" s="130"/>
    </row>
    <row r="12674" spans="1:5" x14ac:dyDescent="0.25">
      <c r="A12674" s="1033"/>
      <c r="E12674" s="130"/>
    </row>
    <row r="12675" spans="1:5" x14ac:dyDescent="0.25">
      <c r="A12675" s="1033"/>
      <c r="E12675" s="130"/>
    </row>
    <row r="12676" spans="1:5" x14ac:dyDescent="0.25">
      <c r="A12676" s="1033"/>
      <c r="E12676" s="130"/>
    </row>
    <row r="12677" spans="1:5" x14ac:dyDescent="0.25">
      <c r="A12677" s="1033"/>
      <c r="E12677" s="130"/>
    </row>
    <row r="12678" spans="1:5" x14ac:dyDescent="0.25">
      <c r="A12678" s="1033"/>
      <c r="E12678" s="130"/>
    </row>
    <row r="12679" spans="1:5" x14ac:dyDescent="0.25">
      <c r="A12679" s="1033"/>
      <c r="E12679" s="130"/>
    </row>
    <row r="12680" spans="1:5" x14ac:dyDescent="0.25">
      <c r="A12680" s="1033"/>
      <c r="E12680" s="130"/>
    </row>
    <row r="12681" spans="1:5" x14ac:dyDescent="0.25">
      <c r="A12681" s="1033"/>
      <c r="E12681" s="130"/>
    </row>
    <row r="12682" spans="1:5" x14ac:dyDescent="0.25">
      <c r="A12682" s="1033"/>
      <c r="E12682" s="130"/>
    </row>
    <row r="12683" spans="1:5" x14ac:dyDescent="0.25">
      <c r="A12683" s="1033"/>
      <c r="E12683" s="130"/>
    </row>
    <row r="12684" spans="1:5" x14ac:dyDescent="0.25">
      <c r="A12684" s="1033"/>
      <c r="E12684" s="130"/>
    </row>
    <row r="12685" spans="1:5" x14ac:dyDescent="0.25">
      <c r="A12685" s="1033"/>
      <c r="E12685" s="130"/>
    </row>
    <row r="12686" spans="1:5" x14ac:dyDescent="0.25">
      <c r="A12686" s="1033"/>
      <c r="E12686" s="130"/>
    </row>
    <row r="12687" spans="1:5" x14ac:dyDescent="0.25">
      <c r="A12687" s="1033"/>
      <c r="E12687" s="130"/>
    </row>
    <row r="12688" spans="1:5" x14ac:dyDescent="0.25">
      <c r="A12688" s="1033"/>
      <c r="E12688" s="130"/>
    </row>
    <row r="12689" spans="1:5" x14ac:dyDescent="0.25">
      <c r="A12689" s="1033"/>
      <c r="E12689" s="130"/>
    </row>
    <row r="12690" spans="1:5" x14ac:dyDescent="0.25">
      <c r="A12690" s="1033"/>
      <c r="E12690" s="130"/>
    </row>
    <row r="12691" spans="1:5" x14ac:dyDescent="0.25">
      <c r="A12691" s="1033"/>
      <c r="E12691" s="130"/>
    </row>
    <row r="12692" spans="1:5" x14ac:dyDescent="0.25">
      <c r="A12692" s="1033"/>
      <c r="E12692" s="130"/>
    </row>
    <row r="12693" spans="1:5" x14ac:dyDescent="0.25">
      <c r="A12693" s="1033"/>
      <c r="E12693" s="130"/>
    </row>
    <row r="12694" spans="1:5" x14ac:dyDescent="0.25">
      <c r="A12694" s="1033"/>
      <c r="E12694" s="130"/>
    </row>
    <row r="12695" spans="1:5" x14ac:dyDescent="0.25">
      <c r="A12695" s="1033"/>
      <c r="E12695" s="130"/>
    </row>
    <row r="12696" spans="1:5" x14ac:dyDescent="0.25">
      <c r="A12696" s="1033"/>
      <c r="E12696" s="130"/>
    </row>
    <row r="12697" spans="1:5" x14ac:dyDescent="0.25">
      <c r="A12697" s="1033"/>
      <c r="E12697" s="130"/>
    </row>
    <row r="12698" spans="1:5" x14ac:dyDescent="0.25">
      <c r="A12698" s="1033"/>
      <c r="E12698" s="130"/>
    </row>
    <row r="12699" spans="1:5" x14ac:dyDescent="0.25">
      <c r="A12699" s="1033"/>
      <c r="E12699" s="130"/>
    </row>
    <row r="12700" spans="1:5" x14ac:dyDescent="0.25">
      <c r="A12700" s="1033"/>
      <c r="E12700" s="130"/>
    </row>
    <row r="12701" spans="1:5" x14ac:dyDescent="0.25">
      <c r="A12701" s="1033"/>
      <c r="E12701" s="130"/>
    </row>
    <row r="12702" spans="1:5" x14ac:dyDescent="0.25">
      <c r="A12702" s="1033"/>
      <c r="E12702" s="130"/>
    </row>
    <row r="12703" spans="1:5" x14ac:dyDescent="0.25">
      <c r="A12703" s="1033"/>
      <c r="E12703" s="130"/>
    </row>
    <row r="12704" spans="1:5" x14ac:dyDescent="0.25">
      <c r="A12704" s="1033"/>
      <c r="E12704" s="130"/>
    </row>
    <row r="12705" spans="1:5" x14ac:dyDescent="0.25">
      <c r="A12705" s="1033"/>
      <c r="E12705" s="130"/>
    </row>
    <row r="12706" spans="1:5" x14ac:dyDescent="0.25">
      <c r="A12706" s="1033"/>
      <c r="E12706" s="130"/>
    </row>
    <row r="12707" spans="1:5" x14ac:dyDescent="0.25">
      <c r="A12707" s="1033"/>
      <c r="E12707" s="130"/>
    </row>
    <row r="12708" spans="1:5" x14ac:dyDescent="0.25">
      <c r="A12708" s="1033"/>
      <c r="E12708" s="130"/>
    </row>
    <row r="12709" spans="1:5" x14ac:dyDescent="0.25">
      <c r="A12709" s="1033"/>
      <c r="E12709" s="130"/>
    </row>
    <row r="12710" spans="1:5" x14ac:dyDescent="0.25">
      <c r="A12710" s="1033"/>
      <c r="E12710" s="130"/>
    </row>
    <row r="12711" spans="1:5" x14ac:dyDescent="0.25">
      <c r="A12711" s="1033"/>
      <c r="E12711" s="130"/>
    </row>
    <row r="12712" spans="1:5" x14ac:dyDescent="0.25">
      <c r="A12712" s="1033"/>
      <c r="E12712" s="130"/>
    </row>
    <row r="12713" spans="1:5" x14ac:dyDescent="0.25">
      <c r="A12713" s="1033"/>
      <c r="E12713" s="130"/>
    </row>
    <row r="12714" spans="1:5" x14ac:dyDescent="0.25">
      <c r="A12714" s="1033"/>
      <c r="E12714" s="130"/>
    </row>
    <row r="12715" spans="1:5" x14ac:dyDescent="0.25">
      <c r="A12715" s="1033"/>
      <c r="E12715" s="130"/>
    </row>
    <row r="12716" spans="1:5" x14ac:dyDescent="0.25">
      <c r="A12716" s="1033"/>
      <c r="E12716" s="130"/>
    </row>
    <row r="12717" spans="1:5" x14ac:dyDescent="0.25">
      <c r="A12717" s="1033"/>
      <c r="E12717" s="130"/>
    </row>
    <row r="12718" spans="1:5" x14ac:dyDescent="0.25">
      <c r="A12718" s="1033"/>
      <c r="E12718" s="130"/>
    </row>
    <row r="12719" spans="1:5" x14ac:dyDescent="0.25">
      <c r="A12719" s="1033"/>
      <c r="E12719" s="130"/>
    </row>
    <row r="12720" spans="1:5" x14ac:dyDescent="0.25">
      <c r="A12720" s="1033"/>
      <c r="E12720" s="130"/>
    </row>
    <row r="12721" spans="1:5" x14ac:dyDescent="0.25">
      <c r="A12721" s="1033"/>
      <c r="E12721" s="130"/>
    </row>
    <row r="12722" spans="1:5" x14ac:dyDescent="0.25">
      <c r="A12722" s="1033"/>
      <c r="E12722" s="130"/>
    </row>
    <row r="12723" spans="1:5" x14ac:dyDescent="0.25">
      <c r="A12723" s="1033"/>
      <c r="E12723" s="130"/>
    </row>
    <row r="12724" spans="1:5" x14ac:dyDescent="0.25">
      <c r="A12724" s="1033"/>
      <c r="E12724" s="130"/>
    </row>
    <row r="12725" spans="1:5" x14ac:dyDescent="0.25">
      <c r="A12725" s="1033"/>
      <c r="E12725" s="130"/>
    </row>
    <row r="12726" spans="1:5" x14ac:dyDescent="0.25">
      <c r="A12726" s="1033"/>
      <c r="E12726" s="130"/>
    </row>
    <row r="12727" spans="1:5" x14ac:dyDescent="0.25">
      <c r="A12727" s="1033"/>
      <c r="E12727" s="130"/>
    </row>
    <row r="12728" spans="1:5" x14ac:dyDescent="0.25">
      <c r="A12728" s="1033"/>
      <c r="E12728" s="130"/>
    </row>
    <row r="12729" spans="1:5" x14ac:dyDescent="0.25">
      <c r="A12729" s="1033"/>
      <c r="E12729" s="130"/>
    </row>
    <row r="12730" spans="1:5" x14ac:dyDescent="0.25">
      <c r="A12730" s="1033"/>
      <c r="E12730" s="130"/>
    </row>
    <row r="12731" spans="1:5" x14ac:dyDescent="0.25">
      <c r="A12731" s="1033"/>
      <c r="E12731" s="130"/>
    </row>
    <row r="12732" spans="1:5" x14ac:dyDescent="0.25">
      <c r="A12732" s="1033"/>
      <c r="E12732" s="130"/>
    </row>
    <row r="12733" spans="1:5" x14ac:dyDescent="0.25">
      <c r="A12733" s="1033"/>
      <c r="E12733" s="130"/>
    </row>
    <row r="12734" spans="1:5" x14ac:dyDescent="0.25">
      <c r="A12734" s="1033"/>
      <c r="E12734" s="130"/>
    </row>
    <row r="12735" spans="1:5" x14ac:dyDescent="0.25">
      <c r="A12735" s="1033"/>
      <c r="E12735" s="130"/>
    </row>
    <row r="12736" spans="1:5" x14ac:dyDescent="0.25">
      <c r="A12736" s="1033"/>
      <c r="E12736" s="130"/>
    </row>
    <row r="12737" spans="1:5" x14ac:dyDescent="0.25">
      <c r="A12737" s="1033"/>
      <c r="E12737" s="130"/>
    </row>
    <row r="12738" spans="1:5" x14ac:dyDescent="0.25">
      <c r="A12738" s="1033"/>
      <c r="E12738" s="130"/>
    </row>
    <row r="12739" spans="1:5" x14ac:dyDescent="0.25">
      <c r="A12739" s="1033"/>
      <c r="E12739" s="130"/>
    </row>
    <row r="12740" spans="1:5" x14ac:dyDescent="0.25">
      <c r="A12740" s="1033"/>
      <c r="E12740" s="130"/>
    </row>
    <row r="12741" spans="1:5" x14ac:dyDescent="0.25">
      <c r="A12741" s="1033"/>
      <c r="E12741" s="130"/>
    </row>
    <row r="12742" spans="1:5" x14ac:dyDescent="0.25">
      <c r="A12742" s="1033"/>
      <c r="E12742" s="130"/>
    </row>
    <row r="12743" spans="1:5" x14ac:dyDescent="0.25">
      <c r="A12743" s="1033"/>
      <c r="E12743" s="130"/>
    </row>
    <row r="12744" spans="1:5" x14ac:dyDescent="0.25">
      <c r="A12744" s="1033"/>
      <c r="E12744" s="130"/>
    </row>
    <row r="12745" spans="1:5" x14ac:dyDescent="0.25">
      <c r="A12745" s="1033"/>
      <c r="E12745" s="130"/>
    </row>
    <row r="12746" spans="1:5" x14ac:dyDescent="0.25">
      <c r="A12746" s="1033"/>
      <c r="E12746" s="130"/>
    </row>
    <row r="12747" spans="1:5" x14ac:dyDescent="0.25">
      <c r="A12747" s="1033"/>
      <c r="E12747" s="130"/>
    </row>
    <row r="12748" spans="1:5" x14ac:dyDescent="0.25">
      <c r="A12748" s="1033"/>
      <c r="E12748" s="130"/>
    </row>
    <row r="12749" spans="1:5" x14ac:dyDescent="0.25">
      <c r="A12749" s="1033"/>
      <c r="E12749" s="130"/>
    </row>
    <row r="12750" spans="1:5" x14ac:dyDescent="0.25">
      <c r="A12750" s="1033"/>
      <c r="E12750" s="130"/>
    </row>
    <row r="12751" spans="1:5" x14ac:dyDescent="0.25">
      <c r="A12751" s="1033"/>
      <c r="E12751" s="130"/>
    </row>
    <row r="12752" spans="1:5" x14ac:dyDescent="0.25">
      <c r="A12752" s="1033"/>
      <c r="E12752" s="130"/>
    </row>
    <row r="12753" spans="1:5" x14ac:dyDescent="0.25">
      <c r="A12753" s="1033"/>
      <c r="E12753" s="130"/>
    </row>
    <row r="12754" spans="1:5" x14ac:dyDescent="0.25">
      <c r="A12754" s="1033"/>
      <c r="E12754" s="130"/>
    </row>
    <row r="12755" spans="1:5" x14ac:dyDescent="0.25">
      <c r="A12755" s="1033"/>
      <c r="E12755" s="130"/>
    </row>
    <row r="12756" spans="1:5" x14ac:dyDescent="0.25">
      <c r="A12756" s="1033"/>
      <c r="E12756" s="130"/>
    </row>
    <row r="12757" spans="1:5" x14ac:dyDescent="0.25">
      <c r="A12757" s="1033"/>
      <c r="E12757" s="130"/>
    </row>
    <row r="12758" spans="1:5" x14ac:dyDescent="0.25">
      <c r="A12758" s="1033"/>
      <c r="E12758" s="130"/>
    </row>
    <row r="12759" spans="1:5" x14ac:dyDescent="0.25">
      <c r="A12759" s="1033"/>
      <c r="E12759" s="130"/>
    </row>
    <row r="12760" spans="1:5" x14ac:dyDescent="0.25">
      <c r="A12760" s="1033"/>
      <c r="E12760" s="130"/>
    </row>
    <row r="12761" spans="1:5" x14ac:dyDescent="0.25">
      <c r="A12761" s="1033"/>
      <c r="E12761" s="130"/>
    </row>
    <row r="12762" spans="1:5" x14ac:dyDescent="0.25">
      <c r="A12762" s="1033"/>
      <c r="E12762" s="130"/>
    </row>
    <row r="12763" spans="1:5" x14ac:dyDescent="0.25">
      <c r="A12763" s="1033"/>
      <c r="E12763" s="130"/>
    </row>
    <row r="12764" spans="1:5" x14ac:dyDescent="0.25">
      <c r="A12764" s="1033"/>
      <c r="E12764" s="130"/>
    </row>
    <row r="12765" spans="1:5" x14ac:dyDescent="0.25">
      <c r="A12765" s="1033"/>
      <c r="E12765" s="130"/>
    </row>
    <row r="12766" spans="1:5" x14ac:dyDescent="0.25">
      <c r="A12766" s="1033"/>
      <c r="E12766" s="130"/>
    </row>
    <row r="12767" spans="1:5" x14ac:dyDescent="0.25">
      <c r="A12767" s="1033"/>
      <c r="E12767" s="130"/>
    </row>
    <row r="12768" spans="1:5" x14ac:dyDescent="0.25">
      <c r="A12768" s="1033"/>
      <c r="E12768" s="130"/>
    </row>
    <row r="12769" spans="1:5" x14ac:dyDescent="0.25">
      <c r="A12769" s="1033"/>
      <c r="E12769" s="130"/>
    </row>
    <row r="12770" spans="1:5" x14ac:dyDescent="0.25">
      <c r="A12770" s="1033"/>
      <c r="E12770" s="130"/>
    </row>
    <row r="12771" spans="1:5" x14ac:dyDescent="0.25">
      <c r="A12771" s="1033"/>
      <c r="E12771" s="130"/>
    </row>
    <row r="12772" spans="1:5" x14ac:dyDescent="0.25">
      <c r="A12772" s="1033"/>
      <c r="E12772" s="130"/>
    </row>
    <row r="12773" spans="1:5" x14ac:dyDescent="0.25">
      <c r="A12773" s="1033"/>
      <c r="E12773" s="130"/>
    </row>
    <row r="12774" spans="1:5" x14ac:dyDescent="0.25">
      <c r="A12774" s="1033"/>
      <c r="E12774" s="130"/>
    </row>
    <row r="12775" spans="1:5" x14ac:dyDescent="0.25">
      <c r="A12775" s="1033"/>
      <c r="E12775" s="130"/>
    </row>
    <row r="12776" spans="1:5" x14ac:dyDescent="0.25">
      <c r="A12776" s="1033"/>
      <c r="E12776" s="130"/>
    </row>
    <row r="12777" spans="1:5" x14ac:dyDescent="0.25">
      <c r="A12777" s="1033"/>
      <c r="E12777" s="130"/>
    </row>
    <row r="12778" spans="1:5" x14ac:dyDescent="0.25">
      <c r="A12778" s="1033"/>
      <c r="E12778" s="130"/>
    </row>
    <row r="12779" spans="1:5" x14ac:dyDescent="0.25">
      <c r="A12779" s="1033"/>
      <c r="E12779" s="130"/>
    </row>
    <row r="12780" spans="1:5" x14ac:dyDescent="0.25">
      <c r="A12780" s="1033"/>
      <c r="E12780" s="130"/>
    </row>
    <row r="12781" spans="1:5" x14ac:dyDescent="0.25">
      <c r="A12781" s="1033"/>
      <c r="E12781" s="130"/>
    </row>
    <row r="12782" spans="1:5" x14ac:dyDescent="0.25">
      <c r="A12782" s="1033"/>
      <c r="E12782" s="130"/>
    </row>
    <row r="12783" spans="1:5" x14ac:dyDescent="0.25">
      <c r="A12783" s="1033"/>
      <c r="E12783" s="130"/>
    </row>
    <row r="12784" spans="1:5" x14ac:dyDescent="0.25">
      <c r="A12784" s="1033"/>
      <c r="E12784" s="130"/>
    </row>
    <row r="12785" spans="1:5" x14ac:dyDescent="0.25">
      <c r="A12785" s="1033"/>
      <c r="E12785" s="130"/>
    </row>
    <row r="12786" spans="1:5" x14ac:dyDescent="0.25">
      <c r="A12786" s="1033"/>
      <c r="E12786" s="130"/>
    </row>
    <row r="12787" spans="1:5" x14ac:dyDescent="0.25">
      <c r="A12787" s="1033"/>
      <c r="E12787" s="130"/>
    </row>
    <row r="12788" spans="1:5" x14ac:dyDescent="0.25">
      <c r="A12788" s="1033"/>
      <c r="E12788" s="130"/>
    </row>
    <row r="12789" spans="1:5" x14ac:dyDescent="0.25">
      <c r="A12789" s="1033"/>
      <c r="E12789" s="130"/>
    </row>
    <row r="12790" spans="1:5" x14ac:dyDescent="0.25">
      <c r="A12790" s="1033"/>
      <c r="E12790" s="130"/>
    </row>
    <row r="12791" spans="1:5" x14ac:dyDescent="0.25">
      <c r="A12791" s="1033"/>
      <c r="E12791" s="130"/>
    </row>
    <row r="12792" spans="1:5" x14ac:dyDescent="0.25">
      <c r="A12792" s="1033"/>
      <c r="E12792" s="130"/>
    </row>
    <row r="12793" spans="1:5" x14ac:dyDescent="0.25">
      <c r="A12793" s="1033"/>
      <c r="E12793" s="130"/>
    </row>
    <row r="12794" spans="1:5" x14ac:dyDescent="0.25">
      <c r="A12794" s="1033"/>
      <c r="E12794" s="130"/>
    </row>
    <row r="12795" spans="1:5" x14ac:dyDescent="0.25">
      <c r="A12795" s="1033"/>
      <c r="E12795" s="130"/>
    </row>
    <row r="12796" spans="1:5" x14ac:dyDescent="0.25">
      <c r="A12796" s="1033"/>
      <c r="E12796" s="130"/>
    </row>
    <row r="12797" spans="1:5" x14ac:dyDescent="0.25">
      <c r="A12797" s="1033"/>
      <c r="E12797" s="130"/>
    </row>
    <row r="12798" spans="1:5" x14ac:dyDescent="0.25">
      <c r="A12798" s="1033"/>
      <c r="E12798" s="130"/>
    </row>
    <row r="12799" spans="1:5" x14ac:dyDescent="0.25">
      <c r="A12799" s="1033"/>
      <c r="E12799" s="130"/>
    </row>
    <row r="12800" spans="1:5" x14ac:dyDescent="0.25">
      <c r="A12800" s="1033"/>
      <c r="E12800" s="130"/>
    </row>
    <row r="12801" spans="1:5" x14ac:dyDescent="0.25">
      <c r="A12801" s="1033"/>
      <c r="E12801" s="130"/>
    </row>
    <row r="12802" spans="1:5" x14ac:dyDescent="0.25">
      <c r="A12802" s="1033"/>
      <c r="E12802" s="130"/>
    </row>
    <row r="12803" spans="1:5" x14ac:dyDescent="0.25">
      <c r="A12803" s="1033"/>
      <c r="E12803" s="130"/>
    </row>
    <row r="12804" spans="1:5" x14ac:dyDescent="0.25">
      <c r="A12804" s="1033"/>
      <c r="E12804" s="130"/>
    </row>
    <row r="12805" spans="1:5" x14ac:dyDescent="0.25">
      <c r="A12805" s="1033"/>
      <c r="E12805" s="130"/>
    </row>
    <row r="12806" spans="1:5" x14ac:dyDescent="0.25">
      <c r="A12806" s="1033"/>
      <c r="E12806" s="130"/>
    </row>
    <row r="12807" spans="1:5" x14ac:dyDescent="0.25">
      <c r="A12807" s="1033"/>
      <c r="E12807" s="130"/>
    </row>
    <row r="12808" spans="1:5" x14ac:dyDescent="0.25">
      <c r="A12808" s="1033"/>
      <c r="E12808" s="130"/>
    </row>
    <row r="12809" spans="1:5" x14ac:dyDescent="0.25">
      <c r="A12809" s="1033"/>
      <c r="E12809" s="130"/>
    </row>
    <row r="12810" spans="1:5" x14ac:dyDescent="0.25">
      <c r="A12810" s="1033"/>
      <c r="E12810" s="130"/>
    </row>
    <row r="12811" spans="1:5" x14ac:dyDescent="0.25">
      <c r="A12811" s="1033"/>
      <c r="E12811" s="130"/>
    </row>
    <row r="12812" spans="1:5" x14ac:dyDescent="0.25">
      <c r="A12812" s="1033"/>
      <c r="E12812" s="130"/>
    </row>
    <row r="12813" spans="1:5" x14ac:dyDescent="0.25">
      <c r="A12813" s="1033"/>
      <c r="E12813" s="130"/>
    </row>
    <row r="12814" spans="1:5" x14ac:dyDescent="0.25">
      <c r="A12814" s="1033"/>
      <c r="E12814" s="130"/>
    </row>
    <row r="12815" spans="1:5" x14ac:dyDescent="0.25">
      <c r="A12815" s="1033"/>
      <c r="E12815" s="130"/>
    </row>
    <row r="12816" spans="1:5" x14ac:dyDescent="0.25">
      <c r="A12816" s="1033"/>
      <c r="E12816" s="130"/>
    </row>
    <row r="12817" spans="1:5" x14ac:dyDescent="0.25">
      <c r="A12817" s="1033"/>
      <c r="E12817" s="130"/>
    </row>
    <row r="12818" spans="1:5" x14ac:dyDescent="0.25">
      <c r="A12818" s="1033"/>
      <c r="E12818" s="130"/>
    </row>
    <row r="12819" spans="1:5" x14ac:dyDescent="0.25">
      <c r="A12819" s="1033"/>
      <c r="E12819" s="130"/>
    </row>
    <row r="12820" spans="1:5" x14ac:dyDescent="0.25">
      <c r="A12820" s="1033"/>
      <c r="E12820" s="130"/>
    </row>
    <row r="12821" spans="1:5" x14ac:dyDescent="0.25">
      <c r="A12821" s="1033"/>
      <c r="E12821" s="130"/>
    </row>
    <row r="12822" spans="1:5" x14ac:dyDescent="0.25">
      <c r="A12822" s="1033"/>
      <c r="E12822" s="130"/>
    </row>
    <row r="12823" spans="1:5" x14ac:dyDescent="0.25">
      <c r="A12823" s="1033"/>
      <c r="E12823" s="130"/>
    </row>
    <row r="12824" spans="1:5" x14ac:dyDescent="0.25">
      <c r="A12824" s="1033"/>
      <c r="E12824" s="130"/>
    </row>
    <row r="12825" spans="1:5" x14ac:dyDescent="0.25">
      <c r="A12825" s="1033"/>
      <c r="E12825" s="130"/>
    </row>
    <row r="12826" spans="1:5" x14ac:dyDescent="0.25">
      <c r="A12826" s="1033"/>
      <c r="E12826" s="130"/>
    </row>
    <row r="12827" spans="1:5" x14ac:dyDescent="0.25">
      <c r="A12827" s="1033"/>
      <c r="E12827" s="130"/>
    </row>
    <row r="12828" spans="1:5" x14ac:dyDescent="0.25">
      <c r="A12828" s="1033"/>
      <c r="E12828" s="130"/>
    </row>
    <row r="12829" spans="1:5" x14ac:dyDescent="0.25">
      <c r="A12829" s="1033"/>
      <c r="E12829" s="130"/>
    </row>
    <row r="12830" spans="1:5" x14ac:dyDescent="0.25">
      <c r="A12830" s="1033"/>
      <c r="E12830" s="130"/>
    </row>
    <row r="12831" spans="1:5" x14ac:dyDescent="0.25">
      <c r="A12831" s="1033"/>
      <c r="E12831" s="130"/>
    </row>
    <row r="12832" spans="1:5" x14ac:dyDescent="0.25">
      <c r="A12832" s="1033"/>
      <c r="E12832" s="130"/>
    </row>
    <row r="12833" spans="1:5" x14ac:dyDescent="0.25">
      <c r="A12833" s="1033"/>
      <c r="E12833" s="130"/>
    </row>
    <row r="12834" spans="1:5" x14ac:dyDescent="0.25">
      <c r="A12834" s="1033"/>
      <c r="E12834" s="130"/>
    </row>
    <row r="12835" spans="1:5" x14ac:dyDescent="0.25">
      <c r="A12835" s="1033"/>
      <c r="E12835" s="130"/>
    </row>
    <row r="12836" spans="1:5" x14ac:dyDescent="0.25">
      <c r="A12836" s="1033"/>
      <c r="E12836" s="130"/>
    </row>
    <row r="12837" spans="1:5" x14ac:dyDescent="0.25">
      <c r="A12837" s="1033"/>
      <c r="E12837" s="130"/>
    </row>
    <row r="12838" spans="1:5" x14ac:dyDescent="0.25">
      <c r="A12838" s="1033"/>
      <c r="E12838" s="130"/>
    </row>
    <row r="12839" spans="1:5" x14ac:dyDescent="0.25">
      <c r="A12839" s="1033"/>
      <c r="E12839" s="130"/>
    </row>
    <row r="12840" spans="1:5" x14ac:dyDescent="0.25">
      <c r="A12840" s="1033"/>
      <c r="E12840" s="130"/>
    </row>
    <row r="12841" spans="1:5" x14ac:dyDescent="0.25">
      <c r="A12841" s="1033"/>
      <c r="E12841" s="130"/>
    </row>
    <row r="12842" spans="1:5" x14ac:dyDescent="0.25">
      <c r="A12842" s="1033"/>
      <c r="E12842" s="130"/>
    </row>
    <row r="12843" spans="1:5" x14ac:dyDescent="0.25">
      <c r="A12843" s="1033"/>
      <c r="E12843" s="130"/>
    </row>
    <row r="12844" spans="1:5" x14ac:dyDescent="0.25">
      <c r="A12844" s="1033"/>
      <c r="E12844" s="130"/>
    </row>
    <row r="12845" spans="1:5" x14ac:dyDescent="0.25">
      <c r="A12845" s="1033"/>
      <c r="E12845" s="130"/>
    </row>
    <row r="12846" spans="1:5" x14ac:dyDescent="0.25">
      <c r="A12846" s="1033"/>
      <c r="E12846" s="130"/>
    </row>
    <row r="12847" spans="1:5" x14ac:dyDescent="0.25">
      <c r="A12847" s="1033"/>
      <c r="E12847" s="130"/>
    </row>
    <row r="12848" spans="1:5" x14ac:dyDescent="0.25">
      <c r="A12848" s="1033"/>
      <c r="E12848" s="130"/>
    </row>
    <row r="12849" spans="1:5" x14ac:dyDescent="0.25">
      <c r="A12849" s="1033"/>
      <c r="E12849" s="130"/>
    </row>
    <row r="12850" spans="1:5" x14ac:dyDescent="0.25">
      <c r="A12850" s="1033"/>
      <c r="E12850" s="130"/>
    </row>
    <row r="12851" spans="1:5" x14ac:dyDescent="0.25">
      <c r="A12851" s="1033"/>
      <c r="E12851" s="130"/>
    </row>
    <row r="12852" spans="1:5" x14ac:dyDescent="0.25">
      <c r="A12852" s="1033"/>
      <c r="E12852" s="130"/>
    </row>
    <row r="12853" spans="1:5" x14ac:dyDescent="0.25">
      <c r="A12853" s="1033"/>
      <c r="E12853" s="130"/>
    </row>
    <row r="12854" spans="1:5" x14ac:dyDescent="0.25">
      <c r="A12854" s="1033"/>
      <c r="E12854" s="130"/>
    </row>
    <row r="12855" spans="1:5" x14ac:dyDescent="0.25">
      <c r="A12855" s="1033"/>
      <c r="E12855" s="130"/>
    </row>
    <row r="12856" spans="1:5" x14ac:dyDescent="0.25">
      <c r="A12856" s="1033"/>
      <c r="E12856" s="130"/>
    </row>
    <row r="12857" spans="1:5" x14ac:dyDescent="0.25">
      <c r="A12857" s="1033"/>
      <c r="E12857" s="130"/>
    </row>
    <row r="12858" spans="1:5" x14ac:dyDescent="0.25">
      <c r="A12858" s="1033"/>
      <c r="E12858" s="130"/>
    </row>
    <row r="12859" spans="1:5" x14ac:dyDescent="0.25">
      <c r="A12859" s="1033"/>
      <c r="E12859" s="130"/>
    </row>
    <row r="12860" spans="1:5" x14ac:dyDescent="0.25">
      <c r="A12860" s="1033"/>
      <c r="E12860" s="130"/>
    </row>
    <row r="12861" spans="1:5" x14ac:dyDescent="0.25">
      <c r="A12861" s="1033"/>
      <c r="E12861" s="130"/>
    </row>
    <row r="12862" spans="1:5" x14ac:dyDescent="0.25">
      <c r="A12862" s="1033"/>
      <c r="E12862" s="130"/>
    </row>
    <row r="12863" spans="1:5" x14ac:dyDescent="0.25">
      <c r="A12863" s="1033"/>
      <c r="E12863" s="130"/>
    </row>
    <row r="12864" spans="1:5" x14ac:dyDescent="0.25">
      <c r="A12864" s="1033"/>
      <c r="E12864" s="130"/>
    </row>
    <row r="12865" spans="1:5" x14ac:dyDescent="0.25">
      <c r="A12865" s="1033"/>
      <c r="E12865" s="130"/>
    </row>
    <row r="12866" spans="1:5" x14ac:dyDescent="0.25">
      <c r="A12866" s="1033"/>
      <c r="E12866" s="130"/>
    </row>
    <row r="12867" spans="1:5" x14ac:dyDescent="0.25">
      <c r="A12867" s="1033"/>
      <c r="E12867" s="130"/>
    </row>
    <row r="12868" spans="1:5" x14ac:dyDescent="0.25">
      <c r="A12868" s="1033"/>
      <c r="E12868" s="130"/>
    </row>
    <row r="12869" spans="1:5" x14ac:dyDescent="0.25">
      <c r="A12869" s="1033"/>
      <c r="E12869" s="130"/>
    </row>
    <row r="12870" spans="1:5" x14ac:dyDescent="0.25">
      <c r="A12870" s="1033"/>
      <c r="E12870" s="130"/>
    </row>
    <row r="12871" spans="1:5" x14ac:dyDescent="0.25">
      <c r="A12871" s="1033"/>
      <c r="E12871" s="130"/>
    </row>
    <row r="12872" spans="1:5" x14ac:dyDescent="0.25">
      <c r="A12872" s="1033"/>
      <c r="E12872" s="130"/>
    </row>
    <row r="12873" spans="1:5" x14ac:dyDescent="0.25">
      <c r="A12873" s="1033"/>
      <c r="E12873" s="130"/>
    </row>
    <row r="12874" spans="1:5" x14ac:dyDescent="0.25">
      <c r="A12874" s="1033"/>
      <c r="E12874" s="130"/>
    </row>
    <row r="12875" spans="1:5" x14ac:dyDescent="0.25">
      <c r="A12875" s="1033"/>
      <c r="E12875" s="130"/>
    </row>
    <row r="12876" spans="1:5" x14ac:dyDescent="0.25">
      <c r="A12876" s="1033"/>
      <c r="E12876" s="130"/>
    </row>
    <row r="12877" spans="1:5" x14ac:dyDescent="0.25">
      <c r="A12877" s="1033"/>
      <c r="E12877" s="130"/>
    </row>
    <row r="12878" spans="1:5" x14ac:dyDescent="0.25">
      <c r="A12878" s="1033"/>
      <c r="E12878" s="130"/>
    </row>
    <row r="12879" spans="1:5" x14ac:dyDescent="0.25">
      <c r="A12879" s="1033"/>
      <c r="E12879" s="130"/>
    </row>
    <row r="12880" spans="1:5" x14ac:dyDescent="0.25">
      <c r="A12880" s="1033"/>
      <c r="E12880" s="130"/>
    </row>
    <row r="12881" spans="1:5" x14ac:dyDescent="0.25">
      <c r="A12881" s="1033"/>
      <c r="E12881" s="130"/>
    </row>
    <row r="12882" spans="1:5" x14ac:dyDescent="0.25">
      <c r="A12882" s="1033"/>
      <c r="E12882" s="130"/>
    </row>
    <row r="12883" spans="1:5" x14ac:dyDescent="0.25">
      <c r="A12883" s="1033"/>
      <c r="E12883" s="130"/>
    </row>
    <row r="12884" spans="1:5" x14ac:dyDescent="0.25">
      <c r="A12884" s="1033"/>
      <c r="E12884" s="130"/>
    </row>
    <row r="12885" spans="1:5" x14ac:dyDescent="0.25">
      <c r="A12885" s="1033"/>
      <c r="E12885" s="130"/>
    </row>
    <row r="12886" spans="1:5" x14ac:dyDescent="0.25">
      <c r="A12886" s="1033"/>
      <c r="E12886" s="130"/>
    </row>
    <row r="12887" spans="1:5" x14ac:dyDescent="0.25">
      <c r="A12887" s="1033"/>
      <c r="E12887" s="130"/>
    </row>
    <row r="12888" spans="1:5" x14ac:dyDescent="0.25">
      <c r="A12888" s="1033"/>
      <c r="E12888" s="130"/>
    </row>
    <row r="12889" spans="1:5" x14ac:dyDescent="0.25">
      <c r="A12889" s="1033"/>
      <c r="E12889" s="130"/>
    </row>
    <row r="12890" spans="1:5" x14ac:dyDescent="0.25">
      <c r="A12890" s="1033"/>
      <c r="E12890" s="130"/>
    </row>
    <row r="12891" spans="1:5" x14ac:dyDescent="0.25">
      <c r="A12891" s="1033"/>
      <c r="E12891" s="130"/>
    </row>
    <row r="12892" spans="1:5" x14ac:dyDescent="0.25">
      <c r="A12892" s="1033"/>
      <c r="E12892" s="130"/>
    </row>
    <row r="12893" spans="1:5" x14ac:dyDescent="0.25">
      <c r="A12893" s="1033"/>
      <c r="E12893" s="130"/>
    </row>
    <row r="12894" spans="1:5" x14ac:dyDescent="0.25">
      <c r="A12894" s="1033"/>
      <c r="E12894" s="130"/>
    </row>
    <row r="12895" spans="1:5" x14ac:dyDescent="0.25">
      <c r="A12895" s="1033"/>
      <c r="E12895" s="130"/>
    </row>
    <row r="12896" spans="1:5" x14ac:dyDescent="0.25">
      <c r="A12896" s="1033"/>
      <c r="E12896" s="130"/>
    </row>
    <row r="12897" spans="1:5" x14ac:dyDescent="0.25">
      <c r="A12897" s="1033"/>
      <c r="E12897" s="130"/>
    </row>
    <row r="12898" spans="1:5" x14ac:dyDescent="0.25">
      <c r="A12898" s="1033"/>
      <c r="E12898" s="130"/>
    </row>
    <row r="12899" spans="1:5" x14ac:dyDescent="0.25">
      <c r="A12899" s="1033"/>
      <c r="E12899" s="130"/>
    </row>
    <row r="12900" spans="1:5" x14ac:dyDescent="0.25">
      <c r="A12900" s="1033"/>
      <c r="E12900" s="130"/>
    </row>
    <row r="12901" spans="1:5" x14ac:dyDescent="0.25">
      <c r="A12901" s="1033"/>
      <c r="E12901" s="130"/>
    </row>
    <row r="12902" spans="1:5" x14ac:dyDescent="0.25">
      <c r="A12902" s="1033"/>
      <c r="E12902" s="130"/>
    </row>
    <row r="12903" spans="1:5" x14ac:dyDescent="0.25">
      <c r="A12903" s="1033"/>
      <c r="E12903" s="130"/>
    </row>
    <row r="12904" spans="1:5" x14ac:dyDescent="0.25">
      <c r="A12904" s="1033"/>
      <c r="E12904" s="130"/>
    </row>
    <row r="12905" spans="1:5" x14ac:dyDescent="0.25">
      <c r="A12905" s="1033"/>
      <c r="E12905" s="130"/>
    </row>
    <row r="12906" spans="1:5" x14ac:dyDescent="0.25">
      <c r="A12906" s="1033"/>
      <c r="E12906" s="130"/>
    </row>
    <row r="12907" spans="1:5" x14ac:dyDescent="0.25">
      <c r="A12907" s="1033"/>
      <c r="E12907" s="130"/>
    </row>
    <row r="12908" spans="1:5" x14ac:dyDescent="0.25">
      <c r="A12908" s="1033"/>
      <c r="E12908" s="130"/>
    </row>
    <row r="12909" spans="1:5" x14ac:dyDescent="0.25">
      <c r="A12909" s="1033"/>
      <c r="E12909" s="130"/>
    </row>
    <row r="12910" spans="1:5" x14ac:dyDescent="0.25">
      <c r="A12910" s="1033"/>
      <c r="E12910" s="130"/>
    </row>
    <row r="12911" spans="1:5" x14ac:dyDescent="0.25">
      <c r="A12911" s="1033"/>
      <c r="E12911" s="130"/>
    </row>
    <row r="12912" spans="1:5" x14ac:dyDescent="0.25">
      <c r="A12912" s="1033"/>
      <c r="E12912" s="130"/>
    </row>
    <row r="12913" spans="1:5" x14ac:dyDescent="0.25">
      <c r="A12913" s="1033"/>
      <c r="E12913" s="130"/>
    </row>
    <row r="12914" spans="1:5" x14ac:dyDescent="0.25">
      <c r="A12914" s="1033"/>
      <c r="E12914" s="130"/>
    </row>
    <row r="12915" spans="1:5" x14ac:dyDescent="0.25">
      <c r="A12915" s="1033"/>
      <c r="E12915" s="130"/>
    </row>
    <row r="12916" spans="1:5" x14ac:dyDescent="0.25">
      <c r="A12916" s="1033"/>
      <c r="E12916" s="130"/>
    </row>
    <row r="12917" spans="1:5" x14ac:dyDescent="0.25">
      <c r="A12917" s="1033"/>
      <c r="E12917" s="130"/>
    </row>
    <row r="12918" spans="1:5" x14ac:dyDescent="0.25">
      <c r="A12918" s="1033"/>
      <c r="E12918" s="130"/>
    </row>
    <row r="12919" spans="1:5" x14ac:dyDescent="0.25">
      <c r="A12919" s="1033"/>
      <c r="E12919" s="130"/>
    </row>
    <row r="12920" spans="1:5" x14ac:dyDescent="0.25">
      <c r="A12920" s="1033"/>
      <c r="E12920" s="130"/>
    </row>
    <row r="12921" spans="1:5" x14ac:dyDescent="0.25">
      <c r="A12921" s="1033"/>
      <c r="E12921" s="130"/>
    </row>
    <row r="12922" spans="1:5" x14ac:dyDescent="0.25">
      <c r="A12922" s="1033"/>
      <c r="E12922" s="130"/>
    </row>
    <row r="12923" spans="1:5" x14ac:dyDescent="0.25">
      <c r="A12923" s="1033"/>
      <c r="E12923" s="130"/>
    </row>
    <row r="12924" spans="1:5" x14ac:dyDescent="0.25">
      <c r="A12924" s="1033"/>
      <c r="E12924" s="130"/>
    </row>
    <row r="12925" spans="1:5" x14ac:dyDescent="0.25">
      <c r="A12925" s="1033"/>
      <c r="E12925" s="130"/>
    </row>
    <row r="12926" spans="1:5" x14ac:dyDescent="0.25">
      <c r="A12926" s="1033"/>
      <c r="E12926" s="130"/>
    </row>
    <row r="12927" spans="1:5" x14ac:dyDescent="0.25">
      <c r="A12927" s="1033"/>
      <c r="E12927" s="130"/>
    </row>
    <row r="12928" spans="1:5" x14ac:dyDescent="0.25">
      <c r="A12928" s="1033"/>
      <c r="E12928" s="130"/>
    </row>
    <row r="12929" spans="1:5" x14ac:dyDescent="0.25">
      <c r="A12929" s="1033"/>
      <c r="E12929" s="130"/>
    </row>
    <row r="12930" spans="1:5" x14ac:dyDescent="0.25">
      <c r="A12930" s="1033"/>
      <c r="E12930" s="130"/>
    </row>
    <row r="12931" spans="1:5" x14ac:dyDescent="0.25">
      <c r="A12931" s="1033"/>
      <c r="E12931" s="130"/>
    </row>
    <row r="12932" spans="1:5" x14ac:dyDescent="0.25">
      <c r="A12932" s="1033"/>
      <c r="E12932" s="130"/>
    </row>
    <row r="12933" spans="1:5" x14ac:dyDescent="0.25">
      <c r="A12933" s="1033"/>
      <c r="E12933" s="130"/>
    </row>
    <row r="12934" spans="1:5" x14ac:dyDescent="0.25">
      <c r="A12934" s="1033"/>
      <c r="E12934" s="130"/>
    </row>
    <row r="12935" spans="1:5" x14ac:dyDescent="0.25">
      <c r="A12935" s="1033"/>
      <c r="E12935" s="130"/>
    </row>
    <row r="12936" spans="1:5" x14ac:dyDescent="0.25">
      <c r="A12936" s="1033"/>
      <c r="E12936" s="130"/>
    </row>
    <row r="12937" spans="1:5" x14ac:dyDescent="0.25">
      <c r="A12937" s="1033"/>
      <c r="E12937" s="130"/>
    </row>
    <row r="12938" spans="1:5" x14ac:dyDescent="0.25">
      <c r="A12938" s="1033"/>
      <c r="E12938" s="130"/>
    </row>
    <row r="12939" spans="1:5" x14ac:dyDescent="0.25">
      <c r="A12939" s="1033"/>
      <c r="E12939" s="130"/>
    </row>
    <row r="12940" spans="1:5" x14ac:dyDescent="0.25">
      <c r="A12940" s="1033"/>
      <c r="E12940" s="130"/>
    </row>
    <row r="12941" spans="1:5" x14ac:dyDescent="0.25">
      <c r="A12941" s="1033"/>
      <c r="E12941" s="130"/>
    </row>
    <row r="12942" spans="1:5" x14ac:dyDescent="0.25">
      <c r="A12942" s="1033"/>
      <c r="E12942" s="130"/>
    </row>
    <row r="12943" spans="1:5" x14ac:dyDescent="0.25">
      <c r="A12943" s="1033"/>
      <c r="E12943" s="130"/>
    </row>
    <row r="12944" spans="1:5" x14ac:dyDescent="0.25">
      <c r="A12944" s="1033"/>
      <c r="E12944" s="130"/>
    </row>
    <row r="12945" spans="1:5" x14ac:dyDescent="0.25">
      <c r="A12945" s="1033"/>
      <c r="E12945" s="130"/>
    </row>
    <row r="12946" spans="1:5" x14ac:dyDescent="0.25">
      <c r="A12946" s="1033"/>
      <c r="E12946" s="130"/>
    </row>
    <row r="12947" spans="1:5" x14ac:dyDescent="0.25">
      <c r="A12947" s="1033"/>
      <c r="E12947" s="130"/>
    </row>
    <row r="12948" spans="1:5" x14ac:dyDescent="0.25">
      <c r="A12948" s="1033"/>
      <c r="E12948" s="130"/>
    </row>
    <row r="12949" spans="1:5" x14ac:dyDescent="0.25">
      <c r="A12949" s="1033"/>
      <c r="E12949" s="130"/>
    </row>
    <row r="12950" spans="1:5" x14ac:dyDescent="0.25">
      <c r="A12950" s="1033"/>
      <c r="E12950" s="130"/>
    </row>
    <row r="12951" spans="1:5" x14ac:dyDescent="0.25">
      <c r="A12951" s="1033"/>
      <c r="E12951" s="130"/>
    </row>
    <row r="12952" spans="1:5" x14ac:dyDescent="0.25">
      <c r="A12952" s="1033"/>
      <c r="E12952" s="130"/>
    </row>
    <row r="12953" spans="1:5" x14ac:dyDescent="0.25">
      <c r="A12953" s="1033"/>
      <c r="E12953" s="130"/>
    </row>
    <row r="12954" spans="1:5" x14ac:dyDescent="0.25">
      <c r="A12954" s="1033"/>
      <c r="E12954" s="130"/>
    </row>
    <row r="12955" spans="1:5" x14ac:dyDescent="0.25">
      <c r="A12955" s="1033"/>
      <c r="E12955" s="130"/>
    </row>
    <row r="12956" spans="1:5" x14ac:dyDescent="0.25">
      <c r="A12956" s="1033"/>
      <c r="E12956" s="130"/>
    </row>
    <row r="12957" spans="1:5" x14ac:dyDescent="0.25">
      <c r="A12957" s="1033"/>
      <c r="E12957" s="130"/>
    </row>
    <row r="12958" spans="1:5" x14ac:dyDescent="0.25">
      <c r="A12958" s="1033"/>
      <c r="E12958" s="130"/>
    </row>
    <row r="12959" spans="1:5" x14ac:dyDescent="0.25">
      <c r="A12959" s="1033"/>
      <c r="E12959" s="130"/>
    </row>
    <row r="12960" spans="1:5" x14ac:dyDescent="0.25">
      <c r="A12960" s="1033"/>
      <c r="E12960" s="130"/>
    </row>
    <row r="12961" spans="1:5" x14ac:dyDescent="0.25">
      <c r="A12961" s="1033"/>
      <c r="E12961" s="130"/>
    </row>
    <row r="12962" spans="1:5" x14ac:dyDescent="0.25">
      <c r="A12962" s="1033"/>
      <c r="E12962" s="130"/>
    </row>
    <row r="12963" spans="1:5" x14ac:dyDescent="0.25">
      <c r="A12963" s="1033"/>
      <c r="E12963" s="130"/>
    </row>
    <row r="12964" spans="1:5" x14ac:dyDescent="0.25">
      <c r="A12964" s="1033"/>
      <c r="E12964" s="130"/>
    </row>
    <row r="12965" spans="1:5" x14ac:dyDescent="0.25">
      <c r="A12965" s="1033"/>
      <c r="E12965" s="130"/>
    </row>
    <row r="12966" spans="1:5" x14ac:dyDescent="0.25">
      <c r="A12966" s="1033"/>
      <c r="E12966" s="130"/>
    </row>
    <row r="12967" spans="1:5" x14ac:dyDescent="0.25">
      <c r="A12967" s="1033"/>
      <c r="E12967" s="130"/>
    </row>
    <row r="12968" spans="1:5" x14ac:dyDescent="0.25">
      <c r="A12968" s="1033"/>
      <c r="E12968" s="130"/>
    </row>
    <row r="12969" spans="1:5" x14ac:dyDescent="0.25">
      <c r="A12969" s="1033"/>
      <c r="E12969" s="130"/>
    </row>
    <row r="12970" spans="1:5" x14ac:dyDescent="0.25">
      <c r="A12970" s="1033"/>
      <c r="E12970" s="130"/>
    </row>
    <row r="12971" spans="1:5" x14ac:dyDescent="0.25">
      <c r="A12971" s="1033"/>
      <c r="E12971" s="130"/>
    </row>
    <row r="12972" spans="1:5" x14ac:dyDescent="0.25">
      <c r="A12972" s="1033"/>
      <c r="E12972" s="130"/>
    </row>
    <row r="12973" spans="1:5" x14ac:dyDescent="0.25">
      <c r="A12973" s="1033"/>
      <c r="E12973" s="130"/>
    </row>
    <row r="12974" spans="1:5" x14ac:dyDescent="0.25">
      <c r="A12974" s="1033"/>
      <c r="E12974" s="130"/>
    </row>
    <row r="12975" spans="1:5" x14ac:dyDescent="0.25">
      <c r="A12975" s="1033"/>
      <c r="E12975" s="130"/>
    </row>
    <row r="12976" spans="1:5" x14ac:dyDescent="0.25">
      <c r="A12976" s="1033"/>
      <c r="E12976" s="130"/>
    </row>
    <row r="12977" spans="1:5" x14ac:dyDescent="0.25">
      <c r="A12977" s="1033"/>
      <c r="E12977" s="130"/>
    </row>
    <row r="12978" spans="1:5" x14ac:dyDescent="0.25">
      <c r="A12978" s="1033"/>
      <c r="E12978" s="130"/>
    </row>
    <row r="12979" spans="1:5" x14ac:dyDescent="0.25">
      <c r="A12979" s="1033"/>
      <c r="E12979" s="130"/>
    </row>
    <row r="12980" spans="1:5" x14ac:dyDescent="0.25">
      <c r="A12980" s="1033"/>
      <c r="E12980" s="130"/>
    </row>
    <row r="12981" spans="1:5" x14ac:dyDescent="0.25">
      <c r="A12981" s="1033"/>
      <c r="E12981" s="130"/>
    </row>
    <row r="12982" spans="1:5" x14ac:dyDescent="0.25">
      <c r="A12982" s="1033"/>
      <c r="E12982" s="130"/>
    </row>
    <row r="12983" spans="1:5" x14ac:dyDescent="0.25">
      <c r="A12983" s="1033"/>
      <c r="E12983" s="130"/>
    </row>
    <row r="12984" spans="1:5" x14ac:dyDescent="0.25">
      <c r="A12984" s="1033"/>
      <c r="E12984" s="130"/>
    </row>
    <row r="12985" spans="1:5" x14ac:dyDescent="0.25">
      <c r="A12985" s="1033"/>
      <c r="E12985" s="130"/>
    </row>
    <row r="12986" spans="1:5" x14ac:dyDescent="0.25">
      <c r="A12986" s="1033"/>
      <c r="E12986" s="130"/>
    </row>
    <row r="12987" spans="1:5" x14ac:dyDescent="0.25">
      <c r="A12987" s="1033"/>
      <c r="E12987" s="130"/>
    </row>
    <row r="12988" spans="1:5" x14ac:dyDescent="0.25">
      <c r="A12988" s="1033"/>
      <c r="E12988" s="130"/>
    </row>
    <row r="12989" spans="1:5" x14ac:dyDescent="0.25">
      <c r="A12989" s="1033"/>
      <c r="E12989" s="130"/>
    </row>
    <row r="12990" spans="1:5" x14ac:dyDescent="0.25">
      <c r="A12990" s="1033"/>
      <c r="E12990" s="130"/>
    </row>
    <row r="12991" spans="1:5" x14ac:dyDescent="0.25">
      <c r="A12991" s="1033"/>
      <c r="E12991" s="130"/>
    </row>
    <row r="12992" spans="1:5" x14ac:dyDescent="0.25">
      <c r="A12992" s="1033"/>
      <c r="E12992" s="130"/>
    </row>
    <row r="12993" spans="1:5" x14ac:dyDescent="0.25">
      <c r="A12993" s="1033"/>
      <c r="E12993" s="130"/>
    </row>
    <row r="12994" spans="1:5" x14ac:dyDescent="0.25">
      <c r="A12994" s="1033"/>
      <c r="E12994" s="130"/>
    </row>
    <row r="12995" spans="1:5" x14ac:dyDescent="0.25">
      <c r="A12995" s="1033"/>
      <c r="E12995" s="130"/>
    </row>
    <row r="12996" spans="1:5" x14ac:dyDescent="0.25">
      <c r="A12996" s="1033"/>
      <c r="E12996" s="130"/>
    </row>
    <row r="12997" spans="1:5" x14ac:dyDescent="0.25">
      <c r="A12997" s="1033"/>
      <c r="E12997" s="130"/>
    </row>
    <row r="12998" spans="1:5" x14ac:dyDescent="0.25">
      <c r="A12998" s="1033"/>
      <c r="E12998" s="130"/>
    </row>
    <row r="12999" spans="1:5" x14ac:dyDescent="0.25">
      <c r="A12999" s="1033"/>
      <c r="E12999" s="130"/>
    </row>
    <row r="13000" spans="1:5" x14ac:dyDescent="0.25">
      <c r="A13000" s="1033"/>
      <c r="E13000" s="130"/>
    </row>
    <row r="13001" spans="1:5" x14ac:dyDescent="0.25">
      <c r="A13001" s="1033"/>
      <c r="E13001" s="130"/>
    </row>
    <row r="13002" spans="1:5" x14ac:dyDescent="0.25">
      <c r="A13002" s="1033"/>
      <c r="E13002" s="130"/>
    </row>
    <row r="13003" spans="1:5" x14ac:dyDescent="0.25">
      <c r="A13003" s="1033"/>
      <c r="E13003" s="130"/>
    </row>
    <row r="13004" spans="1:5" x14ac:dyDescent="0.25">
      <c r="A13004" s="1033"/>
      <c r="E13004" s="130"/>
    </row>
    <row r="13005" spans="1:5" x14ac:dyDescent="0.25">
      <c r="A13005" s="1033"/>
      <c r="E13005" s="130"/>
    </row>
    <row r="13006" spans="1:5" x14ac:dyDescent="0.25">
      <c r="A13006" s="1033"/>
      <c r="E13006" s="130"/>
    </row>
    <row r="13007" spans="1:5" x14ac:dyDescent="0.25">
      <c r="A13007" s="1033"/>
      <c r="E13007" s="130"/>
    </row>
    <row r="13008" spans="1:5" x14ac:dyDescent="0.25">
      <c r="A13008" s="1033"/>
      <c r="E13008" s="130"/>
    </row>
    <row r="13009" spans="1:5" x14ac:dyDescent="0.25">
      <c r="A13009" s="1033"/>
      <c r="E13009" s="130"/>
    </row>
    <row r="13010" spans="1:5" x14ac:dyDescent="0.25">
      <c r="A13010" s="1033"/>
      <c r="E13010" s="130"/>
    </row>
    <row r="13011" spans="1:5" x14ac:dyDescent="0.25">
      <c r="A13011" s="1033"/>
      <c r="E13011" s="130"/>
    </row>
    <row r="13012" spans="1:5" x14ac:dyDescent="0.25">
      <c r="A13012" s="1033"/>
      <c r="E13012" s="130"/>
    </row>
    <row r="13013" spans="1:5" x14ac:dyDescent="0.25">
      <c r="A13013" s="1033"/>
      <c r="E13013" s="130"/>
    </row>
    <row r="13014" spans="1:5" x14ac:dyDescent="0.25">
      <c r="A13014" s="1033"/>
      <c r="E13014" s="130"/>
    </row>
    <row r="13015" spans="1:5" x14ac:dyDescent="0.25">
      <c r="A13015" s="1033"/>
      <c r="E13015" s="130"/>
    </row>
    <row r="13016" spans="1:5" x14ac:dyDescent="0.25">
      <c r="A13016" s="1033"/>
      <c r="E13016" s="130"/>
    </row>
    <row r="13017" spans="1:5" x14ac:dyDescent="0.25">
      <c r="A13017" s="1033"/>
      <c r="E13017" s="130"/>
    </row>
    <row r="13018" spans="1:5" x14ac:dyDescent="0.25">
      <c r="A13018" s="1033"/>
      <c r="E13018" s="130"/>
    </row>
    <row r="13019" spans="1:5" x14ac:dyDescent="0.25">
      <c r="A13019" s="1033"/>
      <c r="E13019" s="130"/>
    </row>
    <row r="13020" spans="1:5" x14ac:dyDescent="0.25">
      <c r="A13020" s="1033"/>
      <c r="E13020" s="130"/>
    </row>
    <row r="13021" spans="1:5" x14ac:dyDescent="0.25">
      <c r="A13021" s="1033"/>
      <c r="E13021" s="130"/>
    </row>
    <row r="13022" spans="1:5" x14ac:dyDescent="0.25">
      <c r="A13022" s="1033"/>
      <c r="E13022" s="130"/>
    </row>
    <row r="13023" spans="1:5" x14ac:dyDescent="0.25">
      <c r="A13023" s="1033"/>
      <c r="E13023" s="130"/>
    </row>
    <row r="13024" spans="1:5" x14ac:dyDescent="0.25">
      <c r="A13024" s="1033"/>
      <c r="E13024" s="130"/>
    </row>
    <row r="13025" spans="1:5" x14ac:dyDescent="0.25">
      <c r="A13025" s="1033"/>
      <c r="E13025" s="130"/>
    </row>
    <row r="13026" spans="1:5" x14ac:dyDescent="0.25">
      <c r="A13026" s="1033"/>
      <c r="E13026" s="130"/>
    </row>
    <row r="13027" spans="1:5" x14ac:dyDescent="0.25">
      <c r="A13027" s="1033"/>
      <c r="E13027" s="130"/>
    </row>
    <row r="13028" spans="1:5" x14ac:dyDescent="0.25">
      <c r="A13028" s="1033"/>
      <c r="E13028" s="130"/>
    </row>
    <row r="13029" spans="1:5" x14ac:dyDescent="0.25">
      <c r="A13029" s="1033"/>
      <c r="E13029" s="130"/>
    </row>
    <row r="13030" spans="1:5" x14ac:dyDescent="0.25">
      <c r="A13030" s="1033"/>
      <c r="E13030" s="130"/>
    </row>
    <row r="13031" spans="1:5" x14ac:dyDescent="0.25">
      <c r="A13031" s="1033"/>
      <c r="E13031" s="130"/>
    </row>
    <row r="13032" spans="1:5" x14ac:dyDescent="0.25">
      <c r="A13032" s="1033"/>
      <c r="E13032" s="130"/>
    </row>
    <row r="13033" spans="1:5" x14ac:dyDescent="0.25">
      <c r="A13033" s="1033"/>
      <c r="E13033" s="130"/>
    </row>
    <row r="13034" spans="1:5" x14ac:dyDescent="0.25">
      <c r="A13034" s="1033"/>
      <c r="E13034" s="130"/>
    </row>
    <row r="13035" spans="1:5" x14ac:dyDescent="0.25">
      <c r="A13035" s="1033"/>
      <c r="E13035" s="130"/>
    </row>
    <row r="13036" spans="1:5" x14ac:dyDescent="0.25">
      <c r="A13036" s="1033"/>
      <c r="E13036" s="130"/>
    </row>
    <row r="13037" spans="1:5" x14ac:dyDescent="0.25">
      <c r="A13037" s="1033"/>
      <c r="E13037" s="130"/>
    </row>
    <row r="13038" spans="1:5" x14ac:dyDescent="0.25">
      <c r="A13038" s="1033"/>
      <c r="E13038" s="130"/>
    </row>
    <row r="13039" spans="1:5" x14ac:dyDescent="0.25">
      <c r="A13039" s="1033"/>
      <c r="E13039" s="130"/>
    </row>
    <row r="13040" spans="1:5" x14ac:dyDescent="0.25">
      <c r="A13040" s="1033"/>
      <c r="E13040" s="130"/>
    </row>
    <row r="13041" spans="1:5" x14ac:dyDescent="0.25">
      <c r="A13041" s="1033"/>
      <c r="E13041" s="130"/>
    </row>
    <row r="13042" spans="1:5" x14ac:dyDescent="0.25">
      <c r="A13042" s="1033"/>
      <c r="E13042" s="130"/>
    </row>
    <row r="13043" spans="1:5" x14ac:dyDescent="0.25">
      <c r="A13043" s="1033"/>
      <c r="E13043" s="130"/>
    </row>
    <row r="13044" spans="1:5" x14ac:dyDescent="0.25">
      <c r="A13044" s="1033"/>
      <c r="E13044" s="130"/>
    </row>
    <row r="13045" spans="1:5" x14ac:dyDescent="0.25">
      <c r="A13045" s="1033"/>
      <c r="E13045" s="130"/>
    </row>
    <row r="13046" spans="1:5" x14ac:dyDescent="0.25">
      <c r="A13046" s="1033"/>
      <c r="E13046" s="130"/>
    </row>
    <row r="13047" spans="1:5" x14ac:dyDescent="0.25">
      <c r="A13047" s="1033"/>
      <c r="E13047" s="130"/>
    </row>
    <row r="13048" spans="1:5" x14ac:dyDescent="0.25">
      <c r="A13048" s="1033"/>
      <c r="E13048" s="130"/>
    </row>
    <row r="13049" spans="1:5" x14ac:dyDescent="0.25">
      <c r="A13049" s="1033"/>
      <c r="E13049" s="130"/>
    </row>
    <row r="13050" spans="1:5" x14ac:dyDescent="0.25">
      <c r="A13050" s="1033"/>
      <c r="E13050" s="130"/>
    </row>
    <row r="13051" spans="1:5" x14ac:dyDescent="0.25">
      <c r="A13051" s="1033"/>
      <c r="E13051" s="130"/>
    </row>
    <row r="13052" spans="1:5" x14ac:dyDescent="0.25">
      <c r="A13052" s="1033"/>
      <c r="E13052" s="130"/>
    </row>
    <row r="13053" spans="1:5" x14ac:dyDescent="0.25">
      <c r="A13053" s="1033"/>
      <c r="E13053" s="130"/>
    </row>
    <row r="13054" spans="1:5" x14ac:dyDescent="0.25">
      <c r="A13054" s="1033"/>
      <c r="E13054" s="130"/>
    </row>
    <row r="13055" spans="1:5" x14ac:dyDescent="0.25">
      <c r="A13055" s="1033"/>
      <c r="E13055" s="130"/>
    </row>
    <row r="13056" spans="1:5" x14ac:dyDescent="0.25">
      <c r="A13056" s="1033"/>
      <c r="E13056" s="130"/>
    </row>
    <row r="13057" spans="1:5" x14ac:dyDescent="0.25">
      <c r="A13057" s="1033"/>
      <c r="E13057" s="130"/>
    </row>
    <row r="13058" spans="1:5" x14ac:dyDescent="0.25">
      <c r="A13058" s="1033"/>
      <c r="E13058" s="130"/>
    </row>
    <row r="13059" spans="1:5" x14ac:dyDescent="0.25">
      <c r="A13059" s="1033"/>
      <c r="E13059" s="130"/>
    </row>
    <row r="13060" spans="1:5" x14ac:dyDescent="0.25">
      <c r="A13060" s="1033"/>
      <c r="E13060" s="130"/>
    </row>
    <row r="13061" spans="1:5" x14ac:dyDescent="0.25">
      <c r="A13061" s="1033"/>
      <c r="E13061" s="130"/>
    </row>
    <row r="13062" spans="1:5" x14ac:dyDescent="0.25">
      <c r="A13062" s="1033"/>
      <c r="E13062" s="130"/>
    </row>
    <row r="13063" spans="1:5" x14ac:dyDescent="0.25">
      <c r="A13063" s="1033"/>
      <c r="E13063" s="130"/>
    </row>
    <row r="13064" spans="1:5" x14ac:dyDescent="0.25">
      <c r="A13064" s="1033"/>
      <c r="E13064" s="130"/>
    </row>
    <row r="13065" spans="1:5" x14ac:dyDescent="0.25">
      <c r="A13065" s="1033"/>
      <c r="E13065" s="130"/>
    </row>
    <row r="13066" spans="1:5" x14ac:dyDescent="0.25">
      <c r="A13066" s="1033"/>
      <c r="E13066" s="130"/>
    </row>
    <row r="13067" spans="1:5" x14ac:dyDescent="0.25">
      <c r="A13067" s="1033"/>
      <c r="E13067" s="130"/>
    </row>
    <row r="13068" spans="1:5" x14ac:dyDescent="0.25">
      <c r="A13068" s="1033"/>
      <c r="E13068" s="130"/>
    </row>
    <row r="13069" spans="1:5" x14ac:dyDescent="0.25">
      <c r="A13069" s="1033"/>
      <c r="E13069" s="130"/>
    </row>
    <row r="13070" spans="1:5" x14ac:dyDescent="0.25">
      <c r="A13070" s="1033"/>
      <c r="E13070" s="130"/>
    </row>
    <row r="13071" spans="1:5" x14ac:dyDescent="0.25">
      <c r="A13071" s="1033"/>
      <c r="E13071" s="130"/>
    </row>
    <row r="13072" spans="1:5" x14ac:dyDescent="0.25">
      <c r="A13072" s="1033"/>
      <c r="E13072" s="130"/>
    </row>
    <row r="13073" spans="1:5" x14ac:dyDescent="0.25">
      <c r="A13073" s="1033"/>
      <c r="E13073" s="130"/>
    </row>
    <row r="13074" spans="1:5" x14ac:dyDescent="0.25">
      <c r="A13074" s="1033"/>
      <c r="E13074" s="130"/>
    </row>
    <row r="13075" spans="1:5" x14ac:dyDescent="0.25">
      <c r="A13075" s="1033"/>
      <c r="E13075" s="130"/>
    </row>
    <row r="13076" spans="1:5" x14ac:dyDescent="0.25">
      <c r="A13076" s="1033"/>
      <c r="E13076" s="130"/>
    </row>
    <row r="13077" spans="1:5" x14ac:dyDescent="0.25">
      <c r="A13077" s="1033"/>
      <c r="E13077" s="130"/>
    </row>
    <row r="13078" spans="1:5" x14ac:dyDescent="0.25">
      <c r="A13078" s="1033"/>
      <c r="E13078" s="130"/>
    </row>
    <row r="13079" spans="1:5" x14ac:dyDescent="0.25">
      <c r="A13079" s="1033"/>
      <c r="E13079" s="130"/>
    </row>
    <row r="13080" spans="1:5" x14ac:dyDescent="0.25">
      <c r="A13080" s="1033"/>
      <c r="E13080" s="130"/>
    </row>
    <row r="13081" spans="1:5" x14ac:dyDescent="0.25">
      <c r="A13081" s="1033"/>
      <c r="E13081" s="130"/>
    </row>
    <row r="13082" spans="1:5" x14ac:dyDescent="0.25">
      <c r="A13082" s="1033"/>
      <c r="E13082" s="130"/>
    </row>
    <row r="13083" spans="1:5" x14ac:dyDescent="0.25">
      <c r="A13083" s="1033"/>
      <c r="E13083" s="130"/>
    </row>
    <row r="13084" spans="1:5" x14ac:dyDescent="0.25">
      <c r="A13084" s="1033"/>
      <c r="E13084" s="130"/>
    </row>
    <row r="13085" spans="1:5" x14ac:dyDescent="0.25">
      <c r="A13085" s="1033"/>
      <c r="E13085" s="130"/>
    </row>
    <row r="13086" spans="1:5" x14ac:dyDescent="0.25">
      <c r="A13086" s="1033"/>
      <c r="E13086" s="130"/>
    </row>
    <row r="13087" spans="1:5" x14ac:dyDescent="0.25">
      <c r="A13087" s="1033"/>
      <c r="E13087" s="130"/>
    </row>
    <row r="13088" spans="1:5" x14ac:dyDescent="0.25">
      <c r="A13088" s="1033"/>
      <c r="E13088" s="130"/>
    </row>
    <row r="13089" spans="1:5" x14ac:dyDescent="0.25">
      <c r="A13089" s="1033"/>
      <c r="E13089" s="130"/>
    </row>
    <row r="13090" spans="1:5" x14ac:dyDescent="0.25">
      <c r="A13090" s="1033"/>
      <c r="E13090" s="130"/>
    </row>
    <row r="13091" spans="1:5" x14ac:dyDescent="0.25">
      <c r="A13091" s="1033"/>
      <c r="E13091" s="130"/>
    </row>
    <row r="13092" spans="1:5" x14ac:dyDescent="0.25">
      <c r="A13092" s="1033"/>
      <c r="E13092" s="130"/>
    </row>
    <row r="13093" spans="1:5" x14ac:dyDescent="0.25">
      <c r="A13093" s="1033"/>
      <c r="E13093" s="130"/>
    </row>
    <row r="13094" spans="1:5" x14ac:dyDescent="0.25">
      <c r="A13094" s="1033"/>
      <c r="E13094" s="130"/>
    </row>
    <row r="13095" spans="1:5" x14ac:dyDescent="0.25">
      <c r="A13095" s="1033"/>
      <c r="E13095" s="130"/>
    </row>
    <row r="13096" spans="1:5" x14ac:dyDescent="0.25">
      <c r="A13096" s="1033"/>
      <c r="E13096" s="130"/>
    </row>
    <row r="13097" spans="1:5" x14ac:dyDescent="0.25">
      <c r="A13097" s="1033"/>
      <c r="E13097" s="130"/>
    </row>
    <row r="13098" spans="1:5" x14ac:dyDescent="0.25">
      <c r="A13098" s="1033"/>
      <c r="E13098" s="130"/>
    </row>
    <row r="13099" spans="1:5" x14ac:dyDescent="0.25">
      <c r="A13099" s="1033"/>
      <c r="E13099" s="130"/>
    </row>
    <row r="13100" spans="1:5" x14ac:dyDescent="0.25">
      <c r="A13100" s="1033"/>
      <c r="E13100" s="130"/>
    </row>
    <row r="13101" spans="1:5" x14ac:dyDescent="0.25">
      <c r="A13101" s="1033"/>
      <c r="E13101" s="130"/>
    </row>
    <row r="13102" spans="1:5" x14ac:dyDescent="0.25">
      <c r="A13102" s="1033"/>
      <c r="E13102" s="130"/>
    </row>
    <row r="13103" spans="1:5" x14ac:dyDescent="0.25">
      <c r="A13103" s="1033"/>
      <c r="E13103" s="130"/>
    </row>
    <row r="13104" spans="1:5" x14ac:dyDescent="0.25">
      <c r="A13104" s="1033"/>
      <c r="E13104" s="130"/>
    </row>
    <row r="13105" spans="1:5" x14ac:dyDescent="0.25">
      <c r="A13105" s="1033"/>
      <c r="E13105" s="130"/>
    </row>
    <row r="13106" spans="1:5" x14ac:dyDescent="0.25">
      <c r="A13106" s="1033"/>
      <c r="E13106" s="130"/>
    </row>
    <row r="13107" spans="1:5" x14ac:dyDescent="0.25">
      <c r="A13107" s="1033"/>
      <c r="E13107" s="130"/>
    </row>
    <row r="13108" spans="1:5" x14ac:dyDescent="0.25">
      <c r="A13108" s="1033"/>
      <c r="E13108" s="130"/>
    </row>
    <row r="13109" spans="1:5" x14ac:dyDescent="0.25">
      <c r="A13109" s="1033"/>
      <c r="E13109" s="130"/>
    </row>
    <row r="13110" spans="1:5" x14ac:dyDescent="0.25">
      <c r="A13110" s="1033"/>
      <c r="E13110" s="130"/>
    </row>
    <row r="13111" spans="1:5" x14ac:dyDescent="0.25">
      <c r="A13111" s="1033"/>
      <c r="E13111" s="130"/>
    </row>
    <row r="13112" spans="1:5" x14ac:dyDescent="0.25">
      <c r="A13112" s="1033"/>
      <c r="E13112" s="130"/>
    </row>
    <row r="13113" spans="1:5" x14ac:dyDescent="0.25">
      <c r="A13113" s="1033"/>
      <c r="E13113" s="130"/>
    </row>
    <row r="13114" spans="1:5" x14ac:dyDescent="0.25">
      <c r="A13114" s="1033"/>
      <c r="E13114" s="130"/>
    </row>
    <row r="13115" spans="1:5" x14ac:dyDescent="0.25">
      <c r="A13115" s="1033"/>
      <c r="E13115" s="130"/>
    </row>
    <row r="13116" spans="1:5" x14ac:dyDescent="0.25">
      <c r="A13116" s="1033"/>
      <c r="E13116" s="130"/>
    </row>
    <row r="13117" spans="1:5" x14ac:dyDescent="0.25">
      <c r="A13117" s="1033"/>
      <c r="E13117" s="130"/>
    </row>
    <row r="13118" spans="1:5" x14ac:dyDescent="0.25">
      <c r="A13118" s="1033"/>
      <c r="E13118" s="130"/>
    </row>
    <row r="13119" spans="1:5" x14ac:dyDescent="0.25">
      <c r="A13119" s="1033"/>
      <c r="E13119" s="130"/>
    </row>
    <row r="13120" spans="1:5" x14ac:dyDescent="0.25">
      <c r="A13120" s="1033"/>
      <c r="E13120" s="130"/>
    </row>
    <row r="13121" spans="1:5" x14ac:dyDescent="0.25">
      <c r="A13121" s="1033"/>
      <c r="E13121" s="130"/>
    </row>
    <row r="13122" spans="1:5" x14ac:dyDescent="0.25">
      <c r="A13122" s="1033"/>
      <c r="E13122" s="130"/>
    </row>
    <row r="13123" spans="1:5" x14ac:dyDescent="0.25">
      <c r="A13123" s="1033"/>
      <c r="E13123" s="130"/>
    </row>
    <row r="13124" spans="1:5" x14ac:dyDescent="0.25">
      <c r="A13124" s="1033"/>
      <c r="E13124" s="130"/>
    </row>
    <row r="13125" spans="1:5" x14ac:dyDescent="0.25">
      <c r="A13125" s="1033"/>
      <c r="E13125" s="130"/>
    </row>
    <row r="13126" spans="1:5" x14ac:dyDescent="0.25">
      <c r="A13126" s="1033"/>
      <c r="E13126" s="130"/>
    </row>
    <row r="13127" spans="1:5" x14ac:dyDescent="0.25">
      <c r="A13127" s="1033"/>
      <c r="E13127" s="130"/>
    </row>
    <row r="13128" spans="1:5" x14ac:dyDescent="0.25">
      <c r="A13128" s="1033"/>
      <c r="E13128" s="130"/>
    </row>
    <row r="13129" spans="1:5" x14ac:dyDescent="0.25">
      <c r="A13129" s="1033"/>
      <c r="E13129" s="130"/>
    </row>
    <row r="13130" spans="1:5" x14ac:dyDescent="0.25">
      <c r="A13130" s="1033"/>
      <c r="E13130" s="130"/>
    </row>
    <row r="13131" spans="1:5" x14ac:dyDescent="0.25">
      <c r="A13131" s="1033"/>
      <c r="E13131" s="130"/>
    </row>
    <row r="13132" spans="1:5" x14ac:dyDescent="0.25">
      <c r="A13132" s="1033"/>
      <c r="E13132" s="130"/>
    </row>
    <row r="13133" spans="1:5" x14ac:dyDescent="0.25">
      <c r="A13133" s="1033"/>
      <c r="E13133" s="130"/>
    </row>
    <row r="13134" spans="1:5" x14ac:dyDescent="0.25">
      <c r="A13134" s="1033"/>
      <c r="E13134" s="130"/>
    </row>
    <row r="13135" spans="1:5" x14ac:dyDescent="0.25">
      <c r="A13135" s="1033"/>
      <c r="E13135" s="130"/>
    </row>
    <row r="13136" spans="1:5" x14ac:dyDescent="0.25">
      <c r="A13136" s="1033"/>
      <c r="E13136" s="130"/>
    </row>
    <row r="13137" spans="1:5" x14ac:dyDescent="0.25">
      <c r="A13137" s="1033"/>
      <c r="E13137" s="130"/>
    </row>
    <row r="13138" spans="1:5" x14ac:dyDescent="0.25">
      <c r="A13138" s="1033"/>
      <c r="E13138" s="130"/>
    </row>
    <row r="13139" spans="1:5" x14ac:dyDescent="0.25">
      <c r="A13139" s="1033"/>
      <c r="E13139" s="130"/>
    </row>
    <row r="13140" spans="1:5" x14ac:dyDescent="0.25">
      <c r="A13140" s="1033"/>
      <c r="E13140" s="130"/>
    </row>
    <row r="13141" spans="1:5" x14ac:dyDescent="0.25">
      <c r="A13141" s="1033"/>
      <c r="E13141" s="130"/>
    </row>
    <row r="13142" spans="1:5" x14ac:dyDescent="0.25">
      <c r="A13142" s="1033"/>
      <c r="E13142" s="130"/>
    </row>
    <row r="13143" spans="1:5" x14ac:dyDescent="0.25">
      <c r="A13143" s="1033"/>
      <c r="E13143" s="130"/>
    </row>
    <row r="13144" spans="1:5" x14ac:dyDescent="0.25">
      <c r="A13144" s="1033"/>
      <c r="E13144" s="130"/>
    </row>
    <row r="13145" spans="1:5" x14ac:dyDescent="0.25">
      <c r="A13145" s="1033"/>
      <c r="E13145" s="130"/>
    </row>
    <row r="13146" spans="1:5" x14ac:dyDescent="0.25">
      <c r="A13146" s="1033"/>
      <c r="E13146" s="130"/>
    </row>
    <row r="13147" spans="1:5" x14ac:dyDescent="0.25">
      <c r="A13147" s="1033"/>
      <c r="E13147" s="130"/>
    </row>
    <row r="13148" spans="1:5" x14ac:dyDescent="0.25">
      <c r="A13148" s="1033"/>
      <c r="E13148" s="130"/>
    </row>
    <row r="13149" spans="1:5" x14ac:dyDescent="0.25">
      <c r="A13149" s="1033"/>
      <c r="E13149" s="130"/>
    </row>
    <row r="13150" spans="1:5" x14ac:dyDescent="0.25">
      <c r="A13150" s="1033"/>
      <c r="E13150" s="130"/>
    </row>
    <row r="13151" spans="1:5" x14ac:dyDescent="0.25">
      <c r="A13151" s="1033"/>
      <c r="E13151" s="130"/>
    </row>
    <row r="13152" spans="1:5" x14ac:dyDescent="0.25">
      <c r="A13152" s="1033"/>
      <c r="E13152" s="130"/>
    </row>
    <row r="13153" spans="1:5" x14ac:dyDescent="0.25">
      <c r="A13153" s="1033"/>
      <c r="E13153" s="130"/>
    </row>
    <row r="13154" spans="1:5" x14ac:dyDescent="0.25">
      <c r="A13154" s="1033"/>
      <c r="E13154" s="130"/>
    </row>
    <row r="13155" spans="1:5" x14ac:dyDescent="0.25">
      <c r="A13155" s="1033"/>
      <c r="E13155" s="130"/>
    </row>
    <row r="13156" spans="1:5" x14ac:dyDescent="0.25">
      <c r="A13156" s="1033"/>
      <c r="E13156" s="130"/>
    </row>
    <row r="13157" spans="1:5" x14ac:dyDescent="0.25">
      <c r="A13157" s="1033"/>
      <c r="E13157" s="130"/>
    </row>
    <row r="13158" spans="1:5" x14ac:dyDescent="0.25">
      <c r="A13158" s="1033"/>
      <c r="E13158" s="130"/>
    </row>
    <row r="13159" spans="1:5" x14ac:dyDescent="0.25">
      <c r="A13159" s="1033"/>
      <c r="E13159" s="130"/>
    </row>
    <row r="13160" spans="1:5" x14ac:dyDescent="0.25">
      <c r="A13160" s="1033"/>
      <c r="E13160" s="130"/>
    </row>
    <row r="13161" spans="1:5" x14ac:dyDescent="0.25">
      <c r="A13161" s="1033"/>
      <c r="E13161" s="130"/>
    </row>
    <row r="13162" spans="1:5" x14ac:dyDescent="0.25">
      <c r="A13162" s="1033"/>
      <c r="E13162" s="130"/>
    </row>
    <row r="13163" spans="1:5" x14ac:dyDescent="0.25">
      <c r="A13163" s="1033"/>
      <c r="E13163" s="130"/>
    </row>
    <row r="13164" spans="1:5" x14ac:dyDescent="0.25">
      <c r="A13164" s="1033"/>
      <c r="E13164" s="130"/>
    </row>
    <row r="13165" spans="1:5" x14ac:dyDescent="0.25">
      <c r="A13165" s="1033"/>
      <c r="E13165" s="130"/>
    </row>
    <row r="13166" spans="1:5" x14ac:dyDescent="0.25">
      <c r="A13166" s="1033"/>
      <c r="E13166" s="130"/>
    </row>
    <row r="13167" spans="1:5" x14ac:dyDescent="0.25">
      <c r="A13167" s="1033"/>
      <c r="E13167" s="130"/>
    </row>
    <row r="13168" spans="1:5" x14ac:dyDescent="0.25">
      <c r="A13168" s="1033"/>
      <c r="E13168" s="130"/>
    </row>
    <row r="13169" spans="1:5" x14ac:dyDescent="0.25">
      <c r="A13169" s="1033"/>
      <c r="E13169" s="130"/>
    </row>
    <row r="13170" spans="1:5" x14ac:dyDescent="0.25">
      <c r="A13170" s="1033"/>
      <c r="E13170" s="130"/>
    </row>
    <row r="13171" spans="1:5" x14ac:dyDescent="0.25">
      <c r="A13171" s="1033"/>
      <c r="E13171" s="130"/>
    </row>
    <row r="13172" spans="1:5" x14ac:dyDescent="0.25">
      <c r="A13172" s="1033"/>
      <c r="E13172" s="130"/>
    </row>
    <row r="13173" spans="1:5" x14ac:dyDescent="0.25">
      <c r="A13173" s="1033"/>
      <c r="E13173" s="130"/>
    </row>
    <row r="13174" spans="1:5" x14ac:dyDescent="0.25">
      <c r="A13174" s="1033"/>
      <c r="E13174" s="130"/>
    </row>
    <row r="13175" spans="1:5" x14ac:dyDescent="0.25">
      <c r="A13175" s="1033"/>
      <c r="E13175" s="130"/>
    </row>
    <row r="13176" spans="1:5" x14ac:dyDescent="0.25">
      <c r="A13176" s="1033"/>
      <c r="E13176" s="130"/>
    </row>
    <row r="13177" spans="1:5" x14ac:dyDescent="0.25">
      <c r="A13177" s="1033"/>
      <c r="E13177" s="130"/>
    </row>
    <row r="13178" spans="1:5" x14ac:dyDescent="0.25">
      <c r="A13178" s="1033"/>
      <c r="E13178" s="130"/>
    </row>
    <row r="13179" spans="1:5" x14ac:dyDescent="0.25">
      <c r="A13179" s="1033"/>
      <c r="E13179" s="130"/>
    </row>
    <row r="13180" spans="1:5" x14ac:dyDescent="0.25">
      <c r="A13180" s="1033"/>
      <c r="E13180" s="130"/>
    </row>
    <row r="13181" spans="1:5" x14ac:dyDescent="0.25">
      <c r="A13181" s="1033"/>
      <c r="E13181" s="130"/>
    </row>
    <row r="13182" spans="1:5" x14ac:dyDescent="0.25">
      <c r="A13182" s="1033"/>
      <c r="E13182" s="130"/>
    </row>
    <row r="13183" spans="1:5" x14ac:dyDescent="0.25">
      <c r="A13183" s="1033"/>
      <c r="E13183" s="130"/>
    </row>
    <row r="13184" spans="1:5" x14ac:dyDescent="0.25">
      <c r="A13184" s="1033"/>
      <c r="E13184" s="130"/>
    </row>
    <row r="13185" spans="1:5" x14ac:dyDescent="0.25">
      <c r="A13185" s="1033"/>
      <c r="E13185" s="130"/>
    </row>
    <row r="13186" spans="1:5" x14ac:dyDescent="0.25">
      <c r="A13186" s="1033"/>
      <c r="E13186" s="130"/>
    </row>
    <row r="13187" spans="1:5" x14ac:dyDescent="0.25">
      <c r="A13187" s="1033"/>
      <c r="E13187" s="130"/>
    </row>
    <row r="13188" spans="1:5" x14ac:dyDescent="0.25">
      <c r="A13188" s="1033"/>
      <c r="E13188" s="130"/>
    </row>
    <row r="13189" spans="1:5" x14ac:dyDescent="0.25">
      <c r="A13189" s="1033"/>
      <c r="E13189" s="130"/>
    </row>
    <row r="13190" spans="1:5" x14ac:dyDescent="0.25">
      <c r="A13190" s="1033"/>
      <c r="E13190" s="130"/>
    </row>
    <row r="13191" spans="1:5" x14ac:dyDescent="0.25">
      <c r="A13191" s="1033"/>
      <c r="E13191" s="130"/>
    </row>
    <row r="13192" spans="1:5" x14ac:dyDescent="0.25">
      <c r="A13192" s="1033"/>
      <c r="E13192" s="130"/>
    </row>
    <row r="13193" spans="1:5" x14ac:dyDescent="0.25">
      <c r="A13193" s="1033"/>
      <c r="E13193" s="130"/>
    </row>
    <row r="13194" spans="1:5" x14ac:dyDescent="0.25">
      <c r="A13194" s="1033"/>
      <c r="E13194" s="130"/>
    </row>
    <row r="13195" spans="1:5" x14ac:dyDescent="0.25">
      <c r="A13195" s="1033"/>
      <c r="E13195" s="130"/>
    </row>
    <row r="13196" spans="1:5" x14ac:dyDescent="0.25">
      <c r="A13196" s="1033"/>
      <c r="E13196" s="130"/>
    </row>
    <row r="13197" spans="1:5" x14ac:dyDescent="0.25">
      <c r="A13197" s="1033"/>
      <c r="E13197" s="130"/>
    </row>
    <row r="13198" spans="1:5" x14ac:dyDescent="0.25">
      <c r="A13198" s="1033"/>
      <c r="E13198" s="130"/>
    </row>
    <row r="13199" spans="1:5" x14ac:dyDescent="0.25">
      <c r="A13199" s="1033"/>
      <c r="E13199" s="130"/>
    </row>
    <row r="13200" spans="1:5" x14ac:dyDescent="0.25">
      <c r="A13200" s="1033"/>
      <c r="E13200" s="130"/>
    </row>
    <row r="13201" spans="1:5" x14ac:dyDescent="0.25">
      <c r="A13201" s="1033"/>
      <c r="E13201" s="130"/>
    </row>
    <row r="13202" spans="1:5" x14ac:dyDescent="0.25">
      <c r="A13202" s="1033"/>
      <c r="E13202" s="130"/>
    </row>
    <row r="13203" spans="1:5" x14ac:dyDescent="0.25">
      <c r="A13203" s="1033"/>
      <c r="E13203" s="130"/>
    </row>
    <row r="13204" spans="1:5" x14ac:dyDescent="0.25">
      <c r="A13204" s="1033"/>
      <c r="E13204" s="130"/>
    </row>
    <row r="13205" spans="1:5" x14ac:dyDescent="0.25">
      <c r="A13205" s="1033"/>
      <c r="E13205" s="130"/>
    </row>
    <row r="13206" spans="1:5" x14ac:dyDescent="0.25">
      <c r="A13206" s="1033"/>
      <c r="E13206" s="130"/>
    </row>
    <row r="13207" spans="1:5" x14ac:dyDescent="0.25">
      <c r="A13207" s="1033"/>
      <c r="E13207" s="130"/>
    </row>
    <row r="13208" spans="1:5" x14ac:dyDescent="0.25">
      <c r="A13208" s="1033"/>
      <c r="E13208" s="130"/>
    </row>
    <row r="13209" spans="1:5" x14ac:dyDescent="0.25">
      <c r="A13209" s="1033"/>
      <c r="E13209" s="130"/>
    </row>
    <row r="13210" spans="1:5" x14ac:dyDescent="0.25">
      <c r="A13210" s="1033"/>
      <c r="E13210" s="130"/>
    </row>
    <row r="13211" spans="1:5" x14ac:dyDescent="0.25">
      <c r="A13211" s="1033"/>
      <c r="E13211" s="130"/>
    </row>
    <row r="13212" spans="1:5" x14ac:dyDescent="0.25">
      <c r="A13212" s="1033"/>
      <c r="E13212" s="130"/>
    </row>
    <row r="13213" spans="1:5" x14ac:dyDescent="0.25">
      <c r="A13213" s="1033"/>
      <c r="E13213" s="130"/>
    </row>
    <row r="13214" spans="1:5" x14ac:dyDescent="0.25">
      <c r="A13214" s="1033"/>
      <c r="E13214" s="130"/>
    </row>
    <row r="13215" spans="1:5" x14ac:dyDescent="0.25">
      <c r="A13215" s="1033"/>
      <c r="E13215" s="130"/>
    </row>
    <row r="13216" spans="1:5" x14ac:dyDescent="0.25">
      <c r="A13216" s="1033"/>
      <c r="E13216" s="130"/>
    </row>
    <row r="13217" spans="1:5" x14ac:dyDescent="0.25">
      <c r="A13217" s="1033"/>
      <c r="E13217" s="130"/>
    </row>
    <row r="13218" spans="1:5" x14ac:dyDescent="0.25">
      <c r="A13218" s="1033"/>
      <c r="E13218" s="130"/>
    </row>
    <row r="13219" spans="1:5" x14ac:dyDescent="0.25">
      <c r="A13219" s="1033"/>
      <c r="E13219" s="130"/>
    </row>
    <row r="13220" spans="1:5" x14ac:dyDescent="0.25">
      <c r="A13220" s="1033"/>
      <c r="E13220" s="130"/>
    </row>
    <row r="13221" spans="1:5" x14ac:dyDescent="0.25">
      <c r="A13221" s="1033"/>
      <c r="E13221" s="130"/>
    </row>
    <row r="13222" spans="1:5" x14ac:dyDescent="0.25">
      <c r="A13222" s="1033"/>
      <c r="E13222" s="130"/>
    </row>
    <row r="13223" spans="1:5" x14ac:dyDescent="0.25">
      <c r="A13223" s="1033"/>
      <c r="E13223" s="130"/>
    </row>
    <row r="13224" spans="1:5" x14ac:dyDescent="0.25">
      <c r="A13224" s="1033"/>
      <c r="E13224" s="130"/>
    </row>
    <row r="13225" spans="1:5" x14ac:dyDescent="0.25">
      <c r="A13225" s="1033"/>
      <c r="E13225" s="130"/>
    </row>
    <row r="13226" spans="1:5" x14ac:dyDescent="0.25">
      <c r="A13226" s="1033"/>
      <c r="E13226" s="130"/>
    </row>
    <row r="13227" spans="1:5" x14ac:dyDescent="0.25">
      <c r="A13227" s="1033"/>
      <c r="E13227" s="130"/>
    </row>
    <row r="13228" spans="1:5" x14ac:dyDescent="0.25">
      <c r="A13228" s="1033"/>
      <c r="E13228" s="130"/>
    </row>
    <row r="13229" spans="1:5" x14ac:dyDescent="0.25">
      <c r="A13229" s="1033"/>
      <c r="E13229" s="130"/>
    </row>
    <row r="13230" spans="1:5" x14ac:dyDescent="0.25">
      <c r="A13230" s="1033"/>
      <c r="E13230" s="130"/>
    </row>
    <row r="13231" spans="1:5" x14ac:dyDescent="0.25">
      <c r="A13231" s="1033"/>
      <c r="E13231" s="130"/>
    </row>
    <row r="13232" spans="1:5" x14ac:dyDescent="0.25">
      <c r="A13232" s="1033"/>
      <c r="E13232" s="130"/>
    </row>
    <row r="13233" spans="1:5" x14ac:dyDescent="0.25">
      <c r="A13233" s="1033"/>
      <c r="E13233" s="130"/>
    </row>
    <row r="13234" spans="1:5" x14ac:dyDescent="0.25">
      <c r="A13234" s="1033"/>
      <c r="E13234" s="130"/>
    </row>
    <row r="13235" spans="1:5" x14ac:dyDescent="0.25">
      <c r="A13235" s="1033"/>
      <c r="E13235" s="130"/>
    </row>
    <row r="13236" spans="1:5" x14ac:dyDescent="0.25">
      <c r="A13236" s="1033"/>
      <c r="E13236" s="130"/>
    </row>
    <row r="13237" spans="1:5" x14ac:dyDescent="0.25">
      <c r="A13237" s="1033"/>
      <c r="E13237" s="130"/>
    </row>
    <row r="13238" spans="1:5" x14ac:dyDescent="0.25">
      <c r="A13238" s="1033"/>
      <c r="E13238" s="130"/>
    </row>
    <row r="13239" spans="1:5" x14ac:dyDescent="0.25">
      <c r="A13239" s="1033"/>
      <c r="E13239" s="130"/>
    </row>
    <row r="13240" spans="1:5" x14ac:dyDescent="0.25">
      <c r="A13240" s="1033"/>
      <c r="E13240" s="130"/>
    </row>
    <row r="13241" spans="1:5" x14ac:dyDescent="0.25">
      <c r="A13241" s="1033"/>
      <c r="E13241" s="130"/>
    </row>
    <row r="13242" spans="1:5" x14ac:dyDescent="0.25">
      <c r="A13242" s="1033"/>
      <c r="E13242" s="130"/>
    </row>
    <row r="13243" spans="1:5" x14ac:dyDescent="0.25">
      <c r="A13243" s="1033"/>
      <c r="E13243" s="130"/>
    </row>
    <row r="13244" spans="1:5" x14ac:dyDescent="0.25">
      <c r="A13244" s="1033"/>
      <c r="E13244" s="130"/>
    </row>
    <row r="13245" spans="1:5" x14ac:dyDescent="0.25">
      <c r="A13245" s="1033"/>
      <c r="E13245" s="130"/>
    </row>
    <row r="13246" spans="1:5" x14ac:dyDescent="0.25">
      <c r="A13246" s="1033"/>
      <c r="E13246" s="130"/>
    </row>
    <row r="13247" spans="1:5" x14ac:dyDescent="0.25">
      <c r="A13247" s="1033"/>
      <c r="E13247" s="130"/>
    </row>
    <row r="13248" spans="1:5" x14ac:dyDescent="0.25">
      <c r="A13248" s="1033"/>
      <c r="E13248" s="130"/>
    </row>
    <row r="13249" spans="1:5" x14ac:dyDescent="0.25">
      <c r="A13249" s="1033"/>
      <c r="E13249" s="130"/>
    </row>
    <row r="13250" spans="1:5" x14ac:dyDescent="0.25">
      <c r="A13250" s="1033"/>
      <c r="E13250" s="130"/>
    </row>
    <row r="13251" spans="1:5" x14ac:dyDescent="0.25">
      <c r="A13251" s="1033"/>
      <c r="E13251" s="130"/>
    </row>
    <row r="13252" spans="1:5" x14ac:dyDescent="0.25">
      <c r="A13252" s="1033"/>
      <c r="E13252" s="130"/>
    </row>
    <row r="13253" spans="1:5" x14ac:dyDescent="0.25">
      <c r="A13253" s="1033"/>
      <c r="E13253" s="130"/>
    </row>
    <row r="13254" spans="1:5" x14ac:dyDescent="0.25">
      <c r="A13254" s="1033"/>
      <c r="E13254" s="130"/>
    </row>
    <row r="13255" spans="1:5" x14ac:dyDescent="0.25">
      <c r="A13255" s="1033"/>
      <c r="E13255" s="130"/>
    </row>
    <row r="13256" spans="1:5" x14ac:dyDescent="0.25">
      <c r="A13256" s="1033"/>
      <c r="E13256" s="130"/>
    </row>
    <row r="13257" spans="1:5" x14ac:dyDescent="0.25">
      <c r="A13257" s="1033"/>
      <c r="E13257" s="130"/>
    </row>
    <row r="13258" spans="1:5" x14ac:dyDescent="0.25">
      <c r="A13258" s="1033"/>
      <c r="E13258" s="130"/>
    </row>
    <row r="13259" spans="1:5" x14ac:dyDescent="0.25">
      <c r="A13259" s="1033"/>
      <c r="E13259" s="130"/>
    </row>
    <row r="13260" spans="1:5" x14ac:dyDescent="0.25">
      <c r="A13260" s="1033"/>
      <c r="E13260" s="130"/>
    </row>
    <row r="13261" spans="1:5" x14ac:dyDescent="0.25">
      <c r="A13261" s="1033"/>
      <c r="E13261" s="130"/>
    </row>
    <row r="13262" spans="1:5" x14ac:dyDescent="0.25">
      <c r="A13262" s="1033"/>
      <c r="E13262" s="130"/>
    </row>
    <row r="13263" spans="1:5" x14ac:dyDescent="0.25">
      <c r="A13263" s="1033"/>
      <c r="E13263" s="130"/>
    </row>
    <row r="13264" spans="1:5" x14ac:dyDescent="0.25">
      <c r="A13264" s="1033"/>
      <c r="E13264" s="130"/>
    </row>
    <row r="13265" spans="1:5" x14ac:dyDescent="0.25">
      <c r="A13265" s="1033"/>
      <c r="E13265" s="130"/>
    </row>
    <row r="13266" spans="1:5" x14ac:dyDescent="0.25">
      <c r="A13266" s="1033"/>
      <c r="E13266" s="130"/>
    </row>
    <row r="13267" spans="1:5" x14ac:dyDescent="0.25">
      <c r="A13267" s="1033"/>
      <c r="E13267" s="130"/>
    </row>
    <row r="13268" spans="1:5" x14ac:dyDescent="0.25">
      <c r="A13268" s="1033"/>
      <c r="E13268" s="130"/>
    </row>
    <row r="13269" spans="1:5" x14ac:dyDescent="0.25">
      <c r="A13269" s="1033"/>
      <c r="E13269" s="130"/>
    </row>
    <row r="13270" spans="1:5" x14ac:dyDescent="0.25">
      <c r="A13270" s="1033"/>
      <c r="E13270" s="130"/>
    </row>
    <row r="13271" spans="1:5" x14ac:dyDescent="0.25">
      <c r="A13271" s="1033"/>
      <c r="E13271" s="130"/>
    </row>
    <row r="13272" spans="1:5" x14ac:dyDescent="0.25">
      <c r="A13272" s="1033"/>
      <c r="E13272" s="130"/>
    </row>
    <row r="13273" spans="1:5" x14ac:dyDescent="0.25">
      <c r="A13273" s="1033"/>
      <c r="E13273" s="130"/>
    </row>
    <row r="13274" spans="1:5" x14ac:dyDescent="0.25">
      <c r="A13274" s="1033"/>
      <c r="E13274" s="130"/>
    </row>
    <row r="13275" spans="1:5" x14ac:dyDescent="0.25">
      <c r="A13275" s="1033"/>
      <c r="E13275" s="130"/>
    </row>
    <row r="13276" spans="1:5" x14ac:dyDescent="0.25">
      <c r="A13276" s="1033"/>
      <c r="E13276" s="130"/>
    </row>
    <row r="13277" spans="1:5" x14ac:dyDescent="0.25">
      <c r="A13277" s="1033"/>
      <c r="E13277" s="130"/>
    </row>
    <row r="13278" spans="1:5" x14ac:dyDescent="0.25">
      <c r="A13278" s="1033"/>
      <c r="E13278" s="130"/>
    </row>
    <row r="13279" spans="1:5" x14ac:dyDescent="0.25">
      <c r="A13279" s="1033"/>
      <c r="E13279" s="130"/>
    </row>
    <row r="13280" spans="1:5" x14ac:dyDescent="0.25">
      <c r="A13280" s="1033"/>
      <c r="E13280" s="130"/>
    </row>
    <row r="13281" spans="1:5" x14ac:dyDescent="0.25">
      <c r="A13281" s="1033"/>
      <c r="E13281" s="130"/>
    </row>
    <row r="13282" spans="1:5" x14ac:dyDescent="0.25">
      <c r="A13282" s="1033"/>
      <c r="E13282" s="130"/>
    </row>
    <row r="13283" spans="1:5" x14ac:dyDescent="0.25">
      <c r="A13283" s="1033"/>
      <c r="E13283" s="130"/>
    </row>
    <row r="13284" spans="1:5" x14ac:dyDescent="0.25">
      <c r="A13284" s="1033"/>
      <c r="E13284" s="130"/>
    </row>
    <row r="13285" spans="1:5" x14ac:dyDescent="0.25">
      <c r="A13285" s="1033"/>
      <c r="E13285" s="130"/>
    </row>
    <row r="13286" spans="1:5" x14ac:dyDescent="0.25">
      <c r="A13286" s="1033"/>
      <c r="E13286" s="130"/>
    </row>
    <row r="13287" spans="1:5" x14ac:dyDescent="0.25">
      <c r="A13287" s="1033"/>
      <c r="E13287" s="130"/>
    </row>
    <row r="13288" spans="1:5" x14ac:dyDescent="0.25">
      <c r="A13288" s="1033"/>
      <c r="E13288" s="130"/>
    </row>
    <row r="13289" spans="1:5" x14ac:dyDescent="0.25">
      <c r="A13289" s="1033"/>
      <c r="E13289" s="130"/>
    </row>
    <row r="13290" spans="1:5" x14ac:dyDescent="0.25">
      <c r="A13290" s="1033"/>
      <c r="E13290" s="130"/>
    </row>
    <row r="13291" spans="1:5" x14ac:dyDescent="0.25">
      <c r="A13291" s="1033"/>
      <c r="E13291" s="130"/>
    </row>
    <row r="13292" spans="1:5" x14ac:dyDescent="0.25">
      <c r="A13292" s="1033"/>
      <c r="E13292" s="130"/>
    </row>
    <row r="13293" spans="1:5" x14ac:dyDescent="0.25">
      <c r="A13293" s="1033"/>
      <c r="E13293" s="130"/>
    </row>
    <row r="13294" spans="1:5" x14ac:dyDescent="0.25">
      <c r="A13294" s="1033"/>
      <c r="E13294" s="130"/>
    </row>
    <row r="13295" spans="1:5" x14ac:dyDescent="0.25">
      <c r="A13295" s="1033"/>
      <c r="E13295" s="130"/>
    </row>
    <row r="13296" spans="1:5" x14ac:dyDescent="0.25">
      <c r="A13296" s="1033"/>
      <c r="E13296" s="130"/>
    </row>
    <row r="13297" spans="1:5" x14ac:dyDescent="0.25">
      <c r="A13297" s="1033"/>
      <c r="E13297" s="130"/>
    </row>
    <row r="13298" spans="1:5" x14ac:dyDescent="0.25">
      <c r="A13298" s="1033"/>
      <c r="E13298" s="130"/>
    </row>
    <row r="13299" spans="1:5" x14ac:dyDescent="0.25">
      <c r="A13299" s="1033"/>
      <c r="E13299" s="130"/>
    </row>
    <row r="13300" spans="1:5" x14ac:dyDescent="0.25">
      <c r="A13300" s="1033"/>
      <c r="E13300" s="130"/>
    </row>
    <row r="13301" spans="1:5" x14ac:dyDescent="0.25">
      <c r="A13301" s="1033"/>
      <c r="E13301" s="130"/>
    </row>
    <row r="13302" spans="1:5" x14ac:dyDescent="0.25">
      <c r="A13302" s="1033"/>
      <c r="E13302" s="130"/>
    </row>
    <row r="13303" spans="1:5" x14ac:dyDescent="0.25">
      <c r="A13303" s="1033"/>
      <c r="E13303" s="130"/>
    </row>
    <row r="13304" spans="1:5" x14ac:dyDescent="0.25">
      <c r="A13304" s="1033"/>
      <c r="E13304" s="130"/>
    </row>
    <row r="13305" spans="1:5" x14ac:dyDescent="0.25">
      <c r="A13305" s="1033"/>
      <c r="E13305" s="130"/>
    </row>
    <row r="13306" spans="1:5" x14ac:dyDescent="0.25">
      <c r="A13306" s="1033"/>
      <c r="E13306" s="130"/>
    </row>
    <row r="13307" spans="1:5" x14ac:dyDescent="0.25">
      <c r="A13307" s="1033"/>
      <c r="E13307" s="130"/>
    </row>
    <row r="13308" spans="1:5" x14ac:dyDescent="0.25">
      <c r="A13308" s="1033"/>
      <c r="E13308" s="130"/>
    </row>
    <row r="13309" spans="1:5" x14ac:dyDescent="0.25">
      <c r="A13309" s="1033"/>
      <c r="E13309" s="130"/>
    </row>
    <row r="13310" spans="1:5" x14ac:dyDescent="0.25">
      <c r="A13310" s="1033"/>
      <c r="E13310" s="130"/>
    </row>
    <row r="13311" spans="1:5" x14ac:dyDescent="0.25">
      <c r="A13311" s="1033"/>
      <c r="E13311" s="130"/>
    </row>
    <row r="13312" spans="1:5" x14ac:dyDescent="0.25">
      <c r="A13312" s="1033"/>
      <c r="E13312" s="130"/>
    </row>
    <row r="13313" spans="1:5" x14ac:dyDescent="0.25">
      <c r="A13313" s="1033"/>
      <c r="E13313" s="130"/>
    </row>
    <row r="13314" spans="1:5" x14ac:dyDescent="0.25">
      <c r="A13314" s="1033"/>
      <c r="E13314" s="130"/>
    </row>
    <row r="13315" spans="1:5" x14ac:dyDescent="0.25">
      <c r="A13315" s="1033"/>
      <c r="E13315" s="130"/>
    </row>
    <row r="13316" spans="1:5" x14ac:dyDescent="0.25">
      <c r="A13316" s="1033"/>
      <c r="E13316" s="130"/>
    </row>
    <row r="13317" spans="1:5" x14ac:dyDescent="0.25">
      <c r="A13317" s="1033"/>
      <c r="E13317" s="130"/>
    </row>
    <row r="13318" spans="1:5" x14ac:dyDescent="0.25">
      <c r="A13318" s="1033"/>
      <c r="E13318" s="130"/>
    </row>
    <row r="13319" spans="1:5" x14ac:dyDescent="0.25">
      <c r="A13319" s="1033"/>
      <c r="E13319" s="130"/>
    </row>
    <row r="13320" spans="1:5" x14ac:dyDescent="0.25">
      <c r="A13320" s="1033"/>
      <c r="E13320" s="130"/>
    </row>
    <row r="13321" spans="1:5" x14ac:dyDescent="0.25">
      <c r="A13321" s="1033"/>
      <c r="E13321" s="130"/>
    </row>
    <row r="13322" spans="1:5" x14ac:dyDescent="0.25">
      <c r="A13322" s="1033"/>
      <c r="E13322" s="130"/>
    </row>
    <row r="13323" spans="1:5" x14ac:dyDescent="0.25">
      <c r="A13323" s="1033"/>
      <c r="E13323" s="130"/>
    </row>
    <row r="13324" spans="1:5" x14ac:dyDescent="0.25">
      <c r="A13324" s="1033"/>
      <c r="E13324" s="130"/>
    </row>
    <row r="13325" spans="1:5" x14ac:dyDescent="0.25">
      <c r="A13325" s="1033"/>
      <c r="E13325" s="130"/>
    </row>
    <row r="13326" spans="1:5" x14ac:dyDescent="0.25">
      <c r="A13326" s="1033"/>
      <c r="E13326" s="130"/>
    </row>
    <row r="13327" spans="1:5" x14ac:dyDescent="0.25">
      <c r="A13327" s="1033"/>
      <c r="E13327" s="130"/>
    </row>
    <row r="13328" spans="1:5" x14ac:dyDescent="0.25">
      <c r="A13328" s="1033"/>
      <c r="E13328" s="130"/>
    </row>
    <row r="13329" spans="1:5" x14ac:dyDescent="0.25">
      <c r="A13329" s="1033"/>
      <c r="E13329" s="130"/>
    </row>
    <row r="13330" spans="1:5" x14ac:dyDescent="0.25">
      <c r="A13330" s="1033"/>
      <c r="E13330" s="130"/>
    </row>
    <row r="13331" spans="1:5" x14ac:dyDescent="0.25">
      <c r="A13331" s="1033"/>
      <c r="E13331" s="130"/>
    </row>
    <row r="13332" spans="1:5" x14ac:dyDescent="0.25">
      <c r="A13332" s="1033"/>
      <c r="E13332" s="130"/>
    </row>
    <row r="13333" spans="1:5" x14ac:dyDescent="0.25">
      <c r="A13333" s="1033"/>
      <c r="E13333" s="130"/>
    </row>
    <row r="13334" spans="1:5" x14ac:dyDescent="0.25">
      <c r="A13334" s="1033"/>
      <c r="E13334" s="130"/>
    </row>
    <row r="13335" spans="1:5" x14ac:dyDescent="0.25">
      <c r="A13335" s="1033"/>
      <c r="E13335" s="130"/>
    </row>
    <row r="13336" spans="1:5" x14ac:dyDescent="0.25">
      <c r="A13336" s="1033"/>
      <c r="E13336" s="130"/>
    </row>
    <row r="13337" spans="1:5" x14ac:dyDescent="0.25">
      <c r="A13337" s="1033"/>
      <c r="E13337" s="130"/>
    </row>
    <row r="13338" spans="1:5" x14ac:dyDescent="0.25">
      <c r="A13338" s="1033"/>
      <c r="E13338" s="130"/>
    </row>
    <row r="13339" spans="1:5" x14ac:dyDescent="0.25">
      <c r="A13339" s="1033"/>
      <c r="E13339" s="130"/>
    </row>
    <row r="13340" spans="1:5" x14ac:dyDescent="0.25">
      <c r="A13340" s="1033"/>
      <c r="E13340" s="130"/>
    </row>
    <row r="13341" spans="1:5" x14ac:dyDescent="0.25">
      <c r="A13341" s="1033"/>
      <c r="E13341" s="130"/>
    </row>
    <row r="13342" spans="1:5" x14ac:dyDescent="0.25">
      <c r="A13342" s="1033"/>
      <c r="E13342" s="130"/>
    </row>
    <row r="13343" spans="1:5" x14ac:dyDescent="0.25">
      <c r="A13343" s="1033"/>
      <c r="E13343" s="130"/>
    </row>
    <row r="13344" spans="1:5" x14ac:dyDescent="0.25">
      <c r="A13344" s="1033"/>
      <c r="E13344" s="130"/>
    </row>
    <row r="13345" spans="1:5" x14ac:dyDescent="0.25">
      <c r="A13345" s="1033"/>
      <c r="E13345" s="130"/>
    </row>
    <row r="13346" spans="1:5" x14ac:dyDescent="0.25">
      <c r="A13346" s="1033"/>
      <c r="E13346" s="130"/>
    </row>
    <row r="13347" spans="1:5" x14ac:dyDescent="0.25">
      <c r="A13347" s="1033"/>
      <c r="E13347" s="130"/>
    </row>
    <row r="13348" spans="1:5" x14ac:dyDescent="0.25">
      <c r="A13348" s="1033"/>
      <c r="E13348" s="130"/>
    </row>
    <row r="13349" spans="1:5" x14ac:dyDescent="0.25">
      <c r="A13349" s="1033"/>
      <c r="E13349" s="130"/>
    </row>
    <row r="13350" spans="1:5" x14ac:dyDescent="0.25">
      <c r="A13350" s="1033"/>
      <c r="E13350" s="130"/>
    </row>
    <row r="13351" spans="1:5" x14ac:dyDescent="0.25">
      <c r="A13351" s="1033"/>
      <c r="E13351" s="130"/>
    </row>
    <row r="13352" spans="1:5" x14ac:dyDescent="0.25">
      <c r="A13352" s="1033"/>
      <c r="E13352" s="130"/>
    </row>
    <row r="13353" spans="1:5" x14ac:dyDescent="0.25">
      <c r="A13353" s="1033"/>
      <c r="E13353" s="130"/>
    </row>
    <row r="13354" spans="1:5" x14ac:dyDescent="0.25">
      <c r="A13354" s="1033"/>
      <c r="E13354" s="130"/>
    </row>
    <row r="13355" spans="1:5" x14ac:dyDescent="0.25">
      <c r="A13355" s="1033"/>
      <c r="E13355" s="130"/>
    </row>
    <row r="13356" spans="1:5" x14ac:dyDescent="0.25">
      <c r="A13356" s="1033"/>
      <c r="E13356" s="130"/>
    </row>
    <row r="13357" spans="1:5" x14ac:dyDescent="0.25">
      <c r="A13357" s="1033"/>
      <c r="E13357" s="130"/>
    </row>
    <row r="13358" spans="1:5" x14ac:dyDescent="0.25">
      <c r="A13358" s="1033"/>
      <c r="E13358" s="130"/>
    </row>
    <row r="13359" spans="1:5" x14ac:dyDescent="0.25">
      <c r="A13359" s="1033"/>
      <c r="E13359" s="130"/>
    </row>
    <row r="13360" spans="1:5" x14ac:dyDescent="0.25">
      <c r="A13360" s="1033"/>
      <c r="E13360" s="130"/>
    </row>
    <row r="13361" spans="1:5" x14ac:dyDescent="0.25">
      <c r="A13361" s="1033"/>
      <c r="E13361" s="130"/>
    </row>
    <row r="13362" spans="1:5" x14ac:dyDescent="0.25">
      <c r="A13362" s="1033"/>
      <c r="E13362" s="130"/>
    </row>
    <row r="13363" spans="1:5" x14ac:dyDescent="0.25">
      <c r="A13363" s="1033"/>
      <c r="E13363" s="130"/>
    </row>
    <row r="13364" spans="1:5" x14ac:dyDescent="0.25">
      <c r="A13364" s="1033"/>
      <c r="E13364" s="130"/>
    </row>
    <row r="13365" spans="1:5" x14ac:dyDescent="0.25">
      <c r="A13365" s="1033"/>
      <c r="E13365" s="130"/>
    </row>
    <row r="13366" spans="1:5" x14ac:dyDescent="0.25">
      <c r="A13366" s="1033"/>
      <c r="E13366" s="130"/>
    </row>
    <row r="13367" spans="1:5" x14ac:dyDescent="0.25">
      <c r="A13367" s="1033"/>
      <c r="E13367" s="130"/>
    </row>
    <row r="13368" spans="1:5" x14ac:dyDescent="0.25">
      <c r="A13368" s="1033"/>
      <c r="E13368" s="130"/>
    </row>
    <row r="13369" spans="1:5" x14ac:dyDescent="0.25">
      <c r="A13369" s="1033"/>
      <c r="E13369" s="130"/>
    </row>
    <row r="13370" spans="1:5" x14ac:dyDescent="0.25">
      <c r="A13370" s="1033"/>
      <c r="E13370" s="130"/>
    </row>
    <row r="13371" spans="1:5" x14ac:dyDescent="0.25">
      <c r="A13371" s="1033"/>
      <c r="E13371" s="130"/>
    </row>
    <row r="13372" spans="1:5" x14ac:dyDescent="0.25">
      <c r="A13372" s="1033"/>
      <c r="E13372" s="130"/>
    </row>
    <row r="13373" spans="1:5" x14ac:dyDescent="0.25">
      <c r="A13373" s="1033"/>
      <c r="E13373" s="130"/>
    </row>
    <row r="13374" spans="1:5" x14ac:dyDescent="0.25">
      <c r="A13374" s="1033"/>
      <c r="E13374" s="130"/>
    </row>
    <row r="13375" spans="1:5" x14ac:dyDescent="0.25">
      <c r="A13375" s="1033"/>
      <c r="E13375" s="130"/>
    </row>
    <row r="13376" spans="1:5" x14ac:dyDescent="0.25">
      <c r="A13376" s="1033"/>
      <c r="E13376" s="130"/>
    </row>
    <row r="13377" spans="1:5" x14ac:dyDescent="0.25">
      <c r="A13377" s="1033"/>
      <c r="E13377" s="130"/>
    </row>
    <row r="13378" spans="1:5" x14ac:dyDescent="0.25">
      <c r="A13378" s="1033"/>
      <c r="E13378" s="130"/>
    </row>
    <row r="13379" spans="1:5" x14ac:dyDescent="0.25">
      <c r="A13379" s="1033"/>
      <c r="E13379" s="130"/>
    </row>
    <row r="13380" spans="1:5" x14ac:dyDescent="0.25">
      <c r="A13380" s="1033"/>
      <c r="E13380" s="130"/>
    </row>
    <row r="13381" spans="1:5" x14ac:dyDescent="0.25">
      <c r="A13381" s="1033"/>
      <c r="E13381" s="130"/>
    </row>
    <row r="13382" spans="1:5" x14ac:dyDescent="0.25">
      <c r="A13382" s="1033"/>
      <c r="E13382" s="130"/>
    </row>
    <row r="13383" spans="1:5" x14ac:dyDescent="0.25">
      <c r="A13383" s="1033"/>
      <c r="E13383" s="130"/>
    </row>
    <row r="13384" spans="1:5" x14ac:dyDescent="0.25">
      <c r="A13384" s="1033"/>
      <c r="E13384" s="130"/>
    </row>
    <row r="13385" spans="1:5" x14ac:dyDescent="0.25">
      <c r="A13385" s="1033"/>
      <c r="E13385" s="130"/>
    </row>
    <row r="13386" spans="1:5" x14ac:dyDescent="0.25">
      <c r="A13386" s="1033"/>
      <c r="E13386" s="130"/>
    </row>
    <row r="13387" spans="1:5" x14ac:dyDescent="0.25">
      <c r="A13387" s="1033"/>
      <c r="E13387" s="130"/>
    </row>
    <row r="13388" spans="1:5" x14ac:dyDescent="0.25">
      <c r="A13388" s="1033"/>
      <c r="E13388" s="130"/>
    </row>
    <row r="13389" spans="1:5" x14ac:dyDescent="0.25">
      <c r="A13389" s="1033"/>
      <c r="E13389" s="130"/>
    </row>
    <row r="13390" spans="1:5" x14ac:dyDescent="0.25">
      <c r="A13390" s="1033"/>
      <c r="E13390" s="130"/>
    </row>
    <row r="13391" spans="1:5" x14ac:dyDescent="0.25">
      <c r="A13391" s="1033"/>
      <c r="E13391" s="130"/>
    </row>
    <row r="13392" spans="1:5" x14ac:dyDescent="0.25">
      <c r="A13392" s="1033"/>
      <c r="E13392" s="130"/>
    </row>
    <row r="13393" spans="1:5" x14ac:dyDescent="0.25">
      <c r="A13393" s="1033"/>
      <c r="E13393" s="130"/>
    </row>
    <row r="13394" spans="1:5" x14ac:dyDescent="0.25">
      <c r="A13394" s="1033"/>
      <c r="E13394" s="130"/>
    </row>
    <row r="13395" spans="1:5" x14ac:dyDescent="0.25">
      <c r="A13395" s="1033"/>
      <c r="E13395" s="130"/>
    </row>
    <row r="13396" spans="1:5" x14ac:dyDescent="0.25">
      <c r="A13396" s="1033"/>
      <c r="E13396" s="130"/>
    </row>
    <row r="13397" spans="1:5" x14ac:dyDescent="0.25">
      <c r="A13397" s="1033"/>
      <c r="E13397" s="130"/>
    </row>
    <row r="13398" spans="1:5" x14ac:dyDescent="0.25">
      <c r="A13398" s="1033"/>
      <c r="E13398" s="130"/>
    </row>
    <row r="13399" spans="1:5" x14ac:dyDescent="0.25">
      <c r="A13399" s="1033"/>
      <c r="E13399" s="130"/>
    </row>
    <row r="13400" spans="1:5" x14ac:dyDescent="0.25">
      <c r="A13400" s="1033"/>
      <c r="E13400" s="130"/>
    </row>
    <row r="13401" spans="1:5" x14ac:dyDescent="0.25">
      <c r="A13401" s="1033"/>
      <c r="E13401" s="130"/>
    </row>
    <row r="13402" spans="1:5" x14ac:dyDescent="0.25">
      <c r="A13402" s="1033"/>
      <c r="E13402" s="130"/>
    </row>
    <row r="13403" spans="1:5" x14ac:dyDescent="0.25">
      <c r="A13403" s="1033"/>
      <c r="E13403" s="130"/>
    </row>
    <row r="13404" spans="1:5" x14ac:dyDescent="0.25">
      <c r="A13404" s="1033"/>
      <c r="E13404" s="130"/>
    </row>
    <row r="13405" spans="1:5" x14ac:dyDescent="0.25">
      <c r="A13405" s="1033"/>
      <c r="E13405" s="130"/>
    </row>
    <row r="13406" spans="1:5" x14ac:dyDescent="0.25">
      <c r="A13406" s="1033"/>
      <c r="E13406" s="130"/>
    </row>
    <row r="13407" spans="1:5" x14ac:dyDescent="0.25">
      <c r="A13407" s="1033"/>
      <c r="E13407" s="130"/>
    </row>
    <row r="13408" spans="1:5" x14ac:dyDescent="0.25">
      <c r="A13408" s="1033"/>
      <c r="E13408" s="130"/>
    </row>
    <row r="13409" spans="1:5" x14ac:dyDescent="0.25">
      <c r="A13409" s="1033"/>
      <c r="E13409" s="130"/>
    </row>
    <row r="13410" spans="1:5" x14ac:dyDescent="0.25">
      <c r="A13410" s="1033"/>
      <c r="E13410" s="130"/>
    </row>
    <row r="13411" spans="1:5" x14ac:dyDescent="0.25">
      <c r="A13411" s="1033"/>
      <c r="E13411" s="130"/>
    </row>
    <row r="13412" spans="1:5" x14ac:dyDescent="0.25">
      <c r="A13412" s="1033"/>
      <c r="E13412" s="130"/>
    </row>
    <row r="13413" spans="1:5" x14ac:dyDescent="0.25">
      <c r="A13413" s="1033"/>
      <c r="E13413" s="130"/>
    </row>
    <row r="13414" spans="1:5" x14ac:dyDescent="0.25">
      <c r="A13414" s="1033"/>
      <c r="E13414" s="130"/>
    </row>
    <row r="13415" spans="1:5" x14ac:dyDescent="0.25">
      <c r="A13415" s="1033"/>
      <c r="E13415" s="130"/>
    </row>
    <row r="13416" spans="1:5" x14ac:dyDescent="0.25">
      <c r="A13416" s="1033"/>
      <c r="E13416" s="130"/>
    </row>
    <row r="13417" spans="1:5" x14ac:dyDescent="0.25">
      <c r="A13417" s="1033"/>
      <c r="E13417" s="130"/>
    </row>
    <row r="13418" spans="1:5" x14ac:dyDescent="0.25">
      <c r="A13418" s="1033"/>
      <c r="E13418" s="130"/>
    </row>
    <row r="13419" spans="1:5" x14ac:dyDescent="0.25">
      <c r="A13419" s="1033"/>
      <c r="E13419" s="130"/>
    </row>
    <row r="13420" spans="1:5" x14ac:dyDescent="0.25">
      <c r="A13420" s="1033"/>
      <c r="E13420" s="130"/>
    </row>
    <row r="13421" spans="1:5" x14ac:dyDescent="0.25">
      <c r="A13421" s="1033"/>
      <c r="E13421" s="130"/>
    </row>
    <row r="13422" spans="1:5" x14ac:dyDescent="0.25">
      <c r="A13422" s="1033"/>
      <c r="E13422" s="130"/>
    </row>
    <row r="13423" spans="1:5" x14ac:dyDescent="0.25">
      <c r="A13423" s="1033"/>
      <c r="E13423" s="130"/>
    </row>
    <row r="13424" spans="1:5" x14ac:dyDescent="0.25">
      <c r="A13424" s="1033"/>
      <c r="E13424" s="130"/>
    </row>
    <row r="13425" spans="1:5" x14ac:dyDescent="0.25">
      <c r="A13425" s="1033"/>
      <c r="E13425" s="130"/>
    </row>
    <row r="13426" spans="1:5" x14ac:dyDescent="0.25">
      <c r="A13426" s="1033"/>
      <c r="E13426" s="130"/>
    </row>
    <row r="13427" spans="1:5" x14ac:dyDescent="0.25">
      <c r="A13427" s="1033"/>
      <c r="E13427" s="130"/>
    </row>
    <row r="13428" spans="1:5" x14ac:dyDescent="0.25">
      <c r="A13428" s="1033"/>
      <c r="E13428" s="130"/>
    </row>
    <row r="13429" spans="1:5" x14ac:dyDescent="0.25">
      <c r="A13429" s="1033"/>
      <c r="E13429" s="130"/>
    </row>
    <row r="13430" spans="1:5" x14ac:dyDescent="0.25">
      <c r="A13430" s="1033"/>
      <c r="E13430" s="130"/>
    </row>
    <row r="13431" spans="1:5" x14ac:dyDescent="0.25">
      <c r="A13431" s="1033"/>
      <c r="E13431" s="130"/>
    </row>
    <row r="13432" spans="1:5" x14ac:dyDescent="0.25">
      <c r="A13432" s="1033"/>
      <c r="E13432" s="130"/>
    </row>
    <row r="13433" spans="1:5" x14ac:dyDescent="0.25">
      <c r="A13433" s="1033"/>
      <c r="E13433" s="130"/>
    </row>
    <row r="13434" spans="1:5" x14ac:dyDescent="0.25">
      <c r="A13434" s="1033"/>
      <c r="E13434" s="130"/>
    </row>
    <row r="13435" spans="1:5" x14ac:dyDescent="0.25">
      <c r="A13435" s="1033"/>
      <c r="E13435" s="130"/>
    </row>
    <row r="13436" spans="1:5" x14ac:dyDescent="0.25">
      <c r="A13436" s="1033"/>
      <c r="E13436" s="130"/>
    </row>
    <row r="13437" spans="1:5" x14ac:dyDescent="0.25">
      <c r="A13437" s="1033"/>
      <c r="E13437" s="130"/>
    </row>
    <row r="13438" spans="1:5" x14ac:dyDescent="0.25">
      <c r="A13438" s="1033"/>
      <c r="E13438" s="130"/>
    </row>
    <row r="13439" spans="1:5" x14ac:dyDescent="0.25">
      <c r="A13439" s="1033"/>
      <c r="E13439" s="130"/>
    </row>
    <row r="13440" spans="1:5" x14ac:dyDescent="0.25">
      <c r="A13440" s="1033"/>
      <c r="E13440" s="130"/>
    </row>
    <row r="13441" spans="1:5" x14ac:dyDescent="0.25">
      <c r="A13441" s="1033"/>
      <c r="E13441" s="130"/>
    </row>
    <row r="13442" spans="1:5" x14ac:dyDescent="0.25">
      <c r="A13442" s="1033"/>
      <c r="E13442" s="130"/>
    </row>
    <row r="13443" spans="1:5" x14ac:dyDescent="0.25">
      <c r="A13443" s="1033"/>
      <c r="E13443" s="130"/>
    </row>
    <row r="13444" spans="1:5" x14ac:dyDescent="0.25">
      <c r="A13444" s="1033"/>
      <c r="E13444" s="130"/>
    </row>
    <row r="13445" spans="1:5" x14ac:dyDescent="0.25">
      <c r="A13445" s="1033"/>
      <c r="E13445" s="130"/>
    </row>
    <row r="13446" spans="1:5" x14ac:dyDescent="0.25">
      <c r="A13446" s="1033"/>
      <c r="E13446" s="130"/>
    </row>
    <row r="13447" spans="1:5" x14ac:dyDescent="0.25">
      <c r="A13447" s="1033"/>
      <c r="E13447" s="130"/>
    </row>
    <row r="13448" spans="1:5" x14ac:dyDescent="0.25">
      <c r="A13448" s="1033"/>
      <c r="E13448" s="130"/>
    </row>
    <row r="13449" spans="1:5" x14ac:dyDescent="0.25">
      <c r="A13449" s="1033"/>
      <c r="E13449" s="130"/>
    </row>
    <row r="13450" spans="1:5" x14ac:dyDescent="0.25">
      <c r="A13450" s="1033"/>
      <c r="E13450" s="130"/>
    </row>
    <row r="13451" spans="1:5" x14ac:dyDescent="0.25">
      <c r="A13451" s="1033"/>
      <c r="E13451" s="130"/>
    </row>
    <row r="13452" spans="1:5" x14ac:dyDescent="0.25">
      <c r="A13452" s="1033"/>
      <c r="E13452" s="130"/>
    </row>
    <row r="13453" spans="1:5" x14ac:dyDescent="0.25">
      <c r="A13453" s="1033"/>
      <c r="E13453" s="130"/>
    </row>
    <row r="13454" spans="1:5" x14ac:dyDescent="0.25">
      <c r="A13454" s="1033"/>
      <c r="E13454" s="130"/>
    </row>
    <row r="13455" spans="1:5" x14ac:dyDescent="0.25">
      <c r="A13455" s="1033"/>
      <c r="E13455" s="130"/>
    </row>
    <row r="13456" spans="1:5" x14ac:dyDescent="0.25">
      <c r="A13456" s="1033"/>
      <c r="E13456" s="130"/>
    </row>
    <row r="13457" spans="1:5" x14ac:dyDescent="0.25">
      <c r="A13457" s="1033"/>
      <c r="E13457" s="130"/>
    </row>
    <row r="13458" spans="1:5" x14ac:dyDescent="0.25">
      <c r="A13458" s="1033"/>
      <c r="E13458" s="130"/>
    </row>
    <row r="13459" spans="1:5" x14ac:dyDescent="0.25">
      <c r="A13459" s="1033"/>
      <c r="E13459" s="130"/>
    </row>
    <row r="13460" spans="1:5" x14ac:dyDescent="0.25">
      <c r="A13460" s="1033"/>
      <c r="E13460" s="130"/>
    </row>
    <row r="13461" spans="1:5" x14ac:dyDescent="0.25">
      <c r="A13461" s="1033"/>
      <c r="E13461" s="130"/>
    </row>
    <row r="13462" spans="1:5" x14ac:dyDescent="0.25">
      <c r="A13462" s="1033"/>
      <c r="E13462" s="130"/>
    </row>
    <row r="13463" spans="1:5" x14ac:dyDescent="0.25">
      <c r="A13463" s="1033"/>
      <c r="E13463" s="130"/>
    </row>
    <row r="13464" spans="1:5" x14ac:dyDescent="0.25">
      <c r="A13464" s="1033"/>
      <c r="E13464" s="130"/>
    </row>
    <row r="13465" spans="1:5" x14ac:dyDescent="0.25">
      <c r="A13465" s="1033"/>
      <c r="E13465" s="130"/>
    </row>
    <row r="13466" spans="1:5" x14ac:dyDescent="0.25">
      <c r="A13466" s="1033"/>
      <c r="E13466" s="130"/>
    </row>
    <row r="13467" spans="1:5" x14ac:dyDescent="0.25">
      <c r="A13467" s="1033"/>
      <c r="E13467" s="130"/>
    </row>
    <row r="13468" spans="1:5" x14ac:dyDescent="0.25">
      <c r="A13468" s="1033"/>
      <c r="E13468" s="130"/>
    </row>
    <row r="13469" spans="1:5" x14ac:dyDescent="0.25">
      <c r="A13469" s="1033"/>
      <c r="E13469" s="130"/>
    </row>
    <row r="13470" spans="1:5" x14ac:dyDescent="0.25">
      <c r="A13470" s="1033"/>
      <c r="E13470" s="130"/>
    </row>
    <row r="13471" spans="1:5" x14ac:dyDescent="0.25">
      <c r="A13471" s="1033"/>
      <c r="E13471" s="130"/>
    </row>
    <row r="13472" spans="1:5" x14ac:dyDescent="0.25">
      <c r="A13472" s="1033"/>
      <c r="E13472" s="130"/>
    </row>
    <row r="13473" spans="1:5" x14ac:dyDescent="0.25">
      <c r="A13473" s="1033"/>
      <c r="E13473" s="130"/>
    </row>
    <row r="13474" spans="1:5" x14ac:dyDescent="0.25">
      <c r="A13474" s="1033"/>
      <c r="E13474" s="130"/>
    </row>
    <row r="13475" spans="1:5" x14ac:dyDescent="0.25">
      <c r="A13475" s="1033"/>
      <c r="E13475" s="130"/>
    </row>
    <row r="13476" spans="1:5" x14ac:dyDescent="0.25">
      <c r="A13476" s="1033"/>
      <c r="E13476" s="130"/>
    </row>
    <row r="13477" spans="1:5" x14ac:dyDescent="0.25">
      <c r="A13477" s="1033"/>
      <c r="E13477" s="130"/>
    </row>
    <row r="13478" spans="1:5" x14ac:dyDescent="0.25">
      <c r="A13478" s="1033"/>
      <c r="E13478" s="130"/>
    </row>
    <row r="13479" spans="1:5" x14ac:dyDescent="0.25">
      <c r="A13479" s="1033"/>
      <c r="E13479" s="130"/>
    </row>
    <row r="13480" spans="1:5" x14ac:dyDescent="0.25">
      <c r="A13480" s="1033"/>
      <c r="E13480" s="130"/>
    </row>
    <row r="13481" spans="1:5" x14ac:dyDescent="0.25">
      <c r="A13481" s="1033"/>
      <c r="E13481" s="130"/>
    </row>
    <row r="13482" spans="1:5" x14ac:dyDescent="0.25">
      <c r="A13482" s="1033"/>
      <c r="E13482" s="130"/>
    </row>
    <row r="13483" spans="1:5" x14ac:dyDescent="0.25">
      <c r="A13483" s="1033"/>
      <c r="E13483" s="130"/>
    </row>
    <row r="13484" spans="1:5" x14ac:dyDescent="0.25">
      <c r="A13484" s="1033"/>
      <c r="E13484" s="130"/>
    </row>
    <row r="13485" spans="1:5" x14ac:dyDescent="0.25">
      <c r="A13485" s="1033"/>
      <c r="E13485" s="130"/>
    </row>
    <row r="13486" spans="1:5" x14ac:dyDescent="0.25">
      <c r="A13486" s="1033"/>
      <c r="E13486" s="130"/>
    </row>
    <row r="13487" spans="1:5" x14ac:dyDescent="0.25">
      <c r="A13487" s="1033"/>
      <c r="E13487" s="130"/>
    </row>
    <row r="13488" spans="1:5" x14ac:dyDescent="0.25">
      <c r="A13488" s="1033"/>
      <c r="E13488" s="130"/>
    </row>
    <row r="13489" spans="1:5" x14ac:dyDescent="0.25">
      <c r="A13489" s="1033"/>
      <c r="E13489" s="130"/>
    </row>
    <row r="13490" spans="1:5" x14ac:dyDescent="0.25">
      <c r="A13490" s="1033"/>
      <c r="E13490" s="130"/>
    </row>
    <row r="13491" spans="1:5" x14ac:dyDescent="0.25">
      <c r="A13491" s="1033"/>
      <c r="E13491" s="130"/>
    </row>
    <row r="13492" spans="1:5" x14ac:dyDescent="0.25">
      <c r="A13492" s="1033"/>
      <c r="E13492" s="130"/>
    </row>
    <row r="13493" spans="1:5" x14ac:dyDescent="0.25">
      <c r="A13493" s="1033"/>
      <c r="E13493" s="130"/>
    </row>
    <row r="13494" spans="1:5" x14ac:dyDescent="0.25">
      <c r="A13494" s="1033"/>
      <c r="E13494" s="130"/>
    </row>
    <row r="13495" spans="1:5" x14ac:dyDescent="0.25">
      <c r="A13495" s="1033"/>
      <c r="E13495" s="130"/>
    </row>
    <row r="13496" spans="1:5" x14ac:dyDescent="0.25">
      <c r="A13496" s="1033"/>
      <c r="E13496" s="130"/>
    </row>
    <row r="13497" spans="1:5" x14ac:dyDescent="0.25">
      <c r="A13497" s="1033"/>
      <c r="E13497" s="130"/>
    </row>
    <row r="13498" spans="1:5" x14ac:dyDescent="0.25">
      <c r="A13498" s="1033"/>
      <c r="E13498" s="130"/>
    </row>
    <row r="13499" spans="1:5" x14ac:dyDescent="0.25">
      <c r="A13499" s="1033"/>
      <c r="E13499" s="130"/>
    </row>
    <row r="13500" spans="1:5" x14ac:dyDescent="0.25">
      <c r="A13500" s="1033"/>
      <c r="E13500" s="130"/>
    </row>
    <row r="13501" spans="1:5" x14ac:dyDescent="0.25">
      <c r="A13501" s="1033"/>
      <c r="E13501" s="130"/>
    </row>
    <row r="13502" spans="1:5" x14ac:dyDescent="0.25">
      <c r="A13502" s="1033"/>
      <c r="E13502" s="130"/>
    </row>
    <row r="13503" spans="1:5" x14ac:dyDescent="0.25">
      <c r="A13503" s="1033"/>
      <c r="E13503" s="130"/>
    </row>
    <row r="13504" spans="1:5" x14ac:dyDescent="0.25">
      <c r="A13504" s="1033"/>
      <c r="E13504" s="130"/>
    </row>
    <row r="13505" spans="1:5" x14ac:dyDescent="0.25">
      <c r="A13505" s="1033"/>
      <c r="E13505" s="130"/>
    </row>
    <row r="13506" spans="1:5" x14ac:dyDescent="0.25">
      <c r="A13506" s="1033"/>
      <c r="E13506" s="130"/>
    </row>
    <row r="13507" spans="1:5" x14ac:dyDescent="0.25">
      <c r="A13507" s="1033"/>
      <c r="E13507" s="130"/>
    </row>
    <row r="13508" spans="1:5" x14ac:dyDescent="0.25">
      <c r="A13508" s="1033"/>
      <c r="E13508" s="130"/>
    </row>
    <row r="13509" spans="1:5" x14ac:dyDescent="0.25">
      <c r="A13509" s="1033"/>
      <c r="E13509" s="130"/>
    </row>
    <row r="13510" spans="1:5" x14ac:dyDescent="0.25">
      <c r="A13510" s="1033"/>
      <c r="E13510" s="130"/>
    </row>
    <row r="13511" spans="1:5" x14ac:dyDescent="0.25">
      <c r="A13511" s="1033"/>
      <c r="E13511" s="130"/>
    </row>
    <row r="13512" spans="1:5" x14ac:dyDescent="0.25">
      <c r="A13512" s="1033"/>
      <c r="E13512" s="130"/>
    </row>
    <row r="13513" spans="1:5" x14ac:dyDescent="0.25">
      <c r="A13513" s="1033"/>
      <c r="E13513" s="130"/>
    </row>
    <row r="13514" spans="1:5" x14ac:dyDescent="0.25">
      <c r="A13514" s="1033"/>
      <c r="E13514" s="130"/>
    </row>
    <row r="13515" spans="1:5" x14ac:dyDescent="0.25">
      <c r="A13515" s="1033"/>
      <c r="E13515" s="130"/>
    </row>
    <row r="13516" spans="1:5" x14ac:dyDescent="0.25">
      <c r="A13516" s="1033"/>
      <c r="E13516" s="130"/>
    </row>
    <row r="13517" spans="1:5" x14ac:dyDescent="0.25">
      <c r="A13517" s="1033"/>
      <c r="E13517" s="130"/>
    </row>
    <row r="13518" spans="1:5" x14ac:dyDescent="0.25">
      <c r="A13518" s="1033"/>
      <c r="E13518" s="130"/>
    </row>
    <row r="13519" spans="1:5" x14ac:dyDescent="0.25">
      <c r="A13519" s="1033"/>
      <c r="E13519" s="130"/>
    </row>
    <row r="13520" spans="1:5" x14ac:dyDescent="0.25">
      <c r="A13520" s="1033"/>
      <c r="E13520" s="130"/>
    </row>
    <row r="13521" spans="1:5" x14ac:dyDescent="0.25">
      <c r="A13521" s="1033"/>
      <c r="E13521" s="130"/>
    </row>
    <row r="13522" spans="1:5" x14ac:dyDescent="0.25">
      <c r="A13522" s="1033"/>
      <c r="E13522" s="130"/>
    </row>
    <row r="13523" spans="1:5" x14ac:dyDescent="0.25">
      <c r="A13523" s="1033"/>
      <c r="E13523" s="130"/>
    </row>
    <row r="13524" spans="1:5" x14ac:dyDescent="0.25">
      <c r="A13524" s="1033"/>
      <c r="E13524" s="130"/>
    </row>
    <row r="13525" spans="1:5" x14ac:dyDescent="0.25">
      <c r="A13525" s="1033"/>
      <c r="E13525" s="130"/>
    </row>
    <row r="13526" spans="1:5" x14ac:dyDescent="0.25">
      <c r="A13526" s="1033"/>
      <c r="E13526" s="130"/>
    </row>
    <row r="13527" spans="1:5" x14ac:dyDescent="0.25">
      <c r="A13527" s="1033"/>
      <c r="E13527" s="130"/>
    </row>
    <row r="13528" spans="1:5" x14ac:dyDescent="0.25">
      <c r="A13528" s="1033"/>
      <c r="E13528" s="130"/>
    </row>
    <row r="13529" spans="1:5" x14ac:dyDescent="0.25">
      <c r="A13529" s="1033"/>
      <c r="E13529" s="130"/>
    </row>
    <row r="13530" spans="1:5" x14ac:dyDescent="0.25">
      <c r="A13530" s="1033"/>
      <c r="E13530" s="130"/>
    </row>
    <row r="13531" spans="1:5" x14ac:dyDescent="0.25">
      <c r="A13531" s="1033"/>
      <c r="E13531" s="130"/>
    </row>
    <row r="13532" spans="1:5" x14ac:dyDescent="0.25">
      <c r="A13532" s="1033"/>
      <c r="E13532" s="130"/>
    </row>
    <row r="13533" spans="1:5" x14ac:dyDescent="0.25">
      <c r="A13533" s="1033"/>
      <c r="E13533" s="130"/>
    </row>
    <row r="13534" spans="1:5" x14ac:dyDescent="0.25">
      <c r="A13534" s="1033"/>
      <c r="E13534" s="130"/>
    </row>
    <row r="13535" spans="1:5" x14ac:dyDescent="0.25">
      <c r="A13535" s="1033"/>
      <c r="E13535" s="130"/>
    </row>
    <row r="13536" spans="1:5" x14ac:dyDescent="0.25">
      <c r="A13536" s="1033"/>
      <c r="E13536" s="130"/>
    </row>
    <row r="13537" spans="1:5" x14ac:dyDescent="0.25">
      <c r="A13537" s="1033"/>
      <c r="E13537" s="130"/>
    </row>
    <row r="13538" spans="1:5" x14ac:dyDescent="0.25">
      <c r="A13538" s="1033"/>
      <c r="E13538" s="130"/>
    </row>
    <row r="13539" spans="1:5" x14ac:dyDescent="0.25">
      <c r="A13539" s="1033"/>
      <c r="E13539" s="130"/>
    </row>
    <row r="13540" spans="1:5" x14ac:dyDescent="0.25">
      <c r="A13540" s="1033"/>
      <c r="E13540" s="130"/>
    </row>
    <row r="13541" spans="1:5" x14ac:dyDescent="0.25">
      <c r="A13541" s="1033"/>
      <c r="E13541" s="130"/>
    </row>
    <row r="13542" spans="1:5" x14ac:dyDescent="0.25">
      <c r="A13542" s="1033"/>
      <c r="E13542" s="130"/>
    </row>
    <row r="13543" spans="1:5" x14ac:dyDescent="0.25">
      <c r="A13543" s="1033"/>
      <c r="E13543" s="130"/>
    </row>
    <row r="13544" spans="1:5" x14ac:dyDescent="0.25">
      <c r="A13544" s="1033"/>
      <c r="E13544" s="130"/>
    </row>
    <row r="13545" spans="1:5" x14ac:dyDescent="0.25">
      <c r="A13545" s="1033"/>
      <c r="E13545" s="130"/>
    </row>
    <row r="13546" spans="1:5" x14ac:dyDescent="0.25">
      <c r="A13546" s="1033"/>
      <c r="E13546" s="130"/>
    </row>
    <row r="13547" spans="1:5" x14ac:dyDescent="0.25">
      <c r="A13547" s="1033"/>
      <c r="E13547" s="130"/>
    </row>
    <row r="13548" spans="1:5" x14ac:dyDescent="0.25">
      <c r="A13548" s="1033"/>
      <c r="E13548" s="130"/>
    </row>
    <row r="13549" spans="1:5" x14ac:dyDescent="0.25">
      <c r="A13549" s="1033"/>
      <c r="E13549" s="130"/>
    </row>
    <row r="13550" spans="1:5" x14ac:dyDescent="0.25">
      <c r="A13550" s="1033"/>
      <c r="E13550" s="130"/>
    </row>
    <row r="13551" spans="1:5" x14ac:dyDescent="0.25">
      <c r="A13551" s="1033"/>
      <c r="E13551" s="130"/>
    </row>
    <row r="13552" spans="1:5" x14ac:dyDescent="0.25">
      <c r="A13552" s="1033"/>
      <c r="E13552" s="130"/>
    </row>
    <row r="13553" spans="1:5" x14ac:dyDescent="0.25">
      <c r="A13553" s="1033"/>
      <c r="E13553" s="130"/>
    </row>
    <row r="13554" spans="1:5" x14ac:dyDescent="0.25">
      <c r="A13554" s="1033"/>
      <c r="E13554" s="130"/>
    </row>
    <row r="13555" spans="1:5" x14ac:dyDescent="0.25">
      <c r="A13555" s="1033"/>
      <c r="E13555" s="130"/>
    </row>
    <row r="13556" spans="1:5" x14ac:dyDescent="0.25">
      <c r="A13556" s="1033"/>
      <c r="E13556" s="130"/>
    </row>
    <row r="13557" spans="1:5" x14ac:dyDescent="0.25">
      <c r="A13557" s="1033"/>
      <c r="E13557" s="130"/>
    </row>
    <row r="13558" spans="1:5" x14ac:dyDescent="0.25">
      <c r="A13558" s="1033"/>
      <c r="E13558" s="130"/>
    </row>
    <row r="13559" spans="1:5" x14ac:dyDescent="0.25">
      <c r="A13559" s="1033"/>
      <c r="E13559" s="130"/>
    </row>
    <row r="13560" spans="1:5" x14ac:dyDescent="0.25">
      <c r="A13560" s="1033"/>
      <c r="E13560" s="130"/>
    </row>
    <row r="13561" spans="1:5" x14ac:dyDescent="0.25">
      <c r="A13561" s="1033"/>
      <c r="E13561" s="130"/>
    </row>
    <row r="13562" spans="1:5" x14ac:dyDescent="0.25">
      <c r="A13562" s="1033"/>
      <c r="E13562" s="130"/>
    </row>
    <row r="13563" spans="1:5" x14ac:dyDescent="0.25">
      <c r="A13563" s="1033"/>
      <c r="E13563" s="130"/>
    </row>
    <row r="13564" spans="1:5" x14ac:dyDescent="0.25">
      <c r="A13564" s="1033"/>
      <c r="E13564" s="130"/>
    </row>
    <row r="13565" spans="1:5" x14ac:dyDescent="0.25">
      <c r="A13565" s="1033"/>
      <c r="E13565" s="130"/>
    </row>
    <row r="13566" spans="1:5" x14ac:dyDescent="0.25">
      <c r="A13566" s="1033"/>
      <c r="E13566" s="130"/>
    </row>
    <row r="13567" spans="1:5" x14ac:dyDescent="0.25">
      <c r="A13567" s="1033"/>
      <c r="E13567" s="130"/>
    </row>
    <row r="13568" spans="1:5" x14ac:dyDescent="0.25">
      <c r="A13568" s="1033"/>
      <c r="E13568" s="130"/>
    </row>
    <row r="13569" spans="1:5" x14ac:dyDescent="0.25">
      <c r="A13569" s="1033"/>
      <c r="E13569" s="130"/>
    </row>
    <row r="13570" spans="1:5" x14ac:dyDescent="0.25">
      <c r="A13570" s="1033"/>
      <c r="E13570" s="130"/>
    </row>
    <row r="13571" spans="1:5" x14ac:dyDescent="0.25">
      <c r="A13571" s="1033"/>
      <c r="E13571" s="130"/>
    </row>
    <row r="13572" spans="1:5" x14ac:dyDescent="0.25">
      <c r="A13572" s="1033"/>
      <c r="E13572" s="130"/>
    </row>
    <row r="13573" spans="1:5" x14ac:dyDescent="0.25">
      <c r="A13573" s="1033"/>
      <c r="E13573" s="130"/>
    </row>
    <row r="13574" spans="1:5" x14ac:dyDescent="0.25">
      <c r="A13574" s="1033"/>
      <c r="E13574" s="130"/>
    </row>
    <row r="13575" spans="1:5" x14ac:dyDescent="0.25">
      <c r="A13575" s="1033"/>
      <c r="E13575" s="130"/>
    </row>
    <row r="13576" spans="1:5" x14ac:dyDescent="0.25">
      <c r="A13576" s="1033"/>
      <c r="E13576" s="130"/>
    </row>
    <row r="13577" spans="1:5" x14ac:dyDescent="0.25">
      <c r="A13577" s="1033"/>
      <c r="E13577" s="130"/>
    </row>
    <row r="13578" spans="1:5" x14ac:dyDescent="0.25">
      <c r="A13578" s="1033"/>
      <c r="E13578" s="130"/>
    </row>
    <row r="13579" spans="1:5" x14ac:dyDescent="0.25">
      <c r="A13579" s="1033"/>
      <c r="E13579" s="130"/>
    </row>
    <row r="13580" spans="1:5" x14ac:dyDescent="0.25">
      <c r="A13580" s="1033"/>
      <c r="E13580" s="130"/>
    </row>
    <row r="13581" spans="1:5" x14ac:dyDescent="0.25">
      <c r="A13581" s="1033"/>
      <c r="E13581" s="130"/>
    </row>
    <row r="13582" spans="1:5" x14ac:dyDescent="0.25">
      <c r="A13582" s="1033"/>
      <c r="E13582" s="130"/>
    </row>
    <row r="13583" spans="1:5" x14ac:dyDescent="0.25">
      <c r="A13583" s="1033"/>
      <c r="E13583" s="130"/>
    </row>
    <row r="13584" spans="1:5" x14ac:dyDescent="0.25">
      <c r="A13584" s="1033"/>
      <c r="E13584" s="130"/>
    </row>
    <row r="13585" spans="1:5" x14ac:dyDescent="0.25">
      <c r="A13585" s="1033"/>
      <c r="E13585" s="130"/>
    </row>
    <row r="13586" spans="1:5" x14ac:dyDescent="0.25">
      <c r="A13586" s="1033"/>
      <c r="E13586" s="130"/>
    </row>
    <row r="13587" spans="1:5" x14ac:dyDescent="0.25">
      <c r="A13587" s="1033"/>
      <c r="E13587" s="130"/>
    </row>
    <row r="13588" spans="1:5" x14ac:dyDescent="0.25">
      <c r="A13588" s="1033"/>
      <c r="E13588" s="130"/>
    </row>
    <row r="13589" spans="1:5" x14ac:dyDescent="0.25">
      <c r="A13589" s="1033"/>
      <c r="E13589" s="130"/>
    </row>
    <row r="13590" spans="1:5" x14ac:dyDescent="0.25">
      <c r="A13590" s="1033"/>
      <c r="E13590" s="130"/>
    </row>
    <row r="13591" spans="1:5" x14ac:dyDescent="0.25">
      <c r="A13591" s="1033"/>
      <c r="E13591" s="130"/>
    </row>
    <row r="13592" spans="1:5" x14ac:dyDescent="0.25">
      <c r="A13592" s="1033"/>
      <c r="E13592" s="130"/>
    </row>
    <row r="13593" spans="1:5" x14ac:dyDescent="0.25">
      <c r="A13593" s="1033"/>
      <c r="E13593" s="130"/>
    </row>
    <row r="13594" spans="1:5" x14ac:dyDescent="0.25">
      <c r="A13594" s="1033"/>
      <c r="E13594" s="130"/>
    </row>
    <row r="13595" spans="1:5" x14ac:dyDescent="0.25">
      <c r="A13595" s="1033"/>
      <c r="E13595" s="130"/>
    </row>
    <row r="13596" spans="1:5" x14ac:dyDescent="0.25">
      <c r="A13596" s="1033"/>
      <c r="E13596" s="130"/>
    </row>
    <row r="13597" spans="1:5" x14ac:dyDescent="0.25">
      <c r="A13597" s="1033"/>
      <c r="E13597" s="130"/>
    </row>
    <row r="13598" spans="1:5" x14ac:dyDescent="0.25">
      <c r="A13598" s="1033"/>
      <c r="E13598" s="130"/>
    </row>
    <row r="13599" spans="1:5" x14ac:dyDescent="0.25">
      <c r="A13599" s="1033"/>
      <c r="E13599" s="130"/>
    </row>
    <row r="13600" spans="1:5" x14ac:dyDescent="0.25">
      <c r="A13600" s="1033"/>
      <c r="E13600" s="130"/>
    </row>
    <row r="13601" spans="1:5" x14ac:dyDescent="0.25">
      <c r="A13601" s="1033"/>
      <c r="E13601" s="130"/>
    </row>
    <row r="13602" spans="1:5" x14ac:dyDescent="0.25">
      <c r="A13602" s="1033"/>
      <c r="E13602" s="130"/>
    </row>
    <row r="13603" spans="1:5" x14ac:dyDescent="0.25">
      <c r="A13603" s="1033"/>
      <c r="E13603" s="130"/>
    </row>
    <row r="13604" spans="1:5" x14ac:dyDescent="0.25">
      <c r="A13604" s="1033"/>
      <c r="E13604" s="130"/>
    </row>
    <row r="13605" spans="1:5" x14ac:dyDescent="0.25">
      <c r="A13605" s="1033"/>
      <c r="E13605" s="130"/>
    </row>
    <row r="13606" spans="1:5" x14ac:dyDescent="0.25">
      <c r="A13606" s="1033"/>
      <c r="E13606" s="130"/>
    </row>
    <row r="13607" spans="1:5" x14ac:dyDescent="0.25">
      <c r="A13607" s="1033"/>
      <c r="E13607" s="130"/>
    </row>
    <row r="13608" spans="1:5" x14ac:dyDescent="0.25">
      <c r="A13608" s="1033"/>
      <c r="E13608" s="130"/>
    </row>
    <row r="13609" spans="1:5" x14ac:dyDescent="0.25">
      <c r="A13609" s="1033"/>
      <c r="E13609" s="130"/>
    </row>
    <row r="13610" spans="1:5" x14ac:dyDescent="0.25">
      <c r="A13610" s="1033"/>
      <c r="E13610" s="130"/>
    </row>
    <row r="13611" spans="1:5" x14ac:dyDescent="0.25">
      <c r="A13611" s="1033"/>
      <c r="E13611" s="130"/>
    </row>
    <row r="13612" spans="1:5" x14ac:dyDescent="0.25">
      <c r="A13612" s="1033"/>
      <c r="E13612" s="130"/>
    </row>
    <row r="13613" spans="1:5" x14ac:dyDescent="0.25">
      <c r="A13613" s="1033"/>
      <c r="E13613" s="130"/>
    </row>
    <row r="13614" spans="1:5" x14ac:dyDescent="0.25">
      <c r="A13614" s="1033"/>
      <c r="E13614" s="130"/>
    </row>
    <row r="13615" spans="1:5" x14ac:dyDescent="0.25">
      <c r="A13615" s="1033"/>
      <c r="E13615" s="130"/>
    </row>
    <row r="13616" spans="1:5" x14ac:dyDescent="0.25">
      <c r="A13616" s="1033"/>
      <c r="E13616" s="130"/>
    </row>
    <row r="13617" spans="1:5" x14ac:dyDescent="0.25">
      <c r="A13617" s="1033"/>
      <c r="E13617" s="130"/>
    </row>
    <row r="13618" spans="1:5" x14ac:dyDescent="0.25">
      <c r="A13618" s="1033"/>
      <c r="E13618" s="130"/>
    </row>
    <row r="13619" spans="1:5" x14ac:dyDescent="0.25">
      <c r="A13619" s="1033"/>
      <c r="E13619" s="130"/>
    </row>
    <row r="13620" spans="1:5" x14ac:dyDescent="0.25">
      <c r="A13620" s="1033"/>
      <c r="E13620" s="130"/>
    </row>
    <row r="13621" spans="1:5" x14ac:dyDescent="0.25">
      <c r="A13621" s="1033"/>
      <c r="E13621" s="130"/>
    </row>
    <row r="13622" spans="1:5" x14ac:dyDescent="0.25">
      <c r="A13622" s="1033"/>
      <c r="E13622" s="130"/>
    </row>
    <row r="13623" spans="1:5" x14ac:dyDescent="0.25">
      <c r="A13623" s="1033"/>
      <c r="E13623" s="130"/>
    </row>
    <row r="13624" spans="1:5" x14ac:dyDescent="0.25">
      <c r="A13624" s="1033"/>
      <c r="E13624" s="130"/>
    </row>
    <row r="13625" spans="1:5" x14ac:dyDescent="0.25">
      <c r="A13625" s="1033"/>
      <c r="E13625" s="130"/>
    </row>
    <row r="13626" spans="1:5" x14ac:dyDescent="0.25">
      <c r="A13626" s="1033"/>
      <c r="E13626" s="130"/>
    </row>
    <row r="13627" spans="1:5" x14ac:dyDescent="0.25">
      <c r="A13627" s="1033"/>
      <c r="E13627" s="130"/>
    </row>
    <row r="13628" spans="1:5" x14ac:dyDescent="0.25">
      <c r="A13628" s="1033"/>
      <c r="E13628" s="130"/>
    </row>
    <row r="13629" spans="1:5" x14ac:dyDescent="0.25">
      <c r="A13629" s="1033"/>
      <c r="E13629" s="130"/>
    </row>
    <row r="13630" spans="1:5" x14ac:dyDescent="0.25">
      <c r="A13630" s="1033"/>
      <c r="E13630" s="130"/>
    </row>
    <row r="13631" spans="1:5" x14ac:dyDescent="0.25">
      <c r="A13631" s="1033"/>
      <c r="E13631" s="130"/>
    </row>
    <row r="13632" spans="1:5" x14ac:dyDescent="0.25">
      <c r="A13632" s="1033"/>
      <c r="E13632" s="130"/>
    </row>
    <row r="13633" spans="1:5" x14ac:dyDescent="0.25">
      <c r="A13633" s="1033"/>
      <c r="E13633" s="130"/>
    </row>
    <row r="13634" spans="1:5" x14ac:dyDescent="0.25">
      <c r="A13634" s="1033"/>
      <c r="E13634" s="130"/>
    </row>
    <row r="13635" spans="1:5" x14ac:dyDescent="0.25">
      <c r="A13635" s="1033"/>
      <c r="E13635" s="130"/>
    </row>
    <row r="13636" spans="1:5" x14ac:dyDescent="0.25">
      <c r="A13636" s="1033"/>
      <c r="E13636" s="130"/>
    </row>
    <row r="13637" spans="1:5" x14ac:dyDescent="0.25">
      <c r="A13637" s="1033"/>
      <c r="E13637" s="130"/>
    </row>
    <row r="13638" spans="1:5" x14ac:dyDescent="0.25">
      <c r="A13638" s="1033"/>
      <c r="E13638" s="130"/>
    </row>
    <row r="13639" spans="1:5" x14ac:dyDescent="0.25">
      <c r="A13639" s="1033"/>
      <c r="E13639" s="130"/>
    </row>
    <row r="13640" spans="1:5" x14ac:dyDescent="0.25">
      <c r="A13640" s="1033"/>
      <c r="E13640" s="130"/>
    </row>
    <row r="13641" spans="1:5" x14ac:dyDescent="0.25">
      <c r="A13641" s="1033"/>
      <c r="E13641" s="130"/>
    </row>
    <row r="13642" spans="1:5" x14ac:dyDescent="0.25">
      <c r="A13642" s="1033"/>
      <c r="E13642" s="130"/>
    </row>
    <row r="13643" spans="1:5" x14ac:dyDescent="0.25">
      <c r="A13643" s="1033"/>
      <c r="E13643" s="130"/>
    </row>
    <row r="13644" spans="1:5" x14ac:dyDescent="0.25">
      <c r="A13644" s="1033"/>
      <c r="E13644" s="130"/>
    </row>
    <row r="13645" spans="1:5" x14ac:dyDescent="0.25">
      <c r="A13645" s="1033"/>
      <c r="E13645" s="130"/>
    </row>
    <row r="13646" spans="1:5" x14ac:dyDescent="0.25">
      <c r="A13646" s="1033"/>
      <c r="E13646" s="130"/>
    </row>
    <row r="13647" spans="1:5" x14ac:dyDescent="0.25">
      <c r="A13647" s="1033"/>
      <c r="E13647" s="130"/>
    </row>
    <row r="13648" spans="1:5" x14ac:dyDescent="0.25">
      <c r="A13648" s="1033"/>
      <c r="E13648" s="130"/>
    </row>
    <row r="13649" spans="1:5" x14ac:dyDescent="0.25">
      <c r="A13649" s="1033"/>
      <c r="E13649" s="130"/>
    </row>
    <row r="13650" spans="1:5" x14ac:dyDescent="0.25">
      <c r="A13650" s="1033"/>
      <c r="E13650" s="130"/>
    </row>
    <row r="13651" spans="1:5" x14ac:dyDescent="0.25">
      <c r="A13651" s="1033"/>
      <c r="E13651" s="130"/>
    </row>
    <row r="13652" spans="1:5" x14ac:dyDescent="0.25">
      <c r="A13652" s="1033"/>
      <c r="E13652" s="130"/>
    </row>
    <row r="13653" spans="1:5" x14ac:dyDescent="0.25">
      <c r="A13653" s="1033"/>
      <c r="E13653" s="130"/>
    </row>
    <row r="13654" spans="1:5" x14ac:dyDescent="0.25">
      <c r="A13654" s="1033"/>
      <c r="E13654" s="130"/>
    </row>
    <row r="13655" spans="1:5" x14ac:dyDescent="0.25">
      <c r="A13655" s="1033"/>
      <c r="E13655" s="130"/>
    </row>
    <row r="13656" spans="1:5" x14ac:dyDescent="0.25">
      <c r="A13656" s="1033"/>
      <c r="E13656" s="130"/>
    </row>
    <row r="13657" spans="1:5" x14ac:dyDescent="0.25">
      <c r="A13657" s="1033"/>
      <c r="E13657" s="130"/>
    </row>
    <row r="13658" spans="1:5" x14ac:dyDescent="0.25">
      <c r="A13658" s="1033"/>
      <c r="E13658" s="130"/>
    </row>
    <row r="13659" spans="1:5" x14ac:dyDescent="0.25">
      <c r="A13659" s="1033"/>
      <c r="E13659" s="130"/>
    </row>
    <row r="13660" spans="1:5" x14ac:dyDescent="0.25">
      <c r="A13660" s="1033"/>
      <c r="E13660" s="130"/>
    </row>
    <row r="13661" spans="1:5" x14ac:dyDescent="0.25">
      <c r="A13661" s="1033"/>
      <c r="E13661" s="130"/>
    </row>
    <row r="13662" spans="1:5" x14ac:dyDescent="0.25">
      <c r="A13662" s="1033"/>
      <c r="E13662" s="130"/>
    </row>
    <row r="13663" spans="1:5" x14ac:dyDescent="0.25">
      <c r="A13663" s="1033"/>
      <c r="E13663" s="130"/>
    </row>
    <row r="13664" spans="1:5" x14ac:dyDescent="0.25">
      <c r="A13664" s="1033"/>
      <c r="E13664" s="130"/>
    </row>
    <row r="13665" spans="1:5" x14ac:dyDescent="0.25">
      <c r="A13665" s="1033"/>
      <c r="E13665" s="130"/>
    </row>
    <row r="13666" spans="1:5" x14ac:dyDescent="0.25">
      <c r="A13666" s="1033"/>
      <c r="E13666" s="130"/>
    </row>
    <row r="13667" spans="1:5" x14ac:dyDescent="0.25">
      <c r="A13667" s="1033"/>
      <c r="E13667" s="130"/>
    </row>
    <row r="13668" spans="1:5" x14ac:dyDescent="0.25">
      <c r="A13668" s="1033"/>
      <c r="E13668" s="130"/>
    </row>
    <row r="13669" spans="1:5" x14ac:dyDescent="0.25">
      <c r="A13669" s="1033"/>
      <c r="E13669" s="130"/>
    </row>
    <row r="13670" spans="1:5" x14ac:dyDescent="0.25">
      <c r="A13670" s="1033"/>
      <c r="E13670" s="130"/>
    </row>
    <row r="13671" spans="1:5" x14ac:dyDescent="0.25">
      <c r="A13671" s="1033"/>
      <c r="E13671" s="130"/>
    </row>
    <row r="13672" spans="1:5" x14ac:dyDescent="0.25">
      <c r="A13672" s="1033"/>
      <c r="E13672" s="130"/>
    </row>
    <row r="13673" spans="1:5" x14ac:dyDescent="0.25">
      <c r="A13673" s="1033"/>
      <c r="E13673" s="130"/>
    </row>
    <row r="13674" spans="1:5" x14ac:dyDescent="0.25">
      <c r="A13674" s="1033"/>
      <c r="E13674" s="130"/>
    </row>
    <row r="13675" spans="1:5" x14ac:dyDescent="0.25">
      <c r="A13675" s="1033"/>
      <c r="E13675" s="130"/>
    </row>
    <row r="13676" spans="1:5" x14ac:dyDescent="0.25">
      <c r="A13676" s="1033"/>
      <c r="E13676" s="130"/>
    </row>
    <row r="13677" spans="1:5" x14ac:dyDescent="0.25">
      <c r="A13677" s="1033"/>
      <c r="E13677" s="130"/>
    </row>
    <row r="13678" spans="1:5" x14ac:dyDescent="0.25">
      <c r="A13678" s="1033"/>
      <c r="E13678" s="130"/>
    </row>
    <row r="13679" spans="1:5" x14ac:dyDescent="0.25">
      <c r="A13679" s="1033"/>
      <c r="E13679" s="130"/>
    </row>
    <row r="13680" spans="1:5" x14ac:dyDescent="0.25">
      <c r="A13680" s="1033"/>
      <c r="E13680" s="130"/>
    </row>
    <row r="13681" spans="1:5" x14ac:dyDescent="0.25">
      <c r="A13681" s="1033"/>
      <c r="E13681" s="130"/>
    </row>
    <row r="13682" spans="1:5" x14ac:dyDescent="0.25">
      <c r="A13682" s="1033"/>
      <c r="E13682" s="130"/>
    </row>
    <row r="13683" spans="1:5" x14ac:dyDescent="0.25">
      <c r="A13683" s="1033"/>
      <c r="E13683" s="130"/>
    </row>
    <row r="13684" spans="1:5" x14ac:dyDescent="0.25">
      <c r="A13684" s="1033"/>
      <c r="E13684" s="130"/>
    </row>
    <row r="13685" spans="1:5" x14ac:dyDescent="0.25">
      <c r="A13685" s="1033"/>
      <c r="E13685" s="130"/>
    </row>
    <row r="13686" spans="1:5" x14ac:dyDescent="0.25">
      <c r="A13686" s="1033"/>
      <c r="E13686" s="130"/>
    </row>
    <row r="13687" spans="1:5" x14ac:dyDescent="0.25">
      <c r="A13687" s="1033"/>
      <c r="E13687" s="130"/>
    </row>
    <row r="13688" spans="1:5" x14ac:dyDescent="0.25">
      <c r="A13688" s="1033"/>
      <c r="E13688" s="130"/>
    </row>
    <row r="13689" spans="1:5" x14ac:dyDescent="0.25">
      <c r="A13689" s="1033"/>
      <c r="E13689" s="130"/>
    </row>
    <row r="13690" spans="1:5" x14ac:dyDescent="0.25">
      <c r="A13690" s="1033"/>
      <c r="E13690" s="130"/>
    </row>
    <row r="13691" spans="1:5" x14ac:dyDescent="0.25">
      <c r="A13691" s="1033"/>
      <c r="E13691" s="130"/>
    </row>
    <row r="13692" spans="1:5" x14ac:dyDescent="0.25">
      <c r="A13692" s="1033"/>
      <c r="E13692" s="130"/>
    </row>
    <row r="13693" spans="1:5" x14ac:dyDescent="0.25">
      <c r="A13693" s="1033"/>
      <c r="E13693" s="130"/>
    </row>
    <row r="13694" spans="1:5" x14ac:dyDescent="0.25">
      <c r="A13694" s="1033"/>
      <c r="E13694" s="130"/>
    </row>
    <row r="13695" spans="1:5" x14ac:dyDescent="0.25">
      <c r="A13695" s="1033"/>
      <c r="E13695" s="130"/>
    </row>
    <row r="13696" spans="1:5" x14ac:dyDescent="0.25">
      <c r="A13696" s="1033"/>
      <c r="E13696" s="130"/>
    </row>
    <row r="13697" spans="1:5" x14ac:dyDescent="0.25">
      <c r="A13697" s="1033"/>
      <c r="E13697" s="130"/>
    </row>
    <row r="13698" spans="1:5" x14ac:dyDescent="0.25">
      <c r="A13698" s="1033"/>
      <c r="E13698" s="130"/>
    </row>
    <row r="13699" spans="1:5" x14ac:dyDescent="0.25">
      <c r="A13699" s="1033"/>
      <c r="E13699" s="130"/>
    </row>
    <row r="13700" spans="1:5" x14ac:dyDescent="0.25">
      <c r="A13700" s="1033"/>
      <c r="E13700" s="130"/>
    </row>
    <row r="13701" spans="1:5" x14ac:dyDescent="0.25">
      <c r="A13701" s="1033"/>
      <c r="E13701" s="130"/>
    </row>
    <row r="13702" spans="1:5" x14ac:dyDescent="0.25">
      <c r="A13702" s="1033"/>
      <c r="E13702" s="130"/>
    </row>
    <row r="13703" spans="1:5" x14ac:dyDescent="0.25">
      <c r="A13703" s="1033"/>
      <c r="E13703" s="130"/>
    </row>
    <row r="13704" spans="1:5" x14ac:dyDescent="0.25">
      <c r="A13704" s="1033"/>
      <c r="E13704" s="130"/>
    </row>
    <row r="13705" spans="1:5" x14ac:dyDescent="0.25">
      <c r="A13705" s="1033"/>
      <c r="E13705" s="130"/>
    </row>
    <row r="13706" spans="1:5" x14ac:dyDescent="0.25">
      <c r="A13706" s="1033"/>
      <c r="E13706" s="130"/>
    </row>
    <row r="13707" spans="1:5" x14ac:dyDescent="0.25">
      <c r="A13707" s="1033"/>
      <c r="E13707" s="130"/>
    </row>
    <row r="13708" spans="1:5" x14ac:dyDescent="0.25">
      <c r="A13708" s="1033"/>
      <c r="E13708" s="130"/>
    </row>
    <row r="13709" spans="1:5" x14ac:dyDescent="0.25">
      <c r="A13709" s="1033"/>
      <c r="E13709" s="130"/>
    </row>
    <row r="13710" spans="1:5" x14ac:dyDescent="0.25">
      <c r="A13710" s="1033"/>
      <c r="E13710" s="130"/>
    </row>
    <row r="13711" spans="1:5" x14ac:dyDescent="0.25">
      <c r="A13711" s="1033"/>
      <c r="E13711" s="130"/>
    </row>
    <row r="13712" spans="1:5" x14ac:dyDescent="0.25">
      <c r="A13712" s="1033"/>
      <c r="E13712" s="130"/>
    </row>
    <row r="13713" spans="1:5" x14ac:dyDescent="0.25">
      <c r="A13713" s="1033"/>
      <c r="E13713" s="130"/>
    </row>
    <row r="13714" spans="1:5" x14ac:dyDescent="0.25">
      <c r="A13714" s="1033"/>
      <c r="E13714" s="130"/>
    </row>
    <row r="13715" spans="1:5" x14ac:dyDescent="0.25">
      <c r="A13715" s="1033"/>
      <c r="E13715" s="130"/>
    </row>
    <row r="13716" spans="1:5" x14ac:dyDescent="0.25">
      <c r="A13716" s="1033"/>
      <c r="E13716" s="130"/>
    </row>
    <row r="13717" spans="1:5" x14ac:dyDescent="0.25">
      <c r="A13717" s="1033"/>
      <c r="E13717" s="130"/>
    </row>
    <row r="13718" spans="1:5" x14ac:dyDescent="0.25">
      <c r="A13718" s="1033"/>
      <c r="E13718" s="130"/>
    </row>
    <row r="13719" spans="1:5" x14ac:dyDescent="0.25">
      <c r="A13719" s="1033"/>
      <c r="E13719" s="130"/>
    </row>
    <row r="13720" spans="1:5" x14ac:dyDescent="0.25">
      <c r="A13720" s="1033"/>
      <c r="E13720" s="130"/>
    </row>
    <row r="13721" spans="1:5" x14ac:dyDescent="0.25">
      <c r="A13721" s="1033"/>
      <c r="E13721" s="130"/>
    </row>
    <row r="13722" spans="1:5" x14ac:dyDescent="0.25">
      <c r="A13722" s="1033"/>
      <c r="E13722" s="130"/>
    </row>
    <row r="13723" spans="1:5" x14ac:dyDescent="0.25">
      <c r="A13723" s="1033"/>
      <c r="E13723" s="130"/>
    </row>
    <row r="13724" spans="1:5" x14ac:dyDescent="0.25">
      <c r="A13724" s="1033"/>
      <c r="E13724" s="130"/>
    </row>
    <row r="13725" spans="1:5" x14ac:dyDescent="0.25">
      <c r="A13725" s="1033"/>
      <c r="E13725" s="130"/>
    </row>
    <row r="13726" spans="1:5" x14ac:dyDescent="0.25">
      <c r="A13726" s="1033"/>
      <c r="E13726" s="130"/>
    </row>
    <row r="13727" spans="1:5" x14ac:dyDescent="0.25">
      <c r="A13727" s="1033"/>
      <c r="E13727" s="130"/>
    </row>
    <row r="13728" spans="1:5" x14ac:dyDescent="0.25">
      <c r="A13728" s="1033"/>
      <c r="E13728" s="130"/>
    </row>
    <row r="13729" spans="1:5" x14ac:dyDescent="0.25">
      <c r="A13729" s="1033"/>
      <c r="E13729" s="130"/>
    </row>
    <row r="13730" spans="1:5" x14ac:dyDescent="0.25">
      <c r="A13730" s="1033"/>
      <c r="E13730" s="130"/>
    </row>
    <row r="13731" spans="1:5" x14ac:dyDescent="0.25">
      <c r="A13731" s="1033"/>
      <c r="E13731" s="130"/>
    </row>
    <row r="13732" spans="1:5" x14ac:dyDescent="0.25">
      <c r="A13732" s="1033"/>
      <c r="E13732" s="130"/>
    </row>
    <row r="13733" spans="1:5" x14ac:dyDescent="0.25">
      <c r="A13733" s="1033"/>
      <c r="E13733" s="130"/>
    </row>
    <row r="13734" spans="1:5" x14ac:dyDescent="0.25">
      <c r="A13734" s="1033"/>
      <c r="E13734" s="130"/>
    </row>
    <row r="13735" spans="1:5" x14ac:dyDescent="0.25">
      <c r="A13735" s="1033"/>
      <c r="E13735" s="130"/>
    </row>
    <row r="13736" spans="1:5" x14ac:dyDescent="0.25">
      <c r="A13736" s="1033"/>
      <c r="E13736" s="130"/>
    </row>
    <row r="13737" spans="1:5" x14ac:dyDescent="0.25">
      <c r="A13737" s="1033"/>
      <c r="E13737" s="130"/>
    </row>
    <row r="13738" spans="1:5" x14ac:dyDescent="0.25">
      <c r="A13738" s="1033"/>
      <c r="E13738" s="130"/>
    </row>
    <row r="13739" spans="1:5" x14ac:dyDescent="0.25">
      <c r="A13739" s="1033"/>
      <c r="E13739" s="130"/>
    </row>
    <row r="13740" spans="1:5" x14ac:dyDescent="0.25">
      <c r="A13740" s="1033"/>
      <c r="E13740" s="130"/>
    </row>
    <row r="13741" spans="1:5" x14ac:dyDescent="0.25">
      <c r="A13741" s="1033"/>
      <c r="E13741" s="130"/>
    </row>
    <row r="13742" spans="1:5" x14ac:dyDescent="0.25">
      <c r="A13742" s="1033"/>
      <c r="E13742" s="130"/>
    </row>
    <row r="13743" spans="1:5" x14ac:dyDescent="0.25">
      <c r="A13743" s="1033"/>
      <c r="E13743" s="130"/>
    </row>
    <row r="13744" spans="1:5" x14ac:dyDescent="0.25">
      <c r="A13744" s="1033"/>
      <c r="E13744" s="130"/>
    </row>
    <row r="13745" spans="1:5" x14ac:dyDescent="0.25">
      <c r="A13745" s="1033"/>
      <c r="E13745" s="130"/>
    </row>
    <row r="13746" spans="1:5" x14ac:dyDescent="0.25">
      <c r="A13746" s="1033"/>
      <c r="E13746" s="130"/>
    </row>
    <row r="13747" spans="1:5" x14ac:dyDescent="0.25">
      <c r="A13747" s="1033"/>
      <c r="E13747" s="130"/>
    </row>
    <row r="13748" spans="1:5" x14ac:dyDescent="0.25">
      <c r="A13748" s="1033"/>
      <c r="E13748" s="130"/>
    </row>
    <row r="13749" spans="1:5" x14ac:dyDescent="0.25">
      <c r="A13749" s="1033"/>
      <c r="E13749" s="130"/>
    </row>
    <row r="13750" spans="1:5" x14ac:dyDescent="0.25">
      <c r="A13750" s="1033"/>
      <c r="E13750" s="130"/>
    </row>
    <row r="13751" spans="1:5" x14ac:dyDescent="0.25">
      <c r="A13751" s="1033"/>
      <c r="E13751" s="130"/>
    </row>
    <row r="13752" spans="1:5" x14ac:dyDescent="0.25">
      <c r="A13752" s="1033"/>
      <c r="E13752" s="130"/>
    </row>
    <row r="13753" spans="1:5" x14ac:dyDescent="0.25">
      <c r="A13753" s="1033"/>
      <c r="E13753" s="130"/>
    </row>
    <row r="13754" spans="1:5" x14ac:dyDescent="0.25">
      <c r="A13754" s="1033"/>
      <c r="E13754" s="130"/>
    </row>
    <row r="13755" spans="1:5" x14ac:dyDescent="0.25">
      <c r="A13755" s="1033"/>
      <c r="E13755" s="130"/>
    </row>
    <row r="13756" spans="1:5" x14ac:dyDescent="0.25">
      <c r="A13756" s="1033"/>
      <c r="E13756" s="130"/>
    </row>
    <row r="13757" spans="1:5" x14ac:dyDescent="0.25">
      <c r="A13757" s="1033"/>
      <c r="E13757" s="130"/>
    </row>
    <row r="13758" spans="1:5" x14ac:dyDescent="0.25">
      <c r="A13758" s="1033"/>
      <c r="E13758" s="130"/>
    </row>
    <row r="13759" spans="1:5" x14ac:dyDescent="0.25">
      <c r="A13759" s="1033"/>
      <c r="E13759" s="130"/>
    </row>
    <row r="13760" spans="1:5" x14ac:dyDescent="0.25">
      <c r="A13760" s="1033"/>
      <c r="E13760" s="130"/>
    </row>
    <row r="13761" spans="1:5" x14ac:dyDescent="0.25">
      <c r="A13761" s="1033"/>
      <c r="E13761" s="130"/>
    </row>
    <row r="13762" spans="1:5" x14ac:dyDescent="0.25">
      <c r="A13762" s="1033"/>
      <c r="E13762" s="130"/>
    </row>
    <row r="13763" spans="1:5" x14ac:dyDescent="0.25">
      <c r="A13763" s="1033"/>
      <c r="E13763" s="130"/>
    </row>
    <row r="13764" spans="1:5" x14ac:dyDescent="0.25">
      <c r="A13764" s="1033"/>
      <c r="E13764" s="130"/>
    </row>
    <row r="13765" spans="1:5" x14ac:dyDescent="0.25">
      <c r="A13765" s="1033"/>
      <c r="E13765" s="130"/>
    </row>
    <row r="13766" spans="1:5" x14ac:dyDescent="0.25">
      <c r="A13766" s="1033"/>
      <c r="E13766" s="130"/>
    </row>
    <row r="13767" spans="1:5" x14ac:dyDescent="0.25">
      <c r="A13767" s="1033"/>
      <c r="E13767" s="130"/>
    </row>
    <row r="13768" spans="1:5" x14ac:dyDescent="0.25">
      <c r="A13768" s="1033"/>
      <c r="E13768" s="130"/>
    </row>
    <row r="13769" spans="1:5" x14ac:dyDescent="0.25">
      <c r="A13769" s="1033"/>
      <c r="E13769" s="130"/>
    </row>
    <row r="13770" spans="1:5" x14ac:dyDescent="0.25">
      <c r="A13770" s="1033"/>
      <c r="E13770" s="130"/>
    </row>
    <row r="13771" spans="1:5" x14ac:dyDescent="0.25">
      <c r="A13771" s="1033"/>
      <c r="E13771" s="130"/>
    </row>
    <row r="13772" spans="1:5" x14ac:dyDescent="0.25">
      <c r="A13772" s="1033"/>
      <c r="E13772" s="130"/>
    </row>
    <row r="13773" spans="1:5" x14ac:dyDescent="0.25">
      <c r="A13773" s="1033"/>
      <c r="E13773" s="130"/>
    </row>
    <row r="13774" spans="1:5" x14ac:dyDescent="0.25">
      <c r="A13774" s="1033"/>
      <c r="E13774" s="130"/>
    </row>
    <row r="13775" spans="1:5" x14ac:dyDescent="0.25">
      <c r="A13775" s="1033"/>
      <c r="E13775" s="130"/>
    </row>
    <row r="13776" spans="1:5" x14ac:dyDescent="0.25">
      <c r="A13776" s="1033"/>
      <c r="E13776" s="130"/>
    </row>
    <row r="13777" spans="1:5" x14ac:dyDescent="0.25">
      <c r="A13777" s="1033"/>
      <c r="E13777" s="130"/>
    </row>
    <row r="13778" spans="1:5" x14ac:dyDescent="0.25">
      <c r="A13778" s="1033"/>
      <c r="E13778" s="130"/>
    </row>
    <row r="13779" spans="1:5" x14ac:dyDescent="0.25">
      <c r="A13779" s="1033"/>
      <c r="E13779" s="130"/>
    </row>
    <row r="13780" spans="1:5" x14ac:dyDescent="0.25">
      <c r="A13780" s="1033"/>
      <c r="E13780" s="130"/>
    </row>
    <row r="13781" spans="1:5" x14ac:dyDescent="0.25">
      <c r="A13781" s="1033"/>
      <c r="E13781" s="130"/>
    </row>
    <row r="13782" spans="1:5" x14ac:dyDescent="0.25">
      <c r="A13782" s="1033"/>
      <c r="E13782" s="130"/>
    </row>
    <row r="13783" spans="1:5" x14ac:dyDescent="0.25">
      <c r="A13783" s="1033"/>
      <c r="E13783" s="130"/>
    </row>
    <row r="13784" spans="1:5" x14ac:dyDescent="0.25">
      <c r="A13784" s="1033"/>
      <c r="E13784" s="130"/>
    </row>
    <row r="13785" spans="1:5" x14ac:dyDescent="0.25">
      <c r="A13785" s="1033"/>
      <c r="E13785" s="130"/>
    </row>
    <row r="13786" spans="1:5" x14ac:dyDescent="0.25">
      <c r="A13786" s="1033"/>
      <c r="E13786" s="130"/>
    </row>
    <row r="13787" spans="1:5" x14ac:dyDescent="0.25">
      <c r="A13787" s="1033"/>
      <c r="E13787" s="130"/>
    </row>
    <row r="13788" spans="1:5" x14ac:dyDescent="0.25">
      <c r="A13788" s="1033"/>
      <c r="E13788" s="130"/>
    </row>
    <row r="13789" spans="1:5" x14ac:dyDescent="0.25">
      <c r="A13789" s="1033"/>
      <c r="E13789" s="130"/>
    </row>
    <row r="13790" spans="1:5" x14ac:dyDescent="0.25">
      <c r="A13790" s="1033"/>
      <c r="E13790" s="130"/>
    </row>
    <row r="13791" spans="1:5" x14ac:dyDescent="0.25">
      <c r="A13791" s="1033"/>
      <c r="E13791" s="130"/>
    </row>
    <row r="13792" spans="1:5" x14ac:dyDescent="0.25">
      <c r="A13792" s="1033"/>
      <c r="E13792" s="130"/>
    </row>
    <row r="13793" spans="1:5" x14ac:dyDescent="0.25">
      <c r="A13793" s="1033"/>
      <c r="E13793" s="130"/>
    </row>
    <row r="13794" spans="1:5" x14ac:dyDescent="0.25">
      <c r="A13794" s="1033"/>
      <c r="E13794" s="130"/>
    </row>
    <row r="13795" spans="1:5" x14ac:dyDescent="0.25">
      <c r="A13795" s="1033"/>
      <c r="E13795" s="130"/>
    </row>
    <row r="13796" spans="1:5" x14ac:dyDescent="0.25">
      <c r="A13796" s="1033"/>
      <c r="E13796" s="130"/>
    </row>
    <row r="13797" spans="1:5" x14ac:dyDescent="0.25">
      <c r="A13797" s="1033"/>
      <c r="E13797" s="130"/>
    </row>
    <row r="13798" spans="1:5" x14ac:dyDescent="0.25">
      <c r="A13798" s="1033"/>
      <c r="E13798" s="130"/>
    </row>
    <row r="13799" spans="1:5" x14ac:dyDescent="0.25">
      <c r="A13799" s="1033"/>
      <c r="E13799" s="130"/>
    </row>
    <row r="13800" spans="1:5" x14ac:dyDescent="0.25">
      <c r="A13800" s="1033"/>
      <c r="E13800" s="130"/>
    </row>
    <row r="13801" spans="1:5" x14ac:dyDescent="0.25">
      <c r="A13801" s="1033"/>
      <c r="E13801" s="130"/>
    </row>
    <row r="13802" spans="1:5" x14ac:dyDescent="0.25">
      <c r="A13802" s="1033"/>
      <c r="E13802" s="130"/>
    </row>
    <row r="13803" spans="1:5" x14ac:dyDescent="0.25">
      <c r="A13803" s="1033"/>
      <c r="E13803" s="130"/>
    </row>
    <row r="13804" spans="1:5" x14ac:dyDescent="0.25">
      <c r="A13804" s="1033"/>
      <c r="E13804" s="130"/>
    </row>
    <row r="13805" spans="1:5" x14ac:dyDescent="0.25">
      <c r="A13805" s="1033"/>
      <c r="E13805" s="130"/>
    </row>
    <row r="13806" spans="1:5" x14ac:dyDescent="0.25">
      <c r="A13806" s="1033"/>
      <c r="E13806" s="130"/>
    </row>
    <row r="13807" spans="1:5" x14ac:dyDescent="0.25">
      <c r="A13807" s="1033"/>
      <c r="E13807" s="130"/>
    </row>
    <row r="13808" spans="1:5" x14ac:dyDescent="0.25">
      <c r="A13808" s="1033"/>
      <c r="E13808" s="130"/>
    </row>
    <row r="13809" spans="1:5" x14ac:dyDescent="0.25">
      <c r="A13809" s="1033"/>
      <c r="E13809" s="130"/>
    </row>
    <row r="13810" spans="1:5" x14ac:dyDescent="0.25">
      <c r="A13810" s="1033"/>
      <c r="E13810" s="130"/>
    </row>
    <row r="13811" spans="1:5" x14ac:dyDescent="0.25">
      <c r="A13811" s="1033"/>
      <c r="E13811" s="130"/>
    </row>
    <row r="13812" spans="1:5" x14ac:dyDescent="0.25">
      <c r="A13812" s="1033"/>
      <c r="E13812" s="130"/>
    </row>
    <row r="13813" spans="1:5" x14ac:dyDescent="0.25">
      <c r="A13813" s="1033"/>
      <c r="E13813" s="130"/>
    </row>
    <row r="13814" spans="1:5" x14ac:dyDescent="0.25">
      <c r="A13814" s="1033"/>
      <c r="E13814" s="130"/>
    </row>
    <row r="13815" spans="1:5" x14ac:dyDescent="0.25">
      <c r="A13815" s="1033"/>
      <c r="E13815" s="130"/>
    </row>
    <row r="13816" spans="1:5" x14ac:dyDescent="0.25">
      <c r="A13816" s="1033"/>
      <c r="E13816" s="130"/>
    </row>
    <row r="13817" spans="1:5" x14ac:dyDescent="0.25">
      <c r="A13817" s="1033"/>
      <c r="E13817" s="130"/>
    </row>
    <row r="13818" spans="1:5" x14ac:dyDescent="0.25">
      <c r="A13818" s="1033"/>
      <c r="E13818" s="130"/>
    </row>
    <row r="13819" spans="1:5" x14ac:dyDescent="0.25">
      <c r="A13819" s="1033"/>
      <c r="E13819" s="130"/>
    </row>
    <row r="13820" spans="1:5" x14ac:dyDescent="0.25">
      <c r="A13820" s="1033"/>
      <c r="E13820" s="130"/>
    </row>
    <row r="13821" spans="1:5" x14ac:dyDescent="0.25">
      <c r="A13821" s="1033"/>
      <c r="E13821" s="130"/>
    </row>
    <row r="13822" spans="1:5" x14ac:dyDescent="0.25">
      <c r="A13822" s="1033"/>
      <c r="E13822" s="130"/>
    </row>
    <row r="13823" spans="1:5" x14ac:dyDescent="0.25">
      <c r="A13823" s="1033"/>
      <c r="E13823" s="130"/>
    </row>
    <row r="13824" spans="1:5" x14ac:dyDescent="0.25">
      <c r="A13824" s="1033"/>
      <c r="E13824" s="130"/>
    </row>
    <row r="13825" spans="1:5" x14ac:dyDescent="0.25">
      <c r="A13825" s="1033"/>
      <c r="E13825" s="130"/>
    </row>
    <row r="13826" spans="1:5" x14ac:dyDescent="0.25">
      <c r="A13826" s="1033"/>
      <c r="E13826" s="130"/>
    </row>
    <row r="13827" spans="1:5" x14ac:dyDescent="0.25">
      <c r="A13827" s="1033"/>
      <c r="E13827" s="130"/>
    </row>
    <row r="13828" spans="1:5" x14ac:dyDescent="0.25">
      <c r="A13828" s="1033"/>
      <c r="E13828" s="130"/>
    </row>
    <row r="13829" spans="1:5" x14ac:dyDescent="0.25">
      <c r="A13829" s="1033"/>
      <c r="E13829" s="130"/>
    </row>
    <row r="13830" spans="1:5" x14ac:dyDescent="0.25">
      <c r="A13830" s="1033"/>
      <c r="E13830" s="130"/>
    </row>
    <row r="13831" spans="1:5" x14ac:dyDescent="0.25">
      <c r="A13831" s="1033"/>
      <c r="E13831" s="130"/>
    </row>
    <row r="13832" spans="1:5" x14ac:dyDescent="0.25">
      <c r="A13832" s="1033"/>
      <c r="E13832" s="130"/>
    </row>
    <row r="13833" spans="1:5" x14ac:dyDescent="0.25">
      <c r="A13833" s="1033"/>
      <c r="E13833" s="130"/>
    </row>
    <row r="13834" spans="1:5" x14ac:dyDescent="0.25">
      <c r="A13834" s="1033"/>
      <c r="E13834" s="130"/>
    </row>
    <row r="13835" spans="1:5" x14ac:dyDescent="0.25">
      <c r="A13835" s="1033"/>
      <c r="E13835" s="130"/>
    </row>
    <row r="13836" spans="1:5" x14ac:dyDescent="0.25">
      <c r="A13836" s="1033"/>
      <c r="E13836" s="130"/>
    </row>
    <row r="13837" spans="1:5" x14ac:dyDescent="0.25">
      <c r="A13837" s="1033"/>
      <c r="E13837" s="130"/>
    </row>
    <row r="13838" spans="1:5" x14ac:dyDescent="0.25">
      <c r="A13838" s="1033"/>
      <c r="E13838" s="130"/>
    </row>
    <row r="13839" spans="1:5" x14ac:dyDescent="0.25">
      <c r="A13839" s="1033"/>
      <c r="E13839" s="130"/>
    </row>
    <row r="13840" spans="1:5" x14ac:dyDescent="0.25">
      <c r="A13840" s="1033"/>
      <c r="E13840" s="130"/>
    </row>
    <row r="13841" spans="1:5" x14ac:dyDescent="0.25">
      <c r="A13841" s="1033"/>
      <c r="E13841" s="130"/>
    </row>
    <row r="13842" spans="1:5" x14ac:dyDescent="0.25">
      <c r="A13842" s="1033"/>
      <c r="E13842" s="130"/>
    </row>
    <row r="13843" spans="1:5" x14ac:dyDescent="0.25">
      <c r="A13843" s="1033"/>
      <c r="E13843" s="130"/>
    </row>
    <row r="13844" spans="1:5" x14ac:dyDescent="0.25">
      <c r="A13844" s="1033"/>
      <c r="E13844" s="130"/>
    </row>
    <row r="13845" spans="1:5" x14ac:dyDescent="0.25">
      <c r="A13845" s="1033"/>
      <c r="E13845" s="130"/>
    </row>
    <row r="13846" spans="1:5" x14ac:dyDescent="0.25">
      <c r="A13846" s="1033"/>
      <c r="E13846" s="130"/>
    </row>
    <row r="13847" spans="1:5" x14ac:dyDescent="0.25">
      <c r="A13847" s="1033"/>
      <c r="E13847" s="130"/>
    </row>
    <row r="13848" spans="1:5" x14ac:dyDescent="0.25">
      <c r="A13848" s="1033"/>
      <c r="E13848" s="130"/>
    </row>
    <row r="13849" spans="1:5" x14ac:dyDescent="0.25">
      <c r="A13849" s="1033"/>
      <c r="E13849" s="130"/>
    </row>
    <row r="13850" spans="1:5" x14ac:dyDescent="0.25">
      <c r="A13850" s="1033"/>
      <c r="E13850" s="130"/>
    </row>
    <row r="13851" spans="1:5" x14ac:dyDescent="0.25">
      <c r="A13851" s="1033"/>
      <c r="E13851" s="130"/>
    </row>
    <row r="13852" spans="1:5" x14ac:dyDescent="0.25">
      <c r="A13852" s="1033"/>
      <c r="E13852" s="130"/>
    </row>
    <row r="13853" spans="1:5" x14ac:dyDescent="0.25">
      <c r="A13853" s="1033"/>
      <c r="E13853" s="130"/>
    </row>
    <row r="13854" spans="1:5" x14ac:dyDescent="0.25">
      <c r="A13854" s="1033"/>
      <c r="E13854" s="130"/>
    </row>
    <row r="13855" spans="1:5" x14ac:dyDescent="0.25">
      <c r="A13855" s="1033"/>
      <c r="E13855" s="130"/>
    </row>
    <row r="13856" spans="1:5" x14ac:dyDescent="0.25">
      <c r="A13856" s="1033"/>
      <c r="E13856" s="130"/>
    </row>
    <row r="13857" spans="1:5" x14ac:dyDescent="0.25">
      <c r="A13857" s="1033"/>
      <c r="E13857" s="130"/>
    </row>
    <row r="13858" spans="1:5" x14ac:dyDescent="0.25">
      <c r="A13858" s="1033"/>
      <c r="E13858" s="130"/>
    </row>
    <row r="13859" spans="1:5" x14ac:dyDescent="0.25">
      <c r="A13859" s="1033"/>
      <c r="E13859" s="130"/>
    </row>
    <row r="13860" spans="1:5" x14ac:dyDescent="0.25">
      <c r="A13860" s="1033"/>
      <c r="E13860" s="130"/>
    </row>
    <row r="13861" spans="1:5" x14ac:dyDescent="0.25">
      <c r="A13861" s="1033"/>
      <c r="E13861" s="130"/>
    </row>
    <row r="13862" spans="1:5" x14ac:dyDescent="0.25">
      <c r="A13862" s="1033"/>
      <c r="E13862" s="130"/>
    </row>
    <row r="13863" spans="1:5" x14ac:dyDescent="0.25">
      <c r="A13863" s="1033"/>
      <c r="E13863" s="130"/>
    </row>
    <row r="13864" spans="1:5" x14ac:dyDescent="0.25">
      <c r="A13864" s="1033"/>
      <c r="E13864" s="130"/>
    </row>
    <row r="13865" spans="1:5" x14ac:dyDescent="0.25">
      <c r="A13865" s="1033"/>
      <c r="E13865" s="130"/>
    </row>
    <row r="13866" spans="1:5" x14ac:dyDescent="0.25">
      <c r="A13866" s="1033"/>
      <c r="E13866" s="130"/>
    </row>
    <row r="13867" spans="1:5" x14ac:dyDescent="0.25">
      <c r="A13867" s="1033"/>
      <c r="E13867" s="130"/>
    </row>
    <row r="13868" spans="1:5" x14ac:dyDescent="0.25">
      <c r="A13868" s="1033"/>
      <c r="E13868" s="130"/>
    </row>
    <row r="13869" spans="1:5" x14ac:dyDescent="0.25">
      <c r="A13869" s="1033"/>
      <c r="E13869" s="130"/>
    </row>
    <row r="13870" spans="1:5" x14ac:dyDescent="0.25">
      <c r="A13870" s="1033"/>
      <c r="E13870" s="130"/>
    </row>
    <row r="13871" spans="1:5" x14ac:dyDescent="0.25">
      <c r="A13871" s="1033"/>
      <c r="E13871" s="130"/>
    </row>
    <row r="13872" spans="1:5" x14ac:dyDescent="0.25">
      <c r="A13872" s="1033"/>
      <c r="E13872" s="130"/>
    </row>
    <row r="13873" spans="1:5" x14ac:dyDescent="0.25">
      <c r="A13873" s="1033"/>
      <c r="E13873" s="130"/>
    </row>
    <row r="13874" spans="1:5" x14ac:dyDescent="0.25">
      <c r="A13874" s="1033"/>
      <c r="E13874" s="130"/>
    </row>
    <row r="13875" spans="1:5" x14ac:dyDescent="0.25">
      <c r="A13875" s="1033"/>
      <c r="E13875" s="130"/>
    </row>
    <row r="13876" spans="1:5" x14ac:dyDescent="0.25">
      <c r="A13876" s="1033"/>
      <c r="E13876" s="130"/>
    </row>
    <row r="13877" spans="1:5" x14ac:dyDescent="0.25">
      <c r="A13877" s="1033"/>
      <c r="E13877" s="130"/>
    </row>
    <row r="13878" spans="1:5" x14ac:dyDescent="0.25">
      <c r="A13878" s="1033"/>
      <c r="E13878" s="130"/>
    </row>
    <row r="13879" spans="1:5" x14ac:dyDescent="0.25">
      <c r="A13879" s="1033"/>
      <c r="E13879" s="130"/>
    </row>
    <row r="13880" spans="1:5" x14ac:dyDescent="0.25">
      <c r="A13880" s="1033"/>
      <c r="E13880" s="130"/>
    </row>
    <row r="13881" spans="1:5" x14ac:dyDescent="0.25">
      <c r="A13881" s="1033"/>
      <c r="E13881" s="130"/>
    </row>
    <row r="13882" spans="1:5" x14ac:dyDescent="0.25">
      <c r="A13882" s="1033"/>
      <c r="E13882" s="130"/>
    </row>
    <row r="13883" spans="1:5" x14ac:dyDescent="0.25">
      <c r="A13883" s="1033"/>
      <c r="E13883" s="130"/>
    </row>
    <row r="13884" spans="1:5" x14ac:dyDescent="0.25">
      <c r="A13884" s="1033"/>
      <c r="E13884" s="130"/>
    </row>
    <row r="13885" spans="1:5" x14ac:dyDescent="0.25">
      <c r="A13885" s="1033"/>
      <c r="E13885" s="130"/>
    </row>
    <row r="13886" spans="1:5" x14ac:dyDescent="0.25">
      <c r="A13886" s="1033"/>
      <c r="E13886" s="130"/>
    </row>
    <row r="13887" spans="1:5" x14ac:dyDescent="0.25">
      <c r="A13887" s="1033"/>
      <c r="E13887" s="130"/>
    </row>
    <row r="13888" spans="1:5" x14ac:dyDescent="0.25">
      <c r="A13888" s="1033"/>
      <c r="E13888" s="130"/>
    </row>
    <row r="13889" spans="1:5" x14ac:dyDescent="0.25">
      <c r="A13889" s="1033"/>
      <c r="E13889" s="130"/>
    </row>
    <row r="13890" spans="1:5" x14ac:dyDescent="0.25">
      <c r="A13890" s="1033"/>
      <c r="E13890" s="130"/>
    </row>
    <row r="13891" spans="1:5" x14ac:dyDescent="0.25">
      <c r="A13891" s="1033"/>
      <c r="E13891" s="130"/>
    </row>
    <row r="13892" spans="1:5" x14ac:dyDescent="0.25">
      <c r="A13892" s="1033"/>
      <c r="E13892" s="130"/>
    </row>
    <row r="13893" spans="1:5" x14ac:dyDescent="0.25">
      <c r="A13893" s="1033"/>
      <c r="E13893" s="130"/>
    </row>
    <row r="13894" spans="1:5" x14ac:dyDescent="0.25">
      <c r="A13894" s="1033"/>
      <c r="E13894" s="130"/>
    </row>
    <row r="13895" spans="1:5" x14ac:dyDescent="0.25">
      <c r="A13895" s="1033"/>
      <c r="E13895" s="130"/>
    </row>
    <row r="13896" spans="1:5" x14ac:dyDescent="0.25">
      <c r="A13896" s="1033"/>
      <c r="E13896" s="130"/>
    </row>
    <row r="13897" spans="1:5" x14ac:dyDescent="0.25">
      <c r="A13897" s="1033"/>
      <c r="E13897" s="130"/>
    </row>
    <row r="13898" spans="1:5" x14ac:dyDescent="0.25">
      <c r="A13898" s="1033"/>
      <c r="E13898" s="130"/>
    </row>
    <row r="13899" spans="1:5" x14ac:dyDescent="0.25">
      <c r="A13899" s="1033"/>
      <c r="E13899" s="130"/>
    </row>
    <row r="13900" spans="1:5" x14ac:dyDescent="0.25">
      <c r="A13900" s="1033"/>
      <c r="E13900" s="130"/>
    </row>
    <row r="13901" spans="1:5" x14ac:dyDescent="0.25">
      <c r="A13901" s="1033"/>
      <c r="E13901" s="130"/>
    </row>
    <row r="13902" spans="1:5" x14ac:dyDescent="0.25">
      <c r="A13902" s="1033"/>
      <c r="E13902" s="130"/>
    </row>
    <row r="13903" spans="1:5" x14ac:dyDescent="0.25">
      <c r="A13903" s="1033"/>
      <c r="E13903" s="130"/>
    </row>
    <row r="13904" spans="1:5" x14ac:dyDescent="0.25">
      <c r="A13904" s="1033"/>
      <c r="E13904" s="130"/>
    </row>
    <row r="13905" spans="1:5" x14ac:dyDescent="0.25">
      <c r="A13905" s="1033"/>
      <c r="E13905" s="130"/>
    </row>
    <row r="13906" spans="1:5" x14ac:dyDescent="0.25">
      <c r="A13906" s="1033"/>
      <c r="E13906" s="130"/>
    </row>
    <row r="13907" spans="1:5" x14ac:dyDescent="0.25">
      <c r="A13907" s="1033"/>
      <c r="E13907" s="130"/>
    </row>
    <row r="13908" spans="1:5" x14ac:dyDescent="0.25">
      <c r="A13908" s="1033"/>
      <c r="E13908" s="130"/>
    </row>
    <row r="13909" spans="1:5" x14ac:dyDescent="0.25">
      <c r="A13909" s="1033"/>
      <c r="E13909" s="130"/>
    </row>
    <row r="13910" spans="1:5" x14ac:dyDescent="0.25">
      <c r="A13910" s="1033"/>
      <c r="E13910" s="130"/>
    </row>
    <row r="13911" spans="1:5" x14ac:dyDescent="0.25">
      <c r="A13911" s="1033"/>
      <c r="E13911" s="130"/>
    </row>
    <row r="13912" spans="1:5" x14ac:dyDescent="0.25">
      <c r="A13912" s="1033"/>
      <c r="E13912" s="130"/>
    </row>
    <row r="13913" spans="1:5" x14ac:dyDescent="0.25">
      <c r="A13913" s="1033"/>
      <c r="E13913" s="130"/>
    </row>
    <row r="13914" spans="1:5" x14ac:dyDescent="0.25">
      <c r="A13914" s="1033"/>
      <c r="E13914" s="130"/>
    </row>
    <row r="13915" spans="1:5" x14ac:dyDescent="0.25">
      <c r="A13915" s="1033"/>
      <c r="E13915" s="130"/>
    </row>
    <row r="13916" spans="1:5" x14ac:dyDescent="0.25">
      <c r="A13916" s="1033"/>
      <c r="E13916" s="130"/>
    </row>
    <row r="13917" spans="1:5" x14ac:dyDescent="0.25">
      <c r="A13917" s="1033"/>
      <c r="E13917" s="130"/>
    </row>
    <row r="13918" spans="1:5" x14ac:dyDescent="0.25">
      <c r="A13918" s="1033"/>
      <c r="E13918" s="130"/>
    </row>
    <row r="13919" spans="1:5" x14ac:dyDescent="0.25">
      <c r="A13919" s="1033"/>
      <c r="E13919" s="130"/>
    </row>
    <row r="13920" spans="1:5" x14ac:dyDescent="0.25">
      <c r="A13920" s="1033"/>
      <c r="E13920" s="130"/>
    </row>
    <row r="13921" spans="1:5" x14ac:dyDescent="0.25">
      <c r="A13921" s="1033"/>
      <c r="E13921" s="130"/>
    </row>
    <row r="13922" spans="1:5" x14ac:dyDescent="0.25">
      <c r="A13922" s="1033"/>
      <c r="E13922" s="130"/>
    </row>
    <row r="13923" spans="1:5" x14ac:dyDescent="0.25">
      <c r="A13923" s="1033"/>
      <c r="E13923" s="130"/>
    </row>
    <row r="13924" spans="1:5" x14ac:dyDescent="0.25">
      <c r="A13924" s="1033"/>
      <c r="E13924" s="130"/>
    </row>
    <row r="13925" spans="1:5" x14ac:dyDescent="0.25">
      <c r="A13925" s="1033"/>
      <c r="E13925" s="130"/>
    </row>
    <row r="13926" spans="1:5" x14ac:dyDescent="0.25">
      <c r="A13926" s="1033"/>
      <c r="E13926" s="130"/>
    </row>
    <row r="13927" spans="1:5" x14ac:dyDescent="0.25">
      <c r="A13927" s="1033"/>
      <c r="E13927" s="130"/>
    </row>
    <row r="13928" spans="1:5" x14ac:dyDescent="0.25">
      <c r="A13928" s="1033"/>
      <c r="E13928" s="130"/>
    </row>
    <row r="13929" spans="1:5" x14ac:dyDescent="0.25">
      <c r="A13929" s="1033"/>
      <c r="E13929" s="130"/>
    </row>
    <row r="13930" spans="1:5" x14ac:dyDescent="0.25">
      <c r="A13930" s="1033"/>
      <c r="E13930" s="130"/>
    </row>
    <row r="13931" spans="1:5" x14ac:dyDescent="0.25">
      <c r="A13931" s="1033"/>
      <c r="E13931" s="130"/>
    </row>
    <row r="13932" spans="1:5" x14ac:dyDescent="0.25">
      <c r="A13932" s="1033"/>
      <c r="E13932" s="130"/>
    </row>
    <row r="13933" spans="1:5" x14ac:dyDescent="0.25">
      <c r="A13933" s="1033"/>
      <c r="E13933" s="130"/>
    </row>
    <row r="13934" spans="1:5" x14ac:dyDescent="0.25">
      <c r="A13934" s="1033"/>
      <c r="E13934" s="130"/>
    </row>
    <row r="13935" spans="1:5" x14ac:dyDescent="0.25">
      <c r="A13935" s="1033"/>
      <c r="E13935" s="130"/>
    </row>
    <row r="13936" spans="1:5" x14ac:dyDescent="0.25">
      <c r="A13936" s="1033"/>
      <c r="E13936" s="130"/>
    </row>
    <row r="13937" spans="1:5" x14ac:dyDescent="0.25">
      <c r="A13937" s="1033"/>
      <c r="E13937" s="130"/>
    </row>
    <row r="13938" spans="1:5" x14ac:dyDescent="0.25">
      <c r="A13938" s="1033"/>
      <c r="E13938" s="130"/>
    </row>
    <row r="13939" spans="1:5" x14ac:dyDescent="0.25">
      <c r="A13939" s="1033"/>
      <c r="E13939" s="130"/>
    </row>
    <row r="13940" spans="1:5" x14ac:dyDescent="0.25">
      <c r="A13940" s="1033"/>
      <c r="E13940" s="130"/>
    </row>
    <row r="13941" spans="1:5" x14ac:dyDescent="0.25">
      <c r="A13941" s="1033"/>
      <c r="E13941" s="130"/>
    </row>
    <row r="13942" spans="1:5" x14ac:dyDescent="0.25">
      <c r="A13942" s="1033"/>
      <c r="E13942" s="130"/>
    </row>
    <row r="13943" spans="1:5" x14ac:dyDescent="0.25">
      <c r="A13943" s="1033"/>
      <c r="E13943" s="130"/>
    </row>
    <row r="13944" spans="1:5" x14ac:dyDescent="0.25">
      <c r="A13944" s="1033"/>
      <c r="E13944" s="130"/>
    </row>
    <row r="13945" spans="1:5" x14ac:dyDescent="0.25">
      <c r="A13945" s="1033"/>
      <c r="E13945" s="130"/>
    </row>
    <row r="13946" spans="1:5" x14ac:dyDescent="0.25">
      <c r="A13946" s="1033"/>
      <c r="E13946" s="130"/>
    </row>
    <row r="13947" spans="1:5" x14ac:dyDescent="0.25">
      <c r="A13947" s="1033"/>
      <c r="E13947" s="130"/>
    </row>
    <row r="13948" spans="1:5" x14ac:dyDescent="0.25">
      <c r="A13948" s="1033"/>
      <c r="E13948" s="130"/>
    </row>
    <row r="13949" spans="1:5" x14ac:dyDescent="0.25">
      <c r="A13949" s="1033"/>
      <c r="E13949" s="130"/>
    </row>
    <row r="13950" spans="1:5" x14ac:dyDescent="0.25">
      <c r="A13950" s="1033"/>
      <c r="E13950" s="130"/>
    </row>
    <row r="13951" spans="1:5" x14ac:dyDescent="0.25">
      <c r="A13951" s="1033"/>
      <c r="E13951" s="130"/>
    </row>
    <row r="13952" spans="1:5" x14ac:dyDescent="0.25">
      <c r="A13952" s="1033"/>
      <c r="E13952" s="130"/>
    </row>
    <row r="13953" spans="1:5" x14ac:dyDescent="0.25">
      <c r="A13953" s="1033"/>
      <c r="E13953" s="130"/>
    </row>
    <row r="13954" spans="1:5" x14ac:dyDescent="0.25">
      <c r="A13954" s="1033"/>
      <c r="E13954" s="130"/>
    </row>
    <row r="13955" spans="1:5" x14ac:dyDescent="0.25">
      <c r="A13955" s="1033"/>
      <c r="E13955" s="130"/>
    </row>
    <row r="13956" spans="1:5" x14ac:dyDescent="0.25">
      <c r="A13956" s="1033"/>
      <c r="E13956" s="130"/>
    </row>
    <row r="13957" spans="1:5" x14ac:dyDescent="0.25">
      <c r="A13957" s="1033"/>
      <c r="E13957" s="130"/>
    </row>
    <row r="13958" spans="1:5" x14ac:dyDescent="0.25">
      <c r="A13958" s="1033"/>
      <c r="E13958" s="130"/>
    </row>
    <row r="13959" spans="1:5" x14ac:dyDescent="0.25">
      <c r="A13959" s="1033"/>
      <c r="E13959" s="130"/>
    </row>
    <row r="13960" spans="1:5" x14ac:dyDescent="0.25">
      <c r="A13960" s="1033"/>
      <c r="E13960" s="130"/>
    </row>
    <row r="13961" spans="1:5" x14ac:dyDescent="0.25">
      <c r="A13961" s="1033"/>
      <c r="E13961" s="130"/>
    </row>
    <row r="13962" spans="1:5" x14ac:dyDescent="0.25">
      <c r="A13962" s="1033"/>
      <c r="E13962" s="130"/>
    </row>
    <row r="13963" spans="1:5" x14ac:dyDescent="0.25">
      <c r="A13963" s="1033"/>
      <c r="E13963" s="130"/>
    </row>
    <row r="13964" spans="1:5" x14ac:dyDescent="0.25">
      <c r="A13964" s="1033"/>
      <c r="E13964" s="130"/>
    </row>
    <row r="13965" spans="1:5" x14ac:dyDescent="0.25">
      <c r="A13965" s="1033"/>
      <c r="E13965" s="130"/>
    </row>
    <row r="13966" spans="1:5" x14ac:dyDescent="0.25">
      <c r="A13966" s="1033"/>
      <c r="E13966" s="130"/>
    </row>
    <row r="13967" spans="1:5" x14ac:dyDescent="0.25">
      <c r="A13967" s="1033"/>
      <c r="E13967" s="130"/>
    </row>
    <row r="13968" spans="1:5" x14ac:dyDescent="0.25">
      <c r="A13968" s="1033"/>
      <c r="E13968" s="130"/>
    </row>
    <row r="13969" spans="1:5" x14ac:dyDescent="0.25">
      <c r="A13969" s="1033"/>
      <c r="E13969" s="130"/>
    </row>
    <row r="13970" spans="1:5" x14ac:dyDescent="0.25">
      <c r="A13970" s="1033"/>
      <c r="E13970" s="130"/>
    </row>
    <row r="13971" spans="1:5" x14ac:dyDescent="0.25">
      <c r="A13971" s="1033"/>
      <c r="E13971" s="130"/>
    </row>
    <row r="13972" spans="1:5" x14ac:dyDescent="0.25">
      <c r="A13972" s="1033"/>
      <c r="E13972" s="130"/>
    </row>
    <row r="13973" spans="1:5" x14ac:dyDescent="0.25">
      <c r="A13973" s="1033"/>
      <c r="E13973" s="130"/>
    </row>
    <row r="13974" spans="1:5" x14ac:dyDescent="0.25">
      <c r="A13974" s="1033"/>
      <c r="E13974" s="130"/>
    </row>
    <row r="13975" spans="1:5" x14ac:dyDescent="0.25">
      <c r="A13975" s="1033"/>
      <c r="E13975" s="130"/>
    </row>
    <row r="13976" spans="1:5" x14ac:dyDescent="0.25">
      <c r="A13976" s="1033"/>
      <c r="E13976" s="130"/>
    </row>
    <row r="13977" spans="1:5" x14ac:dyDescent="0.25">
      <c r="A13977" s="1033"/>
      <c r="E13977" s="130"/>
    </row>
    <row r="13978" spans="1:5" x14ac:dyDescent="0.25">
      <c r="A13978" s="1033"/>
      <c r="E13978" s="130"/>
    </row>
    <row r="13979" spans="1:5" x14ac:dyDescent="0.25">
      <c r="A13979" s="1033"/>
      <c r="E13979" s="130"/>
    </row>
    <row r="13980" spans="1:5" x14ac:dyDescent="0.25">
      <c r="A13980" s="1033"/>
      <c r="E13980" s="130"/>
    </row>
    <row r="13981" spans="1:5" x14ac:dyDescent="0.25">
      <c r="A13981" s="1033"/>
      <c r="E13981" s="130"/>
    </row>
    <row r="13982" spans="1:5" x14ac:dyDescent="0.25">
      <c r="A13982" s="1033"/>
      <c r="E13982" s="130"/>
    </row>
    <row r="13983" spans="1:5" x14ac:dyDescent="0.25">
      <c r="A13983" s="1033"/>
      <c r="E13983" s="130"/>
    </row>
    <row r="13984" spans="1:5" x14ac:dyDescent="0.25">
      <c r="A13984" s="1033"/>
      <c r="E13984" s="130"/>
    </row>
    <row r="13985" spans="1:5" x14ac:dyDescent="0.25">
      <c r="A13985" s="1033"/>
      <c r="E13985" s="130"/>
    </row>
    <row r="13986" spans="1:5" x14ac:dyDescent="0.25">
      <c r="A13986" s="1033"/>
      <c r="E13986" s="130"/>
    </row>
    <row r="13987" spans="1:5" x14ac:dyDescent="0.25">
      <c r="A13987" s="1033"/>
      <c r="E13987" s="130"/>
    </row>
    <row r="13988" spans="1:5" x14ac:dyDescent="0.25">
      <c r="A13988" s="1033"/>
      <c r="E13988" s="130"/>
    </row>
    <row r="13989" spans="1:5" x14ac:dyDescent="0.25">
      <c r="A13989" s="1033"/>
      <c r="E13989" s="130"/>
    </row>
    <row r="13990" spans="1:5" x14ac:dyDescent="0.25">
      <c r="A13990" s="1033"/>
      <c r="E13990" s="130"/>
    </row>
    <row r="13991" spans="1:5" x14ac:dyDescent="0.25">
      <c r="A13991" s="1033"/>
      <c r="E13991" s="130"/>
    </row>
    <row r="13992" spans="1:5" x14ac:dyDescent="0.25">
      <c r="A13992" s="1033"/>
      <c r="E13992" s="130"/>
    </row>
    <row r="13993" spans="1:5" x14ac:dyDescent="0.25">
      <c r="A13993" s="1033"/>
      <c r="E13993" s="130"/>
    </row>
    <row r="13994" spans="1:5" x14ac:dyDescent="0.25">
      <c r="A13994" s="1033"/>
      <c r="E13994" s="130"/>
    </row>
    <row r="13995" spans="1:5" x14ac:dyDescent="0.25">
      <c r="A13995" s="1033"/>
      <c r="E13995" s="130"/>
    </row>
    <row r="13996" spans="1:5" x14ac:dyDescent="0.25">
      <c r="A13996" s="1033"/>
      <c r="E13996" s="130"/>
    </row>
    <row r="13997" spans="1:5" x14ac:dyDescent="0.25">
      <c r="A13997" s="1033"/>
      <c r="E13997" s="130"/>
    </row>
    <row r="13998" spans="1:5" x14ac:dyDescent="0.25">
      <c r="A13998" s="1033"/>
      <c r="E13998" s="130"/>
    </row>
    <row r="13999" spans="1:5" x14ac:dyDescent="0.25">
      <c r="A13999" s="1033"/>
      <c r="E13999" s="130"/>
    </row>
    <row r="14000" spans="1:5" x14ac:dyDescent="0.25">
      <c r="A14000" s="1033"/>
      <c r="E14000" s="130"/>
    </row>
    <row r="14001" spans="1:5" x14ac:dyDescent="0.25">
      <c r="A14001" s="1033"/>
      <c r="E14001" s="130"/>
    </row>
    <row r="14002" spans="1:5" x14ac:dyDescent="0.25">
      <c r="A14002" s="1033"/>
      <c r="E14002" s="130"/>
    </row>
    <row r="14003" spans="1:5" x14ac:dyDescent="0.25">
      <c r="A14003" s="1033"/>
      <c r="E14003" s="130"/>
    </row>
    <row r="14004" spans="1:5" x14ac:dyDescent="0.25">
      <c r="A14004" s="1033"/>
      <c r="E14004" s="130"/>
    </row>
    <row r="14005" spans="1:5" x14ac:dyDescent="0.25">
      <c r="A14005" s="1033"/>
      <c r="E14005" s="130"/>
    </row>
    <row r="14006" spans="1:5" x14ac:dyDescent="0.25">
      <c r="A14006" s="1033"/>
      <c r="E14006" s="130"/>
    </row>
    <row r="14007" spans="1:5" x14ac:dyDescent="0.25">
      <c r="A14007" s="1033"/>
      <c r="E14007" s="130"/>
    </row>
    <row r="14008" spans="1:5" x14ac:dyDescent="0.25">
      <c r="A14008" s="1033"/>
      <c r="E14008" s="130"/>
    </row>
    <row r="14009" spans="1:5" x14ac:dyDescent="0.25">
      <c r="A14009" s="1033"/>
      <c r="E14009" s="130"/>
    </row>
    <row r="14010" spans="1:5" x14ac:dyDescent="0.25">
      <c r="A14010" s="1033"/>
      <c r="E14010" s="130"/>
    </row>
    <row r="14011" spans="1:5" x14ac:dyDescent="0.25">
      <c r="A14011" s="1033"/>
      <c r="E14011" s="130"/>
    </row>
    <row r="14012" spans="1:5" x14ac:dyDescent="0.25">
      <c r="A14012" s="1033"/>
      <c r="E14012" s="130"/>
    </row>
    <row r="14013" spans="1:5" x14ac:dyDescent="0.25">
      <c r="A14013" s="1033"/>
      <c r="E14013" s="130"/>
    </row>
    <row r="14014" spans="1:5" x14ac:dyDescent="0.25">
      <c r="A14014" s="1033"/>
      <c r="E14014" s="130"/>
    </row>
    <row r="14015" spans="1:5" x14ac:dyDescent="0.25">
      <c r="A14015" s="1033"/>
      <c r="E14015" s="130"/>
    </row>
    <row r="14016" spans="1:5" x14ac:dyDescent="0.25">
      <c r="A14016" s="1033"/>
      <c r="E14016" s="130"/>
    </row>
    <row r="14017" spans="1:5" x14ac:dyDescent="0.25">
      <c r="A14017" s="1033"/>
      <c r="E14017" s="130"/>
    </row>
    <row r="14018" spans="1:5" x14ac:dyDescent="0.25">
      <c r="A14018" s="1033"/>
      <c r="E14018" s="130"/>
    </row>
    <row r="14019" spans="1:5" x14ac:dyDescent="0.25">
      <c r="A14019" s="1033"/>
      <c r="E14019" s="130"/>
    </row>
    <row r="14020" spans="1:5" x14ac:dyDescent="0.25">
      <c r="A14020" s="1033"/>
      <c r="E14020" s="130"/>
    </row>
    <row r="14021" spans="1:5" x14ac:dyDescent="0.25">
      <c r="A14021" s="1033"/>
      <c r="E14021" s="130"/>
    </row>
    <row r="14022" spans="1:5" x14ac:dyDescent="0.25">
      <c r="A14022" s="1033"/>
      <c r="E14022" s="130"/>
    </row>
    <row r="14023" spans="1:5" x14ac:dyDescent="0.25">
      <c r="A14023" s="1033"/>
      <c r="E14023" s="130"/>
    </row>
    <row r="14024" spans="1:5" x14ac:dyDescent="0.25">
      <c r="A14024" s="1033"/>
      <c r="E14024" s="130"/>
    </row>
    <row r="14025" spans="1:5" x14ac:dyDescent="0.25">
      <c r="A14025" s="1033"/>
      <c r="E14025" s="130"/>
    </row>
    <row r="14026" spans="1:5" x14ac:dyDescent="0.25">
      <c r="A14026" s="1033"/>
      <c r="E14026" s="130"/>
    </row>
    <row r="14027" spans="1:5" x14ac:dyDescent="0.25">
      <c r="A14027" s="1033"/>
      <c r="E14027" s="130"/>
    </row>
    <row r="14028" spans="1:5" x14ac:dyDescent="0.25">
      <c r="A14028" s="1033"/>
      <c r="E14028" s="130"/>
    </row>
    <row r="14029" spans="1:5" x14ac:dyDescent="0.25">
      <c r="A14029" s="1033"/>
      <c r="E14029" s="130"/>
    </row>
    <row r="14030" spans="1:5" x14ac:dyDescent="0.25">
      <c r="A14030" s="1033"/>
      <c r="E14030" s="130"/>
    </row>
    <row r="14031" spans="1:5" x14ac:dyDescent="0.25">
      <c r="A14031" s="1033"/>
      <c r="E14031" s="130"/>
    </row>
    <row r="14032" spans="1:5" x14ac:dyDescent="0.25">
      <c r="A14032" s="1033"/>
      <c r="E14032" s="130"/>
    </row>
    <row r="14033" spans="1:5" x14ac:dyDescent="0.25">
      <c r="A14033" s="1033"/>
      <c r="E14033" s="130"/>
    </row>
    <row r="14034" spans="1:5" x14ac:dyDescent="0.25">
      <c r="A14034" s="1033"/>
      <c r="E14034" s="130"/>
    </row>
    <row r="14035" spans="1:5" x14ac:dyDescent="0.25">
      <c r="A14035" s="1033"/>
      <c r="E14035" s="130"/>
    </row>
    <row r="14036" spans="1:5" x14ac:dyDescent="0.25">
      <c r="A14036" s="1033"/>
      <c r="E14036" s="130"/>
    </row>
    <row r="14037" spans="1:5" x14ac:dyDescent="0.25">
      <c r="A14037" s="1033"/>
      <c r="E14037" s="130"/>
    </row>
    <row r="14038" spans="1:5" x14ac:dyDescent="0.25">
      <c r="A14038" s="1033"/>
      <c r="E14038" s="130"/>
    </row>
    <row r="14039" spans="1:5" x14ac:dyDescent="0.25">
      <c r="A14039" s="1033"/>
      <c r="E14039" s="130"/>
    </row>
    <row r="14040" spans="1:5" x14ac:dyDescent="0.25">
      <c r="A14040" s="1033"/>
      <c r="E14040" s="130"/>
    </row>
    <row r="14041" spans="1:5" x14ac:dyDescent="0.25">
      <c r="A14041" s="1033"/>
      <c r="E14041" s="130"/>
    </row>
    <row r="14042" spans="1:5" x14ac:dyDescent="0.25">
      <c r="A14042" s="1033"/>
      <c r="E14042" s="130"/>
    </row>
    <row r="14043" spans="1:5" x14ac:dyDescent="0.25">
      <c r="A14043" s="1033"/>
      <c r="E14043" s="130"/>
    </row>
    <row r="14044" spans="1:5" x14ac:dyDescent="0.25">
      <c r="A14044" s="1033"/>
      <c r="E14044" s="130"/>
    </row>
    <row r="14045" spans="1:5" x14ac:dyDescent="0.25">
      <c r="A14045" s="1033"/>
      <c r="E14045" s="130"/>
    </row>
    <row r="14046" spans="1:5" x14ac:dyDescent="0.25">
      <c r="A14046" s="1033"/>
      <c r="E14046" s="130"/>
    </row>
    <row r="14047" spans="1:5" x14ac:dyDescent="0.25">
      <c r="A14047" s="1033"/>
      <c r="E14047" s="130"/>
    </row>
    <row r="14048" spans="1:5" x14ac:dyDescent="0.25">
      <c r="A14048" s="1033"/>
      <c r="E14048" s="130"/>
    </row>
    <row r="14049" spans="1:5" x14ac:dyDescent="0.25">
      <c r="A14049" s="1033"/>
      <c r="E14049" s="130"/>
    </row>
    <row r="14050" spans="1:5" x14ac:dyDescent="0.25">
      <c r="A14050" s="1033"/>
      <c r="E14050" s="130"/>
    </row>
    <row r="14051" spans="1:5" x14ac:dyDescent="0.25">
      <c r="A14051" s="1033"/>
      <c r="E14051" s="130"/>
    </row>
    <row r="14052" spans="1:5" x14ac:dyDescent="0.25">
      <c r="A14052" s="1033"/>
      <c r="E14052" s="130"/>
    </row>
    <row r="14053" spans="1:5" x14ac:dyDescent="0.25">
      <c r="A14053" s="1033"/>
      <c r="E14053" s="130"/>
    </row>
    <row r="14054" spans="1:5" x14ac:dyDescent="0.25">
      <c r="A14054" s="1033"/>
      <c r="E14054" s="130"/>
    </row>
    <row r="14055" spans="1:5" x14ac:dyDescent="0.25">
      <c r="A14055" s="1033"/>
      <c r="E14055" s="130"/>
    </row>
    <row r="14056" spans="1:5" x14ac:dyDescent="0.25">
      <c r="A14056" s="1033"/>
      <c r="E14056" s="130"/>
    </row>
    <row r="14057" spans="1:5" x14ac:dyDescent="0.25">
      <c r="A14057" s="1033"/>
      <c r="E14057" s="130"/>
    </row>
    <row r="14058" spans="1:5" x14ac:dyDescent="0.25">
      <c r="A14058" s="1033"/>
      <c r="E14058" s="130"/>
    </row>
    <row r="14059" spans="1:5" x14ac:dyDescent="0.25">
      <c r="A14059" s="1033"/>
      <c r="E14059" s="130"/>
    </row>
    <row r="14060" spans="1:5" x14ac:dyDescent="0.25">
      <c r="A14060" s="1033"/>
      <c r="E14060" s="130"/>
    </row>
    <row r="14061" spans="1:5" x14ac:dyDescent="0.25">
      <c r="A14061" s="1033"/>
      <c r="E14061" s="130"/>
    </row>
    <row r="14062" spans="1:5" x14ac:dyDescent="0.25">
      <c r="A14062" s="1033"/>
      <c r="E14062" s="130"/>
    </row>
    <row r="14063" spans="1:5" x14ac:dyDescent="0.25">
      <c r="A14063" s="1033"/>
      <c r="E14063" s="130"/>
    </row>
    <row r="14064" spans="1:5" x14ac:dyDescent="0.25">
      <c r="A14064" s="1033"/>
      <c r="E14064" s="130"/>
    </row>
    <row r="14065" spans="1:5" x14ac:dyDescent="0.25">
      <c r="A14065" s="1033"/>
      <c r="E14065" s="130"/>
    </row>
    <row r="14066" spans="1:5" x14ac:dyDescent="0.25">
      <c r="A14066" s="1033"/>
      <c r="E14066" s="130"/>
    </row>
    <row r="14067" spans="1:5" x14ac:dyDescent="0.25">
      <c r="A14067" s="1033"/>
      <c r="E14067" s="130"/>
    </row>
    <row r="14068" spans="1:5" x14ac:dyDescent="0.25">
      <c r="A14068" s="1033"/>
      <c r="E14068" s="130"/>
    </row>
    <row r="14069" spans="1:5" x14ac:dyDescent="0.25">
      <c r="A14069" s="1033"/>
      <c r="E14069" s="130"/>
    </row>
    <row r="14070" spans="1:5" x14ac:dyDescent="0.25">
      <c r="A14070" s="1033"/>
      <c r="E14070" s="130"/>
    </row>
    <row r="14071" spans="1:5" x14ac:dyDescent="0.25">
      <c r="A14071" s="1033"/>
      <c r="E14071" s="130"/>
    </row>
    <row r="14072" spans="1:5" x14ac:dyDescent="0.25">
      <c r="A14072" s="1033"/>
      <c r="E14072" s="130"/>
    </row>
    <row r="14073" spans="1:5" x14ac:dyDescent="0.25">
      <c r="A14073" s="1033"/>
      <c r="E14073" s="130"/>
    </row>
    <row r="14074" spans="1:5" x14ac:dyDescent="0.25">
      <c r="A14074" s="1033"/>
      <c r="E14074" s="130"/>
    </row>
    <row r="14075" spans="1:5" x14ac:dyDescent="0.25">
      <c r="A14075" s="1033"/>
      <c r="E14075" s="130"/>
    </row>
    <row r="14076" spans="1:5" x14ac:dyDescent="0.25">
      <c r="A14076" s="1033"/>
      <c r="E14076" s="130"/>
    </row>
    <row r="14077" spans="1:5" x14ac:dyDescent="0.25">
      <c r="A14077" s="1033"/>
      <c r="E14077" s="130"/>
    </row>
    <row r="14078" spans="1:5" x14ac:dyDescent="0.25">
      <c r="A14078" s="1033"/>
      <c r="E14078" s="130"/>
    </row>
    <row r="14079" spans="1:5" x14ac:dyDescent="0.25">
      <c r="A14079" s="1033"/>
      <c r="E14079" s="130"/>
    </row>
    <row r="14080" spans="1:5" x14ac:dyDescent="0.25">
      <c r="A14080" s="1033"/>
      <c r="E14080" s="130"/>
    </row>
    <row r="14081" spans="1:5" x14ac:dyDescent="0.25">
      <c r="A14081" s="1033"/>
      <c r="E14081" s="130"/>
    </row>
    <row r="14082" spans="1:5" x14ac:dyDescent="0.25">
      <c r="A14082" s="1033"/>
      <c r="E14082" s="130"/>
    </row>
    <row r="14083" spans="1:5" x14ac:dyDescent="0.25">
      <c r="A14083" s="1033"/>
      <c r="E14083" s="130"/>
    </row>
    <row r="14084" spans="1:5" x14ac:dyDescent="0.25">
      <c r="A14084" s="1033"/>
      <c r="E14084" s="130"/>
    </row>
    <row r="14085" spans="1:5" x14ac:dyDescent="0.25">
      <c r="A14085" s="1033"/>
      <c r="E14085" s="130"/>
    </row>
    <row r="14086" spans="1:5" x14ac:dyDescent="0.25">
      <c r="A14086" s="1033"/>
      <c r="E14086" s="130"/>
    </row>
    <row r="14087" spans="1:5" x14ac:dyDescent="0.25">
      <c r="A14087" s="1033"/>
      <c r="E14087" s="130"/>
    </row>
    <row r="14088" spans="1:5" x14ac:dyDescent="0.25">
      <c r="A14088" s="1033"/>
      <c r="E14088" s="130"/>
    </row>
    <row r="14089" spans="1:5" x14ac:dyDescent="0.25">
      <c r="A14089" s="1033"/>
      <c r="E14089" s="130"/>
    </row>
    <row r="14090" spans="1:5" x14ac:dyDescent="0.25">
      <c r="A14090" s="1033"/>
      <c r="E14090" s="130"/>
    </row>
    <row r="14091" spans="1:5" x14ac:dyDescent="0.25">
      <c r="A14091" s="1033"/>
      <c r="E14091" s="130"/>
    </row>
    <row r="14092" spans="1:5" x14ac:dyDescent="0.25">
      <c r="A14092" s="1033"/>
      <c r="E14092" s="130"/>
    </row>
    <row r="14093" spans="1:5" x14ac:dyDescent="0.25">
      <c r="A14093" s="1033"/>
      <c r="E14093" s="130"/>
    </row>
    <row r="14094" spans="1:5" x14ac:dyDescent="0.25">
      <c r="A14094" s="1033"/>
      <c r="E14094" s="130"/>
    </row>
    <row r="14095" spans="1:5" x14ac:dyDescent="0.25">
      <c r="A14095" s="1033"/>
      <c r="E14095" s="130"/>
    </row>
    <row r="14096" spans="1:5" x14ac:dyDescent="0.25">
      <c r="A14096" s="1033"/>
      <c r="E14096" s="130"/>
    </row>
    <row r="14097" spans="1:5" x14ac:dyDescent="0.25">
      <c r="A14097" s="1033"/>
      <c r="E14097" s="130"/>
    </row>
    <row r="14098" spans="1:5" x14ac:dyDescent="0.25">
      <c r="A14098" s="1033"/>
      <c r="E14098" s="130"/>
    </row>
    <row r="14099" spans="1:5" x14ac:dyDescent="0.25">
      <c r="A14099" s="1033"/>
      <c r="E14099" s="130"/>
    </row>
    <row r="14100" spans="1:5" x14ac:dyDescent="0.25">
      <c r="A14100" s="1033"/>
      <c r="E14100" s="130"/>
    </row>
    <row r="14101" spans="1:5" x14ac:dyDescent="0.25">
      <c r="A14101" s="1033"/>
      <c r="E14101" s="130"/>
    </row>
    <row r="14102" spans="1:5" x14ac:dyDescent="0.25">
      <c r="A14102" s="1033"/>
      <c r="E14102" s="130"/>
    </row>
    <row r="14103" spans="1:5" x14ac:dyDescent="0.25">
      <c r="A14103" s="1033"/>
      <c r="E14103" s="130"/>
    </row>
    <row r="14104" spans="1:5" x14ac:dyDescent="0.25">
      <c r="A14104" s="1033"/>
      <c r="E14104" s="130"/>
    </row>
    <row r="14105" spans="1:5" x14ac:dyDescent="0.25">
      <c r="A14105" s="1033"/>
      <c r="E14105" s="130"/>
    </row>
    <row r="14106" spans="1:5" x14ac:dyDescent="0.25">
      <c r="A14106" s="1033"/>
      <c r="E14106" s="130"/>
    </row>
    <row r="14107" spans="1:5" x14ac:dyDescent="0.25">
      <c r="A14107" s="1033"/>
      <c r="E14107" s="130"/>
    </row>
    <row r="14108" spans="1:5" x14ac:dyDescent="0.25">
      <c r="A14108" s="1033"/>
      <c r="E14108" s="130"/>
    </row>
    <row r="14109" spans="1:5" x14ac:dyDescent="0.25">
      <c r="A14109" s="1033"/>
      <c r="E14109" s="130"/>
    </row>
    <row r="14110" spans="1:5" x14ac:dyDescent="0.25">
      <c r="A14110" s="1033"/>
      <c r="E14110" s="130"/>
    </row>
    <row r="14111" spans="1:5" x14ac:dyDescent="0.25">
      <c r="A14111" s="1033"/>
      <c r="E14111" s="130"/>
    </row>
    <row r="14112" spans="1:5" x14ac:dyDescent="0.25">
      <c r="A14112" s="1033"/>
      <c r="E14112" s="130"/>
    </row>
    <row r="14113" spans="1:5" x14ac:dyDescent="0.25">
      <c r="A14113" s="1033"/>
      <c r="E14113" s="130"/>
    </row>
    <row r="14114" spans="1:5" x14ac:dyDescent="0.25">
      <c r="A14114" s="1033"/>
      <c r="E14114" s="130"/>
    </row>
    <row r="14115" spans="1:5" x14ac:dyDescent="0.25">
      <c r="A14115" s="1033"/>
      <c r="E14115" s="130"/>
    </row>
    <row r="14116" spans="1:5" x14ac:dyDescent="0.25">
      <c r="A14116" s="1033"/>
      <c r="E14116" s="130"/>
    </row>
    <row r="14117" spans="1:5" x14ac:dyDescent="0.25">
      <c r="A14117" s="1033"/>
      <c r="E14117" s="130"/>
    </row>
    <row r="14118" spans="1:5" x14ac:dyDescent="0.25">
      <c r="A14118" s="1033"/>
      <c r="E14118" s="130"/>
    </row>
    <row r="14119" spans="1:5" x14ac:dyDescent="0.25">
      <c r="A14119" s="1033"/>
      <c r="E14119" s="130"/>
    </row>
    <row r="14120" spans="1:5" x14ac:dyDescent="0.25">
      <c r="A14120" s="1033"/>
      <c r="E14120" s="130"/>
    </row>
    <row r="14121" spans="1:5" x14ac:dyDescent="0.25">
      <c r="A14121" s="1033"/>
      <c r="E14121" s="130"/>
    </row>
    <row r="14122" spans="1:5" x14ac:dyDescent="0.25">
      <c r="A14122" s="1033"/>
      <c r="E14122" s="130"/>
    </row>
    <row r="14123" spans="1:5" x14ac:dyDescent="0.25">
      <c r="A14123" s="1033"/>
      <c r="E14123" s="130"/>
    </row>
    <row r="14124" spans="1:5" x14ac:dyDescent="0.25">
      <c r="A14124" s="1033"/>
      <c r="E14124" s="130"/>
    </row>
    <row r="14125" spans="1:5" x14ac:dyDescent="0.25">
      <c r="A14125" s="1033"/>
      <c r="E14125" s="130"/>
    </row>
    <row r="14126" spans="1:5" x14ac:dyDescent="0.25">
      <c r="A14126" s="1033"/>
      <c r="E14126" s="130"/>
    </row>
    <row r="14127" spans="1:5" x14ac:dyDescent="0.25">
      <c r="A14127" s="1033"/>
      <c r="E14127" s="130"/>
    </row>
    <row r="14128" spans="1:5" x14ac:dyDescent="0.25">
      <c r="A14128" s="1033"/>
      <c r="E14128" s="130"/>
    </row>
    <row r="14129" spans="1:5" x14ac:dyDescent="0.25">
      <c r="A14129" s="1033"/>
      <c r="E14129" s="130"/>
    </row>
    <row r="14130" spans="1:5" x14ac:dyDescent="0.25">
      <c r="A14130" s="1033"/>
      <c r="E14130" s="130"/>
    </row>
    <row r="14131" spans="1:5" x14ac:dyDescent="0.25">
      <c r="A14131" s="1033"/>
      <c r="E14131" s="130"/>
    </row>
    <row r="14132" spans="1:5" x14ac:dyDescent="0.25">
      <c r="A14132" s="1033"/>
      <c r="E14132" s="130"/>
    </row>
    <row r="14133" spans="1:5" x14ac:dyDescent="0.25">
      <c r="A14133" s="1033"/>
      <c r="E14133" s="130"/>
    </row>
    <row r="14134" spans="1:5" x14ac:dyDescent="0.25">
      <c r="A14134" s="1033"/>
      <c r="E14134" s="130"/>
    </row>
    <row r="14135" spans="1:5" x14ac:dyDescent="0.25">
      <c r="A14135" s="1033"/>
      <c r="E14135" s="130"/>
    </row>
    <row r="14136" spans="1:5" x14ac:dyDescent="0.25">
      <c r="A14136" s="1033"/>
      <c r="E14136" s="130"/>
    </row>
    <row r="14137" spans="1:5" x14ac:dyDescent="0.25">
      <c r="A14137" s="1033"/>
      <c r="E14137" s="130"/>
    </row>
    <row r="14138" spans="1:5" x14ac:dyDescent="0.25">
      <c r="A14138" s="1033"/>
      <c r="E14138" s="130"/>
    </row>
    <row r="14139" spans="1:5" x14ac:dyDescent="0.25">
      <c r="A14139" s="1033"/>
      <c r="E14139" s="130"/>
    </row>
    <row r="14140" spans="1:5" x14ac:dyDescent="0.25">
      <c r="A14140" s="1033"/>
      <c r="E14140" s="130"/>
    </row>
    <row r="14141" spans="1:5" x14ac:dyDescent="0.25">
      <c r="A14141" s="1033"/>
      <c r="E14141" s="130"/>
    </row>
    <row r="14142" spans="1:5" x14ac:dyDescent="0.25">
      <c r="A14142" s="1033"/>
      <c r="E14142" s="130"/>
    </row>
    <row r="14143" spans="1:5" x14ac:dyDescent="0.25">
      <c r="A14143" s="1033"/>
      <c r="E14143" s="130"/>
    </row>
    <row r="14144" spans="1:5" x14ac:dyDescent="0.25">
      <c r="A14144" s="1033"/>
      <c r="E14144" s="130"/>
    </row>
    <row r="14145" spans="1:5" x14ac:dyDescent="0.25">
      <c r="A14145" s="1033"/>
      <c r="E14145" s="130"/>
    </row>
    <row r="14146" spans="1:5" x14ac:dyDescent="0.25">
      <c r="A14146" s="1033"/>
      <c r="E14146" s="130"/>
    </row>
    <row r="14147" spans="1:5" x14ac:dyDescent="0.25">
      <c r="A14147" s="1033"/>
      <c r="E14147" s="130"/>
    </row>
    <row r="14148" spans="1:5" x14ac:dyDescent="0.25">
      <c r="A14148" s="1033"/>
      <c r="E14148" s="130"/>
    </row>
    <row r="14149" spans="1:5" x14ac:dyDescent="0.25">
      <c r="A14149" s="1033"/>
      <c r="E14149" s="130"/>
    </row>
    <row r="14150" spans="1:5" x14ac:dyDescent="0.25">
      <c r="A14150" s="1033"/>
      <c r="E14150" s="130"/>
    </row>
    <row r="14151" spans="1:5" x14ac:dyDescent="0.25">
      <c r="A14151" s="1033"/>
      <c r="E14151" s="130"/>
    </row>
    <row r="14152" spans="1:5" x14ac:dyDescent="0.25">
      <c r="A14152" s="1033"/>
      <c r="E14152" s="130"/>
    </row>
    <row r="14153" spans="1:5" x14ac:dyDescent="0.25">
      <c r="A14153" s="1033"/>
      <c r="E14153" s="130"/>
    </row>
    <row r="14154" spans="1:5" x14ac:dyDescent="0.25">
      <c r="A14154" s="1033"/>
      <c r="E14154" s="130"/>
    </row>
    <row r="14155" spans="1:5" x14ac:dyDescent="0.25">
      <c r="A14155" s="1033"/>
      <c r="E14155" s="130"/>
    </row>
    <row r="14156" spans="1:5" x14ac:dyDescent="0.25">
      <c r="A14156" s="1033"/>
      <c r="E14156" s="130"/>
    </row>
    <row r="14157" spans="1:5" x14ac:dyDescent="0.25">
      <c r="A14157" s="1033"/>
      <c r="E14157" s="130"/>
    </row>
    <row r="14158" spans="1:5" x14ac:dyDescent="0.25">
      <c r="A14158" s="1033"/>
      <c r="E14158" s="130"/>
    </row>
    <row r="14159" spans="1:5" x14ac:dyDescent="0.25">
      <c r="A14159" s="1033"/>
      <c r="E14159" s="130"/>
    </row>
    <row r="14160" spans="1:5" x14ac:dyDescent="0.25">
      <c r="A14160" s="1033"/>
      <c r="E14160" s="130"/>
    </row>
    <row r="14161" spans="1:5" x14ac:dyDescent="0.25">
      <c r="A14161" s="1033"/>
      <c r="E14161" s="130"/>
    </row>
    <row r="14162" spans="1:5" x14ac:dyDescent="0.25">
      <c r="A14162" s="1033"/>
      <c r="E14162" s="130"/>
    </row>
    <row r="14163" spans="1:5" x14ac:dyDescent="0.25">
      <c r="A14163" s="1033"/>
      <c r="E14163" s="130"/>
    </row>
    <row r="14164" spans="1:5" x14ac:dyDescent="0.25">
      <c r="A14164" s="1033"/>
      <c r="E14164" s="130"/>
    </row>
    <row r="14165" spans="1:5" x14ac:dyDescent="0.25">
      <c r="A14165" s="1033"/>
      <c r="E14165" s="130"/>
    </row>
    <row r="14166" spans="1:5" x14ac:dyDescent="0.25">
      <c r="A14166" s="1033"/>
      <c r="E14166" s="130"/>
    </row>
    <row r="14167" spans="1:5" x14ac:dyDescent="0.25">
      <c r="A14167" s="1033"/>
      <c r="E14167" s="130"/>
    </row>
    <row r="14168" spans="1:5" x14ac:dyDescent="0.25">
      <c r="A14168" s="1033"/>
      <c r="E14168" s="130"/>
    </row>
    <row r="14169" spans="1:5" x14ac:dyDescent="0.25">
      <c r="A14169" s="1033"/>
      <c r="E14169" s="130"/>
    </row>
    <row r="14170" spans="1:5" x14ac:dyDescent="0.25">
      <c r="A14170" s="1033"/>
      <c r="E14170" s="130"/>
    </row>
    <row r="14171" spans="1:5" x14ac:dyDescent="0.25">
      <c r="A14171" s="1033"/>
      <c r="E14171" s="130"/>
    </row>
    <row r="14172" spans="1:5" x14ac:dyDescent="0.25">
      <c r="A14172" s="1033"/>
      <c r="E14172" s="130"/>
    </row>
    <row r="14173" spans="1:5" x14ac:dyDescent="0.25">
      <c r="A14173" s="1033"/>
      <c r="E14173" s="130"/>
    </row>
    <row r="14174" spans="1:5" x14ac:dyDescent="0.25">
      <c r="A14174" s="1033"/>
      <c r="E14174" s="130"/>
    </row>
    <row r="14175" spans="1:5" x14ac:dyDescent="0.25">
      <c r="A14175" s="1033"/>
      <c r="E14175" s="130"/>
    </row>
    <row r="14176" spans="1:5" x14ac:dyDescent="0.25">
      <c r="A14176" s="1033"/>
      <c r="E14176" s="130"/>
    </row>
    <row r="14177" spans="1:5" x14ac:dyDescent="0.25">
      <c r="A14177" s="1033"/>
      <c r="E14177" s="130"/>
    </row>
    <row r="14178" spans="1:5" x14ac:dyDescent="0.25">
      <c r="A14178" s="1033"/>
      <c r="E14178" s="130"/>
    </row>
    <row r="14179" spans="1:5" x14ac:dyDescent="0.25">
      <c r="A14179" s="1033"/>
      <c r="E14179" s="130"/>
    </row>
    <row r="14180" spans="1:5" x14ac:dyDescent="0.25">
      <c r="A14180" s="1033"/>
      <c r="E14180" s="130"/>
    </row>
    <row r="14181" spans="1:5" x14ac:dyDescent="0.25">
      <c r="A14181" s="1033"/>
      <c r="E14181" s="130"/>
    </row>
    <row r="14182" spans="1:5" x14ac:dyDescent="0.25">
      <c r="A14182" s="1033"/>
      <c r="E14182" s="130"/>
    </row>
    <row r="14183" spans="1:5" x14ac:dyDescent="0.25">
      <c r="A14183" s="1033"/>
      <c r="E14183" s="130"/>
    </row>
    <row r="14184" spans="1:5" x14ac:dyDescent="0.25">
      <c r="A14184" s="1033"/>
      <c r="E14184" s="130"/>
    </row>
    <row r="14185" spans="1:5" x14ac:dyDescent="0.25">
      <c r="A14185" s="1033"/>
      <c r="E14185" s="130"/>
    </row>
    <row r="14186" spans="1:5" x14ac:dyDescent="0.25">
      <c r="A14186" s="1033"/>
      <c r="E14186" s="130"/>
    </row>
    <row r="14187" spans="1:5" x14ac:dyDescent="0.25">
      <c r="A14187" s="1033"/>
      <c r="E14187" s="130"/>
    </row>
    <row r="14188" spans="1:5" x14ac:dyDescent="0.25">
      <c r="A14188" s="1033"/>
      <c r="E14188" s="130"/>
    </row>
    <row r="14189" spans="1:5" x14ac:dyDescent="0.25">
      <c r="A14189" s="1033"/>
      <c r="E14189" s="130"/>
    </row>
    <row r="14190" spans="1:5" x14ac:dyDescent="0.25">
      <c r="A14190" s="1033"/>
      <c r="E14190" s="130"/>
    </row>
    <row r="14191" spans="1:5" x14ac:dyDescent="0.25">
      <c r="A14191" s="1033"/>
      <c r="E14191" s="130"/>
    </row>
    <row r="14192" spans="1:5" x14ac:dyDescent="0.25">
      <c r="A14192" s="1033"/>
      <c r="E14192" s="130"/>
    </row>
    <row r="14193" spans="1:5" x14ac:dyDescent="0.25">
      <c r="A14193" s="1033"/>
      <c r="E14193" s="130"/>
    </row>
    <row r="14194" spans="1:5" x14ac:dyDescent="0.25">
      <c r="A14194" s="1033"/>
      <c r="E14194" s="130"/>
    </row>
    <row r="14195" spans="1:5" x14ac:dyDescent="0.25">
      <c r="A14195" s="1033"/>
      <c r="E14195" s="130"/>
    </row>
    <row r="14196" spans="1:5" x14ac:dyDescent="0.25">
      <c r="A14196" s="1033"/>
      <c r="E14196" s="130"/>
    </row>
    <row r="14197" spans="1:5" x14ac:dyDescent="0.25">
      <c r="A14197" s="1033"/>
      <c r="E14197" s="130"/>
    </row>
    <row r="14198" spans="1:5" x14ac:dyDescent="0.25">
      <c r="A14198" s="1033"/>
      <c r="E14198" s="130"/>
    </row>
    <row r="14199" spans="1:5" x14ac:dyDescent="0.25">
      <c r="A14199" s="1033"/>
      <c r="E14199" s="130"/>
    </row>
    <row r="14200" spans="1:5" x14ac:dyDescent="0.25">
      <c r="A14200" s="1033"/>
      <c r="E14200" s="130"/>
    </row>
    <row r="14201" spans="1:5" x14ac:dyDescent="0.25">
      <c r="A14201" s="1033"/>
      <c r="E14201" s="130"/>
    </row>
    <row r="14202" spans="1:5" x14ac:dyDescent="0.25">
      <c r="A14202" s="1033"/>
      <c r="E14202" s="130"/>
    </row>
    <row r="14203" spans="1:5" x14ac:dyDescent="0.25">
      <c r="A14203" s="1033"/>
      <c r="E14203" s="130"/>
    </row>
    <row r="14204" spans="1:5" x14ac:dyDescent="0.25">
      <c r="A14204" s="1033"/>
      <c r="E14204" s="130"/>
    </row>
    <row r="14205" spans="1:5" x14ac:dyDescent="0.25">
      <c r="A14205" s="1033"/>
      <c r="E14205" s="130"/>
    </row>
    <row r="14206" spans="1:5" x14ac:dyDescent="0.25">
      <c r="A14206" s="1033"/>
      <c r="E14206" s="130"/>
    </row>
    <row r="14207" spans="1:5" x14ac:dyDescent="0.25">
      <c r="A14207" s="1033"/>
      <c r="E14207" s="130"/>
    </row>
    <row r="14208" spans="1:5" x14ac:dyDescent="0.25">
      <c r="A14208" s="1033"/>
      <c r="E14208" s="130"/>
    </row>
    <row r="14209" spans="1:5" x14ac:dyDescent="0.25">
      <c r="A14209" s="1033"/>
      <c r="E14209" s="130"/>
    </row>
    <row r="14210" spans="1:5" x14ac:dyDescent="0.25">
      <c r="A14210" s="1033"/>
      <c r="E14210" s="130"/>
    </row>
    <row r="14211" spans="1:5" x14ac:dyDescent="0.25">
      <c r="A14211" s="1033"/>
      <c r="E14211" s="130"/>
    </row>
    <row r="14212" spans="1:5" x14ac:dyDescent="0.25">
      <c r="A14212" s="1033"/>
      <c r="E14212" s="130"/>
    </row>
    <row r="14213" spans="1:5" x14ac:dyDescent="0.25">
      <c r="A14213" s="1033"/>
      <c r="E14213" s="130"/>
    </row>
    <row r="14214" spans="1:5" x14ac:dyDescent="0.25">
      <c r="A14214" s="1033"/>
      <c r="E14214" s="130"/>
    </row>
    <row r="14215" spans="1:5" x14ac:dyDescent="0.25">
      <c r="A14215" s="1033"/>
      <c r="E14215" s="130"/>
    </row>
    <row r="14216" spans="1:5" x14ac:dyDescent="0.25">
      <c r="A14216" s="1033"/>
      <c r="E14216" s="130"/>
    </row>
    <row r="14217" spans="1:5" x14ac:dyDescent="0.25">
      <c r="A14217" s="1033"/>
      <c r="E14217" s="130"/>
    </row>
    <row r="14218" spans="1:5" x14ac:dyDescent="0.25">
      <c r="A14218" s="1033"/>
      <c r="E14218" s="130"/>
    </row>
    <row r="14219" spans="1:5" x14ac:dyDescent="0.25">
      <c r="A14219" s="1033"/>
      <c r="E14219" s="130"/>
    </row>
    <row r="14220" spans="1:5" x14ac:dyDescent="0.25">
      <c r="A14220" s="1033"/>
      <c r="E14220" s="130"/>
    </row>
    <row r="14221" spans="1:5" x14ac:dyDescent="0.25">
      <c r="A14221" s="1033"/>
      <c r="E14221" s="130"/>
    </row>
    <row r="14222" spans="1:5" x14ac:dyDescent="0.25">
      <c r="A14222" s="1033"/>
      <c r="E14222" s="130"/>
    </row>
    <row r="14223" spans="1:5" x14ac:dyDescent="0.25">
      <c r="A14223" s="1033"/>
      <c r="E14223" s="130"/>
    </row>
    <row r="14224" spans="1:5" x14ac:dyDescent="0.25">
      <c r="A14224" s="1033"/>
      <c r="E14224" s="130"/>
    </row>
    <row r="14225" spans="1:5" x14ac:dyDescent="0.25">
      <c r="A14225" s="1033"/>
      <c r="E14225" s="130"/>
    </row>
    <row r="14226" spans="1:5" x14ac:dyDescent="0.25">
      <c r="A14226" s="1033"/>
      <c r="E14226" s="130"/>
    </row>
    <row r="14227" spans="1:5" x14ac:dyDescent="0.25">
      <c r="A14227" s="1033"/>
      <c r="E14227" s="130"/>
    </row>
    <row r="14228" spans="1:5" x14ac:dyDescent="0.25">
      <c r="A14228" s="1033"/>
      <c r="E14228" s="130"/>
    </row>
    <row r="14229" spans="1:5" x14ac:dyDescent="0.25">
      <c r="A14229" s="1033"/>
      <c r="E14229" s="130"/>
    </row>
    <row r="14230" spans="1:5" x14ac:dyDescent="0.25">
      <c r="A14230" s="1033"/>
      <c r="E14230" s="130"/>
    </row>
    <row r="14231" spans="1:5" x14ac:dyDescent="0.25">
      <c r="A14231" s="1033"/>
      <c r="E14231" s="130"/>
    </row>
    <row r="14232" spans="1:5" x14ac:dyDescent="0.25">
      <c r="A14232" s="1033"/>
      <c r="E14232" s="130"/>
    </row>
    <row r="14233" spans="1:5" x14ac:dyDescent="0.25">
      <c r="A14233" s="1033"/>
      <c r="E14233" s="130"/>
    </row>
    <row r="14234" spans="1:5" x14ac:dyDescent="0.25">
      <c r="A14234" s="1033"/>
      <c r="E14234" s="130"/>
    </row>
    <row r="14235" spans="1:5" x14ac:dyDescent="0.25">
      <c r="A14235" s="1033"/>
      <c r="E14235" s="130"/>
    </row>
    <row r="14236" spans="1:5" x14ac:dyDescent="0.25">
      <c r="A14236" s="1033"/>
      <c r="E14236" s="130"/>
    </row>
    <row r="14237" spans="1:5" x14ac:dyDescent="0.25">
      <c r="A14237" s="1033"/>
      <c r="E14237" s="130"/>
    </row>
    <row r="14238" spans="1:5" x14ac:dyDescent="0.25">
      <c r="A14238" s="1033"/>
      <c r="E14238" s="130"/>
    </row>
    <row r="14239" spans="1:5" x14ac:dyDescent="0.25">
      <c r="A14239" s="1033"/>
      <c r="E14239" s="130"/>
    </row>
    <row r="14240" spans="1:5" x14ac:dyDescent="0.25">
      <c r="A14240" s="1033"/>
      <c r="E14240" s="130"/>
    </row>
    <row r="14241" spans="1:5" x14ac:dyDescent="0.25">
      <c r="A14241" s="1033"/>
      <c r="E14241" s="130"/>
    </row>
    <row r="14242" spans="1:5" x14ac:dyDescent="0.25">
      <c r="A14242" s="1033"/>
      <c r="E14242" s="130"/>
    </row>
    <row r="14243" spans="1:5" x14ac:dyDescent="0.25">
      <c r="A14243" s="1033"/>
      <c r="E14243" s="130"/>
    </row>
    <row r="14244" spans="1:5" x14ac:dyDescent="0.25">
      <c r="A14244" s="1033"/>
      <c r="E14244" s="130"/>
    </row>
    <row r="14245" spans="1:5" x14ac:dyDescent="0.25">
      <c r="A14245" s="1033"/>
      <c r="E14245" s="130"/>
    </row>
    <row r="14246" spans="1:5" x14ac:dyDescent="0.25">
      <c r="A14246" s="1033"/>
      <c r="E14246" s="130"/>
    </row>
    <row r="14247" spans="1:5" x14ac:dyDescent="0.25">
      <c r="A14247" s="1033"/>
      <c r="E14247" s="130"/>
    </row>
    <row r="14248" spans="1:5" x14ac:dyDescent="0.25">
      <c r="A14248" s="1033"/>
      <c r="E14248" s="130"/>
    </row>
    <row r="14249" spans="1:5" x14ac:dyDescent="0.25">
      <c r="A14249" s="1033"/>
      <c r="E14249" s="130"/>
    </row>
    <row r="14250" spans="1:5" x14ac:dyDescent="0.25">
      <c r="A14250" s="1033"/>
      <c r="E14250" s="130"/>
    </row>
    <row r="14251" spans="1:5" x14ac:dyDescent="0.25">
      <c r="A14251" s="1033"/>
      <c r="E14251" s="130"/>
    </row>
    <row r="14252" spans="1:5" x14ac:dyDescent="0.25">
      <c r="A14252" s="1033"/>
      <c r="E14252" s="130"/>
    </row>
    <row r="14253" spans="1:5" x14ac:dyDescent="0.25">
      <c r="A14253" s="1033"/>
      <c r="E14253" s="130"/>
    </row>
    <row r="14254" spans="1:5" x14ac:dyDescent="0.25">
      <c r="A14254" s="1033"/>
      <c r="E14254" s="130"/>
    </row>
    <row r="14255" spans="1:5" x14ac:dyDescent="0.25">
      <c r="A14255" s="1033"/>
      <c r="E14255" s="130"/>
    </row>
    <row r="14256" spans="1:5" x14ac:dyDescent="0.25">
      <c r="A14256" s="1033"/>
      <c r="E14256" s="130"/>
    </row>
    <row r="14257" spans="1:5" x14ac:dyDescent="0.25">
      <c r="A14257" s="1033"/>
      <c r="E14257" s="130"/>
    </row>
    <row r="14258" spans="1:5" x14ac:dyDescent="0.25">
      <c r="A14258" s="1033"/>
      <c r="E14258" s="130"/>
    </row>
    <row r="14259" spans="1:5" x14ac:dyDescent="0.25">
      <c r="A14259" s="1033"/>
      <c r="E14259" s="130"/>
    </row>
    <row r="14260" spans="1:5" x14ac:dyDescent="0.25">
      <c r="A14260" s="1033"/>
      <c r="E14260" s="130"/>
    </row>
    <row r="14261" spans="1:5" x14ac:dyDescent="0.25">
      <c r="A14261" s="1033"/>
      <c r="E14261" s="130"/>
    </row>
    <row r="14262" spans="1:5" x14ac:dyDescent="0.25">
      <c r="A14262" s="1033"/>
      <c r="E14262" s="130"/>
    </row>
    <row r="14263" spans="1:5" x14ac:dyDescent="0.25">
      <c r="A14263" s="1033"/>
      <c r="E14263" s="130"/>
    </row>
    <row r="14264" spans="1:5" x14ac:dyDescent="0.25">
      <c r="A14264" s="1033"/>
      <c r="E14264" s="130"/>
    </row>
    <row r="14265" spans="1:5" x14ac:dyDescent="0.25">
      <c r="A14265" s="1033"/>
      <c r="E14265" s="130"/>
    </row>
    <row r="14266" spans="1:5" x14ac:dyDescent="0.25">
      <c r="A14266" s="1033"/>
      <c r="E14266" s="130"/>
    </row>
    <row r="14267" spans="1:5" x14ac:dyDescent="0.25">
      <c r="A14267" s="1033"/>
      <c r="E14267" s="130"/>
    </row>
    <row r="14268" spans="1:5" x14ac:dyDescent="0.25">
      <c r="A14268" s="1033"/>
      <c r="E14268" s="130"/>
    </row>
    <row r="14269" spans="1:5" x14ac:dyDescent="0.25">
      <c r="A14269" s="1033"/>
      <c r="E14269" s="130"/>
    </row>
    <row r="14270" spans="1:5" x14ac:dyDescent="0.25">
      <c r="A14270" s="1033"/>
      <c r="E14270" s="130"/>
    </row>
    <row r="14271" spans="1:5" x14ac:dyDescent="0.25">
      <c r="A14271" s="1033"/>
      <c r="E14271" s="130"/>
    </row>
    <row r="14272" spans="1:5" x14ac:dyDescent="0.25">
      <c r="A14272" s="1033"/>
      <c r="E14272" s="130"/>
    </row>
    <row r="14273" spans="1:5" x14ac:dyDescent="0.25">
      <c r="A14273" s="1033"/>
      <c r="E14273" s="130"/>
    </row>
    <row r="14274" spans="1:5" x14ac:dyDescent="0.25">
      <c r="A14274" s="1033"/>
      <c r="E14274" s="130"/>
    </row>
    <row r="14275" spans="1:5" x14ac:dyDescent="0.25">
      <c r="A14275" s="1033"/>
      <c r="E14275" s="130"/>
    </row>
    <row r="14276" spans="1:5" x14ac:dyDescent="0.25">
      <c r="A14276" s="1033"/>
      <c r="E14276" s="130"/>
    </row>
    <row r="14277" spans="1:5" x14ac:dyDescent="0.25">
      <c r="A14277" s="1033"/>
      <c r="E14277" s="130"/>
    </row>
    <row r="14278" spans="1:5" x14ac:dyDescent="0.25">
      <c r="A14278" s="1033"/>
      <c r="E14278" s="130"/>
    </row>
    <row r="14279" spans="1:5" x14ac:dyDescent="0.25">
      <c r="A14279" s="1033"/>
      <c r="E14279" s="130"/>
    </row>
    <row r="14280" spans="1:5" x14ac:dyDescent="0.25">
      <c r="A14280" s="1033"/>
      <c r="E14280" s="130"/>
    </row>
    <row r="14281" spans="1:5" x14ac:dyDescent="0.25">
      <c r="A14281" s="1033"/>
      <c r="E14281" s="130"/>
    </row>
    <row r="14282" spans="1:5" x14ac:dyDescent="0.25">
      <c r="A14282" s="1033"/>
      <c r="E14282" s="130"/>
    </row>
    <row r="14283" spans="1:5" x14ac:dyDescent="0.25">
      <c r="A14283" s="1033"/>
      <c r="E14283" s="130"/>
    </row>
    <row r="14284" spans="1:5" x14ac:dyDescent="0.25">
      <c r="A14284" s="1033"/>
      <c r="E14284" s="130"/>
    </row>
    <row r="14285" spans="1:5" x14ac:dyDescent="0.25">
      <c r="A14285" s="1033"/>
      <c r="E14285" s="130"/>
    </row>
    <row r="14286" spans="1:5" x14ac:dyDescent="0.25">
      <c r="A14286" s="1033"/>
      <c r="E14286" s="130"/>
    </row>
    <row r="14287" spans="1:5" x14ac:dyDescent="0.25">
      <c r="A14287" s="1033"/>
      <c r="E14287" s="130"/>
    </row>
    <row r="14288" spans="1:5" x14ac:dyDescent="0.25">
      <c r="A14288" s="1033"/>
      <c r="E14288" s="130"/>
    </row>
    <row r="14289" spans="1:5" x14ac:dyDescent="0.25">
      <c r="A14289" s="1033"/>
      <c r="E14289" s="130"/>
    </row>
    <row r="14290" spans="1:5" x14ac:dyDescent="0.25">
      <c r="A14290" s="1033"/>
      <c r="E14290" s="130"/>
    </row>
    <row r="14291" spans="1:5" x14ac:dyDescent="0.25">
      <c r="A14291" s="1033"/>
      <c r="E14291" s="130"/>
    </row>
    <row r="14292" spans="1:5" x14ac:dyDescent="0.25">
      <c r="A14292" s="1033"/>
      <c r="E14292" s="130"/>
    </row>
    <row r="14293" spans="1:5" x14ac:dyDescent="0.25">
      <c r="A14293" s="1033"/>
      <c r="E14293" s="130"/>
    </row>
    <row r="14294" spans="1:5" x14ac:dyDescent="0.25">
      <c r="A14294" s="1033"/>
      <c r="E14294" s="130"/>
    </row>
    <row r="14295" spans="1:5" x14ac:dyDescent="0.25">
      <c r="A14295" s="1033"/>
      <c r="E14295" s="130"/>
    </row>
    <row r="14296" spans="1:5" x14ac:dyDescent="0.25">
      <c r="A14296" s="1033"/>
      <c r="E14296" s="130"/>
    </row>
    <row r="14297" spans="1:5" x14ac:dyDescent="0.25">
      <c r="A14297" s="1033"/>
      <c r="E14297" s="130"/>
    </row>
    <row r="14298" spans="1:5" x14ac:dyDescent="0.25">
      <c r="A14298" s="1033"/>
      <c r="E14298" s="130"/>
    </row>
    <row r="14299" spans="1:5" x14ac:dyDescent="0.25">
      <c r="A14299" s="1033"/>
      <c r="E14299" s="130"/>
    </row>
    <row r="14300" spans="1:5" x14ac:dyDescent="0.25">
      <c r="A14300" s="1033"/>
      <c r="E14300" s="130"/>
    </row>
    <row r="14301" spans="1:5" x14ac:dyDescent="0.25">
      <c r="A14301" s="1033"/>
      <c r="E14301" s="130"/>
    </row>
    <row r="14302" spans="1:5" x14ac:dyDescent="0.25">
      <c r="A14302" s="1033"/>
      <c r="E14302" s="130"/>
    </row>
    <row r="14303" spans="1:5" x14ac:dyDescent="0.25">
      <c r="A14303" s="1033"/>
      <c r="E14303" s="130"/>
    </row>
    <row r="14304" spans="1:5" x14ac:dyDescent="0.25">
      <c r="A14304" s="1033"/>
      <c r="E14304" s="130"/>
    </row>
    <row r="14305" spans="1:5" x14ac:dyDescent="0.25">
      <c r="A14305" s="1033"/>
      <c r="E14305" s="130"/>
    </row>
    <row r="14306" spans="1:5" x14ac:dyDescent="0.25">
      <c r="A14306" s="1033"/>
      <c r="E14306" s="130"/>
    </row>
    <row r="14307" spans="1:5" x14ac:dyDescent="0.25">
      <c r="A14307" s="1033"/>
      <c r="E14307" s="130"/>
    </row>
    <row r="14308" spans="1:5" x14ac:dyDescent="0.25">
      <c r="A14308" s="1033"/>
      <c r="E14308" s="130"/>
    </row>
    <row r="14309" spans="1:5" x14ac:dyDescent="0.25">
      <c r="A14309" s="1033"/>
      <c r="E14309" s="130"/>
    </row>
    <row r="14310" spans="1:5" x14ac:dyDescent="0.25">
      <c r="A14310" s="1033"/>
      <c r="E14310" s="130"/>
    </row>
    <row r="14311" spans="1:5" x14ac:dyDescent="0.25">
      <c r="A14311" s="1033"/>
      <c r="E14311" s="130"/>
    </row>
    <row r="14312" spans="1:5" x14ac:dyDescent="0.25">
      <c r="A14312" s="1033"/>
      <c r="E14312" s="130"/>
    </row>
    <row r="14313" spans="1:5" x14ac:dyDescent="0.25">
      <c r="A14313" s="1033"/>
      <c r="E14313" s="130"/>
    </row>
    <row r="14314" spans="1:5" x14ac:dyDescent="0.25">
      <c r="A14314" s="1033"/>
      <c r="E14314" s="130"/>
    </row>
    <row r="14315" spans="1:5" x14ac:dyDescent="0.25">
      <c r="A14315" s="1033"/>
      <c r="E14315" s="130"/>
    </row>
    <row r="14316" spans="1:5" x14ac:dyDescent="0.25">
      <c r="A14316" s="1033"/>
      <c r="E14316" s="130"/>
    </row>
    <row r="14317" spans="1:5" x14ac:dyDescent="0.25">
      <c r="A14317" s="1033"/>
      <c r="E14317" s="130"/>
    </row>
    <row r="14318" spans="1:5" x14ac:dyDescent="0.25">
      <c r="A14318" s="1033"/>
      <c r="E14318" s="130"/>
    </row>
    <row r="14319" spans="1:5" x14ac:dyDescent="0.25">
      <c r="A14319" s="1033"/>
      <c r="E14319" s="130"/>
    </row>
    <row r="14320" spans="1:5" x14ac:dyDescent="0.25">
      <c r="A14320" s="1033"/>
      <c r="E14320" s="130"/>
    </row>
    <row r="14321" spans="1:5" x14ac:dyDescent="0.25">
      <c r="A14321" s="1033"/>
      <c r="E14321" s="130"/>
    </row>
    <row r="14322" spans="1:5" x14ac:dyDescent="0.25">
      <c r="A14322" s="1033"/>
      <c r="E14322" s="130"/>
    </row>
    <row r="14323" spans="1:5" x14ac:dyDescent="0.25">
      <c r="A14323" s="1033"/>
      <c r="E14323" s="130"/>
    </row>
    <row r="14324" spans="1:5" x14ac:dyDescent="0.25">
      <c r="A14324" s="1033"/>
      <c r="E14324" s="130"/>
    </row>
    <row r="14325" spans="1:5" x14ac:dyDescent="0.25">
      <c r="A14325" s="1033"/>
      <c r="E14325" s="130"/>
    </row>
    <row r="14326" spans="1:5" x14ac:dyDescent="0.25">
      <c r="A14326" s="1033"/>
      <c r="E14326" s="130"/>
    </row>
    <row r="14327" spans="1:5" x14ac:dyDescent="0.25">
      <c r="A14327" s="1033"/>
      <c r="E14327" s="130"/>
    </row>
    <row r="14328" spans="1:5" x14ac:dyDescent="0.25">
      <c r="A14328" s="1033"/>
      <c r="E14328" s="130"/>
    </row>
    <row r="14329" spans="1:5" x14ac:dyDescent="0.25">
      <c r="A14329" s="1033"/>
      <c r="E14329" s="130"/>
    </row>
    <row r="14330" spans="1:5" x14ac:dyDescent="0.25">
      <c r="A14330" s="1033"/>
      <c r="E14330" s="130"/>
    </row>
    <row r="14331" spans="1:5" x14ac:dyDescent="0.25">
      <c r="A14331" s="1033"/>
      <c r="E14331" s="130"/>
    </row>
    <row r="14332" spans="1:5" x14ac:dyDescent="0.25">
      <c r="A14332" s="1033"/>
      <c r="E14332" s="130"/>
    </row>
    <row r="14333" spans="1:5" x14ac:dyDescent="0.25">
      <c r="A14333" s="1033"/>
      <c r="E14333" s="130"/>
    </row>
    <row r="14334" spans="1:5" x14ac:dyDescent="0.25">
      <c r="A14334" s="1033"/>
      <c r="E14334" s="130"/>
    </row>
    <row r="14335" spans="1:5" x14ac:dyDescent="0.25">
      <c r="A14335" s="1033"/>
      <c r="E14335" s="130"/>
    </row>
    <row r="14336" spans="1:5" x14ac:dyDescent="0.25">
      <c r="A14336" s="1033"/>
      <c r="E14336" s="130"/>
    </row>
    <row r="14337" spans="1:5" x14ac:dyDescent="0.25">
      <c r="A14337" s="1033"/>
      <c r="E14337" s="130"/>
    </row>
    <row r="14338" spans="1:5" x14ac:dyDescent="0.25">
      <c r="A14338" s="1033"/>
      <c r="E14338" s="130"/>
    </row>
    <row r="14339" spans="1:5" x14ac:dyDescent="0.25">
      <c r="A14339" s="1033"/>
      <c r="E14339" s="130"/>
    </row>
    <row r="14340" spans="1:5" x14ac:dyDescent="0.25">
      <c r="A14340" s="1033"/>
      <c r="E14340" s="130"/>
    </row>
    <row r="14341" spans="1:5" x14ac:dyDescent="0.25">
      <c r="A14341" s="1033"/>
      <c r="E14341" s="130"/>
    </row>
    <row r="14342" spans="1:5" x14ac:dyDescent="0.25">
      <c r="A14342" s="1033"/>
      <c r="E14342" s="130"/>
    </row>
    <row r="14343" spans="1:5" x14ac:dyDescent="0.25">
      <c r="A14343" s="1033"/>
      <c r="E14343" s="130"/>
    </row>
    <row r="14344" spans="1:5" x14ac:dyDescent="0.25">
      <c r="A14344" s="1033"/>
      <c r="E14344" s="130"/>
    </row>
    <row r="14345" spans="1:5" x14ac:dyDescent="0.25">
      <c r="A14345" s="1033"/>
      <c r="E14345" s="130"/>
    </row>
    <row r="14346" spans="1:5" x14ac:dyDescent="0.25">
      <c r="A14346" s="1033"/>
      <c r="E14346" s="130"/>
    </row>
    <row r="14347" spans="1:5" x14ac:dyDescent="0.25">
      <c r="A14347" s="1033"/>
      <c r="E14347" s="130"/>
    </row>
    <row r="14348" spans="1:5" x14ac:dyDescent="0.25">
      <c r="A14348" s="1033"/>
      <c r="E14348" s="130"/>
    </row>
    <row r="14349" spans="1:5" x14ac:dyDescent="0.25">
      <c r="A14349" s="1033"/>
      <c r="E14349" s="130"/>
    </row>
    <row r="14350" spans="1:5" x14ac:dyDescent="0.25">
      <c r="A14350" s="1033"/>
      <c r="E14350" s="130"/>
    </row>
    <row r="14351" spans="1:5" x14ac:dyDescent="0.25">
      <c r="A14351" s="1033"/>
      <c r="E14351" s="130"/>
    </row>
    <row r="14352" spans="1:5" x14ac:dyDescent="0.25">
      <c r="A14352" s="1033"/>
      <c r="E14352" s="130"/>
    </row>
    <row r="14353" spans="1:5" x14ac:dyDescent="0.25">
      <c r="A14353" s="1033"/>
      <c r="E14353" s="130"/>
    </row>
    <row r="14354" spans="1:5" x14ac:dyDescent="0.25">
      <c r="A14354" s="1033"/>
      <c r="E14354" s="130"/>
    </row>
    <row r="14355" spans="1:5" x14ac:dyDescent="0.25">
      <c r="A14355" s="1033"/>
      <c r="E14355" s="130"/>
    </row>
    <row r="14356" spans="1:5" x14ac:dyDescent="0.25">
      <c r="A14356" s="1033"/>
      <c r="E14356" s="130"/>
    </row>
    <row r="14357" spans="1:5" x14ac:dyDescent="0.25">
      <c r="A14357" s="1033"/>
      <c r="E14357" s="130"/>
    </row>
    <row r="14358" spans="1:5" x14ac:dyDescent="0.25">
      <c r="A14358" s="1033"/>
      <c r="E14358" s="130"/>
    </row>
    <row r="14359" spans="1:5" x14ac:dyDescent="0.25">
      <c r="A14359" s="1033"/>
      <c r="E14359" s="130"/>
    </row>
    <row r="14360" spans="1:5" x14ac:dyDescent="0.25">
      <c r="A14360" s="1033"/>
      <c r="E14360" s="130"/>
    </row>
    <row r="14361" spans="1:5" x14ac:dyDescent="0.25">
      <c r="A14361" s="1033"/>
      <c r="E14361" s="130"/>
    </row>
    <row r="14362" spans="1:5" x14ac:dyDescent="0.25">
      <c r="A14362" s="1033"/>
      <c r="E14362" s="130"/>
    </row>
    <row r="14363" spans="1:5" x14ac:dyDescent="0.25">
      <c r="A14363" s="1033"/>
      <c r="E14363" s="130"/>
    </row>
    <row r="14364" spans="1:5" x14ac:dyDescent="0.25">
      <c r="A14364" s="1033"/>
      <c r="E14364" s="130"/>
    </row>
    <row r="14365" spans="1:5" x14ac:dyDescent="0.25">
      <c r="A14365" s="1033"/>
      <c r="E14365" s="130"/>
    </row>
    <row r="14366" spans="1:5" x14ac:dyDescent="0.25">
      <c r="A14366" s="1033"/>
      <c r="E14366" s="130"/>
    </row>
    <row r="14367" spans="1:5" x14ac:dyDescent="0.25">
      <c r="A14367" s="1033"/>
      <c r="E14367" s="130"/>
    </row>
    <row r="14368" spans="1:5" x14ac:dyDescent="0.25">
      <c r="A14368" s="1033"/>
      <c r="E14368" s="130"/>
    </row>
    <row r="14369" spans="1:5" x14ac:dyDescent="0.25">
      <c r="A14369" s="1033"/>
      <c r="E14369" s="130"/>
    </row>
    <row r="14370" spans="1:5" x14ac:dyDescent="0.25">
      <c r="A14370" s="1033"/>
      <c r="E14370" s="130"/>
    </row>
    <row r="14371" spans="1:5" x14ac:dyDescent="0.25">
      <c r="A14371" s="1033"/>
      <c r="E14371" s="130"/>
    </row>
    <row r="14372" spans="1:5" x14ac:dyDescent="0.25">
      <c r="A14372" s="1033"/>
      <c r="E14372" s="130"/>
    </row>
    <row r="14373" spans="1:5" x14ac:dyDescent="0.25">
      <c r="A14373" s="1033"/>
      <c r="E14373" s="130"/>
    </row>
    <row r="14374" spans="1:5" x14ac:dyDescent="0.25">
      <c r="A14374" s="1033"/>
      <c r="E14374" s="130"/>
    </row>
    <row r="14375" spans="1:5" x14ac:dyDescent="0.25">
      <c r="A14375" s="1033"/>
      <c r="E14375" s="130"/>
    </row>
    <row r="14376" spans="1:5" x14ac:dyDescent="0.25">
      <c r="A14376" s="1033"/>
      <c r="E14376" s="130"/>
    </row>
    <row r="14377" spans="1:5" x14ac:dyDescent="0.25">
      <c r="A14377" s="1033"/>
      <c r="E14377" s="130"/>
    </row>
    <row r="14378" spans="1:5" x14ac:dyDescent="0.25">
      <c r="A14378" s="1033"/>
      <c r="E14378" s="130"/>
    </row>
    <row r="14379" spans="1:5" x14ac:dyDescent="0.25">
      <c r="A14379" s="1033"/>
      <c r="E14379" s="130"/>
    </row>
    <row r="14380" spans="1:5" x14ac:dyDescent="0.25">
      <c r="A14380" s="1033"/>
      <c r="E14380" s="130"/>
    </row>
    <row r="14381" spans="1:5" x14ac:dyDescent="0.25">
      <c r="A14381" s="1033"/>
      <c r="E14381" s="130"/>
    </row>
    <row r="14382" spans="1:5" x14ac:dyDescent="0.25">
      <c r="A14382" s="1033"/>
      <c r="E14382" s="130"/>
    </row>
    <row r="14383" spans="1:5" x14ac:dyDescent="0.25">
      <c r="A14383" s="1033"/>
      <c r="E14383" s="130"/>
    </row>
    <row r="14384" spans="1:5" x14ac:dyDescent="0.25">
      <c r="A14384" s="1033"/>
      <c r="E14384" s="130"/>
    </row>
    <row r="14385" spans="1:5" x14ac:dyDescent="0.25">
      <c r="A14385" s="1033"/>
      <c r="E14385" s="130"/>
    </row>
    <row r="14386" spans="1:5" x14ac:dyDescent="0.25">
      <c r="A14386" s="1033"/>
      <c r="E14386" s="130"/>
    </row>
    <row r="14387" spans="1:5" x14ac:dyDescent="0.25">
      <c r="A14387" s="1033"/>
      <c r="E14387" s="130"/>
    </row>
    <row r="14388" spans="1:5" x14ac:dyDescent="0.25">
      <c r="A14388" s="1033"/>
      <c r="E14388" s="130"/>
    </row>
    <row r="14389" spans="1:5" x14ac:dyDescent="0.25">
      <c r="A14389" s="1033"/>
      <c r="E14389" s="130"/>
    </row>
    <row r="14390" spans="1:5" x14ac:dyDescent="0.25">
      <c r="A14390" s="1033"/>
      <c r="E14390" s="130"/>
    </row>
    <row r="14391" spans="1:5" x14ac:dyDescent="0.25">
      <c r="A14391" s="1033"/>
      <c r="E14391" s="130"/>
    </row>
    <row r="14392" spans="1:5" x14ac:dyDescent="0.25">
      <c r="A14392" s="1033"/>
      <c r="E14392" s="130"/>
    </row>
    <row r="14393" spans="1:5" x14ac:dyDescent="0.25">
      <c r="A14393" s="1033"/>
      <c r="E14393" s="130"/>
    </row>
    <row r="14394" spans="1:5" x14ac:dyDescent="0.25">
      <c r="A14394" s="1033"/>
      <c r="E14394" s="130"/>
    </row>
    <row r="14395" spans="1:5" x14ac:dyDescent="0.25">
      <c r="A14395" s="1033"/>
      <c r="E14395" s="130"/>
    </row>
    <row r="14396" spans="1:5" x14ac:dyDescent="0.25">
      <c r="A14396" s="1033"/>
      <c r="E14396" s="130"/>
    </row>
    <row r="14397" spans="1:5" x14ac:dyDescent="0.25">
      <c r="A14397" s="1033"/>
      <c r="E14397" s="130"/>
    </row>
    <row r="14398" spans="1:5" x14ac:dyDescent="0.25">
      <c r="A14398" s="1033"/>
      <c r="E14398" s="130"/>
    </row>
    <row r="14399" spans="1:5" x14ac:dyDescent="0.25">
      <c r="A14399" s="1033"/>
      <c r="E14399" s="130"/>
    </row>
    <row r="14400" spans="1:5" x14ac:dyDescent="0.25">
      <c r="A14400" s="1033"/>
      <c r="E14400" s="130"/>
    </row>
    <row r="14401" spans="1:5" x14ac:dyDescent="0.25">
      <c r="A14401" s="1033"/>
      <c r="E14401" s="130"/>
    </row>
    <row r="14402" spans="1:5" x14ac:dyDescent="0.25">
      <c r="A14402" s="1033"/>
      <c r="E14402" s="130"/>
    </row>
    <row r="14403" spans="1:5" x14ac:dyDescent="0.25">
      <c r="A14403" s="1033"/>
      <c r="E14403" s="130"/>
    </row>
    <row r="14404" spans="1:5" x14ac:dyDescent="0.25">
      <c r="A14404" s="1033"/>
      <c r="E14404" s="130"/>
    </row>
    <row r="14405" spans="1:5" x14ac:dyDescent="0.25">
      <c r="A14405" s="1033"/>
      <c r="E14405" s="130"/>
    </row>
    <row r="14406" spans="1:5" x14ac:dyDescent="0.25">
      <c r="A14406" s="1033"/>
      <c r="E14406" s="130"/>
    </row>
    <row r="14407" spans="1:5" x14ac:dyDescent="0.25">
      <c r="A14407" s="1033"/>
      <c r="E14407" s="130"/>
    </row>
    <row r="14408" spans="1:5" x14ac:dyDescent="0.25">
      <c r="A14408" s="1033"/>
      <c r="E14408" s="130"/>
    </row>
    <row r="14409" spans="1:5" x14ac:dyDescent="0.25">
      <c r="A14409" s="1033"/>
      <c r="E14409" s="130"/>
    </row>
    <row r="14410" spans="1:5" x14ac:dyDescent="0.25">
      <c r="A14410" s="1033"/>
      <c r="E14410" s="130"/>
    </row>
    <row r="14411" spans="1:5" x14ac:dyDescent="0.25">
      <c r="A14411" s="1033"/>
      <c r="E14411" s="130"/>
    </row>
    <row r="14412" spans="1:5" x14ac:dyDescent="0.25">
      <c r="A14412" s="1033"/>
      <c r="E14412" s="130"/>
    </row>
    <row r="14413" spans="1:5" x14ac:dyDescent="0.25">
      <c r="A14413" s="1033"/>
      <c r="E14413" s="130"/>
    </row>
    <row r="14414" spans="1:5" x14ac:dyDescent="0.25">
      <c r="A14414" s="1033"/>
      <c r="E14414" s="130"/>
    </row>
    <row r="14415" spans="1:5" x14ac:dyDescent="0.25">
      <c r="A14415" s="1033"/>
      <c r="E14415" s="130"/>
    </row>
    <row r="14416" spans="1:5" x14ac:dyDescent="0.25">
      <c r="A14416" s="1033"/>
      <c r="E14416" s="130"/>
    </row>
    <row r="14417" spans="1:5" x14ac:dyDescent="0.25">
      <c r="A14417" s="1033"/>
      <c r="E14417" s="130"/>
    </row>
    <row r="14418" spans="1:5" x14ac:dyDescent="0.25">
      <c r="A14418" s="1033"/>
      <c r="E14418" s="130"/>
    </row>
    <row r="14419" spans="1:5" x14ac:dyDescent="0.25">
      <c r="A14419" s="1033"/>
      <c r="E14419" s="130"/>
    </row>
    <row r="14420" spans="1:5" x14ac:dyDescent="0.25">
      <c r="A14420" s="1033"/>
      <c r="E14420" s="130"/>
    </row>
    <row r="14421" spans="1:5" x14ac:dyDescent="0.25">
      <c r="A14421" s="1033"/>
      <c r="E14421" s="130"/>
    </row>
    <row r="14422" spans="1:5" x14ac:dyDescent="0.25">
      <c r="A14422" s="1033"/>
      <c r="E14422" s="130"/>
    </row>
    <row r="14423" spans="1:5" x14ac:dyDescent="0.25">
      <c r="A14423" s="1033"/>
      <c r="E14423" s="130"/>
    </row>
    <row r="14424" spans="1:5" x14ac:dyDescent="0.25">
      <c r="A14424" s="1033"/>
      <c r="E14424" s="130"/>
    </row>
    <row r="14425" spans="1:5" x14ac:dyDescent="0.25">
      <c r="A14425" s="1033"/>
      <c r="E14425" s="130"/>
    </row>
    <row r="14426" spans="1:5" x14ac:dyDescent="0.25">
      <c r="A14426" s="1033"/>
      <c r="E14426" s="130"/>
    </row>
    <row r="14427" spans="1:5" x14ac:dyDescent="0.25">
      <c r="A14427" s="1033"/>
      <c r="E14427" s="130"/>
    </row>
    <row r="14428" spans="1:5" x14ac:dyDescent="0.25">
      <c r="A14428" s="1033"/>
      <c r="E14428" s="130"/>
    </row>
    <row r="14429" spans="1:5" x14ac:dyDescent="0.25">
      <c r="A14429" s="1033"/>
      <c r="E14429" s="130"/>
    </row>
    <row r="14430" spans="1:5" x14ac:dyDescent="0.25">
      <c r="A14430" s="1033"/>
      <c r="E14430" s="130"/>
    </row>
    <row r="14431" spans="1:5" x14ac:dyDescent="0.25">
      <c r="A14431" s="1033"/>
      <c r="E14431" s="130"/>
    </row>
    <row r="14432" spans="1:5" x14ac:dyDescent="0.25">
      <c r="A14432" s="1033"/>
      <c r="E14432" s="130"/>
    </row>
    <row r="14433" spans="1:5" x14ac:dyDescent="0.25">
      <c r="A14433" s="1033"/>
      <c r="E14433" s="130"/>
    </row>
    <row r="14434" spans="1:5" x14ac:dyDescent="0.25">
      <c r="A14434" s="1033"/>
      <c r="E14434" s="130"/>
    </row>
    <row r="14435" spans="1:5" x14ac:dyDescent="0.25">
      <c r="A14435" s="1033"/>
      <c r="E14435" s="130"/>
    </row>
    <row r="14436" spans="1:5" x14ac:dyDescent="0.25">
      <c r="A14436" s="1033"/>
      <c r="E14436" s="130"/>
    </row>
    <row r="14437" spans="1:5" x14ac:dyDescent="0.25">
      <c r="A14437" s="1033"/>
      <c r="E14437" s="130"/>
    </row>
    <row r="14438" spans="1:5" x14ac:dyDescent="0.25">
      <c r="A14438" s="1033"/>
      <c r="E14438" s="130"/>
    </row>
    <row r="14439" spans="1:5" x14ac:dyDescent="0.25">
      <c r="A14439" s="1033"/>
      <c r="E14439" s="130"/>
    </row>
    <row r="14440" spans="1:5" x14ac:dyDescent="0.25">
      <c r="A14440" s="1033"/>
      <c r="E14440" s="130"/>
    </row>
    <row r="14441" spans="1:5" x14ac:dyDescent="0.25">
      <c r="A14441" s="1033"/>
      <c r="E14441" s="130"/>
    </row>
    <row r="14442" spans="1:5" x14ac:dyDescent="0.25">
      <c r="A14442" s="1033"/>
      <c r="E14442" s="130"/>
    </row>
    <row r="14443" spans="1:5" x14ac:dyDescent="0.25">
      <c r="A14443" s="1033"/>
      <c r="E14443" s="130"/>
    </row>
    <row r="14444" spans="1:5" x14ac:dyDescent="0.25">
      <c r="A14444" s="1033"/>
      <c r="E14444" s="130"/>
    </row>
    <row r="14445" spans="1:5" x14ac:dyDescent="0.25">
      <c r="A14445" s="1033"/>
      <c r="E14445" s="130"/>
    </row>
    <row r="14446" spans="1:5" x14ac:dyDescent="0.25">
      <c r="A14446" s="1033"/>
      <c r="E14446" s="130"/>
    </row>
    <row r="14447" spans="1:5" x14ac:dyDescent="0.25">
      <c r="A14447" s="1033"/>
      <c r="E14447" s="130"/>
    </row>
    <row r="14448" spans="1:5" x14ac:dyDescent="0.25">
      <c r="A14448" s="1033"/>
      <c r="E14448" s="130"/>
    </row>
    <row r="14449" spans="1:5" x14ac:dyDescent="0.25">
      <c r="A14449" s="1033"/>
      <c r="E14449" s="130"/>
    </row>
    <row r="14450" spans="1:5" x14ac:dyDescent="0.25">
      <c r="A14450" s="1033"/>
      <c r="E14450" s="130"/>
    </row>
    <row r="14451" spans="1:5" x14ac:dyDescent="0.25">
      <c r="A14451" s="1033"/>
      <c r="E14451" s="130"/>
    </row>
    <row r="14452" spans="1:5" x14ac:dyDescent="0.25">
      <c r="A14452" s="1033"/>
      <c r="E14452" s="130"/>
    </row>
    <row r="14453" spans="1:5" x14ac:dyDescent="0.25">
      <c r="A14453" s="1033"/>
      <c r="E14453" s="130"/>
    </row>
    <row r="14454" spans="1:5" x14ac:dyDescent="0.25">
      <c r="A14454" s="1033"/>
      <c r="E14454" s="130"/>
    </row>
    <row r="14455" spans="1:5" x14ac:dyDescent="0.25">
      <c r="A14455" s="1033"/>
      <c r="E14455" s="130"/>
    </row>
    <row r="14456" spans="1:5" x14ac:dyDescent="0.25">
      <c r="A14456" s="1033"/>
      <c r="E14456" s="130"/>
    </row>
    <row r="14457" spans="1:5" x14ac:dyDescent="0.25">
      <c r="A14457" s="1033"/>
      <c r="E14457" s="130"/>
    </row>
    <row r="14458" spans="1:5" x14ac:dyDescent="0.25">
      <c r="A14458" s="1033"/>
      <c r="E14458" s="130"/>
    </row>
    <row r="14459" spans="1:5" x14ac:dyDescent="0.25">
      <c r="A14459" s="1033"/>
      <c r="E14459" s="130"/>
    </row>
    <row r="14460" spans="1:5" x14ac:dyDescent="0.25">
      <c r="A14460" s="1033"/>
      <c r="E14460" s="130"/>
    </row>
    <row r="14461" spans="1:5" x14ac:dyDescent="0.25">
      <c r="A14461" s="1033"/>
      <c r="E14461" s="130"/>
    </row>
    <row r="14462" spans="1:5" x14ac:dyDescent="0.25">
      <c r="A14462" s="1033"/>
      <c r="E14462" s="130"/>
    </row>
    <row r="14463" spans="1:5" x14ac:dyDescent="0.25">
      <c r="A14463" s="1033"/>
      <c r="E14463" s="130"/>
    </row>
    <row r="14464" spans="1:5" x14ac:dyDescent="0.25">
      <c r="A14464" s="1033"/>
      <c r="E14464" s="130"/>
    </row>
    <row r="14465" spans="1:5" x14ac:dyDescent="0.25">
      <c r="A14465" s="1033"/>
      <c r="E14465" s="130"/>
    </row>
    <row r="14466" spans="1:5" x14ac:dyDescent="0.25">
      <c r="A14466" s="1033"/>
      <c r="E14466" s="130"/>
    </row>
    <row r="14467" spans="1:5" x14ac:dyDescent="0.25">
      <c r="A14467" s="1033"/>
      <c r="E14467" s="130"/>
    </row>
    <row r="14468" spans="1:5" x14ac:dyDescent="0.25">
      <c r="A14468" s="1033"/>
      <c r="E14468" s="130"/>
    </row>
    <row r="14469" spans="1:5" x14ac:dyDescent="0.25">
      <c r="A14469" s="1033"/>
      <c r="E14469" s="130"/>
    </row>
    <row r="14470" spans="1:5" x14ac:dyDescent="0.25">
      <c r="A14470" s="1033"/>
      <c r="E14470" s="130"/>
    </row>
    <row r="14471" spans="1:5" x14ac:dyDescent="0.25">
      <c r="A14471" s="1033"/>
      <c r="E14471" s="130"/>
    </row>
    <row r="14472" spans="1:5" x14ac:dyDescent="0.25">
      <c r="A14472" s="1033"/>
      <c r="E14472" s="130"/>
    </row>
    <row r="14473" spans="1:5" x14ac:dyDescent="0.25">
      <c r="A14473" s="1033"/>
      <c r="E14473" s="130"/>
    </row>
    <row r="14474" spans="1:5" x14ac:dyDescent="0.25">
      <c r="A14474" s="1033"/>
      <c r="E14474" s="130"/>
    </row>
    <row r="14475" spans="1:5" x14ac:dyDescent="0.25">
      <c r="A14475" s="1033"/>
      <c r="E14475" s="130"/>
    </row>
    <row r="14476" spans="1:5" x14ac:dyDescent="0.25">
      <c r="A14476" s="1033"/>
      <c r="E14476" s="130"/>
    </row>
    <row r="14477" spans="1:5" x14ac:dyDescent="0.25">
      <c r="A14477" s="1033"/>
      <c r="E14477" s="130"/>
    </row>
    <row r="14478" spans="1:5" x14ac:dyDescent="0.25">
      <c r="A14478" s="1033"/>
      <c r="E14478" s="130"/>
    </row>
    <row r="14479" spans="1:5" x14ac:dyDescent="0.25">
      <c r="A14479" s="1033"/>
      <c r="E14479" s="130"/>
    </row>
    <row r="14480" spans="1:5" x14ac:dyDescent="0.25">
      <c r="A14480" s="1033"/>
      <c r="E14480" s="130"/>
    </row>
    <row r="14481" spans="1:5" x14ac:dyDescent="0.25">
      <c r="A14481" s="1033"/>
      <c r="E14481" s="130"/>
    </row>
    <row r="14482" spans="1:5" x14ac:dyDescent="0.25">
      <c r="A14482" s="1033"/>
      <c r="E14482" s="130"/>
    </row>
    <row r="14483" spans="1:5" x14ac:dyDescent="0.25">
      <c r="A14483" s="1033"/>
      <c r="E14483" s="130"/>
    </row>
    <row r="14484" spans="1:5" x14ac:dyDescent="0.25">
      <c r="A14484" s="1033"/>
      <c r="E14484" s="130"/>
    </row>
    <row r="14485" spans="1:5" x14ac:dyDescent="0.25">
      <c r="A14485" s="1033"/>
      <c r="E14485" s="130"/>
    </row>
    <row r="14486" spans="1:5" x14ac:dyDescent="0.25">
      <c r="A14486" s="1033"/>
      <c r="E14486" s="130"/>
    </row>
    <row r="14487" spans="1:5" x14ac:dyDescent="0.25">
      <c r="A14487" s="1033"/>
      <c r="E14487" s="130"/>
    </row>
    <row r="14488" spans="1:5" x14ac:dyDescent="0.25">
      <c r="A14488" s="1033"/>
      <c r="E14488" s="130"/>
    </row>
    <row r="14489" spans="1:5" x14ac:dyDescent="0.25">
      <c r="A14489" s="1033"/>
      <c r="E14489" s="130"/>
    </row>
    <row r="14490" spans="1:5" x14ac:dyDescent="0.25">
      <c r="A14490" s="1033"/>
      <c r="E14490" s="130"/>
    </row>
    <row r="14491" spans="1:5" x14ac:dyDescent="0.25">
      <c r="A14491" s="1033"/>
      <c r="E14491" s="130"/>
    </row>
    <row r="14492" spans="1:5" x14ac:dyDescent="0.25">
      <c r="A14492" s="1033"/>
      <c r="E14492" s="130"/>
    </row>
    <row r="14493" spans="1:5" x14ac:dyDescent="0.25">
      <c r="A14493" s="1033"/>
      <c r="E14493" s="130"/>
    </row>
    <row r="14494" spans="1:5" x14ac:dyDescent="0.25">
      <c r="A14494" s="1033"/>
      <c r="E14494" s="130"/>
    </row>
    <row r="14495" spans="1:5" x14ac:dyDescent="0.25">
      <c r="A14495" s="1033"/>
      <c r="E14495" s="130"/>
    </row>
    <row r="14496" spans="1:5" x14ac:dyDescent="0.25">
      <c r="A14496" s="1033"/>
      <c r="E14496" s="130"/>
    </row>
    <row r="14497" spans="1:5" x14ac:dyDescent="0.25">
      <c r="A14497" s="1033"/>
      <c r="E14497" s="130"/>
    </row>
    <row r="14498" spans="1:5" x14ac:dyDescent="0.25">
      <c r="A14498" s="1033"/>
      <c r="E14498" s="130"/>
    </row>
    <row r="14499" spans="1:5" x14ac:dyDescent="0.25">
      <c r="A14499" s="1033"/>
      <c r="E14499" s="130"/>
    </row>
    <row r="14500" spans="1:5" x14ac:dyDescent="0.25">
      <c r="A14500" s="1033"/>
      <c r="E14500" s="130"/>
    </row>
    <row r="14501" spans="1:5" x14ac:dyDescent="0.25">
      <c r="A14501" s="1033"/>
      <c r="E14501" s="130"/>
    </row>
    <row r="14502" spans="1:5" x14ac:dyDescent="0.25">
      <c r="A14502" s="1033"/>
      <c r="E14502" s="130"/>
    </row>
    <row r="14503" spans="1:5" x14ac:dyDescent="0.25">
      <c r="A14503" s="1033"/>
      <c r="E14503" s="130"/>
    </row>
    <row r="14504" spans="1:5" x14ac:dyDescent="0.25">
      <c r="A14504" s="1033"/>
      <c r="E14504" s="130"/>
    </row>
    <row r="14505" spans="1:5" x14ac:dyDescent="0.25">
      <c r="A14505" s="1033"/>
      <c r="E14505" s="130"/>
    </row>
    <row r="14506" spans="1:5" x14ac:dyDescent="0.25">
      <c r="A14506" s="1033"/>
      <c r="E14506" s="130"/>
    </row>
    <row r="14507" spans="1:5" x14ac:dyDescent="0.25">
      <c r="A14507" s="1033"/>
      <c r="E14507" s="130"/>
    </row>
    <row r="14508" spans="1:5" x14ac:dyDescent="0.25">
      <c r="A14508" s="1033"/>
      <c r="E14508" s="130"/>
    </row>
    <row r="14509" spans="1:5" x14ac:dyDescent="0.25">
      <c r="A14509" s="1033"/>
      <c r="E14509" s="130"/>
    </row>
    <row r="14510" spans="1:5" x14ac:dyDescent="0.25">
      <c r="A14510" s="1033"/>
      <c r="E14510" s="130"/>
    </row>
    <row r="14511" spans="1:5" x14ac:dyDescent="0.25">
      <c r="A14511" s="1033"/>
      <c r="E14511" s="130"/>
    </row>
    <row r="14512" spans="1:5" x14ac:dyDescent="0.25">
      <c r="A14512" s="1033"/>
      <c r="E14512" s="130"/>
    </row>
    <row r="14513" spans="1:5" x14ac:dyDescent="0.25">
      <c r="A14513" s="1033"/>
      <c r="E14513" s="130"/>
    </row>
    <row r="14514" spans="1:5" x14ac:dyDescent="0.25">
      <c r="A14514" s="1033"/>
      <c r="E14514" s="130"/>
    </row>
    <row r="14515" spans="1:5" x14ac:dyDescent="0.25">
      <c r="A14515" s="1033"/>
      <c r="E14515" s="130"/>
    </row>
    <row r="14516" spans="1:5" x14ac:dyDescent="0.25">
      <c r="A14516" s="1033"/>
      <c r="E14516" s="130"/>
    </row>
    <row r="14517" spans="1:5" x14ac:dyDescent="0.25">
      <c r="A14517" s="1033"/>
      <c r="E14517" s="130"/>
    </row>
    <row r="14518" spans="1:5" x14ac:dyDescent="0.25">
      <c r="A14518" s="1033"/>
      <c r="E14518" s="130"/>
    </row>
    <row r="14519" spans="1:5" x14ac:dyDescent="0.25">
      <c r="A14519" s="1033"/>
      <c r="E14519" s="130"/>
    </row>
    <row r="14520" spans="1:5" x14ac:dyDescent="0.25">
      <c r="A14520" s="1033"/>
      <c r="E14520" s="130"/>
    </row>
    <row r="14521" spans="1:5" x14ac:dyDescent="0.25">
      <c r="A14521" s="1033"/>
      <c r="E14521" s="130"/>
    </row>
    <row r="14522" spans="1:5" x14ac:dyDescent="0.25">
      <c r="A14522" s="1033"/>
      <c r="E14522" s="130"/>
    </row>
    <row r="14523" spans="1:5" x14ac:dyDescent="0.25">
      <c r="A14523" s="1033"/>
      <c r="E14523" s="130"/>
    </row>
    <row r="14524" spans="1:5" x14ac:dyDescent="0.25">
      <c r="A14524" s="1033"/>
      <c r="E14524" s="130"/>
    </row>
    <row r="14525" spans="1:5" x14ac:dyDescent="0.25">
      <c r="A14525" s="1033"/>
      <c r="E14525" s="130"/>
    </row>
    <row r="14526" spans="1:5" x14ac:dyDescent="0.25">
      <c r="A14526" s="1033"/>
      <c r="E14526" s="130"/>
    </row>
    <row r="14527" spans="1:5" x14ac:dyDescent="0.25">
      <c r="A14527" s="1033"/>
      <c r="E14527" s="130"/>
    </row>
    <row r="14528" spans="1:5" x14ac:dyDescent="0.25">
      <c r="A14528" s="1033"/>
      <c r="E14528" s="130"/>
    </row>
    <row r="14529" spans="1:5" x14ac:dyDescent="0.25">
      <c r="A14529" s="1033"/>
      <c r="E14529" s="130"/>
    </row>
    <row r="14530" spans="1:5" x14ac:dyDescent="0.25">
      <c r="A14530" s="1033"/>
      <c r="E14530" s="130"/>
    </row>
    <row r="14531" spans="1:5" x14ac:dyDescent="0.25">
      <c r="A14531" s="1033"/>
      <c r="E14531" s="130"/>
    </row>
    <row r="14532" spans="1:5" x14ac:dyDescent="0.25">
      <c r="A14532" s="1033"/>
      <c r="E14532" s="130"/>
    </row>
    <row r="14533" spans="1:5" x14ac:dyDescent="0.25">
      <c r="A14533" s="1033"/>
      <c r="E14533" s="130"/>
    </row>
    <row r="14534" spans="1:5" x14ac:dyDescent="0.25">
      <c r="A14534" s="1033"/>
      <c r="E14534" s="130"/>
    </row>
    <row r="14535" spans="1:5" x14ac:dyDescent="0.25">
      <c r="A14535" s="1033"/>
      <c r="E14535" s="130"/>
    </row>
    <row r="14536" spans="1:5" x14ac:dyDescent="0.25">
      <c r="A14536" s="1033"/>
      <c r="E14536" s="130"/>
    </row>
    <row r="14537" spans="1:5" x14ac:dyDescent="0.25">
      <c r="A14537" s="1033"/>
      <c r="E14537" s="130"/>
    </row>
    <row r="14538" spans="1:5" x14ac:dyDescent="0.25">
      <c r="A14538" s="1033"/>
      <c r="E14538" s="130"/>
    </row>
    <row r="14539" spans="1:5" x14ac:dyDescent="0.25">
      <c r="A14539" s="1033"/>
      <c r="E14539" s="130"/>
    </row>
    <row r="14540" spans="1:5" x14ac:dyDescent="0.25">
      <c r="A14540" s="1033"/>
      <c r="E14540" s="130"/>
    </row>
    <row r="14541" spans="1:5" x14ac:dyDescent="0.25">
      <c r="A14541" s="1033"/>
      <c r="E14541" s="130"/>
    </row>
    <row r="14542" spans="1:5" x14ac:dyDescent="0.25">
      <c r="A14542" s="1033"/>
      <c r="E14542" s="130"/>
    </row>
    <row r="14543" spans="1:5" x14ac:dyDescent="0.25">
      <c r="A14543" s="1033"/>
      <c r="E14543" s="130"/>
    </row>
    <row r="14544" spans="1:5" x14ac:dyDescent="0.25">
      <c r="A14544" s="1033"/>
      <c r="E14544" s="130"/>
    </row>
    <row r="14545" spans="1:5" x14ac:dyDescent="0.25">
      <c r="A14545" s="1033"/>
      <c r="E14545" s="130"/>
    </row>
    <row r="14546" spans="1:5" x14ac:dyDescent="0.25">
      <c r="A14546" s="1033"/>
      <c r="E14546" s="130"/>
    </row>
    <row r="14547" spans="1:5" x14ac:dyDescent="0.25">
      <c r="A14547" s="1033"/>
      <c r="E14547" s="130"/>
    </row>
    <row r="14548" spans="1:5" x14ac:dyDescent="0.25">
      <c r="A14548" s="1033"/>
      <c r="E14548" s="130"/>
    </row>
    <row r="14549" spans="1:5" x14ac:dyDescent="0.25">
      <c r="A14549" s="1033"/>
      <c r="E14549" s="130"/>
    </row>
    <row r="14550" spans="1:5" x14ac:dyDescent="0.25">
      <c r="A14550" s="1033"/>
      <c r="E14550" s="130"/>
    </row>
    <row r="14551" spans="1:5" x14ac:dyDescent="0.25">
      <c r="A14551" s="1033"/>
      <c r="E14551" s="130"/>
    </row>
    <row r="14552" spans="1:5" x14ac:dyDescent="0.25">
      <c r="A14552" s="1033"/>
      <c r="E14552" s="130"/>
    </row>
    <row r="14553" spans="1:5" x14ac:dyDescent="0.25">
      <c r="A14553" s="1033"/>
      <c r="E14553" s="130"/>
    </row>
    <row r="14554" spans="1:5" x14ac:dyDescent="0.25">
      <c r="A14554" s="1033"/>
      <c r="E14554" s="130"/>
    </row>
    <row r="14555" spans="1:5" x14ac:dyDescent="0.25">
      <c r="A14555" s="1033"/>
      <c r="E14555" s="130"/>
    </row>
    <row r="14556" spans="1:5" x14ac:dyDescent="0.25">
      <c r="A14556" s="1033"/>
      <c r="E14556" s="130"/>
    </row>
    <row r="14557" spans="1:5" x14ac:dyDescent="0.25">
      <c r="A14557" s="1033"/>
      <c r="E14557" s="130"/>
    </row>
    <row r="14558" spans="1:5" x14ac:dyDescent="0.25">
      <c r="A14558" s="1033"/>
      <c r="E14558" s="130"/>
    </row>
    <row r="14559" spans="1:5" x14ac:dyDescent="0.25">
      <c r="A14559" s="1033"/>
      <c r="E14559" s="130"/>
    </row>
    <row r="14560" spans="1:5" x14ac:dyDescent="0.25">
      <c r="A14560" s="1033"/>
      <c r="E14560" s="130"/>
    </row>
    <row r="14561" spans="1:5" x14ac:dyDescent="0.25">
      <c r="A14561" s="1033"/>
      <c r="E14561" s="130"/>
    </row>
    <row r="14562" spans="1:5" x14ac:dyDescent="0.25">
      <c r="A14562" s="1033"/>
      <c r="E14562" s="130"/>
    </row>
    <row r="14563" spans="1:5" x14ac:dyDescent="0.25">
      <c r="A14563" s="1033"/>
      <c r="E14563" s="130"/>
    </row>
    <row r="14564" spans="1:5" x14ac:dyDescent="0.25">
      <c r="A14564" s="1033"/>
      <c r="E14564" s="130"/>
    </row>
    <row r="14565" spans="1:5" x14ac:dyDescent="0.25">
      <c r="A14565" s="1033"/>
      <c r="E14565" s="130"/>
    </row>
    <row r="14566" spans="1:5" x14ac:dyDescent="0.25">
      <c r="A14566" s="1033"/>
      <c r="E14566" s="130"/>
    </row>
    <row r="14567" spans="1:5" x14ac:dyDescent="0.25">
      <c r="A14567" s="1033"/>
      <c r="E14567" s="130"/>
    </row>
    <row r="14568" spans="1:5" x14ac:dyDescent="0.25">
      <c r="A14568" s="1033"/>
      <c r="E14568" s="130"/>
    </row>
    <row r="14569" spans="1:5" x14ac:dyDescent="0.25">
      <c r="A14569" s="1033"/>
      <c r="E14569" s="130"/>
    </row>
    <row r="14570" spans="1:5" x14ac:dyDescent="0.25">
      <c r="A14570" s="1033"/>
      <c r="E14570" s="130"/>
    </row>
    <row r="14571" spans="1:5" x14ac:dyDescent="0.25">
      <c r="A14571" s="1033"/>
      <c r="E14571" s="130"/>
    </row>
    <row r="14572" spans="1:5" x14ac:dyDescent="0.25">
      <c r="A14572" s="1033"/>
      <c r="E14572" s="130"/>
    </row>
    <row r="14573" spans="1:5" x14ac:dyDescent="0.25">
      <c r="A14573" s="1033"/>
      <c r="E14573" s="130"/>
    </row>
    <row r="14574" spans="1:5" x14ac:dyDescent="0.25">
      <c r="A14574" s="1033"/>
      <c r="E14574" s="130"/>
    </row>
    <row r="14575" spans="1:5" x14ac:dyDescent="0.25">
      <c r="A14575" s="1033"/>
      <c r="E14575" s="130"/>
    </row>
    <row r="14576" spans="1:5" x14ac:dyDescent="0.25">
      <c r="A14576" s="1033"/>
      <c r="E14576" s="130"/>
    </row>
    <row r="14577" spans="1:5" x14ac:dyDescent="0.25">
      <c r="A14577" s="1033"/>
      <c r="E14577" s="130"/>
    </row>
    <row r="14578" spans="1:5" x14ac:dyDescent="0.25">
      <c r="A14578" s="1033"/>
      <c r="E14578" s="130"/>
    </row>
    <row r="14579" spans="1:5" x14ac:dyDescent="0.25">
      <c r="A14579" s="1033"/>
      <c r="E14579" s="130"/>
    </row>
    <row r="14580" spans="1:5" x14ac:dyDescent="0.25">
      <c r="A14580" s="1033"/>
      <c r="E14580" s="130"/>
    </row>
    <row r="14581" spans="1:5" x14ac:dyDescent="0.25">
      <c r="A14581" s="1033"/>
      <c r="E14581" s="130"/>
    </row>
    <row r="14582" spans="1:5" x14ac:dyDescent="0.25">
      <c r="A14582" s="1033"/>
      <c r="E14582" s="130"/>
    </row>
    <row r="14583" spans="1:5" x14ac:dyDescent="0.25">
      <c r="A14583" s="1033"/>
      <c r="E14583" s="130"/>
    </row>
    <row r="14584" spans="1:5" x14ac:dyDescent="0.25">
      <c r="A14584" s="1033"/>
      <c r="E14584" s="130"/>
    </row>
    <row r="14585" spans="1:5" x14ac:dyDescent="0.25">
      <c r="A14585" s="1033"/>
      <c r="E14585" s="130"/>
    </row>
    <row r="14586" spans="1:5" x14ac:dyDescent="0.25">
      <c r="A14586" s="1033"/>
      <c r="E14586" s="130"/>
    </row>
    <row r="14587" spans="1:5" x14ac:dyDescent="0.25">
      <c r="A14587" s="1033"/>
      <c r="E14587" s="130"/>
    </row>
    <row r="14588" spans="1:5" x14ac:dyDescent="0.25">
      <c r="A14588" s="1033"/>
      <c r="E14588" s="130"/>
    </row>
    <row r="14589" spans="1:5" x14ac:dyDescent="0.25">
      <c r="A14589" s="1033"/>
      <c r="E14589" s="130"/>
    </row>
    <row r="14590" spans="1:5" x14ac:dyDescent="0.25">
      <c r="A14590" s="1033"/>
      <c r="E14590" s="130"/>
    </row>
    <row r="14591" spans="1:5" x14ac:dyDescent="0.25">
      <c r="A14591" s="1033"/>
      <c r="E14591" s="130"/>
    </row>
    <row r="14592" spans="1:5" x14ac:dyDescent="0.25">
      <c r="A14592" s="1033"/>
      <c r="E14592" s="130"/>
    </row>
    <row r="14593" spans="1:5" x14ac:dyDescent="0.25">
      <c r="A14593" s="1033"/>
      <c r="E14593" s="130"/>
    </row>
    <row r="14594" spans="1:5" x14ac:dyDescent="0.25">
      <c r="A14594" s="1033"/>
      <c r="E14594" s="130"/>
    </row>
    <row r="14595" spans="1:5" x14ac:dyDescent="0.25">
      <c r="A14595" s="1033"/>
      <c r="E14595" s="130"/>
    </row>
    <row r="14596" spans="1:5" x14ac:dyDescent="0.25">
      <c r="A14596" s="1033"/>
      <c r="E14596" s="130"/>
    </row>
    <row r="14597" spans="1:5" x14ac:dyDescent="0.25">
      <c r="A14597" s="1033"/>
      <c r="E14597" s="130"/>
    </row>
    <row r="14598" spans="1:5" x14ac:dyDescent="0.25">
      <c r="A14598" s="1033"/>
      <c r="E14598" s="130"/>
    </row>
    <row r="14599" spans="1:5" x14ac:dyDescent="0.25">
      <c r="A14599" s="1033"/>
      <c r="E14599" s="130"/>
    </row>
    <row r="14600" spans="1:5" x14ac:dyDescent="0.25">
      <c r="A14600" s="1033"/>
      <c r="E14600" s="130"/>
    </row>
    <row r="14601" spans="1:5" x14ac:dyDescent="0.25">
      <c r="A14601" s="1033"/>
      <c r="E14601" s="130"/>
    </row>
    <row r="14602" spans="1:5" x14ac:dyDescent="0.25">
      <c r="A14602" s="1033"/>
      <c r="E14602" s="130"/>
    </row>
    <row r="14603" spans="1:5" x14ac:dyDescent="0.25">
      <c r="A14603" s="1033"/>
      <c r="E14603" s="130"/>
    </row>
    <row r="14604" spans="1:5" x14ac:dyDescent="0.25">
      <c r="A14604" s="1033"/>
      <c r="E14604" s="130"/>
    </row>
    <row r="14605" spans="1:5" x14ac:dyDescent="0.25">
      <c r="A14605" s="1033"/>
      <c r="E14605" s="130"/>
    </row>
    <row r="14606" spans="1:5" x14ac:dyDescent="0.25">
      <c r="A14606" s="1033"/>
      <c r="E14606" s="130"/>
    </row>
    <row r="14607" spans="1:5" x14ac:dyDescent="0.25">
      <c r="A14607" s="1033"/>
      <c r="E14607" s="130"/>
    </row>
    <row r="14608" spans="1:5" x14ac:dyDescent="0.25">
      <c r="A14608" s="1033"/>
      <c r="E14608" s="130"/>
    </row>
    <row r="14609" spans="1:5" x14ac:dyDescent="0.25">
      <c r="A14609" s="1033"/>
      <c r="E14609" s="130"/>
    </row>
    <row r="14610" spans="1:5" x14ac:dyDescent="0.25">
      <c r="A14610" s="1033"/>
      <c r="E14610" s="130"/>
    </row>
    <row r="14611" spans="1:5" x14ac:dyDescent="0.25">
      <c r="A14611" s="1033"/>
      <c r="E14611" s="130"/>
    </row>
    <row r="14612" spans="1:5" x14ac:dyDescent="0.25">
      <c r="A14612" s="1033"/>
      <c r="E14612" s="130"/>
    </row>
    <row r="14613" spans="1:5" x14ac:dyDescent="0.25">
      <c r="A14613" s="1033"/>
      <c r="E14613" s="130"/>
    </row>
    <row r="14614" spans="1:5" x14ac:dyDescent="0.25">
      <c r="A14614" s="1033"/>
      <c r="E14614" s="130"/>
    </row>
    <row r="14615" spans="1:5" x14ac:dyDescent="0.25">
      <c r="A14615" s="1033"/>
      <c r="E14615" s="130"/>
    </row>
    <row r="14616" spans="1:5" x14ac:dyDescent="0.25">
      <c r="A14616" s="1033"/>
      <c r="E14616" s="130"/>
    </row>
    <row r="14617" spans="1:5" x14ac:dyDescent="0.25">
      <c r="A14617" s="1033"/>
      <c r="E14617" s="130"/>
    </row>
    <row r="14618" spans="1:5" x14ac:dyDescent="0.25">
      <c r="A14618" s="1033"/>
      <c r="E14618" s="130"/>
    </row>
    <row r="14619" spans="1:5" x14ac:dyDescent="0.25">
      <c r="A14619" s="1033"/>
      <c r="E14619" s="130"/>
    </row>
    <row r="14620" spans="1:5" x14ac:dyDescent="0.25">
      <c r="A14620" s="1033"/>
      <c r="E14620" s="130"/>
    </row>
    <row r="14621" spans="1:5" x14ac:dyDescent="0.25">
      <c r="A14621" s="1033"/>
      <c r="E14621" s="130"/>
    </row>
    <row r="14622" spans="1:5" x14ac:dyDescent="0.25">
      <c r="A14622" s="1033"/>
      <c r="E14622" s="130"/>
    </row>
    <row r="14623" spans="1:5" x14ac:dyDescent="0.25">
      <c r="A14623" s="1033"/>
      <c r="E14623" s="130"/>
    </row>
    <row r="14624" spans="1:5" x14ac:dyDescent="0.25">
      <c r="A14624" s="1033"/>
      <c r="E14624" s="130"/>
    </row>
    <row r="14625" spans="1:5" x14ac:dyDescent="0.25">
      <c r="A14625" s="1033"/>
      <c r="E14625" s="130"/>
    </row>
    <row r="14626" spans="1:5" x14ac:dyDescent="0.25">
      <c r="A14626" s="1033"/>
      <c r="E14626" s="130"/>
    </row>
    <row r="14627" spans="1:5" x14ac:dyDescent="0.25">
      <c r="A14627" s="1033"/>
      <c r="E14627" s="130"/>
    </row>
    <row r="14628" spans="1:5" x14ac:dyDescent="0.25">
      <c r="A14628" s="1033"/>
      <c r="E14628" s="130"/>
    </row>
    <row r="14629" spans="1:5" x14ac:dyDescent="0.25">
      <c r="A14629" s="1033"/>
      <c r="E14629" s="130"/>
    </row>
    <row r="14630" spans="1:5" x14ac:dyDescent="0.25">
      <c r="A14630" s="1033"/>
      <c r="E14630" s="130"/>
    </row>
    <row r="14631" spans="1:5" x14ac:dyDescent="0.25">
      <c r="A14631" s="1033"/>
      <c r="E14631" s="130"/>
    </row>
    <row r="14632" spans="1:5" x14ac:dyDescent="0.25">
      <c r="A14632" s="1033"/>
      <c r="E14632" s="130"/>
    </row>
    <row r="14633" spans="1:5" x14ac:dyDescent="0.25">
      <c r="A14633" s="1033"/>
      <c r="E14633" s="130"/>
    </row>
    <row r="14634" spans="1:5" x14ac:dyDescent="0.25">
      <c r="A14634" s="1033"/>
      <c r="E14634" s="130"/>
    </row>
    <row r="14635" spans="1:5" x14ac:dyDescent="0.25">
      <c r="A14635" s="1033"/>
      <c r="E14635" s="130"/>
    </row>
    <row r="14636" spans="1:5" x14ac:dyDescent="0.25">
      <c r="A14636" s="1033"/>
      <c r="E14636" s="130"/>
    </row>
    <row r="14637" spans="1:5" x14ac:dyDescent="0.25">
      <c r="A14637" s="1033"/>
      <c r="E14637" s="130"/>
    </row>
    <row r="14638" spans="1:5" x14ac:dyDescent="0.25">
      <c r="A14638" s="1033"/>
      <c r="E14638" s="130"/>
    </row>
    <row r="14639" spans="1:5" x14ac:dyDescent="0.25">
      <c r="A14639" s="1033"/>
      <c r="E14639" s="130"/>
    </row>
    <row r="14640" spans="1:5" x14ac:dyDescent="0.25">
      <c r="A14640" s="1033"/>
      <c r="E14640" s="130"/>
    </row>
    <row r="14641" spans="1:5" x14ac:dyDescent="0.25">
      <c r="A14641" s="1033"/>
      <c r="E14641" s="130"/>
    </row>
    <row r="14642" spans="1:5" x14ac:dyDescent="0.25">
      <c r="A14642" s="1033"/>
      <c r="E14642" s="130"/>
    </row>
    <row r="14643" spans="1:5" x14ac:dyDescent="0.25">
      <c r="A14643" s="1033"/>
      <c r="E14643" s="130"/>
    </row>
    <row r="14644" spans="1:5" x14ac:dyDescent="0.25">
      <c r="A14644" s="1033"/>
      <c r="E14644" s="130"/>
    </row>
    <row r="14645" spans="1:5" x14ac:dyDescent="0.25">
      <c r="A14645" s="1033"/>
      <c r="E14645" s="130"/>
    </row>
    <row r="14646" spans="1:5" x14ac:dyDescent="0.25">
      <c r="A14646" s="1033"/>
      <c r="E14646" s="130"/>
    </row>
    <row r="14647" spans="1:5" x14ac:dyDescent="0.25">
      <c r="A14647" s="1033"/>
      <c r="E14647" s="130"/>
    </row>
    <row r="14648" spans="1:5" x14ac:dyDescent="0.25">
      <c r="A14648" s="1033"/>
      <c r="E14648" s="130"/>
    </row>
    <row r="14649" spans="1:5" x14ac:dyDescent="0.25">
      <c r="A14649" s="1033"/>
      <c r="E14649" s="130"/>
    </row>
    <row r="14650" spans="1:5" x14ac:dyDescent="0.25">
      <c r="A14650" s="1033"/>
      <c r="E14650" s="130"/>
    </row>
    <row r="14651" spans="1:5" x14ac:dyDescent="0.25">
      <c r="A14651" s="1033"/>
      <c r="E14651" s="130"/>
    </row>
    <row r="14652" spans="1:5" x14ac:dyDescent="0.25">
      <c r="A14652" s="1033"/>
      <c r="E14652" s="130"/>
    </row>
    <row r="14653" spans="1:5" x14ac:dyDescent="0.25">
      <c r="A14653" s="1033"/>
      <c r="E14653" s="130"/>
    </row>
    <row r="14654" spans="1:5" x14ac:dyDescent="0.25">
      <c r="A14654" s="1033"/>
      <c r="E14654" s="130"/>
    </row>
    <row r="14655" spans="1:5" x14ac:dyDescent="0.25">
      <c r="A14655" s="1033"/>
      <c r="E14655" s="130"/>
    </row>
    <row r="14656" spans="1:5" x14ac:dyDescent="0.25">
      <c r="A14656" s="1033"/>
      <c r="E14656" s="130"/>
    </row>
    <row r="14657" spans="1:5" x14ac:dyDescent="0.25">
      <c r="A14657" s="1033"/>
      <c r="E14657" s="130"/>
    </row>
    <row r="14658" spans="1:5" x14ac:dyDescent="0.25">
      <c r="A14658" s="1033"/>
      <c r="E14658" s="130"/>
    </row>
    <row r="14659" spans="1:5" x14ac:dyDescent="0.25">
      <c r="A14659" s="1033"/>
      <c r="E14659" s="130"/>
    </row>
    <row r="14660" spans="1:5" x14ac:dyDescent="0.25">
      <c r="A14660" s="1033"/>
      <c r="E14660" s="130"/>
    </row>
    <row r="14661" spans="1:5" x14ac:dyDescent="0.25">
      <c r="A14661" s="1033"/>
      <c r="E14661" s="130"/>
    </row>
    <row r="14662" spans="1:5" x14ac:dyDescent="0.25">
      <c r="A14662" s="1033"/>
      <c r="E14662" s="130"/>
    </row>
    <row r="14663" spans="1:5" x14ac:dyDescent="0.25">
      <c r="A14663" s="1033"/>
      <c r="E14663" s="130"/>
    </row>
    <row r="14664" spans="1:5" x14ac:dyDescent="0.25">
      <c r="A14664" s="1033"/>
      <c r="E14664" s="130"/>
    </row>
    <row r="14665" spans="1:5" x14ac:dyDescent="0.25">
      <c r="A14665" s="1033"/>
      <c r="E14665" s="130"/>
    </row>
    <row r="14666" spans="1:5" x14ac:dyDescent="0.25">
      <c r="A14666" s="1033"/>
      <c r="E14666" s="130"/>
    </row>
    <row r="14667" spans="1:5" x14ac:dyDescent="0.25">
      <c r="A14667" s="1033"/>
      <c r="E14667" s="130"/>
    </row>
    <row r="14668" spans="1:5" x14ac:dyDescent="0.25">
      <c r="A14668" s="1033"/>
      <c r="E14668" s="130"/>
    </row>
    <row r="14669" spans="1:5" x14ac:dyDescent="0.25">
      <c r="A14669" s="1033"/>
      <c r="E14669" s="130"/>
    </row>
    <row r="14670" spans="1:5" x14ac:dyDescent="0.25">
      <c r="A14670" s="1033"/>
      <c r="E14670" s="130"/>
    </row>
    <row r="14671" spans="1:5" x14ac:dyDescent="0.25">
      <c r="A14671" s="1033"/>
      <c r="E14671" s="130"/>
    </row>
    <row r="14672" spans="1:5" x14ac:dyDescent="0.25">
      <c r="A14672" s="1033"/>
      <c r="E14672" s="130"/>
    </row>
    <row r="14673" spans="1:5" x14ac:dyDescent="0.25">
      <c r="A14673" s="1033"/>
      <c r="E14673" s="130"/>
    </row>
    <row r="14674" spans="1:5" x14ac:dyDescent="0.25">
      <c r="A14674" s="1033"/>
      <c r="E14674" s="130"/>
    </row>
    <row r="14675" spans="1:5" x14ac:dyDescent="0.25">
      <c r="A14675" s="1033"/>
      <c r="E14675" s="130"/>
    </row>
    <row r="14676" spans="1:5" x14ac:dyDescent="0.25">
      <c r="A14676" s="1033"/>
      <c r="E14676" s="130"/>
    </row>
    <row r="14677" spans="1:5" x14ac:dyDescent="0.25">
      <c r="A14677" s="1033"/>
      <c r="E14677" s="130"/>
    </row>
    <row r="14678" spans="1:5" x14ac:dyDescent="0.25">
      <c r="A14678" s="1033"/>
      <c r="E14678" s="130"/>
    </row>
    <row r="14679" spans="1:5" x14ac:dyDescent="0.25">
      <c r="A14679" s="1033"/>
      <c r="E14679" s="130"/>
    </row>
    <row r="14680" spans="1:5" x14ac:dyDescent="0.25">
      <c r="A14680" s="1033"/>
      <c r="E14680" s="130"/>
    </row>
    <row r="14681" spans="1:5" x14ac:dyDescent="0.25">
      <c r="A14681" s="1033"/>
      <c r="E14681" s="130"/>
    </row>
    <row r="14682" spans="1:5" x14ac:dyDescent="0.25">
      <c r="A14682" s="1033"/>
      <c r="E14682" s="130"/>
    </row>
    <row r="14683" spans="1:5" x14ac:dyDescent="0.25">
      <c r="A14683" s="1033"/>
      <c r="E14683" s="130"/>
    </row>
    <row r="14684" spans="1:5" x14ac:dyDescent="0.25">
      <c r="A14684" s="1033"/>
      <c r="E14684" s="130"/>
    </row>
    <row r="14685" spans="1:5" x14ac:dyDescent="0.25">
      <c r="A14685" s="1033"/>
      <c r="E14685" s="130"/>
    </row>
    <row r="14686" spans="1:5" x14ac:dyDescent="0.25">
      <c r="A14686" s="1033"/>
      <c r="E14686" s="130"/>
    </row>
    <row r="14687" spans="1:5" x14ac:dyDescent="0.25">
      <c r="A14687" s="1033"/>
      <c r="E14687" s="130"/>
    </row>
    <row r="14688" spans="1:5" x14ac:dyDescent="0.25">
      <c r="A14688" s="1033"/>
      <c r="E14688" s="130"/>
    </row>
    <row r="14689" spans="1:5" x14ac:dyDescent="0.25">
      <c r="A14689" s="1033"/>
      <c r="E14689" s="130"/>
    </row>
    <row r="14690" spans="1:5" x14ac:dyDescent="0.25">
      <c r="A14690" s="1033"/>
      <c r="E14690" s="130"/>
    </row>
    <row r="14691" spans="1:5" x14ac:dyDescent="0.25">
      <c r="A14691" s="1033"/>
      <c r="E14691" s="130"/>
    </row>
    <row r="14692" spans="1:5" x14ac:dyDescent="0.25">
      <c r="A14692" s="1033"/>
      <c r="E14692" s="130"/>
    </row>
    <row r="14693" spans="1:5" x14ac:dyDescent="0.25">
      <c r="A14693" s="1033"/>
      <c r="E14693" s="130"/>
    </row>
    <row r="14694" spans="1:5" x14ac:dyDescent="0.25">
      <c r="A14694" s="1033"/>
      <c r="E14694" s="130"/>
    </row>
    <row r="14695" spans="1:5" x14ac:dyDescent="0.25">
      <c r="A14695" s="1033"/>
      <c r="E14695" s="130"/>
    </row>
    <row r="14696" spans="1:5" x14ac:dyDescent="0.25">
      <c r="A14696" s="1033"/>
      <c r="E14696" s="130"/>
    </row>
    <row r="14697" spans="1:5" x14ac:dyDescent="0.25">
      <c r="A14697" s="1033"/>
      <c r="E14697" s="130"/>
    </row>
    <row r="14698" spans="1:5" x14ac:dyDescent="0.25">
      <c r="A14698" s="1033"/>
      <c r="E14698" s="130"/>
    </row>
    <row r="14699" spans="1:5" x14ac:dyDescent="0.25">
      <c r="A14699" s="1033"/>
      <c r="E14699" s="130"/>
    </row>
    <row r="14700" spans="1:5" x14ac:dyDescent="0.25">
      <c r="A14700" s="1033"/>
      <c r="E14700" s="130"/>
    </row>
    <row r="14701" spans="1:5" x14ac:dyDescent="0.25">
      <c r="A14701" s="1033"/>
      <c r="E14701" s="130"/>
    </row>
    <row r="14702" spans="1:5" x14ac:dyDescent="0.25">
      <c r="A14702" s="1033"/>
      <c r="E14702" s="130"/>
    </row>
    <row r="14703" spans="1:5" x14ac:dyDescent="0.25">
      <c r="A14703" s="1033"/>
      <c r="E14703" s="130"/>
    </row>
    <row r="14704" spans="1:5" x14ac:dyDescent="0.25">
      <c r="A14704" s="1033"/>
      <c r="E14704" s="130"/>
    </row>
    <row r="14705" spans="1:5" x14ac:dyDescent="0.25">
      <c r="A14705" s="1033"/>
      <c r="E14705" s="130"/>
    </row>
    <row r="14706" spans="1:5" x14ac:dyDescent="0.25">
      <c r="A14706" s="1033"/>
      <c r="E14706" s="130"/>
    </row>
    <row r="14707" spans="1:5" x14ac:dyDescent="0.25">
      <c r="A14707" s="1033"/>
      <c r="E14707" s="130"/>
    </row>
    <row r="14708" spans="1:5" x14ac:dyDescent="0.25">
      <c r="A14708" s="1033"/>
      <c r="E14708" s="130"/>
    </row>
    <row r="14709" spans="1:5" x14ac:dyDescent="0.25">
      <c r="A14709" s="1033"/>
      <c r="E14709" s="130"/>
    </row>
    <row r="14710" spans="1:5" x14ac:dyDescent="0.25">
      <c r="A14710" s="1033"/>
      <c r="E14710" s="130"/>
    </row>
    <row r="14711" spans="1:5" x14ac:dyDescent="0.25">
      <c r="A14711" s="1033"/>
      <c r="E14711" s="130"/>
    </row>
    <row r="14712" spans="1:5" x14ac:dyDescent="0.25">
      <c r="A14712" s="1033"/>
      <c r="E14712" s="130"/>
    </row>
    <row r="14713" spans="1:5" x14ac:dyDescent="0.25">
      <c r="A14713" s="1033"/>
      <c r="E14713" s="130"/>
    </row>
    <row r="14714" spans="1:5" x14ac:dyDescent="0.25">
      <c r="A14714" s="1033"/>
      <c r="E14714" s="130"/>
    </row>
    <row r="14715" spans="1:5" x14ac:dyDescent="0.25">
      <c r="A14715" s="1033"/>
      <c r="E14715" s="130"/>
    </row>
    <row r="14716" spans="1:5" x14ac:dyDescent="0.25">
      <c r="A14716" s="1033"/>
      <c r="E14716" s="130"/>
    </row>
    <row r="14717" spans="1:5" x14ac:dyDescent="0.25">
      <c r="A14717" s="1033"/>
      <c r="E14717" s="130"/>
    </row>
    <row r="14718" spans="1:5" x14ac:dyDescent="0.25">
      <c r="A14718" s="1033"/>
      <c r="E14718" s="130"/>
    </row>
    <row r="14719" spans="1:5" x14ac:dyDescent="0.25">
      <c r="A14719" s="1033"/>
      <c r="E14719" s="130"/>
    </row>
    <row r="14720" spans="1:5" x14ac:dyDescent="0.25">
      <c r="A14720" s="1033"/>
      <c r="E14720" s="130"/>
    </row>
    <row r="14721" spans="1:5" x14ac:dyDescent="0.25">
      <c r="A14721" s="1033"/>
      <c r="E14721" s="130"/>
    </row>
    <row r="14722" spans="1:5" x14ac:dyDescent="0.25">
      <c r="A14722" s="1033"/>
      <c r="E14722" s="130"/>
    </row>
    <row r="14723" spans="1:5" x14ac:dyDescent="0.25">
      <c r="A14723" s="1033"/>
      <c r="E14723" s="130"/>
    </row>
    <row r="14724" spans="1:5" x14ac:dyDescent="0.25">
      <c r="A14724" s="1033"/>
      <c r="E14724" s="130"/>
    </row>
    <row r="14725" spans="1:5" x14ac:dyDescent="0.25">
      <c r="A14725" s="1033"/>
      <c r="E14725" s="130"/>
    </row>
    <row r="14726" spans="1:5" x14ac:dyDescent="0.25">
      <c r="A14726" s="1033"/>
      <c r="E14726" s="130"/>
    </row>
    <row r="14727" spans="1:5" x14ac:dyDescent="0.25">
      <c r="A14727" s="1033"/>
      <c r="E14727" s="130"/>
    </row>
    <row r="14728" spans="1:5" x14ac:dyDescent="0.25">
      <c r="A14728" s="1033"/>
      <c r="E14728" s="130"/>
    </row>
    <row r="14729" spans="1:5" x14ac:dyDescent="0.25">
      <c r="A14729" s="1033"/>
      <c r="E14729" s="130"/>
    </row>
    <row r="14730" spans="1:5" x14ac:dyDescent="0.25">
      <c r="A14730" s="1033"/>
      <c r="E14730" s="130"/>
    </row>
    <row r="14731" spans="1:5" x14ac:dyDescent="0.25">
      <c r="A14731" s="1033"/>
      <c r="E14731" s="130"/>
    </row>
    <row r="14732" spans="1:5" x14ac:dyDescent="0.25">
      <c r="A14732" s="1033"/>
      <c r="E14732" s="130"/>
    </row>
    <row r="14733" spans="1:5" x14ac:dyDescent="0.25">
      <c r="A14733" s="1033"/>
      <c r="E14733" s="130"/>
    </row>
    <row r="14734" spans="1:5" x14ac:dyDescent="0.25">
      <c r="A14734" s="1033"/>
      <c r="E14734" s="130"/>
    </row>
    <row r="14735" spans="1:5" x14ac:dyDescent="0.25">
      <c r="A14735" s="1033"/>
      <c r="E14735" s="130"/>
    </row>
    <row r="14736" spans="1:5" x14ac:dyDescent="0.25">
      <c r="A14736" s="1033"/>
      <c r="E14736" s="130"/>
    </row>
    <row r="14737" spans="1:5" x14ac:dyDescent="0.25">
      <c r="A14737" s="1033"/>
      <c r="E14737" s="130"/>
    </row>
    <row r="14738" spans="1:5" x14ac:dyDescent="0.25">
      <c r="A14738" s="1033"/>
      <c r="E14738" s="130"/>
    </row>
    <row r="14739" spans="1:5" x14ac:dyDescent="0.25">
      <c r="A14739" s="1033"/>
      <c r="E14739" s="130"/>
    </row>
    <row r="14740" spans="1:5" x14ac:dyDescent="0.25">
      <c r="A14740" s="1033"/>
      <c r="E14740" s="130"/>
    </row>
    <row r="14741" spans="1:5" x14ac:dyDescent="0.25">
      <c r="A14741" s="1033"/>
      <c r="E14741" s="130"/>
    </row>
    <row r="14742" spans="1:5" x14ac:dyDescent="0.25">
      <c r="A14742" s="1033"/>
      <c r="E14742" s="130"/>
    </row>
    <row r="14743" spans="1:5" x14ac:dyDescent="0.25">
      <c r="A14743" s="1033"/>
      <c r="E14743" s="130"/>
    </row>
    <row r="14744" spans="1:5" x14ac:dyDescent="0.25">
      <c r="A14744" s="1033"/>
      <c r="E14744" s="130"/>
    </row>
    <row r="14745" spans="1:5" x14ac:dyDescent="0.25">
      <c r="A14745" s="1033"/>
      <c r="E14745" s="130"/>
    </row>
    <row r="14746" spans="1:5" x14ac:dyDescent="0.25">
      <c r="A14746" s="1033"/>
      <c r="E14746" s="130"/>
    </row>
    <row r="14747" spans="1:5" x14ac:dyDescent="0.25">
      <c r="A14747" s="1033"/>
      <c r="E14747" s="130"/>
    </row>
    <row r="14748" spans="1:5" x14ac:dyDescent="0.25">
      <c r="A14748" s="1033"/>
      <c r="E14748" s="130"/>
    </row>
    <row r="14749" spans="1:5" x14ac:dyDescent="0.25">
      <c r="A14749" s="1033"/>
      <c r="E14749" s="130"/>
    </row>
    <row r="14750" spans="1:5" x14ac:dyDescent="0.25">
      <c r="A14750" s="1033"/>
      <c r="E14750" s="130"/>
    </row>
    <row r="14751" spans="1:5" x14ac:dyDescent="0.25">
      <c r="A14751" s="1033"/>
      <c r="E14751" s="130"/>
    </row>
    <row r="14752" spans="1:5" x14ac:dyDescent="0.25">
      <c r="A14752" s="1033"/>
      <c r="E14752" s="130"/>
    </row>
    <row r="14753" spans="1:5" x14ac:dyDescent="0.25">
      <c r="A14753" s="1033"/>
      <c r="E14753" s="130"/>
    </row>
    <row r="14754" spans="1:5" x14ac:dyDescent="0.25">
      <c r="A14754" s="1033"/>
      <c r="E14754" s="130"/>
    </row>
    <row r="14755" spans="1:5" x14ac:dyDescent="0.25">
      <c r="A14755" s="1033"/>
      <c r="E14755" s="130"/>
    </row>
    <row r="14756" spans="1:5" x14ac:dyDescent="0.25">
      <c r="A14756" s="1033"/>
      <c r="E14756" s="130"/>
    </row>
    <row r="14757" spans="1:5" x14ac:dyDescent="0.25">
      <c r="A14757" s="1033"/>
      <c r="E14757" s="130"/>
    </row>
    <row r="14758" spans="1:5" x14ac:dyDescent="0.25">
      <c r="A14758" s="1033"/>
      <c r="E14758" s="130"/>
    </row>
    <row r="14759" spans="1:5" x14ac:dyDescent="0.25">
      <c r="A14759" s="1033"/>
      <c r="E14759" s="130"/>
    </row>
    <row r="14760" spans="1:5" x14ac:dyDescent="0.25">
      <c r="A14760" s="1033"/>
      <c r="E14760" s="130"/>
    </row>
    <row r="14761" spans="1:5" x14ac:dyDescent="0.25">
      <c r="A14761" s="1033"/>
      <c r="E14761" s="130"/>
    </row>
    <row r="14762" spans="1:5" x14ac:dyDescent="0.25">
      <c r="A14762" s="1033"/>
      <c r="E14762" s="130"/>
    </row>
    <row r="14763" spans="1:5" x14ac:dyDescent="0.25">
      <c r="A14763" s="1033"/>
      <c r="E14763" s="130"/>
    </row>
    <row r="14764" spans="1:5" x14ac:dyDescent="0.25">
      <c r="A14764" s="1033"/>
      <c r="E14764" s="130"/>
    </row>
    <row r="14765" spans="1:5" x14ac:dyDescent="0.25">
      <c r="A14765" s="1033"/>
      <c r="E14765" s="130"/>
    </row>
    <row r="14766" spans="1:5" x14ac:dyDescent="0.25">
      <c r="A14766" s="1033"/>
      <c r="E14766" s="130"/>
    </row>
    <row r="14767" spans="1:5" x14ac:dyDescent="0.25">
      <c r="A14767" s="1033"/>
      <c r="E14767" s="130"/>
    </row>
    <row r="14768" spans="1:5" x14ac:dyDescent="0.25">
      <c r="A14768" s="1033"/>
      <c r="E14768" s="130"/>
    </row>
    <row r="14769" spans="1:5" x14ac:dyDescent="0.25">
      <c r="A14769" s="1033"/>
      <c r="E14769" s="130"/>
    </row>
    <row r="14770" spans="1:5" x14ac:dyDescent="0.25">
      <c r="A14770" s="1033"/>
      <c r="E14770" s="130"/>
    </row>
    <row r="14771" spans="1:5" x14ac:dyDescent="0.25">
      <c r="A14771" s="1033"/>
      <c r="E14771" s="130"/>
    </row>
    <row r="14772" spans="1:5" x14ac:dyDescent="0.25">
      <c r="A14772" s="1033"/>
      <c r="E14772" s="130"/>
    </row>
    <row r="14773" spans="1:5" x14ac:dyDescent="0.25">
      <c r="A14773" s="1033"/>
      <c r="E14773" s="130"/>
    </row>
    <row r="14774" spans="1:5" x14ac:dyDescent="0.25">
      <c r="A14774" s="1033"/>
      <c r="E14774" s="130"/>
    </row>
    <row r="14775" spans="1:5" x14ac:dyDescent="0.25">
      <c r="A14775" s="1033"/>
      <c r="E14775" s="130"/>
    </row>
    <row r="14776" spans="1:5" x14ac:dyDescent="0.25">
      <c r="A14776" s="1033"/>
      <c r="E14776" s="130"/>
    </row>
    <row r="14777" spans="1:5" x14ac:dyDescent="0.25">
      <c r="A14777" s="1033"/>
      <c r="E14777" s="130"/>
    </row>
    <row r="14778" spans="1:5" x14ac:dyDescent="0.25">
      <c r="A14778" s="1033"/>
      <c r="E14778" s="130"/>
    </row>
    <row r="14779" spans="1:5" x14ac:dyDescent="0.25">
      <c r="A14779" s="1033"/>
      <c r="E14779" s="130"/>
    </row>
    <row r="14780" spans="1:5" x14ac:dyDescent="0.25">
      <c r="A14780" s="1033"/>
      <c r="E14780" s="130"/>
    </row>
    <row r="14781" spans="1:5" x14ac:dyDescent="0.25">
      <c r="A14781" s="1033"/>
      <c r="E14781" s="130"/>
    </row>
    <row r="14782" spans="1:5" x14ac:dyDescent="0.25">
      <c r="A14782" s="1033"/>
      <c r="E14782" s="130"/>
    </row>
    <row r="14783" spans="1:5" x14ac:dyDescent="0.25">
      <c r="A14783" s="1033"/>
      <c r="E14783" s="130"/>
    </row>
    <row r="14784" spans="1:5" x14ac:dyDescent="0.25">
      <c r="A14784" s="1033"/>
      <c r="E14784" s="130"/>
    </row>
    <row r="14785" spans="1:5" x14ac:dyDescent="0.25">
      <c r="A14785" s="1033"/>
      <c r="E14785" s="130"/>
    </row>
    <row r="14786" spans="1:5" x14ac:dyDescent="0.25">
      <c r="A14786" s="1033"/>
      <c r="E14786" s="130"/>
    </row>
    <row r="14787" spans="1:5" x14ac:dyDescent="0.25">
      <c r="A14787" s="1033"/>
      <c r="E14787" s="130"/>
    </row>
    <row r="14788" spans="1:5" x14ac:dyDescent="0.25">
      <c r="A14788" s="1033"/>
      <c r="E14788" s="130"/>
    </row>
    <row r="14789" spans="1:5" x14ac:dyDescent="0.25">
      <c r="A14789" s="1033"/>
      <c r="E14789" s="130"/>
    </row>
    <row r="14790" spans="1:5" x14ac:dyDescent="0.25">
      <c r="A14790" s="1033"/>
      <c r="E14790" s="130"/>
    </row>
    <row r="14791" spans="1:5" x14ac:dyDescent="0.25">
      <c r="A14791" s="1033"/>
      <c r="E14791" s="130"/>
    </row>
    <row r="14792" spans="1:5" x14ac:dyDescent="0.25">
      <c r="A14792" s="1033"/>
      <c r="E14792" s="130"/>
    </row>
    <row r="14793" spans="1:5" x14ac:dyDescent="0.25">
      <c r="A14793" s="1033"/>
      <c r="E14793" s="130"/>
    </row>
    <row r="14794" spans="1:5" x14ac:dyDescent="0.25">
      <c r="A14794" s="1033"/>
      <c r="E14794" s="130"/>
    </row>
    <row r="14795" spans="1:5" x14ac:dyDescent="0.25">
      <c r="A14795" s="1033"/>
      <c r="E14795" s="130"/>
    </row>
    <row r="14796" spans="1:5" x14ac:dyDescent="0.25">
      <c r="A14796" s="1033"/>
      <c r="E14796" s="130"/>
    </row>
    <row r="14797" spans="1:5" x14ac:dyDescent="0.25">
      <c r="A14797" s="1033"/>
      <c r="E14797" s="130"/>
    </row>
    <row r="14798" spans="1:5" x14ac:dyDescent="0.25">
      <c r="A14798" s="1033"/>
      <c r="E14798" s="130"/>
    </row>
    <row r="14799" spans="1:5" x14ac:dyDescent="0.25">
      <c r="A14799" s="1033"/>
      <c r="E14799" s="130"/>
    </row>
    <row r="14800" spans="1:5" x14ac:dyDescent="0.25">
      <c r="A14800" s="1033"/>
      <c r="E14800" s="130"/>
    </row>
    <row r="14801" spans="1:5" x14ac:dyDescent="0.25">
      <c r="A14801" s="1033"/>
      <c r="E14801" s="130"/>
    </row>
    <row r="14802" spans="1:5" x14ac:dyDescent="0.25">
      <c r="A14802" s="1033"/>
      <c r="E14802" s="130"/>
    </row>
    <row r="14803" spans="1:5" x14ac:dyDescent="0.25">
      <c r="A14803" s="1033"/>
      <c r="E14803" s="130"/>
    </row>
    <row r="14804" spans="1:5" x14ac:dyDescent="0.25">
      <c r="A14804" s="1033"/>
      <c r="E14804" s="130"/>
    </row>
    <row r="14805" spans="1:5" x14ac:dyDescent="0.25">
      <c r="A14805" s="1033"/>
      <c r="E14805" s="130"/>
    </row>
    <row r="14806" spans="1:5" x14ac:dyDescent="0.25">
      <c r="A14806" s="1033"/>
      <c r="E14806" s="130"/>
    </row>
    <row r="14807" spans="1:5" x14ac:dyDescent="0.25">
      <c r="A14807" s="1033"/>
      <c r="E14807" s="130"/>
    </row>
    <row r="14808" spans="1:5" x14ac:dyDescent="0.25">
      <c r="A14808" s="1033"/>
      <c r="E14808" s="130"/>
    </row>
    <row r="14809" spans="1:5" x14ac:dyDescent="0.25">
      <c r="A14809" s="1033"/>
      <c r="E14809" s="130"/>
    </row>
    <row r="14810" spans="1:5" x14ac:dyDescent="0.25">
      <c r="A14810" s="1033"/>
      <c r="E14810" s="130"/>
    </row>
    <row r="14811" spans="1:5" x14ac:dyDescent="0.25">
      <c r="A14811" s="1033"/>
      <c r="E14811" s="130"/>
    </row>
    <row r="14812" spans="1:5" x14ac:dyDescent="0.25">
      <c r="A14812" s="1033"/>
      <c r="E14812" s="130"/>
    </row>
    <row r="14813" spans="1:5" x14ac:dyDescent="0.25">
      <c r="A14813" s="1033"/>
      <c r="E14813" s="130"/>
    </row>
    <row r="14814" spans="1:5" x14ac:dyDescent="0.25">
      <c r="A14814" s="1033"/>
      <c r="E14814" s="130"/>
    </row>
    <row r="14815" spans="1:5" x14ac:dyDescent="0.25">
      <c r="A14815" s="1033"/>
      <c r="E14815" s="130"/>
    </row>
    <row r="14816" spans="1:5" x14ac:dyDescent="0.25">
      <c r="A14816" s="1033"/>
      <c r="E14816" s="130"/>
    </row>
    <row r="14817" spans="1:5" x14ac:dyDescent="0.25">
      <c r="A14817" s="1033"/>
      <c r="E14817" s="130"/>
    </row>
    <row r="14818" spans="1:5" x14ac:dyDescent="0.25">
      <c r="A14818" s="1033"/>
      <c r="E14818" s="130"/>
    </row>
    <row r="14819" spans="1:5" x14ac:dyDescent="0.25">
      <c r="A14819" s="1033"/>
      <c r="E14819" s="130"/>
    </row>
    <row r="14820" spans="1:5" x14ac:dyDescent="0.25">
      <c r="A14820" s="1033"/>
      <c r="E14820" s="130"/>
    </row>
    <row r="14821" spans="1:5" x14ac:dyDescent="0.25">
      <c r="A14821" s="1033"/>
      <c r="E14821" s="130"/>
    </row>
    <row r="14822" spans="1:5" x14ac:dyDescent="0.25">
      <c r="A14822" s="1033"/>
      <c r="E14822" s="130"/>
    </row>
    <row r="14823" spans="1:5" x14ac:dyDescent="0.25">
      <c r="A14823" s="1033"/>
      <c r="E14823" s="130"/>
    </row>
    <row r="14824" spans="1:5" x14ac:dyDescent="0.25">
      <c r="A14824" s="1033"/>
      <c r="E14824" s="130"/>
    </row>
    <row r="14825" spans="1:5" x14ac:dyDescent="0.25">
      <c r="A14825" s="1033"/>
      <c r="E14825" s="130"/>
    </row>
    <row r="14826" spans="1:5" x14ac:dyDescent="0.25">
      <c r="A14826" s="1033"/>
      <c r="E14826" s="130"/>
    </row>
    <row r="14827" spans="1:5" x14ac:dyDescent="0.25">
      <c r="A14827" s="1033"/>
      <c r="E14827" s="130"/>
    </row>
    <row r="14828" spans="1:5" x14ac:dyDescent="0.25">
      <c r="A14828" s="1033"/>
      <c r="E14828" s="130"/>
    </row>
    <row r="14829" spans="1:5" x14ac:dyDescent="0.25">
      <c r="A14829" s="1033"/>
      <c r="E14829" s="130"/>
    </row>
    <row r="14830" spans="1:5" x14ac:dyDescent="0.25">
      <c r="A14830" s="1033"/>
      <c r="E14830" s="130"/>
    </row>
    <row r="14831" spans="1:5" x14ac:dyDescent="0.25">
      <c r="A14831" s="1033"/>
      <c r="E14831" s="130"/>
    </row>
    <row r="14832" spans="1:5" x14ac:dyDescent="0.25">
      <c r="A14832" s="1033"/>
      <c r="E14832" s="130"/>
    </row>
    <row r="14833" spans="1:5" x14ac:dyDescent="0.25">
      <c r="A14833" s="1033"/>
      <c r="E14833" s="130"/>
    </row>
    <row r="14834" spans="1:5" x14ac:dyDescent="0.25">
      <c r="A14834" s="1033"/>
      <c r="E14834" s="130"/>
    </row>
    <row r="14835" spans="1:5" x14ac:dyDescent="0.25">
      <c r="A14835" s="1033"/>
      <c r="E14835" s="130"/>
    </row>
    <row r="14836" spans="1:5" x14ac:dyDescent="0.25">
      <c r="A14836" s="1033"/>
      <c r="E14836" s="130"/>
    </row>
    <row r="14837" spans="1:5" x14ac:dyDescent="0.25">
      <c r="A14837" s="1033"/>
      <c r="E14837" s="130"/>
    </row>
    <row r="14838" spans="1:5" x14ac:dyDescent="0.25">
      <c r="A14838" s="1033"/>
      <c r="E14838" s="130"/>
    </row>
    <row r="14839" spans="1:5" x14ac:dyDescent="0.25">
      <c r="A14839" s="1033"/>
      <c r="E14839" s="130"/>
    </row>
    <row r="14840" spans="1:5" x14ac:dyDescent="0.25">
      <c r="A14840" s="1033"/>
      <c r="E14840" s="130"/>
    </row>
    <row r="14841" spans="1:5" x14ac:dyDescent="0.25">
      <c r="A14841" s="1033"/>
      <c r="E14841" s="130"/>
    </row>
    <row r="14842" spans="1:5" x14ac:dyDescent="0.25">
      <c r="A14842" s="1033"/>
      <c r="E14842" s="130"/>
    </row>
    <row r="14843" spans="1:5" x14ac:dyDescent="0.25">
      <c r="A14843" s="1033"/>
      <c r="E14843" s="130"/>
    </row>
    <row r="14844" spans="1:5" x14ac:dyDescent="0.25">
      <c r="A14844" s="1033"/>
      <c r="E14844" s="130"/>
    </row>
    <row r="14845" spans="1:5" x14ac:dyDescent="0.25">
      <c r="A14845" s="1033"/>
      <c r="E14845" s="130"/>
    </row>
    <row r="14846" spans="1:5" x14ac:dyDescent="0.25">
      <c r="A14846" s="1033"/>
      <c r="E14846" s="130"/>
    </row>
    <row r="14847" spans="1:5" x14ac:dyDescent="0.25">
      <c r="A14847" s="1033"/>
      <c r="E14847" s="130"/>
    </row>
    <row r="14848" spans="1:5" x14ac:dyDescent="0.25">
      <c r="A14848" s="1033"/>
      <c r="E14848" s="130"/>
    </row>
    <row r="14849" spans="1:5" x14ac:dyDescent="0.25">
      <c r="A14849" s="1033"/>
      <c r="E14849" s="130"/>
    </row>
    <row r="14850" spans="1:5" x14ac:dyDescent="0.25">
      <c r="A14850" s="1033"/>
      <c r="E14850" s="130"/>
    </row>
    <row r="14851" spans="1:5" x14ac:dyDescent="0.25">
      <c r="A14851" s="1033"/>
      <c r="E14851" s="130"/>
    </row>
    <row r="14852" spans="1:5" x14ac:dyDescent="0.25">
      <c r="A14852" s="1033"/>
      <c r="E14852" s="130"/>
    </row>
    <row r="14853" spans="1:5" x14ac:dyDescent="0.25">
      <c r="A14853" s="1033"/>
      <c r="E14853" s="130"/>
    </row>
    <row r="14854" spans="1:5" x14ac:dyDescent="0.25">
      <c r="A14854" s="1033"/>
      <c r="E14854" s="130"/>
    </row>
    <row r="14855" spans="1:5" x14ac:dyDescent="0.25">
      <c r="A14855" s="1033"/>
      <c r="E14855" s="130"/>
    </row>
    <row r="14856" spans="1:5" x14ac:dyDescent="0.25">
      <c r="A14856" s="1033"/>
      <c r="E14856" s="130"/>
    </row>
    <row r="14857" spans="1:5" x14ac:dyDescent="0.25">
      <c r="A14857" s="1033"/>
      <c r="E14857" s="130"/>
    </row>
    <row r="14858" spans="1:5" x14ac:dyDescent="0.25">
      <c r="A14858" s="1033"/>
      <c r="E14858" s="130"/>
    </row>
    <row r="14859" spans="1:5" x14ac:dyDescent="0.25">
      <c r="A14859" s="1033"/>
      <c r="E14859" s="130"/>
    </row>
    <row r="14860" spans="1:5" x14ac:dyDescent="0.25">
      <c r="A14860" s="1033"/>
      <c r="E14860" s="130"/>
    </row>
    <row r="14861" spans="1:5" x14ac:dyDescent="0.25">
      <c r="A14861" s="1033"/>
      <c r="E14861" s="130"/>
    </row>
    <row r="14862" spans="1:5" x14ac:dyDescent="0.25">
      <c r="A14862" s="1033"/>
      <c r="E14862" s="130"/>
    </row>
    <row r="14863" spans="1:5" x14ac:dyDescent="0.25">
      <c r="A14863" s="1033"/>
      <c r="E14863" s="130"/>
    </row>
    <row r="14864" spans="1:5" x14ac:dyDescent="0.25">
      <c r="A14864" s="1033"/>
      <c r="E14864" s="130"/>
    </row>
    <row r="14865" spans="1:5" x14ac:dyDescent="0.25">
      <c r="A14865" s="1033"/>
      <c r="E14865" s="130"/>
    </row>
    <row r="14866" spans="1:5" x14ac:dyDescent="0.25">
      <c r="A14866" s="1033"/>
      <c r="E14866" s="130"/>
    </row>
    <row r="14867" spans="1:5" x14ac:dyDescent="0.25">
      <c r="A14867" s="1033"/>
      <c r="E14867" s="130"/>
    </row>
    <row r="14868" spans="1:5" x14ac:dyDescent="0.25">
      <c r="A14868" s="1033"/>
      <c r="E14868" s="130"/>
    </row>
    <row r="14869" spans="1:5" x14ac:dyDescent="0.25">
      <c r="A14869" s="1033"/>
      <c r="E14869" s="130"/>
    </row>
    <row r="14870" spans="1:5" x14ac:dyDescent="0.25">
      <c r="A14870" s="1033"/>
      <c r="E14870" s="130"/>
    </row>
    <row r="14871" spans="1:5" x14ac:dyDescent="0.25">
      <c r="A14871" s="1033"/>
      <c r="E14871" s="130"/>
    </row>
    <row r="14872" spans="1:5" x14ac:dyDescent="0.25">
      <c r="A14872" s="1033"/>
      <c r="E14872" s="130"/>
    </row>
    <row r="14873" spans="1:5" x14ac:dyDescent="0.25">
      <c r="A14873" s="1033"/>
      <c r="E14873" s="130"/>
    </row>
    <row r="14874" spans="1:5" x14ac:dyDescent="0.25">
      <c r="A14874" s="1033"/>
      <c r="E14874" s="130"/>
    </row>
    <row r="14875" spans="1:5" x14ac:dyDescent="0.25">
      <c r="A14875" s="1033"/>
      <c r="E14875" s="130"/>
    </row>
    <row r="14876" spans="1:5" x14ac:dyDescent="0.25">
      <c r="A14876" s="1033"/>
      <c r="E14876" s="130"/>
    </row>
    <row r="14877" spans="1:5" x14ac:dyDescent="0.25">
      <c r="A14877" s="1033"/>
      <c r="E14877" s="130"/>
    </row>
    <row r="14878" spans="1:5" x14ac:dyDescent="0.25">
      <c r="A14878" s="1033"/>
      <c r="E14878" s="130"/>
    </row>
    <row r="14879" spans="1:5" x14ac:dyDescent="0.25">
      <c r="A14879" s="1033"/>
      <c r="E14879" s="130"/>
    </row>
    <row r="14880" spans="1:5" x14ac:dyDescent="0.25">
      <c r="A14880" s="1033"/>
      <c r="E14880" s="130"/>
    </row>
    <row r="14881" spans="1:5" x14ac:dyDescent="0.25">
      <c r="A14881" s="1033"/>
      <c r="E14881" s="130"/>
    </row>
    <row r="14882" spans="1:5" x14ac:dyDescent="0.25">
      <c r="A14882" s="1033"/>
      <c r="E14882" s="130"/>
    </row>
    <row r="14883" spans="1:5" x14ac:dyDescent="0.25">
      <c r="A14883" s="1033"/>
      <c r="E14883" s="130"/>
    </row>
    <row r="14884" spans="1:5" x14ac:dyDescent="0.25">
      <c r="A14884" s="1033"/>
      <c r="E14884" s="130"/>
    </row>
    <row r="14885" spans="1:5" x14ac:dyDescent="0.25">
      <c r="A14885" s="1033"/>
      <c r="E14885" s="130"/>
    </row>
    <row r="14886" spans="1:5" x14ac:dyDescent="0.25">
      <c r="A14886" s="1033"/>
      <c r="E14886" s="130"/>
    </row>
    <row r="14887" spans="1:5" x14ac:dyDescent="0.25">
      <c r="A14887" s="1033"/>
      <c r="E14887" s="130"/>
    </row>
    <row r="14888" spans="1:5" x14ac:dyDescent="0.25">
      <c r="A14888" s="1033"/>
      <c r="E14888" s="130"/>
    </row>
    <row r="14889" spans="1:5" x14ac:dyDescent="0.25">
      <c r="A14889" s="1033"/>
      <c r="E14889" s="130"/>
    </row>
    <row r="14890" spans="1:5" x14ac:dyDescent="0.25">
      <c r="A14890" s="1033"/>
      <c r="E14890" s="130"/>
    </row>
    <row r="14891" spans="1:5" x14ac:dyDescent="0.25">
      <c r="A14891" s="1033"/>
      <c r="E14891" s="130"/>
    </row>
    <row r="14892" spans="1:5" x14ac:dyDescent="0.25">
      <c r="A14892" s="1033"/>
      <c r="E14892" s="130"/>
    </row>
    <row r="14893" spans="1:5" x14ac:dyDescent="0.25">
      <c r="A14893" s="1033"/>
      <c r="E14893" s="130"/>
    </row>
    <row r="14894" spans="1:5" x14ac:dyDescent="0.25">
      <c r="A14894" s="1033"/>
      <c r="E14894" s="130"/>
    </row>
    <row r="14895" spans="1:5" x14ac:dyDescent="0.25">
      <c r="A14895" s="1033"/>
      <c r="E14895" s="130"/>
    </row>
    <row r="14896" spans="1:5" x14ac:dyDescent="0.25">
      <c r="A14896" s="1033"/>
      <c r="E14896" s="130"/>
    </row>
    <row r="14897" spans="1:5" x14ac:dyDescent="0.25">
      <c r="A14897" s="1033"/>
      <c r="E14897" s="130"/>
    </row>
    <row r="14898" spans="1:5" x14ac:dyDescent="0.25">
      <c r="A14898" s="1033"/>
      <c r="E14898" s="130"/>
    </row>
    <row r="14899" spans="1:5" x14ac:dyDescent="0.25">
      <c r="A14899" s="1033"/>
      <c r="E14899" s="130"/>
    </row>
    <row r="14900" spans="1:5" x14ac:dyDescent="0.25">
      <c r="A14900" s="1033"/>
      <c r="E14900" s="130"/>
    </row>
    <row r="14901" spans="1:5" x14ac:dyDescent="0.25">
      <c r="A14901" s="1033"/>
      <c r="E14901" s="130"/>
    </row>
    <row r="14902" spans="1:5" x14ac:dyDescent="0.25">
      <c r="A14902" s="1033"/>
      <c r="E14902" s="130"/>
    </row>
    <row r="14903" spans="1:5" x14ac:dyDescent="0.25">
      <c r="A14903" s="1033"/>
      <c r="E14903" s="130"/>
    </row>
    <row r="14904" spans="1:5" x14ac:dyDescent="0.25">
      <c r="A14904" s="1033"/>
      <c r="E14904" s="130"/>
    </row>
    <row r="14905" spans="1:5" x14ac:dyDescent="0.25">
      <c r="A14905" s="1033"/>
      <c r="E14905" s="130"/>
    </row>
    <row r="14906" spans="1:5" x14ac:dyDescent="0.25">
      <c r="A14906" s="1033"/>
      <c r="E14906" s="130"/>
    </row>
    <row r="14907" spans="1:5" x14ac:dyDescent="0.25">
      <c r="A14907" s="1033"/>
      <c r="E14907" s="130"/>
    </row>
    <row r="14908" spans="1:5" x14ac:dyDescent="0.25">
      <c r="A14908" s="1033"/>
      <c r="E14908" s="130"/>
    </row>
    <row r="14909" spans="1:5" x14ac:dyDescent="0.25">
      <c r="A14909" s="1033"/>
      <c r="E14909" s="130"/>
    </row>
    <row r="14910" spans="1:5" x14ac:dyDescent="0.25">
      <c r="A14910" s="1033"/>
      <c r="E14910" s="130"/>
    </row>
    <row r="14911" spans="1:5" x14ac:dyDescent="0.25">
      <c r="A14911" s="1033"/>
      <c r="E14911" s="130"/>
    </row>
    <row r="14912" spans="1:5" x14ac:dyDescent="0.25">
      <c r="A14912" s="1033"/>
      <c r="E14912" s="130"/>
    </row>
    <row r="14913" spans="1:5" x14ac:dyDescent="0.25">
      <c r="A14913" s="1033"/>
      <c r="E14913" s="130"/>
    </row>
    <row r="14914" spans="1:5" x14ac:dyDescent="0.25">
      <c r="A14914" s="1033"/>
      <c r="E14914" s="130"/>
    </row>
    <row r="14915" spans="1:5" x14ac:dyDescent="0.25">
      <c r="A14915" s="1033"/>
      <c r="E14915" s="130"/>
    </row>
    <row r="14916" spans="1:5" x14ac:dyDescent="0.25">
      <c r="A14916" s="1033"/>
      <c r="E14916" s="130"/>
    </row>
    <row r="14917" spans="1:5" x14ac:dyDescent="0.25">
      <c r="A14917" s="1033"/>
      <c r="E14917" s="130"/>
    </row>
    <row r="14918" spans="1:5" x14ac:dyDescent="0.25">
      <c r="A14918" s="1033"/>
      <c r="E14918" s="130"/>
    </row>
    <row r="14919" spans="1:5" x14ac:dyDescent="0.25">
      <c r="A14919" s="1033"/>
      <c r="E14919" s="130"/>
    </row>
    <row r="14920" spans="1:5" x14ac:dyDescent="0.25">
      <c r="A14920" s="1033"/>
      <c r="E14920" s="130"/>
    </row>
    <row r="14921" spans="1:5" x14ac:dyDescent="0.25">
      <c r="A14921" s="1033"/>
      <c r="E14921" s="130"/>
    </row>
    <row r="14922" spans="1:5" x14ac:dyDescent="0.25">
      <c r="A14922" s="1033"/>
      <c r="E14922" s="130"/>
    </row>
    <row r="14923" spans="1:5" x14ac:dyDescent="0.25">
      <c r="A14923" s="1033"/>
      <c r="E14923" s="130"/>
    </row>
    <row r="14924" spans="1:5" x14ac:dyDescent="0.25">
      <c r="A14924" s="1033"/>
      <c r="E14924" s="130"/>
    </row>
    <row r="14925" spans="1:5" x14ac:dyDescent="0.25">
      <c r="A14925" s="1033"/>
      <c r="E14925" s="130"/>
    </row>
    <row r="14926" spans="1:5" x14ac:dyDescent="0.25">
      <c r="A14926" s="1033"/>
      <c r="E14926" s="130"/>
    </row>
    <row r="14927" spans="1:5" x14ac:dyDescent="0.25">
      <c r="A14927" s="1033"/>
      <c r="E14927" s="130"/>
    </row>
    <row r="14928" spans="1:5" x14ac:dyDescent="0.25">
      <c r="A14928" s="1033"/>
      <c r="E14928" s="130"/>
    </row>
    <row r="14929" spans="1:5" x14ac:dyDescent="0.25">
      <c r="A14929" s="1033"/>
      <c r="E14929" s="130"/>
    </row>
    <row r="14930" spans="1:5" x14ac:dyDescent="0.25">
      <c r="A14930" s="1033"/>
      <c r="E14930" s="130"/>
    </row>
    <row r="14931" spans="1:5" x14ac:dyDescent="0.25">
      <c r="A14931" s="1033"/>
      <c r="E14931" s="130"/>
    </row>
    <row r="14932" spans="1:5" x14ac:dyDescent="0.25">
      <c r="A14932" s="1033"/>
      <c r="E14932" s="130"/>
    </row>
    <row r="14933" spans="1:5" x14ac:dyDescent="0.25">
      <c r="A14933" s="1033"/>
      <c r="E14933" s="130"/>
    </row>
    <row r="14934" spans="1:5" x14ac:dyDescent="0.25">
      <c r="A14934" s="1033"/>
      <c r="E14934" s="130"/>
    </row>
    <row r="14935" spans="1:5" x14ac:dyDescent="0.25">
      <c r="A14935" s="1033"/>
      <c r="E14935" s="130"/>
    </row>
    <row r="14936" spans="1:5" x14ac:dyDescent="0.25">
      <c r="A14936" s="1033"/>
      <c r="E14936" s="130"/>
    </row>
    <row r="14937" spans="1:5" x14ac:dyDescent="0.25">
      <c r="A14937" s="1033"/>
      <c r="E14937" s="130"/>
    </row>
    <row r="14938" spans="1:5" x14ac:dyDescent="0.25">
      <c r="A14938" s="1033"/>
      <c r="E14938" s="130"/>
    </row>
    <row r="14939" spans="1:5" x14ac:dyDescent="0.25">
      <c r="A14939" s="1033"/>
      <c r="E14939" s="130"/>
    </row>
    <row r="14940" spans="1:5" x14ac:dyDescent="0.25">
      <c r="A14940" s="1033"/>
      <c r="E14940" s="130"/>
    </row>
    <row r="14941" spans="1:5" x14ac:dyDescent="0.25">
      <c r="A14941" s="1033"/>
      <c r="E14941" s="130"/>
    </row>
    <row r="14942" spans="1:5" x14ac:dyDescent="0.25">
      <c r="A14942" s="1033"/>
      <c r="E14942" s="130"/>
    </row>
    <row r="14943" spans="1:5" x14ac:dyDescent="0.25">
      <c r="A14943" s="1033"/>
      <c r="E14943" s="130"/>
    </row>
    <row r="14944" spans="1:5" x14ac:dyDescent="0.25">
      <c r="A14944" s="1033"/>
      <c r="E14944" s="130"/>
    </row>
    <row r="14945" spans="1:5" x14ac:dyDescent="0.25">
      <c r="A14945" s="1033"/>
      <c r="E14945" s="130"/>
    </row>
    <row r="14946" spans="1:5" x14ac:dyDescent="0.25">
      <c r="A14946" s="1033"/>
      <c r="E14946" s="130"/>
    </row>
    <row r="14947" spans="1:5" x14ac:dyDescent="0.25">
      <c r="A14947" s="1033"/>
      <c r="E14947" s="130"/>
    </row>
    <row r="14948" spans="1:5" x14ac:dyDescent="0.25">
      <c r="A14948" s="1033"/>
      <c r="E14948" s="130"/>
    </row>
    <row r="14949" spans="1:5" x14ac:dyDescent="0.25">
      <c r="A14949" s="1033"/>
      <c r="E14949" s="130"/>
    </row>
    <row r="14950" spans="1:5" x14ac:dyDescent="0.25">
      <c r="A14950" s="1033"/>
      <c r="E14950" s="130"/>
    </row>
    <row r="14951" spans="1:5" x14ac:dyDescent="0.25">
      <c r="A14951" s="1033"/>
      <c r="E14951" s="130"/>
    </row>
    <row r="14952" spans="1:5" x14ac:dyDescent="0.25">
      <c r="A14952" s="1033"/>
      <c r="E14952" s="130"/>
    </row>
    <row r="14953" spans="1:5" x14ac:dyDescent="0.25">
      <c r="A14953" s="1033"/>
      <c r="E14953" s="130"/>
    </row>
    <row r="14954" spans="1:5" x14ac:dyDescent="0.25">
      <c r="A14954" s="1033"/>
      <c r="E14954" s="130"/>
    </row>
    <row r="14955" spans="1:5" x14ac:dyDescent="0.25">
      <c r="A14955" s="1033"/>
      <c r="E14955" s="130"/>
    </row>
    <row r="14956" spans="1:5" x14ac:dyDescent="0.25">
      <c r="A14956" s="1033"/>
      <c r="E14956" s="130"/>
    </row>
    <row r="14957" spans="1:5" x14ac:dyDescent="0.25">
      <c r="A14957" s="1033"/>
      <c r="E14957" s="130"/>
    </row>
    <row r="14958" spans="1:5" x14ac:dyDescent="0.25">
      <c r="A14958" s="1033"/>
      <c r="E14958" s="130"/>
    </row>
    <row r="14959" spans="1:5" x14ac:dyDescent="0.25">
      <c r="A14959" s="1033"/>
      <c r="E14959" s="130"/>
    </row>
    <row r="14960" spans="1:5" x14ac:dyDescent="0.25">
      <c r="A14960" s="1033"/>
      <c r="E14960" s="130"/>
    </row>
    <row r="14961" spans="1:5" x14ac:dyDescent="0.25">
      <c r="A14961" s="1033"/>
      <c r="E14961" s="130"/>
    </row>
    <row r="14962" spans="1:5" x14ac:dyDescent="0.25">
      <c r="A14962" s="1033"/>
      <c r="E14962" s="130"/>
    </row>
    <row r="14963" spans="1:5" x14ac:dyDescent="0.25">
      <c r="A14963" s="1033"/>
      <c r="E14963" s="130"/>
    </row>
    <row r="14964" spans="1:5" x14ac:dyDescent="0.25">
      <c r="A14964" s="1033"/>
      <c r="E14964" s="130"/>
    </row>
    <row r="14965" spans="1:5" x14ac:dyDescent="0.25">
      <c r="A14965" s="1033"/>
      <c r="E14965" s="130"/>
    </row>
    <row r="14966" spans="1:5" x14ac:dyDescent="0.25">
      <c r="A14966" s="1033"/>
      <c r="E14966" s="130"/>
    </row>
    <row r="14967" spans="1:5" x14ac:dyDescent="0.25">
      <c r="A14967" s="1033"/>
      <c r="E14967" s="130"/>
    </row>
    <row r="14968" spans="1:5" x14ac:dyDescent="0.25">
      <c r="A14968" s="1033"/>
      <c r="E14968" s="130"/>
    </row>
    <row r="14969" spans="1:5" x14ac:dyDescent="0.25">
      <c r="A14969" s="1033"/>
      <c r="E14969" s="130"/>
    </row>
    <row r="14970" spans="1:5" x14ac:dyDescent="0.25">
      <c r="A14970" s="1033"/>
      <c r="E14970" s="130"/>
    </row>
    <row r="14971" spans="1:5" x14ac:dyDescent="0.25">
      <c r="A14971" s="1033"/>
      <c r="E14971" s="130"/>
    </row>
    <row r="14972" spans="1:5" x14ac:dyDescent="0.25">
      <c r="A14972" s="1033"/>
      <c r="E14972" s="130"/>
    </row>
    <row r="14973" spans="1:5" x14ac:dyDescent="0.25">
      <c r="A14973" s="1033"/>
      <c r="E14973" s="130"/>
    </row>
    <row r="14974" spans="1:5" x14ac:dyDescent="0.25">
      <c r="A14974" s="1033"/>
      <c r="E14974" s="130"/>
    </row>
    <row r="14975" spans="1:5" x14ac:dyDescent="0.25">
      <c r="A14975" s="1033"/>
      <c r="E14975" s="130"/>
    </row>
    <row r="14976" spans="1:5" x14ac:dyDescent="0.25">
      <c r="A14976" s="1033"/>
      <c r="E14976" s="130"/>
    </row>
    <row r="14977" spans="1:5" x14ac:dyDescent="0.25">
      <c r="A14977" s="1033"/>
      <c r="E14977" s="130"/>
    </row>
    <row r="14978" spans="1:5" x14ac:dyDescent="0.25">
      <c r="A14978" s="1033"/>
      <c r="E14978" s="130"/>
    </row>
    <row r="14979" spans="1:5" x14ac:dyDescent="0.25">
      <c r="A14979" s="1033"/>
      <c r="E14979" s="130"/>
    </row>
    <row r="14980" spans="1:5" x14ac:dyDescent="0.25">
      <c r="A14980" s="1033"/>
      <c r="E14980" s="130"/>
    </row>
    <row r="14981" spans="1:5" x14ac:dyDescent="0.25">
      <c r="A14981" s="1033"/>
      <c r="E14981" s="130"/>
    </row>
    <row r="14982" spans="1:5" x14ac:dyDescent="0.25">
      <c r="A14982" s="1033"/>
      <c r="E14982" s="130"/>
    </row>
    <row r="14983" spans="1:5" x14ac:dyDescent="0.25">
      <c r="A14983" s="1033"/>
      <c r="E14983" s="130"/>
    </row>
    <row r="14984" spans="1:5" x14ac:dyDescent="0.25">
      <c r="A14984" s="1033"/>
      <c r="E14984" s="130"/>
    </row>
    <row r="14985" spans="1:5" x14ac:dyDescent="0.25">
      <c r="A14985" s="1033"/>
      <c r="E14985" s="130"/>
    </row>
    <row r="14986" spans="1:5" x14ac:dyDescent="0.25">
      <c r="A14986" s="1033"/>
      <c r="E14986" s="130"/>
    </row>
    <row r="14987" spans="1:5" x14ac:dyDescent="0.25">
      <c r="A14987" s="1033"/>
      <c r="E14987" s="130"/>
    </row>
    <row r="14988" spans="1:5" x14ac:dyDescent="0.25">
      <c r="A14988" s="1033"/>
      <c r="E14988" s="130"/>
    </row>
    <row r="14989" spans="1:5" x14ac:dyDescent="0.25">
      <c r="A14989" s="1033"/>
      <c r="E14989" s="130"/>
    </row>
    <row r="14990" spans="1:5" x14ac:dyDescent="0.25">
      <c r="A14990" s="1033"/>
      <c r="E14990" s="130"/>
    </row>
    <row r="14991" spans="1:5" x14ac:dyDescent="0.25">
      <c r="A14991" s="1033"/>
      <c r="E14991" s="130"/>
    </row>
    <row r="14992" spans="1:5" x14ac:dyDescent="0.25">
      <c r="A14992" s="1033"/>
      <c r="E14992" s="130"/>
    </row>
    <row r="14993" spans="1:5" x14ac:dyDescent="0.25">
      <c r="A14993" s="1033"/>
      <c r="E14993" s="130"/>
    </row>
    <row r="14994" spans="1:5" x14ac:dyDescent="0.25">
      <c r="A14994" s="1033"/>
      <c r="E14994" s="130"/>
    </row>
    <row r="14995" spans="1:5" x14ac:dyDescent="0.25">
      <c r="A14995" s="1033"/>
      <c r="E14995" s="130"/>
    </row>
    <row r="14996" spans="1:5" x14ac:dyDescent="0.25">
      <c r="A14996" s="1033"/>
      <c r="E14996" s="130"/>
    </row>
    <row r="14997" spans="1:5" x14ac:dyDescent="0.25">
      <c r="A14997" s="1033"/>
      <c r="E14997" s="130"/>
    </row>
    <row r="14998" spans="1:5" x14ac:dyDescent="0.25">
      <c r="A14998" s="1033"/>
      <c r="E14998" s="130"/>
    </row>
    <row r="14999" spans="1:5" x14ac:dyDescent="0.25">
      <c r="A14999" s="1033"/>
      <c r="E14999" s="130"/>
    </row>
    <row r="15000" spans="1:5" x14ac:dyDescent="0.25">
      <c r="A15000" s="1033"/>
      <c r="E15000" s="130"/>
    </row>
    <row r="15001" spans="1:5" x14ac:dyDescent="0.25">
      <c r="A15001" s="1033"/>
      <c r="E15001" s="130"/>
    </row>
    <row r="15002" spans="1:5" x14ac:dyDescent="0.25">
      <c r="A15002" s="1033"/>
      <c r="E15002" s="130"/>
    </row>
    <row r="15003" spans="1:5" x14ac:dyDescent="0.25">
      <c r="A15003" s="1033"/>
      <c r="E15003" s="130"/>
    </row>
    <row r="15004" spans="1:5" x14ac:dyDescent="0.25">
      <c r="A15004" s="1033"/>
      <c r="E15004" s="130"/>
    </row>
    <row r="15005" spans="1:5" x14ac:dyDescent="0.25">
      <c r="A15005" s="1033"/>
      <c r="E15005" s="130"/>
    </row>
    <row r="15006" spans="1:5" x14ac:dyDescent="0.25">
      <c r="A15006" s="1033"/>
      <c r="E15006" s="130"/>
    </row>
    <row r="15007" spans="1:5" x14ac:dyDescent="0.25">
      <c r="A15007" s="1033"/>
      <c r="E15007" s="130"/>
    </row>
    <row r="15008" spans="1:5" x14ac:dyDescent="0.25">
      <c r="A15008" s="1033"/>
      <c r="E15008" s="130"/>
    </row>
    <row r="15009" spans="1:5" x14ac:dyDescent="0.25">
      <c r="A15009" s="1033"/>
      <c r="E15009" s="130"/>
    </row>
    <row r="15010" spans="1:5" x14ac:dyDescent="0.25">
      <c r="A15010" s="1033"/>
      <c r="E15010" s="130"/>
    </row>
    <row r="15011" spans="1:5" x14ac:dyDescent="0.25">
      <c r="A15011" s="1033"/>
      <c r="E15011" s="130"/>
    </row>
    <row r="15012" spans="1:5" x14ac:dyDescent="0.25">
      <c r="A15012" s="1033"/>
      <c r="E15012" s="130"/>
    </row>
    <row r="15013" spans="1:5" x14ac:dyDescent="0.25">
      <c r="A15013" s="1033"/>
      <c r="E15013" s="130"/>
    </row>
    <row r="15014" spans="1:5" x14ac:dyDescent="0.25">
      <c r="A15014" s="1033"/>
      <c r="E15014" s="130"/>
    </row>
    <row r="15015" spans="1:5" x14ac:dyDescent="0.25">
      <c r="A15015" s="1033"/>
      <c r="E15015" s="130"/>
    </row>
    <row r="15016" spans="1:5" x14ac:dyDescent="0.25">
      <c r="A15016" s="1033"/>
      <c r="E15016" s="130"/>
    </row>
    <row r="15017" spans="1:5" x14ac:dyDescent="0.25">
      <c r="A15017" s="1033"/>
      <c r="E15017" s="130"/>
    </row>
    <row r="15018" spans="1:5" x14ac:dyDescent="0.25">
      <c r="A15018" s="1033"/>
      <c r="E15018" s="130"/>
    </row>
    <row r="15019" spans="1:5" x14ac:dyDescent="0.25">
      <c r="A15019" s="1033"/>
      <c r="E15019" s="130"/>
    </row>
    <row r="15020" spans="1:5" x14ac:dyDescent="0.25">
      <c r="A15020" s="1033"/>
      <c r="E15020" s="130"/>
    </row>
    <row r="15021" spans="1:5" x14ac:dyDescent="0.25">
      <c r="A15021" s="1033"/>
      <c r="E15021" s="130"/>
    </row>
    <row r="15022" spans="1:5" x14ac:dyDescent="0.25">
      <c r="A15022" s="1033"/>
      <c r="E15022" s="130"/>
    </row>
    <row r="15023" spans="1:5" x14ac:dyDescent="0.25">
      <c r="A15023" s="1033"/>
      <c r="E15023" s="130"/>
    </row>
    <row r="15024" spans="1:5" x14ac:dyDescent="0.25">
      <c r="A15024" s="1033"/>
      <c r="E15024" s="130"/>
    </row>
    <row r="15025" spans="1:5" x14ac:dyDescent="0.25">
      <c r="A15025" s="1033"/>
      <c r="E15025" s="130"/>
    </row>
    <row r="15026" spans="1:5" x14ac:dyDescent="0.25">
      <c r="A15026" s="1033"/>
      <c r="E15026" s="130"/>
    </row>
    <row r="15027" spans="1:5" x14ac:dyDescent="0.25">
      <c r="A15027" s="1033"/>
      <c r="E15027" s="130"/>
    </row>
    <row r="15028" spans="1:5" x14ac:dyDescent="0.25">
      <c r="A15028" s="1033"/>
      <c r="E15028" s="130"/>
    </row>
    <row r="15029" spans="1:5" x14ac:dyDescent="0.25">
      <c r="A15029" s="1033"/>
      <c r="E15029" s="130"/>
    </row>
    <row r="15030" spans="1:5" x14ac:dyDescent="0.25">
      <c r="A15030" s="1033"/>
      <c r="E15030" s="130"/>
    </row>
    <row r="15031" spans="1:5" x14ac:dyDescent="0.25">
      <c r="A15031" s="1033"/>
      <c r="E15031" s="130"/>
    </row>
    <row r="15032" spans="1:5" x14ac:dyDescent="0.25">
      <c r="A15032" s="1033"/>
      <c r="E15032" s="130"/>
    </row>
    <row r="15033" spans="1:5" x14ac:dyDescent="0.25">
      <c r="A15033" s="1033"/>
      <c r="E15033" s="130"/>
    </row>
    <row r="15034" spans="1:5" x14ac:dyDescent="0.25">
      <c r="A15034" s="1033"/>
      <c r="E15034" s="130"/>
    </row>
    <row r="15035" spans="1:5" x14ac:dyDescent="0.25">
      <c r="A15035" s="1033"/>
      <c r="E15035" s="130"/>
    </row>
    <row r="15036" spans="1:5" x14ac:dyDescent="0.25">
      <c r="A15036" s="1033"/>
      <c r="E15036" s="130"/>
    </row>
    <row r="15037" spans="1:5" x14ac:dyDescent="0.25">
      <c r="A15037" s="1033"/>
      <c r="E15037" s="130"/>
    </row>
    <row r="15038" spans="1:5" x14ac:dyDescent="0.25">
      <c r="A15038" s="1033"/>
      <c r="E15038" s="130"/>
    </row>
    <row r="15039" spans="1:5" x14ac:dyDescent="0.25">
      <c r="A15039" s="1033"/>
      <c r="E15039" s="130"/>
    </row>
    <row r="15040" spans="1:5" x14ac:dyDescent="0.25">
      <c r="A15040" s="1033"/>
      <c r="E15040" s="130"/>
    </row>
    <row r="15041" spans="1:5" x14ac:dyDescent="0.25">
      <c r="A15041" s="1033"/>
      <c r="E15041" s="130"/>
    </row>
    <row r="15042" spans="1:5" x14ac:dyDescent="0.25">
      <c r="A15042" s="1033"/>
      <c r="E15042" s="130"/>
    </row>
    <row r="15043" spans="1:5" x14ac:dyDescent="0.25">
      <c r="A15043" s="1033"/>
      <c r="E15043" s="130"/>
    </row>
    <row r="15044" spans="1:5" x14ac:dyDescent="0.25">
      <c r="A15044" s="1033"/>
      <c r="E15044" s="130"/>
    </row>
    <row r="15045" spans="1:5" x14ac:dyDescent="0.25">
      <c r="A15045" s="1033"/>
      <c r="E15045" s="130"/>
    </row>
    <row r="15046" spans="1:5" x14ac:dyDescent="0.25">
      <c r="A15046" s="1033"/>
      <c r="E15046" s="130"/>
    </row>
    <row r="15047" spans="1:5" x14ac:dyDescent="0.25">
      <c r="A15047" s="1033"/>
      <c r="E15047" s="130"/>
    </row>
    <row r="15048" spans="1:5" x14ac:dyDescent="0.25">
      <c r="A15048" s="1033"/>
      <c r="E15048" s="130"/>
    </row>
    <row r="15049" spans="1:5" x14ac:dyDescent="0.25">
      <c r="A15049" s="1033"/>
      <c r="E15049" s="130"/>
    </row>
    <row r="15050" spans="1:5" x14ac:dyDescent="0.25">
      <c r="A15050" s="1033"/>
      <c r="E15050" s="130"/>
    </row>
    <row r="15051" spans="1:5" x14ac:dyDescent="0.25">
      <c r="A15051" s="1033"/>
      <c r="E15051" s="130"/>
    </row>
    <row r="15052" spans="1:5" x14ac:dyDescent="0.25">
      <c r="A15052" s="1033"/>
      <c r="E15052" s="130"/>
    </row>
    <row r="15053" spans="1:5" x14ac:dyDescent="0.25">
      <c r="A15053" s="1033"/>
      <c r="E15053" s="130"/>
    </row>
    <row r="15054" spans="1:5" x14ac:dyDescent="0.25">
      <c r="A15054" s="1033"/>
      <c r="E15054" s="130"/>
    </row>
    <row r="15055" spans="1:5" x14ac:dyDescent="0.25">
      <c r="A15055" s="1033"/>
      <c r="E15055" s="130"/>
    </row>
    <row r="15056" spans="1:5" x14ac:dyDescent="0.25">
      <c r="A15056" s="1033"/>
      <c r="E15056" s="130"/>
    </row>
    <row r="15057" spans="1:5" x14ac:dyDescent="0.25">
      <c r="A15057" s="1033"/>
      <c r="E15057" s="130"/>
    </row>
    <row r="15058" spans="1:5" x14ac:dyDescent="0.25">
      <c r="A15058" s="1033"/>
      <c r="E15058" s="130"/>
    </row>
    <row r="15059" spans="1:5" x14ac:dyDescent="0.25">
      <c r="A15059" s="1033"/>
      <c r="E15059" s="130"/>
    </row>
    <row r="15060" spans="1:5" x14ac:dyDescent="0.25">
      <c r="A15060" s="1033"/>
      <c r="E15060" s="130"/>
    </row>
    <row r="15061" spans="1:5" x14ac:dyDescent="0.25">
      <c r="A15061" s="1033"/>
      <c r="E15061" s="130"/>
    </row>
    <row r="15062" spans="1:5" x14ac:dyDescent="0.25">
      <c r="A15062" s="1033"/>
      <c r="E15062" s="130"/>
    </row>
    <row r="15063" spans="1:5" x14ac:dyDescent="0.25">
      <c r="A15063" s="1033"/>
      <c r="E15063" s="130"/>
    </row>
    <row r="15064" spans="1:5" x14ac:dyDescent="0.25">
      <c r="A15064" s="1033"/>
      <c r="E15064" s="130"/>
    </row>
    <row r="15065" spans="1:5" x14ac:dyDescent="0.25">
      <c r="A15065" s="1033"/>
      <c r="E15065" s="130"/>
    </row>
    <row r="15066" spans="1:5" x14ac:dyDescent="0.25">
      <c r="A15066" s="1033"/>
      <c r="E15066" s="130"/>
    </row>
    <row r="15067" spans="1:5" x14ac:dyDescent="0.25">
      <c r="A15067" s="1033"/>
      <c r="E15067" s="130"/>
    </row>
    <row r="15068" spans="1:5" x14ac:dyDescent="0.25">
      <c r="A15068" s="1033"/>
      <c r="E15068" s="130"/>
    </row>
    <row r="15069" spans="1:5" x14ac:dyDescent="0.25">
      <c r="A15069" s="1033"/>
      <c r="E15069" s="130"/>
    </row>
    <row r="15070" spans="1:5" x14ac:dyDescent="0.25">
      <c r="A15070" s="1033"/>
      <c r="E15070" s="130"/>
    </row>
    <row r="15071" spans="1:5" x14ac:dyDescent="0.25">
      <c r="A15071" s="1033"/>
      <c r="E15071" s="130"/>
    </row>
    <row r="15072" spans="1:5" x14ac:dyDescent="0.25">
      <c r="A15072" s="1033"/>
      <c r="E15072" s="130"/>
    </row>
    <row r="15073" spans="1:5" x14ac:dyDescent="0.25">
      <c r="A15073" s="1033"/>
      <c r="E15073" s="130"/>
    </row>
    <row r="15074" spans="1:5" x14ac:dyDescent="0.25">
      <c r="A15074" s="1033"/>
      <c r="E15074" s="130"/>
    </row>
    <row r="15075" spans="1:5" x14ac:dyDescent="0.25">
      <c r="A15075" s="1033"/>
      <c r="E15075" s="130"/>
    </row>
    <row r="15076" spans="1:5" x14ac:dyDescent="0.25">
      <c r="A15076" s="1033"/>
      <c r="E15076" s="130"/>
    </row>
    <row r="15077" spans="1:5" x14ac:dyDescent="0.25">
      <c r="A15077" s="1033"/>
      <c r="E15077" s="130"/>
    </row>
    <row r="15078" spans="1:5" x14ac:dyDescent="0.25">
      <c r="A15078" s="1033"/>
      <c r="E15078" s="130"/>
    </row>
    <row r="15079" spans="1:5" x14ac:dyDescent="0.25">
      <c r="A15079" s="1033"/>
      <c r="E15079" s="130"/>
    </row>
    <row r="15080" spans="1:5" x14ac:dyDescent="0.25">
      <c r="A15080" s="1033"/>
      <c r="E15080" s="130"/>
    </row>
    <row r="15081" spans="1:5" x14ac:dyDescent="0.25">
      <c r="A15081" s="1033"/>
      <c r="E15081" s="130"/>
    </row>
    <row r="15082" spans="1:5" x14ac:dyDescent="0.25">
      <c r="A15082" s="1033"/>
      <c r="E15082" s="130"/>
    </row>
    <row r="15083" spans="1:5" x14ac:dyDescent="0.25">
      <c r="A15083" s="1033"/>
      <c r="E15083" s="130"/>
    </row>
    <row r="15084" spans="1:5" x14ac:dyDescent="0.25">
      <c r="A15084" s="1033"/>
      <c r="E15084" s="130"/>
    </row>
    <row r="15085" spans="1:5" x14ac:dyDescent="0.25">
      <c r="A15085" s="1033"/>
      <c r="E15085" s="130"/>
    </row>
    <row r="15086" spans="1:5" x14ac:dyDescent="0.25">
      <c r="A15086" s="1033"/>
      <c r="E15086" s="130"/>
    </row>
    <row r="15087" spans="1:5" x14ac:dyDescent="0.25">
      <c r="A15087" s="1033"/>
      <c r="E15087" s="130"/>
    </row>
    <row r="15088" spans="1:5" x14ac:dyDescent="0.25">
      <c r="A15088" s="1033"/>
      <c r="E15088" s="130"/>
    </row>
    <row r="15089" spans="1:5" x14ac:dyDescent="0.25">
      <c r="A15089" s="1033"/>
      <c r="E15089" s="130"/>
    </row>
    <row r="15090" spans="1:5" x14ac:dyDescent="0.25">
      <c r="A15090" s="1033"/>
      <c r="E15090" s="130"/>
    </row>
    <row r="15091" spans="1:5" x14ac:dyDescent="0.25">
      <c r="A15091" s="1033"/>
      <c r="E15091" s="130"/>
    </row>
    <row r="15092" spans="1:5" x14ac:dyDescent="0.25">
      <c r="A15092" s="1033"/>
      <c r="E15092" s="130"/>
    </row>
    <row r="15093" spans="1:5" x14ac:dyDescent="0.25">
      <c r="A15093" s="1033"/>
      <c r="E15093" s="130"/>
    </row>
    <row r="15094" spans="1:5" x14ac:dyDescent="0.25">
      <c r="A15094" s="1033"/>
      <c r="E15094" s="130"/>
    </row>
    <row r="15095" spans="1:5" x14ac:dyDescent="0.25">
      <c r="A15095" s="1033"/>
      <c r="E15095" s="130"/>
    </row>
    <row r="15096" spans="1:5" x14ac:dyDescent="0.25">
      <c r="A15096" s="1033"/>
      <c r="E15096" s="130"/>
    </row>
    <row r="15097" spans="1:5" x14ac:dyDescent="0.25">
      <c r="A15097" s="1033"/>
      <c r="E15097" s="130"/>
    </row>
    <row r="15098" spans="1:5" x14ac:dyDescent="0.25">
      <c r="A15098" s="1033"/>
      <c r="E15098" s="130"/>
    </row>
    <row r="15099" spans="1:5" x14ac:dyDescent="0.25">
      <c r="A15099" s="1033"/>
      <c r="E15099" s="130"/>
    </row>
    <row r="15100" spans="1:5" x14ac:dyDescent="0.25">
      <c r="A15100" s="1033"/>
      <c r="E15100" s="130"/>
    </row>
    <row r="15101" spans="1:5" x14ac:dyDescent="0.25">
      <c r="A15101" s="1033"/>
      <c r="E15101" s="130"/>
    </row>
    <row r="15102" spans="1:5" x14ac:dyDescent="0.25">
      <c r="A15102" s="1033"/>
      <c r="E15102" s="130"/>
    </row>
    <row r="15103" spans="1:5" x14ac:dyDescent="0.25">
      <c r="A15103" s="1033"/>
      <c r="E15103" s="130"/>
    </row>
    <row r="15104" spans="1:5" x14ac:dyDescent="0.25">
      <c r="A15104" s="1033"/>
      <c r="E15104" s="130"/>
    </row>
    <row r="15105" spans="1:5" x14ac:dyDescent="0.25">
      <c r="A15105" s="1033"/>
      <c r="E15105" s="130"/>
    </row>
    <row r="15106" spans="1:5" x14ac:dyDescent="0.25">
      <c r="A15106" s="1033"/>
      <c r="E15106" s="130"/>
    </row>
    <row r="15107" spans="1:5" x14ac:dyDescent="0.25">
      <c r="A15107" s="1033"/>
      <c r="E15107" s="130"/>
    </row>
    <row r="15108" spans="1:5" x14ac:dyDescent="0.25">
      <c r="A15108" s="1033"/>
      <c r="E15108" s="130"/>
    </row>
    <row r="15109" spans="1:5" x14ac:dyDescent="0.25">
      <c r="A15109" s="1033"/>
      <c r="E15109" s="130"/>
    </row>
    <row r="15110" spans="1:5" x14ac:dyDescent="0.25">
      <c r="A15110" s="1033"/>
      <c r="E15110" s="130"/>
    </row>
    <row r="15111" spans="1:5" x14ac:dyDescent="0.25">
      <c r="A15111" s="1033"/>
      <c r="E15111" s="130"/>
    </row>
    <row r="15112" spans="1:5" x14ac:dyDescent="0.25">
      <c r="A15112" s="1033"/>
      <c r="E15112" s="130"/>
    </row>
    <row r="15113" spans="1:5" x14ac:dyDescent="0.25">
      <c r="A15113" s="1033"/>
      <c r="E15113" s="130"/>
    </row>
    <row r="15114" spans="1:5" x14ac:dyDescent="0.25">
      <c r="A15114" s="1033"/>
      <c r="E15114" s="130"/>
    </row>
    <row r="15115" spans="1:5" x14ac:dyDescent="0.25">
      <c r="A15115" s="1033"/>
      <c r="E15115" s="130"/>
    </row>
    <row r="15116" spans="1:5" x14ac:dyDescent="0.25">
      <c r="A15116" s="1033"/>
      <c r="E15116" s="130"/>
    </row>
    <row r="15117" spans="1:5" x14ac:dyDescent="0.25">
      <c r="A15117" s="1033"/>
      <c r="E15117" s="130"/>
    </row>
    <row r="15118" spans="1:5" x14ac:dyDescent="0.25">
      <c r="A15118" s="1033"/>
      <c r="E15118" s="130"/>
    </row>
    <row r="15119" spans="1:5" x14ac:dyDescent="0.25">
      <c r="A15119" s="1033"/>
      <c r="E15119" s="130"/>
    </row>
    <row r="15120" spans="1:5" x14ac:dyDescent="0.25">
      <c r="A15120" s="1033"/>
      <c r="E15120" s="130"/>
    </row>
    <row r="15121" spans="1:5" x14ac:dyDescent="0.25">
      <c r="A15121" s="1033"/>
      <c r="E15121" s="130"/>
    </row>
    <row r="15122" spans="1:5" x14ac:dyDescent="0.25">
      <c r="A15122" s="1033"/>
      <c r="E15122" s="130"/>
    </row>
    <row r="15123" spans="1:5" x14ac:dyDescent="0.25">
      <c r="A15123" s="1033"/>
      <c r="E15123" s="130"/>
    </row>
    <row r="15124" spans="1:5" x14ac:dyDescent="0.25">
      <c r="A15124" s="1033"/>
      <c r="E15124" s="130"/>
    </row>
    <row r="15125" spans="1:5" x14ac:dyDescent="0.25">
      <c r="A15125" s="1033"/>
      <c r="E15125" s="130"/>
    </row>
    <row r="15126" spans="1:5" x14ac:dyDescent="0.25">
      <c r="A15126" s="1033"/>
      <c r="E15126" s="130"/>
    </row>
    <row r="15127" spans="1:5" x14ac:dyDescent="0.25">
      <c r="A15127" s="1033"/>
      <c r="E15127" s="130"/>
    </row>
    <row r="15128" spans="1:5" x14ac:dyDescent="0.25">
      <c r="A15128" s="1033"/>
      <c r="E15128" s="130"/>
    </row>
    <row r="15129" spans="1:5" x14ac:dyDescent="0.25">
      <c r="A15129" s="1033"/>
      <c r="E15129" s="130"/>
    </row>
    <row r="15130" spans="1:5" x14ac:dyDescent="0.25">
      <c r="A15130" s="1033"/>
      <c r="E15130" s="130"/>
    </row>
    <row r="15131" spans="1:5" x14ac:dyDescent="0.25">
      <c r="A15131" s="1033"/>
      <c r="E15131" s="130"/>
    </row>
    <row r="15132" spans="1:5" x14ac:dyDescent="0.25">
      <c r="A15132" s="1033"/>
      <c r="E15132" s="130"/>
    </row>
    <row r="15133" spans="1:5" x14ac:dyDescent="0.25">
      <c r="A15133" s="1033"/>
      <c r="E15133" s="130"/>
    </row>
    <row r="15134" spans="1:5" x14ac:dyDescent="0.25">
      <c r="A15134" s="1033"/>
      <c r="E15134" s="130"/>
    </row>
    <row r="15135" spans="1:5" x14ac:dyDescent="0.25">
      <c r="A15135" s="1033"/>
      <c r="E15135" s="130"/>
    </row>
    <row r="15136" spans="1:5" x14ac:dyDescent="0.25">
      <c r="A15136" s="1033"/>
      <c r="E15136" s="130"/>
    </row>
    <row r="15137" spans="1:5" x14ac:dyDescent="0.25">
      <c r="A15137" s="1033"/>
      <c r="E15137" s="130"/>
    </row>
    <row r="15138" spans="1:5" x14ac:dyDescent="0.25">
      <c r="A15138" s="1033"/>
      <c r="E15138" s="130"/>
    </row>
    <row r="15139" spans="1:5" x14ac:dyDescent="0.25">
      <c r="A15139" s="1033"/>
      <c r="E15139" s="130"/>
    </row>
    <row r="15140" spans="1:5" x14ac:dyDescent="0.25">
      <c r="A15140" s="1033"/>
      <c r="E15140" s="130"/>
    </row>
    <row r="15141" spans="1:5" x14ac:dyDescent="0.25">
      <c r="A15141" s="1033"/>
      <c r="E15141" s="130"/>
    </row>
    <row r="15142" spans="1:5" x14ac:dyDescent="0.25">
      <c r="A15142" s="1033"/>
      <c r="E15142" s="130"/>
    </row>
    <row r="15143" spans="1:5" x14ac:dyDescent="0.25">
      <c r="A15143" s="1033"/>
      <c r="E15143" s="130"/>
    </row>
    <row r="15144" spans="1:5" x14ac:dyDescent="0.25">
      <c r="A15144" s="1033"/>
      <c r="E15144" s="130"/>
    </row>
    <row r="15145" spans="1:5" x14ac:dyDescent="0.25">
      <c r="A15145" s="1033"/>
      <c r="E15145" s="130"/>
    </row>
    <row r="15146" spans="1:5" x14ac:dyDescent="0.25">
      <c r="A15146" s="1033"/>
      <c r="E15146" s="130"/>
    </row>
    <row r="15147" spans="1:5" x14ac:dyDescent="0.25">
      <c r="A15147" s="1033"/>
      <c r="E15147" s="130"/>
    </row>
    <row r="15148" spans="1:5" x14ac:dyDescent="0.25">
      <c r="A15148" s="1033"/>
      <c r="E15148" s="130"/>
    </row>
    <row r="15149" spans="1:5" x14ac:dyDescent="0.25">
      <c r="A15149" s="1033"/>
      <c r="E15149" s="130"/>
    </row>
    <row r="15150" spans="1:5" x14ac:dyDescent="0.25">
      <c r="A15150" s="1033"/>
      <c r="E15150" s="130"/>
    </row>
    <row r="15151" spans="1:5" x14ac:dyDescent="0.25">
      <c r="A15151" s="1033"/>
      <c r="E15151" s="130"/>
    </row>
    <row r="15152" spans="1:5" x14ac:dyDescent="0.25">
      <c r="A15152" s="1033"/>
      <c r="E15152" s="130"/>
    </row>
    <row r="15153" spans="1:5" x14ac:dyDescent="0.25">
      <c r="A15153" s="1033"/>
      <c r="E15153" s="130"/>
    </row>
    <row r="15154" spans="1:5" x14ac:dyDescent="0.25">
      <c r="A15154" s="1033"/>
      <c r="E15154" s="130"/>
    </row>
    <row r="15155" spans="1:5" x14ac:dyDescent="0.25">
      <c r="A15155" s="1033"/>
      <c r="E15155" s="130"/>
    </row>
    <row r="15156" spans="1:5" x14ac:dyDescent="0.25">
      <c r="A15156" s="1033"/>
      <c r="E15156" s="130"/>
    </row>
    <row r="15157" spans="1:5" x14ac:dyDescent="0.25">
      <c r="A15157" s="1033"/>
      <c r="E15157" s="130"/>
    </row>
    <row r="15158" spans="1:5" x14ac:dyDescent="0.25">
      <c r="A15158" s="1033"/>
      <c r="E15158" s="130"/>
    </row>
    <row r="15159" spans="1:5" x14ac:dyDescent="0.25">
      <c r="A15159" s="1033"/>
      <c r="E15159" s="130"/>
    </row>
    <row r="15160" spans="1:5" x14ac:dyDescent="0.25">
      <c r="A15160" s="1033"/>
      <c r="E15160" s="130"/>
    </row>
    <row r="15161" spans="1:5" x14ac:dyDescent="0.25">
      <c r="A15161" s="1033"/>
      <c r="E15161" s="130"/>
    </row>
    <row r="15162" spans="1:5" x14ac:dyDescent="0.25">
      <c r="A15162" s="1033"/>
      <c r="E15162" s="130"/>
    </row>
    <row r="15163" spans="1:5" x14ac:dyDescent="0.25">
      <c r="A15163" s="1033"/>
      <c r="E15163" s="130"/>
    </row>
    <row r="15164" spans="1:5" x14ac:dyDescent="0.25">
      <c r="A15164" s="1033"/>
      <c r="E15164" s="130"/>
    </row>
    <row r="15165" spans="1:5" x14ac:dyDescent="0.25">
      <c r="A15165" s="1033"/>
      <c r="E15165" s="130"/>
    </row>
    <row r="15166" spans="1:5" x14ac:dyDescent="0.25">
      <c r="A15166" s="1033"/>
      <c r="E15166" s="130"/>
    </row>
    <row r="15167" spans="1:5" x14ac:dyDescent="0.25">
      <c r="A15167" s="1033"/>
      <c r="E15167" s="130"/>
    </row>
    <row r="15168" spans="1:5" x14ac:dyDescent="0.25">
      <c r="A15168" s="1033"/>
      <c r="E15168" s="130"/>
    </row>
    <row r="15169" spans="1:5" x14ac:dyDescent="0.25">
      <c r="A15169" s="1033"/>
      <c r="E15169" s="130"/>
    </row>
    <row r="15170" spans="1:5" x14ac:dyDescent="0.25">
      <c r="A15170" s="1033"/>
      <c r="E15170" s="130"/>
    </row>
    <row r="15171" spans="1:5" x14ac:dyDescent="0.25">
      <c r="A15171" s="1033"/>
      <c r="E15171" s="130"/>
    </row>
    <row r="15172" spans="1:5" x14ac:dyDescent="0.25">
      <c r="A15172" s="1033"/>
      <c r="E15172" s="130"/>
    </row>
    <row r="15173" spans="1:5" x14ac:dyDescent="0.25">
      <c r="A15173" s="1033"/>
      <c r="E15173" s="130"/>
    </row>
    <row r="15174" spans="1:5" x14ac:dyDescent="0.25">
      <c r="A15174" s="1033"/>
      <c r="E15174" s="130"/>
    </row>
    <row r="15175" spans="1:5" x14ac:dyDescent="0.25">
      <c r="A15175" s="1033"/>
      <c r="E15175" s="130"/>
    </row>
    <row r="15176" spans="1:5" x14ac:dyDescent="0.25">
      <c r="A15176" s="1033"/>
      <c r="E15176" s="130"/>
    </row>
    <row r="15177" spans="1:5" x14ac:dyDescent="0.25">
      <c r="A15177" s="1033"/>
      <c r="E15177" s="130"/>
    </row>
    <row r="15178" spans="1:5" x14ac:dyDescent="0.25">
      <c r="A15178" s="1033"/>
      <c r="E15178" s="130"/>
    </row>
    <row r="15179" spans="1:5" x14ac:dyDescent="0.25">
      <c r="A15179" s="1033"/>
      <c r="E15179" s="130"/>
    </row>
    <row r="15180" spans="1:5" x14ac:dyDescent="0.25">
      <c r="A15180" s="1033"/>
      <c r="E15180" s="130"/>
    </row>
    <row r="15181" spans="1:5" x14ac:dyDescent="0.25">
      <c r="A15181" s="1033"/>
      <c r="E15181" s="130"/>
    </row>
    <row r="15182" spans="1:5" x14ac:dyDescent="0.25">
      <c r="A15182" s="1033"/>
      <c r="E15182" s="130"/>
    </row>
    <row r="15183" spans="1:5" x14ac:dyDescent="0.25">
      <c r="A15183" s="1033"/>
      <c r="E15183" s="130"/>
    </row>
    <row r="15184" spans="1:5" x14ac:dyDescent="0.25">
      <c r="A15184" s="1033"/>
      <c r="E15184" s="130"/>
    </row>
    <row r="15185" spans="1:5" x14ac:dyDescent="0.25">
      <c r="A15185" s="1033"/>
      <c r="E15185" s="130"/>
    </row>
    <row r="15186" spans="1:5" x14ac:dyDescent="0.25">
      <c r="A15186" s="1033"/>
      <c r="E15186" s="130"/>
    </row>
    <row r="15187" spans="1:5" x14ac:dyDescent="0.25">
      <c r="A15187" s="1033"/>
      <c r="E15187" s="130"/>
    </row>
    <row r="15188" spans="1:5" x14ac:dyDescent="0.25">
      <c r="A15188" s="1033"/>
      <c r="E15188" s="130"/>
    </row>
    <row r="15189" spans="1:5" x14ac:dyDescent="0.25">
      <c r="A15189" s="1033"/>
      <c r="E15189" s="130"/>
    </row>
    <row r="15190" spans="1:5" x14ac:dyDescent="0.25">
      <c r="A15190" s="1033"/>
      <c r="E15190" s="130"/>
    </row>
    <row r="15191" spans="1:5" x14ac:dyDescent="0.25">
      <c r="A15191" s="1033"/>
      <c r="E15191" s="130"/>
    </row>
    <row r="15192" spans="1:5" x14ac:dyDescent="0.25">
      <c r="A15192" s="1033"/>
      <c r="E15192" s="130"/>
    </row>
    <row r="15193" spans="1:5" x14ac:dyDescent="0.25">
      <c r="A15193" s="1033"/>
      <c r="E15193" s="130"/>
    </row>
    <row r="15194" spans="1:5" x14ac:dyDescent="0.25">
      <c r="A15194" s="1033"/>
      <c r="E15194" s="130"/>
    </row>
    <row r="15195" spans="1:5" x14ac:dyDescent="0.25">
      <c r="A15195" s="1033"/>
      <c r="E15195" s="130"/>
    </row>
    <row r="15196" spans="1:5" x14ac:dyDescent="0.25">
      <c r="A15196" s="1033"/>
      <c r="E15196" s="130"/>
    </row>
    <row r="15197" spans="1:5" x14ac:dyDescent="0.25">
      <c r="A15197" s="1033"/>
      <c r="E15197" s="130"/>
    </row>
    <row r="15198" spans="1:5" x14ac:dyDescent="0.25">
      <c r="A15198" s="1033"/>
      <c r="E15198" s="130"/>
    </row>
    <row r="15199" spans="1:5" x14ac:dyDescent="0.25">
      <c r="A15199" s="1033"/>
      <c r="E15199" s="130"/>
    </row>
    <row r="15200" spans="1:5" x14ac:dyDescent="0.25">
      <c r="A15200" s="1033"/>
      <c r="E15200" s="130"/>
    </row>
    <row r="15201" spans="1:5" x14ac:dyDescent="0.25">
      <c r="A15201" s="1033"/>
      <c r="E15201" s="130"/>
    </row>
    <row r="15202" spans="1:5" x14ac:dyDescent="0.25">
      <c r="A15202" s="1033"/>
      <c r="E15202" s="130"/>
    </row>
    <row r="15203" spans="1:5" x14ac:dyDescent="0.25">
      <c r="A15203" s="1033"/>
      <c r="E15203" s="130"/>
    </row>
    <row r="15204" spans="1:5" x14ac:dyDescent="0.25">
      <c r="A15204" s="1033"/>
      <c r="E15204" s="130"/>
    </row>
    <row r="15205" spans="1:5" x14ac:dyDescent="0.25">
      <c r="A15205" s="1033"/>
      <c r="E15205" s="130"/>
    </row>
    <row r="15206" spans="1:5" x14ac:dyDescent="0.25">
      <c r="A15206" s="1033"/>
      <c r="E15206" s="130"/>
    </row>
    <row r="15207" spans="1:5" x14ac:dyDescent="0.25">
      <c r="A15207" s="1033"/>
      <c r="E15207" s="130"/>
    </row>
    <row r="15208" spans="1:5" x14ac:dyDescent="0.25">
      <c r="A15208" s="1033"/>
      <c r="E15208" s="130"/>
    </row>
    <row r="15209" spans="1:5" x14ac:dyDescent="0.25">
      <c r="A15209" s="1033"/>
      <c r="E15209" s="130"/>
    </row>
    <row r="15210" spans="1:5" x14ac:dyDescent="0.25">
      <c r="A15210" s="1033"/>
      <c r="E15210" s="130"/>
    </row>
    <row r="15211" spans="1:5" x14ac:dyDescent="0.25">
      <c r="A15211" s="1033"/>
      <c r="E15211" s="130"/>
    </row>
    <row r="15212" spans="1:5" x14ac:dyDescent="0.25">
      <c r="A15212" s="1033"/>
      <c r="E15212" s="130"/>
    </row>
    <row r="15213" spans="1:5" x14ac:dyDescent="0.25">
      <c r="A15213" s="1033"/>
      <c r="E15213" s="130"/>
    </row>
    <row r="15214" spans="1:5" x14ac:dyDescent="0.25">
      <c r="A15214" s="1033"/>
      <c r="E15214" s="130"/>
    </row>
    <row r="15215" spans="1:5" x14ac:dyDescent="0.25">
      <c r="A15215" s="1033"/>
      <c r="E15215" s="130"/>
    </row>
    <row r="15216" spans="1:5" x14ac:dyDescent="0.25">
      <c r="A15216" s="1033"/>
      <c r="E15216" s="130"/>
    </row>
    <row r="15217" spans="1:5" x14ac:dyDescent="0.25">
      <c r="A15217" s="1033"/>
      <c r="E15217" s="130"/>
    </row>
    <row r="15218" spans="1:5" x14ac:dyDescent="0.25">
      <c r="A15218" s="1033"/>
      <c r="E15218" s="130"/>
    </row>
    <row r="15219" spans="1:5" x14ac:dyDescent="0.25">
      <c r="A15219" s="1033"/>
      <c r="E15219" s="130"/>
    </row>
    <row r="15220" spans="1:5" x14ac:dyDescent="0.25">
      <c r="A15220" s="1033"/>
      <c r="E15220" s="130"/>
    </row>
    <row r="15221" spans="1:5" x14ac:dyDescent="0.25">
      <c r="A15221" s="1033"/>
      <c r="E15221" s="130"/>
    </row>
    <row r="15222" spans="1:5" x14ac:dyDescent="0.25">
      <c r="A15222" s="1033"/>
      <c r="E15222" s="130"/>
    </row>
    <row r="15223" spans="1:5" x14ac:dyDescent="0.25">
      <c r="A15223" s="1033"/>
      <c r="E15223" s="130"/>
    </row>
    <row r="15224" spans="1:5" x14ac:dyDescent="0.25">
      <c r="A15224" s="1033"/>
      <c r="E15224" s="130"/>
    </row>
    <row r="15225" spans="1:5" x14ac:dyDescent="0.25">
      <c r="A15225" s="1033"/>
      <c r="E15225" s="130"/>
    </row>
    <row r="15226" spans="1:5" x14ac:dyDescent="0.25">
      <c r="A15226" s="1033"/>
      <c r="E15226" s="130"/>
    </row>
    <row r="15227" spans="1:5" x14ac:dyDescent="0.25">
      <c r="A15227" s="1033"/>
      <c r="E15227" s="130"/>
    </row>
    <row r="15228" spans="1:5" x14ac:dyDescent="0.25">
      <c r="A15228" s="1033"/>
      <c r="E15228" s="130"/>
    </row>
    <row r="15229" spans="1:5" x14ac:dyDescent="0.25">
      <c r="A15229" s="1033"/>
      <c r="E15229" s="130"/>
    </row>
    <row r="15230" spans="1:5" x14ac:dyDescent="0.25">
      <c r="A15230" s="1033"/>
      <c r="E15230" s="130"/>
    </row>
    <row r="15231" spans="1:5" x14ac:dyDescent="0.25">
      <c r="A15231" s="1033"/>
      <c r="E15231" s="130"/>
    </row>
    <row r="15232" spans="1:5" x14ac:dyDescent="0.25">
      <c r="A15232" s="1033"/>
      <c r="E15232" s="130"/>
    </row>
    <row r="15233" spans="1:5" x14ac:dyDescent="0.25">
      <c r="A15233" s="1033"/>
      <c r="E15233" s="130"/>
    </row>
    <row r="15234" spans="1:5" x14ac:dyDescent="0.25">
      <c r="A15234" s="1033"/>
      <c r="E15234" s="130"/>
    </row>
    <row r="15235" spans="1:5" x14ac:dyDescent="0.25">
      <c r="A15235" s="1033"/>
      <c r="E15235" s="130"/>
    </row>
    <row r="15236" spans="1:5" x14ac:dyDescent="0.25">
      <c r="A15236" s="1033"/>
      <c r="E15236" s="130"/>
    </row>
    <row r="15237" spans="1:5" x14ac:dyDescent="0.25">
      <c r="A15237" s="1033"/>
      <c r="E15237" s="130"/>
    </row>
    <row r="15238" spans="1:5" x14ac:dyDescent="0.25">
      <c r="A15238" s="1033"/>
      <c r="E15238" s="130"/>
    </row>
    <row r="15239" spans="1:5" x14ac:dyDescent="0.25">
      <c r="A15239" s="1033"/>
      <c r="E15239" s="130"/>
    </row>
    <row r="15240" spans="1:5" x14ac:dyDescent="0.25">
      <c r="A15240" s="1033"/>
      <c r="E15240" s="130"/>
    </row>
    <row r="15241" spans="1:5" x14ac:dyDescent="0.25">
      <c r="A15241" s="1033"/>
      <c r="E15241" s="130"/>
    </row>
    <row r="15242" spans="1:5" x14ac:dyDescent="0.25">
      <c r="A15242" s="1033"/>
      <c r="E15242" s="130"/>
    </row>
    <row r="15243" spans="1:5" x14ac:dyDescent="0.25">
      <c r="A15243" s="1033"/>
      <c r="E15243" s="130"/>
    </row>
    <row r="15244" spans="1:5" x14ac:dyDescent="0.25">
      <c r="A15244" s="1033"/>
      <c r="E15244" s="130"/>
    </row>
    <row r="15245" spans="1:5" x14ac:dyDescent="0.25">
      <c r="A15245" s="1033"/>
      <c r="E15245" s="130"/>
    </row>
    <row r="15246" spans="1:5" x14ac:dyDescent="0.25">
      <c r="A15246" s="1033"/>
      <c r="E15246" s="130"/>
    </row>
    <row r="15247" spans="1:5" x14ac:dyDescent="0.25">
      <c r="A15247" s="1033"/>
      <c r="E15247" s="130"/>
    </row>
    <row r="15248" spans="1:5" x14ac:dyDescent="0.25">
      <c r="A15248" s="1033"/>
      <c r="E15248" s="130"/>
    </row>
    <row r="15249" spans="1:5" x14ac:dyDescent="0.25">
      <c r="A15249" s="1033"/>
      <c r="E15249" s="130"/>
    </row>
    <row r="15250" spans="1:5" x14ac:dyDescent="0.25">
      <c r="A15250" s="1033"/>
      <c r="E15250" s="130"/>
    </row>
    <row r="15251" spans="1:5" x14ac:dyDescent="0.25">
      <c r="A15251" s="1033"/>
      <c r="E15251" s="130"/>
    </row>
    <row r="15252" spans="1:5" x14ac:dyDescent="0.25">
      <c r="A15252" s="1033"/>
      <c r="E15252" s="130"/>
    </row>
    <row r="15253" spans="1:5" x14ac:dyDescent="0.25">
      <c r="A15253" s="1033"/>
      <c r="E15253" s="130"/>
    </row>
    <row r="15254" spans="1:5" x14ac:dyDescent="0.25">
      <c r="A15254" s="1033"/>
      <c r="E15254" s="130"/>
    </row>
    <row r="15255" spans="1:5" x14ac:dyDescent="0.25">
      <c r="A15255" s="1033"/>
      <c r="E15255" s="130"/>
    </row>
    <row r="15256" spans="1:5" x14ac:dyDescent="0.25">
      <c r="A15256" s="1033"/>
      <c r="E15256" s="130"/>
    </row>
    <row r="15257" spans="1:5" x14ac:dyDescent="0.25">
      <c r="A15257" s="1033"/>
      <c r="E15257" s="130"/>
    </row>
    <row r="15258" spans="1:5" x14ac:dyDescent="0.25">
      <c r="A15258" s="1033"/>
      <c r="E15258" s="130"/>
    </row>
    <row r="15259" spans="1:5" x14ac:dyDescent="0.25">
      <c r="A15259" s="1033"/>
      <c r="E15259" s="130"/>
    </row>
    <row r="15260" spans="1:5" x14ac:dyDescent="0.25">
      <c r="A15260" s="1033"/>
      <c r="E15260" s="130"/>
    </row>
    <row r="15261" spans="1:5" x14ac:dyDescent="0.25">
      <c r="A15261" s="1033"/>
      <c r="E15261" s="130"/>
    </row>
    <row r="15262" spans="1:5" x14ac:dyDescent="0.25">
      <c r="A15262" s="1033"/>
      <c r="E15262" s="130"/>
    </row>
    <row r="15263" spans="1:5" x14ac:dyDescent="0.25">
      <c r="A15263" s="1033"/>
      <c r="E15263" s="130"/>
    </row>
    <row r="15264" spans="1:5" x14ac:dyDescent="0.25">
      <c r="A15264" s="1033"/>
      <c r="E15264" s="130"/>
    </row>
    <row r="15265" spans="1:5" x14ac:dyDescent="0.25">
      <c r="A15265" s="1033"/>
      <c r="E15265" s="130"/>
    </row>
    <row r="15266" spans="1:5" x14ac:dyDescent="0.25">
      <c r="A15266" s="1033"/>
      <c r="E15266" s="130"/>
    </row>
    <row r="15267" spans="1:5" x14ac:dyDescent="0.25">
      <c r="A15267" s="1033"/>
      <c r="E15267" s="130"/>
    </row>
    <row r="15268" spans="1:5" x14ac:dyDescent="0.25">
      <c r="A15268" s="1033"/>
      <c r="E15268" s="130"/>
    </row>
    <row r="15269" spans="1:5" x14ac:dyDescent="0.25">
      <c r="A15269" s="1033"/>
      <c r="E15269" s="130"/>
    </row>
    <row r="15270" spans="1:5" x14ac:dyDescent="0.25">
      <c r="A15270" s="1033"/>
      <c r="E15270" s="130"/>
    </row>
    <row r="15271" spans="1:5" x14ac:dyDescent="0.25">
      <c r="A15271" s="1033"/>
      <c r="E15271" s="130"/>
    </row>
    <row r="15272" spans="1:5" x14ac:dyDescent="0.25">
      <c r="A15272" s="1033"/>
      <c r="E15272" s="130"/>
    </row>
    <row r="15273" spans="1:5" x14ac:dyDescent="0.25">
      <c r="A15273" s="1033"/>
      <c r="E15273" s="130"/>
    </row>
    <row r="15274" spans="1:5" x14ac:dyDescent="0.25">
      <c r="A15274" s="1033"/>
      <c r="E15274" s="130"/>
    </row>
    <row r="15275" spans="1:5" x14ac:dyDescent="0.25">
      <c r="A15275" s="1033"/>
      <c r="E15275" s="130"/>
    </row>
    <row r="15276" spans="1:5" x14ac:dyDescent="0.25">
      <c r="A15276" s="1033"/>
      <c r="E15276" s="130"/>
    </row>
    <row r="15277" spans="1:5" x14ac:dyDescent="0.25">
      <c r="A15277" s="1033"/>
      <c r="E15277" s="130"/>
    </row>
    <row r="15278" spans="1:5" x14ac:dyDescent="0.25">
      <c r="A15278" s="1033"/>
      <c r="E15278" s="130"/>
    </row>
    <row r="15279" spans="1:5" x14ac:dyDescent="0.25">
      <c r="A15279" s="1033"/>
      <c r="E15279" s="130"/>
    </row>
    <row r="15280" spans="1:5" x14ac:dyDescent="0.25">
      <c r="A15280" s="1033"/>
      <c r="E15280" s="130"/>
    </row>
    <row r="15281" spans="1:5" x14ac:dyDescent="0.25">
      <c r="A15281" s="1033"/>
      <c r="E15281" s="130"/>
    </row>
    <row r="15282" spans="1:5" x14ac:dyDescent="0.25">
      <c r="A15282" s="1033"/>
      <c r="E15282" s="130"/>
    </row>
    <row r="15283" spans="1:5" x14ac:dyDescent="0.25">
      <c r="A15283" s="1033"/>
      <c r="E15283" s="130"/>
    </row>
    <row r="15284" spans="1:5" x14ac:dyDescent="0.25">
      <c r="A15284" s="1033"/>
      <c r="E15284" s="130"/>
    </row>
    <row r="15285" spans="1:5" x14ac:dyDescent="0.25">
      <c r="A15285" s="1033"/>
      <c r="E15285" s="130"/>
    </row>
    <row r="15286" spans="1:5" x14ac:dyDescent="0.25">
      <c r="A15286" s="1033"/>
      <c r="E15286" s="130"/>
    </row>
    <row r="15287" spans="1:5" x14ac:dyDescent="0.25">
      <c r="A15287" s="1033"/>
      <c r="E15287" s="130"/>
    </row>
    <row r="15288" spans="1:5" x14ac:dyDescent="0.25">
      <c r="A15288" s="1033"/>
      <c r="E15288" s="130"/>
    </row>
    <row r="15289" spans="1:5" x14ac:dyDescent="0.25">
      <c r="A15289" s="1033"/>
      <c r="E15289" s="130"/>
    </row>
    <row r="15290" spans="1:5" x14ac:dyDescent="0.25">
      <c r="A15290" s="1033"/>
      <c r="E15290" s="130"/>
    </row>
    <row r="15291" spans="1:5" x14ac:dyDescent="0.25">
      <c r="A15291" s="1033"/>
      <c r="E15291" s="130"/>
    </row>
    <row r="15292" spans="1:5" x14ac:dyDescent="0.25">
      <c r="A15292" s="1033"/>
      <c r="E15292" s="130"/>
    </row>
    <row r="15293" spans="1:5" x14ac:dyDescent="0.25">
      <c r="A15293" s="1033"/>
      <c r="E15293" s="130"/>
    </row>
    <row r="15294" spans="1:5" x14ac:dyDescent="0.25">
      <c r="A15294" s="1033"/>
      <c r="E15294" s="130"/>
    </row>
    <row r="15295" spans="1:5" x14ac:dyDescent="0.25">
      <c r="A15295" s="1033"/>
      <c r="E15295" s="130"/>
    </row>
    <row r="15296" spans="1:5" x14ac:dyDescent="0.25">
      <c r="A15296" s="1033"/>
      <c r="E15296" s="130"/>
    </row>
    <row r="15297" spans="1:5" x14ac:dyDescent="0.25">
      <c r="A15297" s="1033"/>
      <c r="E15297" s="130"/>
    </row>
    <row r="15298" spans="1:5" x14ac:dyDescent="0.25">
      <c r="A15298" s="1033"/>
      <c r="E15298" s="130"/>
    </row>
    <row r="15299" spans="1:5" x14ac:dyDescent="0.25">
      <c r="A15299" s="1033"/>
      <c r="E15299" s="130"/>
    </row>
    <row r="15300" spans="1:5" x14ac:dyDescent="0.25">
      <c r="A15300" s="1033"/>
      <c r="E15300" s="130"/>
    </row>
    <row r="15301" spans="1:5" x14ac:dyDescent="0.25">
      <c r="A15301" s="1033"/>
      <c r="E15301" s="130"/>
    </row>
    <row r="15302" spans="1:5" x14ac:dyDescent="0.25">
      <c r="A15302" s="1033"/>
      <c r="E15302" s="130"/>
    </row>
    <row r="15303" spans="1:5" x14ac:dyDescent="0.25">
      <c r="A15303" s="1033"/>
      <c r="E15303" s="130"/>
    </row>
    <row r="15304" spans="1:5" x14ac:dyDescent="0.25">
      <c r="A15304" s="1033"/>
      <c r="E15304" s="130"/>
    </row>
    <row r="15305" spans="1:5" x14ac:dyDescent="0.25">
      <c r="A15305" s="1033"/>
      <c r="E15305" s="130"/>
    </row>
    <row r="15306" spans="1:5" x14ac:dyDescent="0.25">
      <c r="A15306" s="1033"/>
      <c r="E15306" s="130"/>
    </row>
    <row r="15307" spans="1:5" x14ac:dyDescent="0.25">
      <c r="A15307" s="1033"/>
      <c r="E15307" s="130"/>
    </row>
    <row r="15308" spans="1:5" x14ac:dyDescent="0.25">
      <c r="A15308" s="1033"/>
      <c r="E15308" s="130"/>
    </row>
    <row r="15309" spans="1:5" x14ac:dyDescent="0.25">
      <c r="A15309" s="1033"/>
      <c r="E15309" s="130"/>
    </row>
    <row r="15310" spans="1:5" x14ac:dyDescent="0.25">
      <c r="A15310" s="1033"/>
      <c r="E15310" s="130"/>
    </row>
    <row r="15311" spans="1:5" x14ac:dyDescent="0.25">
      <c r="A15311" s="1033"/>
      <c r="E15311" s="130"/>
    </row>
    <row r="15312" spans="1:5" x14ac:dyDescent="0.25">
      <c r="A15312" s="1033"/>
      <c r="E15312" s="130"/>
    </row>
    <row r="15313" spans="1:5" x14ac:dyDescent="0.25">
      <c r="A15313" s="1033"/>
      <c r="E15313" s="130"/>
    </row>
    <row r="15314" spans="1:5" x14ac:dyDescent="0.25">
      <c r="A15314" s="1033"/>
      <c r="E15314" s="130"/>
    </row>
    <row r="15315" spans="1:5" x14ac:dyDescent="0.25">
      <c r="A15315" s="1033"/>
      <c r="E15315" s="130"/>
    </row>
    <row r="15316" spans="1:5" x14ac:dyDescent="0.25">
      <c r="A15316" s="1033"/>
      <c r="E15316" s="130"/>
    </row>
    <row r="15317" spans="1:5" x14ac:dyDescent="0.25">
      <c r="A15317" s="1033"/>
      <c r="E15317" s="130"/>
    </row>
    <row r="15318" spans="1:5" x14ac:dyDescent="0.25">
      <c r="A15318" s="1033"/>
      <c r="E15318" s="130"/>
    </row>
    <row r="15319" spans="1:5" x14ac:dyDescent="0.25">
      <c r="A15319" s="1033"/>
      <c r="E15319" s="130"/>
    </row>
    <row r="15320" spans="1:5" x14ac:dyDescent="0.25">
      <c r="A15320" s="1033"/>
      <c r="E15320" s="130"/>
    </row>
    <row r="15321" spans="1:5" x14ac:dyDescent="0.25">
      <c r="A15321" s="1033"/>
      <c r="E15321" s="130"/>
    </row>
    <row r="15322" spans="1:5" x14ac:dyDescent="0.25">
      <c r="A15322" s="1033"/>
      <c r="E15322" s="130"/>
    </row>
    <row r="15323" spans="1:5" x14ac:dyDescent="0.25">
      <c r="A15323" s="1033"/>
      <c r="E15323" s="130"/>
    </row>
    <row r="15324" spans="1:5" x14ac:dyDescent="0.25">
      <c r="A15324" s="1033"/>
      <c r="E15324" s="130"/>
    </row>
    <row r="15325" spans="1:5" x14ac:dyDescent="0.25">
      <c r="A15325" s="1033"/>
      <c r="E15325" s="130"/>
    </row>
    <row r="15326" spans="1:5" x14ac:dyDescent="0.25">
      <c r="A15326" s="1033"/>
      <c r="E15326" s="130"/>
    </row>
    <row r="15327" spans="1:5" x14ac:dyDescent="0.25">
      <c r="A15327" s="1033"/>
      <c r="E15327" s="130"/>
    </row>
    <row r="15328" spans="1:5" x14ac:dyDescent="0.25">
      <c r="A15328" s="1033"/>
      <c r="E15328" s="130"/>
    </row>
    <row r="15329" spans="1:5" x14ac:dyDescent="0.25">
      <c r="A15329" s="1033"/>
      <c r="E15329" s="130"/>
    </row>
    <row r="15330" spans="1:5" x14ac:dyDescent="0.25">
      <c r="A15330" s="1033"/>
      <c r="E15330" s="130"/>
    </row>
    <row r="15331" spans="1:5" x14ac:dyDescent="0.25">
      <c r="A15331" s="1033"/>
      <c r="E15331" s="130"/>
    </row>
    <row r="15332" spans="1:5" x14ac:dyDescent="0.25">
      <c r="A15332" s="1033"/>
      <c r="E15332" s="130"/>
    </row>
    <row r="15333" spans="1:5" x14ac:dyDescent="0.25">
      <c r="A15333" s="1033"/>
      <c r="E15333" s="130"/>
    </row>
    <row r="15334" spans="1:5" x14ac:dyDescent="0.25">
      <c r="A15334" s="1033"/>
      <c r="E15334" s="130"/>
    </row>
    <row r="15335" spans="1:5" x14ac:dyDescent="0.25">
      <c r="A15335" s="1033"/>
      <c r="E15335" s="130"/>
    </row>
    <row r="15336" spans="1:5" x14ac:dyDescent="0.25">
      <c r="A15336" s="1033"/>
      <c r="E15336" s="130"/>
    </row>
    <row r="15337" spans="1:5" x14ac:dyDescent="0.25">
      <c r="A15337" s="1033"/>
      <c r="E15337" s="130"/>
    </row>
    <row r="15338" spans="1:5" x14ac:dyDescent="0.25">
      <c r="A15338" s="1033"/>
      <c r="E15338" s="130"/>
    </row>
    <row r="15339" spans="1:5" x14ac:dyDescent="0.25">
      <c r="A15339" s="1033"/>
      <c r="E15339" s="130"/>
    </row>
    <row r="15340" spans="1:5" x14ac:dyDescent="0.25">
      <c r="A15340" s="1033"/>
      <c r="E15340" s="130"/>
    </row>
    <row r="15341" spans="1:5" x14ac:dyDescent="0.25">
      <c r="A15341" s="1033"/>
      <c r="E15341" s="130"/>
    </row>
    <row r="15342" spans="1:5" x14ac:dyDescent="0.25">
      <c r="A15342" s="1033"/>
      <c r="E15342" s="130"/>
    </row>
    <row r="15343" spans="1:5" x14ac:dyDescent="0.25">
      <c r="A15343" s="1033"/>
      <c r="E15343" s="130"/>
    </row>
    <row r="15344" spans="1:5" x14ac:dyDescent="0.25">
      <c r="A15344" s="1033"/>
      <c r="E15344" s="130"/>
    </row>
    <row r="15345" spans="1:5" x14ac:dyDescent="0.25">
      <c r="A15345" s="1033"/>
      <c r="E15345" s="130"/>
    </row>
    <row r="15346" spans="1:5" x14ac:dyDescent="0.25">
      <c r="A15346" s="1033"/>
      <c r="E15346" s="130"/>
    </row>
    <row r="15347" spans="1:5" x14ac:dyDescent="0.25">
      <c r="A15347" s="1033"/>
      <c r="E15347" s="130"/>
    </row>
    <row r="15348" spans="1:5" x14ac:dyDescent="0.25">
      <c r="A15348" s="1033"/>
      <c r="E15348" s="130"/>
    </row>
    <row r="15349" spans="1:5" x14ac:dyDescent="0.25">
      <c r="A15349" s="1033"/>
      <c r="E15349" s="130"/>
    </row>
    <row r="15350" spans="1:5" x14ac:dyDescent="0.25">
      <c r="A15350" s="1033"/>
      <c r="E15350" s="130"/>
    </row>
    <row r="15351" spans="1:5" x14ac:dyDescent="0.25">
      <c r="A15351" s="1033"/>
      <c r="E15351" s="130"/>
    </row>
    <row r="15352" spans="1:5" x14ac:dyDescent="0.25">
      <c r="A15352" s="1033"/>
      <c r="E15352" s="130"/>
    </row>
    <row r="15353" spans="1:5" x14ac:dyDescent="0.25">
      <c r="A15353" s="1033"/>
      <c r="E15353" s="130"/>
    </row>
    <row r="15354" spans="1:5" x14ac:dyDescent="0.25">
      <c r="A15354" s="1033"/>
      <c r="E15354" s="130"/>
    </row>
    <row r="15355" spans="1:5" x14ac:dyDescent="0.25">
      <c r="A15355" s="1033"/>
      <c r="E15355" s="130"/>
    </row>
    <row r="15356" spans="1:5" x14ac:dyDescent="0.25">
      <c r="A15356" s="1033"/>
      <c r="E15356" s="130"/>
    </row>
    <row r="15357" spans="1:5" x14ac:dyDescent="0.25">
      <c r="A15357" s="1033"/>
      <c r="E15357" s="130"/>
    </row>
    <row r="15358" spans="1:5" x14ac:dyDescent="0.25">
      <c r="A15358" s="1033"/>
      <c r="E15358" s="130"/>
    </row>
    <row r="15359" spans="1:5" x14ac:dyDescent="0.25">
      <c r="A15359" s="1033"/>
      <c r="E15359" s="130"/>
    </row>
    <row r="15360" spans="1:5" x14ac:dyDescent="0.25">
      <c r="A15360" s="1033"/>
      <c r="E15360" s="130"/>
    </row>
    <row r="15361" spans="1:5" x14ac:dyDescent="0.25">
      <c r="A15361" s="1033"/>
      <c r="E15361" s="130"/>
    </row>
    <row r="15362" spans="1:5" x14ac:dyDescent="0.25">
      <c r="A15362" s="1033"/>
      <c r="E15362" s="130"/>
    </row>
    <row r="15363" spans="1:5" x14ac:dyDescent="0.25">
      <c r="A15363" s="1033"/>
      <c r="E15363" s="130"/>
    </row>
    <row r="15364" spans="1:5" x14ac:dyDescent="0.25">
      <c r="A15364" s="1033"/>
      <c r="E15364" s="130"/>
    </row>
    <row r="15365" spans="1:5" x14ac:dyDescent="0.25">
      <c r="A15365" s="1033"/>
      <c r="E15365" s="130"/>
    </row>
    <row r="15366" spans="1:5" x14ac:dyDescent="0.25">
      <c r="A15366" s="1033"/>
      <c r="E15366" s="130"/>
    </row>
    <row r="15367" spans="1:5" x14ac:dyDescent="0.25">
      <c r="A15367" s="1033"/>
      <c r="E15367" s="130"/>
    </row>
    <row r="15368" spans="1:5" x14ac:dyDescent="0.25">
      <c r="A15368" s="1033"/>
      <c r="E15368" s="130"/>
    </row>
    <row r="15369" spans="1:5" x14ac:dyDescent="0.25">
      <c r="A15369" s="1033"/>
      <c r="E15369" s="130"/>
    </row>
    <row r="15370" spans="1:5" x14ac:dyDescent="0.25">
      <c r="A15370" s="1033"/>
      <c r="E15370" s="130"/>
    </row>
    <row r="15371" spans="1:5" x14ac:dyDescent="0.25">
      <c r="A15371" s="1033"/>
      <c r="E15371" s="130"/>
    </row>
    <row r="15372" spans="1:5" x14ac:dyDescent="0.25">
      <c r="A15372" s="1033"/>
      <c r="E15372" s="130"/>
    </row>
    <row r="15373" spans="1:5" x14ac:dyDescent="0.25">
      <c r="A15373" s="1033"/>
      <c r="E15373" s="130"/>
    </row>
    <row r="15374" spans="1:5" x14ac:dyDescent="0.25">
      <c r="A15374" s="1033"/>
      <c r="E15374" s="130"/>
    </row>
    <row r="15375" spans="1:5" x14ac:dyDescent="0.25">
      <c r="A15375" s="1033"/>
      <c r="E15375" s="130"/>
    </row>
    <row r="15376" spans="1:5" x14ac:dyDescent="0.25">
      <c r="A15376" s="1033"/>
      <c r="E15376" s="130"/>
    </row>
    <row r="15377" spans="1:5" x14ac:dyDescent="0.25">
      <c r="A15377" s="1033"/>
      <c r="E15377" s="130"/>
    </row>
    <row r="15378" spans="1:5" x14ac:dyDescent="0.25">
      <c r="A15378" s="1033"/>
      <c r="E15378" s="130"/>
    </row>
    <row r="15379" spans="1:5" x14ac:dyDescent="0.25">
      <c r="A15379" s="1033"/>
      <c r="E15379" s="130"/>
    </row>
    <row r="15380" spans="1:5" x14ac:dyDescent="0.25">
      <c r="A15380" s="1033"/>
      <c r="E15380" s="130"/>
    </row>
    <row r="15381" spans="1:5" x14ac:dyDescent="0.25">
      <c r="A15381" s="1033"/>
      <c r="E15381" s="130"/>
    </row>
    <row r="15382" spans="1:5" x14ac:dyDescent="0.25">
      <c r="A15382" s="1033"/>
      <c r="E15382" s="130"/>
    </row>
    <row r="15383" spans="1:5" x14ac:dyDescent="0.25">
      <c r="A15383" s="1033"/>
      <c r="E15383" s="130"/>
    </row>
    <row r="15384" spans="1:5" x14ac:dyDescent="0.25">
      <c r="A15384" s="1033"/>
      <c r="E15384" s="130"/>
    </row>
    <row r="15385" spans="1:5" x14ac:dyDescent="0.25">
      <c r="A15385" s="1033"/>
      <c r="E15385" s="130"/>
    </row>
    <row r="15386" spans="1:5" x14ac:dyDescent="0.25">
      <c r="A15386" s="1033"/>
      <c r="E15386" s="130"/>
    </row>
    <row r="15387" spans="1:5" x14ac:dyDescent="0.25">
      <c r="A15387" s="1033"/>
      <c r="E15387" s="130"/>
    </row>
    <row r="15388" spans="1:5" x14ac:dyDescent="0.25">
      <c r="A15388" s="1033"/>
      <c r="E15388" s="130"/>
    </row>
    <row r="15389" spans="1:5" x14ac:dyDescent="0.25">
      <c r="A15389" s="1033"/>
      <c r="E15389" s="130"/>
    </row>
    <row r="15390" spans="1:5" x14ac:dyDescent="0.25">
      <c r="A15390" s="1033"/>
      <c r="E15390" s="130"/>
    </row>
    <row r="15391" spans="1:5" x14ac:dyDescent="0.25">
      <c r="A15391" s="1033"/>
      <c r="E15391" s="130"/>
    </row>
    <row r="15392" spans="1:5" x14ac:dyDescent="0.25">
      <c r="A15392" s="1033"/>
      <c r="E15392" s="130"/>
    </row>
    <row r="15393" spans="1:5" x14ac:dyDescent="0.25">
      <c r="A15393" s="1033"/>
      <c r="E15393" s="130"/>
    </row>
    <row r="15394" spans="1:5" x14ac:dyDescent="0.25">
      <c r="A15394" s="1033"/>
      <c r="E15394" s="130"/>
    </row>
    <row r="15395" spans="1:5" x14ac:dyDescent="0.25">
      <c r="A15395" s="1033"/>
      <c r="E15395" s="130"/>
    </row>
    <row r="15396" spans="1:5" x14ac:dyDescent="0.25">
      <c r="A15396" s="1033"/>
      <c r="E15396" s="130"/>
    </row>
    <row r="15397" spans="1:5" x14ac:dyDescent="0.25">
      <c r="A15397" s="1033"/>
      <c r="E15397" s="130"/>
    </row>
    <row r="15398" spans="1:5" x14ac:dyDescent="0.25">
      <c r="A15398" s="1033"/>
      <c r="E15398" s="130"/>
    </row>
    <row r="15399" spans="1:5" x14ac:dyDescent="0.25">
      <c r="A15399" s="1033"/>
      <c r="E15399" s="130"/>
    </row>
    <row r="15400" spans="1:5" x14ac:dyDescent="0.25">
      <c r="A15400" s="1033"/>
      <c r="E15400" s="130"/>
    </row>
    <row r="15401" spans="1:5" x14ac:dyDescent="0.25">
      <c r="A15401" s="1033"/>
      <c r="E15401" s="130"/>
    </row>
    <row r="15402" spans="1:5" x14ac:dyDescent="0.25">
      <c r="A15402" s="1033"/>
      <c r="E15402" s="130"/>
    </row>
    <row r="15403" spans="1:5" x14ac:dyDescent="0.25">
      <c r="A15403" s="1033"/>
      <c r="E15403" s="130"/>
    </row>
    <row r="15404" spans="1:5" x14ac:dyDescent="0.25">
      <c r="A15404" s="1033"/>
      <c r="E15404" s="130"/>
    </row>
    <row r="15405" spans="1:5" x14ac:dyDescent="0.25">
      <c r="A15405" s="1033"/>
      <c r="E15405" s="130"/>
    </row>
    <row r="15406" spans="1:5" x14ac:dyDescent="0.25">
      <c r="A15406" s="1033"/>
      <c r="E15406" s="130"/>
    </row>
    <row r="15407" spans="1:5" x14ac:dyDescent="0.25">
      <c r="A15407" s="1033"/>
      <c r="E15407" s="130"/>
    </row>
    <row r="15408" spans="1:5" x14ac:dyDescent="0.25">
      <c r="A15408" s="1033"/>
      <c r="E15408" s="130"/>
    </row>
    <row r="15409" spans="1:5" x14ac:dyDescent="0.25">
      <c r="A15409" s="1033"/>
      <c r="E15409" s="130"/>
    </row>
    <row r="15410" spans="1:5" x14ac:dyDescent="0.25">
      <c r="A15410" s="1033"/>
      <c r="E15410" s="130"/>
    </row>
    <row r="15411" spans="1:5" x14ac:dyDescent="0.25">
      <c r="A15411" s="1033"/>
      <c r="E15411" s="130"/>
    </row>
    <row r="15412" spans="1:5" x14ac:dyDescent="0.25">
      <c r="A15412" s="1033"/>
      <c r="E15412" s="130"/>
    </row>
    <row r="15413" spans="1:5" x14ac:dyDescent="0.25">
      <c r="A15413" s="1033"/>
      <c r="E15413" s="130"/>
    </row>
    <row r="15414" spans="1:5" x14ac:dyDescent="0.25">
      <c r="A15414" s="1033"/>
      <c r="E15414" s="130"/>
    </row>
    <row r="15415" spans="1:5" x14ac:dyDescent="0.25">
      <c r="A15415" s="1033"/>
      <c r="E15415" s="130"/>
    </row>
    <row r="15416" spans="1:5" x14ac:dyDescent="0.25">
      <c r="A15416" s="1033"/>
      <c r="E15416" s="130"/>
    </row>
    <row r="15417" spans="1:5" x14ac:dyDescent="0.25">
      <c r="A15417" s="1033"/>
      <c r="E15417" s="130"/>
    </row>
    <row r="15418" spans="1:5" x14ac:dyDescent="0.25">
      <c r="A15418" s="1033"/>
      <c r="E15418" s="130"/>
    </row>
    <row r="15419" spans="1:5" x14ac:dyDescent="0.25">
      <c r="A15419" s="1033"/>
      <c r="E15419" s="130"/>
    </row>
    <row r="15420" spans="1:5" x14ac:dyDescent="0.25">
      <c r="A15420" s="1033"/>
      <c r="E15420" s="130"/>
    </row>
    <row r="15421" spans="1:5" x14ac:dyDescent="0.25">
      <c r="A15421" s="1033"/>
      <c r="E15421" s="130"/>
    </row>
    <row r="15422" spans="1:5" x14ac:dyDescent="0.25">
      <c r="A15422" s="1033"/>
      <c r="E15422" s="130"/>
    </row>
    <row r="15423" spans="1:5" x14ac:dyDescent="0.25">
      <c r="A15423" s="1033"/>
      <c r="E15423" s="130"/>
    </row>
    <row r="15424" spans="1:5" x14ac:dyDescent="0.25">
      <c r="A15424" s="1033"/>
      <c r="E15424" s="130"/>
    </row>
    <row r="15425" spans="1:5" x14ac:dyDescent="0.25">
      <c r="A15425" s="1033"/>
      <c r="E15425" s="130"/>
    </row>
    <row r="15426" spans="1:5" x14ac:dyDescent="0.25">
      <c r="A15426" s="1033"/>
      <c r="E15426" s="130"/>
    </row>
    <row r="15427" spans="1:5" x14ac:dyDescent="0.25">
      <c r="A15427" s="1033"/>
      <c r="E15427" s="130"/>
    </row>
    <row r="15428" spans="1:5" x14ac:dyDescent="0.25">
      <c r="A15428" s="1033"/>
      <c r="E15428" s="130"/>
    </row>
    <row r="15429" spans="1:5" x14ac:dyDescent="0.25">
      <c r="A15429" s="1033"/>
      <c r="E15429" s="130"/>
    </row>
    <row r="15430" spans="1:5" x14ac:dyDescent="0.25">
      <c r="A15430" s="1033"/>
      <c r="E15430" s="130"/>
    </row>
    <row r="15431" spans="1:5" x14ac:dyDescent="0.25">
      <c r="A15431" s="1033"/>
      <c r="E15431" s="130"/>
    </row>
    <row r="15432" spans="1:5" x14ac:dyDescent="0.25">
      <c r="A15432" s="1033"/>
      <c r="E15432" s="130"/>
    </row>
    <row r="15433" spans="1:5" x14ac:dyDescent="0.25">
      <c r="A15433" s="1033"/>
      <c r="E15433" s="130"/>
    </row>
    <row r="15434" spans="1:5" x14ac:dyDescent="0.25">
      <c r="A15434" s="1033"/>
      <c r="E15434" s="130"/>
    </row>
    <row r="15435" spans="1:5" x14ac:dyDescent="0.25">
      <c r="A15435" s="1033"/>
      <c r="E15435" s="130"/>
    </row>
    <row r="15436" spans="1:5" x14ac:dyDescent="0.25">
      <c r="A15436" s="1033"/>
      <c r="E15436" s="130"/>
    </row>
    <row r="15437" spans="1:5" x14ac:dyDescent="0.25">
      <c r="A15437" s="1033"/>
      <c r="E15437" s="130"/>
    </row>
    <row r="15438" spans="1:5" x14ac:dyDescent="0.25">
      <c r="A15438" s="1033"/>
      <c r="E15438" s="130"/>
    </row>
    <row r="15439" spans="1:5" x14ac:dyDescent="0.25">
      <c r="A15439" s="1033"/>
      <c r="E15439" s="130"/>
    </row>
    <row r="15440" spans="1:5" x14ac:dyDescent="0.25">
      <c r="A15440" s="1033"/>
      <c r="E15440" s="130"/>
    </row>
    <row r="15441" spans="1:5" x14ac:dyDescent="0.25">
      <c r="A15441" s="1033"/>
      <c r="E15441" s="130"/>
    </row>
    <row r="15442" spans="1:5" x14ac:dyDescent="0.25">
      <c r="A15442" s="1033"/>
      <c r="E15442" s="130"/>
    </row>
    <row r="15443" spans="1:5" x14ac:dyDescent="0.25">
      <c r="A15443" s="1033"/>
      <c r="E15443" s="130"/>
    </row>
    <row r="15444" spans="1:5" x14ac:dyDescent="0.25">
      <c r="A15444" s="1033"/>
      <c r="E15444" s="130"/>
    </row>
    <row r="15445" spans="1:5" x14ac:dyDescent="0.25">
      <c r="A15445" s="1033"/>
      <c r="E15445" s="130"/>
    </row>
    <row r="15446" spans="1:5" x14ac:dyDescent="0.25">
      <c r="A15446" s="1033"/>
      <c r="E15446" s="130"/>
    </row>
    <row r="15447" spans="1:5" x14ac:dyDescent="0.25">
      <c r="A15447" s="1033"/>
      <c r="E15447" s="130"/>
    </row>
    <row r="15448" spans="1:5" x14ac:dyDescent="0.25">
      <c r="A15448" s="1033"/>
      <c r="E15448" s="130"/>
    </row>
    <row r="15449" spans="1:5" x14ac:dyDescent="0.25">
      <c r="A15449" s="1033"/>
      <c r="E15449" s="130"/>
    </row>
    <row r="15450" spans="1:5" x14ac:dyDescent="0.25">
      <c r="A15450" s="1033"/>
      <c r="E15450" s="130"/>
    </row>
    <row r="15451" spans="1:5" x14ac:dyDescent="0.25">
      <c r="A15451" s="1033"/>
      <c r="E15451" s="130"/>
    </row>
    <row r="15452" spans="1:5" x14ac:dyDescent="0.25">
      <c r="A15452" s="1033"/>
      <c r="E15452" s="130"/>
    </row>
    <row r="15453" spans="1:5" x14ac:dyDescent="0.25">
      <c r="A15453" s="1033"/>
      <c r="E15453" s="130"/>
    </row>
    <row r="15454" spans="1:5" x14ac:dyDescent="0.25">
      <c r="A15454" s="1033"/>
      <c r="E15454" s="130"/>
    </row>
    <row r="15455" spans="1:5" x14ac:dyDescent="0.25">
      <c r="A15455" s="1033"/>
      <c r="E15455" s="130"/>
    </row>
    <row r="15456" spans="1:5" x14ac:dyDescent="0.25">
      <c r="A15456" s="1033"/>
      <c r="E15456" s="130"/>
    </row>
    <row r="15457" spans="1:5" x14ac:dyDescent="0.25">
      <c r="A15457" s="1033"/>
      <c r="E15457" s="130"/>
    </row>
    <row r="15458" spans="1:5" x14ac:dyDescent="0.25">
      <c r="A15458" s="1033"/>
      <c r="E15458" s="130"/>
    </row>
    <row r="15459" spans="1:5" x14ac:dyDescent="0.25">
      <c r="A15459" s="1033"/>
      <c r="E15459" s="130"/>
    </row>
    <row r="15460" spans="1:5" x14ac:dyDescent="0.25">
      <c r="A15460" s="1033"/>
      <c r="E15460" s="130"/>
    </row>
    <row r="15461" spans="1:5" x14ac:dyDescent="0.25">
      <c r="A15461" s="1033"/>
      <c r="E15461" s="130"/>
    </row>
    <row r="15462" spans="1:5" x14ac:dyDescent="0.25">
      <c r="A15462" s="1033"/>
      <c r="E15462" s="130"/>
    </row>
    <row r="15463" spans="1:5" x14ac:dyDescent="0.25">
      <c r="A15463" s="1033"/>
      <c r="E15463" s="130"/>
    </row>
    <row r="15464" spans="1:5" x14ac:dyDescent="0.25">
      <c r="A15464" s="1033"/>
      <c r="E15464" s="130"/>
    </row>
    <row r="15465" spans="1:5" x14ac:dyDescent="0.25">
      <c r="A15465" s="1033"/>
      <c r="E15465" s="130"/>
    </row>
    <row r="15466" spans="1:5" x14ac:dyDescent="0.25">
      <c r="A15466" s="1033"/>
      <c r="E15466" s="130"/>
    </row>
    <row r="15467" spans="1:5" x14ac:dyDescent="0.25">
      <c r="A15467" s="1033"/>
      <c r="E15467" s="130"/>
    </row>
    <row r="15468" spans="1:5" x14ac:dyDescent="0.25">
      <c r="A15468" s="1033"/>
      <c r="E15468" s="130"/>
    </row>
    <row r="15469" spans="1:5" x14ac:dyDescent="0.25">
      <c r="A15469" s="1033"/>
      <c r="E15469" s="130"/>
    </row>
    <row r="15470" spans="1:5" x14ac:dyDescent="0.25">
      <c r="A15470" s="1033"/>
      <c r="E15470" s="130"/>
    </row>
    <row r="15471" spans="1:5" x14ac:dyDescent="0.25">
      <c r="A15471" s="1033"/>
      <c r="E15471" s="130"/>
    </row>
    <row r="15472" spans="1:5" x14ac:dyDescent="0.25">
      <c r="A15472" s="1033"/>
      <c r="E15472" s="130"/>
    </row>
    <row r="15473" spans="1:5" x14ac:dyDescent="0.25">
      <c r="A15473" s="1033"/>
      <c r="E15473" s="130"/>
    </row>
    <row r="15474" spans="1:5" x14ac:dyDescent="0.25">
      <c r="A15474" s="1033"/>
      <c r="E15474" s="130"/>
    </row>
    <row r="15475" spans="1:5" x14ac:dyDescent="0.25">
      <c r="A15475" s="1033"/>
      <c r="E15475" s="130"/>
    </row>
    <row r="15476" spans="1:5" x14ac:dyDescent="0.25">
      <c r="A15476" s="1033"/>
      <c r="E15476" s="130"/>
    </row>
    <row r="15477" spans="1:5" x14ac:dyDescent="0.25">
      <c r="A15477" s="1033"/>
      <c r="E15477" s="130"/>
    </row>
    <row r="15478" spans="1:5" x14ac:dyDescent="0.25">
      <c r="A15478" s="1033"/>
      <c r="E15478" s="130"/>
    </row>
    <row r="15479" spans="1:5" x14ac:dyDescent="0.25">
      <c r="A15479" s="1033"/>
      <c r="E15479" s="130"/>
    </row>
    <row r="15480" spans="1:5" x14ac:dyDescent="0.25">
      <c r="A15480" s="1033"/>
      <c r="E15480" s="130"/>
    </row>
    <row r="15481" spans="1:5" x14ac:dyDescent="0.25">
      <c r="A15481" s="1033"/>
      <c r="E15481" s="130"/>
    </row>
    <row r="15482" spans="1:5" x14ac:dyDescent="0.25">
      <c r="A15482" s="1033"/>
      <c r="E15482" s="130"/>
    </row>
    <row r="15483" spans="1:5" x14ac:dyDescent="0.25">
      <c r="A15483" s="1033"/>
      <c r="E15483" s="130"/>
    </row>
    <row r="15484" spans="1:5" x14ac:dyDescent="0.25">
      <c r="A15484" s="1033"/>
      <c r="E15484" s="130"/>
    </row>
    <row r="15485" spans="1:5" x14ac:dyDescent="0.25">
      <c r="A15485" s="1033"/>
      <c r="E15485" s="130"/>
    </row>
    <row r="15486" spans="1:5" x14ac:dyDescent="0.25">
      <c r="A15486" s="1033"/>
      <c r="E15486" s="130"/>
    </row>
    <row r="15487" spans="1:5" x14ac:dyDescent="0.25">
      <c r="A15487" s="1033"/>
      <c r="E15487" s="130"/>
    </row>
    <row r="15488" spans="1:5" x14ac:dyDescent="0.25">
      <c r="A15488" s="1033"/>
      <c r="E15488" s="130"/>
    </row>
    <row r="15489" spans="1:5" x14ac:dyDescent="0.25">
      <c r="A15489" s="1033"/>
      <c r="E15489" s="130"/>
    </row>
    <row r="15490" spans="1:5" x14ac:dyDescent="0.25">
      <c r="A15490" s="1033"/>
      <c r="E15490" s="130"/>
    </row>
    <row r="15491" spans="1:5" x14ac:dyDescent="0.25">
      <c r="A15491" s="1033"/>
      <c r="E15491" s="130"/>
    </row>
    <row r="15492" spans="1:5" x14ac:dyDescent="0.25">
      <c r="A15492" s="1033"/>
      <c r="E15492" s="130"/>
    </row>
    <row r="15493" spans="1:5" x14ac:dyDescent="0.25">
      <c r="A15493" s="1033"/>
      <c r="E15493" s="130"/>
    </row>
    <row r="15494" spans="1:5" x14ac:dyDescent="0.25">
      <c r="A15494" s="1033"/>
      <c r="E15494" s="130"/>
    </row>
    <row r="15495" spans="1:5" x14ac:dyDescent="0.25">
      <c r="A15495" s="1033"/>
      <c r="E15495" s="130"/>
    </row>
    <row r="15496" spans="1:5" x14ac:dyDescent="0.25">
      <c r="A15496" s="1033"/>
      <c r="E15496" s="130"/>
    </row>
    <row r="15497" spans="1:5" x14ac:dyDescent="0.25">
      <c r="A15497" s="1033"/>
      <c r="E15497" s="130"/>
    </row>
    <row r="15498" spans="1:5" x14ac:dyDescent="0.25">
      <c r="A15498" s="1033"/>
      <c r="E15498" s="130"/>
    </row>
    <row r="15499" spans="1:5" x14ac:dyDescent="0.25">
      <c r="A15499" s="1033"/>
      <c r="E15499" s="130"/>
    </row>
    <row r="15500" spans="1:5" x14ac:dyDescent="0.25">
      <c r="A15500" s="1033"/>
      <c r="E15500" s="130"/>
    </row>
    <row r="15501" spans="1:5" x14ac:dyDescent="0.25">
      <c r="A15501" s="1033"/>
      <c r="E15501" s="130"/>
    </row>
    <row r="15502" spans="1:5" x14ac:dyDescent="0.25">
      <c r="A15502" s="1033"/>
      <c r="E15502" s="130"/>
    </row>
    <row r="15503" spans="1:5" x14ac:dyDescent="0.25">
      <c r="A15503" s="1033"/>
      <c r="E15503" s="130"/>
    </row>
    <row r="15504" spans="1:5" x14ac:dyDescent="0.25">
      <c r="A15504" s="1033"/>
      <c r="E15504" s="130"/>
    </row>
    <row r="15505" spans="1:5" x14ac:dyDescent="0.25">
      <c r="A15505" s="1033"/>
      <c r="E15505" s="130"/>
    </row>
    <row r="15506" spans="1:5" x14ac:dyDescent="0.25">
      <c r="A15506" s="1033"/>
      <c r="E15506" s="130"/>
    </row>
    <row r="15507" spans="1:5" x14ac:dyDescent="0.25">
      <c r="A15507" s="1033"/>
      <c r="E15507" s="130"/>
    </row>
    <row r="15508" spans="1:5" x14ac:dyDescent="0.25">
      <c r="A15508" s="1033"/>
      <c r="E15508" s="130"/>
    </row>
    <row r="15509" spans="1:5" x14ac:dyDescent="0.25">
      <c r="A15509" s="1033"/>
      <c r="E15509" s="130"/>
    </row>
    <row r="15510" spans="1:5" x14ac:dyDescent="0.25">
      <c r="A15510" s="1033"/>
      <c r="E15510" s="130"/>
    </row>
    <row r="15511" spans="1:5" x14ac:dyDescent="0.25">
      <c r="A15511" s="1033"/>
      <c r="E15511" s="130"/>
    </row>
    <row r="15512" spans="1:5" x14ac:dyDescent="0.25">
      <c r="A15512" s="1033"/>
      <c r="E15512" s="130"/>
    </row>
    <row r="15513" spans="1:5" x14ac:dyDescent="0.25">
      <c r="A15513" s="1033"/>
      <c r="E15513" s="130"/>
    </row>
    <row r="15514" spans="1:5" x14ac:dyDescent="0.25">
      <c r="A15514" s="1033"/>
      <c r="E15514" s="130"/>
    </row>
    <row r="15515" spans="1:5" x14ac:dyDescent="0.25">
      <c r="A15515" s="1033"/>
      <c r="E15515" s="130"/>
    </row>
    <row r="15516" spans="1:5" x14ac:dyDescent="0.25">
      <c r="A15516" s="1033"/>
      <c r="E15516" s="130"/>
    </row>
    <row r="15517" spans="1:5" x14ac:dyDescent="0.25">
      <c r="A15517" s="1033"/>
      <c r="E15517" s="130"/>
    </row>
    <row r="15518" spans="1:5" x14ac:dyDescent="0.25">
      <c r="A15518" s="1033"/>
      <c r="E15518" s="130"/>
    </row>
    <row r="15519" spans="1:5" x14ac:dyDescent="0.25">
      <c r="A15519" s="1033"/>
      <c r="E15519" s="130"/>
    </row>
    <row r="15520" spans="1:5" x14ac:dyDescent="0.25">
      <c r="A15520" s="1033"/>
      <c r="E15520" s="130"/>
    </row>
    <row r="15521" spans="1:5" x14ac:dyDescent="0.25">
      <c r="A15521" s="1033"/>
      <c r="E15521" s="130"/>
    </row>
    <row r="15522" spans="1:5" x14ac:dyDescent="0.25">
      <c r="A15522" s="1033"/>
      <c r="E15522" s="130"/>
    </row>
    <row r="15523" spans="1:5" x14ac:dyDescent="0.25">
      <c r="A15523" s="1033"/>
      <c r="E15523" s="130"/>
    </row>
    <row r="15524" spans="1:5" x14ac:dyDescent="0.25">
      <c r="A15524" s="1033"/>
      <c r="E15524" s="130"/>
    </row>
    <row r="15525" spans="1:5" x14ac:dyDescent="0.25">
      <c r="A15525" s="1033"/>
      <c r="E15525" s="130"/>
    </row>
    <row r="15526" spans="1:5" x14ac:dyDescent="0.25">
      <c r="A15526" s="1033"/>
      <c r="E15526" s="130"/>
    </row>
    <row r="15527" spans="1:5" x14ac:dyDescent="0.25">
      <c r="A15527" s="1033"/>
      <c r="E15527" s="130"/>
    </row>
    <row r="15528" spans="1:5" x14ac:dyDescent="0.25">
      <c r="A15528" s="1033"/>
      <c r="E15528" s="130"/>
    </row>
    <row r="15529" spans="1:5" x14ac:dyDescent="0.25">
      <c r="A15529" s="1033"/>
      <c r="E15529" s="130"/>
    </row>
    <row r="15530" spans="1:5" x14ac:dyDescent="0.25">
      <c r="A15530" s="1033"/>
      <c r="E15530" s="130"/>
    </row>
    <row r="15531" spans="1:5" x14ac:dyDescent="0.25">
      <c r="A15531" s="1033"/>
      <c r="E15531" s="130"/>
    </row>
    <row r="15532" spans="1:5" x14ac:dyDescent="0.25">
      <c r="A15532" s="1033"/>
      <c r="E15532" s="130"/>
    </row>
    <row r="15533" spans="1:5" x14ac:dyDescent="0.25">
      <c r="A15533" s="1033"/>
      <c r="E15533" s="130"/>
    </row>
    <row r="15534" spans="1:5" x14ac:dyDescent="0.25">
      <c r="A15534" s="1033"/>
      <c r="E15534" s="130"/>
    </row>
    <row r="15535" spans="1:5" x14ac:dyDescent="0.25">
      <c r="A15535" s="1033"/>
      <c r="E15535" s="130"/>
    </row>
    <row r="15536" spans="1:5" x14ac:dyDescent="0.25">
      <c r="A15536" s="1033"/>
      <c r="E15536" s="130"/>
    </row>
    <row r="15537" spans="1:5" x14ac:dyDescent="0.25">
      <c r="A15537" s="1033"/>
      <c r="E15537" s="130"/>
    </row>
    <row r="15538" spans="1:5" x14ac:dyDescent="0.25">
      <c r="A15538" s="1033"/>
      <c r="E15538" s="130"/>
    </row>
    <row r="15539" spans="1:5" x14ac:dyDescent="0.25">
      <c r="A15539" s="1033"/>
      <c r="E15539" s="130"/>
    </row>
    <row r="15540" spans="1:5" x14ac:dyDescent="0.25">
      <c r="A15540" s="1033"/>
      <c r="E15540" s="130"/>
    </row>
    <row r="15541" spans="1:5" x14ac:dyDescent="0.25">
      <c r="A15541" s="1033"/>
      <c r="E15541" s="130"/>
    </row>
    <row r="15542" spans="1:5" x14ac:dyDescent="0.25">
      <c r="A15542" s="1033"/>
      <c r="E15542" s="130"/>
    </row>
    <row r="15543" spans="1:5" x14ac:dyDescent="0.25">
      <c r="A15543" s="1033"/>
      <c r="E15543" s="130"/>
    </row>
    <row r="15544" spans="1:5" x14ac:dyDescent="0.25">
      <c r="A15544" s="1033"/>
      <c r="E15544" s="130"/>
    </row>
    <row r="15545" spans="1:5" x14ac:dyDescent="0.25">
      <c r="A15545" s="1033"/>
      <c r="E15545" s="130"/>
    </row>
    <row r="15546" spans="1:5" x14ac:dyDescent="0.25">
      <c r="A15546" s="1033"/>
      <c r="E15546" s="130"/>
    </row>
    <row r="15547" spans="1:5" x14ac:dyDescent="0.25">
      <c r="A15547" s="1033"/>
      <c r="E15547" s="130"/>
    </row>
    <row r="15548" spans="1:5" x14ac:dyDescent="0.25">
      <c r="A15548" s="1033"/>
      <c r="E15548" s="130"/>
    </row>
    <row r="15549" spans="1:5" x14ac:dyDescent="0.25">
      <c r="A15549" s="1033"/>
      <c r="E15549" s="130"/>
    </row>
    <row r="15550" spans="1:5" x14ac:dyDescent="0.25">
      <c r="A15550" s="1033"/>
      <c r="E15550" s="130"/>
    </row>
    <row r="15551" spans="1:5" x14ac:dyDescent="0.25">
      <c r="A15551" s="1033"/>
      <c r="E15551" s="130"/>
    </row>
    <row r="15552" spans="1:5" x14ac:dyDescent="0.25">
      <c r="A15552" s="1033"/>
      <c r="E15552" s="130"/>
    </row>
    <row r="15553" spans="1:5" x14ac:dyDescent="0.25">
      <c r="A15553" s="1033"/>
      <c r="E15553" s="130"/>
    </row>
    <row r="15554" spans="1:5" x14ac:dyDescent="0.25">
      <c r="A15554" s="1033"/>
      <c r="E15554" s="130"/>
    </row>
    <row r="15555" spans="1:5" x14ac:dyDescent="0.25">
      <c r="A15555" s="1033"/>
      <c r="E15555" s="130"/>
    </row>
    <row r="15556" spans="1:5" x14ac:dyDescent="0.25">
      <c r="A15556" s="1033"/>
      <c r="E15556" s="130"/>
    </row>
    <row r="15557" spans="1:5" x14ac:dyDescent="0.25">
      <c r="A15557" s="1033"/>
      <c r="E15557" s="130"/>
    </row>
    <row r="15558" spans="1:5" x14ac:dyDescent="0.25">
      <c r="A15558" s="1033"/>
      <c r="E15558" s="130"/>
    </row>
    <row r="15559" spans="1:5" x14ac:dyDescent="0.25">
      <c r="A15559" s="1033"/>
      <c r="E15559" s="130"/>
    </row>
    <row r="15560" spans="1:5" x14ac:dyDescent="0.25">
      <c r="A15560" s="1033"/>
      <c r="E15560" s="130"/>
    </row>
    <row r="15561" spans="1:5" x14ac:dyDescent="0.25">
      <c r="A15561" s="1033"/>
      <c r="E15561" s="130"/>
    </row>
    <row r="15562" spans="1:5" x14ac:dyDescent="0.25">
      <c r="A15562" s="1033"/>
      <c r="E15562" s="130"/>
    </row>
    <row r="15563" spans="1:5" x14ac:dyDescent="0.25">
      <c r="A15563" s="1033"/>
      <c r="E15563" s="130"/>
    </row>
    <row r="15564" spans="1:5" x14ac:dyDescent="0.25">
      <c r="A15564" s="1033"/>
      <c r="E15564" s="130"/>
    </row>
    <row r="15565" spans="1:5" x14ac:dyDescent="0.25">
      <c r="A15565" s="1033"/>
      <c r="E15565" s="130"/>
    </row>
    <row r="15566" spans="1:5" x14ac:dyDescent="0.25">
      <c r="A15566" s="1033"/>
      <c r="E15566" s="130"/>
    </row>
    <row r="15567" spans="1:5" x14ac:dyDescent="0.25">
      <c r="A15567" s="1033"/>
      <c r="E15567" s="130"/>
    </row>
    <row r="15568" spans="1:5" x14ac:dyDescent="0.25">
      <c r="A15568" s="1033"/>
      <c r="E15568" s="130"/>
    </row>
    <row r="15569" spans="1:5" x14ac:dyDescent="0.25">
      <c r="A15569" s="1033"/>
      <c r="E15569" s="130"/>
    </row>
    <row r="15570" spans="1:5" x14ac:dyDescent="0.25">
      <c r="A15570" s="1033"/>
      <c r="E15570" s="130"/>
    </row>
    <row r="15571" spans="1:5" x14ac:dyDescent="0.25">
      <c r="A15571" s="1033"/>
      <c r="E15571" s="130"/>
    </row>
    <row r="15572" spans="1:5" x14ac:dyDescent="0.25">
      <c r="A15572" s="1033"/>
      <c r="E15572" s="130"/>
    </row>
    <row r="15573" spans="1:5" x14ac:dyDescent="0.25">
      <c r="A15573" s="1033"/>
      <c r="E15573" s="130"/>
    </row>
    <row r="15574" spans="1:5" x14ac:dyDescent="0.25">
      <c r="A15574" s="1033"/>
      <c r="E15574" s="130"/>
    </row>
    <row r="15575" spans="1:5" x14ac:dyDescent="0.25">
      <c r="A15575" s="1033"/>
      <c r="E15575" s="130"/>
    </row>
    <row r="15576" spans="1:5" x14ac:dyDescent="0.25">
      <c r="A15576" s="1033"/>
      <c r="E15576" s="130"/>
    </row>
    <row r="15577" spans="1:5" x14ac:dyDescent="0.25">
      <c r="A15577" s="1033"/>
      <c r="E15577" s="130"/>
    </row>
    <row r="15578" spans="1:5" x14ac:dyDescent="0.25">
      <c r="A15578" s="1033"/>
      <c r="E15578" s="130"/>
    </row>
    <row r="15579" spans="1:5" x14ac:dyDescent="0.25">
      <c r="A15579" s="1033"/>
      <c r="E15579" s="130"/>
    </row>
    <row r="15580" spans="1:5" x14ac:dyDescent="0.25">
      <c r="A15580" s="1033"/>
      <c r="E15580" s="130"/>
    </row>
    <row r="15581" spans="1:5" x14ac:dyDescent="0.25">
      <c r="A15581" s="1033"/>
      <c r="E15581" s="130"/>
    </row>
    <row r="15582" spans="1:5" x14ac:dyDescent="0.25">
      <c r="A15582" s="1033"/>
      <c r="E15582" s="130"/>
    </row>
    <row r="15583" spans="1:5" x14ac:dyDescent="0.25">
      <c r="A15583" s="1033"/>
      <c r="E15583" s="130"/>
    </row>
    <row r="15584" spans="1:5" x14ac:dyDescent="0.25">
      <c r="A15584" s="1033"/>
      <c r="E15584" s="130"/>
    </row>
    <row r="15585" spans="1:5" x14ac:dyDescent="0.25">
      <c r="A15585" s="1033"/>
      <c r="E15585" s="130"/>
    </row>
    <row r="15586" spans="1:5" x14ac:dyDescent="0.25">
      <c r="A15586" s="1033"/>
      <c r="E15586" s="130"/>
    </row>
    <row r="15587" spans="1:5" x14ac:dyDescent="0.25">
      <c r="A15587" s="1033"/>
      <c r="E15587" s="130"/>
    </row>
    <row r="15588" spans="1:5" x14ac:dyDescent="0.25">
      <c r="A15588" s="1033"/>
      <c r="E15588" s="130"/>
    </row>
    <row r="15589" spans="1:5" x14ac:dyDescent="0.25">
      <c r="A15589" s="1033"/>
      <c r="E15589" s="130"/>
    </row>
    <row r="15590" spans="1:5" x14ac:dyDescent="0.25">
      <c r="A15590" s="1033"/>
      <c r="E15590" s="130"/>
    </row>
    <row r="15591" spans="1:5" x14ac:dyDescent="0.25">
      <c r="A15591" s="1033"/>
      <c r="E15591" s="130"/>
    </row>
    <row r="15592" spans="1:5" x14ac:dyDescent="0.25">
      <c r="A15592" s="1033"/>
      <c r="E15592" s="130"/>
    </row>
    <row r="15593" spans="1:5" x14ac:dyDescent="0.25">
      <c r="A15593" s="1033"/>
      <c r="E15593" s="130"/>
    </row>
    <row r="15594" spans="1:5" x14ac:dyDescent="0.25">
      <c r="A15594" s="1033"/>
      <c r="E15594" s="130"/>
    </row>
    <row r="15595" spans="1:5" x14ac:dyDescent="0.25">
      <c r="A15595" s="1033"/>
      <c r="E15595" s="130"/>
    </row>
    <row r="15596" spans="1:5" x14ac:dyDescent="0.25">
      <c r="A15596" s="1033"/>
      <c r="E15596" s="130"/>
    </row>
    <row r="15597" spans="1:5" x14ac:dyDescent="0.25">
      <c r="A15597" s="1033"/>
      <c r="E15597" s="130"/>
    </row>
    <row r="15598" spans="1:5" x14ac:dyDescent="0.25">
      <c r="A15598" s="1033"/>
      <c r="E15598" s="130"/>
    </row>
    <row r="15599" spans="1:5" x14ac:dyDescent="0.25">
      <c r="A15599" s="1033"/>
      <c r="E15599" s="130"/>
    </row>
    <row r="15600" spans="1:5" x14ac:dyDescent="0.25">
      <c r="A15600" s="1033"/>
      <c r="E15600" s="130"/>
    </row>
    <row r="15601" spans="1:5" x14ac:dyDescent="0.25">
      <c r="A15601" s="1033"/>
      <c r="E15601" s="130"/>
    </row>
    <row r="15602" spans="1:5" x14ac:dyDescent="0.25">
      <c r="A15602" s="1033"/>
      <c r="E15602" s="130"/>
    </row>
    <row r="15603" spans="1:5" x14ac:dyDescent="0.25">
      <c r="A15603" s="1033"/>
      <c r="E15603" s="130"/>
    </row>
    <row r="15604" spans="1:5" x14ac:dyDescent="0.25">
      <c r="A15604" s="1033"/>
      <c r="E15604" s="130"/>
    </row>
    <row r="15605" spans="1:5" x14ac:dyDescent="0.25">
      <c r="A15605" s="1033"/>
      <c r="E15605" s="130"/>
    </row>
    <row r="15606" spans="1:5" x14ac:dyDescent="0.25">
      <c r="A15606" s="1033"/>
      <c r="E15606" s="130"/>
    </row>
    <row r="15607" spans="1:5" x14ac:dyDescent="0.25">
      <c r="A15607" s="1033"/>
      <c r="E15607" s="130"/>
    </row>
    <row r="15608" spans="1:5" x14ac:dyDescent="0.25">
      <c r="A15608" s="1033"/>
      <c r="E15608" s="130"/>
    </row>
    <row r="15609" spans="1:5" x14ac:dyDescent="0.25">
      <c r="A15609" s="1033"/>
      <c r="E15609" s="130"/>
    </row>
    <row r="15610" spans="1:5" x14ac:dyDescent="0.25">
      <c r="A15610" s="1033"/>
      <c r="E15610" s="130"/>
    </row>
    <row r="15611" spans="1:5" x14ac:dyDescent="0.25">
      <c r="A15611" s="1033"/>
      <c r="E15611" s="130"/>
    </row>
    <row r="15612" spans="1:5" x14ac:dyDescent="0.25">
      <c r="A15612" s="1033"/>
      <c r="E15612" s="130"/>
    </row>
    <row r="15613" spans="1:5" x14ac:dyDescent="0.25">
      <c r="A15613" s="1033"/>
      <c r="E15613" s="130"/>
    </row>
    <row r="15614" spans="1:5" x14ac:dyDescent="0.25">
      <c r="A15614" s="1033"/>
      <c r="E15614" s="130"/>
    </row>
    <row r="15615" spans="1:5" x14ac:dyDescent="0.25">
      <c r="A15615" s="1033"/>
      <c r="E15615" s="130"/>
    </row>
    <row r="15616" spans="1:5" x14ac:dyDescent="0.25">
      <c r="A15616" s="1033"/>
      <c r="E15616" s="130"/>
    </row>
    <row r="15617" spans="1:5" x14ac:dyDescent="0.25">
      <c r="A15617" s="1033"/>
      <c r="E15617" s="130"/>
    </row>
    <row r="15618" spans="1:5" x14ac:dyDescent="0.25">
      <c r="A15618" s="1033"/>
      <c r="E15618" s="130"/>
    </row>
    <row r="15619" spans="1:5" x14ac:dyDescent="0.25">
      <c r="A15619" s="1033"/>
      <c r="E15619" s="130"/>
    </row>
    <row r="15620" spans="1:5" x14ac:dyDescent="0.25">
      <c r="A15620" s="1033"/>
      <c r="E15620" s="130"/>
    </row>
    <row r="15621" spans="1:5" x14ac:dyDescent="0.25">
      <c r="A15621" s="1033"/>
      <c r="E15621" s="130"/>
    </row>
    <row r="15622" spans="1:5" x14ac:dyDescent="0.25">
      <c r="A15622" s="1033"/>
      <c r="E15622" s="130"/>
    </row>
    <row r="15623" spans="1:5" x14ac:dyDescent="0.25">
      <c r="A15623" s="1033"/>
      <c r="E15623" s="130"/>
    </row>
    <row r="15624" spans="1:5" x14ac:dyDescent="0.25">
      <c r="A15624" s="1033"/>
      <c r="E15624" s="130"/>
    </row>
    <row r="15625" spans="1:5" x14ac:dyDescent="0.25">
      <c r="A15625" s="1033"/>
      <c r="E15625" s="130"/>
    </row>
    <row r="15626" spans="1:5" x14ac:dyDescent="0.25">
      <c r="A15626" s="1033"/>
      <c r="E15626" s="130"/>
    </row>
    <row r="15627" spans="1:5" x14ac:dyDescent="0.25">
      <c r="A15627" s="1033"/>
      <c r="E15627" s="130"/>
    </row>
    <row r="15628" spans="1:5" x14ac:dyDescent="0.25">
      <c r="A15628" s="1033"/>
      <c r="E15628" s="130"/>
    </row>
    <row r="15629" spans="1:5" x14ac:dyDescent="0.25">
      <c r="A15629" s="1033"/>
      <c r="E15629" s="130"/>
    </row>
    <row r="15630" spans="1:5" x14ac:dyDescent="0.25">
      <c r="A15630" s="1033"/>
      <c r="E15630" s="130"/>
    </row>
    <row r="15631" spans="1:5" x14ac:dyDescent="0.25">
      <c r="A15631" s="1033"/>
      <c r="E15631" s="130"/>
    </row>
    <row r="15632" spans="1:5" x14ac:dyDescent="0.25">
      <c r="A15632" s="1033"/>
      <c r="E15632" s="130"/>
    </row>
    <row r="15633" spans="1:5" x14ac:dyDescent="0.25">
      <c r="A15633" s="1033"/>
      <c r="E15633" s="130"/>
    </row>
    <row r="15634" spans="1:5" x14ac:dyDescent="0.25">
      <c r="A15634" s="1033"/>
      <c r="E15634" s="130"/>
    </row>
    <row r="15635" spans="1:5" x14ac:dyDescent="0.25">
      <c r="A15635" s="1033"/>
      <c r="E15635" s="130"/>
    </row>
    <row r="15636" spans="1:5" x14ac:dyDescent="0.25">
      <c r="A15636" s="1033"/>
      <c r="E15636" s="130"/>
    </row>
    <row r="15637" spans="1:5" x14ac:dyDescent="0.25">
      <c r="A15637" s="1033"/>
      <c r="E15637" s="130"/>
    </row>
    <row r="15638" spans="1:5" x14ac:dyDescent="0.25">
      <c r="A15638" s="1033"/>
      <c r="E15638" s="130"/>
    </row>
    <row r="15639" spans="1:5" x14ac:dyDescent="0.25">
      <c r="A15639" s="1033"/>
      <c r="E15639" s="130"/>
    </row>
    <row r="15640" spans="1:5" x14ac:dyDescent="0.25">
      <c r="A15640" s="1033"/>
      <c r="E15640" s="130"/>
    </row>
    <row r="15641" spans="1:5" x14ac:dyDescent="0.25">
      <c r="A15641" s="1033"/>
      <c r="E15641" s="130"/>
    </row>
    <row r="15642" spans="1:5" x14ac:dyDescent="0.25">
      <c r="A15642" s="1033"/>
      <c r="E15642" s="130"/>
    </row>
    <row r="15643" spans="1:5" x14ac:dyDescent="0.25">
      <c r="A15643" s="1033"/>
      <c r="E15643" s="130"/>
    </row>
    <row r="15644" spans="1:5" x14ac:dyDescent="0.25">
      <c r="A15644" s="1033"/>
      <c r="E15644" s="130"/>
    </row>
    <row r="15645" spans="1:5" x14ac:dyDescent="0.25">
      <c r="A15645" s="1033"/>
      <c r="E15645" s="130"/>
    </row>
    <row r="15646" spans="1:5" x14ac:dyDescent="0.25">
      <c r="A15646" s="1033"/>
      <c r="E15646" s="130"/>
    </row>
    <row r="15647" spans="1:5" x14ac:dyDescent="0.25">
      <c r="A15647" s="1033"/>
      <c r="E15647" s="130"/>
    </row>
    <row r="15648" spans="1:5" x14ac:dyDescent="0.25">
      <c r="A15648" s="1033"/>
      <c r="E15648" s="130"/>
    </row>
    <row r="15649" spans="1:5" x14ac:dyDescent="0.25">
      <c r="A15649" s="1033"/>
      <c r="E15649" s="130"/>
    </row>
    <row r="15650" spans="1:5" x14ac:dyDescent="0.25">
      <c r="A15650" s="1033"/>
      <c r="E15650" s="130"/>
    </row>
    <row r="15651" spans="1:5" x14ac:dyDescent="0.25">
      <c r="A15651" s="1033"/>
      <c r="E15651" s="130"/>
    </row>
    <row r="15652" spans="1:5" x14ac:dyDescent="0.25">
      <c r="A15652" s="1033"/>
      <c r="E15652" s="130"/>
    </row>
    <row r="15653" spans="1:5" x14ac:dyDescent="0.25">
      <c r="A15653" s="1033"/>
      <c r="E15653" s="130"/>
    </row>
    <row r="15654" spans="1:5" x14ac:dyDescent="0.25">
      <c r="A15654" s="1033"/>
      <c r="E15654" s="130"/>
    </row>
    <row r="15655" spans="1:5" x14ac:dyDescent="0.25">
      <c r="A15655" s="1033"/>
      <c r="E15655" s="130"/>
    </row>
    <row r="15656" spans="1:5" x14ac:dyDescent="0.25">
      <c r="A15656" s="1033"/>
      <c r="E15656" s="130"/>
    </row>
    <row r="15657" spans="1:5" x14ac:dyDescent="0.25">
      <c r="A15657" s="1033"/>
      <c r="E15657" s="130"/>
    </row>
    <row r="15658" spans="1:5" x14ac:dyDescent="0.25">
      <c r="A15658" s="1033"/>
      <c r="E15658" s="130"/>
    </row>
    <row r="15659" spans="1:5" x14ac:dyDescent="0.25">
      <c r="A15659" s="1033"/>
      <c r="E15659" s="130"/>
    </row>
    <row r="15660" spans="1:5" x14ac:dyDescent="0.25">
      <c r="A15660" s="1033"/>
      <c r="E15660" s="130"/>
    </row>
    <row r="15661" spans="1:5" x14ac:dyDescent="0.25">
      <c r="A15661" s="1033"/>
      <c r="E15661" s="130"/>
    </row>
    <row r="15662" spans="1:5" x14ac:dyDescent="0.25">
      <c r="A15662" s="1033"/>
      <c r="E15662" s="130"/>
    </row>
    <row r="15663" spans="1:5" x14ac:dyDescent="0.25">
      <c r="A15663" s="1033"/>
      <c r="E15663" s="130"/>
    </row>
    <row r="15664" spans="1:5" x14ac:dyDescent="0.25">
      <c r="A15664" s="1033"/>
      <c r="E15664" s="130"/>
    </row>
    <row r="15665" spans="1:5" x14ac:dyDescent="0.25">
      <c r="A15665" s="1033"/>
      <c r="E15665" s="130"/>
    </row>
    <row r="15666" spans="1:5" x14ac:dyDescent="0.25">
      <c r="A15666" s="1033"/>
      <c r="E15666" s="130"/>
    </row>
    <row r="15667" spans="1:5" x14ac:dyDescent="0.25">
      <c r="A15667" s="1033"/>
      <c r="E15667" s="130"/>
    </row>
    <row r="15668" spans="1:5" x14ac:dyDescent="0.25">
      <c r="A15668" s="1033"/>
      <c r="E15668" s="130"/>
    </row>
    <row r="15669" spans="1:5" x14ac:dyDescent="0.25">
      <c r="A15669" s="1033"/>
      <c r="E15669" s="130"/>
    </row>
    <row r="15670" spans="1:5" x14ac:dyDescent="0.25">
      <c r="A15670" s="1033"/>
      <c r="E15670" s="130"/>
    </row>
    <row r="15671" spans="1:5" x14ac:dyDescent="0.25">
      <c r="A15671" s="1033"/>
      <c r="E15671" s="130"/>
    </row>
    <row r="15672" spans="1:5" x14ac:dyDescent="0.25">
      <c r="A15672" s="1033"/>
      <c r="E15672" s="130"/>
    </row>
    <row r="15673" spans="1:5" x14ac:dyDescent="0.25">
      <c r="A15673" s="1033"/>
      <c r="E15673" s="130"/>
    </row>
    <row r="15674" spans="1:5" x14ac:dyDescent="0.25">
      <c r="A15674" s="1033"/>
      <c r="E15674" s="130"/>
    </row>
    <row r="15675" spans="1:5" x14ac:dyDescent="0.25">
      <c r="A15675" s="1033"/>
      <c r="E15675" s="130"/>
    </row>
    <row r="15676" spans="1:5" x14ac:dyDescent="0.25">
      <c r="A15676" s="1033"/>
      <c r="E15676" s="130"/>
    </row>
    <row r="15677" spans="1:5" x14ac:dyDescent="0.25">
      <c r="A15677" s="1033"/>
      <c r="E15677" s="130"/>
    </row>
    <row r="15678" spans="1:5" x14ac:dyDescent="0.25">
      <c r="A15678" s="1033"/>
      <c r="E15678" s="130"/>
    </row>
    <row r="15679" spans="1:5" x14ac:dyDescent="0.25">
      <c r="A15679" s="1033"/>
      <c r="E15679" s="130"/>
    </row>
    <row r="15680" spans="1:5" x14ac:dyDescent="0.25">
      <c r="A15680" s="1033"/>
      <c r="E15680" s="130"/>
    </row>
    <row r="15681" spans="1:5" x14ac:dyDescent="0.25">
      <c r="A15681" s="1033"/>
      <c r="E15681" s="130"/>
    </row>
    <row r="15682" spans="1:5" x14ac:dyDescent="0.25">
      <c r="A15682" s="1033"/>
      <c r="E15682" s="130"/>
    </row>
    <row r="15683" spans="1:5" x14ac:dyDescent="0.25">
      <c r="A15683" s="1033"/>
      <c r="E15683" s="130"/>
    </row>
    <row r="15684" spans="1:5" x14ac:dyDescent="0.25">
      <c r="A15684" s="1033"/>
      <c r="E15684" s="130"/>
    </row>
    <row r="15685" spans="1:5" x14ac:dyDescent="0.25">
      <c r="A15685" s="1033"/>
      <c r="E15685" s="130"/>
    </row>
    <row r="15686" spans="1:5" x14ac:dyDescent="0.25">
      <c r="A15686" s="1033"/>
      <c r="E15686" s="130"/>
    </row>
    <row r="15687" spans="1:5" x14ac:dyDescent="0.25">
      <c r="A15687" s="1033"/>
      <c r="E15687" s="130"/>
    </row>
    <row r="15688" spans="1:5" x14ac:dyDescent="0.25">
      <c r="A15688" s="1033"/>
      <c r="E15688" s="130"/>
    </row>
    <row r="15689" spans="1:5" x14ac:dyDescent="0.25">
      <c r="A15689" s="1033"/>
      <c r="E15689" s="130"/>
    </row>
    <row r="15690" spans="1:5" x14ac:dyDescent="0.25">
      <c r="A15690" s="1033"/>
      <c r="E15690" s="130"/>
    </row>
    <row r="15691" spans="1:5" x14ac:dyDescent="0.25">
      <c r="A15691" s="1033"/>
      <c r="E15691" s="130"/>
    </row>
    <row r="15692" spans="1:5" x14ac:dyDescent="0.25">
      <c r="A15692" s="1033"/>
      <c r="E15692" s="130"/>
    </row>
    <row r="15693" spans="1:5" x14ac:dyDescent="0.25">
      <c r="A15693" s="1033"/>
      <c r="E15693" s="130"/>
    </row>
    <row r="15694" spans="1:5" x14ac:dyDescent="0.25">
      <c r="A15694" s="1033"/>
      <c r="E15694" s="130"/>
    </row>
    <row r="15695" spans="1:5" x14ac:dyDescent="0.25">
      <c r="A15695" s="1033"/>
      <c r="E15695" s="130"/>
    </row>
    <row r="15696" spans="1:5" x14ac:dyDescent="0.25">
      <c r="A15696" s="1033"/>
      <c r="E15696" s="130"/>
    </row>
    <row r="15697" spans="1:5" x14ac:dyDescent="0.25">
      <c r="A15697" s="1033"/>
      <c r="E15697" s="130"/>
    </row>
    <row r="15698" spans="1:5" x14ac:dyDescent="0.25">
      <c r="A15698" s="1033"/>
      <c r="E15698" s="130"/>
    </row>
    <row r="15699" spans="1:5" x14ac:dyDescent="0.25">
      <c r="A15699" s="1033"/>
      <c r="E15699" s="130"/>
    </row>
    <row r="15700" spans="1:5" x14ac:dyDescent="0.25">
      <c r="A15700" s="1033"/>
      <c r="E15700" s="130"/>
    </row>
    <row r="15701" spans="1:5" x14ac:dyDescent="0.25">
      <c r="A15701" s="1033"/>
      <c r="E15701" s="130"/>
    </row>
    <row r="15702" spans="1:5" x14ac:dyDescent="0.25">
      <c r="A15702" s="1033"/>
      <c r="E15702" s="130"/>
    </row>
    <row r="15703" spans="1:5" x14ac:dyDescent="0.25">
      <c r="A15703" s="1033"/>
      <c r="E15703" s="130"/>
    </row>
    <row r="15704" spans="1:5" x14ac:dyDescent="0.25">
      <c r="A15704" s="1033"/>
      <c r="E15704" s="130"/>
    </row>
    <row r="15705" spans="1:5" x14ac:dyDescent="0.25">
      <c r="A15705" s="1033"/>
      <c r="E15705" s="130"/>
    </row>
    <row r="15706" spans="1:5" x14ac:dyDescent="0.25">
      <c r="A15706" s="1033"/>
      <c r="E15706" s="130"/>
    </row>
    <row r="15707" spans="1:5" x14ac:dyDescent="0.25">
      <c r="A15707" s="1033"/>
      <c r="E15707" s="130"/>
    </row>
    <row r="15708" spans="1:5" x14ac:dyDescent="0.25">
      <c r="A15708" s="1033"/>
      <c r="E15708" s="130"/>
    </row>
    <row r="15709" spans="1:5" x14ac:dyDescent="0.25">
      <c r="A15709" s="1033"/>
      <c r="E15709" s="130"/>
    </row>
    <row r="15710" spans="1:5" x14ac:dyDescent="0.25">
      <c r="A15710" s="1033"/>
      <c r="E15710" s="130"/>
    </row>
    <row r="15711" spans="1:5" x14ac:dyDescent="0.25">
      <c r="A15711" s="1033"/>
      <c r="E15711" s="130"/>
    </row>
    <row r="15712" spans="1:5" x14ac:dyDescent="0.25">
      <c r="A15712" s="1033"/>
      <c r="E15712" s="130"/>
    </row>
    <row r="15713" spans="1:5" x14ac:dyDescent="0.25">
      <c r="A15713" s="1033"/>
      <c r="E15713" s="130"/>
    </row>
    <row r="15714" spans="1:5" x14ac:dyDescent="0.25">
      <c r="A15714" s="1033"/>
      <c r="E15714" s="130"/>
    </row>
    <row r="15715" spans="1:5" x14ac:dyDescent="0.25">
      <c r="A15715" s="1033"/>
      <c r="E15715" s="130"/>
    </row>
    <row r="15716" spans="1:5" x14ac:dyDescent="0.25">
      <c r="A15716" s="1033"/>
      <c r="E15716" s="130"/>
    </row>
    <row r="15717" spans="1:5" x14ac:dyDescent="0.25">
      <c r="A15717" s="1033"/>
      <c r="E15717" s="130"/>
    </row>
    <row r="15718" spans="1:5" x14ac:dyDescent="0.25">
      <c r="A15718" s="1033"/>
      <c r="E15718" s="130"/>
    </row>
    <row r="15719" spans="1:5" x14ac:dyDescent="0.25">
      <c r="A15719" s="1033"/>
      <c r="E15719" s="130"/>
    </row>
    <row r="15720" spans="1:5" x14ac:dyDescent="0.25">
      <c r="A15720" s="1033"/>
      <c r="E15720" s="130"/>
    </row>
    <row r="15721" spans="1:5" x14ac:dyDescent="0.25">
      <c r="A15721" s="1033"/>
      <c r="E15721" s="130"/>
    </row>
    <row r="15722" spans="1:5" x14ac:dyDescent="0.25">
      <c r="A15722" s="1033"/>
      <c r="E15722" s="130"/>
    </row>
    <row r="15723" spans="1:5" x14ac:dyDescent="0.25">
      <c r="A15723" s="1033"/>
      <c r="E15723" s="130"/>
    </row>
    <row r="15724" spans="1:5" x14ac:dyDescent="0.25">
      <c r="A15724" s="1033"/>
      <c r="E15724" s="130"/>
    </row>
    <row r="15725" spans="1:5" x14ac:dyDescent="0.25">
      <c r="A15725" s="1033"/>
      <c r="E15725" s="130"/>
    </row>
    <row r="15726" spans="1:5" x14ac:dyDescent="0.25">
      <c r="A15726" s="1033"/>
      <c r="E15726" s="130"/>
    </row>
    <row r="15727" spans="1:5" x14ac:dyDescent="0.25">
      <c r="A15727" s="1033"/>
      <c r="E15727" s="130"/>
    </row>
    <row r="15728" spans="1:5" x14ac:dyDescent="0.25">
      <c r="A15728" s="1033"/>
      <c r="E15728" s="130"/>
    </row>
    <row r="15729" spans="1:5" x14ac:dyDescent="0.25">
      <c r="A15729" s="1033"/>
      <c r="E15729" s="130"/>
    </row>
    <row r="15730" spans="1:5" x14ac:dyDescent="0.25">
      <c r="A15730" s="1033"/>
      <c r="E15730" s="130"/>
    </row>
    <row r="15731" spans="1:5" x14ac:dyDescent="0.25">
      <c r="A15731" s="1033"/>
      <c r="E15731" s="130"/>
    </row>
    <row r="15732" spans="1:5" x14ac:dyDescent="0.25">
      <c r="A15732" s="1033"/>
      <c r="E15732" s="130"/>
    </row>
    <row r="15733" spans="1:5" x14ac:dyDescent="0.25">
      <c r="A15733" s="1033"/>
      <c r="E15733" s="130"/>
    </row>
    <row r="15734" spans="1:5" x14ac:dyDescent="0.25">
      <c r="A15734" s="1033"/>
      <c r="E15734" s="130"/>
    </row>
    <row r="15735" spans="1:5" x14ac:dyDescent="0.25">
      <c r="A15735" s="1033"/>
      <c r="E15735" s="130"/>
    </row>
    <row r="15736" spans="1:5" x14ac:dyDescent="0.25">
      <c r="A15736" s="1033"/>
      <c r="E15736" s="130"/>
    </row>
    <row r="15737" spans="1:5" x14ac:dyDescent="0.25">
      <c r="A15737" s="1033"/>
      <c r="E15737" s="130"/>
    </row>
    <row r="15738" spans="1:5" x14ac:dyDescent="0.25">
      <c r="A15738" s="1033"/>
      <c r="E15738" s="130"/>
    </row>
    <row r="15739" spans="1:5" x14ac:dyDescent="0.25">
      <c r="A15739" s="1033"/>
      <c r="E15739" s="130"/>
    </row>
    <row r="15740" spans="1:5" x14ac:dyDescent="0.25">
      <c r="A15740" s="1033"/>
      <c r="E15740" s="130"/>
    </row>
    <row r="15741" spans="1:5" x14ac:dyDescent="0.25">
      <c r="A15741" s="1033"/>
      <c r="E15741" s="130"/>
    </row>
    <row r="15742" spans="1:5" x14ac:dyDescent="0.25">
      <c r="A15742" s="1033"/>
      <c r="E15742" s="130"/>
    </row>
    <row r="15743" spans="1:5" x14ac:dyDescent="0.25">
      <c r="A15743" s="1033"/>
      <c r="E15743" s="130"/>
    </row>
    <row r="15744" spans="1:5" x14ac:dyDescent="0.25">
      <c r="A15744" s="1033"/>
      <c r="E15744" s="130"/>
    </row>
    <row r="15745" spans="1:5" x14ac:dyDescent="0.25">
      <c r="A15745" s="1033"/>
      <c r="E15745" s="130"/>
    </row>
    <row r="15746" spans="1:5" x14ac:dyDescent="0.25">
      <c r="A15746" s="1033"/>
      <c r="E15746" s="130"/>
    </row>
    <row r="15747" spans="1:5" x14ac:dyDescent="0.25">
      <c r="A15747" s="1033"/>
      <c r="E15747" s="130"/>
    </row>
    <row r="15748" spans="1:5" x14ac:dyDescent="0.25">
      <c r="A15748" s="1033"/>
      <c r="E15748" s="130"/>
    </row>
    <row r="15749" spans="1:5" x14ac:dyDescent="0.25">
      <c r="A15749" s="1033"/>
      <c r="E15749" s="130"/>
    </row>
    <row r="15750" spans="1:5" x14ac:dyDescent="0.25">
      <c r="A15750" s="1033"/>
      <c r="E15750" s="130"/>
    </row>
    <row r="15751" spans="1:5" x14ac:dyDescent="0.25">
      <c r="A15751" s="1033"/>
      <c r="E15751" s="130"/>
    </row>
    <row r="15752" spans="1:5" x14ac:dyDescent="0.25">
      <c r="A15752" s="1033"/>
      <c r="E15752" s="130"/>
    </row>
    <row r="15753" spans="1:5" x14ac:dyDescent="0.25">
      <c r="A15753" s="1033"/>
      <c r="E15753" s="130"/>
    </row>
    <row r="15754" spans="1:5" x14ac:dyDescent="0.25">
      <c r="A15754" s="1033"/>
      <c r="E15754" s="130"/>
    </row>
    <row r="15755" spans="1:5" x14ac:dyDescent="0.25">
      <c r="A15755" s="1033"/>
      <c r="E15755" s="130"/>
    </row>
    <row r="15756" spans="1:5" x14ac:dyDescent="0.25">
      <c r="A15756" s="1033"/>
      <c r="E15756" s="130"/>
    </row>
    <row r="15757" spans="1:5" x14ac:dyDescent="0.25">
      <c r="A15757" s="1033"/>
      <c r="E15757" s="130"/>
    </row>
    <row r="15758" spans="1:5" x14ac:dyDescent="0.25">
      <c r="A15758" s="1033"/>
      <c r="E15758" s="130"/>
    </row>
    <row r="15759" spans="1:5" x14ac:dyDescent="0.25">
      <c r="A15759" s="1033"/>
      <c r="E15759" s="130"/>
    </row>
    <row r="15760" spans="1:5" x14ac:dyDescent="0.25">
      <c r="A15760" s="1033"/>
      <c r="E15760" s="130"/>
    </row>
    <row r="15761" spans="1:5" x14ac:dyDescent="0.25">
      <c r="A15761" s="1033"/>
      <c r="E15761" s="130"/>
    </row>
    <row r="15762" spans="1:5" x14ac:dyDescent="0.25">
      <c r="A15762" s="1033"/>
      <c r="E15762" s="130"/>
    </row>
    <row r="15763" spans="1:5" x14ac:dyDescent="0.25">
      <c r="A15763" s="1033"/>
      <c r="E15763" s="130"/>
    </row>
    <row r="15764" spans="1:5" x14ac:dyDescent="0.25">
      <c r="A15764" s="1033"/>
      <c r="E15764" s="130"/>
    </row>
    <row r="15765" spans="1:5" x14ac:dyDescent="0.25">
      <c r="A15765" s="1033"/>
      <c r="E15765" s="130"/>
    </row>
    <row r="15766" spans="1:5" x14ac:dyDescent="0.25">
      <c r="A15766" s="1033"/>
      <c r="E15766" s="130"/>
    </row>
    <row r="15767" spans="1:5" x14ac:dyDescent="0.25">
      <c r="A15767" s="1033"/>
      <c r="E15767" s="130"/>
    </row>
    <row r="15768" spans="1:5" x14ac:dyDescent="0.25">
      <c r="A15768" s="1033"/>
      <c r="E15768" s="130"/>
    </row>
    <row r="15769" spans="1:5" x14ac:dyDescent="0.25">
      <c r="A15769" s="1033"/>
      <c r="E15769" s="130"/>
    </row>
    <row r="15770" spans="1:5" x14ac:dyDescent="0.25">
      <c r="A15770" s="1033"/>
      <c r="E15770" s="130"/>
    </row>
    <row r="15771" spans="1:5" x14ac:dyDescent="0.25">
      <c r="A15771" s="1033"/>
      <c r="E15771" s="130"/>
    </row>
    <row r="15772" spans="1:5" x14ac:dyDescent="0.25">
      <c r="A15772" s="1033"/>
      <c r="E15772" s="130"/>
    </row>
    <row r="15773" spans="1:5" x14ac:dyDescent="0.25">
      <c r="A15773" s="1033"/>
      <c r="E15773" s="130"/>
    </row>
    <row r="15774" spans="1:5" x14ac:dyDescent="0.25">
      <c r="A15774" s="1033"/>
      <c r="E15774" s="130"/>
    </row>
    <row r="15775" spans="1:5" x14ac:dyDescent="0.25">
      <c r="A15775" s="1033"/>
      <c r="E15775" s="130"/>
    </row>
    <row r="15776" spans="1:5" x14ac:dyDescent="0.25">
      <c r="A15776" s="1033"/>
      <c r="E15776" s="130"/>
    </row>
    <row r="15777" spans="1:5" x14ac:dyDescent="0.25">
      <c r="A15777" s="1033"/>
      <c r="E15777" s="130"/>
    </row>
    <row r="15778" spans="1:5" x14ac:dyDescent="0.25">
      <c r="A15778" s="1033"/>
      <c r="E15778" s="130"/>
    </row>
    <row r="15779" spans="1:5" x14ac:dyDescent="0.25">
      <c r="A15779" s="1033"/>
      <c r="E15779" s="130"/>
    </row>
    <row r="15780" spans="1:5" x14ac:dyDescent="0.25">
      <c r="A15780" s="1033"/>
      <c r="E15780" s="130"/>
    </row>
    <row r="15781" spans="1:5" x14ac:dyDescent="0.25">
      <c r="A15781" s="1033"/>
      <c r="E15781" s="130"/>
    </row>
    <row r="15782" spans="1:5" x14ac:dyDescent="0.25">
      <c r="A15782" s="1033"/>
      <c r="E15782" s="130"/>
    </row>
    <row r="15783" spans="1:5" x14ac:dyDescent="0.25">
      <c r="A15783" s="1033"/>
      <c r="E15783" s="130"/>
    </row>
    <row r="15784" spans="1:5" x14ac:dyDescent="0.25">
      <c r="A15784" s="1033"/>
      <c r="E15784" s="130"/>
    </row>
    <row r="15785" spans="1:5" x14ac:dyDescent="0.25">
      <c r="A15785" s="1033"/>
      <c r="E15785" s="130"/>
    </row>
    <row r="15786" spans="1:5" x14ac:dyDescent="0.25">
      <c r="A15786" s="1033"/>
      <c r="E15786" s="130"/>
    </row>
    <row r="15787" spans="1:5" x14ac:dyDescent="0.25">
      <c r="A15787" s="1033"/>
      <c r="E15787" s="130"/>
    </row>
    <row r="15788" spans="1:5" x14ac:dyDescent="0.25">
      <c r="A15788" s="1033"/>
      <c r="E15788" s="130"/>
    </row>
    <row r="15789" spans="1:5" x14ac:dyDescent="0.25">
      <c r="A15789" s="1033"/>
      <c r="E15789" s="130"/>
    </row>
    <row r="15790" spans="1:5" x14ac:dyDescent="0.25">
      <c r="A15790" s="1033"/>
      <c r="E15790" s="130"/>
    </row>
    <row r="15791" spans="1:5" x14ac:dyDescent="0.25">
      <c r="A15791" s="1033"/>
      <c r="E15791" s="130"/>
    </row>
    <row r="15792" spans="1:5" x14ac:dyDescent="0.25">
      <c r="A15792" s="1033"/>
      <c r="E15792" s="130"/>
    </row>
    <row r="15793" spans="1:5" x14ac:dyDescent="0.25">
      <c r="A15793" s="1033"/>
      <c r="E15793" s="130"/>
    </row>
    <row r="15794" spans="1:5" x14ac:dyDescent="0.25">
      <c r="A15794" s="1033"/>
      <c r="E15794" s="130"/>
    </row>
    <row r="15795" spans="1:5" x14ac:dyDescent="0.25">
      <c r="A15795" s="1033"/>
      <c r="E15795" s="130"/>
    </row>
    <row r="15796" spans="1:5" x14ac:dyDescent="0.25">
      <c r="A15796" s="1033"/>
      <c r="E15796" s="130"/>
    </row>
    <row r="15797" spans="1:5" x14ac:dyDescent="0.25">
      <c r="A15797" s="1033"/>
      <c r="E15797" s="130"/>
    </row>
    <row r="15798" spans="1:5" x14ac:dyDescent="0.25">
      <c r="A15798" s="1033"/>
      <c r="E15798" s="130"/>
    </row>
    <row r="15799" spans="1:5" x14ac:dyDescent="0.25">
      <c r="A15799" s="1033"/>
      <c r="E15799" s="130"/>
    </row>
    <row r="15800" spans="1:5" x14ac:dyDescent="0.25">
      <c r="A15800" s="1033"/>
      <c r="E15800" s="130"/>
    </row>
    <row r="15801" spans="1:5" x14ac:dyDescent="0.25">
      <c r="A15801" s="1033"/>
      <c r="E15801" s="130"/>
    </row>
    <row r="15802" spans="1:5" x14ac:dyDescent="0.25">
      <c r="A15802" s="1033"/>
      <c r="E15802" s="130"/>
    </row>
    <row r="15803" spans="1:5" x14ac:dyDescent="0.25">
      <c r="A15803" s="1033"/>
      <c r="E15803" s="130"/>
    </row>
    <row r="15804" spans="1:5" x14ac:dyDescent="0.25">
      <c r="A15804" s="1033"/>
      <c r="E15804" s="130"/>
    </row>
    <row r="15805" spans="1:5" x14ac:dyDescent="0.25">
      <c r="A15805" s="1033"/>
      <c r="E15805" s="130"/>
    </row>
    <row r="15806" spans="1:5" x14ac:dyDescent="0.25">
      <c r="A15806" s="1033"/>
      <c r="E15806" s="130"/>
    </row>
    <row r="15807" spans="1:5" x14ac:dyDescent="0.25">
      <c r="A15807" s="1033"/>
      <c r="E15807" s="130"/>
    </row>
    <row r="15808" spans="1:5" x14ac:dyDescent="0.25">
      <c r="A15808" s="1033"/>
      <c r="E15808" s="130"/>
    </row>
    <row r="15809" spans="1:5" x14ac:dyDescent="0.25">
      <c r="A15809" s="1033"/>
      <c r="E15809" s="130"/>
    </row>
    <row r="15810" spans="1:5" x14ac:dyDescent="0.25">
      <c r="A15810" s="1033"/>
      <c r="E15810" s="130"/>
    </row>
    <row r="15811" spans="1:5" x14ac:dyDescent="0.25">
      <c r="A15811" s="1033"/>
      <c r="E15811" s="130"/>
    </row>
    <row r="15812" spans="1:5" x14ac:dyDescent="0.25">
      <c r="A15812" s="1033"/>
      <c r="E15812" s="130"/>
    </row>
    <row r="15813" spans="1:5" x14ac:dyDescent="0.25">
      <c r="A15813" s="1033"/>
      <c r="E15813" s="130"/>
    </row>
    <row r="15814" spans="1:5" x14ac:dyDescent="0.25">
      <c r="A15814" s="1033"/>
      <c r="E15814" s="130"/>
    </row>
    <row r="15815" spans="1:5" x14ac:dyDescent="0.25">
      <c r="A15815" s="1033"/>
      <c r="E15815" s="130"/>
    </row>
    <row r="15816" spans="1:5" x14ac:dyDescent="0.25">
      <c r="A15816" s="1033"/>
      <c r="E15816" s="130"/>
    </row>
    <row r="15817" spans="1:5" x14ac:dyDescent="0.25">
      <c r="A15817" s="1033"/>
      <c r="E15817" s="130"/>
    </row>
    <row r="15818" spans="1:5" x14ac:dyDescent="0.25">
      <c r="A15818" s="1033"/>
      <c r="E15818" s="130"/>
    </row>
    <row r="15819" spans="1:5" x14ac:dyDescent="0.25">
      <c r="A15819" s="1033"/>
      <c r="E15819" s="130"/>
    </row>
    <row r="15820" spans="1:5" x14ac:dyDescent="0.25">
      <c r="A15820" s="1033"/>
      <c r="E15820" s="130"/>
    </row>
    <row r="15821" spans="1:5" x14ac:dyDescent="0.25">
      <c r="A15821" s="1033"/>
      <c r="E15821" s="130"/>
    </row>
    <row r="15822" spans="1:5" x14ac:dyDescent="0.25">
      <c r="A15822" s="1033"/>
      <c r="E15822" s="130"/>
    </row>
    <row r="15823" spans="1:5" x14ac:dyDescent="0.25">
      <c r="A15823" s="1033"/>
      <c r="E15823" s="130"/>
    </row>
    <row r="15824" spans="1:5" x14ac:dyDescent="0.25">
      <c r="A15824" s="1033"/>
      <c r="E15824" s="130"/>
    </row>
    <row r="15825" spans="1:5" x14ac:dyDescent="0.25">
      <c r="A15825" s="1033"/>
      <c r="E15825" s="130"/>
    </row>
    <row r="15826" spans="1:5" x14ac:dyDescent="0.25">
      <c r="A15826" s="1033"/>
      <c r="E15826" s="130"/>
    </row>
    <row r="15827" spans="1:5" x14ac:dyDescent="0.25">
      <c r="A15827" s="1033"/>
      <c r="E15827" s="130"/>
    </row>
    <row r="15828" spans="1:5" x14ac:dyDescent="0.25">
      <c r="A15828" s="1033"/>
      <c r="E15828" s="130"/>
    </row>
    <row r="15829" spans="1:5" x14ac:dyDescent="0.25">
      <c r="A15829" s="1033"/>
      <c r="E15829" s="130"/>
    </row>
    <row r="15830" spans="1:5" x14ac:dyDescent="0.25">
      <c r="A15830" s="1033"/>
      <c r="E15830" s="130"/>
    </row>
    <row r="15831" spans="1:5" x14ac:dyDescent="0.25">
      <c r="A15831" s="1033"/>
      <c r="E15831" s="130"/>
    </row>
    <row r="15832" spans="1:5" x14ac:dyDescent="0.25">
      <c r="A15832" s="1033"/>
      <c r="E15832" s="130"/>
    </row>
    <row r="15833" spans="1:5" x14ac:dyDescent="0.25">
      <c r="A15833" s="1033"/>
      <c r="E15833" s="130"/>
    </row>
    <row r="15834" spans="1:5" x14ac:dyDescent="0.25">
      <c r="A15834" s="1033"/>
      <c r="E15834" s="130"/>
    </row>
    <row r="15835" spans="1:5" x14ac:dyDescent="0.25">
      <c r="A15835" s="1033"/>
      <c r="E15835" s="130"/>
    </row>
    <row r="15836" spans="1:5" x14ac:dyDescent="0.25">
      <c r="A15836" s="1033"/>
      <c r="E15836" s="130"/>
    </row>
    <row r="15837" spans="1:5" x14ac:dyDescent="0.25">
      <c r="A15837" s="1033"/>
      <c r="E15837" s="130"/>
    </row>
    <row r="15838" spans="1:5" x14ac:dyDescent="0.25">
      <c r="A15838" s="1033"/>
      <c r="E15838" s="130"/>
    </row>
    <row r="15839" spans="1:5" x14ac:dyDescent="0.25">
      <c r="A15839" s="1033"/>
      <c r="E15839" s="130"/>
    </row>
    <row r="15840" spans="1:5" x14ac:dyDescent="0.25">
      <c r="A15840" s="1033"/>
      <c r="E15840" s="130"/>
    </row>
    <row r="15841" spans="1:5" x14ac:dyDescent="0.25">
      <c r="A15841" s="1033"/>
      <c r="E15841" s="130"/>
    </row>
    <row r="15842" spans="1:5" x14ac:dyDescent="0.25">
      <c r="A15842" s="1033"/>
      <c r="E15842" s="130"/>
    </row>
    <row r="15843" spans="1:5" x14ac:dyDescent="0.25">
      <c r="A15843" s="1033"/>
      <c r="E15843" s="130"/>
    </row>
    <row r="15844" spans="1:5" x14ac:dyDescent="0.25">
      <c r="A15844" s="1033"/>
      <c r="E15844" s="130"/>
    </row>
    <row r="15845" spans="1:5" x14ac:dyDescent="0.25">
      <c r="A15845" s="1033"/>
      <c r="E15845" s="130"/>
    </row>
    <row r="15846" spans="1:5" x14ac:dyDescent="0.25">
      <c r="A15846" s="1033"/>
      <c r="E15846" s="130"/>
    </row>
    <row r="15847" spans="1:5" x14ac:dyDescent="0.25">
      <c r="A15847" s="1033"/>
      <c r="E15847" s="130"/>
    </row>
    <row r="15848" spans="1:5" x14ac:dyDescent="0.25">
      <c r="A15848" s="1033"/>
      <c r="E15848" s="130"/>
    </row>
    <row r="15849" spans="1:5" x14ac:dyDescent="0.25">
      <c r="A15849" s="1033"/>
      <c r="E15849" s="130"/>
    </row>
    <row r="15850" spans="1:5" x14ac:dyDescent="0.25">
      <c r="A15850" s="1033"/>
      <c r="E15850" s="130"/>
    </row>
    <row r="15851" spans="1:5" x14ac:dyDescent="0.25">
      <c r="A15851" s="1033"/>
      <c r="E15851" s="130"/>
    </row>
    <row r="15852" spans="1:5" x14ac:dyDescent="0.25">
      <c r="A15852" s="1033"/>
      <c r="E15852" s="130"/>
    </row>
    <row r="15853" spans="1:5" x14ac:dyDescent="0.25">
      <c r="A15853" s="1033"/>
      <c r="E15853" s="130"/>
    </row>
    <row r="15854" spans="1:5" x14ac:dyDescent="0.25">
      <c r="A15854" s="1033"/>
      <c r="E15854" s="130"/>
    </row>
    <row r="15855" spans="1:5" x14ac:dyDescent="0.25">
      <c r="A15855" s="1033"/>
      <c r="E15855" s="130"/>
    </row>
    <row r="15856" spans="1:5" x14ac:dyDescent="0.25">
      <c r="A15856" s="1033"/>
      <c r="E15856" s="130"/>
    </row>
    <row r="15857" spans="1:5" x14ac:dyDescent="0.25">
      <c r="A15857" s="1033"/>
      <c r="E15857" s="130"/>
    </row>
    <row r="15858" spans="1:5" x14ac:dyDescent="0.25">
      <c r="A15858" s="1033"/>
      <c r="E15858" s="130"/>
    </row>
    <row r="15859" spans="1:5" x14ac:dyDescent="0.25">
      <c r="A15859" s="1033"/>
      <c r="E15859" s="130"/>
    </row>
    <row r="15860" spans="1:5" x14ac:dyDescent="0.25">
      <c r="A15860" s="1033"/>
      <c r="E15860" s="130"/>
    </row>
    <row r="15861" spans="1:5" x14ac:dyDescent="0.25">
      <c r="A15861" s="1033"/>
      <c r="E15861" s="130"/>
    </row>
    <row r="15862" spans="1:5" x14ac:dyDescent="0.25">
      <c r="A15862" s="1033"/>
      <c r="E15862" s="130"/>
    </row>
    <row r="15863" spans="1:5" x14ac:dyDescent="0.25">
      <c r="A15863" s="1033"/>
      <c r="E15863" s="130"/>
    </row>
    <row r="15864" spans="1:5" x14ac:dyDescent="0.25">
      <c r="A15864" s="1033"/>
      <c r="E15864" s="130"/>
    </row>
    <row r="15865" spans="1:5" x14ac:dyDescent="0.25">
      <c r="A15865" s="1033"/>
      <c r="E15865" s="130"/>
    </row>
    <row r="15866" spans="1:5" x14ac:dyDescent="0.25">
      <c r="A15866" s="1033"/>
      <c r="E15866" s="130"/>
    </row>
    <row r="15867" spans="1:5" x14ac:dyDescent="0.25">
      <c r="A15867" s="1033"/>
      <c r="E15867" s="130"/>
    </row>
    <row r="15868" spans="1:5" x14ac:dyDescent="0.25">
      <c r="A15868" s="1033"/>
      <c r="E15868" s="130"/>
    </row>
    <row r="15869" spans="1:5" x14ac:dyDescent="0.25">
      <c r="A15869" s="1033"/>
      <c r="E15869" s="130"/>
    </row>
    <row r="15870" spans="1:5" x14ac:dyDescent="0.25">
      <c r="A15870" s="1033"/>
      <c r="E15870" s="130"/>
    </row>
    <row r="15871" spans="1:5" x14ac:dyDescent="0.25">
      <c r="A15871" s="1033"/>
      <c r="E15871" s="130"/>
    </row>
    <row r="15872" spans="1:5" x14ac:dyDescent="0.25">
      <c r="A15872" s="1033"/>
      <c r="E15872" s="130"/>
    </row>
    <row r="15873" spans="1:5" x14ac:dyDescent="0.25">
      <c r="A15873" s="1033"/>
      <c r="E15873" s="130"/>
    </row>
    <row r="15874" spans="1:5" x14ac:dyDescent="0.25">
      <c r="A15874" s="1033"/>
      <c r="E15874" s="130"/>
    </row>
    <row r="15875" spans="1:5" x14ac:dyDescent="0.25">
      <c r="A15875" s="1033"/>
      <c r="E15875" s="130"/>
    </row>
    <row r="15876" spans="1:5" x14ac:dyDescent="0.25">
      <c r="A15876" s="1033"/>
      <c r="E15876" s="130"/>
    </row>
    <row r="15877" spans="1:5" x14ac:dyDescent="0.25">
      <c r="A15877" s="1033"/>
      <c r="E15877" s="130"/>
    </row>
    <row r="15878" spans="1:5" x14ac:dyDescent="0.25">
      <c r="A15878" s="1033"/>
      <c r="E15878" s="130"/>
    </row>
    <row r="15879" spans="1:5" x14ac:dyDescent="0.25">
      <c r="A15879" s="1033"/>
      <c r="E15879" s="130"/>
    </row>
    <row r="15880" spans="1:5" x14ac:dyDescent="0.25">
      <c r="A15880" s="1033"/>
      <c r="E15880" s="130"/>
    </row>
    <row r="15881" spans="1:5" x14ac:dyDescent="0.25">
      <c r="A15881" s="1033"/>
      <c r="E15881" s="130"/>
    </row>
    <row r="15882" spans="1:5" x14ac:dyDescent="0.25">
      <c r="A15882" s="1033"/>
      <c r="E15882" s="130"/>
    </row>
    <row r="15883" spans="1:5" x14ac:dyDescent="0.25">
      <c r="A15883" s="1033"/>
      <c r="E15883" s="130"/>
    </row>
    <row r="15884" spans="1:5" x14ac:dyDescent="0.25">
      <c r="A15884" s="1033"/>
      <c r="E15884" s="130"/>
    </row>
    <row r="15885" spans="1:5" x14ac:dyDescent="0.25">
      <c r="A15885" s="1033"/>
      <c r="E15885" s="130"/>
    </row>
    <row r="15886" spans="1:5" x14ac:dyDescent="0.25">
      <c r="A15886" s="1033"/>
      <c r="E15886" s="130"/>
    </row>
    <row r="15887" spans="1:5" x14ac:dyDescent="0.25">
      <c r="A15887" s="1033"/>
      <c r="E15887" s="130"/>
    </row>
    <row r="15888" spans="1:5" x14ac:dyDescent="0.25">
      <c r="A15888" s="1033"/>
      <c r="E15888" s="130"/>
    </row>
    <row r="15889" spans="1:5" x14ac:dyDescent="0.25">
      <c r="A15889" s="1033"/>
      <c r="E15889" s="130"/>
    </row>
    <row r="15890" spans="1:5" x14ac:dyDescent="0.25">
      <c r="A15890" s="1033"/>
      <c r="E15890" s="130"/>
    </row>
    <row r="15891" spans="1:5" x14ac:dyDescent="0.25">
      <c r="A15891" s="1033"/>
      <c r="E15891" s="130"/>
    </row>
    <row r="15892" spans="1:5" x14ac:dyDescent="0.25">
      <c r="A15892" s="1033"/>
      <c r="E15892" s="130"/>
    </row>
    <row r="15893" spans="1:5" x14ac:dyDescent="0.25">
      <c r="A15893" s="1033"/>
      <c r="E15893" s="130"/>
    </row>
    <row r="15894" spans="1:5" x14ac:dyDescent="0.25">
      <c r="A15894" s="1033"/>
      <c r="E15894" s="130"/>
    </row>
    <row r="15895" spans="1:5" x14ac:dyDescent="0.25">
      <c r="A15895" s="1033"/>
      <c r="E15895" s="130"/>
    </row>
    <row r="15896" spans="1:5" x14ac:dyDescent="0.25">
      <c r="A15896" s="1033"/>
      <c r="E15896" s="130"/>
    </row>
    <row r="15897" spans="1:5" x14ac:dyDescent="0.25">
      <c r="A15897" s="1033"/>
      <c r="E15897" s="130"/>
    </row>
    <row r="15898" spans="1:5" x14ac:dyDescent="0.25">
      <c r="A15898" s="1033"/>
      <c r="E15898" s="130"/>
    </row>
    <row r="15899" spans="1:5" x14ac:dyDescent="0.25">
      <c r="A15899" s="1033"/>
      <c r="E15899" s="130"/>
    </row>
    <row r="15900" spans="1:5" x14ac:dyDescent="0.25">
      <c r="A15900" s="1033"/>
      <c r="E15900" s="130"/>
    </row>
    <row r="15901" spans="1:5" x14ac:dyDescent="0.25">
      <c r="A15901" s="1033"/>
      <c r="E15901" s="130"/>
    </row>
    <row r="15902" spans="1:5" x14ac:dyDescent="0.25">
      <c r="A15902" s="1033"/>
      <c r="E15902" s="130"/>
    </row>
    <row r="15903" spans="1:5" x14ac:dyDescent="0.25">
      <c r="A15903" s="1033"/>
      <c r="E15903" s="130"/>
    </row>
    <row r="15904" spans="1:5" x14ac:dyDescent="0.25">
      <c r="A15904" s="1033"/>
      <c r="E15904" s="130"/>
    </row>
    <row r="15905" spans="1:5" x14ac:dyDescent="0.25">
      <c r="A15905" s="1033"/>
      <c r="E15905" s="130"/>
    </row>
    <row r="15906" spans="1:5" x14ac:dyDescent="0.25">
      <c r="A15906" s="1033"/>
      <c r="E15906" s="130"/>
    </row>
    <row r="15907" spans="1:5" x14ac:dyDescent="0.25">
      <c r="A15907" s="1033"/>
      <c r="E15907" s="130"/>
    </row>
    <row r="15908" spans="1:5" x14ac:dyDescent="0.25">
      <c r="A15908" s="1033"/>
      <c r="E15908" s="130"/>
    </row>
    <row r="15909" spans="1:5" x14ac:dyDescent="0.25">
      <c r="A15909" s="1033"/>
      <c r="E15909" s="130"/>
    </row>
    <row r="15910" spans="1:5" x14ac:dyDescent="0.25">
      <c r="A15910" s="1033"/>
      <c r="E15910" s="130"/>
    </row>
    <row r="15911" spans="1:5" x14ac:dyDescent="0.25">
      <c r="A15911" s="1033"/>
      <c r="E15911" s="130"/>
    </row>
    <row r="15912" spans="1:5" x14ac:dyDescent="0.25">
      <c r="A15912" s="1033"/>
      <c r="E15912" s="130"/>
    </row>
    <row r="15913" spans="1:5" x14ac:dyDescent="0.25">
      <c r="A15913" s="1033"/>
      <c r="E15913" s="130"/>
    </row>
    <row r="15914" spans="1:5" x14ac:dyDescent="0.25">
      <c r="A15914" s="1033"/>
      <c r="E15914" s="130"/>
    </row>
    <row r="15915" spans="1:5" x14ac:dyDescent="0.25">
      <c r="A15915" s="1033"/>
      <c r="E15915" s="130"/>
    </row>
    <row r="15916" spans="1:5" x14ac:dyDescent="0.25">
      <c r="A15916" s="1033"/>
      <c r="E15916" s="130"/>
    </row>
    <row r="15917" spans="1:5" x14ac:dyDescent="0.25">
      <c r="A15917" s="1033"/>
      <c r="E15917" s="130"/>
    </row>
    <row r="15918" spans="1:5" x14ac:dyDescent="0.25">
      <c r="A15918" s="1033"/>
      <c r="E15918" s="130"/>
    </row>
    <row r="15919" spans="1:5" x14ac:dyDescent="0.25">
      <c r="A15919" s="1033"/>
      <c r="E15919" s="130"/>
    </row>
    <row r="15920" spans="1:5" x14ac:dyDescent="0.25">
      <c r="A15920" s="1033"/>
      <c r="E15920" s="130"/>
    </row>
    <row r="15921" spans="1:5" x14ac:dyDescent="0.25">
      <c r="A15921" s="1033"/>
      <c r="E15921" s="130"/>
    </row>
    <row r="15922" spans="1:5" x14ac:dyDescent="0.25">
      <c r="A15922" s="1033"/>
      <c r="E15922" s="130"/>
    </row>
    <row r="15923" spans="1:5" x14ac:dyDescent="0.25">
      <c r="A15923" s="1033"/>
      <c r="E15923" s="130"/>
    </row>
    <row r="15924" spans="1:5" x14ac:dyDescent="0.25">
      <c r="A15924" s="1033"/>
      <c r="E15924" s="130"/>
    </row>
    <row r="15925" spans="1:5" x14ac:dyDescent="0.25">
      <c r="A15925" s="1033"/>
      <c r="E15925" s="130"/>
    </row>
    <row r="15926" spans="1:5" x14ac:dyDescent="0.25">
      <c r="A15926" s="1033"/>
      <c r="E15926" s="130"/>
    </row>
    <row r="15927" spans="1:5" x14ac:dyDescent="0.25">
      <c r="A15927" s="1033"/>
      <c r="E15927" s="130"/>
    </row>
    <row r="15928" spans="1:5" x14ac:dyDescent="0.25">
      <c r="A15928" s="1033"/>
      <c r="E15928" s="130"/>
    </row>
    <row r="15929" spans="1:5" x14ac:dyDescent="0.25">
      <c r="A15929" s="1033"/>
      <c r="E15929" s="130"/>
    </row>
    <row r="15930" spans="1:5" x14ac:dyDescent="0.25">
      <c r="A15930" s="1033"/>
      <c r="E15930" s="130"/>
    </row>
    <row r="15931" spans="1:5" x14ac:dyDescent="0.25">
      <c r="A15931" s="1033"/>
      <c r="E15931" s="130"/>
    </row>
    <row r="15932" spans="1:5" x14ac:dyDescent="0.25">
      <c r="A15932" s="1033"/>
      <c r="E15932" s="130"/>
    </row>
    <row r="15933" spans="1:5" x14ac:dyDescent="0.25">
      <c r="A15933" s="1033"/>
      <c r="E15933" s="130"/>
    </row>
    <row r="15934" spans="1:5" x14ac:dyDescent="0.25">
      <c r="A15934" s="1033"/>
      <c r="E15934" s="130"/>
    </row>
    <row r="15935" spans="1:5" x14ac:dyDescent="0.25">
      <c r="A15935" s="1033"/>
      <c r="E15935" s="130"/>
    </row>
    <row r="15936" spans="1:5" x14ac:dyDescent="0.25">
      <c r="A15936" s="1033"/>
      <c r="E15936" s="130"/>
    </row>
    <row r="15937" spans="1:5" x14ac:dyDescent="0.25">
      <c r="A15937" s="1033"/>
      <c r="E15937" s="130"/>
    </row>
    <row r="15938" spans="1:5" x14ac:dyDescent="0.25">
      <c r="A15938" s="1033"/>
      <c r="E15938" s="130"/>
    </row>
    <row r="15939" spans="1:5" x14ac:dyDescent="0.25">
      <c r="A15939" s="1033"/>
      <c r="E15939" s="130"/>
    </row>
    <row r="15940" spans="1:5" x14ac:dyDescent="0.25">
      <c r="A15940" s="1033"/>
      <c r="E15940" s="130"/>
    </row>
    <row r="15941" spans="1:5" x14ac:dyDescent="0.25">
      <c r="A15941" s="1033"/>
      <c r="E15941" s="130"/>
    </row>
    <row r="15942" spans="1:5" x14ac:dyDescent="0.25">
      <c r="A15942" s="1033"/>
      <c r="E15942" s="130"/>
    </row>
    <row r="15943" spans="1:5" x14ac:dyDescent="0.25">
      <c r="A15943" s="1033"/>
      <c r="E15943" s="130"/>
    </row>
    <row r="15944" spans="1:5" x14ac:dyDescent="0.25">
      <c r="A15944" s="1033"/>
      <c r="E15944" s="130"/>
    </row>
    <row r="15945" spans="1:5" x14ac:dyDescent="0.25">
      <c r="A15945" s="1033"/>
      <c r="E15945" s="130"/>
    </row>
    <row r="15946" spans="1:5" x14ac:dyDescent="0.25">
      <c r="A15946" s="1033"/>
      <c r="E15946" s="130"/>
    </row>
    <row r="15947" spans="1:5" x14ac:dyDescent="0.25">
      <c r="A15947" s="1033"/>
      <c r="E15947" s="130"/>
    </row>
    <row r="15948" spans="1:5" x14ac:dyDescent="0.25">
      <c r="A15948" s="1033"/>
      <c r="E15948" s="130"/>
    </row>
    <row r="15949" spans="1:5" x14ac:dyDescent="0.25">
      <c r="A15949" s="1033"/>
      <c r="E15949" s="130"/>
    </row>
    <row r="15950" spans="1:5" x14ac:dyDescent="0.25">
      <c r="A15950" s="1033"/>
      <c r="E15950" s="130"/>
    </row>
    <row r="15951" spans="1:5" x14ac:dyDescent="0.25">
      <c r="A15951" s="1033"/>
      <c r="E15951" s="130"/>
    </row>
    <row r="15952" spans="1:5" x14ac:dyDescent="0.25">
      <c r="A15952" s="1033"/>
      <c r="E15952" s="130"/>
    </row>
    <row r="15953" spans="1:5" x14ac:dyDescent="0.25">
      <c r="A15953" s="1033"/>
      <c r="E15953" s="130"/>
    </row>
    <row r="15954" spans="1:5" x14ac:dyDescent="0.25">
      <c r="A15954" s="1033"/>
      <c r="E15954" s="130"/>
    </row>
    <row r="15955" spans="1:5" x14ac:dyDescent="0.25">
      <c r="A15955" s="1033"/>
      <c r="E15955" s="130"/>
    </row>
    <row r="15956" spans="1:5" x14ac:dyDescent="0.25">
      <c r="A15956" s="1033"/>
      <c r="E15956" s="130"/>
    </row>
    <row r="15957" spans="1:5" x14ac:dyDescent="0.25">
      <c r="A15957" s="1033"/>
      <c r="E15957" s="130"/>
    </row>
    <row r="15958" spans="1:5" x14ac:dyDescent="0.25">
      <c r="A15958" s="1033"/>
      <c r="E15958" s="130"/>
    </row>
    <row r="15959" spans="1:5" x14ac:dyDescent="0.25">
      <c r="A15959" s="1033"/>
      <c r="E15959" s="130"/>
    </row>
    <row r="15960" spans="1:5" x14ac:dyDescent="0.25">
      <c r="A15960" s="1033"/>
      <c r="E15960" s="130"/>
    </row>
    <row r="15961" spans="1:5" x14ac:dyDescent="0.25">
      <c r="A15961" s="1033"/>
      <c r="E15961" s="130"/>
    </row>
    <row r="15962" spans="1:5" x14ac:dyDescent="0.25">
      <c r="A15962" s="1033"/>
      <c r="E15962" s="130"/>
    </row>
    <row r="15963" spans="1:5" x14ac:dyDescent="0.25">
      <c r="A15963" s="1033"/>
      <c r="E15963" s="130"/>
    </row>
    <row r="15964" spans="1:5" x14ac:dyDescent="0.25">
      <c r="A15964" s="1033"/>
      <c r="E15964" s="130"/>
    </row>
    <row r="15965" spans="1:5" x14ac:dyDescent="0.25">
      <c r="A15965" s="1033"/>
      <c r="E15965" s="130"/>
    </row>
    <row r="15966" spans="1:5" x14ac:dyDescent="0.25">
      <c r="A15966" s="1033"/>
      <c r="E15966" s="130"/>
    </row>
    <row r="15967" spans="1:5" x14ac:dyDescent="0.25">
      <c r="A15967" s="1033"/>
      <c r="E15967" s="130"/>
    </row>
    <row r="15968" spans="1:5" x14ac:dyDescent="0.25">
      <c r="A15968" s="1033"/>
      <c r="E15968" s="130"/>
    </row>
    <row r="15969" spans="1:5" x14ac:dyDescent="0.25">
      <c r="A15969" s="1033"/>
      <c r="E15969" s="130"/>
    </row>
    <row r="15970" spans="1:5" x14ac:dyDescent="0.25">
      <c r="A15970" s="1033"/>
      <c r="E15970" s="130"/>
    </row>
    <row r="15971" spans="1:5" x14ac:dyDescent="0.25">
      <c r="A15971" s="1033"/>
      <c r="E15971" s="130"/>
    </row>
    <row r="15972" spans="1:5" x14ac:dyDescent="0.25">
      <c r="A15972" s="1033"/>
      <c r="E15972" s="130"/>
    </row>
    <row r="15973" spans="1:5" x14ac:dyDescent="0.25">
      <c r="A15973" s="1033"/>
      <c r="E15973" s="130"/>
    </row>
    <row r="15974" spans="1:5" x14ac:dyDescent="0.25">
      <c r="A15974" s="1033"/>
      <c r="E15974" s="130"/>
    </row>
    <row r="15975" spans="1:5" x14ac:dyDescent="0.25">
      <c r="A15975" s="1033"/>
      <c r="E15975" s="130"/>
    </row>
    <row r="15976" spans="1:5" x14ac:dyDescent="0.25">
      <c r="A15976" s="1033"/>
      <c r="E15976" s="130"/>
    </row>
    <row r="15977" spans="1:5" x14ac:dyDescent="0.25">
      <c r="A15977" s="1033"/>
      <c r="E15977" s="130"/>
    </row>
    <row r="15978" spans="1:5" x14ac:dyDescent="0.25">
      <c r="A15978" s="1033"/>
      <c r="E15978" s="130"/>
    </row>
    <row r="15979" spans="1:5" x14ac:dyDescent="0.25">
      <c r="A15979" s="1033"/>
      <c r="E15979" s="130"/>
    </row>
    <row r="15980" spans="1:5" x14ac:dyDescent="0.25">
      <c r="A15980" s="1033"/>
      <c r="E15980" s="130"/>
    </row>
    <row r="15981" spans="1:5" x14ac:dyDescent="0.25">
      <c r="A15981" s="1033"/>
      <c r="E15981" s="130"/>
    </row>
    <row r="15982" spans="1:5" x14ac:dyDescent="0.25">
      <c r="A15982" s="1033"/>
      <c r="E15982" s="130"/>
    </row>
    <row r="15983" spans="1:5" x14ac:dyDescent="0.25">
      <c r="A15983" s="1033"/>
      <c r="E15983" s="130"/>
    </row>
    <row r="15984" spans="1:5" x14ac:dyDescent="0.25">
      <c r="A15984" s="1033"/>
      <c r="E15984" s="130"/>
    </row>
    <row r="15985" spans="1:5" x14ac:dyDescent="0.25">
      <c r="A15985" s="1033"/>
      <c r="E15985" s="130"/>
    </row>
    <row r="15986" spans="1:5" x14ac:dyDescent="0.25">
      <c r="A15986" s="1033"/>
      <c r="E15986" s="130"/>
    </row>
    <row r="15987" spans="1:5" x14ac:dyDescent="0.25">
      <c r="A15987" s="1033"/>
      <c r="E15987" s="130"/>
    </row>
    <row r="15988" spans="1:5" x14ac:dyDescent="0.25">
      <c r="A15988" s="1033"/>
      <c r="E15988" s="130"/>
    </row>
    <row r="15989" spans="1:5" x14ac:dyDescent="0.25">
      <c r="A15989" s="1033"/>
      <c r="E15989" s="130"/>
    </row>
    <row r="15990" spans="1:5" x14ac:dyDescent="0.25">
      <c r="A15990" s="1033"/>
      <c r="E15990" s="130"/>
    </row>
    <row r="15991" spans="1:5" x14ac:dyDescent="0.25">
      <c r="A15991" s="1033"/>
      <c r="E15991" s="130"/>
    </row>
    <row r="15992" spans="1:5" x14ac:dyDescent="0.25">
      <c r="A15992" s="1033"/>
      <c r="E15992" s="130"/>
    </row>
    <row r="15993" spans="1:5" x14ac:dyDescent="0.25">
      <c r="A15993" s="1033"/>
      <c r="E15993" s="130"/>
    </row>
    <row r="15994" spans="1:5" x14ac:dyDescent="0.25">
      <c r="A15994" s="1033"/>
      <c r="E15994" s="130"/>
    </row>
    <row r="15995" spans="1:5" x14ac:dyDescent="0.25">
      <c r="A15995" s="1033"/>
      <c r="E15995" s="130"/>
    </row>
    <row r="15996" spans="1:5" x14ac:dyDescent="0.25">
      <c r="A15996" s="1033"/>
      <c r="E15996" s="130"/>
    </row>
    <row r="15997" spans="1:5" x14ac:dyDescent="0.25">
      <c r="A15997" s="1033"/>
      <c r="E15997" s="130"/>
    </row>
    <row r="15998" spans="1:5" x14ac:dyDescent="0.25">
      <c r="A15998" s="1033"/>
      <c r="E15998" s="130"/>
    </row>
    <row r="15999" spans="1:5" x14ac:dyDescent="0.25">
      <c r="A15999" s="1033"/>
      <c r="E15999" s="130"/>
    </row>
    <row r="16000" spans="1:5" x14ac:dyDescent="0.25">
      <c r="A16000" s="1033"/>
      <c r="E16000" s="130"/>
    </row>
    <row r="16001" spans="1:5" x14ac:dyDescent="0.25">
      <c r="A16001" s="1033"/>
      <c r="E16001" s="130"/>
    </row>
    <row r="16002" spans="1:5" x14ac:dyDescent="0.25">
      <c r="A16002" s="1033"/>
      <c r="E16002" s="130"/>
    </row>
    <row r="16003" spans="1:5" x14ac:dyDescent="0.25">
      <c r="A16003" s="1033"/>
      <c r="E16003" s="130"/>
    </row>
    <row r="16004" spans="1:5" x14ac:dyDescent="0.25">
      <c r="A16004" s="1033"/>
      <c r="E16004" s="130"/>
    </row>
    <row r="16005" spans="1:5" x14ac:dyDescent="0.25">
      <c r="A16005" s="1033"/>
      <c r="E16005" s="130"/>
    </row>
    <row r="16006" spans="1:5" x14ac:dyDescent="0.25">
      <c r="A16006" s="1033"/>
      <c r="E16006" s="130"/>
    </row>
    <row r="16007" spans="1:5" x14ac:dyDescent="0.25">
      <c r="A16007" s="1033"/>
      <c r="E16007" s="130"/>
    </row>
    <row r="16008" spans="1:5" x14ac:dyDescent="0.25">
      <c r="A16008" s="1033"/>
      <c r="E16008" s="130"/>
    </row>
    <row r="16009" spans="1:5" x14ac:dyDescent="0.25">
      <c r="A16009" s="1033"/>
      <c r="E16009" s="130"/>
    </row>
    <row r="16010" spans="1:5" x14ac:dyDescent="0.25">
      <c r="A16010" s="1033"/>
      <c r="E16010" s="130"/>
    </row>
    <row r="16011" spans="1:5" x14ac:dyDescent="0.25">
      <c r="A16011" s="1033"/>
      <c r="E16011" s="130"/>
    </row>
    <row r="16012" spans="1:5" x14ac:dyDescent="0.25">
      <c r="A16012" s="1033"/>
      <c r="E16012" s="130"/>
    </row>
    <row r="16013" spans="1:5" x14ac:dyDescent="0.25">
      <c r="A16013" s="1033"/>
      <c r="E16013" s="130"/>
    </row>
    <row r="16014" spans="1:5" x14ac:dyDescent="0.25">
      <c r="A16014" s="1033"/>
      <c r="E16014" s="130"/>
    </row>
    <row r="16015" spans="1:5" x14ac:dyDescent="0.25">
      <c r="A16015" s="1033"/>
      <c r="E16015" s="130"/>
    </row>
    <row r="16016" spans="1:5" x14ac:dyDescent="0.25">
      <c r="A16016" s="1033"/>
      <c r="E16016" s="130"/>
    </row>
    <row r="16017" spans="1:5" x14ac:dyDescent="0.25">
      <c r="A16017" s="1033"/>
      <c r="E16017" s="130"/>
    </row>
    <row r="16018" spans="1:5" x14ac:dyDescent="0.25">
      <c r="A16018" s="1033"/>
      <c r="E16018" s="130"/>
    </row>
    <row r="16019" spans="1:5" x14ac:dyDescent="0.25">
      <c r="A16019" s="1033"/>
      <c r="E16019" s="130"/>
    </row>
    <row r="16020" spans="1:5" x14ac:dyDescent="0.25">
      <c r="A16020" s="1033"/>
      <c r="E16020" s="130"/>
    </row>
    <row r="16021" spans="1:5" x14ac:dyDescent="0.25">
      <c r="A16021" s="1033"/>
      <c r="E16021" s="130"/>
    </row>
    <row r="16022" spans="1:5" x14ac:dyDescent="0.25">
      <c r="A16022" s="1033"/>
      <c r="E16022" s="130"/>
    </row>
    <row r="16023" spans="1:5" x14ac:dyDescent="0.25">
      <c r="A16023" s="1033"/>
      <c r="E16023" s="130"/>
    </row>
    <row r="16024" spans="1:5" x14ac:dyDescent="0.25">
      <c r="A16024" s="1033"/>
      <c r="E16024" s="130"/>
    </row>
    <row r="16025" spans="1:5" x14ac:dyDescent="0.25">
      <c r="A16025" s="1033"/>
      <c r="E16025" s="130"/>
    </row>
    <row r="16026" spans="1:5" x14ac:dyDescent="0.25">
      <c r="A16026" s="1033"/>
      <c r="E16026" s="130"/>
    </row>
    <row r="16027" spans="1:5" x14ac:dyDescent="0.25">
      <c r="A16027" s="1033"/>
      <c r="E16027" s="130"/>
    </row>
    <row r="16028" spans="1:5" x14ac:dyDescent="0.25">
      <c r="A16028" s="1033"/>
      <c r="E16028" s="130"/>
    </row>
    <row r="16029" spans="1:5" x14ac:dyDescent="0.25">
      <c r="A16029" s="1033"/>
      <c r="E16029" s="130"/>
    </row>
    <row r="16030" spans="1:5" x14ac:dyDescent="0.25">
      <c r="A16030" s="1033"/>
      <c r="E16030" s="130"/>
    </row>
    <row r="16031" spans="1:5" x14ac:dyDescent="0.25">
      <c r="A16031" s="1033"/>
      <c r="E16031" s="130"/>
    </row>
    <row r="16032" spans="1:5" x14ac:dyDescent="0.25">
      <c r="A16032" s="1033"/>
      <c r="E16032" s="130"/>
    </row>
    <row r="16033" spans="1:5" x14ac:dyDescent="0.25">
      <c r="A16033" s="1033"/>
      <c r="E16033" s="130"/>
    </row>
    <row r="16034" spans="1:5" x14ac:dyDescent="0.25">
      <c r="A16034" s="1033"/>
      <c r="E16034" s="130"/>
    </row>
    <row r="16035" spans="1:5" x14ac:dyDescent="0.25">
      <c r="A16035" s="1033"/>
      <c r="E16035" s="130"/>
    </row>
    <row r="16036" spans="1:5" x14ac:dyDescent="0.25">
      <c r="A16036" s="1033"/>
      <c r="E16036" s="130"/>
    </row>
    <row r="16037" spans="1:5" x14ac:dyDescent="0.25">
      <c r="A16037" s="1033"/>
      <c r="E16037" s="130"/>
    </row>
    <row r="16038" spans="1:5" x14ac:dyDescent="0.25">
      <c r="A16038" s="1033"/>
      <c r="E16038" s="130"/>
    </row>
    <row r="16039" spans="1:5" x14ac:dyDescent="0.25">
      <c r="A16039" s="1033"/>
      <c r="E16039" s="130"/>
    </row>
    <row r="16040" spans="1:5" x14ac:dyDescent="0.25">
      <c r="A16040" s="1033"/>
      <c r="E16040" s="130"/>
    </row>
    <row r="16041" spans="1:5" x14ac:dyDescent="0.25">
      <c r="A16041" s="1033"/>
      <c r="E16041" s="130"/>
    </row>
    <row r="16042" spans="1:5" x14ac:dyDescent="0.25">
      <c r="A16042" s="1033"/>
      <c r="E16042" s="130"/>
    </row>
    <row r="16043" spans="1:5" x14ac:dyDescent="0.25">
      <c r="A16043" s="1033"/>
      <c r="E16043" s="130"/>
    </row>
    <row r="16044" spans="1:5" x14ac:dyDescent="0.25">
      <c r="A16044" s="1033"/>
      <c r="E16044" s="130"/>
    </row>
    <row r="16045" spans="1:5" x14ac:dyDescent="0.25">
      <c r="A16045" s="1033"/>
      <c r="E16045" s="130"/>
    </row>
    <row r="16046" spans="1:5" x14ac:dyDescent="0.25">
      <c r="A16046" s="1033"/>
      <c r="E16046" s="130"/>
    </row>
    <row r="16047" spans="1:5" x14ac:dyDescent="0.25">
      <c r="A16047" s="1033"/>
      <c r="E16047" s="130"/>
    </row>
    <row r="16048" spans="1:5" x14ac:dyDescent="0.25">
      <c r="A16048" s="1033"/>
      <c r="E16048" s="130"/>
    </row>
    <row r="16049" spans="1:5" x14ac:dyDescent="0.25">
      <c r="A16049" s="1033"/>
      <c r="E16049" s="130"/>
    </row>
    <row r="16050" spans="1:5" x14ac:dyDescent="0.25">
      <c r="A16050" s="1033"/>
      <c r="E16050" s="130"/>
    </row>
    <row r="16051" spans="1:5" x14ac:dyDescent="0.25">
      <c r="A16051" s="1033"/>
      <c r="E16051" s="130"/>
    </row>
    <row r="16052" spans="1:5" x14ac:dyDescent="0.25">
      <c r="A16052" s="1033"/>
      <c r="E16052" s="130"/>
    </row>
    <row r="16053" spans="1:5" x14ac:dyDescent="0.25">
      <c r="A16053" s="1033"/>
      <c r="E16053" s="130"/>
    </row>
    <row r="16054" spans="1:5" x14ac:dyDescent="0.25">
      <c r="A16054" s="1033"/>
      <c r="E16054" s="130"/>
    </row>
    <row r="16055" spans="1:5" x14ac:dyDescent="0.25">
      <c r="A16055" s="1033"/>
      <c r="E16055" s="130"/>
    </row>
    <row r="16056" spans="1:5" x14ac:dyDescent="0.25">
      <c r="A16056" s="1033"/>
      <c r="E16056" s="130"/>
    </row>
    <row r="16057" spans="1:5" x14ac:dyDescent="0.25">
      <c r="A16057" s="1033"/>
      <c r="E16057" s="130"/>
    </row>
    <row r="16058" spans="1:5" x14ac:dyDescent="0.25">
      <c r="A16058" s="1033"/>
      <c r="E16058" s="130"/>
    </row>
    <row r="16059" spans="1:5" x14ac:dyDescent="0.25">
      <c r="A16059" s="1033"/>
      <c r="E16059" s="130"/>
    </row>
    <row r="16060" spans="1:5" x14ac:dyDescent="0.25">
      <c r="A16060" s="1033"/>
      <c r="E16060" s="130"/>
    </row>
    <row r="16061" spans="1:5" x14ac:dyDescent="0.25">
      <c r="A16061" s="1033"/>
      <c r="E16061" s="130"/>
    </row>
    <row r="16062" spans="1:5" x14ac:dyDescent="0.25">
      <c r="A16062" s="1033"/>
      <c r="E16062" s="130"/>
    </row>
    <row r="16063" spans="1:5" x14ac:dyDescent="0.25">
      <c r="A16063" s="1033"/>
      <c r="E16063" s="130"/>
    </row>
    <row r="16064" spans="1:5" x14ac:dyDescent="0.25">
      <c r="A16064" s="1033"/>
      <c r="E16064" s="130"/>
    </row>
    <row r="16065" spans="1:5" x14ac:dyDescent="0.25">
      <c r="A16065" s="1033"/>
      <c r="E16065" s="130"/>
    </row>
    <row r="16066" spans="1:5" x14ac:dyDescent="0.25">
      <c r="A16066" s="1033"/>
      <c r="E16066" s="130"/>
    </row>
    <row r="16067" spans="1:5" x14ac:dyDescent="0.25">
      <c r="A16067" s="1033"/>
      <c r="E16067" s="130"/>
    </row>
    <row r="16068" spans="1:5" x14ac:dyDescent="0.25">
      <c r="A16068" s="1033"/>
      <c r="E16068" s="130"/>
    </row>
    <row r="16069" spans="1:5" x14ac:dyDescent="0.25">
      <c r="A16069" s="1033"/>
      <c r="E16069" s="130"/>
    </row>
    <row r="16070" spans="1:5" x14ac:dyDescent="0.25">
      <c r="A16070" s="1033"/>
      <c r="E16070" s="130"/>
    </row>
    <row r="16071" spans="1:5" x14ac:dyDescent="0.25">
      <c r="A16071" s="1033"/>
      <c r="E16071" s="130"/>
    </row>
    <row r="16072" spans="1:5" x14ac:dyDescent="0.25">
      <c r="A16072" s="1033"/>
      <c r="E16072" s="130"/>
    </row>
    <row r="16073" spans="1:5" x14ac:dyDescent="0.25">
      <c r="A16073" s="1033"/>
      <c r="E16073" s="130"/>
    </row>
    <row r="16074" spans="1:5" x14ac:dyDescent="0.25">
      <c r="A16074" s="1033"/>
      <c r="E16074" s="130"/>
    </row>
    <row r="16075" spans="1:5" x14ac:dyDescent="0.25">
      <c r="A16075" s="1033"/>
      <c r="E16075" s="130"/>
    </row>
    <row r="16076" spans="1:5" x14ac:dyDescent="0.25">
      <c r="A16076" s="1033"/>
      <c r="E16076" s="130"/>
    </row>
    <row r="16077" spans="1:5" x14ac:dyDescent="0.25">
      <c r="A16077" s="1033"/>
      <c r="E16077" s="130"/>
    </row>
    <row r="16078" spans="1:5" x14ac:dyDescent="0.25">
      <c r="A16078" s="1033"/>
      <c r="E16078" s="130"/>
    </row>
    <row r="16079" spans="1:5" x14ac:dyDescent="0.25">
      <c r="A16079" s="1033"/>
      <c r="E16079" s="130"/>
    </row>
    <row r="16080" spans="1:5" x14ac:dyDescent="0.25">
      <c r="A16080" s="1033"/>
      <c r="E16080" s="130"/>
    </row>
    <row r="16081" spans="1:5" x14ac:dyDescent="0.25">
      <c r="A16081" s="1033"/>
      <c r="E16081" s="130"/>
    </row>
    <row r="16082" spans="1:5" x14ac:dyDescent="0.25">
      <c r="A16082" s="1033"/>
      <c r="E16082" s="130"/>
    </row>
    <row r="16083" spans="1:5" x14ac:dyDescent="0.25">
      <c r="A16083" s="1033"/>
      <c r="E16083" s="130"/>
    </row>
    <row r="16084" spans="1:5" x14ac:dyDescent="0.25">
      <c r="A16084" s="1033"/>
      <c r="E16084" s="130"/>
    </row>
    <row r="16085" spans="1:5" x14ac:dyDescent="0.25">
      <c r="A16085" s="1033"/>
      <c r="E16085" s="130"/>
    </row>
    <row r="16086" spans="1:5" x14ac:dyDescent="0.25">
      <c r="A16086" s="1033"/>
      <c r="E16086" s="130"/>
    </row>
    <row r="16087" spans="1:5" x14ac:dyDescent="0.25">
      <c r="A16087" s="1033"/>
      <c r="E16087" s="130"/>
    </row>
    <row r="16088" spans="1:5" x14ac:dyDescent="0.25">
      <c r="A16088" s="1033"/>
      <c r="E16088" s="130"/>
    </row>
    <row r="16089" spans="1:5" x14ac:dyDescent="0.25">
      <c r="A16089" s="1033"/>
      <c r="E16089" s="130"/>
    </row>
    <row r="16090" spans="1:5" x14ac:dyDescent="0.25">
      <c r="A16090" s="1033"/>
      <c r="E16090" s="130"/>
    </row>
    <row r="16091" spans="1:5" x14ac:dyDescent="0.25">
      <c r="A16091" s="1033"/>
      <c r="E16091" s="130"/>
    </row>
    <row r="16092" spans="1:5" x14ac:dyDescent="0.25">
      <c r="A16092" s="1033"/>
      <c r="E16092" s="130"/>
    </row>
    <row r="16093" spans="1:5" x14ac:dyDescent="0.25">
      <c r="A16093" s="1033"/>
      <c r="E16093" s="130"/>
    </row>
    <row r="16094" spans="1:5" x14ac:dyDescent="0.25">
      <c r="A16094" s="1033"/>
      <c r="E16094" s="130"/>
    </row>
    <row r="16095" spans="1:5" x14ac:dyDescent="0.25">
      <c r="A16095" s="1033"/>
      <c r="E16095" s="130"/>
    </row>
    <row r="16096" spans="1:5" x14ac:dyDescent="0.25">
      <c r="A16096" s="1033"/>
      <c r="E16096" s="130"/>
    </row>
    <row r="16097" spans="1:5" x14ac:dyDescent="0.25">
      <c r="A16097" s="1033"/>
      <c r="E16097" s="130"/>
    </row>
    <row r="16098" spans="1:5" x14ac:dyDescent="0.25">
      <c r="A16098" s="1033"/>
      <c r="E16098" s="130"/>
    </row>
    <row r="16099" spans="1:5" x14ac:dyDescent="0.25">
      <c r="A16099" s="1033"/>
      <c r="E16099" s="130"/>
    </row>
    <row r="16100" spans="1:5" x14ac:dyDescent="0.25">
      <c r="A16100" s="1033"/>
      <c r="E16100" s="130"/>
    </row>
    <row r="16101" spans="1:5" x14ac:dyDescent="0.25">
      <c r="A16101" s="1033"/>
      <c r="E16101" s="130"/>
    </row>
    <row r="16102" spans="1:5" x14ac:dyDescent="0.25">
      <c r="A16102" s="1033"/>
      <c r="E16102" s="130"/>
    </row>
    <row r="16103" spans="1:5" x14ac:dyDescent="0.25">
      <c r="A16103" s="1033"/>
      <c r="E16103" s="130"/>
    </row>
    <row r="16104" spans="1:5" x14ac:dyDescent="0.25">
      <c r="A16104" s="1033"/>
      <c r="E16104" s="130"/>
    </row>
    <row r="16105" spans="1:5" x14ac:dyDescent="0.25">
      <c r="A16105" s="1033"/>
      <c r="E16105" s="130"/>
    </row>
    <row r="16106" spans="1:5" x14ac:dyDescent="0.25">
      <c r="A16106" s="1033"/>
      <c r="E16106" s="130"/>
    </row>
    <row r="16107" spans="1:5" x14ac:dyDescent="0.25">
      <c r="A16107" s="1033"/>
      <c r="E16107" s="130"/>
    </row>
    <row r="16108" spans="1:5" x14ac:dyDescent="0.25">
      <c r="A16108" s="1033"/>
      <c r="E16108" s="130"/>
    </row>
    <row r="16109" spans="1:5" x14ac:dyDescent="0.25">
      <c r="A16109" s="1033"/>
      <c r="E16109" s="130"/>
    </row>
    <row r="16110" spans="1:5" x14ac:dyDescent="0.25">
      <c r="A16110" s="1033"/>
      <c r="E16110" s="130"/>
    </row>
    <row r="16111" spans="1:5" x14ac:dyDescent="0.25">
      <c r="A16111" s="1033"/>
      <c r="E16111" s="130"/>
    </row>
    <row r="16112" spans="1:5" x14ac:dyDescent="0.25">
      <c r="A16112" s="1033"/>
      <c r="E16112" s="130"/>
    </row>
    <row r="16113" spans="1:5" x14ac:dyDescent="0.25">
      <c r="A16113" s="1033"/>
      <c r="E16113" s="130"/>
    </row>
    <row r="16114" spans="1:5" x14ac:dyDescent="0.25">
      <c r="A16114" s="1033"/>
      <c r="E16114" s="130"/>
    </row>
    <row r="16115" spans="1:5" x14ac:dyDescent="0.25">
      <c r="A16115" s="1033"/>
      <c r="E16115" s="130"/>
    </row>
    <row r="16116" spans="1:5" x14ac:dyDescent="0.25">
      <c r="A16116" s="1033"/>
      <c r="E16116" s="130"/>
    </row>
    <row r="16117" spans="1:5" x14ac:dyDescent="0.25">
      <c r="A16117" s="1033"/>
      <c r="E16117" s="130"/>
    </row>
    <row r="16118" spans="1:5" x14ac:dyDescent="0.25">
      <c r="A16118" s="1033"/>
      <c r="E16118" s="130"/>
    </row>
    <row r="16119" spans="1:5" x14ac:dyDescent="0.25">
      <c r="A16119" s="1033"/>
      <c r="E16119" s="130"/>
    </row>
    <row r="16120" spans="1:5" x14ac:dyDescent="0.25">
      <c r="A16120" s="1033"/>
      <c r="E16120" s="130"/>
    </row>
    <row r="16121" spans="1:5" x14ac:dyDescent="0.25">
      <c r="A16121" s="1033"/>
      <c r="E16121" s="130"/>
    </row>
    <row r="16122" spans="1:5" x14ac:dyDescent="0.25">
      <c r="A16122" s="1033"/>
      <c r="E16122" s="130"/>
    </row>
    <row r="16123" spans="1:5" x14ac:dyDescent="0.25">
      <c r="A16123" s="1033"/>
      <c r="E16123" s="130"/>
    </row>
    <row r="16124" spans="1:5" x14ac:dyDescent="0.25">
      <c r="A16124" s="1033"/>
      <c r="E16124" s="130"/>
    </row>
    <row r="16125" spans="1:5" x14ac:dyDescent="0.25">
      <c r="A16125" s="1033"/>
      <c r="E16125" s="130"/>
    </row>
    <row r="16126" spans="1:5" x14ac:dyDescent="0.25">
      <c r="A16126" s="1033"/>
      <c r="E16126" s="130"/>
    </row>
    <row r="16127" spans="1:5" x14ac:dyDescent="0.25">
      <c r="A16127" s="1033"/>
      <c r="E16127" s="130"/>
    </row>
    <row r="16128" spans="1:5" x14ac:dyDescent="0.25">
      <c r="A16128" s="1033"/>
      <c r="E16128" s="130"/>
    </row>
    <row r="16129" spans="1:5" x14ac:dyDescent="0.25">
      <c r="A16129" s="1033"/>
      <c r="E16129" s="130"/>
    </row>
    <row r="16130" spans="1:5" x14ac:dyDescent="0.25">
      <c r="A16130" s="1033"/>
      <c r="E16130" s="130"/>
    </row>
    <row r="16131" spans="1:5" x14ac:dyDescent="0.25">
      <c r="A16131" s="1033"/>
      <c r="E16131" s="130"/>
    </row>
    <row r="16132" spans="1:5" x14ac:dyDescent="0.25">
      <c r="A16132" s="1033"/>
      <c r="E16132" s="130"/>
    </row>
    <row r="16133" spans="1:5" x14ac:dyDescent="0.25">
      <c r="A16133" s="1033"/>
      <c r="E16133" s="130"/>
    </row>
    <row r="16134" spans="1:5" x14ac:dyDescent="0.25">
      <c r="A16134" s="1033"/>
      <c r="E16134" s="130"/>
    </row>
    <row r="16135" spans="1:5" x14ac:dyDescent="0.25">
      <c r="A16135" s="1033"/>
      <c r="E16135" s="130"/>
    </row>
    <row r="16136" spans="1:5" x14ac:dyDescent="0.25">
      <c r="A16136" s="1033"/>
      <c r="E16136" s="130"/>
    </row>
    <row r="16137" spans="1:5" x14ac:dyDescent="0.25">
      <c r="A16137" s="1033"/>
      <c r="E16137" s="130"/>
    </row>
    <row r="16138" spans="1:5" x14ac:dyDescent="0.25">
      <c r="A16138" s="1033"/>
      <c r="E16138" s="130"/>
    </row>
    <row r="16139" spans="1:5" x14ac:dyDescent="0.25">
      <c r="A16139" s="1033"/>
      <c r="E16139" s="130"/>
    </row>
    <row r="16140" spans="1:5" x14ac:dyDescent="0.25">
      <c r="A16140" s="1033"/>
      <c r="E16140" s="130"/>
    </row>
    <row r="16141" spans="1:5" x14ac:dyDescent="0.25">
      <c r="A16141" s="1033"/>
      <c r="E16141" s="130"/>
    </row>
    <row r="16142" spans="1:5" x14ac:dyDescent="0.25">
      <c r="A16142" s="1033"/>
      <c r="E16142" s="130"/>
    </row>
    <row r="16143" spans="1:5" x14ac:dyDescent="0.25">
      <c r="A16143" s="1033"/>
      <c r="E16143" s="130"/>
    </row>
    <row r="16144" spans="1:5" x14ac:dyDescent="0.25">
      <c r="A16144" s="1033"/>
      <c r="E16144" s="130"/>
    </row>
    <row r="16145" spans="1:5" x14ac:dyDescent="0.25">
      <c r="A16145" s="1033"/>
      <c r="E16145" s="130"/>
    </row>
    <row r="16146" spans="1:5" x14ac:dyDescent="0.25">
      <c r="A16146" s="1033"/>
      <c r="E16146" s="130"/>
    </row>
    <row r="16147" spans="1:5" x14ac:dyDescent="0.25">
      <c r="A16147" s="1033"/>
      <c r="E16147" s="130"/>
    </row>
    <row r="16148" spans="1:5" x14ac:dyDescent="0.25">
      <c r="A16148" s="1033"/>
      <c r="E16148" s="130"/>
    </row>
    <row r="16149" spans="1:5" x14ac:dyDescent="0.25">
      <c r="A16149" s="1033"/>
      <c r="E16149" s="130"/>
    </row>
    <row r="16150" spans="1:5" x14ac:dyDescent="0.25">
      <c r="A16150" s="1033"/>
      <c r="E16150" s="130"/>
    </row>
    <row r="16151" spans="1:5" x14ac:dyDescent="0.25">
      <c r="A16151" s="1033"/>
      <c r="E16151" s="130"/>
    </row>
    <row r="16152" spans="1:5" x14ac:dyDescent="0.25">
      <c r="A16152" s="1033"/>
      <c r="E16152" s="130"/>
    </row>
    <row r="16153" spans="1:5" x14ac:dyDescent="0.25">
      <c r="A16153" s="1033"/>
      <c r="E16153" s="130"/>
    </row>
    <row r="16154" spans="1:5" x14ac:dyDescent="0.25">
      <c r="A16154" s="1033"/>
      <c r="E16154" s="130"/>
    </row>
    <row r="16155" spans="1:5" x14ac:dyDescent="0.25">
      <c r="A16155" s="1033"/>
      <c r="E16155" s="130"/>
    </row>
    <row r="16156" spans="1:5" x14ac:dyDescent="0.25">
      <c r="A16156" s="1033"/>
      <c r="E16156" s="130"/>
    </row>
    <row r="16157" spans="1:5" x14ac:dyDescent="0.25">
      <c r="A16157" s="1033"/>
      <c r="E16157" s="130"/>
    </row>
    <row r="16158" spans="1:5" x14ac:dyDescent="0.25">
      <c r="A16158" s="1033"/>
      <c r="E16158" s="130"/>
    </row>
    <row r="16159" spans="1:5" x14ac:dyDescent="0.25">
      <c r="A16159" s="1033"/>
      <c r="E16159" s="130"/>
    </row>
    <row r="16160" spans="1:5" x14ac:dyDescent="0.25">
      <c r="A16160" s="1033"/>
      <c r="E16160" s="130"/>
    </row>
    <row r="16161" spans="1:5" x14ac:dyDescent="0.25">
      <c r="A16161" s="1033"/>
      <c r="E16161" s="130"/>
    </row>
    <row r="16162" spans="1:5" x14ac:dyDescent="0.25">
      <c r="A16162" s="1033"/>
      <c r="E16162" s="130"/>
    </row>
    <row r="16163" spans="1:5" x14ac:dyDescent="0.25">
      <c r="A16163" s="1033"/>
      <c r="E16163" s="130"/>
    </row>
    <row r="16164" spans="1:5" x14ac:dyDescent="0.25">
      <c r="A16164" s="1033"/>
      <c r="E16164" s="130"/>
    </row>
    <row r="16165" spans="1:5" x14ac:dyDescent="0.25">
      <c r="A16165" s="1033"/>
      <c r="E16165" s="130"/>
    </row>
    <row r="16166" spans="1:5" x14ac:dyDescent="0.25">
      <c r="A16166" s="1033"/>
      <c r="E16166" s="130"/>
    </row>
    <row r="16167" spans="1:5" x14ac:dyDescent="0.25">
      <c r="A16167" s="1033"/>
      <c r="E16167" s="130"/>
    </row>
    <row r="16168" spans="1:5" x14ac:dyDescent="0.25">
      <c r="A16168" s="1033"/>
      <c r="E16168" s="130"/>
    </row>
    <row r="16169" spans="1:5" x14ac:dyDescent="0.25">
      <c r="A16169" s="1033"/>
      <c r="E16169" s="130"/>
    </row>
    <row r="16170" spans="1:5" x14ac:dyDescent="0.25">
      <c r="A16170" s="1033"/>
      <c r="E16170" s="130"/>
    </row>
    <row r="16171" spans="1:5" x14ac:dyDescent="0.25">
      <c r="A16171" s="1033"/>
      <c r="E16171" s="130"/>
    </row>
    <row r="16172" spans="1:5" x14ac:dyDescent="0.25">
      <c r="A16172" s="1033"/>
      <c r="E16172" s="130"/>
    </row>
    <row r="16173" spans="1:5" x14ac:dyDescent="0.25">
      <c r="A16173" s="1033"/>
      <c r="E16173" s="130"/>
    </row>
    <row r="16174" spans="1:5" x14ac:dyDescent="0.25">
      <c r="A16174" s="1033"/>
      <c r="E16174" s="130"/>
    </row>
    <row r="16175" spans="1:5" x14ac:dyDescent="0.25">
      <c r="A16175" s="1033"/>
      <c r="E16175" s="130"/>
    </row>
    <row r="16176" spans="1:5" x14ac:dyDescent="0.25">
      <c r="A16176" s="1033"/>
      <c r="E16176" s="130"/>
    </row>
    <row r="16177" spans="1:5" x14ac:dyDescent="0.25">
      <c r="A16177" s="1033"/>
      <c r="E16177" s="130"/>
    </row>
    <row r="16178" spans="1:5" x14ac:dyDescent="0.25">
      <c r="A16178" s="1033"/>
      <c r="E16178" s="130"/>
    </row>
    <row r="16179" spans="1:5" x14ac:dyDescent="0.25">
      <c r="A16179" s="1033"/>
      <c r="E16179" s="130"/>
    </row>
    <row r="16180" spans="1:5" x14ac:dyDescent="0.25">
      <c r="A16180" s="1033"/>
      <c r="E16180" s="130"/>
    </row>
    <row r="16181" spans="1:5" x14ac:dyDescent="0.25">
      <c r="A16181" s="1033"/>
      <c r="E16181" s="130"/>
    </row>
    <row r="16182" spans="1:5" x14ac:dyDescent="0.25">
      <c r="A16182" s="1033"/>
      <c r="E16182" s="130"/>
    </row>
    <row r="16183" spans="1:5" x14ac:dyDescent="0.25">
      <c r="A16183" s="1033"/>
      <c r="E16183" s="130"/>
    </row>
    <row r="16184" spans="1:5" x14ac:dyDescent="0.25">
      <c r="A16184" s="1033"/>
      <c r="E16184" s="130"/>
    </row>
    <row r="16185" spans="1:5" x14ac:dyDescent="0.25">
      <c r="A16185" s="1033"/>
      <c r="E16185" s="130"/>
    </row>
    <row r="16186" spans="1:5" x14ac:dyDescent="0.25">
      <c r="A16186" s="1033"/>
      <c r="E16186" s="130"/>
    </row>
    <row r="16187" spans="1:5" x14ac:dyDescent="0.25">
      <c r="A16187" s="1033"/>
      <c r="E16187" s="130"/>
    </row>
    <row r="16188" spans="1:5" x14ac:dyDescent="0.25">
      <c r="A16188" s="1033"/>
      <c r="E16188" s="130"/>
    </row>
    <row r="16189" spans="1:5" x14ac:dyDescent="0.25">
      <c r="A16189" s="1033"/>
      <c r="E16189" s="130"/>
    </row>
    <row r="16190" spans="1:5" x14ac:dyDescent="0.25">
      <c r="A16190" s="1033"/>
      <c r="E16190" s="130"/>
    </row>
    <row r="16191" spans="1:5" x14ac:dyDescent="0.25">
      <c r="A16191" s="1033"/>
      <c r="E16191" s="130"/>
    </row>
    <row r="16192" spans="1:5" x14ac:dyDescent="0.25">
      <c r="A16192" s="1033"/>
      <c r="E16192" s="130"/>
    </row>
    <row r="16193" spans="1:5" x14ac:dyDescent="0.25">
      <c r="A16193" s="1033"/>
      <c r="E16193" s="130"/>
    </row>
    <row r="16194" spans="1:5" x14ac:dyDescent="0.25">
      <c r="A16194" s="1033"/>
      <c r="E16194" s="130"/>
    </row>
    <row r="16195" spans="1:5" x14ac:dyDescent="0.25">
      <c r="A16195" s="1033"/>
      <c r="E16195" s="130"/>
    </row>
    <row r="16196" spans="1:5" x14ac:dyDescent="0.25">
      <c r="A16196" s="1033"/>
      <c r="E16196" s="130"/>
    </row>
    <row r="16197" spans="1:5" x14ac:dyDescent="0.25">
      <c r="A16197" s="1033"/>
      <c r="E16197" s="130"/>
    </row>
    <row r="16198" spans="1:5" x14ac:dyDescent="0.25">
      <c r="A16198" s="1033"/>
      <c r="E16198" s="130"/>
    </row>
    <row r="16199" spans="1:5" x14ac:dyDescent="0.25">
      <c r="A16199" s="1033"/>
      <c r="E16199" s="130"/>
    </row>
    <row r="16200" spans="1:5" x14ac:dyDescent="0.25">
      <c r="A16200" s="1033"/>
      <c r="E16200" s="130"/>
    </row>
    <row r="16201" spans="1:5" x14ac:dyDescent="0.25">
      <c r="A16201" s="1033"/>
      <c r="E16201" s="130"/>
    </row>
    <row r="16202" spans="1:5" x14ac:dyDescent="0.25">
      <c r="A16202" s="1033"/>
      <c r="E16202" s="130"/>
    </row>
    <row r="16203" spans="1:5" x14ac:dyDescent="0.25">
      <c r="A16203" s="1033"/>
      <c r="E16203" s="130"/>
    </row>
    <row r="16204" spans="1:5" x14ac:dyDescent="0.25">
      <c r="A16204" s="1033"/>
      <c r="E16204" s="130"/>
    </row>
    <row r="16205" spans="1:5" x14ac:dyDescent="0.25">
      <c r="A16205" s="1033"/>
      <c r="E16205" s="130"/>
    </row>
    <row r="16206" spans="1:5" x14ac:dyDescent="0.25">
      <c r="A16206" s="1033"/>
      <c r="E16206" s="130"/>
    </row>
    <row r="16207" spans="1:5" x14ac:dyDescent="0.25">
      <c r="A16207" s="1033"/>
      <c r="E16207" s="130"/>
    </row>
    <row r="16208" spans="1:5" x14ac:dyDescent="0.25">
      <c r="A16208" s="1033"/>
      <c r="E16208" s="130"/>
    </row>
    <row r="16209" spans="1:5" x14ac:dyDescent="0.25">
      <c r="A16209" s="1033"/>
      <c r="E16209" s="130"/>
    </row>
    <row r="16210" spans="1:5" x14ac:dyDescent="0.25">
      <c r="A16210" s="1033"/>
      <c r="E16210" s="130"/>
    </row>
    <row r="16211" spans="1:5" x14ac:dyDescent="0.25">
      <c r="A16211" s="1033"/>
      <c r="E16211" s="130"/>
    </row>
    <row r="16212" spans="1:5" x14ac:dyDescent="0.25">
      <c r="A16212" s="1033"/>
      <c r="E16212" s="130"/>
    </row>
    <row r="16213" spans="1:5" x14ac:dyDescent="0.25">
      <c r="A16213" s="1033"/>
      <c r="E16213" s="130"/>
    </row>
    <row r="16214" spans="1:5" x14ac:dyDescent="0.25">
      <c r="A16214" s="1033"/>
      <c r="E16214" s="130"/>
    </row>
    <row r="16215" spans="1:5" x14ac:dyDescent="0.25">
      <c r="A16215" s="1033"/>
      <c r="E16215" s="130"/>
    </row>
    <row r="16216" spans="1:5" x14ac:dyDescent="0.25">
      <c r="A16216" s="1033"/>
      <c r="E16216" s="130"/>
    </row>
    <row r="16217" spans="1:5" x14ac:dyDescent="0.25">
      <c r="A16217" s="1033"/>
      <c r="E16217" s="130"/>
    </row>
    <row r="16218" spans="1:5" x14ac:dyDescent="0.25">
      <c r="A16218" s="1033"/>
      <c r="E16218" s="130"/>
    </row>
    <row r="16219" spans="1:5" x14ac:dyDescent="0.25">
      <c r="A16219" s="1033"/>
      <c r="E16219" s="130"/>
    </row>
    <row r="16220" spans="1:5" x14ac:dyDescent="0.25">
      <c r="A16220" s="1033"/>
      <c r="E16220" s="130"/>
    </row>
    <row r="16221" spans="1:5" x14ac:dyDescent="0.25">
      <c r="A16221" s="1033"/>
      <c r="E16221" s="130"/>
    </row>
    <row r="16222" spans="1:5" x14ac:dyDescent="0.25">
      <c r="A16222" s="1033"/>
      <c r="E16222" s="130"/>
    </row>
    <row r="16223" spans="1:5" x14ac:dyDescent="0.25">
      <c r="A16223" s="1033"/>
      <c r="E16223" s="130"/>
    </row>
    <row r="16224" spans="1:5" x14ac:dyDescent="0.25">
      <c r="A16224" s="1033"/>
      <c r="E16224" s="130"/>
    </row>
    <row r="16225" spans="1:5" x14ac:dyDescent="0.25">
      <c r="A16225" s="1033"/>
      <c r="E16225" s="130"/>
    </row>
    <row r="16226" spans="1:5" x14ac:dyDescent="0.25">
      <c r="A16226" s="1033"/>
      <c r="E16226" s="130"/>
    </row>
    <row r="16227" spans="1:5" x14ac:dyDescent="0.25">
      <c r="A16227" s="1033"/>
      <c r="E16227" s="130"/>
    </row>
    <row r="16228" spans="1:5" x14ac:dyDescent="0.25">
      <c r="A16228" s="1033"/>
      <c r="E16228" s="130"/>
    </row>
    <row r="16229" spans="1:5" x14ac:dyDescent="0.25">
      <c r="A16229" s="1033"/>
      <c r="E16229" s="130"/>
    </row>
    <row r="16230" spans="1:5" x14ac:dyDescent="0.25">
      <c r="A16230" s="1033"/>
      <c r="E16230" s="130"/>
    </row>
    <row r="16231" spans="1:5" x14ac:dyDescent="0.25">
      <c r="A16231" s="1033"/>
      <c r="E16231" s="130"/>
    </row>
    <row r="16232" spans="1:5" x14ac:dyDescent="0.25">
      <c r="A16232" s="1033"/>
      <c r="E16232" s="130"/>
    </row>
    <row r="16233" spans="1:5" x14ac:dyDescent="0.25">
      <c r="A16233" s="1033"/>
      <c r="E16233" s="130"/>
    </row>
    <row r="16234" spans="1:5" x14ac:dyDescent="0.25">
      <c r="A16234" s="1033"/>
      <c r="E16234" s="130"/>
    </row>
    <row r="16235" spans="1:5" x14ac:dyDescent="0.25">
      <c r="A16235" s="1033"/>
      <c r="E16235" s="130"/>
    </row>
    <row r="16236" spans="1:5" x14ac:dyDescent="0.25">
      <c r="A16236" s="1033"/>
      <c r="E16236" s="130"/>
    </row>
    <row r="16237" spans="1:5" x14ac:dyDescent="0.25">
      <c r="A16237" s="1033"/>
      <c r="E16237" s="130"/>
    </row>
    <row r="16238" spans="1:5" x14ac:dyDescent="0.25">
      <c r="A16238" s="1033"/>
      <c r="E16238" s="130"/>
    </row>
    <row r="16239" spans="1:5" x14ac:dyDescent="0.25">
      <c r="A16239" s="1033"/>
      <c r="E16239" s="130"/>
    </row>
    <row r="16240" spans="1:5" x14ac:dyDescent="0.25">
      <c r="A16240" s="1033"/>
      <c r="E16240" s="130"/>
    </row>
    <row r="16241" spans="1:5" x14ac:dyDescent="0.25">
      <c r="A16241" s="1033"/>
      <c r="E16241" s="130"/>
    </row>
    <row r="16242" spans="1:5" x14ac:dyDescent="0.25">
      <c r="A16242" s="1033"/>
      <c r="E16242" s="130"/>
    </row>
    <row r="16243" spans="1:5" x14ac:dyDescent="0.25">
      <c r="A16243" s="1033"/>
      <c r="E16243" s="130"/>
    </row>
    <row r="16244" spans="1:5" x14ac:dyDescent="0.25">
      <c r="A16244" s="1033"/>
      <c r="E16244" s="130"/>
    </row>
    <row r="16245" spans="1:5" x14ac:dyDescent="0.25">
      <c r="A16245" s="1033"/>
      <c r="E16245" s="130"/>
    </row>
    <row r="16246" spans="1:5" x14ac:dyDescent="0.25">
      <c r="A16246" s="1033"/>
      <c r="E16246" s="130"/>
    </row>
    <row r="16247" spans="1:5" x14ac:dyDescent="0.25">
      <c r="A16247" s="1033"/>
      <c r="E16247" s="130"/>
    </row>
    <row r="16248" spans="1:5" x14ac:dyDescent="0.25">
      <c r="A16248" s="1033"/>
      <c r="E16248" s="130"/>
    </row>
    <row r="16249" spans="1:5" x14ac:dyDescent="0.25">
      <c r="A16249" s="1033"/>
      <c r="E16249" s="130"/>
    </row>
    <row r="16250" spans="1:5" x14ac:dyDescent="0.25">
      <c r="A16250" s="1033"/>
      <c r="E16250" s="130"/>
    </row>
    <row r="16251" spans="1:5" x14ac:dyDescent="0.25">
      <c r="A16251" s="1033"/>
      <c r="E16251" s="130"/>
    </row>
    <row r="16252" spans="1:5" x14ac:dyDescent="0.25">
      <c r="A16252" s="1033"/>
      <c r="E16252" s="130"/>
    </row>
    <row r="16253" spans="1:5" x14ac:dyDescent="0.25">
      <c r="A16253" s="1033"/>
      <c r="E16253" s="130"/>
    </row>
    <row r="16254" spans="1:5" x14ac:dyDescent="0.25">
      <c r="A16254" s="1033"/>
      <c r="E16254" s="130"/>
    </row>
    <row r="16255" spans="1:5" x14ac:dyDescent="0.25">
      <c r="A16255" s="1033"/>
      <c r="E16255" s="130"/>
    </row>
    <row r="16256" spans="1:5" x14ac:dyDescent="0.25">
      <c r="A16256" s="1033"/>
      <c r="E16256" s="130"/>
    </row>
    <row r="16257" spans="1:5" x14ac:dyDescent="0.25">
      <c r="A16257" s="1033"/>
      <c r="E16257" s="130"/>
    </row>
    <row r="16258" spans="1:5" x14ac:dyDescent="0.25">
      <c r="A16258" s="1033"/>
      <c r="E16258" s="130"/>
    </row>
    <row r="16259" spans="1:5" x14ac:dyDescent="0.25">
      <c r="A16259" s="1033"/>
      <c r="E16259" s="130"/>
    </row>
    <row r="16260" spans="1:5" x14ac:dyDescent="0.25">
      <c r="A16260" s="1033"/>
      <c r="E16260" s="130"/>
    </row>
    <row r="16261" spans="1:5" x14ac:dyDescent="0.25">
      <c r="A16261" s="1033"/>
      <c r="E16261" s="130"/>
    </row>
    <row r="16262" spans="1:5" x14ac:dyDescent="0.25">
      <c r="A16262" s="1033"/>
      <c r="E16262" s="130"/>
    </row>
    <row r="16263" spans="1:5" x14ac:dyDescent="0.25">
      <c r="A16263" s="1033"/>
      <c r="E16263" s="130"/>
    </row>
    <row r="16264" spans="1:5" x14ac:dyDescent="0.25">
      <c r="A16264" s="1033"/>
      <c r="E16264" s="130"/>
    </row>
    <row r="16265" spans="1:5" x14ac:dyDescent="0.25">
      <c r="A16265" s="1033"/>
      <c r="E16265" s="130"/>
    </row>
    <row r="16266" spans="1:5" x14ac:dyDescent="0.25">
      <c r="A16266" s="1033"/>
      <c r="E16266" s="130"/>
    </row>
    <row r="16267" spans="1:5" x14ac:dyDescent="0.25">
      <c r="A16267" s="1033"/>
      <c r="E16267" s="130"/>
    </row>
    <row r="16268" spans="1:5" x14ac:dyDescent="0.25">
      <c r="A16268" s="1033"/>
      <c r="E16268" s="130"/>
    </row>
    <row r="16269" spans="1:5" x14ac:dyDescent="0.25">
      <c r="A16269" s="1033"/>
      <c r="E16269" s="130"/>
    </row>
    <row r="16270" spans="1:5" x14ac:dyDescent="0.25">
      <c r="A16270" s="1033"/>
      <c r="E16270" s="130"/>
    </row>
    <row r="16271" spans="1:5" x14ac:dyDescent="0.25">
      <c r="A16271" s="1033"/>
      <c r="E16271" s="130"/>
    </row>
    <row r="16272" spans="1:5" x14ac:dyDescent="0.25">
      <c r="A16272" s="1033"/>
      <c r="E16272" s="130"/>
    </row>
    <row r="16273" spans="1:5" x14ac:dyDescent="0.25">
      <c r="A16273" s="1033"/>
      <c r="E16273" s="130"/>
    </row>
    <row r="16274" spans="1:5" x14ac:dyDescent="0.25">
      <c r="A16274" s="1033"/>
      <c r="E16274" s="130"/>
    </row>
    <row r="16275" spans="1:5" x14ac:dyDescent="0.25">
      <c r="A16275" s="1033"/>
      <c r="E16275" s="130"/>
    </row>
    <row r="16276" spans="1:5" x14ac:dyDescent="0.25">
      <c r="A16276" s="1033"/>
      <c r="E16276" s="130"/>
    </row>
    <row r="16277" spans="1:5" x14ac:dyDescent="0.25">
      <c r="A16277" s="1033"/>
      <c r="E16277" s="130"/>
    </row>
    <row r="16278" spans="1:5" x14ac:dyDescent="0.25">
      <c r="A16278" s="1033"/>
      <c r="E16278" s="130"/>
    </row>
    <row r="16279" spans="1:5" x14ac:dyDescent="0.25">
      <c r="A16279" s="1033"/>
      <c r="E16279" s="130"/>
    </row>
    <row r="16280" spans="1:5" x14ac:dyDescent="0.25">
      <c r="A16280" s="1033"/>
      <c r="E16280" s="130"/>
    </row>
    <row r="16281" spans="1:5" x14ac:dyDescent="0.25">
      <c r="A16281" s="1033"/>
      <c r="E16281" s="130"/>
    </row>
    <row r="16282" spans="1:5" x14ac:dyDescent="0.25">
      <c r="A16282" s="1033"/>
      <c r="E16282" s="130"/>
    </row>
    <row r="16283" spans="1:5" x14ac:dyDescent="0.25">
      <c r="A16283" s="1033"/>
      <c r="E16283" s="130"/>
    </row>
    <row r="16284" spans="1:5" x14ac:dyDescent="0.25">
      <c r="A16284" s="1033"/>
      <c r="E16284" s="130"/>
    </row>
    <row r="16285" spans="1:5" x14ac:dyDescent="0.25">
      <c r="A16285" s="1033"/>
      <c r="E16285" s="130"/>
    </row>
    <row r="16286" spans="1:5" x14ac:dyDescent="0.25">
      <c r="A16286" s="1033"/>
      <c r="E16286" s="130"/>
    </row>
    <row r="16287" spans="1:5" x14ac:dyDescent="0.25">
      <c r="A16287" s="1033"/>
      <c r="E16287" s="130"/>
    </row>
    <row r="16288" spans="1:5" x14ac:dyDescent="0.25">
      <c r="A16288" s="1033"/>
      <c r="E16288" s="130"/>
    </row>
    <row r="16289" spans="1:5" x14ac:dyDescent="0.25">
      <c r="A16289" s="1033"/>
      <c r="E16289" s="130"/>
    </row>
    <row r="16290" spans="1:5" x14ac:dyDescent="0.25">
      <c r="A16290" s="1033"/>
      <c r="E16290" s="130"/>
    </row>
    <row r="16291" spans="1:5" x14ac:dyDescent="0.25">
      <c r="A16291" s="1033"/>
      <c r="E16291" s="130"/>
    </row>
    <row r="16292" spans="1:5" x14ac:dyDescent="0.25">
      <c r="A16292" s="1033"/>
      <c r="E16292" s="130"/>
    </row>
    <row r="16293" spans="1:5" x14ac:dyDescent="0.25">
      <c r="A16293" s="1033"/>
      <c r="E16293" s="130"/>
    </row>
    <row r="16294" spans="1:5" x14ac:dyDescent="0.25">
      <c r="A16294" s="1033"/>
      <c r="E16294" s="130"/>
    </row>
    <row r="16295" spans="1:5" x14ac:dyDescent="0.25">
      <c r="A16295" s="1033"/>
      <c r="E16295" s="130"/>
    </row>
    <row r="16296" spans="1:5" x14ac:dyDescent="0.25">
      <c r="A16296" s="1033"/>
      <c r="E16296" s="130"/>
    </row>
    <row r="16297" spans="1:5" x14ac:dyDescent="0.25">
      <c r="A16297" s="1033"/>
      <c r="E16297" s="130"/>
    </row>
    <row r="16298" spans="1:5" x14ac:dyDescent="0.25">
      <c r="A16298" s="1033"/>
      <c r="E16298" s="130"/>
    </row>
    <row r="16299" spans="1:5" x14ac:dyDescent="0.25">
      <c r="A16299" s="1033"/>
      <c r="E16299" s="130"/>
    </row>
    <row r="16300" spans="1:5" x14ac:dyDescent="0.25">
      <c r="A16300" s="1033"/>
      <c r="E16300" s="130"/>
    </row>
    <row r="16301" spans="1:5" x14ac:dyDescent="0.25">
      <c r="A16301" s="1033"/>
      <c r="E16301" s="130"/>
    </row>
    <row r="16302" spans="1:5" x14ac:dyDescent="0.25">
      <c r="A16302" s="1033"/>
      <c r="E16302" s="130"/>
    </row>
    <row r="16303" spans="1:5" x14ac:dyDescent="0.25">
      <c r="A16303" s="1033"/>
      <c r="E16303" s="130"/>
    </row>
    <row r="16304" spans="1:5" x14ac:dyDescent="0.25">
      <c r="A16304" s="1033"/>
      <c r="E16304" s="130"/>
    </row>
    <row r="16305" spans="1:5" x14ac:dyDescent="0.25">
      <c r="A16305" s="1033"/>
      <c r="E16305" s="130"/>
    </row>
    <row r="16306" spans="1:5" x14ac:dyDescent="0.25">
      <c r="A16306" s="1033"/>
      <c r="E16306" s="130"/>
    </row>
    <row r="16307" spans="1:5" x14ac:dyDescent="0.25">
      <c r="A16307" s="1033"/>
      <c r="E16307" s="130"/>
    </row>
    <row r="16308" spans="1:5" x14ac:dyDescent="0.25">
      <c r="A16308" s="1033"/>
      <c r="E16308" s="130"/>
    </row>
    <row r="16309" spans="1:5" x14ac:dyDescent="0.25">
      <c r="A16309" s="1033"/>
      <c r="E16309" s="130"/>
    </row>
    <row r="16310" spans="1:5" x14ac:dyDescent="0.25">
      <c r="A16310" s="1033"/>
      <c r="E16310" s="130"/>
    </row>
    <row r="16311" spans="1:5" x14ac:dyDescent="0.25">
      <c r="A16311" s="1033"/>
      <c r="E16311" s="130"/>
    </row>
    <row r="16312" spans="1:5" x14ac:dyDescent="0.25">
      <c r="A16312" s="1033"/>
      <c r="E16312" s="130"/>
    </row>
    <row r="16313" spans="1:5" x14ac:dyDescent="0.25">
      <c r="A16313" s="1033"/>
      <c r="E16313" s="130"/>
    </row>
    <row r="16314" spans="1:5" x14ac:dyDescent="0.25">
      <c r="A16314" s="1033"/>
      <c r="E16314" s="130"/>
    </row>
    <row r="16315" spans="1:5" x14ac:dyDescent="0.25">
      <c r="A16315" s="1033"/>
      <c r="E16315" s="130"/>
    </row>
    <row r="16316" spans="1:5" x14ac:dyDescent="0.25">
      <c r="A16316" s="1033"/>
      <c r="E16316" s="130"/>
    </row>
    <row r="16317" spans="1:5" x14ac:dyDescent="0.25">
      <c r="A16317" s="1033"/>
      <c r="E16317" s="130"/>
    </row>
    <row r="16318" spans="1:5" x14ac:dyDescent="0.25">
      <c r="A16318" s="1033"/>
      <c r="E16318" s="130"/>
    </row>
    <row r="16319" spans="1:5" x14ac:dyDescent="0.25">
      <c r="A16319" s="1033"/>
      <c r="E16319" s="130"/>
    </row>
    <row r="16320" spans="1:5" x14ac:dyDescent="0.25">
      <c r="A16320" s="1033"/>
      <c r="E16320" s="130"/>
    </row>
    <row r="16321" spans="1:5" x14ac:dyDescent="0.25">
      <c r="A16321" s="1033"/>
      <c r="E16321" s="130"/>
    </row>
    <row r="16322" spans="1:5" x14ac:dyDescent="0.25">
      <c r="A16322" s="1033"/>
      <c r="E16322" s="130"/>
    </row>
    <row r="16323" spans="1:5" x14ac:dyDescent="0.25">
      <c r="A16323" s="1033"/>
      <c r="E16323" s="130"/>
    </row>
    <row r="16324" spans="1:5" x14ac:dyDescent="0.25">
      <c r="A16324" s="1033"/>
      <c r="E16324" s="130"/>
    </row>
    <row r="16325" spans="1:5" x14ac:dyDescent="0.25">
      <c r="A16325" s="1033"/>
      <c r="E16325" s="130"/>
    </row>
    <row r="16326" spans="1:5" x14ac:dyDescent="0.25">
      <c r="A16326" s="1033"/>
      <c r="E16326" s="130"/>
    </row>
    <row r="16327" spans="1:5" x14ac:dyDescent="0.25">
      <c r="A16327" s="1033"/>
      <c r="E16327" s="130"/>
    </row>
    <row r="16328" spans="1:5" x14ac:dyDescent="0.25">
      <c r="A16328" s="1033"/>
      <c r="E16328" s="130"/>
    </row>
    <row r="16329" spans="1:5" x14ac:dyDescent="0.25">
      <c r="A16329" s="1033"/>
      <c r="E16329" s="130"/>
    </row>
    <row r="16330" spans="1:5" x14ac:dyDescent="0.25">
      <c r="A16330" s="1033"/>
      <c r="E16330" s="130"/>
    </row>
    <row r="16331" spans="1:5" x14ac:dyDescent="0.25">
      <c r="A16331" s="1033"/>
      <c r="E16331" s="130"/>
    </row>
    <row r="16332" spans="1:5" x14ac:dyDescent="0.25">
      <c r="A16332" s="1033"/>
      <c r="E16332" s="130"/>
    </row>
    <row r="16333" spans="1:5" x14ac:dyDescent="0.25">
      <c r="A16333" s="1033"/>
      <c r="E16333" s="130"/>
    </row>
    <row r="16334" spans="1:5" x14ac:dyDescent="0.25">
      <c r="A16334" s="1033"/>
      <c r="E16334" s="130"/>
    </row>
    <row r="16335" spans="1:5" x14ac:dyDescent="0.25">
      <c r="A16335" s="1033"/>
      <c r="E16335" s="130"/>
    </row>
    <row r="16336" spans="1:5" x14ac:dyDescent="0.25">
      <c r="A16336" s="1033"/>
      <c r="E16336" s="130"/>
    </row>
    <row r="16337" spans="1:5" x14ac:dyDescent="0.25">
      <c r="A16337" s="1033"/>
      <c r="E16337" s="130"/>
    </row>
    <row r="16338" spans="1:5" x14ac:dyDescent="0.25">
      <c r="A16338" s="1033"/>
      <c r="E16338" s="130"/>
    </row>
    <row r="16339" spans="1:5" x14ac:dyDescent="0.25">
      <c r="A16339" s="1033"/>
      <c r="E16339" s="130"/>
    </row>
    <row r="16340" spans="1:5" x14ac:dyDescent="0.25">
      <c r="A16340" s="1033"/>
      <c r="E16340" s="130"/>
    </row>
    <row r="16341" spans="1:5" x14ac:dyDescent="0.25">
      <c r="A16341" s="1033"/>
      <c r="E16341" s="130"/>
    </row>
    <row r="16342" spans="1:5" x14ac:dyDescent="0.25">
      <c r="A16342" s="1033"/>
      <c r="E16342" s="130"/>
    </row>
    <row r="16343" spans="1:5" x14ac:dyDescent="0.25">
      <c r="A16343" s="1033"/>
      <c r="E16343" s="130"/>
    </row>
    <row r="16344" spans="1:5" x14ac:dyDescent="0.25">
      <c r="A16344" s="1033"/>
      <c r="E16344" s="130"/>
    </row>
    <row r="16345" spans="1:5" x14ac:dyDescent="0.25">
      <c r="A16345" s="1033"/>
      <c r="E16345" s="130"/>
    </row>
    <row r="16346" spans="1:5" x14ac:dyDescent="0.25">
      <c r="A16346" s="1033"/>
      <c r="E16346" s="130"/>
    </row>
    <row r="16347" spans="1:5" x14ac:dyDescent="0.25">
      <c r="A16347" s="1033"/>
      <c r="E16347" s="130"/>
    </row>
    <row r="16348" spans="1:5" x14ac:dyDescent="0.25">
      <c r="A16348" s="1033"/>
      <c r="E16348" s="130"/>
    </row>
    <row r="16349" spans="1:5" x14ac:dyDescent="0.25">
      <c r="A16349" s="1033"/>
      <c r="E16349" s="130"/>
    </row>
    <row r="16350" spans="1:5" x14ac:dyDescent="0.25">
      <c r="A16350" s="1033"/>
      <c r="E16350" s="130"/>
    </row>
    <row r="16351" spans="1:5" x14ac:dyDescent="0.25">
      <c r="A16351" s="1033"/>
      <c r="E16351" s="130"/>
    </row>
    <row r="16352" spans="1:5" x14ac:dyDescent="0.25">
      <c r="A16352" s="1033"/>
      <c r="E16352" s="130"/>
    </row>
    <row r="16353" spans="1:5" x14ac:dyDescent="0.25">
      <c r="A16353" s="1033"/>
      <c r="E16353" s="130"/>
    </row>
    <row r="16354" spans="1:5" x14ac:dyDescent="0.25">
      <c r="A16354" s="1033"/>
      <c r="E16354" s="130"/>
    </row>
    <row r="16355" spans="1:5" x14ac:dyDescent="0.25">
      <c r="A16355" s="1033"/>
      <c r="E16355" s="130"/>
    </row>
    <row r="16356" spans="1:5" x14ac:dyDescent="0.25">
      <c r="A16356" s="1033"/>
      <c r="E16356" s="130"/>
    </row>
    <row r="16357" spans="1:5" x14ac:dyDescent="0.25">
      <c r="A16357" s="1033"/>
      <c r="E16357" s="130"/>
    </row>
    <row r="16358" spans="1:5" x14ac:dyDescent="0.25">
      <c r="A16358" s="1033"/>
      <c r="E16358" s="130"/>
    </row>
    <row r="16359" spans="1:5" x14ac:dyDescent="0.25">
      <c r="A16359" s="1033"/>
      <c r="E16359" s="130"/>
    </row>
    <row r="16360" spans="1:5" x14ac:dyDescent="0.25">
      <c r="A16360" s="1033"/>
      <c r="E16360" s="130"/>
    </row>
    <row r="16361" spans="1:5" x14ac:dyDescent="0.25">
      <c r="A16361" s="1033"/>
      <c r="E16361" s="130"/>
    </row>
    <row r="16362" spans="1:5" x14ac:dyDescent="0.25">
      <c r="A16362" s="1033"/>
      <c r="E16362" s="130"/>
    </row>
    <row r="16363" spans="1:5" x14ac:dyDescent="0.25">
      <c r="A16363" s="1033"/>
      <c r="E16363" s="130"/>
    </row>
    <row r="16364" spans="1:5" x14ac:dyDescent="0.25">
      <c r="A16364" s="1033"/>
      <c r="E16364" s="130"/>
    </row>
    <row r="16365" spans="1:5" x14ac:dyDescent="0.25">
      <c r="A16365" s="1033"/>
      <c r="E16365" s="130"/>
    </row>
    <row r="16366" spans="1:5" x14ac:dyDescent="0.25">
      <c r="A16366" s="1033"/>
      <c r="E16366" s="130"/>
    </row>
    <row r="16367" spans="1:5" x14ac:dyDescent="0.25">
      <c r="A16367" s="1033"/>
      <c r="E16367" s="130"/>
    </row>
    <row r="16368" spans="1:5" x14ac:dyDescent="0.25">
      <c r="A16368" s="1033"/>
      <c r="E16368" s="130"/>
    </row>
    <row r="16369" spans="1:5" x14ac:dyDescent="0.25">
      <c r="A16369" s="1033"/>
      <c r="E16369" s="130"/>
    </row>
    <row r="16370" spans="1:5" x14ac:dyDescent="0.25">
      <c r="A16370" s="1033"/>
      <c r="E16370" s="130"/>
    </row>
    <row r="16371" spans="1:5" x14ac:dyDescent="0.25">
      <c r="A16371" s="1033"/>
      <c r="E16371" s="130"/>
    </row>
    <row r="16372" spans="1:5" x14ac:dyDescent="0.25">
      <c r="A16372" s="1033"/>
      <c r="E16372" s="130"/>
    </row>
    <row r="16373" spans="1:5" x14ac:dyDescent="0.25">
      <c r="A16373" s="1033"/>
      <c r="E16373" s="130"/>
    </row>
    <row r="16374" spans="1:5" x14ac:dyDescent="0.25">
      <c r="A16374" s="1033"/>
      <c r="E16374" s="130"/>
    </row>
    <row r="16375" spans="1:5" x14ac:dyDescent="0.25">
      <c r="A16375" s="1033"/>
      <c r="E16375" s="130"/>
    </row>
    <row r="16376" spans="1:5" x14ac:dyDescent="0.25">
      <c r="A16376" s="1033"/>
      <c r="E16376" s="130"/>
    </row>
    <row r="16377" spans="1:5" x14ac:dyDescent="0.25">
      <c r="A16377" s="1033"/>
      <c r="E16377" s="130"/>
    </row>
    <row r="16378" spans="1:5" x14ac:dyDescent="0.25">
      <c r="A16378" s="1033"/>
      <c r="E16378" s="130"/>
    </row>
    <row r="16379" spans="1:5" x14ac:dyDescent="0.25">
      <c r="A16379" s="1033"/>
      <c r="E16379" s="130"/>
    </row>
    <row r="16380" spans="1:5" x14ac:dyDescent="0.25">
      <c r="A16380" s="1033"/>
      <c r="E16380" s="130"/>
    </row>
    <row r="16381" spans="1:5" x14ac:dyDescent="0.25">
      <c r="A16381" s="1033"/>
      <c r="E16381" s="130"/>
    </row>
    <row r="16382" spans="1:5" x14ac:dyDescent="0.25">
      <c r="A16382" s="1033"/>
      <c r="E16382" s="130"/>
    </row>
    <row r="16383" spans="1:5" x14ac:dyDescent="0.25">
      <c r="A16383" s="1033"/>
      <c r="E16383" s="130"/>
    </row>
    <row r="16384" spans="1:5" x14ac:dyDescent="0.25">
      <c r="A16384" s="1033"/>
      <c r="E16384" s="130"/>
    </row>
    <row r="16385" spans="1:5" x14ac:dyDescent="0.25">
      <c r="A16385" s="1033"/>
      <c r="E16385" s="130"/>
    </row>
    <row r="16386" spans="1:5" x14ac:dyDescent="0.25">
      <c r="A16386" s="1033"/>
      <c r="E16386" s="130"/>
    </row>
    <row r="16387" spans="1:5" x14ac:dyDescent="0.25">
      <c r="A16387" s="1033"/>
      <c r="E16387" s="130"/>
    </row>
    <row r="16388" spans="1:5" x14ac:dyDescent="0.25">
      <c r="A16388" s="1033"/>
      <c r="E16388" s="130"/>
    </row>
    <row r="16389" spans="1:5" x14ac:dyDescent="0.25">
      <c r="A16389" s="1033"/>
      <c r="E16389" s="130"/>
    </row>
    <row r="16390" spans="1:5" x14ac:dyDescent="0.25">
      <c r="A16390" s="1033"/>
      <c r="E16390" s="130"/>
    </row>
    <row r="16391" spans="1:5" x14ac:dyDescent="0.25">
      <c r="A16391" s="1033"/>
      <c r="E16391" s="130"/>
    </row>
    <row r="16392" spans="1:5" x14ac:dyDescent="0.25">
      <c r="A16392" s="1033"/>
      <c r="E16392" s="130"/>
    </row>
    <row r="16393" spans="1:5" x14ac:dyDescent="0.25">
      <c r="A16393" s="1033"/>
      <c r="E16393" s="130"/>
    </row>
    <row r="16394" spans="1:5" x14ac:dyDescent="0.25">
      <c r="A16394" s="1033"/>
      <c r="E16394" s="130"/>
    </row>
    <row r="16395" spans="1:5" x14ac:dyDescent="0.25">
      <c r="A16395" s="1033"/>
      <c r="E16395" s="130"/>
    </row>
    <row r="16396" spans="1:5" x14ac:dyDescent="0.25">
      <c r="A16396" s="1033"/>
      <c r="E16396" s="130"/>
    </row>
    <row r="16397" spans="1:5" x14ac:dyDescent="0.25">
      <c r="A16397" s="1033"/>
      <c r="E16397" s="130"/>
    </row>
    <row r="16398" spans="1:5" x14ac:dyDescent="0.25">
      <c r="A16398" s="1033"/>
      <c r="E16398" s="130"/>
    </row>
    <row r="16399" spans="1:5" x14ac:dyDescent="0.25">
      <c r="A16399" s="1033"/>
      <c r="E16399" s="130"/>
    </row>
    <row r="16400" spans="1:5" x14ac:dyDescent="0.25">
      <c r="A16400" s="1033"/>
      <c r="E16400" s="130"/>
    </row>
    <row r="16401" spans="1:5" x14ac:dyDescent="0.25">
      <c r="A16401" s="1033"/>
      <c r="E16401" s="130"/>
    </row>
    <row r="16402" spans="1:5" x14ac:dyDescent="0.25">
      <c r="A16402" s="1033"/>
      <c r="E16402" s="130"/>
    </row>
    <row r="16403" spans="1:5" x14ac:dyDescent="0.25">
      <c r="A16403" s="1033"/>
      <c r="E16403" s="130"/>
    </row>
    <row r="16404" spans="1:5" x14ac:dyDescent="0.25">
      <c r="A16404" s="1033"/>
      <c r="E16404" s="130"/>
    </row>
    <row r="16405" spans="1:5" x14ac:dyDescent="0.25">
      <c r="A16405" s="1033"/>
      <c r="E16405" s="130"/>
    </row>
    <row r="16406" spans="1:5" x14ac:dyDescent="0.25">
      <c r="A16406" s="1033"/>
      <c r="E16406" s="130"/>
    </row>
    <row r="16407" spans="1:5" x14ac:dyDescent="0.25">
      <c r="A16407" s="1033"/>
      <c r="E16407" s="130"/>
    </row>
    <row r="16408" spans="1:5" x14ac:dyDescent="0.25">
      <c r="A16408" s="1033"/>
      <c r="E16408" s="130"/>
    </row>
    <row r="16409" spans="1:5" x14ac:dyDescent="0.25">
      <c r="A16409" s="1033"/>
      <c r="E16409" s="130"/>
    </row>
    <row r="16410" spans="1:5" x14ac:dyDescent="0.25">
      <c r="A16410" s="1033"/>
      <c r="E16410" s="130"/>
    </row>
    <row r="16411" spans="1:5" x14ac:dyDescent="0.25">
      <c r="A16411" s="1033"/>
      <c r="E16411" s="130"/>
    </row>
    <row r="16412" spans="1:5" x14ac:dyDescent="0.25">
      <c r="A16412" s="1033"/>
      <c r="E16412" s="130"/>
    </row>
    <row r="16413" spans="1:5" x14ac:dyDescent="0.25">
      <c r="A16413" s="1033"/>
      <c r="E16413" s="130"/>
    </row>
    <row r="16414" spans="1:5" x14ac:dyDescent="0.25">
      <c r="A16414" s="1033"/>
      <c r="E16414" s="130"/>
    </row>
    <row r="16415" spans="1:5" x14ac:dyDescent="0.25">
      <c r="A16415" s="1033"/>
      <c r="E16415" s="130"/>
    </row>
    <row r="16416" spans="1:5" x14ac:dyDescent="0.25">
      <c r="A16416" s="1033"/>
      <c r="E16416" s="130"/>
    </row>
    <row r="16417" spans="1:5" x14ac:dyDescent="0.25">
      <c r="A16417" s="1033"/>
      <c r="E16417" s="130"/>
    </row>
    <row r="16418" spans="1:5" x14ac:dyDescent="0.25">
      <c r="A16418" s="1033"/>
      <c r="E16418" s="130"/>
    </row>
    <row r="16419" spans="1:5" x14ac:dyDescent="0.25">
      <c r="A16419" s="1033"/>
      <c r="E16419" s="130"/>
    </row>
    <row r="16420" spans="1:5" x14ac:dyDescent="0.25">
      <c r="A16420" s="1033"/>
      <c r="E16420" s="130"/>
    </row>
    <row r="16421" spans="1:5" x14ac:dyDescent="0.25">
      <c r="A16421" s="1033"/>
      <c r="E16421" s="130"/>
    </row>
    <row r="16422" spans="1:5" x14ac:dyDescent="0.25">
      <c r="A16422" s="1033"/>
      <c r="E16422" s="130"/>
    </row>
    <row r="16423" spans="1:5" x14ac:dyDescent="0.25">
      <c r="A16423" s="1033"/>
      <c r="E16423" s="130"/>
    </row>
    <row r="16424" spans="1:5" x14ac:dyDescent="0.25">
      <c r="A16424" s="1033"/>
      <c r="E16424" s="130"/>
    </row>
    <row r="16425" spans="1:5" x14ac:dyDescent="0.25">
      <c r="A16425" s="1033"/>
      <c r="E16425" s="130"/>
    </row>
    <row r="16426" spans="1:5" x14ac:dyDescent="0.25">
      <c r="A16426" s="1033"/>
      <c r="E16426" s="130"/>
    </row>
    <row r="16427" spans="1:5" x14ac:dyDescent="0.25">
      <c r="A16427" s="1033"/>
      <c r="E16427" s="130"/>
    </row>
    <row r="16428" spans="1:5" x14ac:dyDescent="0.25">
      <c r="A16428" s="1033"/>
      <c r="E16428" s="130"/>
    </row>
    <row r="16429" spans="1:5" x14ac:dyDescent="0.25">
      <c r="A16429" s="1033"/>
      <c r="E16429" s="130"/>
    </row>
    <row r="16430" spans="1:5" x14ac:dyDescent="0.25">
      <c r="A16430" s="1033"/>
      <c r="E16430" s="130"/>
    </row>
    <row r="16431" spans="1:5" x14ac:dyDescent="0.25">
      <c r="A16431" s="1033"/>
      <c r="E16431" s="130"/>
    </row>
    <row r="16432" spans="1:5" x14ac:dyDescent="0.25">
      <c r="A16432" s="1033"/>
      <c r="E16432" s="130"/>
    </row>
    <row r="16433" spans="1:5" x14ac:dyDescent="0.25">
      <c r="A16433" s="1033"/>
      <c r="E16433" s="130"/>
    </row>
    <row r="16434" spans="1:5" x14ac:dyDescent="0.25">
      <c r="A16434" s="1033"/>
      <c r="E16434" s="130"/>
    </row>
    <row r="16435" spans="1:5" x14ac:dyDescent="0.25">
      <c r="A16435" s="1033"/>
      <c r="E16435" s="130"/>
    </row>
    <row r="16436" spans="1:5" x14ac:dyDescent="0.25">
      <c r="A16436" s="1033"/>
      <c r="E16436" s="130"/>
    </row>
    <row r="16437" spans="1:5" x14ac:dyDescent="0.25">
      <c r="A16437" s="1033"/>
      <c r="E16437" s="130"/>
    </row>
    <row r="16438" spans="1:5" x14ac:dyDescent="0.25">
      <c r="A16438" s="1033"/>
      <c r="E16438" s="130"/>
    </row>
    <row r="16439" spans="1:5" x14ac:dyDescent="0.25">
      <c r="A16439" s="1033"/>
      <c r="E16439" s="130"/>
    </row>
    <row r="16440" spans="1:5" x14ac:dyDescent="0.25">
      <c r="A16440" s="1033"/>
      <c r="E16440" s="130"/>
    </row>
    <row r="16441" spans="1:5" x14ac:dyDescent="0.25">
      <c r="A16441" s="1033"/>
      <c r="E16441" s="130"/>
    </row>
    <row r="16442" spans="1:5" x14ac:dyDescent="0.25">
      <c r="A16442" s="1033"/>
      <c r="E16442" s="130"/>
    </row>
    <row r="16443" spans="1:5" x14ac:dyDescent="0.25">
      <c r="A16443" s="1033"/>
      <c r="E16443" s="130"/>
    </row>
    <row r="16444" spans="1:5" x14ac:dyDescent="0.25">
      <c r="A16444" s="1033"/>
      <c r="E16444" s="130"/>
    </row>
    <row r="16445" spans="1:5" x14ac:dyDescent="0.25">
      <c r="A16445" s="1033"/>
      <c r="E16445" s="130"/>
    </row>
    <row r="16446" spans="1:5" x14ac:dyDescent="0.25">
      <c r="A16446" s="1033"/>
      <c r="E16446" s="130"/>
    </row>
    <row r="16447" spans="1:5" x14ac:dyDescent="0.25">
      <c r="A16447" s="1033"/>
      <c r="E16447" s="130"/>
    </row>
    <row r="16448" spans="1:5" x14ac:dyDescent="0.25">
      <c r="A16448" s="1033"/>
      <c r="E16448" s="130"/>
    </row>
    <row r="16449" spans="1:5" x14ac:dyDescent="0.25">
      <c r="A16449" s="1033"/>
      <c r="E16449" s="130"/>
    </row>
    <row r="16450" spans="1:5" x14ac:dyDescent="0.25">
      <c r="A16450" s="1033"/>
      <c r="E16450" s="130"/>
    </row>
    <row r="16451" spans="1:5" x14ac:dyDescent="0.25">
      <c r="A16451" s="1033"/>
      <c r="E16451" s="130"/>
    </row>
    <row r="16452" spans="1:5" x14ac:dyDescent="0.25">
      <c r="A16452" s="1033"/>
      <c r="E16452" s="130"/>
    </row>
    <row r="16453" spans="1:5" x14ac:dyDescent="0.25">
      <c r="A16453" s="1033"/>
      <c r="E16453" s="130"/>
    </row>
    <row r="16454" spans="1:5" x14ac:dyDescent="0.25">
      <c r="A16454" s="1033"/>
      <c r="E16454" s="130"/>
    </row>
    <row r="16455" spans="1:5" x14ac:dyDescent="0.25">
      <c r="A16455" s="1033"/>
      <c r="E16455" s="130"/>
    </row>
    <row r="16456" spans="1:5" x14ac:dyDescent="0.25">
      <c r="A16456" s="1033"/>
      <c r="E16456" s="130"/>
    </row>
    <row r="16457" spans="1:5" x14ac:dyDescent="0.25">
      <c r="A16457" s="1033"/>
      <c r="E16457" s="130"/>
    </row>
    <row r="16458" spans="1:5" x14ac:dyDescent="0.25">
      <c r="A16458" s="1033"/>
      <c r="E16458" s="130"/>
    </row>
    <row r="16459" spans="1:5" x14ac:dyDescent="0.25">
      <c r="A16459" s="1033"/>
      <c r="E16459" s="130"/>
    </row>
    <row r="16460" spans="1:5" x14ac:dyDescent="0.25">
      <c r="A16460" s="1033"/>
      <c r="E16460" s="130"/>
    </row>
    <row r="16461" spans="1:5" x14ac:dyDescent="0.25">
      <c r="A16461" s="1033"/>
      <c r="E16461" s="130"/>
    </row>
    <row r="16462" spans="1:5" x14ac:dyDescent="0.25">
      <c r="A16462" s="1033"/>
      <c r="E16462" s="130"/>
    </row>
    <row r="16463" spans="1:5" x14ac:dyDescent="0.25">
      <c r="A16463" s="1033"/>
      <c r="E16463" s="130"/>
    </row>
    <row r="16464" spans="1:5" x14ac:dyDescent="0.25">
      <c r="A16464" s="1033"/>
      <c r="E16464" s="130"/>
    </row>
    <row r="16465" spans="1:5" x14ac:dyDescent="0.25">
      <c r="A16465" s="1033"/>
      <c r="E16465" s="130"/>
    </row>
    <row r="16466" spans="1:5" x14ac:dyDescent="0.25">
      <c r="A16466" s="1033"/>
      <c r="E16466" s="130"/>
    </row>
    <row r="16467" spans="1:5" x14ac:dyDescent="0.25">
      <c r="A16467" s="1033"/>
      <c r="E16467" s="130"/>
    </row>
    <row r="16468" spans="1:5" x14ac:dyDescent="0.25">
      <c r="A16468" s="1033"/>
      <c r="E16468" s="130"/>
    </row>
    <row r="16469" spans="1:5" x14ac:dyDescent="0.25">
      <c r="A16469" s="1033"/>
      <c r="E16469" s="130"/>
    </row>
    <row r="16470" spans="1:5" x14ac:dyDescent="0.25">
      <c r="A16470" s="1033"/>
      <c r="E16470" s="130"/>
    </row>
    <row r="16471" spans="1:5" x14ac:dyDescent="0.25">
      <c r="A16471" s="1033"/>
      <c r="E16471" s="130"/>
    </row>
    <row r="16472" spans="1:5" x14ac:dyDescent="0.25">
      <c r="A16472" s="1033"/>
      <c r="E16472" s="130"/>
    </row>
    <row r="16473" spans="1:5" x14ac:dyDescent="0.25">
      <c r="A16473" s="1033"/>
      <c r="E16473" s="130"/>
    </row>
    <row r="16474" spans="1:5" x14ac:dyDescent="0.25">
      <c r="A16474" s="1033"/>
      <c r="E16474" s="130"/>
    </row>
    <row r="16475" spans="1:5" x14ac:dyDescent="0.25">
      <c r="A16475" s="1033"/>
      <c r="E16475" s="130"/>
    </row>
    <row r="16476" spans="1:5" x14ac:dyDescent="0.25">
      <c r="A16476" s="1033"/>
      <c r="E16476" s="130"/>
    </row>
    <row r="16477" spans="1:5" x14ac:dyDescent="0.25">
      <c r="A16477" s="1033"/>
      <c r="E16477" s="130"/>
    </row>
    <row r="16478" spans="1:5" x14ac:dyDescent="0.25">
      <c r="A16478" s="1033"/>
      <c r="E16478" s="130"/>
    </row>
    <row r="16479" spans="1:5" x14ac:dyDescent="0.25">
      <c r="A16479" s="1033"/>
      <c r="E16479" s="130"/>
    </row>
    <row r="16480" spans="1:5" x14ac:dyDescent="0.25">
      <c r="A16480" s="1033"/>
      <c r="E16480" s="130"/>
    </row>
    <row r="16481" spans="1:5" x14ac:dyDescent="0.25">
      <c r="A16481" s="1033"/>
      <c r="E16481" s="130"/>
    </row>
    <row r="16482" spans="1:5" x14ac:dyDescent="0.25">
      <c r="A16482" s="1033"/>
      <c r="E16482" s="130"/>
    </row>
    <row r="16483" spans="1:5" x14ac:dyDescent="0.25">
      <c r="A16483" s="1033"/>
      <c r="E16483" s="130"/>
    </row>
    <row r="16484" spans="1:5" x14ac:dyDescent="0.25">
      <c r="A16484" s="1033"/>
      <c r="E16484" s="130"/>
    </row>
    <row r="16485" spans="1:5" x14ac:dyDescent="0.25">
      <c r="A16485" s="1033"/>
      <c r="E16485" s="130"/>
    </row>
    <row r="16486" spans="1:5" x14ac:dyDescent="0.25">
      <c r="A16486" s="1033"/>
      <c r="E16486" s="130"/>
    </row>
    <row r="16487" spans="1:5" x14ac:dyDescent="0.25">
      <c r="A16487" s="1033"/>
      <c r="E16487" s="130"/>
    </row>
    <row r="16488" spans="1:5" x14ac:dyDescent="0.25">
      <c r="A16488" s="1033"/>
      <c r="E16488" s="130"/>
    </row>
    <row r="16489" spans="1:5" x14ac:dyDescent="0.25">
      <c r="A16489" s="1033"/>
      <c r="E16489" s="130"/>
    </row>
    <row r="16490" spans="1:5" x14ac:dyDescent="0.25">
      <c r="A16490" s="1033"/>
      <c r="E16490" s="130"/>
    </row>
    <row r="16491" spans="1:5" x14ac:dyDescent="0.25">
      <c r="A16491" s="1033"/>
      <c r="E16491" s="130"/>
    </row>
    <row r="16492" spans="1:5" x14ac:dyDescent="0.25">
      <c r="A16492" s="1033"/>
      <c r="E16492" s="130"/>
    </row>
    <row r="16493" spans="1:5" x14ac:dyDescent="0.25">
      <c r="A16493" s="1033"/>
      <c r="E16493" s="130"/>
    </row>
    <row r="16494" spans="1:5" x14ac:dyDescent="0.25">
      <c r="A16494" s="1033"/>
      <c r="E16494" s="130"/>
    </row>
    <row r="16495" spans="1:5" x14ac:dyDescent="0.25">
      <c r="A16495" s="1033"/>
      <c r="E16495" s="130"/>
    </row>
    <row r="16496" spans="1:5" x14ac:dyDescent="0.25">
      <c r="A16496" s="1033"/>
      <c r="E16496" s="130"/>
    </row>
    <row r="16497" spans="1:5" x14ac:dyDescent="0.25">
      <c r="A16497" s="1033"/>
      <c r="E16497" s="130"/>
    </row>
    <row r="16498" spans="1:5" x14ac:dyDescent="0.25">
      <c r="A16498" s="1033"/>
      <c r="E16498" s="130"/>
    </row>
    <row r="16499" spans="1:5" x14ac:dyDescent="0.25">
      <c r="A16499" s="1033"/>
      <c r="E16499" s="130"/>
    </row>
    <row r="16500" spans="1:5" x14ac:dyDescent="0.25">
      <c r="A16500" s="1033"/>
      <c r="E16500" s="130"/>
    </row>
    <row r="16501" spans="1:5" x14ac:dyDescent="0.25">
      <c r="A16501" s="1033"/>
      <c r="E16501" s="130"/>
    </row>
    <row r="16502" spans="1:5" x14ac:dyDescent="0.25">
      <c r="A16502" s="1033"/>
      <c r="E16502" s="130"/>
    </row>
    <row r="16503" spans="1:5" x14ac:dyDescent="0.25">
      <c r="A16503" s="1033"/>
      <c r="E16503" s="130"/>
    </row>
    <row r="16504" spans="1:5" x14ac:dyDescent="0.25">
      <c r="A16504" s="1033"/>
      <c r="E16504" s="130"/>
    </row>
    <row r="16505" spans="1:5" x14ac:dyDescent="0.25">
      <c r="A16505" s="1033"/>
      <c r="E16505" s="130"/>
    </row>
    <row r="16506" spans="1:5" x14ac:dyDescent="0.25">
      <c r="A16506" s="1033"/>
      <c r="E16506" s="130"/>
    </row>
    <row r="16507" spans="1:5" x14ac:dyDescent="0.25">
      <c r="A16507" s="1033"/>
      <c r="E16507" s="130"/>
    </row>
    <row r="16508" spans="1:5" x14ac:dyDescent="0.25">
      <c r="A16508" s="1033"/>
      <c r="E16508" s="130"/>
    </row>
    <row r="16509" spans="1:5" x14ac:dyDescent="0.25">
      <c r="A16509" s="1033"/>
      <c r="E16509" s="130"/>
    </row>
    <row r="16510" spans="1:5" x14ac:dyDescent="0.25">
      <c r="A16510" s="1033"/>
      <c r="E16510" s="130"/>
    </row>
    <row r="16511" spans="1:5" x14ac:dyDescent="0.25">
      <c r="A16511" s="1033"/>
      <c r="E16511" s="130"/>
    </row>
    <row r="16512" spans="1:5" x14ac:dyDescent="0.25">
      <c r="A16512" s="1033"/>
      <c r="E16512" s="130"/>
    </row>
    <row r="16513" spans="1:5" x14ac:dyDescent="0.25">
      <c r="A16513" s="1033"/>
      <c r="E16513" s="130"/>
    </row>
    <row r="16514" spans="1:5" x14ac:dyDescent="0.25">
      <c r="A16514" s="1033"/>
      <c r="E16514" s="130"/>
    </row>
    <row r="16515" spans="1:5" x14ac:dyDescent="0.25">
      <c r="A16515" s="1033"/>
      <c r="E16515" s="130"/>
    </row>
    <row r="16516" spans="1:5" x14ac:dyDescent="0.25">
      <c r="A16516" s="1033"/>
      <c r="E16516" s="130"/>
    </row>
    <row r="16517" spans="1:5" x14ac:dyDescent="0.25">
      <c r="A16517" s="1033"/>
      <c r="E16517" s="130"/>
    </row>
    <row r="16518" spans="1:5" x14ac:dyDescent="0.25">
      <c r="A16518" s="1033"/>
      <c r="E16518" s="130"/>
    </row>
    <row r="16519" spans="1:5" x14ac:dyDescent="0.25">
      <c r="A16519" s="1033"/>
      <c r="E16519" s="130"/>
    </row>
    <row r="16520" spans="1:5" x14ac:dyDescent="0.25">
      <c r="A16520" s="1033"/>
      <c r="E16520" s="130"/>
    </row>
    <row r="16521" spans="1:5" x14ac:dyDescent="0.25">
      <c r="A16521" s="1033"/>
      <c r="E16521" s="130"/>
    </row>
    <row r="16522" spans="1:5" x14ac:dyDescent="0.25">
      <c r="A16522" s="1033"/>
      <c r="E16522" s="130"/>
    </row>
    <row r="16523" spans="1:5" x14ac:dyDescent="0.25">
      <c r="A16523" s="1033"/>
      <c r="E16523" s="130"/>
    </row>
    <row r="16524" spans="1:5" x14ac:dyDescent="0.25">
      <c r="A16524" s="1033"/>
      <c r="E16524" s="130"/>
    </row>
    <row r="16525" spans="1:5" x14ac:dyDescent="0.25">
      <c r="A16525" s="1033"/>
      <c r="E16525" s="130"/>
    </row>
    <row r="16526" spans="1:5" x14ac:dyDescent="0.25">
      <c r="A16526" s="1033"/>
      <c r="E16526" s="130"/>
    </row>
    <row r="16527" spans="1:5" x14ac:dyDescent="0.25">
      <c r="A16527" s="1033"/>
      <c r="E16527" s="130"/>
    </row>
    <row r="16528" spans="1:5" x14ac:dyDescent="0.25">
      <c r="A16528" s="1033"/>
      <c r="E16528" s="130"/>
    </row>
    <row r="16529" spans="1:5" x14ac:dyDescent="0.25">
      <c r="A16529" s="1033"/>
      <c r="E16529" s="130"/>
    </row>
    <row r="16530" spans="1:5" x14ac:dyDescent="0.25">
      <c r="A16530" s="1033"/>
      <c r="E16530" s="130"/>
    </row>
    <row r="16531" spans="1:5" x14ac:dyDescent="0.25">
      <c r="A16531" s="1033"/>
      <c r="E16531" s="130"/>
    </row>
    <row r="16532" spans="1:5" x14ac:dyDescent="0.25">
      <c r="A16532" s="1033"/>
      <c r="E16532" s="130"/>
    </row>
    <row r="16533" spans="1:5" x14ac:dyDescent="0.25">
      <c r="A16533" s="1033"/>
      <c r="E16533" s="130"/>
    </row>
    <row r="16534" spans="1:5" x14ac:dyDescent="0.25">
      <c r="A16534" s="1033"/>
      <c r="E16534" s="130"/>
    </row>
    <row r="16535" spans="1:5" x14ac:dyDescent="0.25">
      <c r="A16535" s="1033"/>
      <c r="E16535" s="130"/>
    </row>
    <row r="16536" spans="1:5" x14ac:dyDescent="0.25">
      <c r="A16536" s="1033"/>
      <c r="E16536" s="130"/>
    </row>
    <row r="16537" spans="1:5" x14ac:dyDescent="0.25">
      <c r="A16537" s="1033"/>
      <c r="E16537" s="130"/>
    </row>
    <row r="16538" spans="1:5" x14ac:dyDescent="0.25">
      <c r="A16538" s="1033"/>
      <c r="E16538" s="130"/>
    </row>
    <row r="16539" spans="1:5" x14ac:dyDescent="0.25">
      <c r="A16539" s="1033"/>
      <c r="E16539" s="130"/>
    </row>
    <row r="16540" spans="1:5" x14ac:dyDescent="0.25">
      <c r="A16540" s="1033"/>
      <c r="E16540" s="130"/>
    </row>
    <row r="16541" spans="1:5" x14ac:dyDescent="0.25">
      <c r="A16541" s="1033"/>
      <c r="E16541" s="130"/>
    </row>
    <row r="16542" spans="1:5" x14ac:dyDescent="0.25">
      <c r="A16542" s="1033"/>
      <c r="E16542" s="130"/>
    </row>
    <row r="16543" spans="1:5" x14ac:dyDescent="0.25">
      <c r="A16543" s="1033"/>
      <c r="E16543" s="130"/>
    </row>
    <row r="16544" spans="1:5" x14ac:dyDescent="0.25">
      <c r="A16544" s="1033"/>
      <c r="E16544" s="130"/>
    </row>
    <row r="16545" spans="1:5" x14ac:dyDescent="0.25">
      <c r="A16545" s="1033"/>
      <c r="E16545" s="130"/>
    </row>
    <row r="16546" spans="1:5" x14ac:dyDescent="0.25">
      <c r="A16546" s="1033"/>
      <c r="E16546" s="130"/>
    </row>
    <row r="16547" spans="1:5" x14ac:dyDescent="0.25">
      <c r="A16547" s="1033"/>
      <c r="E16547" s="130"/>
    </row>
    <row r="16548" spans="1:5" x14ac:dyDescent="0.25">
      <c r="A16548" s="1033"/>
      <c r="E16548" s="130"/>
    </row>
    <row r="16549" spans="1:5" x14ac:dyDescent="0.25">
      <c r="A16549" s="1033"/>
      <c r="E16549" s="130"/>
    </row>
    <row r="16550" spans="1:5" x14ac:dyDescent="0.25">
      <c r="A16550" s="1033"/>
      <c r="E16550" s="130"/>
    </row>
    <row r="16551" spans="1:5" x14ac:dyDescent="0.25">
      <c r="A16551" s="1033"/>
      <c r="E16551" s="130"/>
    </row>
    <row r="16552" spans="1:5" x14ac:dyDescent="0.25">
      <c r="A16552" s="1033"/>
      <c r="E16552" s="130"/>
    </row>
    <row r="16553" spans="1:5" x14ac:dyDescent="0.25">
      <c r="A16553" s="1033"/>
      <c r="E16553" s="130"/>
    </row>
    <row r="16554" spans="1:5" x14ac:dyDescent="0.25">
      <c r="A16554" s="1033"/>
      <c r="E16554" s="130"/>
    </row>
    <row r="16555" spans="1:5" x14ac:dyDescent="0.25">
      <c r="A16555" s="1033"/>
      <c r="E16555" s="130"/>
    </row>
    <row r="16556" spans="1:5" x14ac:dyDescent="0.25">
      <c r="A16556" s="1033"/>
      <c r="E16556" s="130"/>
    </row>
    <row r="16557" spans="1:5" x14ac:dyDescent="0.25">
      <c r="A16557" s="1033"/>
      <c r="E16557" s="130"/>
    </row>
    <row r="16558" spans="1:5" x14ac:dyDescent="0.25">
      <c r="A16558" s="1033"/>
      <c r="E16558" s="130"/>
    </row>
    <row r="16559" spans="1:5" x14ac:dyDescent="0.25">
      <c r="A16559" s="1033"/>
      <c r="E16559" s="130"/>
    </row>
    <row r="16560" spans="1:5" x14ac:dyDescent="0.25">
      <c r="A16560" s="1033"/>
      <c r="E16560" s="130"/>
    </row>
    <row r="16561" spans="1:5" x14ac:dyDescent="0.25">
      <c r="A16561" s="1033"/>
      <c r="E16561" s="130"/>
    </row>
    <row r="16562" spans="1:5" x14ac:dyDescent="0.25">
      <c r="A16562" s="1033"/>
      <c r="E16562" s="130"/>
    </row>
    <row r="16563" spans="1:5" x14ac:dyDescent="0.25">
      <c r="A16563" s="1033"/>
      <c r="E16563" s="130"/>
    </row>
    <row r="16564" spans="1:5" x14ac:dyDescent="0.25">
      <c r="A16564" s="1033"/>
      <c r="E16564" s="130"/>
    </row>
    <row r="16565" spans="1:5" x14ac:dyDescent="0.25">
      <c r="A16565" s="1033"/>
      <c r="E16565" s="130"/>
    </row>
    <row r="16566" spans="1:5" x14ac:dyDescent="0.25">
      <c r="A16566" s="1033"/>
      <c r="E16566" s="130"/>
    </row>
    <row r="16567" spans="1:5" x14ac:dyDescent="0.25">
      <c r="A16567" s="1033"/>
      <c r="E16567" s="130"/>
    </row>
    <row r="16568" spans="1:5" x14ac:dyDescent="0.25">
      <c r="A16568" s="1033"/>
      <c r="E16568" s="130"/>
    </row>
    <row r="16569" spans="1:5" x14ac:dyDescent="0.25">
      <c r="A16569" s="1033"/>
      <c r="E16569" s="130"/>
    </row>
    <row r="16570" spans="1:5" x14ac:dyDescent="0.25">
      <c r="A16570" s="1033"/>
      <c r="E16570" s="130"/>
    </row>
    <row r="16571" spans="1:5" x14ac:dyDescent="0.25">
      <c r="A16571" s="1033"/>
      <c r="E16571" s="130"/>
    </row>
    <row r="16572" spans="1:5" x14ac:dyDescent="0.25">
      <c r="A16572" s="1033"/>
      <c r="E16572" s="130"/>
    </row>
    <row r="16573" spans="1:5" x14ac:dyDescent="0.25">
      <c r="A16573" s="1033"/>
      <c r="E16573" s="130"/>
    </row>
    <row r="16574" spans="1:5" x14ac:dyDescent="0.25">
      <c r="A16574" s="1033"/>
      <c r="E16574" s="130"/>
    </row>
    <row r="16575" spans="1:5" x14ac:dyDescent="0.25">
      <c r="A16575" s="1033"/>
      <c r="E16575" s="130"/>
    </row>
    <row r="16576" spans="1:5" x14ac:dyDescent="0.25">
      <c r="A16576" s="1033"/>
      <c r="E16576" s="130"/>
    </row>
    <row r="16577" spans="1:5" x14ac:dyDescent="0.25">
      <c r="A16577" s="1033"/>
      <c r="E16577" s="130"/>
    </row>
    <row r="16578" spans="1:5" x14ac:dyDescent="0.25">
      <c r="A16578" s="1033"/>
      <c r="E16578" s="130"/>
    </row>
    <row r="16579" spans="1:5" x14ac:dyDescent="0.25">
      <c r="A16579" s="1033"/>
      <c r="E16579" s="130"/>
    </row>
    <row r="16580" spans="1:5" x14ac:dyDescent="0.25">
      <c r="A16580" s="1033"/>
      <c r="E16580" s="130"/>
    </row>
    <row r="16581" spans="1:5" x14ac:dyDescent="0.25">
      <c r="A16581" s="1033"/>
      <c r="E16581" s="130"/>
    </row>
    <row r="16582" spans="1:5" x14ac:dyDescent="0.25">
      <c r="A16582" s="1033"/>
      <c r="E16582" s="130"/>
    </row>
    <row r="16583" spans="1:5" x14ac:dyDescent="0.25">
      <c r="A16583" s="1033"/>
      <c r="E16583" s="130"/>
    </row>
    <row r="16584" spans="1:5" x14ac:dyDescent="0.25">
      <c r="A16584" s="1033"/>
      <c r="E16584" s="130"/>
    </row>
    <row r="16585" spans="1:5" x14ac:dyDescent="0.25">
      <c r="A16585" s="1033"/>
      <c r="E16585" s="130"/>
    </row>
    <row r="16586" spans="1:5" x14ac:dyDescent="0.25">
      <c r="A16586" s="1033"/>
      <c r="E16586" s="130"/>
    </row>
    <row r="16587" spans="1:5" x14ac:dyDescent="0.25">
      <c r="A16587" s="1033"/>
      <c r="E16587" s="130"/>
    </row>
    <row r="16588" spans="1:5" x14ac:dyDescent="0.25">
      <c r="A16588" s="1033"/>
      <c r="E16588" s="130"/>
    </row>
    <row r="16589" spans="1:5" x14ac:dyDescent="0.25">
      <c r="A16589" s="1033"/>
      <c r="E16589" s="130"/>
    </row>
    <row r="16590" spans="1:5" x14ac:dyDescent="0.25">
      <c r="A16590" s="1033"/>
      <c r="E16590" s="130"/>
    </row>
    <row r="16591" spans="1:5" x14ac:dyDescent="0.25">
      <c r="A16591" s="1033"/>
      <c r="E16591" s="130"/>
    </row>
    <row r="16592" spans="1:5" x14ac:dyDescent="0.25">
      <c r="A16592" s="1033"/>
      <c r="E16592" s="130"/>
    </row>
    <row r="16593" spans="1:5" x14ac:dyDescent="0.25">
      <c r="A16593" s="1033"/>
      <c r="E16593" s="130"/>
    </row>
    <row r="16594" spans="1:5" x14ac:dyDescent="0.25">
      <c r="A16594" s="1033"/>
      <c r="E16594" s="130"/>
    </row>
    <row r="16595" spans="1:5" x14ac:dyDescent="0.25">
      <c r="A16595" s="1033"/>
      <c r="E16595" s="130"/>
    </row>
    <row r="16596" spans="1:5" x14ac:dyDescent="0.25">
      <c r="A16596" s="1033"/>
      <c r="E16596" s="130"/>
    </row>
    <row r="16597" spans="1:5" x14ac:dyDescent="0.25">
      <c r="A16597" s="1033"/>
      <c r="E16597" s="130"/>
    </row>
    <row r="16598" spans="1:5" x14ac:dyDescent="0.25">
      <c r="A16598" s="1033"/>
      <c r="E16598" s="130"/>
    </row>
    <row r="16599" spans="1:5" x14ac:dyDescent="0.25">
      <c r="A16599" s="1033"/>
      <c r="E16599" s="130"/>
    </row>
    <row r="16600" spans="1:5" x14ac:dyDescent="0.25">
      <c r="A16600" s="1033"/>
      <c r="E16600" s="130"/>
    </row>
    <row r="16601" spans="1:5" x14ac:dyDescent="0.25">
      <c r="A16601" s="1033"/>
      <c r="E16601" s="130"/>
    </row>
    <row r="16602" spans="1:5" x14ac:dyDescent="0.25">
      <c r="A16602" s="1033"/>
      <c r="E16602" s="130"/>
    </row>
    <row r="16603" spans="1:5" x14ac:dyDescent="0.25">
      <c r="A16603" s="1033"/>
      <c r="E16603" s="130"/>
    </row>
    <row r="16604" spans="1:5" x14ac:dyDescent="0.25">
      <c r="A16604" s="1033"/>
      <c r="E16604" s="130"/>
    </row>
    <row r="16605" spans="1:5" x14ac:dyDescent="0.25">
      <c r="A16605" s="1033"/>
      <c r="E16605" s="130"/>
    </row>
    <row r="16606" spans="1:5" x14ac:dyDescent="0.25">
      <c r="A16606" s="1033"/>
      <c r="E16606" s="130"/>
    </row>
    <row r="16607" spans="1:5" x14ac:dyDescent="0.25">
      <c r="A16607" s="1033"/>
      <c r="E16607" s="130"/>
    </row>
    <row r="16608" spans="1:5" x14ac:dyDescent="0.25">
      <c r="A16608" s="1033"/>
      <c r="E16608" s="130"/>
    </row>
    <row r="16609" spans="1:5" x14ac:dyDescent="0.25">
      <c r="A16609" s="1033"/>
      <c r="E16609" s="130"/>
    </row>
    <row r="16610" spans="1:5" x14ac:dyDescent="0.25">
      <c r="A16610" s="1033"/>
      <c r="E16610" s="130"/>
    </row>
    <row r="16611" spans="1:5" x14ac:dyDescent="0.25">
      <c r="A16611" s="1033"/>
      <c r="E16611" s="130"/>
    </row>
    <row r="16612" spans="1:5" x14ac:dyDescent="0.25">
      <c r="A16612" s="1033"/>
      <c r="E16612" s="130"/>
    </row>
    <row r="16613" spans="1:5" x14ac:dyDescent="0.25">
      <c r="A16613" s="1033"/>
      <c r="E16613" s="130"/>
    </row>
    <row r="16614" spans="1:5" x14ac:dyDescent="0.25">
      <c r="A16614" s="1033"/>
      <c r="E16614" s="130"/>
    </row>
    <row r="16615" spans="1:5" x14ac:dyDescent="0.25">
      <c r="A16615" s="1033"/>
      <c r="E16615" s="130"/>
    </row>
    <row r="16616" spans="1:5" x14ac:dyDescent="0.25">
      <c r="A16616" s="1033"/>
      <c r="E16616" s="130"/>
    </row>
    <row r="16617" spans="1:5" x14ac:dyDescent="0.25">
      <c r="A16617" s="1033"/>
      <c r="E16617" s="130"/>
    </row>
    <row r="16618" spans="1:5" x14ac:dyDescent="0.25">
      <c r="A16618" s="1033"/>
      <c r="E16618" s="130"/>
    </row>
    <row r="16619" spans="1:5" x14ac:dyDescent="0.25">
      <c r="A16619" s="1033"/>
      <c r="E16619" s="130"/>
    </row>
    <row r="16620" spans="1:5" x14ac:dyDescent="0.25">
      <c r="A16620" s="1033"/>
      <c r="E16620" s="130"/>
    </row>
    <row r="16621" spans="1:5" x14ac:dyDescent="0.25">
      <c r="A16621" s="1033"/>
      <c r="E16621" s="130"/>
    </row>
    <row r="16622" spans="1:5" x14ac:dyDescent="0.25">
      <c r="A16622" s="1033"/>
      <c r="E16622" s="130"/>
    </row>
    <row r="16623" spans="1:5" x14ac:dyDescent="0.25">
      <c r="A16623" s="1033"/>
      <c r="E16623" s="130"/>
    </row>
    <row r="16624" spans="1:5" x14ac:dyDescent="0.25">
      <c r="A16624" s="1033"/>
      <c r="E16624" s="130"/>
    </row>
    <row r="16625" spans="1:5" x14ac:dyDescent="0.25">
      <c r="A16625" s="1033"/>
      <c r="E16625" s="130"/>
    </row>
    <row r="16626" spans="1:5" x14ac:dyDescent="0.25">
      <c r="A16626" s="1033"/>
      <c r="E16626" s="130"/>
    </row>
    <row r="16627" spans="1:5" x14ac:dyDescent="0.25">
      <c r="A16627" s="1033"/>
      <c r="E16627" s="130"/>
    </row>
    <row r="16628" spans="1:5" x14ac:dyDescent="0.25">
      <c r="A16628" s="1033"/>
      <c r="E16628" s="130"/>
    </row>
    <row r="16629" spans="1:5" x14ac:dyDescent="0.25">
      <c r="A16629" s="1033"/>
      <c r="E16629" s="130"/>
    </row>
    <row r="16630" spans="1:5" x14ac:dyDescent="0.25">
      <c r="A16630" s="1033"/>
      <c r="E16630" s="130"/>
    </row>
    <row r="16631" spans="1:5" x14ac:dyDescent="0.25">
      <c r="A16631" s="1033"/>
      <c r="E16631" s="130"/>
    </row>
    <row r="16632" spans="1:5" x14ac:dyDescent="0.25">
      <c r="A16632" s="1033"/>
      <c r="E16632" s="130"/>
    </row>
    <row r="16633" spans="1:5" x14ac:dyDescent="0.25">
      <c r="A16633" s="1033"/>
      <c r="E16633" s="130"/>
    </row>
    <row r="16634" spans="1:5" x14ac:dyDescent="0.25">
      <c r="A16634" s="1033"/>
      <c r="E16634" s="130"/>
    </row>
    <row r="16635" spans="1:5" x14ac:dyDescent="0.25">
      <c r="A16635" s="1033"/>
      <c r="E16635" s="130"/>
    </row>
    <row r="16636" spans="1:5" x14ac:dyDescent="0.25">
      <c r="A16636" s="1033"/>
      <c r="E16636" s="130"/>
    </row>
    <row r="16637" spans="1:5" x14ac:dyDescent="0.25">
      <c r="A16637" s="1033"/>
      <c r="E16637" s="130"/>
    </row>
    <row r="16638" spans="1:5" x14ac:dyDescent="0.25">
      <c r="A16638" s="1033"/>
      <c r="E16638" s="130"/>
    </row>
    <row r="16639" spans="1:5" x14ac:dyDescent="0.25">
      <c r="A16639" s="1033"/>
      <c r="E16639" s="130"/>
    </row>
    <row r="16640" spans="1:5" x14ac:dyDescent="0.25">
      <c r="A16640" s="1033"/>
      <c r="E16640" s="130"/>
    </row>
    <row r="16641" spans="1:5" x14ac:dyDescent="0.25">
      <c r="A16641" s="1033"/>
      <c r="E16641" s="130"/>
    </row>
    <row r="16642" spans="1:5" x14ac:dyDescent="0.25">
      <c r="A16642" s="1033"/>
      <c r="E16642" s="130"/>
    </row>
    <row r="16643" spans="1:5" x14ac:dyDescent="0.25">
      <c r="A16643" s="1033"/>
      <c r="E16643" s="130"/>
    </row>
    <row r="16644" spans="1:5" x14ac:dyDescent="0.25">
      <c r="A16644" s="1033"/>
      <c r="E16644" s="130"/>
    </row>
    <row r="16645" spans="1:5" x14ac:dyDescent="0.25">
      <c r="A16645" s="1033"/>
      <c r="E16645" s="130"/>
    </row>
    <row r="16646" spans="1:5" x14ac:dyDescent="0.25">
      <c r="A16646" s="1033"/>
      <c r="E16646" s="130"/>
    </row>
    <row r="16647" spans="1:5" x14ac:dyDescent="0.25">
      <c r="A16647" s="1033"/>
      <c r="E16647" s="130"/>
    </row>
    <row r="16648" spans="1:5" x14ac:dyDescent="0.25">
      <c r="A16648" s="1033"/>
      <c r="E16648" s="130"/>
    </row>
    <row r="16649" spans="1:5" x14ac:dyDescent="0.25">
      <c r="A16649" s="1033"/>
      <c r="E16649" s="130"/>
    </row>
    <row r="16650" spans="1:5" x14ac:dyDescent="0.25">
      <c r="A16650" s="1033"/>
      <c r="E16650" s="130"/>
    </row>
    <row r="16651" spans="1:5" x14ac:dyDescent="0.25">
      <c r="A16651" s="1033"/>
      <c r="E16651" s="130"/>
    </row>
    <row r="16652" spans="1:5" x14ac:dyDescent="0.25">
      <c r="A16652" s="1033"/>
      <c r="E16652" s="130"/>
    </row>
    <row r="16653" spans="1:5" x14ac:dyDescent="0.25">
      <c r="A16653" s="1033"/>
      <c r="E16653" s="130"/>
    </row>
    <row r="16654" spans="1:5" x14ac:dyDescent="0.25">
      <c r="A16654" s="1033"/>
      <c r="E16654" s="130"/>
    </row>
    <row r="16655" spans="1:5" x14ac:dyDescent="0.25">
      <c r="A16655" s="1033"/>
      <c r="E16655" s="130"/>
    </row>
    <row r="16656" spans="1:5" x14ac:dyDescent="0.25">
      <c r="A16656" s="1033"/>
      <c r="E16656" s="130"/>
    </row>
    <row r="16657" spans="1:5" x14ac:dyDescent="0.25">
      <c r="A16657" s="1033"/>
      <c r="E16657" s="130"/>
    </row>
    <row r="16658" spans="1:5" x14ac:dyDescent="0.25">
      <c r="A16658" s="1033"/>
      <c r="E16658" s="130"/>
    </row>
    <row r="16659" spans="1:5" x14ac:dyDescent="0.25">
      <c r="A16659" s="1033"/>
      <c r="E16659" s="130"/>
    </row>
    <row r="16660" spans="1:5" x14ac:dyDescent="0.25">
      <c r="A16660" s="1033"/>
      <c r="E16660" s="130"/>
    </row>
    <row r="16661" spans="1:5" x14ac:dyDescent="0.25">
      <c r="A16661" s="1033"/>
      <c r="E16661" s="130"/>
    </row>
    <row r="16662" spans="1:5" x14ac:dyDescent="0.25">
      <c r="A16662" s="1033"/>
      <c r="E16662" s="130"/>
    </row>
    <row r="16663" spans="1:5" x14ac:dyDescent="0.25">
      <c r="A16663" s="1033"/>
      <c r="E16663" s="130"/>
    </row>
    <row r="16664" spans="1:5" x14ac:dyDescent="0.25">
      <c r="A16664" s="1033"/>
      <c r="E16664" s="130"/>
    </row>
    <row r="16665" spans="1:5" x14ac:dyDescent="0.25">
      <c r="A16665" s="1033"/>
      <c r="E16665" s="130"/>
    </row>
    <row r="16666" spans="1:5" x14ac:dyDescent="0.25">
      <c r="A16666" s="1033"/>
      <c r="E16666" s="130"/>
    </row>
    <row r="16667" spans="1:5" x14ac:dyDescent="0.25">
      <c r="A16667" s="1033"/>
      <c r="E16667" s="130"/>
    </row>
    <row r="16668" spans="1:5" x14ac:dyDescent="0.25">
      <c r="A16668" s="1033"/>
      <c r="E16668" s="130"/>
    </row>
    <row r="16669" spans="1:5" x14ac:dyDescent="0.25">
      <c r="A16669" s="1033"/>
      <c r="E16669" s="130"/>
    </row>
    <row r="16670" spans="1:5" x14ac:dyDescent="0.25">
      <c r="A16670" s="1033"/>
      <c r="E16670" s="130"/>
    </row>
    <row r="16671" spans="1:5" x14ac:dyDescent="0.25">
      <c r="A16671" s="1033"/>
      <c r="E16671" s="130"/>
    </row>
    <row r="16672" spans="1:5" x14ac:dyDescent="0.25">
      <c r="A16672" s="1033"/>
      <c r="E16672" s="130"/>
    </row>
    <row r="16673" spans="1:5" x14ac:dyDescent="0.25">
      <c r="A16673" s="1033"/>
      <c r="E16673" s="130"/>
    </row>
    <row r="16674" spans="1:5" x14ac:dyDescent="0.25">
      <c r="A16674" s="1033"/>
      <c r="E16674" s="130"/>
    </row>
    <row r="16675" spans="1:5" x14ac:dyDescent="0.25">
      <c r="A16675" s="1033"/>
      <c r="E16675" s="130"/>
    </row>
    <row r="16676" spans="1:5" x14ac:dyDescent="0.25">
      <c r="A16676" s="1033"/>
      <c r="E16676" s="130"/>
    </row>
    <row r="16677" spans="1:5" x14ac:dyDescent="0.25">
      <c r="A16677" s="1033"/>
      <c r="E16677" s="130"/>
    </row>
    <row r="16678" spans="1:5" x14ac:dyDescent="0.25">
      <c r="A16678" s="1033"/>
      <c r="E16678" s="130"/>
    </row>
    <row r="16679" spans="1:5" x14ac:dyDescent="0.25">
      <c r="A16679" s="1033"/>
      <c r="E16679" s="130"/>
    </row>
    <row r="16680" spans="1:5" x14ac:dyDescent="0.25">
      <c r="A16680" s="1033"/>
      <c r="E16680" s="130"/>
    </row>
    <row r="16681" spans="1:5" x14ac:dyDescent="0.25">
      <c r="A16681" s="1033"/>
      <c r="E16681" s="130"/>
    </row>
    <row r="16682" spans="1:5" x14ac:dyDescent="0.25">
      <c r="A16682" s="1033"/>
      <c r="E16682" s="130"/>
    </row>
    <row r="16683" spans="1:5" x14ac:dyDescent="0.25">
      <c r="A16683" s="1033"/>
      <c r="E16683" s="130"/>
    </row>
    <row r="16684" spans="1:5" x14ac:dyDescent="0.25">
      <c r="A16684" s="1033"/>
      <c r="E16684" s="130"/>
    </row>
    <row r="16685" spans="1:5" x14ac:dyDescent="0.25">
      <c r="A16685" s="1033"/>
      <c r="E16685" s="130"/>
    </row>
    <row r="16686" spans="1:5" x14ac:dyDescent="0.25">
      <c r="A16686" s="1033"/>
      <c r="E16686" s="130"/>
    </row>
    <row r="16687" spans="1:5" x14ac:dyDescent="0.25">
      <c r="A16687" s="1033"/>
      <c r="E16687" s="130"/>
    </row>
    <row r="16688" spans="1:5" x14ac:dyDescent="0.25">
      <c r="A16688" s="1033"/>
      <c r="E16688" s="130"/>
    </row>
    <row r="16689" spans="1:5" x14ac:dyDescent="0.25">
      <c r="A16689" s="1033"/>
      <c r="E16689" s="130"/>
    </row>
    <row r="16690" spans="1:5" x14ac:dyDescent="0.25">
      <c r="A16690" s="1033"/>
      <c r="E16690" s="130"/>
    </row>
    <row r="16691" spans="1:5" x14ac:dyDescent="0.25">
      <c r="A16691" s="1033"/>
      <c r="E16691" s="130"/>
    </row>
    <row r="16692" spans="1:5" x14ac:dyDescent="0.25">
      <c r="A16692" s="1033"/>
      <c r="E16692" s="130"/>
    </row>
    <row r="16693" spans="1:5" x14ac:dyDescent="0.25">
      <c r="A16693" s="1033"/>
      <c r="E16693" s="130"/>
    </row>
    <row r="16694" spans="1:5" x14ac:dyDescent="0.25">
      <c r="A16694" s="1033"/>
      <c r="E16694" s="130"/>
    </row>
    <row r="16695" spans="1:5" x14ac:dyDescent="0.25">
      <c r="A16695" s="1033"/>
      <c r="E16695" s="130"/>
    </row>
    <row r="16696" spans="1:5" x14ac:dyDescent="0.25">
      <c r="A16696" s="1033"/>
      <c r="E16696" s="130"/>
    </row>
    <row r="16697" spans="1:5" x14ac:dyDescent="0.25">
      <c r="A16697" s="1033"/>
      <c r="E16697" s="130"/>
    </row>
    <row r="16698" spans="1:5" x14ac:dyDescent="0.25">
      <c r="A16698" s="1033"/>
      <c r="E16698" s="130"/>
    </row>
    <row r="16699" spans="1:5" x14ac:dyDescent="0.25">
      <c r="A16699" s="1033"/>
      <c r="E16699" s="130"/>
    </row>
    <row r="16700" spans="1:5" x14ac:dyDescent="0.25">
      <c r="A16700" s="1033"/>
      <c r="E16700" s="130"/>
    </row>
    <row r="16701" spans="1:5" x14ac:dyDescent="0.25">
      <c r="A16701" s="1033"/>
      <c r="E16701" s="130"/>
    </row>
    <row r="16702" spans="1:5" x14ac:dyDescent="0.25">
      <c r="A16702" s="1033"/>
      <c r="E16702" s="130"/>
    </row>
    <row r="16703" spans="1:5" x14ac:dyDescent="0.25">
      <c r="A16703" s="1033"/>
      <c r="E16703" s="130"/>
    </row>
    <row r="16704" spans="1:5" x14ac:dyDescent="0.25">
      <c r="A16704" s="1033"/>
      <c r="E16704" s="130"/>
    </row>
    <row r="16705" spans="1:5" x14ac:dyDescent="0.25">
      <c r="A16705" s="1033"/>
      <c r="E16705" s="130"/>
    </row>
    <row r="16706" spans="1:5" x14ac:dyDescent="0.25">
      <c r="A16706" s="1033"/>
      <c r="E16706" s="130"/>
    </row>
    <row r="16707" spans="1:5" x14ac:dyDescent="0.25">
      <c r="A16707" s="1033"/>
      <c r="E16707" s="130"/>
    </row>
    <row r="16708" spans="1:5" x14ac:dyDescent="0.25">
      <c r="A16708" s="1033"/>
      <c r="E16708" s="130"/>
    </row>
    <row r="16709" spans="1:5" x14ac:dyDescent="0.25">
      <c r="A16709" s="1033"/>
      <c r="E16709" s="130"/>
    </row>
    <row r="16710" spans="1:5" x14ac:dyDescent="0.25">
      <c r="A16710" s="1033"/>
      <c r="E16710" s="130"/>
    </row>
    <row r="16711" spans="1:5" x14ac:dyDescent="0.25">
      <c r="A16711" s="1033"/>
      <c r="E16711" s="130"/>
    </row>
    <row r="16712" spans="1:5" x14ac:dyDescent="0.25">
      <c r="A16712" s="1033"/>
      <c r="E16712" s="130"/>
    </row>
    <row r="16713" spans="1:5" x14ac:dyDescent="0.25">
      <c r="A16713" s="1033"/>
      <c r="E16713" s="130"/>
    </row>
    <row r="16714" spans="1:5" x14ac:dyDescent="0.25">
      <c r="A16714" s="1033"/>
      <c r="E16714" s="130"/>
    </row>
    <row r="16715" spans="1:5" x14ac:dyDescent="0.25">
      <c r="A16715" s="1033"/>
      <c r="E16715" s="130"/>
    </row>
    <row r="16716" spans="1:5" x14ac:dyDescent="0.25">
      <c r="A16716" s="1033"/>
      <c r="E16716" s="130"/>
    </row>
    <row r="16717" spans="1:5" x14ac:dyDescent="0.25">
      <c r="A16717" s="1033"/>
      <c r="E16717" s="130"/>
    </row>
    <row r="16718" spans="1:5" x14ac:dyDescent="0.25">
      <c r="A16718" s="1033"/>
      <c r="E16718" s="130"/>
    </row>
    <row r="16719" spans="1:5" x14ac:dyDescent="0.25">
      <c r="A16719" s="1033"/>
      <c r="E16719" s="130"/>
    </row>
    <row r="16720" spans="1:5" x14ac:dyDescent="0.25">
      <c r="A16720" s="1033"/>
      <c r="E16720" s="130"/>
    </row>
    <row r="16721" spans="1:5" x14ac:dyDescent="0.25">
      <c r="A16721" s="1033"/>
      <c r="E16721" s="130"/>
    </row>
    <row r="16722" spans="1:5" x14ac:dyDescent="0.25">
      <c r="A16722" s="1033"/>
      <c r="E16722" s="130"/>
    </row>
    <row r="16723" spans="1:5" x14ac:dyDescent="0.25">
      <c r="A16723" s="1033"/>
      <c r="E16723" s="130"/>
    </row>
    <row r="16724" spans="1:5" x14ac:dyDescent="0.25">
      <c r="A16724" s="1033"/>
      <c r="E16724" s="130"/>
    </row>
    <row r="16725" spans="1:5" x14ac:dyDescent="0.25">
      <c r="A16725" s="1033"/>
      <c r="E16725" s="130"/>
    </row>
    <row r="16726" spans="1:5" x14ac:dyDescent="0.25">
      <c r="A16726" s="1033"/>
      <c r="E16726" s="130"/>
    </row>
    <row r="16727" spans="1:5" x14ac:dyDescent="0.25">
      <c r="A16727" s="1033"/>
      <c r="E16727" s="130"/>
    </row>
    <row r="16728" spans="1:5" x14ac:dyDescent="0.25">
      <c r="A16728" s="1033"/>
      <c r="E16728" s="130"/>
    </row>
    <row r="16729" spans="1:5" x14ac:dyDescent="0.25">
      <c r="A16729" s="1033"/>
      <c r="E16729" s="130"/>
    </row>
    <row r="16730" spans="1:5" x14ac:dyDescent="0.25">
      <c r="A16730" s="1033"/>
      <c r="E16730" s="130"/>
    </row>
    <row r="16731" spans="1:5" x14ac:dyDescent="0.25">
      <c r="A16731" s="1033"/>
      <c r="E16731" s="130"/>
    </row>
    <row r="16732" spans="1:5" x14ac:dyDescent="0.25">
      <c r="A16732" s="1033"/>
      <c r="E16732" s="130"/>
    </row>
    <row r="16733" spans="1:5" x14ac:dyDescent="0.25">
      <c r="A16733" s="1033"/>
      <c r="E16733" s="130"/>
    </row>
    <row r="16734" spans="1:5" x14ac:dyDescent="0.25">
      <c r="A16734" s="1033"/>
      <c r="E16734" s="130"/>
    </row>
    <row r="16735" spans="1:5" x14ac:dyDescent="0.25">
      <c r="A16735" s="1033"/>
      <c r="E16735" s="130"/>
    </row>
    <row r="16736" spans="1:5" x14ac:dyDescent="0.25">
      <c r="A16736" s="1033"/>
      <c r="E16736" s="130"/>
    </row>
    <row r="16737" spans="1:5" x14ac:dyDescent="0.25">
      <c r="A16737" s="1033"/>
      <c r="E16737" s="130"/>
    </row>
    <row r="16738" spans="1:5" x14ac:dyDescent="0.25">
      <c r="A16738" s="1033"/>
      <c r="E16738" s="130"/>
    </row>
    <row r="16739" spans="1:5" x14ac:dyDescent="0.25">
      <c r="A16739" s="1033"/>
      <c r="E16739" s="130"/>
    </row>
    <row r="16740" spans="1:5" x14ac:dyDescent="0.25">
      <c r="A16740" s="1033"/>
      <c r="E16740" s="130"/>
    </row>
    <row r="16741" spans="1:5" x14ac:dyDescent="0.25">
      <c r="A16741" s="1033"/>
      <c r="E16741" s="130"/>
    </row>
    <row r="16742" spans="1:5" x14ac:dyDescent="0.25">
      <c r="A16742" s="1033"/>
      <c r="E16742" s="130"/>
    </row>
    <row r="16743" spans="1:5" x14ac:dyDescent="0.25">
      <c r="A16743" s="1033"/>
      <c r="E16743" s="130"/>
    </row>
    <row r="16744" spans="1:5" x14ac:dyDescent="0.25">
      <c r="A16744" s="1033"/>
      <c r="E16744" s="130"/>
    </row>
    <row r="16745" spans="1:5" x14ac:dyDescent="0.25">
      <c r="A16745" s="1033"/>
      <c r="E16745" s="130"/>
    </row>
    <row r="16746" spans="1:5" x14ac:dyDescent="0.25">
      <c r="A16746" s="1033"/>
      <c r="E16746" s="130"/>
    </row>
    <row r="16747" spans="1:5" x14ac:dyDescent="0.25">
      <c r="A16747" s="1033"/>
      <c r="E16747" s="130"/>
    </row>
    <row r="16748" spans="1:5" x14ac:dyDescent="0.25">
      <c r="A16748" s="1033"/>
      <c r="E16748" s="130"/>
    </row>
    <row r="16749" spans="1:5" x14ac:dyDescent="0.25">
      <c r="A16749" s="1033"/>
      <c r="E16749" s="130"/>
    </row>
    <row r="16750" spans="1:5" x14ac:dyDescent="0.25">
      <c r="A16750" s="1033"/>
      <c r="E16750" s="130"/>
    </row>
    <row r="16751" spans="1:5" x14ac:dyDescent="0.25">
      <c r="A16751" s="1033"/>
      <c r="E16751" s="130"/>
    </row>
    <row r="16752" spans="1:5" x14ac:dyDescent="0.25">
      <c r="A16752" s="1033"/>
      <c r="E16752" s="130"/>
    </row>
    <row r="16753" spans="1:5" x14ac:dyDescent="0.25">
      <c r="A16753" s="1033"/>
      <c r="E16753" s="130"/>
    </row>
    <row r="16754" spans="1:5" x14ac:dyDescent="0.25">
      <c r="A16754" s="1033"/>
      <c r="E16754" s="130"/>
    </row>
    <row r="16755" spans="1:5" x14ac:dyDescent="0.25">
      <c r="A16755" s="1033"/>
      <c r="E16755" s="130"/>
    </row>
    <row r="16756" spans="1:5" x14ac:dyDescent="0.25">
      <c r="A16756" s="1033"/>
      <c r="E16756" s="130"/>
    </row>
    <row r="16757" spans="1:5" x14ac:dyDescent="0.25">
      <c r="A16757" s="1033"/>
      <c r="E16757" s="130"/>
    </row>
    <row r="16758" spans="1:5" x14ac:dyDescent="0.25">
      <c r="A16758" s="1033"/>
      <c r="E16758" s="130"/>
    </row>
    <row r="16759" spans="1:5" x14ac:dyDescent="0.25">
      <c r="A16759" s="1033"/>
      <c r="E16759" s="130"/>
    </row>
    <row r="16760" spans="1:5" x14ac:dyDescent="0.25">
      <c r="A16760" s="1033"/>
      <c r="E16760" s="130"/>
    </row>
    <row r="16761" spans="1:5" x14ac:dyDescent="0.25">
      <c r="A16761" s="1033"/>
      <c r="E16761" s="130"/>
    </row>
    <row r="16762" spans="1:5" x14ac:dyDescent="0.25">
      <c r="A16762" s="1033"/>
      <c r="E16762" s="130"/>
    </row>
    <row r="16763" spans="1:5" x14ac:dyDescent="0.25">
      <c r="A16763" s="1033"/>
      <c r="E16763" s="130"/>
    </row>
    <row r="16764" spans="1:5" x14ac:dyDescent="0.25">
      <c r="A16764" s="1033"/>
      <c r="E16764" s="130"/>
    </row>
    <row r="16765" spans="1:5" x14ac:dyDescent="0.25">
      <c r="A16765" s="1033"/>
      <c r="E16765" s="130"/>
    </row>
    <row r="16766" spans="1:5" x14ac:dyDescent="0.25">
      <c r="A16766" s="1033"/>
      <c r="E16766" s="130"/>
    </row>
    <row r="16767" spans="1:5" x14ac:dyDescent="0.25">
      <c r="A16767" s="1033"/>
      <c r="E16767" s="130"/>
    </row>
    <row r="16768" spans="1:5" x14ac:dyDescent="0.25">
      <c r="A16768" s="1033"/>
      <c r="E16768" s="130"/>
    </row>
    <row r="16769" spans="1:5" x14ac:dyDescent="0.25">
      <c r="A16769" s="1033"/>
      <c r="E16769" s="130"/>
    </row>
    <row r="16770" spans="1:5" x14ac:dyDescent="0.25">
      <c r="A16770" s="1033"/>
      <c r="E16770" s="130"/>
    </row>
    <row r="16771" spans="1:5" x14ac:dyDescent="0.25">
      <c r="A16771" s="1033"/>
      <c r="E16771" s="130"/>
    </row>
    <row r="16772" spans="1:5" x14ac:dyDescent="0.25">
      <c r="A16772" s="1033"/>
      <c r="E16772" s="130"/>
    </row>
    <row r="16773" spans="1:5" x14ac:dyDescent="0.25">
      <c r="A16773" s="1033"/>
      <c r="E16773" s="130"/>
    </row>
    <row r="16774" spans="1:5" x14ac:dyDescent="0.25">
      <c r="A16774" s="1033"/>
      <c r="E16774" s="130"/>
    </row>
    <row r="16775" spans="1:5" x14ac:dyDescent="0.25">
      <c r="A16775" s="1033"/>
      <c r="E16775" s="130"/>
    </row>
    <row r="16776" spans="1:5" x14ac:dyDescent="0.25">
      <c r="A16776" s="1033"/>
      <c r="E16776" s="130"/>
    </row>
    <row r="16777" spans="1:5" x14ac:dyDescent="0.25">
      <c r="A16777" s="1033"/>
      <c r="E16777" s="130"/>
    </row>
    <row r="16778" spans="1:5" x14ac:dyDescent="0.25">
      <c r="A16778" s="1033"/>
      <c r="E16778" s="130"/>
    </row>
    <row r="16779" spans="1:5" x14ac:dyDescent="0.25">
      <c r="A16779" s="1033"/>
      <c r="E16779" s="130"/>
    </row>
    <row r="16780" spans="1:5" x14ac:dyDescent="0.25">
      <c r="A16780" s="1033"/>
      <c r="E16780" s="130"/>
    </row>
    <row r="16781" spans="1:5" x14ac:dyDescent="0.25">
      <c r="A16781" s="1033"/>
      <c r="E16781" s="130"/>
    </row>
    <row r="16782" spans="1:5" x14ac:dyDescent="0.25">
      <c r="A16782" s="1033"/>
      <c r="E16782" s="130"/>
    </row>
    <row r="16783" spans="1:5" x14ac:dyDescent="0.25">
      <c r="A16783" s="1033"/>
      <c r="E16783" s="130"/>
    </row>
    <row r="16784" spans="1:5" x14ac:dyDescent="0.25">
      <c r="A16784" s="1033"/>
      <c r="E16784" s="130"/>
    </row>
    <row r="16785" spans="1:5" x14ac:dyDescent="0.25">
      <c r="A16785" s="1033"/>
      <c r="E16785" s="130"/>
    </row>
    <row r="16786" spans="1:5" x14ac:dyDescent="0.25">
      <c r="A16786" s="1033"/>
      <c r="E16786" s="130"/>
    </row>
    <row r="16787" spans="1:5" x14ac:dyDescent="0.25">
      <c r="A16787" s="1033"/>
      <c r="E16787" s="130"/>
    </row>
    <row r="16788" spans="1:5" x14ac:dyDescent="0.25">
      <c r="A16788" s="1033"/>
      <c r="E16788" s="130"/>
    </row>
    <row r="16789" spans="1:5" x14ac:dyDescent="0.25">
      <c r="A16789" s="1033"/>
      <c r="E16789" s="130"/>
    </row>
    <row r="16790" spans="1:5" x14ac:dyDescent="0.25">
      <c r="A16790" s="1033"/>
      <c r="E16790" s="130"/>
    </row>
    <row r="16791" spans="1:5" x14ac:dyDescent="0.25">
      <c r="A16791" s="1033"/>
      <c r="E16791" s="130"/>
    </row>
    <row r="16792" spans="1:5" x14ac:dyDescent="0.25">
      <c r="A16792" s="1033"/>
      <c r="E16792" s="130"/>
    </row>
    <row r="16793" spans="1:5" x14ac:dyDescent="0.25">
      <c r="A16793" s="1033"/>
      <c r="E16793" s="130"/>
    </row>
    <row r="16794" spans="1:5" x14ac:dyDescent="0.25">
      <c r="A16794" s="1033"/>
      <c r="E16794" s="130"/>
    </row>
    <row r="16795" spans="1:5" x14ac:dyDescent="0.25">
      <c r="A16795" s="1033"/>
      <c r="E16795" s="130"/>
    </row>
    <row r="16796" spans="1:5" x14ac:dyDescent="0.25">
      <c r="A16796" s="1033"/>
      <c r="E16796" s="130"/>
    </row>
    <row r="16797" spans="1:5" x14ac:dyDescent="0.25">
      <c r="A16797" s="1033"/>
      <c r="E16797" s="130"/>
    </row>
    <row r="16798" spans="1:5" x14ac:dyDescent="0.25">
      <c r="A16798" s="1033"/>
      <c r="E16798" s="130"/>
    </row>
    <row r="16799" spans="1:5" x14ac:dyDescent="0.25">
      <c r="A16799" s="1033"/>
      <c r="E16799" s="130"/>
    </row>
    <row r="16800" spans="1:5" x14ac:dyDescent="0.25">
      <c r="A16800" s="1033"/>
      <c r="E16800" s="130"/>
    </row>
    <row r="16801" spans="1:5" x14ac:dyDescent="0.25">
      <c r="A16801" s="1033"/>
      <c r="E16801" s="130"/>
    </row>
    <row r="16802" spans="1:5" x14ac:dyDescent="0.25">
      <c r="A16802" s="1033"/>
      <c r="E16802" s="130"/>
    </row>
    <row r="16803" spans="1:5" x14ac:dyDescent="0.25">
      <c r="A16803" s="1033"/>
      <c r="E16803" s="130"/>
    </row>
    <row r="16804" spans="1:5" x14ac:dyDescent="0.25">
      <c r="A16804" s="1033"/>
      <c r="E16804" s="130"/>
    </row>
    <row r="16805" spans="1:5" x14ac:dyDescent="0.25">
      <c r="A16805" s="1033"/>
      <c r="E16805" s="130"/>
    </row>
    <row r="16806" spans="1:5" x14ac:dyDescent="0.25">
      <c r="A16806" s="1033"/>
      <c r="E16806" s="130"/>
    </row>
    <row r="16807" spans="1:5" x14ac:dyDescent="0.25">
      <c r="A16807" s="1033"/>
      <c r="E16807" s="130"/>
    </row>
    <row r="16808" spans="1:5" x14ac:dyDescent="0.25">
      <c r="A16808" s="1033"/>
      <c r="E16808" s="130"/>
    </row>
    <row r="16809" spans="1:5" x14ac:dyDescent="0.25">
      <c r="A16809" s="1033"/>
      <c r="E16809" s="130"/>
    </row>
    <row r="16810" spans="1:5" x14ac:dyDescent="0.25">
      <c r="A16810" s="1033"/>
      <c r="E16810" s="130"/>
    </row>
    <row r="16811" spans="1:5" x14ac:dyDescent="0.25">
      <c r="A16811" s="1033"/>
      <c r="E16811" s="130"/>
    </row>
    <row r="16812" spans="1:5" x14ac:dyDescent="0.25">
      <c r="A16812" s="1033"/>
      <c r="E16812" s="130"/>
    </row>
    <row r="16813" spans="1:5" x14ac:dyDescent="0.25">
      <c r="A16813" s="1033"/>
      <c r="E16813" s="130"/>
    </row>
    <row r="16814" spans="1:5" x14ac:dyDescent="0.25">
      <c r="A16814" s="1033"/>
      <c r="E16814" s="130"/>
    </row>
    <row r="16815" spans="1:5" x14ac:dyDescent="0.25">
      <c r="A16815" s="1033"/>
      <c r="E16815" s="130"/>
    </row>
    <row r="16816" spans="1:5" x14ac:dyDescent="0.25">
      <c r="A16816" s="1033"/>
      <c r="E16816" s="130"/>
    </row>
    <row r="16817" spans="1:5" x14ac:dyDescent="0.25">
      <c r="A16817" s="1033"/>
      <c r="E16817" s="130"/>
    </row>
    <row r="16818" spans="1:5" x14ac:dyDescent="0.25">
      <c r="A16818" s="1033"/>
      <c r="E16818" s="130"/>
    </row>
    <row r="16819" spans="1:5" x14ac:dyDescent="0.25">
      <c r="A16819" s="1033"/>
      <c r="E16819" s="130"/>
    </row>
    <row r="16820" spans="1:5" x14ac:dyDescent="0.25">
      <c r="A16820" s="1033"/>
      <c r="E16820" s="130"/>
    </row>
    <row r="16821" spans="1:5" x14ac:dyDescent="0.25">
      <c r="A16821" s="1033"/>
      <c r="E16821" s="130"/>
    </row>
    <row r="16822" spans="1:5" x14ac:dyDescent="0.25">
      <c r="A16822" s="1033"/>
      <c r="E16822" s="130"/>
    </row>
    <row r="16823" spans="1:5" x14ac:dyDescent="0.25">
      <c r="A16823" s="1033"/>
      <c r="E16823" s="130"/>
    </row>
    <row r="16824" spans="1:5" x14ac:dyDescent="0.25">
      <c r="A16824" s="1033"/>
      <c r="E16824" s="130"/>
    </row>
    <row r="16825" spans="1:5" x14ac:dyDescent="0.25">
      <c r="A16825" s="1033"/>
      <c r="E16825" s="130"/>
    </row>
    <row r="16826" spans="1:5" x14ac:dyDescent="0.25">
      <c r="A16826" s="1033"/>
      <c r="E16826" s="130"/>
    </row>
    <row r="16827" spans="1:5" x14ac:dyDescent="0.25">
      <c r="A16827" s="1033"/>
      <c r="E16827" s="130"/>
    </row>
    <row r="16828" spans="1:5" x14ac:dyDescent="0.25">
      <c r="A16828" s="1033"/>
      <c r="E16828" s="130"/>
    </row>
    <row r="16829" spans="1:5" x14ac:dyDescent="0.25">
      <c r="A16829" s="1033"/>
      <c r="E16829" s="130"/>
    </row>
    <row r="16830" spans="1:5" x14ac:dyDescent="0.25">
      <c r="A16830" s="1033"/>
      <c r="E16830" s="130"/>
    </row>
    <row r="16831" spans="1:5" x14ac:dyDescent="0.25">
      <c r="A16831" s="1033"/>
      <c r="E16831" s="130"/>
    </row>
    <row r="16832" spans="1:5" x14ac:dyDescent="0.25">
      <c r="A16832" s="1033"/>
      <c r="E16832" s="130"/>
    </row>
    <row r="16833" spans="1:5" x14ac:dyDescent="0.25">
      <c r="A16833" s="1033"/>
      <c r="E16833" s="130"/>
    </row>
    <row r="16834" spans="1:5" x14ac:dyDescent="0.25">
      <c r="A16834" s="1033"/>
      <c r="E16834" s="130"/>
    </row>
    <row r="16835" spans="1:5" x14ac:dyDescent="0.25">
      <c r="A16835" s="1033"/>
      <c r="E16835" s="130"/>
    </row>
    <row r="16836" spans="1:5" x14ac:dyDescent="0.25">
      <c r="A16836" s="1033"/>
      <c r="E16836" s="130"/>
    </row>
    <row r="16837" spans="1:5" x14ac:dyDescent="0.25">
      <c r="A16837" s="1033"/>
      <c r="E16837" s="130"/>
    </row>
    <row r="16838" spans="1:5" x14ac:dyDescent="0.25">
      <c r="A16838" s="1033"/>
      <c r="E16838" s="130"/>
    </row>
    <row r="16839" spans="1:5" x14ac:dyDescent="0.25">
      <c r="A16839" s="1033"/>
      <c r="E16839" s="130"/>
    </row>
    <row r="16840" spans="1:5" x14ac:dyDescent="0.25">
      <c r="A16840" s="1033"/>
      <c r="E16840" s="130"/>
    </row>
    <row r="16841" spans="1:5" x14ac:dyDescent="0.25">
      <c r="A16841" s="1033"/>
      <c r="E16841" s="130"/>
    </row>
    <row r="16842" spans="1:5" x14ac:dyDescent="0.25">
      <c r="A16842" s="1033"/>
      <c r="E16842" s="130"/>
    </row>
    <row r="16843" spans="1:5" x14ac:dyDescent="0.25">
      <c r="A16843" s="1033"/>
      <c r="E16843" s="130"/>
    </row>
    <row r="16844" spans="1:5" x14ac:dyDescent="0.25">
      <c r="A16844" s="1033"/>
      <c r="E16844" s="130"/>
    </row>
    <row r="16845" spans="1:5" x14ac:dyDescent="0.25">
      <c r="A16845" s="1033"/>
      <c r="E16845" s="130"/>
    </row>
    <row r="16846" spans="1:5" x14ac:dyDescent="0.25">
      <c r="A16846" s="1033"/>
      <c r="E16846" s="130"/>
    </row>
    <row r="16847" spans="1:5" x14ac:dyDescent="0.25">
      <c r="A16847" s="1033"/>
      <c r="E16847" s="130"/>
    </row>
    <row r="16848" spans="1:5" x14ac:dyDescent="0.25">
      <c r="A16848" s="1033"/>
      <c r="E16848" s="130"/>
    </row>
    <row r="16849" spans="1:5" x14ac:dyDescent="0.25">
      <c r="A16849" s="1033"/>
      <c r="E16849" s="130"/>
    </row>
    <row r="16850" spans="1:5" x14ac:dyDescent="0.25">
      <c r="A16850" s="1033"/>
      <c r="E16850" s="130"/>
    </row>
    <row r="16851" spans="1:5" x14ac:dyDescent="0.25">
      <c r="A16851" s="1033"/>
      <c r="E16851" s="130"/>
    </row>
    <row r="16852" spans="1:5" x14ac:dyDescent="0.25">
      <c r="A16852" s="1033"/>
      <c r="E16852" s="130"/>
    </row>
    <row r="16853" spans="1:5" x14ac:dyDescent="0.25">
      <c r="A16853" s="1033"/>
      <c r="E16853" s="130"/>
    </row>
    <row r="16854" spans="1:5" x14ac:dyDescent="0.25">
      <c r="A16854" s="1033"/>
      <c r="E16854" s="130"/>
    </row>
    <row r="16855" spans="1:5" x14ac:dyDescent="0.25">
      <c r="A16855" s="1033"/>
      <c r="E16855" s="130"/>
    </row>
    <row r="16856" spans="1:5" x14ac:dyDescent="0.25">
      <c r="A16856" s="1033"/>
      <c r="E16856" s="130"/>
    </row>
    <row r="16857" spans="1:5" x14ac:dyDescent="0.25">
      <c r="A16857" s="1033"/>
      <c r="E16857" s="130"/>
    </row>
    <row r="16858" spans="1:5" x14ac:dyDescent="0.25">
      <c r="A16858" s="1033"/>
      <c r="E16858" s="130"/>
    </row>
    <row r="16859" spans="1:5" x14ac:dyDescent="0.25">
      <c r="A16859" s="1033"/>
      <c r="E16859" s="130"/>
    </row>
    <row r="16860" spans="1:5" x14ac:dyDescent="0.25">
      <c r="A16860" s="1033"/>
      <c r="E16860" s="130"/>
    </row>
    <row r="16861" spans="1:5" x14ac:dyDescent="0.25">
      <c r="A16861" s="1033"/>
      <c r="E16861" s="130"/>
    </row>
    <row r="16862" spans="1:5" x14ac:dyDescent="0.25">
      <c r="A16862" s="1033"/>
      <c r="E16862" s="130"/>
    </row>
    <row r="16863" spans="1:5" x14ac:dyDescent="0.25">
      <c r="A16863" s="1033"/>
      <c r="E16863" s="130"/>
    </row>
    <row r="16864" spans="1:5" x14ac:dyDescent="0.25">
      <c r="A16864" s="1033"/>
      <c r="E16864" s="130"/>
    </row>
    <row r="16865" spans="1:5" x14ac:dyDescent="0.25">
      <c r="A16865" s="1033"/>
      <c r="E16865" s="130"/>
    </row>
    <row r="16866" spans="1:5" x14ac:dyDescent="0.25">
      <c r="A16866" s="1033"/>
      <c r="E16866" s="130"/>
    </row>
    <row r="16867" spans="1:5" x14ac:dyDescent="0.25">
      <c r="A16867" s="1033"/>
      <c r="E16867" s="130"/>
    </row>
    <row r="16868" spans="1:5" x14ac:dyDescent="0.25">
      <c r="A16868" s="1033"/>
      <c r="E16868" s="130"/>
    </row>
    <row r="16869" spans="1:5" x14ac:dyDescent="0.25">
      <c r="A16869" s="1033"/>
      <c r="E16869" s="130"/>
    </row>
    <row r="16870" spans="1:5" x14ac:dyDescent="0.25">
      <c r="A16870" s="1033"/>
      <c r="E16870" s="130"/>
    </row>
    <row r="16871" spans="1:5" x14ac:dyDescent="0.25">
      <c r="A16871" s="1033"/>
      <c r="E16871" s="130"/>
    </row>
    <row r="16872" spans="1:5" x14ac:dyDescent="0.25">
      <c r="A16872" s="1033"/>
      <c r="E16872" s="130"/>
    </row>
    <row r="16873" spans="1:5" x14ac:dyDescent="0.25">
      <c r="A16873" s="1033"/>
      <c r="E16873" s="130"/>
    </row>
    <row r="16874" spans="1:5" x14ac:dyDescent="0.25">
      <c r="A16874" s="1033"/>
      <c r="E16874" s="130"/>
    </row>
    <row r="16875" spans="1:5" x14ac:dyDescent="0.25">
      <c r="A16875" s="1033"/>
      <c r="E16875" s="130"/>
    </row>
    <row r="16876" spans="1:5" x14ac:dyDescent="0.25">
      <c r="A16876" s="1033"/>
      <c r="E16876" s="130"/>
    </row>
    <row r="16877" spans="1:5" x14ac:dyDescent="0.25">
      <c r="A16877" s="1033"/>
      <c r="E16877" s="130"/>
    </row>
    <row r="16878" spans="1:5" x14ac:dyDescent="0.25">
      <c r="A16878" s="1033"/>
      <c r="E16878" s="130"/>
    </row>
    <row r="16879" spans="1:5" x14ac:dyDescent="0.25">
      <c r="A16879" s="1033"/>
      <c r="E16879" s="130"/>
    </row>
    <row r="16880" spans="1:5" x14ac:dyDescent="0.25">
      <c r="A16880" s="1033"/>
      <c r="E16880" s="130"/>
    </row>
    <row r="16881" spans="1:5" x14ac:dyDescent="0.25">
      <c r="A16881" s="1033"/>
      <c r="E16881" s="130"/>
    </row>
    <row r="16882" spans="1:5" x14ac:dyDescent="0.25">
      <c r="A16882" s="1033"/>
      <c r="E16882" s="130"/>
    </row>
    <row r="16883" spans="1:5" x14ac:dyDescent="0.25">
      <c r="A16883" s="1033"/>
      <c r="E16883" s="130"/>
    </row>
    <row r="16884" spans="1:5" x14ac:dyDescent="0.25">
      <c r="A16884" s="1033"/>
      <c r="E16884" s="130"/>
    </row>
    <row r="16885" spans="1:5" x14ac:dyDescent="0.25">
      <c r="A16885" s="1033"/>
      <c r="E16885" s="130"/>
    </row>
    <row r="16886" spans="1:5" x14ac:dyDescent="0.25">
      <c r="A16886" s="1033"/>
      <c r="E16886" s="130"/>
    </row>
    <row r="16887" spans="1:5" x14ac:dyDescent="0.25">
      <c r="A16887" s="1033"/>
      <c r="E16887" s="130"/>
    </row>
    <row r="16888" spans="1:5" x14ac:dyDescent="0.25">
      <c r="A16888" s="1033"/>
      <c r="E16888" s="130"/>
    </row>
    <row r="16889" spans="1:5" x14ac:dyDescent="0.25">
      <c r="A16889" s="1033"/>
      <c r="E16889" s="130"/>
    </row>
    <row r="16890" spans="1:5" x14ac:dyDescent="0.25">
      <c r="A16890" s="1033"/>
      <c r="E16890" s="130"/>
    </row>
    <row r="16891" spans="1:5" x14ac:dyDescent="0.25">
      <c r="A16891" s="1033"/>
      <c r="E16891" s="130"/>
    </row>
    <row r="16892" spans="1:5" x14ac:dyDescent="0.25">
      <c r="A16892" s="1033"/>
      <c r="E16892" s="130"/>
    </row>
    <row r="16893" spans="1:5" x14ac:dyDescent="0.25">
      <c r="A16893" s="1033"/>
      <c r="E16893" s="130"/>
    </row>
    <row r="16894" spans="1:5" x14ac:dyDescent="0.25">
      <c r="A16894" s="1033"/>
      <c r="E16894" s="130"/>
    </row>
    <row r="16895" spans="1:5" x14ac:dyDescent="0.25">
      <c r="A16895" s="1033"/>
      <c r="E16895" s="130"/>
    </row>
    <row r="16896" spans="1:5" x14ac:dyDescent="0.25">
      <c r="A16896" s="1033"/>
      <c r="E16896" s="130"/>
    </row>
    <row r="16897" spans="1:5" x14ac:dyDescent="0.25">
      <c r="A16897" s="1033"/>
      <c r="E16897" s="130"/>
    </row>
    <row r="16898" spans="1:5" x14ac:dyDescent="0.25">
      <c r="A16898" s="1033"/>
      <c r="E16898" s="130"/>
    </row>
    <row r="16899" spans="1:5" x14ac:dyDescent="0.25">
      <c r="A16899" s="1033"/>
      <c r="E16899" s="130"/>
    </row>
    <row r="16900" spans="1:5" x14ac:dyDescent="0.25">
      <c r="A16900" s="1033"/>
      <c r="E16900" s="130"/>
    </row>
    <row r="16901" spans="1:5" x14ac:dyDescent="0.25">
      <c r="A16901" s="1033"/>
      <c r="E16901" s="130"/>
    </row>
    <row r="16902" spans="1:5" x14ac:dyDescent="0.25">
      <c r="A16902" s="1033"/>
      <c r="E16902" s="130"/>
    </row>
    <row r="16903" spans="1:5" x14ac:dyDescent="0.25">
      <c r="A16903" s="1033"/>
      <c r="E16903" s="130"/>
    </row>
    <row r="16904" spans="1:5" x14ac:dyDescent="0.25">
      <c r="A16904" s="1033"/>
      <c r="E16904" s="130"/>
    </row>
    <row r="16905" spans="1:5" x14ac:dyDescent="0.25">
      <c r="A16905" s="1033"/>
      <c r="E16905" s="130"/>
    </row>
    <row r="16906" spans="1:5" x14ac:dyDescent="0.25">
      <c r="A16906" s="1033"/>
      <c r="E16906" s="130"/>
    </row>
    <row r="16907" spans="1:5" x14ac:dyDescent="0.25">
      <c r="A16907" s="1033"/>
      <c r="E16907" s="130"/>
    </row>
    <row r="16908" spans="1:5" x14ac:dyDescent="0.25">
      <c r="A16908" s="1033"/>
      <c r="E16908" s="130"/>
    </row>
    <row r="16909" spans="1:5" x14ac:dyDescent="0.25">
      <c r="A16909" s="1033"/>
      <c r="E16909" s="130"/>
    </row>
    <row r="16910" spans="1:5" x14ac:dyDescent="0.25">
      <c r="A16910" s="1033"/>
      <c r="E16910" s="130"/>
    </row>
    <row r="16911" spans="1:5" x14ac:dyDescent="0.25">
      <c r="A16911" s="1033"/>
      <c r="E16911" s="130"/>
    </row>
    <row r="16912" spans="1:5" x14ac:dyDescent="0.25">
      <c r="A16912" s="1033"/>
      <c r="E16912" s="130"/>
    </row>
    <row r="16913" spans="1:5" x14ac:dyDescent="0.25">
      <c r="A16913" s="1033"/>
      <c r="E16913" s="130"/>
    </row>
    <row r="16914" spans="1:5" x14ac:dyDescent="0.25">
      <c r="A16914" s="1033"/>
      <c r="E16914" s="130"/>
    </row>
    <row r="16915" spans="1:5" x14ac:dyDescent="0.25">
      <c r="A16915" s="1033"/>
      <c r="E16915" s="130"/>
    </row>
    <row r="16916" spans="1:5" x14ac:dyDescent="0.25">
      <c r="A16916" s="1033"/>
      <c r="E16916" s="130"/>
    </row>
    <row r="16917" spans="1:5" x14ac:dyDescent="0.25">
      <c r="A16917" s="1033"/>
      <c r="E16917" s="130"/>
    </row>
    <row r="16918" spans="1:5" x14ac:dyDescent="0.25">
      <c r="A16918" s="1033"/>
      <c r="E16918" s="130"/>
    </row>
    <row r="16919" spans="1:5" x14ac:dyDescent="0.25">
      <c r="A16919" s="1033"/>
      <c r="E16919" s="130"/>
    </row>
    <row r="16920" spans="1:5" x14ac:dyDescent="0.25">
      <c r="A16920" s="1033"/>
      <c r="E16920" s="130"/>
    </row>
    <row r="16921" spans="1:5" x14ac:dyDescent="0.25">
      <c r="A16921" s="1033"/>
      <c r="E16921" s="130"/>
    </row>
    <row r="16922" spans="1:5" x14ac:dyDescent="0.25">
      <c r="A16922" s="1033"/>
      <c r="E16922" s="130"/>
    </row>
    <row r="16923" spans="1:5" x14ac:dyDescent="0.25">
      <c r="A16923" s="1033"/>
      <c r="E16923" s="130"/>
    </row>
    <row r="16924" spans="1:5" x14ac:dyDescent="0.25">
      <c r="A16924" s="1033"/>
      <c r="E16924" s="130"/>
    </row>
    <row r="16925" spans="1:5" x14ac:dyDescent="0.25">
      <c r="A16925" s="1033"/>
      <c r="E16925" s="130"/>
    </row>
    <row r="16926" spans="1:5" x14ac:dyDescent="0.25">
      <c r="A16926" s="1033"/>
      <c r="E16926" s="130"/>
    </row>
    <row r="16927" spans="1:5" x14ac:dyDescent="0.25">
      <c r="A16927" s="1033"/>
      <c r="E16927" s="130"/>
    </row>
    <row r="16928" spans="1:5" x14ac:dyDescent="0.25">
      <c r="A16928" s="1033"/>
      <c r="E16928" s="130"/>
    </row>
    <row r="16929" spans="1:5" x14ac:dyDescent="0.25">
      <c r="A16929" s="1033"/>
      <c r="E16929" s="130"/>
    </row>
    <row r="16930" spans="1:5" x14ac:dyDescent="0.25">
      <c r="A16930" s="1033"/>
      <c r="E16930" s="130"/>
    </row>
    <row r="16931" spans="1:5" x14ac:dyDescent="0.25">
      <c r="A16931" s="1033"/>
      <c r="E16931" s="130"/>
    </row>
    <row r="16932" spans="1:5" x14ac:dyDescent="0.25">
      <c r="A16932" s="1033"/>
      <c r="E16932" s="130"/>
    </row>
    <row r="16933" spans="1:5" x14ac:dyDescent="0.25">
      <c r="A16933" s="1033"/>
      <c r="E16933" s="130"/>
    </row>
    <row r="16934" spans="1:5" x14ac:dyDescent="0.25">
      <c r="A16934" s="1033"/>
      <c r="E16934" s="130"/>
    </row>
    <row r="16935" spans="1:5" x14ac:dyDescent="0.25">
      <c r="A16935" s="1033"/>
      <c r="E16935" s="130"/>
    </row>
    <row r="16936" spans="1:5" x14ac:dyDescent="0.25">
      <c r="A16936" s="1033"/>
      <c r="E16936" s="130"/>
    </row>
    <row r="16937" spans="1:5" x14ac:dyDescent="0.25">
      <c r="A16937" s="1033"/>
      <c r="E16937" s="130"/>
    </row>
    <row r="16938" spans="1:5" x14ac:dyDescent="0.25">
      <c r="A16938" s="1033"/>
      <c r="E16938" s="130"/>
    </row>
    <row r="16939" spans="1:5" x14ac:dyDescent="0.25">
      <c r="A16939" s="1033"/>
      <c r="E16939" s="130"/>
    </row>
    <row r="16940" spans="1:5" x14ac:dyDescent="0.25">
      <c r="A16940" s="1033"/>
      <c r="E16940" s="130"/>
    </row>
    <row r="16941" spans="1:5" x14ac:dyDescent="0.25">
      <c r="A16941" s="1033"/>
      <c r="E16941" s="130"/>
    </row>
    <row r="16942" spans="1:5" x14ac:dyDescent="0.25">
      <c r="A16942" s="1033"/>
      <c r="E16942" s="130"/>
    </row>
    <row r="16943" spans="1:5" x14ac:dyDescent="0.25">
      <c r="A16943" s="1033"/>
      <c r="E16943" s="130"/>
    </row>
    <row r="16944" spans="1:5" x14ac:dyDescent="0.25">
      <c r="A16944" s="1033"/>
      <c r="E16944" s="130"/>
    </row>
    <row r="16945" spans="1:5" x14ac:dyDescent="0.25">
      <c r="A16945" s="1033"/>
      <c r="E16945" s="130"/>
    </row>
    <row r="16946" spans="1:5" x14ac:dyDescent="0.25">
      <c r="A16946" s="1033"/>
      <c r="E16946" s="130"/>
    </row>
    <row r="16947" spans="1:5" x14ac:dyDescent="0.25">
      <c r="A16947" s="1033"/>
      <c r="E16947" s="130"/>
    </row>
    <row r="16948" spans="1:5" x14ac:dyDescent="0.25">
      <c r="A16948" s="1033"/>
      <c r="E16948" s="130"/>
    </row>
    <row r="16949" spans="1:5" x14ac:dyDescent="0.25">
      <c r="A16949" s="1033"/>
      <c r="E16949" s="130"/>
    </row>
    <row r="16950" spans="1:5" x14ac:dyDescent="0.25">
      <c r="A16950" s="1033"/>
      <c r="E16950" s="130"/>
    </row>
    <row r="16951" spans="1:5" x14ac:dyDescent="0.25">
      <c r="A16951" s="1033"/>
      <c r="E16951" s="130"/>
    </row>
    <row r="16952" spans="1:5" x14ac:dyDescent="0.25">
      <c r="A16952" s="1033"/>
      <c r="E16952" s="130"/>
    </row>
    <row r="16953" spans="1:5" x14ac:dyDescent="0.25">
      <c r="A16953" s="1033"/>
      <c r="E16953" s="130"/>
    </row>
    <row r="16954" spans="1:5" x14ac:dyDescent="0.25">
      <c r="A16954" s="1033"/>
      <c r="E16954" s="130"/>
    </row>
    <row r="16955" spans="1:5" x14ac:dyDescent="0.25">
      <c r="A16955" s="1033"/>
      <c r="E16955" s="130"/>
    </row>
    <row r="16956" spans="1:5" x14ac:dyDescent="0.25">
      <c r="A16956" s="1033"/>
      <c r="E16956" s="130"/>
    </row>
    <row r="16957" spans="1:5" x14ac:dyDescent="0.25">
      <c r="A16957" s="1033"/>
      <c r="E16957" s="130"/>
    </row>
    <row r="16958" spans="1:5" x14ac:dyDescent="0.25">
      <c r="A16958" s="1033"/>
      <c r="E16958" s="130"/>
    </row>
    <row r="16959" spans="1:5" x14ac:dyDescent="0.25">
      <c r="A16959" s="1033"/>
      <c r="E16959" s="130"/>
    </row>
    <row r="16960" spans="1:5" x14ac:dyDescent="0.25">
      <c r="A16960" s="1033"/>
      <c r="E16960" s="130"/>
    </row>
    <row r="16961" spans="1:5" x14ac:dyDescent="0.25">
      <c r="A16961" s="1033"/>
      <c r="E16961" s="130"/>
    </row>
    <row r="16962" spans="1:5" x14ac:dyDescent="0.25">
      <c r="A16962" s="1033"/>
      <c r="E16962" s="130"/>
    </row>
    <row r="16963" spans="1:5" x14ac:dyDescent="0.25">
      <c r="A16963" s="1033"/>
      <c r="E16963" s="130"/>
    </row>
    <row r="16964" spans="1:5" x14ac:dyDescent="0.25">
      <c r="A16964" s="1033"/>
      <c r="E16964" s="130"/>
    </row>
    <row r="16965" spans="1:5" x14ac:dyDescent="0.25">
      <c r="A16965" s="1033"/>
      <c r="E16965" s="130"/>
    </row>
    <row r="16966" spans="1:5" x14ac:dyDescent="0.25">
      <c r="A16966" s="1033"/>
      <c r="E16966" s="130"/>
    </row>
    <row r="16967" spans="1:5" x14ac:dyDescent="0.25">
      <c r="A16967" s="1033"/>
      <c r="E16967" s="130"/>
    </row>
    <row r="16968" spans="1:5" x14ac:dyDescent="0.25">
      <c r="A16968" s="1033"/>
      <c r="E16968" s="130"/>
    </row>
    <row r="16969" spans="1:5" x14ac:dyDescent="0.25">
      <c r="A16969" s="1033"/>
      <c r="E16969" s="130"/>
    </row>
    <row r="16970" spans="1:5" x14ac:dyDescent="0.25">
      <c r="A16970" s="1033"/>
      <c r="E16970" s="130"/>
    </row>
    <row r="16971" spans="1:5" x14ac:dyDescent="0.25">
      <c r="A16971" s="1033"/>
      <c r="E16971" s="130"/>
    </row>
    <row r="16972" spans="1:5" x14ac:dyDescent="0.25">
      <c r="A16972" s="1033"/>
      <c r="E16972" s="130"/>
    </row>
    <row r="16973" spans="1:5" x14ac:dyDescent="0.25">
      <c r="A16973" s="1033"/>
      <c r="E16973" s="130"/>
    </row>
    <row r="16974" spans="1:5" x14ac:dyDescent="0.25">
      <c r="A16974" s="1033"/>
      <c r="E16974" s="130"/>
    </row>
    <row r="16975" spans="1:5" x14ac:dyDescent="0.25">
      <c r="A16975" s="1033"/>
      <c r="E16975" s="130"/>
    </row>
    <row r="16976" spans="1:5" x14ac:dyDescent="0.25">
      <c r="A16976" s="1033"/>
      <c r="E16976" s="130"/>
    </row>
    <row r="16977" spans="1:5" x14ac:dyDescent="0.25">
      <c r="A16977" s="1033"/>
      <c r="E16977" s="130"/>
    </row>
    <row r="16978" spans="1:5" x14ac:dyDescent="0.25">
      <c r="A16978" s="1033"/>
      <c r="E16978" s="130"/>
    </row>
    <row r="16979" spans="1:5" x14ac:dyDescent="0.25">
      <c r="A16979" s="1033"/>
      <c r="E16979" s="130"/>
    </row>
    <row r="16980" spans="1:5" x14ac:dyDescent="0.25">
      <c r="A16980" s="1033"/>
      <c r="E16980" s="130"/>
    </row>
    <row r="16981" spans="1:5" x14ac:dyDescent="0.25">
      <c r="A16981" s="1033"/>
      <c r="E16981" s="130"/>
    </row>
    <row r="16982" spans="1:5" x14ac:dyDescent="0.25">
      <c r="A16982" s="1033"/>
      <c r="E16982" s="130"/>
    </row>
    <row r="16983" spans="1:5" x14ac:dyDescent="0.25">
      <c r="A16983" s="1033"/>
      <c r="E16983" s="130"/>
    </row>
    <row r="16984" spans="1:5" x14ac:dyDescent="0.25">
      <c r="A16984" s="1033"/>
      <c r="E16984" s="130"/>
    </row>
    <row r="16985" spans="1:5" x14ac:dyDescent="0.25">
      <c r="A16985" s="1033"/>
      <c r="E16985" s="130"/>
    </row>
    <row r="16986" spans="1:5" x14ac:dyDescent="0.25">
      <c r="A16986" s="1033"/>
      <c r="E16986" s="130"/>
    </row>
    <row r="16987" spans="1:5" x14ac:dyDescent="0.25">
      <c r="A16987" s="1033"/>
      <c r="E16987" s="130"/>
    </row>
    <row r="16988" spans="1:5" x14ac:dyDescent="0.25">
      <c r="A16988" s="1033"/>
      <c r="E16988" s="130"/>
    </row>
    <row r="16989" spans="1:5" x14ac:dyDescent="0.25">
      <c r="A16989" s="1033"/>
      <c r="E16989" s="130"/>
    </row>
    <row r="16990" spans="1:5" x14ac:dyDescent="0.25">
      <c r="A16990" s="1033"/>
      <c r="E16990" s="130"/>
    </row>
    <row r="16991" spans="1:5" x14ac:dyDescent="0.25">
      <c r="A16991" s="1033"/>
      <c r="E16991" s="130"/>
    </row>
    <row r="16992" spans="1:5" x14ac:dyDescent="0.25">
      <c r="A16992" s="1033"/>
      <c r="E16992" s="130"/>
    </row>
    <row r="16993" spans="1:5" x14ac:dyDescent="0.25">
      <c r="A16993" s="1033"/>
      <c r="E16993" s="130"/>
    </row>
    <row r="16994" spans="1:5" x14ac:dyDescent="0.25">
      <c r="A16994" s="1033"/>
      <c r="E16994" s="130"/>
    </row>
    <row r="16995" spans="1:5" x14ac:dyDescent="0.25">
      <c r="A16995" s="1033"/>
      <c r="E16995" s="130"/>
    </row>
    <row r="16996" spans="1:5" x14ac:dyDescent="0.25">
      <c r="A16996" s="1033"/>
      <c r="E16996" s="130"/>
    </row>
    <row r="16997" spans="1:5" x14ac:dyDescent="0.25">
      <c r="A16997" s="1033"/>
      <c r="E16997" s="130"/>
    </row>
    <row r="16998" spans="1:5" x14ac:dyDescent="0.25">
      <c r="A16998" s="1033"/>
      <c r="E16998" s="130"/>
    </row>
    <row r="16999" spans="1:5" x14ac:dyDescent="0.25">
      <c r="A16999" s="1033"/>
      <c r="E16999" s="130"/>
    </row>
    <row r="17000" spans="1:5" x14ac:dyDescent="0.25">
      <c r="A17000" s="1033"/>
      <c r="E17000" s="130"/>
    </row>
    <row r="17001" spans="1:5" x14ac:dyDescent="0.25">
      <c r="A17001" s="1033"/>
      <c r="E17001" s="130"/>
    </row>
    <row r="17002" spans="1:5" x14ac:dyDescent="0.25">
      <c r="A17002" s="1033"/>
      <c r="E17002" s="130"/>
    </row>
    <row r="17003" spans="1:5" x14ac:dyDescent="0.25">
      <c r="A17003" s="1033"/>
      <c r="E17003" s="130"/>
    </row>
    <row r="17004" spans="1:5" x14ac:dyDescent="0.25">
      <c r="A17004" s="1033"/>
      <c r="E17004" s="130"/>
    </row>
    <row r="17005" spans="1:5" x14ac:dyDescent="0.25">
      <c r="A17005" s="1033"/>
      <c r="E17005" s="130"/>
    </row>
    <row r="17006" spans="1:5" x14ac:dyDescent="0.25">
      <c r="A17006" s="1033"/>
      <c r="E17006" s="130"/>
    </row>
    <row r="17007" spans="1:5" x14ac:dyDescent="0.25">
      <c r="A17007" s="1033"/>
      <c r="E17007" s="130"/>
    </row>
    <row r="17008" spans="1:5" x14ac:dyDescent="0.25">
      <c r="A17008" s="1033"/>
      <c r="E17008" s="130"/>
    </row>
    <row r="17009" spans="1:5" x14ac:dyDescent="0.25">
      <c r="A17009" s="1033"/>
      <c r="E17009" s="130"/>
    </row>
    <row r="17010" spans="1:5" x14ac:dyDescent="0.25">
      <c r="A17010" s="1033"/>
      <c r="E17010" s="130"/>
    </row>
    <row r="17011" spans="1:5" x14ac:dyDescent="0.25">
      <c r="A17011" s="1033"/>
      <c r="E17011" s="130"/>
    </row>
    <row r="17012" spans="1:5" x14ac:dyDescent="0.25">
      <c r="A17012" s="1033"/>
      <c r="E17012" s="130"/>
    </row>
    <row r="17013" spans="1:5" x14ac:dyDescent="0.25">
      <c r="A17013" s="1033"/>
      <c r="E17013" s="130"/>
    </row>
    <row r="17014" spans="1:5" x14ac:dyDescent="0.25">
      <c r="A17014" s="1033"/>
      <c r="E17014" s="130"/>
    </row>
    <row r="17015" spans="1:5" x14ac:dyDescent="0.25">
      <c r="A17015" s="1033"/>
      <c r="E17015" s="130"/>
    </row>
    <row r="17016" spans="1:5" x14ac:dyDescent="0.25">
      <c r="A17016" s="1033"/>
      <c r="E17016" s="130"/>
    </row>
    <row r="17017" spans="1:5" x14ac:dyDescent="0.25">
      <c r="A17017" s="1033"/>
      <c r="E17017" s="130"/>
    </row>
    <row r="17018" spans="1:5" x14ac:dyDescent="0.25">
      <c r="A17018" s="1033"/>
      <c r="E17018" s="130"/>
    </row>
    <row r="17019" spans="1:5" x14ac:dyDescent="0.25">
      <c r="A17019" s="1033"/>
      <c r="E17019" s="130"/>
    </row>
    <row r="17020" spans="1:5" x14ac:dyDescent="0.25">
      <c r="A17020" s="1033"/>
      <c r="E17020" s="130"/>
    </row>
    <row r="17021" spans="1:5" x14ac:dyDescent="0.25">
      <c r="A17021" s="1033"/>
      <c r="E17021" s="130"/>
    </row>
    <row r="17022" spans="1:5" x14ac:dyDescent="0.25">
      <c r="A17022" s="1033"/>
      <c r="E17022" s="130"/>
    </row>
    <row r="17023" spans="1:5" x14ac:dyDescent="0.25">
      <c r="A17023" s="1033"/>
      <c r="E17023" s="130"/>
    </row>
    <row r="17024" spans="1:5" x14ac:dyDescent="0.25">
      <c r="A17024" s="1033"/>
      <c r="E17024" s="130"/>
    </row>
    <row r="17025" spans="1:5" x14ac:dyDescent="0.25">
      <c r="A17025" s="1033"/>
      <c r="E17025" s="130"/>
    </row>
    <row r="17026" spans="1:5" x14ac:dyDescent="0.25">
      <c r="A17026" s="1033"/>
      <c r="E17026" s="130"/>
    </row>
    <row r="17027" spans="1:5" x14ac:dyDescent="0.25">
      <c r="A17027" s="1033"/>
      <c r="E17027" s="130"/>
    </row>
    <row r="17028" spans="1:5" x14ac:dyDescent="0.25">
      <c r="A17028" s="1033"/>
      <c r="E17028" s="130"/>
    </row>
    <row r="17029" spans="1:5" x14ac:dyDescent="0.25">
      <c r="A17029" s="1033"/>
      <c r="E17029" s="130"/>
    </row>
    <row r="17030" spans="1:5" x14ac:dyDescent="0.25">
      <c r="A17030" s="1033"/>
      <c r="E17030" s="130"/>
    </row>
    <row r="17031" spans="1:5" x14ac:dyDescent="0.25">
      <c r="A17031" s="1033"/>
      <c r="E17031" s="130"/>
    </row>
    <row r="17032" spans="1:5" x14ac:dyDescent="0.25">
      <c r="A17032" s="1033"/>
      <c r="E17032" s="130"/>
    </row>
    <row r="17033" spans="1:5" x14ac:dyDescent="0.25">
      <c r="A17033" s="1033"/>
      <c r="E17033" s="130"/>
    </row>
    <row r="17034" spans="1:5" x14ac:dyDescent="0.25">
      <c r="A17034" s="1033"/>
      <c r="E17034" s="130"/>
    </row>
    <row r="17035" spans="1:5" x14ac:dyDescent="0.25">
      <c r="A17035" s="1033"/>
      <c r="E17035" s="130"/>
    </row>
    <row r="17036" spans="1:5" x14ac:dyDescent="0.25">
      <c r="A17036" s="1033"/>
      <c r="E17036" s="130"/>
    </row>
    <row r="17037" spans="1:5" x14ac:dyDescent="0.25">
      <c r="A17037" s="1033"/>
      <c r="E17037" s="130"/>
    </row>
    <row r="17038" spans="1:5" x14ac:dyDescent="0.25">
      <c r="A17038" s="1033"/>
      <c r="E17038" s="130"/>
    </row>
    <row r="17039" spans="1:5" x14ac:dyDescent="0.25">
      <c r="A17039" s="1033"/>
      <c r="E17039" s="130"/>
    </row>
    <row r="17040" spans="1:5" x14ac:dyDescent="0.25">
      <c r="A17040" s="1033"/>
      <c r="E17040" s="130"/>
    </row>
    <row r="17041" spans="1:5" x14ac:dyDescent="0.25">
      <c r="A17041" s="1033"/>
      <c r="E17041" s="130"/>
    </row>
    <row r="17042" spans="1:5" x14ac:dyDescent="0.25">
      <c r="A17042" s="1033"/>
      <c r="E17042" s="130"/>
    </row>
    <row r="17043" spans="1:5" x14ac:dyDescent="0.25">
      <c r="A17043" s="1033"/>
      <c r="E17043" s="130"/>
    </row>
    <row r="17044" spans="1:5" x14ac:dyDescent="0.25">
      <c r="A17044" s="1033"/>
      <c r="E17044" s="130"/>
    </row>
    <row r="17045" spans="1:5" x14ac:dyDescent="0.25">
      <c r="A17045" s="1033"/>
      <c r="E17045" s="130"/>
    </row>
    <row r="17046" spans="1:5" x14ac:dyDescent="0.25">
      <c r="A17046" s="1033"/>
      <c r="E17046" s="130"/>
    </row>
    <row r="17047" spans="1:5" x14ac:dyDescent="0.25">
      <c r="A17047" s="1033"/>
      <c r="E17047" s="130"/>
    </row>
    <row r="17048" spans="1:5" x14ac:dyDescent="0.25">
      <c r="A17048" s="1033"/>
      <c r="E17048" s="130"/>
    </row>
    <row r="17049" spans="1:5" x14ac:dyDescent="0.25">
      <c r="A17049" s="1033"/>
      <c r="E17049" s="130"/>
    </row>
    <row r="17050" spans="1:5" x14ac:dyDescent="0.25">
      <c r="A17050" s="1033"/>
      <c r="E17050" s="130"/>
    </row>
    <row r="17051" spans="1:5" x14ac:dyDescent="0.25">
      <c r="A17051" s="1033"/>
      <c r="E17051" s="130"/>
    </row>
    <row r="17052" spans="1:5" x14ac:dyDescent="0.25">
      <c r="A17052" s="1033"/>
      <c r="E17052" s="130"/>
    </row>
    <row r="17053" spans="1:5" x14ac:dyDescent="0.25">
      <c r="A17053" s="1033"/>
      <c r="E17053" s="130"/>
    </row>
    <row r="17054" spans="1:5" x14ac:dyDescent="0.25">
      <c r="A17054" s="1033"/>
      <c r="E17054" s="130"/>
    </row>
    <row r="17055" spans="1:5" x14ac:dyDescent="0.25">
      <c r="A17055" s="1033"/>
      <c r="E17055" s="130"/>
    </row>
    <row r="17056" spans="1:5" x14ac:dyDescent="0.25">
      <c r="A17056" s="1033"/>
      <c r="E17056" s="130"/>
    </row>
    <row r="17057" spans="1:5" x14ac:dyDescent="0.25">
      <c r="A17057" s="1033"/>
      <c r="E17057" s="130"/>
    </row>
    <row r="17058" spans="1:5" x14ac:dyDescent="0.25">
      <c r="A17058" s="1033"/>
      <c r="E17058" s="130"/>
    </row>
    <row r="17059" spans="1:5" x14ac:dyDescent="0.25">
      <c r="A17059" s="1033"/>
      <c r="E17059" s="130"/>
    </row>
    <row r="17060" spans="1:5" x14ac:dyDescent="0.25">
      <c r="A17060" s="1033"/>
      <c r="E17060" s="130"/>
    </row>
    <row r="17061" spans="1:5" x14ac:dyDescent="0.25">
      <c r="A17061" s="1033"/>
      <c r="E17061" s="130"/>
    </row>
    <row r="17062" spans="1:5" x14ac:dyDescent="0.25">
      <c r="A17062" s="1033"/>
      <c r="E17062" s="130"/>
    </row>
    <row r="17063" spans="1:5" x14ac:dyDescent="0.25">
      <c r="A17063" s="1033"/>
      <c r="E17063" s="130"/>
    </row>
    <row r="17064" spans="1:5" x14ac:dyDescent="0.25">
      <c r="A17064" s="1033"/>
      <c r="E17064" s="130"/>
    </row>
    <row r="17065" spans="1:5" x14ac:dyDescent="0.25">
      <c r="A17065" s="1033"/>
      <c r="E17065" s="130"/>
    </row>
    <row r="17066" spans="1:5" x14ac:dyDescent="0.25">
      <c r="A17066" s="1033"/>
      <c r="E17066" s="130"/>
    </row>
    <row r="17067" spans="1:5" x14ac:dyDescent="0.25">
      <c r="A17067" s="1033"/>
      <c r="E17067" s="130"/>
    </row>
    <row r="17068" spans="1:5" x14ac:dyDescent="0.25">
      <c r="A17068" s="1033"/>
      <c r="E17068" s="130"/>
    </row>
    <row r="17069" spans="1:5" x14ac:dyDescent="0.25">
      <c r="A17069" s="1033"/>
      <c r="E17069" s="130"/>
    </row>
    <row r="17070" spans="1:5" x14ac:dyDescent="0.25">
      <c r="A17070" s="1033"/>
      <c r="E17070" s="130"/>
    </row>
    <row r="17071" spans="1:5" x14ac:dyDescent="0.25">
      <c r="A17071" s="1033"/>
      <c r="E17071" s="130"/>
    </row>
    <row r="17072" spans="1:5" x14ac:dyDescent="0.25">
      <c r="A17072" s="1033"/>
      <c r="E17072" s="130"/>
    </row>
    <row r="17073" spans="1:5" x14ac:dyDescent="0.25">
      <c r="A17073" s="1033"/>
      <c r="E17073" s="130"/>
    </row>
    <row r="17074" spans="1:5" x14ac:dyDescent="0.25">
      <c r="A17074" s="1033"/>
      <c r="E17074" s="130"/>
    </row>
    <row r="17075" spans="1:5" x14ac:dyDescent="0.25">
      <c r="A17075" s="1033"/>
      <c r="E17075" s="130"/>
    </row>
    <row r="17076" spans="1:5" x14ac:dyDescent="0.25">
      <c r="A17076" s="1033"/>
      <c r="E17076" s="130"/>
    </row>
    <row r="17077" spans="1:5" x14ac:dyDescent="0.25">
      <c r="A17077" s="1033"/>
      <c r="E17077" s="130"/>
    </row>
    <row r="17078" spans="1:5" x14ac:dyDescent="0.25">
      <c r="A17078" s="1033"/>
      <c r="E17078" s="130"/>
    </row>
    <row r="17079" spans="1:5" x14ac:dyDescent="0.25">
      <c r="A17079" s="1033"/>
      <c r="E17079" s="130"/>
    </row>
    <row r="17080" spans="1:5" x14ac:dyDescent="0.25">
      <c r="A17080" s="1033"/>
      <c r="E17080" s="130"/>
    </row>
    <row r="17081" spans="1:5" x14ac:dyDescent="0.25">
      <c r="A17081" s="1033"/>
      <c r="E17081" s="130"/>
    </row>
    <row r="17082" spans="1:5" x14ac:dyDescent="0.25">
      <c r="A17082" s="1033"/>
      <c r="E17082" s="130"/>
    </row>
    <row r="17083" spans="1:5" x14ac:dyDescent="0.25">
      <c r="A17083" s="1033"/>
      <c r="E17083" s="130"/>
    </row>
    <row r="17084" spans="1:5" x14ac:dyDescent="0.25">
      <c r="A17084" s="1033"/>
      <c r="E17084" s="130"/>
    </row>
    <row r="17085" spans="1:5" x14ac:dyDescent="0.25">
      <c r="A17085" s="1033"/>
      <c r="E17085" s="130"/>
    </row>
    <row r="17086" spans="1:5" x14ac:dyDescent="0.25">
      <c r="A17086" s="1033"/>
      <c r="E17086" s="130"/>
    </row>
    <row r="17087" spans="1:5" x14ac:dyDescent="0.25">
      <c r="A17087" s="1033"/>
      <c r="E17087" s="130"/>
    </row>
    <row r="17088" spans="1:5" x14ac:dyDescent="0.25">
      <c r="A17088" s="1033"/>
      <c r="E17088" s="130"/>
    </row>
    <row r="17089" spans="1:5" x14ac:dyDescent="0.25">
      <c r="A17089" s="1033"/>
      <c r="E17089" s="130"/>
    </row>
    <row r="17090" spans="1:5" x14ac:dyDescent="0.25">
      <c r="A17090" s="1033"/>
      <c r="E17090" s="130"/>
    </row>
    <row r="17091" spans="1:5" x14ac:dyDescent="0.25">
      <c r="A17091" s="1033"/>
      <c r="E17091" s="130"/>
    </row>
    <row r="17092" spans="1:5" x14ac:dyDescent="0.25">
      <c r="A17092" s="1033"/>
      <c r="E17092" s="130"/>
    </row>
    <row r="17093" spans="1:5" x14ac:dyDescent="0.25">
      <c r="A17093" s="1033"/>
      <c r="E17093" s="130"/>
    </row>
    <row r="17094" spans="1:5" x14ac:dyDescent="0.25">
      <c r="A17094" s="1033"/>
      <c r="E17094" s="130"/>
    </row>
    <row r="17095" spans="1:5" x14ac:dyDescent="0.25">
      <c r="A17095" s="1033"/>
      <c r="E17095" s="130"/>
    </row>
    <row r="17096" spans="1:5" x14ac:dyDescent="0.25">
      <c r="A17096" s="1033"/>
      <c r="E17096" s="130"/>
    </row>
    <row r="17097" spans="1:5" x14ac:dyDescent="0.25">
      <c r="A17097" s="1033"/>
      <c r="E17097" s="130"/>
    </row>
    <row r="17098" spans="1:5" x14ac:dyDescent="0.25">
      <c r="A17098" s="1033"/>
      <c r="E17098" s="130"/>
    </row>
    <row r="17099" spans="1:5" x14ac:dyDescent="0.25">
      <c r="A17099" s="1033"/>
      <c r="E17099" s="130"/>
    </row>
    <row r="17100" spans="1:5" x14ac:dyDescent="0.25">
      <c r="A17100" s="1033"/>
      <c r="E17100" s="130"/>
    </row>
    <row r="17101" spans="1:5" x14ac:dyDescent="0.25">
      <c r="A17101" s="1033"/>
      <c r="E17101" s="130"/>
    </row>
    <row r="17102" spans="1:5" x14ac:dyDescent="0.25">
      <c r="A17102" s="1033"/>
      <c r="E17102" s="130"/>
    </row>
    <row r="17103" spans="1:5" x14ac:dyDescent="0.25">
      <c r="A17103" s="1033"/>
      <c r="E17103" s="130"/>
    </row>
    <row r="17104" spans="1:5" x14ac:dyDescent="0.25">
      <c r="A17104" s="1033"/>
      <c r="E17104" s="130"/>
    </row>
    <row r="17105" spans="1:5" x14ac:dyDescent="0.25">
      <c r="A17105" s="1033"/>
      <c r="E17105" s="130"/>
    </row>
    <row r="17106" spans="1:5" x14ac:dyDescent="0.25">
      <c r="A17106" s="1033"/>
      <c r="E17106" s="130"/>
    </row>
    <row r="17107" spans="1:5" x14ac:dyDescent="0.25">
      <c r="A17107" s="1033"/>
      <c r="E17107" s="130"/>
    </row>
    <row r="17108" spans="1:5" x14ac:dyDescent="0.25">
      <c r="A17108" s="1033"/>
      <c r="E17108" s="130"/>
    </row>
    <row r="17109" spans="1:5" x14ac:dyDescent="0.25">
      <c r="A17109" s="1033"/>
      <c r="E17109" s="130"/>
    </row>
    <row r="17110" spans="1:5" x14ac:dyDescent="0.25">
      <c r="A17110" s="1033"/>
      <c r="E17110" s="130"/>
    </row>
    <row r="17111" spans="1:5" x14ac:dyDescent="0.25">
      <c r="A17111" s="1033"/>
      <c r="E17111" s="130"/>
    </row>
    <row r="17112" spans="1:5" x14ac:dyDescent="0.25">
      <c r="A17112" s="1033"/>
      <c r="E17112" s="130"/>
    </row>
    <row r="17113" spans="1:5" x14ac:dyDescent="0.25">
      <c r="A17113" s="1033"/>
      <c r="E17113" s="130"/>
    </row>
    <row r="17114" spans="1:5" x14ac:dyDescent="0.25">
      <c r="A17114" s="1033"/>
      <c r="E17114" s="130"/>
    </row>
    <row r="17115" spans="1:5" x14ac:dyDescent="0.25">
      <c r="A17115" s="1033"/>
      <c r="E17115" s="130"/>
    </row>
    <row r="17116" spans="1:5" x14ac:dyDescent="0.25">
      <c r="A17116" s="1033"/>
      <c r="E17116" s="130"/>
    </row>
    <row r="17117" spans="1:5" x14ac:dyDescent="0.25">
      <c r="A17117" s="1033"/>
      <c r="E17117" s="130"/>
    </row>
    <row r="17118" spans="1:5" x14ac:dyDescent="0.25">
      <c r="A17118" s="1033"/>
      <c r="E17118" s="130"/>
    </row>
    <row r="17119" spans="1:5" x14ac:dyDescent="0.25">
      <c r="A17119" s="1033"/>
      <c r="E17119" s="130"/>
    </row>
    <row r="17120" spans="1:5" x14ac:dyDescent="0.25">
      <c r="A17120" s="1033"/>
      <c r="E17120" s="130"/>
    </row>
    <row r="17121" spans="1:5" x14ac:dyDescent="0.25">
      <c r="A17121" s="1033"/>
      <c r="E17121" s="130"/>
    </row>
    <row r="17122" spans="1:5" x14ac:dyDescent="0.25">
      <c r="A17122" s="1033"/>
      <c r="E17122" s="130"/>
    </row>
    <row r="17123" spans="1:5" x14ac:dyDescent="0.25">
      <c r="A17123" s="1033"/>
      <c r="E17123" s="130"/>
    </row>
    <row r="17124" spans="1:5" x14ac:dyDescent="0.25">
      <c r="A17124" s="1033"/>
      <c r="E17124" s="130"/>
    </row>
    <row r="17125" spans="1:5" x14ac:dyDescent="0.25">
      <c r="A17125" s="1033"/>
      <c r="E17125" s="130"/>
    </row>
    <row r="17126" spans="1:5" x14ac:dyDescent="0.25">
      <c r="A17126" s="1033"/>
      <c r="E17126" s="130"/>
    </row>
    <row r="17127" spans="1:5" x14ac:dyDescent="0.25">
      <c r="A17127" s="1033"/>
      <c r="E17127" s="130"/>
    </row>
    <row r="17128" spans="1:5" x14ac:dyDescent="0.25">
      <c r="A17128" s="1033"/>
      <c r="E17128" s="130"/>
    </row>
    <row r="17129" spans="1:5" x14ac:dyDescent="0.25">
      <c r="A17129" s="1033"/>
      <c r="E17129" s="130"/>
    </row>
    <row r="17130" spans="1:5" x14ac:dyDescent="0.25">
      <c r="A17130" s="1033"/>
      <c r="E17130" s="130"/>
    </row>
    <row r="17131" spans="1:5" x14ac:dyDescent="0.25">
      <c r="A17131" s="1033"/>
      <c r="E17131" s="130"/>
    </row>
    <row r="17132" spans="1:5" x14ac:dyDescent="0.25">
      <c r="A17132" s="1033"/>
      <c r="E17132" s="130"/>
    </row>
    <row r="17133" spans="1:5" x14ac:dyDescent="0.25">
      <c r="A17133" s="1033"/>
      <c r="E17133" s="130"/>
    </row>
    <row r="17134" spans="1:5" x14ac:dyDescent="0.25">
      <c r="A17134" s="1033"/>
      <c r="E17134" s="130"/>
    </row>
    <row r="17135" spans="1:5" x14ac:dyDescent="0.25">
      <c r="A17135" s="1033"/>
      <c r="E17135" s="130"/>
    </row>
    <row r="17136" spans="1:5" x14ac:dyDescent="0.25">
      <c r="A17136" s="1033"/>
      <c r="E17136" s="130"/>
    </row>
    <row r="17137" spans="1:5" x14ac:dyDescent="0.25">
      <c r="A17137" s="1033"/>
      <c r="E17137" s="130"/>
    </row>
    <row r="17138" spans="1:5" x14ac:dyDescent="0.25">
      <c r="A17138" s="1033"/>
      <c r="E17138" s="130"/>
    </row>
    <row r="17139" spans="1:5" x14ac:dyDescent="0.25">
      <c r="A17139" s="1033"/>
      <c r="E17139" s="130"/>
    </row>
    <row r="17140" spans="1:5" x14ac:dyDescent="0.25">
      <c r="A17140" s="1033"/>
      <c r="E17140" s="130"/>
    </row>
    <row r="17141" spans="1:5" x14ac:dyDescent="0.25">
      <c r="A17141" s="1033"/>
      <c r="E17141" s="130"/>
    </row>
    <row r="17142" spans="1:5" x14ac:dyDescent="0.25">
      <c r="A17142" s="1033"/>
      <c r="E17142" s="130"/>
    </row>
    <row r="17143" spans="1:5" x14ac:dyDescent="0.25">
      <c r="A17143" s="1033"/>
      <c r="E17143" s="130"/>
    </row>
    <row r="17144" spans="1:5" x14ac:dyDescent="0.25">
      <c r="A17144" s="1033"/>
      <c r="E17144" s="130"/>
    </row>
    <row r="17145" spans="1:5" x14ac:dyDescent="0.25">
      <c r="A17145" s="1033"/>
      <c r="E17145" s="130"/>
    </row>
    <row r="17146" spans="1:5" x14ac:dyDescent="0.25">
      <c r="A17146" s="1033"/>
      <c r="E17146" s="130"/>
    </row>
    <row r="17147" spans="1:5" x14ac:dyDescent="0.25">
      <c r="A17147" s="1033"/>
      <c r="E17147" s="130"/>
    </row>
    <row r="17148" spans="1:5" x14ac:dyDescent="0.25">
      <c r="A17148" s="1033"/>
      <c r="E17148" s="130"/>
    </row>
    <row r="17149" spans="1:5" x14ac:dyDescent="0.25">
      <c r="A17149" s="1033"/>
      <c r="E17149" s="130"/>
    </row>
    <row r="17150" spans="1:5" x14ac:dyDescent="0.25">
      <c r="A17150" s="1033"/>
      <c r="E17150" s="130"/>
    </row>
    <row r="17151" spans="1:5" x14ac:dyDescent="0.25">
      <c r="A17151" s="1033"/>
      <c r="E17151" s="130"/>
    </row>
    <row r="17152" spans="1:5" x14ac:dyDescent="0.25">
      <c r="A17152" s="1033"/>
      <c r="E17152" s="130"/>
    </row>
    <row r="17153" spans="1:5" x14ac:dyDescent="0.25">
      <c r="A17153" s="1033"/>
      <c r="E17153" s="130"/>
    </row>
    <row r="17154" spans="1:5" x14ac:dyDescent="0.25">
      <c r="A17154" s="1033"/>
      <c r="E17154" s="130"/>
    </row>
    <row r="17155" spans="1:5" x14ac:dyDescent="0.25">
      <c r="A17155" s="1033"/>
      <c r="E17155" s="130"/>
    </row>
    <row r="17156" spans="1:5" x14ac:dyDescent="0.25">
      <c r="A17156" s="1033"/>
      <c r="E17156" s="130"/>
    </row>
    <row r="17157" spans="1:5" x14ac:dyDescent="0.25">
      <c r="A17157" s="1033"/>
      <c r="E17157" s="130"/>
    </row>
    <row r="17158" spans="1:5" x14ac:dyDescent="0.25">
      <c r="A17158" s="1033"/>
      <c r="E17158" s="130"/>
    </row>
    <row r="17159" spans="1:5" x14ac:dyDescent="0.25">
      <c r="A17159" s="1033"/>
      <c r="E17159" s="130"/>
    </row>
    <row r="17160" spans="1:5" x14ac:dyDescent="0.25">
      <c r="A17160" s="1033"/>
      <c r="E17160" s="130"/>
    </row>
    <row r="17161" spans="1:5" x14ac:dyDescent="0.25">
      <c r="A17161" s="1033"/>
      <c r="E17161" s="130"/>
    </row>
    <row r="17162" spans="1:5" x14ac:dyDescent="0.25">
      <c r="A17162" s="1033"/>
      <c r="E17162" s="130"/>
    </row>
    <row r="17163" spans="1:5" x14ac:dyDescent="0.25">
      <c r="A17163" s="1033"/>
      <c r="E17163" s="130"/>
    </row>
    <row r="17164" spans="1:5" x14ac:dyDescent="0.25">
      <c r="A17164" s="1033"/>
      <c r="E17164" s="130"/>
    </row>
    <row r="17165" spans="1:5" x14ac:dyDescent="0.25">
      <c r="A17165" s="1033"/>
      <c r="E17165" s="130"/>
    </row>
    <row r="17166" spans="1:5" x14ac:dyDescent="0.25">
      <c r="A17166" s="1033"/>
      <c r="E17166" s="130"/>
    </row>
    <row r="17167" spans="1:5" x14ac:dyDescent="0.25">
      <c r="A17167" s="1033"/>
      <c r="E17167" s="130"/>
    </row>
    <row r="17168" spans="1:5" x14ac:dyDescent="0.25">
      <c r="A17168" s="1033"/>
      <c r="E17168" s="130"/>
    </row>
    <row r="17169" spans="1:5" x14ac:dyDescent="0.25">
      <c r="A17169" s="1033"/>
      <c r="E17169" s="130"/>
    </row>
    <row r="17170" spans="1:5" x14ac:dyDescent="0.25">
      <c r="A17170" s="1033"/>
      <c r="E17170" s="130"/>
    </row>
    <row r="17171" spans="1:5" x14ac:dyDescent="0.25">
      <c r="A17171" s="1033"/>
      <c r="E17171" s="130"/>
    </row>
    <row r="17172" spans="1:5" x14ac:dyDescent="0.25">
      <c r="A17172" s="1033"/>
      <c r="E17172" s="130"/>
    </row>
    <row r="17173" spans="1:5" x14ac:dyDescent="0.25">
      <c r="A17173" s="1033"/>
      <c r="E17173" s="130"/>
    </row>
    <row r="17174" spans="1:5" x14ac:dyDescent="0.25">
      <c r="A17174" s="1033"/>
      <c r="E17174" s="130"/>
    </row>
    <row r="17175" spans="1:5" x14ac:dyDescent="0.25">
      <c r="A17175" s="1033"/>
      <c r="E17175" s="130"/>
    </row>
    <row r="17176" spans="1:5" x14ac:dyDescent="0.25">
      <c r="A17176" s="1033"/>
      <c r="E17176" s="130"/>
    </row>
    <row r="17177" spans="1:5" x14ac:dyDescent="0.25">
      <c r="A17177" s="1033"/>
      <c r="E17177" s="130"/>
    </row>
    <row r="17178" spans="1:5" x14ac:dyDescent="0.25">
      <c r="A17178" s="1033"/>
      <c r="E17178" s="130"/>
    </row>
    <row r="17179" spans="1:5" x14ac:dyDescent="0.25">
      <c r="A17179" s="1033"/>
      <c r="E17179" s="130"/>
    </row>
    <row r="17180" spans="1:5" x14ac:dyDescent="0.25">
      <c r="A17180" s="1033"/>
      <c r="E17180" s="130"/>
    </row>
    <row r="17181" spans="1:5" x14ac:dyDescent="0.25">
      <c r="A17181" s="1033"/>
      <c r="E17181" s="130"/>
    </row>
    <row r="17182" spans="1:5" x14ac:dyDescent="0.25">
      <c r="A17182" s="1033"/>
      <c r="E17182" s="130"/>
    </row>
    <row r="17183" spans="1:5" x14ac:dyDescent="0.25">
      <c r="A17183" s="1033"/>
      <c r="E17183" s="130"/>
    </row>
    <row r="17184" spans="1:5" x14ac:dyDescent="0.25">
      <c r="A17184" s="1033"/>
      <c r="E17184" s="130"/>
    </row>
    <row r="17185" spans="1:5" x14ac:dyDescent="0.25">
      <c r="A17185" s="1033"/>
      <c r="E17185" s="130"/>
    </row>
    <row r="17186" spans="1:5" x14ac:dyDescent="0.25">
      <c r="A17186" s="1033"/>
      <c r="E17186" s="130"/>
    </row>
    <row r="17187" spans="1:5" x14ac:dyDescent="0.25">
      <c r="A17187" s="1033"/>
      <c r="E17187" s="130"/>
    </row>
    <row r="17188" spans="1:5" x14ac:dyDescent="0.25">
      <c r="A17188" s="1033"/>
      <c r="E17188" s="130"/>
    </row>
    <row r="17189" spans="1:5" x14ac:dyDescent="0.25">
      <c r="A17189" s="1033"/>
      <c r="E17189" s="130"/>
    </row>
    <row r="17190" spans="1:5" x14ac:dyDescent="0.25">
      <c r="A17190" s="1033"/>
      <c r="E17190" s="130"/>
    </row>
    <row r="17191" spans="1:5" x14ac:dyDescent="0.25">
      <c r="A17191" s="1033"/>
      <c r="E17191" s="130"/>
    </row>
    <row r="17192" spans="1:5" x14ac:dyDescent="0.25">
      <c r="A17192" s="1033"/>
      <c r="E17192" s="130"/>
    </row>
    <row r="17193" spans="1:5" x14ac:dyDescent="0.25">
      <c r="A17193" s="1033"/>
      <c r="E17193" s="130"/>
    </row>
    <row r="17194" spans="1:5" x14ac:dyDescent="0.25">
      <c r="A17194" s="1033"/>
      <c r="E17194" s="130"/>
    </row>
    <row r="17195" spans="1:5" x14ac:dyDescent="0.25">
      <c r="A17195" s="1033"/>
      <c r="E17195" s="130"/>
    </row>
    <row r="17196" spans="1:5" x14ac:dyDescent="0.25">
      <c r="A17196" s="1033"/>
      <c r="E17196" s="130"/>
    </row>
    <row r="17197" spans="1:5" x14ac:dyDescent="0.25">
      <c r="A17197" s="1033"/>
      <c r="E17197" s="130"/>
    </row>
    <row r="17198" spans="1:5" x14ac:dyDescent="0.25">
      <c r="A17198" s="1033"/>
      <c r="E17198" s="130"/>
    </row>
    <row r="17199" spans="1:5" x14ac:dyDescent="0.25">
      <c r="A17199" s="1033"/>
      <c r="E17199" s="130"/>
    </row>
    <row r="17200" spans="1:5" x14ac:dyDescent="0.25">
      <c r="A17200" s="1033"/>
      <c r="E17200" s="130"/>
    </row>
    <row r="17201" spans="1:5" x14ac:dyDescent="0.25">
      <c r="A17201" s="1033"/>
      <c r="E17201" s="130"/>
    </row>
    <row r="17202" spans="1:5" x14ac:dyDescent="0.25">
      <c r="A17202" s="1033"/>
      <c r="E17202" s="130"/>
    </row>
    <row r="17203" spans="1:5" x14ac:dyDescent="0.25">
      <c r="A17203" s="1033"/>
      <c r="E17203" s="130"/>
    </row>
    <row r="17204" spans="1:5" x14ac:dyDescent="0.25">
      <c r="A17204" s="1033"/>
      <c r="E17204" s="130"/>
    </row>
    <row r="17205" spans="1:5" x14ac:dyDescent="0.25">
      <c r="A17205" s="1033"/>
      <c r="E17205" s="130"/>
    </row>
    <row r="17206" spans="1:5" x14ac:dyDescent="0.25">
      <c r="A17206" s="1033"/>
      <c r="E17206" s="130"/>
    </row>
    <row r="17207" spans="1:5" x14ac:dyDescent="0.25">
      <c r="A17207" s="1033"/>
      <c r="E17207" s="130"/>
    </row>
    <row r="17208" spans="1:5" x14ac:dyDescent="0.25">
      <c r="A17208" s="1033"/>
      <c r="E17208" s="130"/>
    </row>
    <row r="17209" spans="1:5" x14ac:dyDescent="0.25">
      <c r="A17209" s="1033"/>
      <c r="E17209" s="130"/>
    </row>
    <row r="17210" spans="1:5" x14ac:dyDescent="0.25">
      <c r="A17210" s="1033"/>
      <c r="E17210" s="130"/>
    </row>
    <row r="17211" spans="1:5" x14ac:dyDescent="0.25">
      <c r="A17211" s="1033"/>
      <c r="E17211" s="130"/>
    </row>
    <row r="17212" spans="1:5" x14ac:dyDescent="0.25">
      <c r="A17212" s="1033"/>
      <c r="E17212" s="130"/>
    </row>
    <row r="17213" spans="1:5" x14ac:dyDescent="0.25">
      <c r="A17213" s="1033"/>
      <c r="E17213" s="130"/>
    </row>
    <row r="17214" spans="1:5" x14ac:dyDescent="0.25">
      <c r="A17214" s="1033"/>
      <c r="E17214" s="130"/>
    </row>
    <row r="17215" spans="1:5" x14ac:dyDescent="0.25">
      <c r="A17215" s="1033"/>
      <c r="E17215" s="130"/>
    </row>
    <row r="17216" spans="1:5" x14ac:dyDescent="0.25">
      <c r="A17216" s="1033"/>
      <c r="E17216" s="130"/>
    </row>
    <row r="17217" spans="1:5" x14ac:dyDescent="0.25">
      <c r="A17217" s="1033"/>
      <c r="E17217" s="130"/>
    </row>
    <row r="17218" spans="1:5" x14ac:dyDescent="0.25">
      <c r="A17218" s="1033"/>
      <c r="E17218" s="130"/>
    </row>
    <row r="17219" spans="1:5" x14ac:dyDescent="0.25">
      <c r="A17219" s="1033"/>
      <c r="E17219" s="130"/>
    </row>
    <row r="17220" spans="1:5" x14ac:dyDescent="0.25">
      <c r="A17220" s="1033"/>
      <c r="E17220" s="130"/>
    </row>
    <row r="17221" spans="1:5" x14ac:dyDescent="0.25">
      <c r="A17221" s="1033"/>
      <c r="E17221" s="130"/>
    </row>
    <row r="17222" spans="1:5" x14ac:dyDescent="0.25">
      <c r="A17222" s="1033"/>
      <c r="E17222" s="130"/>
    </row>
    <row r="17223" spans="1:5" x14ac:dyDescent="0.25">
      <c r="A17223" s="1033"/>
      <c r="E17223" s="130"/>
    </row>
    <row r="17224" spans="1:5" x14ac:dyDescent="0.25">
      <c r="A17224" s="1033"/>
      <c r="E17224" s="130"/>
    </row>
    <row r="17225" spans="1:5" x14ac:dyDescent="0.25">
      <c r="A17225" s="1033"/>
      <c r="E17225" s="130"/>
    </row>
    <row r="17226" spans="1:5" x14ac:dyDescent="0.25">
      <c r="A17226" s="1033"/>
      <c r="E17226" s="130"/>
    </row>
    <row r="17227" spans="1:5" x14ac:dyDescent="0.25">
      <c r="A17227" s="1033"/>
      <c r="E17227" s="130"/>
    </row>
    <row r="17228" spans="1:5" x14ac:dyDescent="0.25">
      <c r="A17228" s="1033"/>
      <c r="E17228" s="130"/>
    </row>
    <row r="17229" spans="1:5" x14ac:dyDescent="0.25">
      <c r="A17229" s="1033"/>
      <c r="E17229" s="130"/>
    </row>
    <row r="17230" spans="1:5" x14ac:dyDescent="0.25">
      <c r="A17230" s="1033"/>
      <c r="E17230" s="130"/>
    </row>
    <row r="17231" spans="1:5" x14ac:dyDescent="0.25">
      <c r="A17231" s="1033"/>
      <c r="E17231" s="130"/>
    </row>
    <row r="17232" spans="1:5" x14ac:dyDescent="0.25">
      <c r="A17232" s="1033"/>
      <c r="E17232" s="130"/>
    </row>
    <row r="17233" spans="1:5" x14ac:dyDescent="0.25">
      <c r="A17233" s="1033"/>
      <c r="E17233" s="130"/>
    </row>
    <row r="17234" spans="1:5" x14ac:dyDescent="0.25">
      <c r="A17234" s="1033"/>
      <c r="E17234" s="130"/>
    </row>
    <row r="17235" spans="1:5" x14ac:dyDescent="0.25">
      <c r="A17235" s="1033"/>
      <c r="E17235" s="130"/>
    </row>
    <row r="17236" spans="1:5" x14ac:dyDescent="0.25">
      <c r="A17236" s="1033"/>
      <c r="E17236" s="130"/>
    </row>
    <row r="17237" spans="1:5" x14ac:dyDescent="0.25">
      <c r="A17237" s="1033"/>
      <c r="E17237" s="130"/>
    </row>
    <row r="17238" spans="1:5" x14ac:dyDescent="0.25">
      <c r="A17238" s="1033"/>
      <c r="E17238" s="130"/>
    </row>
    <row r="17239" spans="1:5" x14ac:dyDescent="0.25">
      <c r="A17239" s="1033"/>
      <c r="E17239" s="130"/>
    </row>
    <row r="17240" spans="1:5" x14ac:dyDescent="0.25">
      <c r="A17240" s="1033"/>
      <c r="E17240" s="130"/>
    </row>
    <row r="17241" spans="1:5" x14ac:dyDescent="0.25">
      <c r="A17241" s="1033"/>
      <c r="E17241" s="130"/>
    </row>
    <row r="17242" spans="1:5" x14ac:dyDescent="0.25">
      <c r="A17242" s="1033"/>
      <c r="E17242" s="130"/>
    </row>
    <row r="17243" spans="1:5" x14ac:dyDescent="0.25">
      <c r="A17243" s="1033"/>
      <c r="E17243" s="130"/>
    </row>
    <row r="17244" spans="1:5" x14ac:dyDescent="0.25">
      <c r="A17244" s="1033"/>
      <c r="E17244" s="130"/>
    </row>
    <row r="17245" spans="1:5" x14ac:dyDescent="0.25">
      <c r="A17245" s="1033"/>
      <c r="E17245" s="130"/>
    </row>
    <row r="17246" spans="1:5" x14ac:dyDescent="0.25">
      <c r="A17246" s="1033"/>
      <c r="E17246" s="130"/>
    </row>
    <row r="17247" spans="1:5" x14ac:dyDescent="0.25">
      <c r="A17247" s="1033"/>
      <c r="E17247" s="130"/>
    </row>
    <row r="17248" spans="1:5" x14ac:dyDescent="0.25">
      <c r="A17248" s="1033"/>
      <c r="E17248" s="130"/>
    </row>
    <row r="17249" spans="1:5" x14ac:dyDescent="0.25">
      <c r="A17249" s="1033"/>
      <c r="E17249" s="130"/>
    </row>
    <row r="17250" spans="1:5" x14ac:dyDescent="0.25">
      <c r="A17250" s="1033"/>
      <c r="E17250" s="130"/>
    </row>
    <row r="17251" spans="1:5" x14ac:dyDescent="0.25">
      <c r="A17251" s="1033"/>
      <c r="E17251" s="130"/>
    </row>
    <row r="17252" spans="1:5" x14ac:dyDescent="0.25">
      <c r="A17252" s="1033"/>
      <c r="E17252" s="130"/>
    </row>
    <row r="17253" spans="1:5" x14ac:dyDescent="0.25">
      <c r="A17253" s="1033"/>
      <c r="E17253" s="130"/>
    </row>
    <row r="17254" spans="1:5" x14ac:dyDescent="0.25">
      <c r="A17254" s="1033"/>
      <c r="E17254" s="130"/>
    </row>
    <row r="17255" spans="1:5" x14ac:dyDescent="0.25">
      <c r="A17255" s="1033"/>
      <c r="E17255" s="130"/>
    </row>
    <row r="17256" spans="1:5" x14ac:dyDescent="0.25">
      <c r="A17256" s="1033"/>
      <c r="E17256" s="130"/>
    </row>
    <row r="17257" spans="1:5" x14ac:dyDescent="0.25">
      <c r="A17257" s="1033"/>
      <c r="E17257" s="130"/>
    </row>
    <row r="17258" spans="1:5" x14ac:dyDescent="0.25">
      <c r="A17258" s="1033"/>
      <c r="E17258" s="130"/>
    </row>
    <row r="17259" spans="1:5" x14ac:dyDescent="0.25">
      <c r="A17259" s="1033"/>
      <c r="E17259" s="130"/>
    </row>
    <row r="17260" spans="1:5" x14ac:dyDescent="0.25">
      <c r="A17260" s="1033"/>
      <c r="E17260" s="130"/>
    </row>
    <row r="17261" spans="1:5" x14ac:dyDescent="0.25">
      <c r="A17261" s="1033"/>
      <c r="E17261" s="130"/>
    </row>
    <row r="17262" spans="1:5" x14ac:dyDescent="0.25">
      <c r="A17262" s="1033"/>
      <c r="E17262" s="130"/>
    </row>
    <row r="17263" spans="1:5" x14ac:dyDescent="0.25">
      <c r="A17263" s="1033"/>
      <c r="E17263" s="130"/>
    </row>
    <row r="17264" spans="1:5" x14ac:dyDescent="0.25">
      <c r="A17264" s="1033"/>
      <c r="E17264" s="130"/>
    </row>
    <row r="17265" spans="1:5" x14ac:dyDescent="0.25">
      <c r="A17265" s="1033"/>
      <c r="E17265" s="130"/>
    </row>
    <row r="17266" spans="1:5" x14ac:dyDescent="0.25">
      <c r="A17266" s="1033"/>
      <c r="E17266" s="130"/>
    </row>
    <row r="17267" spans="1:5" x14ac:dyDescent="0.25">
      <c r="A17267" s="1033"/>
      <c r="E17267" s="130"/>
    </row>
    <row r="17268" spans="1:5" x14ac:dyDescent="0.25">
      <c r="A17268" s="1033"/>
      <c r="E17268" s="130"/>
    </row>
    <row r="17269" spans="1:5" x14ac:dyDescent="0.25">
      <c r="A17269" s="1033"/>
      <c r="E17269" s="130"/>
    </row>
    <row r="17270" spans="1:5" x14ac:dyDescent="0.25">
      <c r="A17270" s="1033"/>
      <c r="E17270" s="130"/>
    </row>
    <row r="17271" spans="1:5" x14ac:dyDescent="0.25">
      <c r="A17271" s="1033"/>
      <c r="E17271" s="130"/>
    </row>
    <row r="17272" spans="1:5" x14ac:dyDescent="0.25">
      <c r="A17272" s="1033"/>
      <c r="E17272" s="130"/>
    </row>
    <row r="17273" spans="1:5" x14ac:dyDescent="0.25">
      <c r="A17273" s="1033"/>
      <c r="E17273" s="130"/>
    </row>
    <row r="17274" spans="1:5" x14ac:dyDescent="0.25">
      <c r="A17274" s="1033"/>
      <c r="E17274" s="130"/>
    </row>
    <row r="17275" spans="1:5" x14ac:dyDescent="0.25">
      <c r="A17275" s="1033"/>
      <c r="E17275" s="130"/>
    </row>
    <row r="17276" spans="1:5" x14ac:dyDescent="0.25">
      <c r="A17276" s="1033"/>
      <c r="E17276" s="130"/>
    </row>
    <row r="17277" spans="1:5" x14ac:dyDescent="0.25">
      <c r="A17277" s="1033"/>
      <c r="E17277" s="130"/>
    </row>
    <row r="17278" spans="1:5" x14ac:dyDescent="0.25">
      <c r="A17278" s="1033"/>
      <c r="E17278" s="130"/>
    </row>
    <row r="17279" spans="1:5" x14ac:dyDescent="0.25">
      <c r="A17279" s="1033"/>
      <c r="E17279" s="130"/>
    </row>
    <row r="17280" spans="1:5" x14ac:dyDescent="0.25">
      <c r="A17280" s="1033"/>
      <c r="E17280" s="130"/>
    </row>
    <row r="17281" spans="1:5" x14ac:dyDescent="0.25">
      <c r="A17281" s="1033"/>
      <c r="E17281" s="130"/>
    </row>
    <row r="17282" spans="1:5" x14ac:dyDescent="0.25">
      <c r="A17282" s="1033"/>
      <c r="E17282" s="130"/>
    </row>
    <row r="17283" spans="1:5" x14ac:dyDescent="0.25">
      <c r="A17283" s="1033"/>
      <c r="E17283" s="130"/>
    </row>
    <row r="17284" spans="1:5" x14ac:dyDescent="0.25">
      <c r="A17284" s="1033"/>
      <c r="E17284" s="130"/>
    </row>
    <row r="17285" spans="1:5" x14ac:dyDescent="0.25">
      <c r="A17285" s="1033"/>
      <c r="E17285" s="130"/>
    </row>
    <row r="17286" spans="1:5" x14ac:dyDescent="0.25">
      <c r="A17286" s="1033"/>
      <c r="E17286" s="130"/>
    </row>
    <row r="17287" spans="1:5" x14ac:dyDescent="0.25">
      <c r="A17287" s="1033"/>
      <c r="E17287" s="130"/>
    </row>
    <row r="17288" spans="1:5" x14ac:dyDescent="0.25">
      <c r="A17288" s="1033"/>
      <c r="E17288" s="130"/>
    </row>
    <row r="17289" spans="1:5" x14ac:dyDescent="0.25">
      <c r="A17289" s="1033"/>
      <c r="E17289" s="130"/>
    </row>
    <row r="17290" spans="1:5" x14ac:dyDescent="0.25">
      <c r="A17290" s="1033"/>
      <c r="E17290" s="130"/>
    </row>
    <row r="17291" spans="1:5" x14ac:dyDescent="0.25">
      <c r="A17291" s="1033"/>
      <c r="E17291" s="130"/>
    </row>
    <row r="17292" spans="1:5" x14ac:dyDescent="0.25">
      <c r="A17292" s="1033"/>
      <c r="E17292" s="130"/>
    </row>
    <row r="17293" spans="1:5" x14ac:dyDescent="0.25">
      <c r="A17293" s="1033"/>
      <c r="E17293" s="130"/>
    </row>
    <row r="17294" spans="1:5" x14ac:dyDescent="0.25">
      <c r="A17294" s="1033"/>
      <c r="E17294" s="130"/>
    </row>
    <row r="17295" spans="1:5" x14ac:dyDescent="0.25">
      <c r="A17295" s="1033"/>
      <c r="E17295" s="130"/>
    </row>
    <row r="17296" spans="1:5" x14ac:dyDescent="0.25">
      <c r="A17296" s="1033"/>
      <c r="E17296" s="130"/>
    </row>
    <row r="17297" spans="1:5" x14ac:dyDescent="0.25">
      <c r="A17297" s="1033"/>
      <c r="E17297" s="130"/>
    </row>
    <row r="17298" spans="1:5" x14ac:dyDescent="0.25">
      <c r="A17298" s="1033"/>
      <c r="E17298" s="130"/>
    </row>
    <row r="17299" spans="1:5" x14ac:dyDescent="0.25">
      <c r="A17299" s="1033"/>
      <c r="E17299" s="130"/>
    </row>
    <row r="17300" spans="1:5" x14ac:dyDescent="0.25">
      <c r="A17300" s="1033"/>
      <c r="E17300" s="130"/>
    </row>
    <row r="17301" spans="1:5" x14ac:dyDescent="0.25">
      <c r="A17301" s="1033"/>
      <c r="E17301" s="130"/>
    </row>
    <row r="17302" spans="1:5" x14ac:dyDescent="0.25">
      <c r="A17302" s="1033"/>
      <c r="E17302" s="130"/>
    </row>
    <row r="17303" spans="1:5" x14ac:dyDescent="0.25">
      <c r="A17303" s="1033"/>
      <c r="E17303" s="130"/>
    </row>
    <row r="17304" spans="1:5" x14ac:dyDescent="0.25">
      <c r="A17304" s="1033"/>
      <c r="E17304" s="130"/>
    </row>
    <row r="17305" spans="1:5" x14ac:dyDescent="0.25">
      <c r="A17305" s="1033"/>
      <c r="E17305" s="130"/>
    </row>
    <row r="17306" spans="1:5" x14ac:dyDescent="0.25">
      <c r="A17306" s="1033"/>
      <c r="E17306" s="130"/>
    </row>
    <row r="17307" spans="1:5" x14ac:dyDescent="0.25">
      <c r="A17307" s="1033"/>
      <c r="E17307" s="130"/>
    </row>
    <row r="17308" spans="1:5" x14ac:dyDescent="0.25">
      <c r="A17308" s="1033"/>
      <c r="E17308" s="130"/>
    </row>
    <row r="17309" spans="1:5" x14ac:dyDescent="0.25">
      <c r="A17309" s="1033"/>
      <c r="E17309" s="130"/>
    </row>
    <row r="17310" spans="1:5" x14ac:dyDescent="0.25">
      <c r="A17310" s="1033"/>
      <c r="E17310" s="130"/>
    </row>
    <row r="17311" spans="1:5" x14ac:dyDescent="0.25">
      <c r="A17311" s="1033"/>
      <c r="E17311" s="130"/>
    </row>
    <row r="17312" spans="1:5" x14ac:dyDescent="0.25">
      <c r="A17312" s="1033"/>
      <c r="E17312" s="130"/>
    </row>
    <row r="17313" spans="1:5" x14ac:dyDescent="0.25">
      <c r="A17313" s="1033"/>
      <c r="E17313" s="130"/>
    </row>
    <row r="17314" spans="1:5" x14ac:dyDescent="0.25">
      <c r="A17314" s="1033"/>
      <c r="E17314" s="130"/>
    </row>
    <row r="17315" spans="1:5" x14ac:dyDescent="0.25">
      <c r="A17315" s="1033"/>
      <c r="E17315" s="130"/>
    </row>
    <row r="17316" spans="1:5" x14ac:dyDescent="0.25">
      <c r="A17316" s="1033"/>
      <c r="E17316" s="130"/>
    </row>
    <row r="17317" spans="1:5" x14ac:dyDescent="0.25">
      <c r="A17317" s="1033"/>
      <c r="E17317" s="130"/>
    </row>
    <row r="17318" spans="1:5" x14ac:dyDescent="0.25">
      <c r="A17318" s="1033"/>
      <c r="E17318" s="130"/>
    </row>
    <row r="17319" spans="1:5" x14ac:dyDescent="0.25">
      <c r="A17319" s="1033"/>
      <c r="E17319" s="130"/>
    </row>
    <row r="17320" spans="1:5" x14ac:dyDescent="0.25">
      <c r="A17320" s="1033"/>
      <c r="E17320" s="130"/>
    </row>
    <row r="17321" spans="1:5" x14ac:dyDescent="0.25">
      <c r="A17321" s="1033"/>
      <c r="E17321" s="130"/>
    </row>
    <row r="17322" spans="1:5" x14ac:dyDescent="0.25">
      <c r="A17322" s="1033"/>
      <c r="E17322" s="130"/>
    </row>
    <row r="17323" spans="1:5" x14ac:dyDescent="0.25">
      <c r="A17323" s="1033"/>
      <c r="E17323" s="130"/>
    </row>
    <row r="17324" spans="1:5" x14ac:dyDescent="0.25">
      <c r="A17324" s="1033"/>
      <c r="E17324" s="130"/>
    </row>
    <row r="17325" spans="1:5" x14ac:dyDescent="0.25">
      <c r="A17325" s="1033"/>
      <c r="E17325" s="130"/>
    </row>
    <row r="17326" spans="1:5" x14ac:dyDescent="0.25">
      <c r="A17326" s="1033"/>
      <c r="E17326" s="130"/>
    </row>
    <row r="17327" spans="1:5" x14ac:dyDescent="0.25">
      <c r="A17327" s="1033"/>
      <c r="E17327" s="130"/>
    </row>
    <row r="17328" spans="1:5" x14ac:dyDescent="0.25">
      <c r="A17328" s="1033"/>
      <c r="E17328" s="130"/>
    </row>
    <row r="17329" spans="1:5" x14ac:dyDescent="0.25">
      <c r="A17329" s="1033"/>
      <c r="E17329" s="130"/>
    </row>
    <row r="17330" spans="1:5" x14ac:dyDescent="0.25">
      <c r="A17330" s="1033"/>
      <c r="E17330" s="130"/>
    </row>
    <row r="17331" spans="1:5" x14ac:dyDescent="0.25">
      <c r="A17331" s="1033"/>
      <c r="E17331" s="130"/>
    </row>
    <row r="17332" spans="1:5" x14ac:dyDescent="0.25">
      <c r="A17332" s="1033"/>
      <c r="E17332" s="130"/>
    </row>
    <row r="17333" spans="1:5" x14ac:dyDescent="0.25">
      <c r="A17333" s="1033"/>
      <c r="E17333" s="130"/>
    </row>
    <row r="17334" spans="1:5" x14ac:dyDescent="0.25">
      <c r="A17334" s="1033"/>
      <c r="E17334" s="130"/>
    </row>
    <row r="17335" spans="1:5" x14ac:dyDescent="0.25">
      <c r="A17335" s="1033"/>
      <c r="E17335" s="130"/>
    </row>
    <row r="17336" spans="1:5" x14ac:dyDescent="0.25">
      <c r="A17336" s="1033"/>
      <c r="E17336" s="130"/>
    </row>
    <row r="17337" spans="1:5" x14ac:dyDescent="0.25">
      <c r="A17337" s="1033"/>
      <c r="E17337" s="130"/>
    </row>
    <row r="17338" spans="1:5" x14ac:dyDescent="0.25">
      <c r="A17338" s="1033"/>
      <c r="E17338" s="130"/>
    </row>
    <row r="17339" spans="1:5" x14ac:dyDescent="0.25">
      <c r="A17339" s="1033"/>
      <c r="E17339" s="130"/>
    </row>
    <row r="17340" spans="1:5" x14ac:dyDescent="0.25">
      <c r="A17340" s="1033"/>
      <c r="E17340" s="130"/>
    </row>
    <row r="17341" spans="1:5" x14ac:dyDescent="0.25">
      <c r="A17341" s="1033"/>
      <c r="E17341" s="130"/>
    </row>
    <row r="17342" spans="1:5" x14ac:dyDescent="0.25">
      <c r="A17342" s="1033"/>
      <c r="E17342" s="130"/>
    </row>
    <row r="17343" spans="1:5" x14ac:dyDescent="0.25">
      <c r="A17343" s="1033"/>
      <c r="E17343" s="130"/>
    </row>
    <row r="17344" spans="1:5" x14ac:dyDescent="0.25">
      <c r="A17344" s="1033"/>
      <c r="E17344" s="130"/>
    </row>
    <row r="17345" spans="1:5" x14ac:dyDescent="0.25">
      <c r="A17345" s="1033"/>
      <c r="E17345" s="130"/>
    </row>
    <row r="17346" spans="1:5" x14ac:dyDescent="0.25">
      <c r="A17346" s="1033"/>
      <c r="E17346" s="130"/>
    </row>
    <row r="17347" spans="1:5" x14ac:dyDescent="0.25">
      <c r="A17347" s="1033"/>
      <c r="E17347" s="130"/>
    </row>
    <row r="17348" spans="1:5" x14ac:dyDescent="0.25">
      <c r="A17348" s="1033"/>
      <c r="E17348" s="130"/>
    </row>
    <row r="17349" spans="1:5" x14ac:dyDescent="0.2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"1033"/>
      <c r="E17351" s="130"/>
    </row>
    <row r="17352" spans="1:5" x14ac:dyDescent="0.25">
      <c r="A17352" s="1033"/>
      <c r="E17352" s="130"/>
    </row>
    <row r="17353" spans="1:5" x14ac:dyDescent="0.25">
      <c r="A17353" s="1033"/>
      <c r="E17353" s="130"/>
    </row>
    <row r="17354" spans="1:5" x14ac:dyDescent="0.25">
      <c r="A17354" s="1033"/>
      <c r="E17354" s="130"/>
    </row>
    <row r="17355" spans="1:5" x14ac:dyDescent="0.25">
      <c r="A17355" s="1033"/>
      <c r="E17355" s="130"/>
    </row>
    <row r="17356" spans="1:5" x14ac:dyDescent="0.25">
      <c r="A17356" s="1033"/>
      <c r="E17356" s="130"/>
    </row>
    <row r="17357" spans="1:5" x14ac:dyDescent="0.25">
      <c r="A17357" s="1033"/>
      <c r="E17357" s="130"/>
    </row>
    <row r="17358" spans="1:5" x14ac:dyDescent="0.25">
      <c r="A17358" s="1033"/>
      <c r="E17358" s="130"/>
    </row>
    <row r="17359" spans="1:5" x14ac:dyDescent="0.25">
      <c r="A17359" s="1033"/>
      <c r="E17359" s="130"/>
    </row>
    <row r="17360" spans="1:5" x14ac:dyDescent="0.25">
      <c r="A17360" s="1033"/>
      <c r="E17360" s="130"/>
    </row>
    <row r="17361" spans="1:5" x14ac:dyDescent="0.25">
      <c r="A17361" s="1033"/>
      <c r="E17361" s="130"/>
    </row>
    <row r="17362" spans="1:5" x14ac:dyDescent="0.25">
      <c r="A17362" s="1033"/>
      <c r="E17362" s="130"/>
    </row>
    <row r="17363" spans="1:5" x14ac:dyDescent="0.25">
      <c r="A17363" s="1033"/>
      <c r="E17363" s="130"/>
    </row>
    <row r="17364" spans="1:5" x14ac:dyDescent="0.25">
      <c r="A17364" s="1033"/>
      <c r="E17364" s="130"/>
    </row>
    <row r="17365" spans="1:5" x14ac:dyDescent="0.25">
      <c r="A17365" s="1033"/>
      <c r="E17365" s="130"/>
    </row>
    <row r="17366" spans="1:5" x14ac:dyDescent="0.25">
      <c r="A17366" s="1033"/>
      <c r="E17366" s="130"/>
    </row>
    <row r="17367" spans="1:5" x14ac:dyDescent="0.25">
      <c r="A17367" s="1033"/>
      <c r="E17367" s="130"/>
    </row>
    <row r="17368" spans="1:5" x14ac:dyDescent="0.25">
      <c r="A17368" s="1033"/>
      <c r="E17368" s="130"/>
    </row>
    <row r="17369" spans="1:5" x14ac:dyDescent="0.25">
      <c r="A17369" s="1033"/>
      <c r="E17369" s="130"/>
    </row>
    <row r="17370" spans="1:5" x14ac:dyDescent="0.25">
      <c r="A17370" s="1033"/>
      <c r="E17370" s="130"/>
    </row>
    <row r="17371" spans="1:5" x14ac:dyDescent="0.25">
      <c r="A17371" s="1033"/>
      <c r="E17371" s="130"/>
    </row>
    <row r="17372" spans="1:5" x14ac:dyDescent="0.25">
      <c r="A17372" s="1033"/>
      <c r="E17372" s="130"/>
    </row>
    <row r="17373" spans="1:5" x14ac:dyDescent="0.25">
      <c r="A17373" s="1033"/>
      <c r="E17373" s="130"/>
    </row>
    <row r="17374" spans="1:5" x14ac:dyDescent="0.25">
      <c r="A17374" s="1033"/>
      <c r="E17374" s="130"/>
    </row>
    <row r="17375" spans="1:5" x14ac:dyDescent="0.25">
      <c r="A17375" s="1033"/>
      <c r="E17375" s="130"/>
    </row>
    <row r="17376" spans="1:5" x14ac:dyDescent="0.25">
      <c r="A17376" s="1033"/>
      <c r="E17376" s="130"/>
    </row>
    <row r="17377" spans="1:5" x14ac:dyDescent="0.25">
      <c r="A17377" s="1033"/>
      <c r="E17377" s="130"/>
    </row>
    <row r="17378" spans="1:5" x14ac:dyDescent="0.25">
      <c r="A17378" s="1033"/>
      <c r="E17378" s="130"/>
    </row>
    <row r="17379" spans="1:5" x14ac:dyDescent="0.25">
      <c r="A17379" s="1033"/>
      <c r="E17379" s="130"/>
    </row>
    <row r="17380" spans="1:5" x14ac:dyDescent="0.25">
      <c r="A17380" s="1033"/>
      <c r="E17380" s="130"/>
    </row>
    <row r="17381" spans="1:5" x14ac:dyDescent="0.25">
      <c r="A17381" s="1033"/>
      <c r="E17381" s="130"/>
    </row>
    <row r="17382" spans="1:5" x14ac:dyDescent="0.25">
      <c r="A17382" s="1033"/>
      <c r="E17382" s="130"/>
    </row>
    <row r="17383" spans="1:5" x14ac:dyDescent="0.25">
      <c r="A17383" s="1033"/>
      <c r="E17383" s="130"/>
    </row>
    <row r="17384" spans="1:5" x14ac:dyDescent="0.25">
      <c r="A17384" s="1033"/>
      <c r="E17384" s="130"/>
    </row>
    <row r="17385" spans="1:5" x14ac:dyDescent="0.25">
      <c r="A17385" s="1033"/>
      <c r="E17385" s="130"/>
    </row>
    <row r="17386" spans="1:5" x14ac:dyDescent="0.25">
      <c r="A17386" s="1033"/>
      <c r="E17386" s="130"/>
    </row>
    <row r="17387" spans="1:5" x14ac:dyDescent="0.25">
      <c r="A17387" s="1033"/>
      <c r="E17387" s="130"/>
    </row>
    <row r="17388" spans="1:5" x14ac:dyDescent="0.25">
      <c r="A17388" s="1033"/>
      <c r="E17388" s="130"/>
    </row>
    <row r="17389" spans="1:5" x14ac:dyDescent="0.25">
      <c r="A17389" s="1033"/>
      <c r="E17389" s="130"/>
    </row>
    <row r="17390" spans="1:5" x14ac:dyDescent="0.25">
      <c r="A17390" s="1033"/>
      <c r="E17390" s="130"/>
    </row>
    <row r="17391" spans="1:5" x14ac:dyDescent="0.25">
      <c r="A17391" s="1033"/>
      <c r="E17391" s="130"/>
    </row>
    <row r="17392" spans="1:5" x14ac:dyDescent="0.25">
      <c r="A17392" s="1033"/>
      <c r="E17392" s="130"/>
    </row>
    <row r="17393" spans="1:5" x14ac:dyDescent="0.25">
      <c r="A17393" s="1033"/>
      <c r="E17393" s="130"/>
    </row>
    <row r="17394" spans="1:5" x14ac:dyDescent="0.25">
      <c r="A17394" s="1033"/>
      <c r="E17394" s="130"/>
    </row>
    <row r="17395" spans="1:5" x14ac:dyDescent="0.25">
      <c r="A17395" s="1033"/>
      <c r="E17395" s="130"/>
    </row>
    <row r="17396" spans="1:5" x14ac:dyDescent="0.25">
      <c r="A17396" s="1033"/>
      <c r="E17396" s="130"/>
    </row>
    <row r="17397" spans="1:5" x14ac:dyDescent="0.25">
      <c r="A17397" s="1033"/>
      <c r="E17397" s="130"/>
    </row>
    <row r="17398" spans="1:5" x14ac:dyDescent="0.25">
      <c r="A17398" s="1033"/>
      <c r="E17398" s="130"/>
    </row>
    <row r="17399" spans="1:5" x14ac:dyDescent="0.25">
      <c r="A17399" s="1033"/>
      <c r="E17399" s="130"/>
    </row>
    <row r="17400" spans="1:5" x14ac:dyDescent="0.25">
      <c r="A17400" s="1033"/>
      <c r="E17400" s="130"/>
    </row>
    <row r="17401" spans="1:5" x14ac:dyDescent="0.25">
      <c r="A17401" s="1033"/>
      <c r="E17401" s="130"/>
    </row>
    <row r="17402" spans="1:5" x14ac:dyDescent="0.25">
      <c r="A17402" s="1033"/>
      <c r="E17402" s="130"/>
    </row>
    <row r="17403" spans="1:5" x14ac:dyDescent="0.25">
      <c r="A17403" s="1033"/>
      <c r="E17403" s="130"/>
    </row>
    <row r="17404" spans="1:5" x14ac:dyDescent="0.25">
      <c r="A17404" s="1033"/>
      <c r="E17404" s="130"/>
    </row>
    <row r="17405" spans="1:5" x14ac:dyDescent="0.25">
      <c r="A17405" s="1033"/>
      <c r="E17405" s="130"/>
    </row>
    <row r="17406" spans="1:5" x14ac:dyDescent="0.25">
      <c r="A17406" s="1033"/>
      <c r="E17406" s="130"/>
    </row>
    <row r="17407" spans="1:5" x14ac:dyDescent="0.25">
      <c r="A17407" s="1033"/>
      <c r="E17407" s="130"/>
    </row>
    <row r="17408" spans="1:5" x14ac:dyDescent="0.25">
      <c r="A17408" s="1033"/>
      <c r="E17408" s="130"/>
    </row>
    <row r="17409" spans="1:5" x14ac:dyDescent="0.25">
      <c r="A17409" s="1033"/>
      <c r="E17409" s="130"/>
    </row>
    <row r="17410" spans="1:5" x14ac:dyDescent="0.25">
      <c r="A17410" s="1033"/>
      <c r="E17410" s="130"/>
    </row>
    <row r="17411" spans="1:5" x14ac:dyDescent="0.25">
      <c r="A17411" s="1033"/>
      <c r="E17411" s="130"/>
    </row>
    <row r="17412" spans="1:5" x14ac:dyDescent="0.25">
      <c r="A17412" s="1033"/>
      <c r="E17412" s="130"/>
    </row>
    <row r="17413" spans="1:5" x14ac:dyDescent="0.25">
      <c r="A17413" s="1033"/>
      <c r="E17413" s="130"/>
    </row>
    <row r="17414" spans="1:5" x14ac:dyDescent="0.25">
      <c r="A17414" s="1033"/>
      <c r="E17414" s="130"/>
    </row>
    <row r="17415" spans="1:5" x14ac:dyDescent="0.25">
      <c r="A17415" s="1033"/>
      <c r="E17415" s="130"/>
    </row>
    <row r="17416" spans="1:5" x14ac:dyDescent="0.25">
      <c r="A17416" s="1033"/>
      <c r="E17416" s="130"/>
    </row>
    <row r="17417" spans="1:5" x14ac:dyDescent="0.25">
      <c r="A17417" s="1033"/>
      <c r="E17417" s="130"/>
    </row>
    <row r="17418" spans="1:5" x14ac:dyDescent="0.25">
      <c r="A17418" s="1033"/>
      <c r="E17418" s="130"/>
    </row>
    <row r="17419" spans="1:5" x14ac:dyDescent="0.25">
      <c r="A17419" s="1033"/>
      <c r="E17419" s="130"/>
    </row>
    <row r="17420" spans="1:5" x14ac:dyDescent="0.25">
      <c r="A17420" s="1033"/>
      <c r="E17420" s="130"/>
    </row>
    <row r="17421" spans="1:5" x14ac:dyDescent="0.25">
      <c r="A17421" s="1033"/>
      <c r="E17421" s="130"/>
    </row>
    <row r="17422" spans="1:5" x14ac:dyDescent="0.25">
      <c r="A17422" s="1033"/>
      <c r="E17422" s="130"/>
    </row>
    <row r="17423" spans="1:5" x14ac:dyDescent="0.25">
      <c r="A17423" s="1033"/>
      <c r="E17423" s="130"/>
    </row>
    <row r="17424" spans="1:5" x14ac:dyDescent="0.25">
      <c r="A17424" s="1033"/>
      <c r="E17424" s="130"/>
    </row>
    <row r="17425" spans="1:5" x14ac:dyDescent="0.25">
      <c r="A17425" s="1033"/>
      <c r="E17425" s="130"/>
    </row>
    <row r="17426" spans="1:5" x14ac:dyDescent="0.25">
      <c r="A17426" s="1033"/>
      <c r="E17426" s="130"/>
    </row>
    <row r="17427" spans="1:5" x14ac:dyDescent="0.25">
      <c r="A17427" s="1033"/>
      <c r="E17427" s="130"/>
    </row>
    <row r="17428" spans="1:5" x14ac:dyDescent="0.25">
      <c r="A17428" s="1033"/>
      <c r="E17428" s="130"/>
    </row>
    <row r="17429" spans="1:5" x14ac:dyDescent="0.25">
      <c r="A17429" s="1033"/>
      <c r="E17429" s="130"/>
    </row>
    <row r="17430" spans="1:5" x14ac:dyDescent="0.25">
      <c r="A17430" s="1033"/>
      <c r="E17430" s="130"/>
    </row>
    <row r="17431" spans="1:5" x14ac:dyDescent="0.25">
      <c r="A17431" s="1033"/>
      <c r="E17431" s="130"/>
    </row>
    <row r="17432" spans="1:5" x14ac:dyDescent="0.25">
      <c r="A17432" s="1033"/>
      <c r="E17432" s="130"/>
    </row>
    <row r="17433" spans="1:5" x14ac:dyDescent="0.25">
      <c r="A17433" s="1033"/>
      <c r="E17433" s="130"/>
    </row>
    <row r="17434" spans="1:5" x14ac:dyDescent="0.25">
      <c r="A17434" s="1033"/>
      <c r="E17434" s="130"/>
    </row>
    <row r="17435" spans="1:5" x14ac:dyDescent="0.25">
      <c r="A17435" s="1033"/>
      <c r="E17435" s="130"/>
    </row>
    <row r="17436" spans="1:5" x14ac:dyDescent="0.25">
      <c r="A17436" s="1033"/>
      <c r="E17436" s="130"/>
    </row>
    <row r="17437" spans="1:5" x14ac:dyDescent="0.25">
      <c r="A17437" s="1033"/>
      <c r="E17437" s="130"/>
    </row>
    <row r="17438" spans="1:5" x14ac:dyDescent="0.25">
      <c r="A17438" s="1033"/>
      <c r="E17438" s="130"/>
    </row>
    <row r="17439" spans="1:5" x14ac:dyDescent="0.25">
      <c r="A17439" s="1033"/>
      <c r="E17439" s="130"/>
    </row>
    <row r="17440" spans="1:5" x14ac:dyDescent="0.25">
      <c r="A17440" s="1033"/>
      <c r="E17440" s="130"/>
    </row>
    <row r="17441" spans="1:5" x14ac:dyDescent="0.25">
      <c r="A17441" s="1033"/>
      <c r="E17441" s="130"/>
    </row>
    <row r="17442" spans="1:5" x14ac:dyDescent="0.25">
      <c r="A17442" s="1033"/>
      <c r="E17442" s="130"/>
    </row>
    <row r="17443" spans="1:5" x14ac:dyDescent="0.25">
      <c r="A17443" s="1033"/>
      <c r="E17443" s="130"/>
    </row>
    <row r="17444" spans="1:5" x14ac:dyDescent="0.25">
      <c r="A17444" s="1033"/>
      <c r="E17444" s="130"/>
    </row>
    <row r="17445" spans="1:5" x14ac:dyDescent="0.25">
      <c r="A17445" s="1033"/>
      <c r="E17445" s="130"/>
    </row>
    <row r="17446" spans="1:5" x14ac:dyDescent="0.25">
      <c r="A17446" s="1033"/>
      <c r="E17446" s="130"/>
    </row>
    <row r="17447" spans="1:5" x14ac:dyDescent="0.25">
      <c r="A17447" s="1033"/>
      <c r="E17447" s="130"/>
    </row>
    <row r="17448" spans="1:5" x14ac:dyDescent="0.25">
      <c r="A17448" s="1033"/>
      <c r="E17448" s="130"/>
    </row>
    <row r="17449" spans="1:5" x14ac:dyDescent="0.25">
      <c r="A17449" s="1033"/>
      <c r="E17449" s="130"/>
    </row>
    <row r="17450" spans="1:5" x14ac:dyDescent="0.25">
      <c r="A17450" s="1033"/>
      <c r="E17450" s="130"/>
    </row>
    <row r="17451" spans="1:5" x14ac:dyDescent="0.25">
      <c r="A17451" s="1033"/>
      <c r="E17451" s="130"/>
    </row>
    <row r="17452" spans="1:5" x14ac:dyDescent="0.25">
      <c r="A17452" s="1033"/>
      <c r="E17452" s="130"/>
    </row>
    <row r="17453" spans="1:5" x14ac:dyDescent="0.25">
      <c r="A17453" s="1033"/>
      <c r="E17453" s="130"/>
    </row>
    <row r="17454" spans="1:5" x14ac:dyDescent="0.25">
      <c r="A17454" s="1033"/>
      <c r="E17454" s="130"/>
    </row>
    <row r="17455" spans="1:5" x14ac:dyDescent="0.25">
      <c r="A17455" s="1033"/>
      <c r="E17455" s="130"/>
    </row>
    <row r="17456" spans="1:5" x14ac:dyDescent="0.25">
      <c r="A17456" s="1033"/>
      <c r="E17456" s="130"/>
    </row>
    <row r="17457" spans="1:5" x14ac:dyDescent="0.25">
      <c r="A17457" s="1033"/>
      <c r="E17457" s="130"/>
    </row>
    <row r="17458" spans="1:5" x14ac:dyDescent="0.25">
      <c r="A17458" s="1033"/>
      <c r="E17458" s="130"/>
    </row>
    <row r="17459" spans="1:5" x14ac:dyDescent="0.25">
      <c r="A17459" s="1033"/>
      <c r="E17459" s="130"/>
    </row>
    <row r="17460" spans="1:5" x14ac:dyDescent="0.25">
      <c r="A17460" s="1033"/>
      <c r="E17460" s="130"/>
    </row>
    <row r="17461" spans="1:5" x14ac:dyDescent="0.25">
      <c r="A17461" s="1033"/>
      <c r="E17461" s="130"/>
    </row>
    <row r="17462" spans="1:5" x14ac:dyDescent="0.25">
      <c r="A17462" s="1033"/>
      <c r="E17462" s="130"/>
    </row>
    <row r="17463" spans="1:5" x14ac:dyDescent="0.25">
      <c r="A17463" s="1033"/>
      <c r="E17463" s="130"/>
    </row>
    <row r="17464" spans="1:5" x14ac:dyDescent="0.25">
      <c r="A17464" s="1033"/>
      <c r="E17464" s="130"/>
    </row>
    <row r="17465" spans="1:5" x14ac:dyDescent="0.25">
      <c r="A17465" s="1033"/>
      <c r="E17465" s="130"/>
    </row>
    <row r="17466" spans="1:5" x14ac:dyDescent="0.25">
      <c r="A17466" s="1033"/>
      <c r="E17466" s="130"/>
    </row>
    <row r="17467" spans="1:5" x14ac:dyDescent="0.25">
      <c r="A17467" s="1033"/>
      <c r="E17467" s="130"/>
    </row>
    <row r="17468" spans="1:5" x14ac:dyDescent="0.25">
      <c r="A17468" s="1033"/>
      <c r="E17468" s="130"/>
    </row>
    <row r="17469" spans="1:5" x14ac:dyDescent="0.25">
      <c r="A17469" s="1033"/>
      <c r="E17469" s="130"/>
    </row>
    <row r="17470" spans="1:5" x14ac:dyDescent="0.25">
      <c r="A17470" s="1033"/>
      <c r="E17470" s="130"/>
    </row>
    <row r="17471" spans="1:5" x14ac:dyDescent="0.25">
      <c r="A17471" s="1033"/>
      <c r="E17471" s="130"/>
    </row>
    <row r="17472" spans="1:5" x14ac:dyDescent="0.25">
      <c r="A17472" s="1033"/>
      <c r="E17472" s="130"/>
    </row>
    <row r="17473" spans="1:5" x14ac:dyDescent="0.25">
      <c r="A17473" s="1033"/>
      <c r="E17473" s="130"/>
    </row>
    <row r="17474" spans="1:5" x14ac:dyDescent="0.25">
      <c r="A17474" s="1033"/>
      <c r="E17474" s="130"/>
    </row>
    <row r="17475" spans="1:5" x14ac:dyDescent="0.25">
      <c r="A17475" s="1033"/>
      <c r="E17475" s="130"/>
    </row>
    <row r="17476" spans="1:5" x14ac:dyDescent="0.25">
      <c r="A17476" s="1033"/>
      <c r="E17476" s="130"/>
    </row>
    <row r="17477" spans="1:5" x14ac:dyDescent="0.25">
      <c r="A17477" s="1033"/>
      <c r="E17477" s="130"/>
    </row>
    <row r="17478" spans="1:5" x14ac:dyDescent="0.25">
      <c r="A17478" s="1033"/>
      <c r="E17478" s="130"/>
    </row>
    <row r="17479" spans="1:5" x14ac:dyDescent="0.25">
      <c r="A17479" s="1033"/>
      <c r="E17479" s="130"/>
    </row>
    <row r="17480" spans="1:5" x14ac:dyDescent="0.25">
      <c r="A17480" s="1033"/>
      <c r="E17480" s="130"/>
    </row>
    <row r="17481" spans="1:5" x14ac:dyDescent="0.25">
      <c r="A17481" s="1033"/>
      <c r="E17481" s="130"/>
    </row>
    <row r="17482" spans="1:5" x14ac:dyDescent="0.25">
      <c r="A17482" s="1033"/>
      <c r="E17482" s="130"/>
    </row>
    <row r="17483" spans="1:5" x14ac:dyDescent="0.25">
      <c r="A17483" s="1033"/>
      <c r="E17483" s="130"/>
    </row>
    <row r="17484" spans="1:5" x14ac:dyDescent="0.25">
      <c r="A17484" s="1033"/>
      <c r="E17484" s="130"/>
    </row>
    <row r="17485" spans="1:5" x14ac:dyDescent="0.25">
      <c r="A17485" s="1033"/>
      <c r="E17485" s="130"/>
    </row>
    <row r="17486" spans="1:5" x14ac:dyDescent="0.25">
      <c r="A17486" s="1033"/>
      <c r="E17486" s="130"/>
    </row>
    <row r="17487" spans="1:5" x14ac:dyDescent="0.25">
      <c r="A17487" s="1033"/>
      <c r="E17487" s="130"/>
    </row>
    <row r="17488" spans="1:5" x14ac:dyDescent="0.25">
      <c r="A17488" s="1033"/>
      <c r="E17488" s="130"/>
    </row>
    <row r="17489" spans="1:5" x14ac:dyDescent="0.25">
      <c r="A17489" s="1033"/>
      <c r="E17489" s="130"/>
    </row>
    <row r="17490" spans="1:5" x14ac:dyDescent="0.25">
      <c r="A17490" s="1033"/>
      <c r="E17490" s="130"/>
    </row>
    <row r="17491" spans="1:5" x14ac:dyDescent="0.25">
      <c r="A17491" s="1033"/>
      <c r="E17491" s="130"/>
    </row>
    <row r="17492" spans="1:5" x14ac:dyDescent="0.25">
      <c r="A17492" s="1033"/>
      <c r="E17492" s="130"/>
    </row>
    <row r="17493" spans="1:5" x14ac:dyDescent="0.25">
      <c r="A17493" s="1033"/>
      <c r="E17493" s="130"/>
    </row>
    <row r="17494" spans="1:5" x14ac:dyDescent="0.25">
      <c r="A17494" s="1033"/>
      <c r="E17494" s="130"/>
    </row>
    <row r="17495" spans="1:5" x14ac:dyDescent="0.25">
      <c r="A17495" s="1033"/>
      <c r="E17495" s="130"/>
    </row>
    <row r="17496" spans="1:5" x14ac:dyDescent="0.25">
      <c r="A17496" s="1033"/>
      <c r="E17496" s="130"/>
    </row>
    <row r="17497" spans="1:5" x14ac:dyDescent="0.25">
      <c r="A17497" s="1033"/>
      <c r="E17497" s="130"/>
    </row>
    <row r="17498" spans="1:5" x14ac:dyDescent="0.25">
      <c r="A17498" s="1033"/>
      <c r="E17498" s="130"/>
    </row>
    <row r="17499" spans="1:5" x14ac:dyDescent="0.25">
      <c r="A17499" s="1033"/>
      <c r="E17499" s="130"/>
    </row>
    <row r="17500" spans="1:5" x14ac:dyDescent="0.25">
      <c r="A17500" s="1033"/>
      <c r="E17500" s="130"/>
    </row>
    <row r="17501" spans="1:5" x14ac:dyDescent="0.25">
      <c r="A17501" s="1033"/>
      <c r="E17501" s="130"/>
    </row>
    <row r="17502" spans="1:5" x14ac:dyDescent="0.25">
      <c r="A17502" s="1033"/>
      <c r="E17502" s="130"/>
    </row>
    <row r="17503" spans="1:5" x14ac:dyDescent="0.25">
      <c r="A17503" s="1033"/>
      <c r="E17503" s="130"/>
    </row>
    <row r="17504" spans="1:5" x14ac:dyDescent="0.25">
      <c r="A17504" s="1033"/>
      <c r="E17504" s="130"/>
    </row>
    <row r="17505" spans="1:5" x14ac:dyDescent="0.25">
      <c r="A17505" s="1033"/>
      <c r="E17505" s="130"/>
    </row>
    <row r="17506" spans="1:5" x14ac:dyDescent="0.25">
      <c r="A17506" s="1033"/>
      <c r="E17506" s="130"/>
    </row>
    <row r="17507" spans="1:5" x14ac:dyDescent="0.25">
      <c r="A17507" s="1033"/>
      <c r="E17507" s="130"/>
    </row>
    <row r="17508" spans="1:5" x14ac:dyDescent="0.25">
      <c r="A17508" s="1033"/>
      <c r="E17508" s="130"/>
    </row>
    <row r="17509" spans="1:5" x14ac:dyDescent="0.25">
      <c r="A17509" s="1033"/>
      <c r="E17509" s="130"/>
    </row>
    <row r="17510" spans="1:5" x14ac:dyDescent="0.25">
      <c r="A17510" s="1033"/>
      <c r="E17510" s="130"/>
    </row>
    <row r="17511" spans="1:5" x14ac:dyDescent="0.25">
      <c r="A17511" s="1033"/>
      <c r="E17511" s="130"/>
    </row>
    <row r="17512" spans="1:5" x14ac:dyDescent="0.25">
      <c r="A17512" s="1033"/>
      <c r="E17512" s="130"/>
    </row>
    <row r="17513" spans="1:5" x14ac:dyDescent="0.25">
      <c r="A17513" s="1033"/>
      <c r="E17513" s="130"/>
    </row>
    <row r="17514" spans="1:5" x14ac:dyDescent="0.25">
      <c r="A17514" s="1033"/>
      <c r="E17514" s="130"/>
    </row>
    <row r="17515" spans="1:5" x14ac:dyDescent="0.25">
      <c r="A17515" s="1033"/>
      <c r="E17515" s="130"/>
    </row>
    <row r="17516" spans="1:5" x14ac:dyDescent="0.25">
      <c r="A17516" s="1033"/>
      <c r="E17516" s="130"/>
    </row>
    <row r="17517" spans="1:5" x14ac:dyDescent="0.25">
      <c r="A17517" s="1033"/>
      <c r="E17517" s="130"/>
    </row>
    <row r="17518" spans="1:5" x14ac:dyDescent="0.25">
      <c r="A17518" s="1033"/>
      <c r="E17518" s="130"/>
    </row>
    <row r="17519" spans="1:5" x14ac:dyDescent="0.25">
      <c r="A17519" s="1033"/>
      <c r="E17519" s="130"/>
    </row>
    <row r="17520" spans="1:5" x14ac:dyDescent="0.25">
      <c r="A17520" s="1033"/>
      <c r="E17520" s="130"/>
    </row>
    <row r="17521" spans="1:5" x14ac:dyDescent="0.25">
      <c r="A17521" s="1033"/>
      <c r="E17521" s="130"/>
    </row>
    <row r="17522" spans="1:5" x14ac:dyDescent="0.25">
      <c r="A17522" s="1033"/>
      <c r="E17522" s="130"/>
    </row>
    <row r="17523" spans="1:5" x14ac:dyDescent="0.25">
      <c r="A17523" s="1033"/>
      <c r="E17523" s="130"/>
    </row>
    <row r="17524" spans="1:5" x14ac:dyDescent="0.25">
      <c r="A17524" s="1033"/>
      <c r="E17524" s="130"/>
    </row>
    <row r="17525" spans="1:5" x14ac:dyDescent="0.25">
      <c r="A17525" s="1033"/>
      <c r="E17525" s="130"/>
    </row>
    <row r="17526" spans="1:5" x14ac:dyDescent="0.25">
      <c r="A17526" s="1033"/>
      <c r="E17526" s="130"/>
    </row>
    <row r="17527" spans="1:5" x14ac:dyDescent="0.25">
      <c r="A17527" s="1033"/>
      <c r="E17527" s="130"/>
    </row>
    <row r="17528" spans="1:5" x14ac:dyDescent="0.25">
      <c r="A17528" s="1033"/>
      <c r="E17528" s="130"/>
    </row>
    <row r="17529" spans="1:5" x14ac:dyDescent="0.25">
      <c r="A17529" s="1033"/>
      <c r="E17529" s="130"/>
    </row>
    <row r="17530" spans="1:5" x14ac:dyDescent="0.25">
      <c r="A17530" s="1033"/>
      <c r="E17530" s="130"/>
    </row>
    <row r="17531" spans="1:5" x14ac:dyDescent="0.25">
      <c r="A17531" s="1033"/>
      <c r="E17531" s="130"/>
    </row>
    <row r="17532" spans="1:5" x14ac:dyDescent="0.25">
      <c r="A17532" s="1033"/>
      <c r="E17532" s="130"/>
    </row>
    <row r="17533" spans="1:5" x14ac:dyDescent="0.25">
      <c r="A17533" s="1033"/>
      <c r="E17533" s="130"/>
    </row>
    <row r="17534" spans="1:5" x14ac:dyDescent="0.25">
      <c r="A17534" s="1033"/>
      <c r="E17534" s="130"/>
    </row>
    <row r="17535" spans="1:5" x14ac:dyDescent="0.25">
      <c r="A17535" s="1033"/>
      <c r="E17535" s="130"/>
    </row>
    <row r="17536" spans="1:5" x14ac:dyDescent="0.25">
      <c r="A17536" s="1033"/>
      <c r="E17536" s="130"/>
    </row>
    <row r="17537" spans="1:5" x14ac:dyDescent="0.25">
      <c r="A17537" s="1033"/>
      <c r="E17537" s="130"/>
    </row>
    <row r="17538" spans="1:5" x14ac:dyDescent="0.25">
      <c r="A17538" s="1033"/>
      <c r="E17538" s="130"/>
    </row>
    <row r="17539" spans="1:5" x14ac:dyDescent="0.25">
      <c r="A17539" s="1033"/>
      <c r="E17539" s="130"/>
    </row>
    <row r="17540" spans="1:5" x14ac:dyDescent="0.25">
      <c r="A17540" s="1033"/>
      <c r="E17540" s="130"/>
    </row>
    <row r="17541" spans="1:5" x14ac:dyDescent="0.25">
      <c r="A17541" s="1033"/>
      <c r="E17541" s="130"/>
    </row>
    <row r="17542" spans="1:5" x14ac:dyDescent="0.25">
      <c r="A17542" s="1033"/>
      <c r="E17542" s="130"/>
    </row>
    <row r="17543" spans="1:5" x14ac:dyDescent="0.25">
      <c r="A17543" s="1033"/>
      <c r="E17543" s="130"/>
    </row>
    <row r="17544" spans="1:5" x14ac:dyDescent="0.25">
      <c r="A17544" s="1033"/>
      <c r="E17544" s="130"/>
    </row>
    <row r="17545" spans="1:5" x14ac:dyDescent="0.25">
      <c r="A17545" s="1033"/>
      <c r="E17545" s="130"/>
    </row>
    <row r="17546" spans="1:5" x14ac:dyDescent="0.25">
      <c r="A17546" s="1033"/>
      <c r="E17546" s="130"/>
    </row>
    <row r="17547" spans="1:5" x14ac:dyDescent="0.25">
      <c r="A17547" s="1033"/>
      <c r="E17547" s="130"/>
    </row>
    <row r="17548" spans="1:5" x14ac:dyDescent="0.25">
      <c r="A17548" s="1033"/>
      <c r="E17548" s="130"/>
    </row>
    <row r="17549" spans="1:5" x14ac:dyDescent="0.25">
      <c r="A17549" s="1033"/>
      <c r="E17549" s="130"/>
    </row>
    <row r="17550" spans="1:5" x14ac:dyDescent="0.25">
      <c r="A17550" s="1033"/>
      <c r="E17550" s="130"/>
    </row>
    <row r="17551" spans="1:5" x14ac:dyDescent="0.25">
      <c r="A17551" s="1033"/>
      <c r="E17551" s="130"/>
    </row>
    <row r="17552" spans="1:5" x14ac:dyDescent="0.25">
      <c r="A17552" s="1033"/>
      <c r="E17552" s="130"/>
    </row>
    <row r="17553" spans="1:5" x14ac:dyDescent="0.25">
      <c r="A17553" s="1033"/>
      <c r="E17553" s="130"/>
    </row>
    <row r="17554" spans="1:5" x14ac:dyDescent="0.25">
      <c r="A17554" s="1033"/>
      <c r="E17554" s="130"/>
    </row>
    <row r="17555" spans="1:5" x14ac:dyDescent="0.25">
      <c r="A17555" s="1033"/>
      <c r="E17555" s="130"/>
    </row>
    <row r="17556" spans="1:5" x14ac:dyDescent="0.25">
      <c r="A17556" s="1033"/>
      <c r="E17556" s="130"/>
    </row>
    <row r="17557" spans="1:5" x14ac:dyDescent="0.25">
      <c r="A17557" s="1033"/>
      <c r="E17557" s="130"/>
    </row>
    <row r="17558" spans="1:5" x14ac:dyDescent="0.25">
      <c r="A17558" s="1033"/>
      <c r="E17558" s="130"/>
    </row>
    <row r="17559" spans="1:5" x14ac:dyDescent="0.25">
      <c r="A17559" s="1033"/>
      <c r="E17559" s="130"/>
    </row>
    <row r="17560" spans="1:5" x14ac:dyDescent="0.25">
      <c r="A17560" s="1033"/>
      <c r="E17560" s="130"/>
    </row>
    <row r="17561" spans="1:5" x14ac:dyDescent="0.25">
      <c r="A17561" s="1033"/>
      <c r="E17561" s="130"/>
    </row>
    <row r="17562" spans="1:5" x14ac:dyDescent="0.25">
      <c r="A17562" s="1033"/>
      <c r="E17562" s="130"/>
    </row>
    <row r="17563" spans="1:5" x14ac:dyDescent="0.25">
      <c r="A17563" s="1033"/>
      <c r="E17563" s="130"/>
    </row>
    <row r="17564" spans="1:5" x14ac:dyDescent="0.25">
      <c r="A17564" s="1033"/>
      <c r="E17564" s="130"/>
    </row>
    <row r="17565" spans="1:5" x14ac:dyDescent="0.25">
      <c r="A17565" s="1033"/>
      <c r="E17565" s="130"/>
    </row>
    <row r="17566" spans="1:5" x14ac:dyDescent="0.25">
      <c r="A17566" s="1033"/>
      <c r="E17566" s="130"/>
    </row>
    <row r="17567" spans="1:5" x14ac:dyDescent="0.25">
      <c r="A17567" s="1033"/>
      <c r="E17567" s="130"/>
    </row>
    <row r="17568" spans="1:5" x14ac:dyDescent="0.25">
      <c r="A17568" s="1033"/>
      <c r="E17568" s="130"/>
    </row>
    <row r="17569" spans="1:5" x14ac:dyDescent="0.25">
      <c r="A17569" s="1033"/>
      <c r="E17569" s="130"/>
    </row>
    <row r="17570" spans="1:5" x14ac:dyDescent="0.25">
      <c r="A17570" s="1033"/>
      <c r="E17570" s="130"/>
    </row>
    <row r="17571" spans="1:5" x14ac:dyDescent="0.25">
      <c r="A17571" s="1033"/>
      <c r="E17571" s="130"/>
    </row>
    <row r="17572" spans="1:5" x14ac:dyDescent="0.25">
      <c r="A17572" s="1033"/>
      <c r="E17572" s="130"/>
    </row>
    <row r="17573" spans="1:5" x14ac:dyDescent="0.25">
      <c r="A17573" s="1033"/>
      <c r="E17573" s="130"/>
    </row>
    <row r="17574" spans="1:5" x14ac:dyDescent="0.25">
      <c r="A17574" s="1033"/>
      <c r="E17574" s="130"/>
    </row>
    <row r="17575" spans="1:5" x14ac:dyDescent="0.25">
      <c r="A17575" s="1033"/>
      <c r="E17575" s="130"/>
    </row>
    <row r="17576" spans="1:5" x14ac:dyDescent="0.25">
      <c r="A17576" s="1033"/>
      <c r="E17576" s="130"/>
    </row>
    <row r="17577" spans="1:5" x14ac:dyDescent="0.25">
      <c r="A17577" s="1033"/>
      <c r="E17577" s="130"/>
    </row>
    <row r="17578" spans="1:5" x14ac:dyDescent="0.25">
      <c r="A17578" s="1033"/>
      <c r="E17578" s="130"/>
    </row>
    <row r="17579" spans="1:5" x14ac:dyDescent="0.25">
      <c r="A17579" s="1033"/>
      <c r="E17579" s="130"/>
    </row>
    <row r="17580" spans="1:5" x14ac:dyDescent="0.25">
      <c r="A17580" s="1033"/>
      <c r="E17580" s="130"/>
    </row>
    <row r="17581" spans="1:5" x14ac:dyDescent="0.25">
      <c r="A17581" s="1033"/>
      <c r="E17581" s="130"/>
    </row>
    <row r="17582" spans="1:5" x14ac:dyDescent="0.25">
      <c r="A17582" s="1033"/>
      <c r="E17582" s="130"/>
    </row>
    <row r="17583" spans="1:5" x14ac:dyDescent="0.25">
      <c r="A17583" s="1033"/>
      <c r="E17583" s="130"/>
    </row>
    <row r="17584" spans="1:5" x14ac:dyDescent="0.25">
      <c r="A17584" s="1033"/>
      <c r="E17584" s="130"/>
    </row>
    <row r="17585" spans="1:5" x14ac:dyDescent="0.25">
      <c r="A17585" s="1033"/>
      <c r="E17585" s="130"/>
    </row>
    <row r="17586" spans="1:5" x14ac:dyDescent="0.25">
      <c r="A17586" s="1033"/>
      <c r="E17586" s="130"/>
    </row>
    <row r="17587" spans="1:5" x14ac:dyDescent="0.25">
      <c r="A17587" s="1033"/>
      <c r="E17587" s="130"/>
    </row>
    <row r="17588" spans="1:5" x14ac:dyDescent="0.25">
      <c r="A17588" s="1033"/>
      <c r="E17588" s="130"/>
    </row>
    <row r="17589" spans="1:5" x14ac:dyDescent="0.25">
      <c r="A17589" s="1033"/>
      <c r="E17589" s="130"/>
    </row>
    <row r="17590" spans="1:5" x14ac:dyDescent="0.25">
      <c r="A17590" s="1033"/>
      <c r="E17590" s="130"/>
    </row>
    <row r="17591" spans="1:5" x14ac:dyDescent="0.25">
      <c r="A17591" s="1033"/>
      <c r="E17591" s="130"/>
    </row>
    <row r="17592" spans="1:5" x14ac:dyDescent="0.25">
      <c r="A17592" s="1033"/>
      <c r="E17592" s="130"/>
    </row>
    <row r="17593" spans="1:5" x14ac:dyDescent="0.25">
      <c r="A17593" s="1033"/>
      <c r="E17593" s="130"/>
    </row>
    <row r="17594" spans="1:5" x14ac:dyDescent="0.25">
      <c r="A17594" s="1033"/>
      <c r="E17594" s="130"/>
    </row>
    <row r="17595" spans="1:5" x14ac:dyDescent="0.25">
      <c r="A17595" s="1033"/>
      <c r="E17595" s="130"/>
    </row>
    <row r="17596" spans="1:5" x14ac:dyDescent="0.25">
      <c r="A17596" s="1033"/>
      <c r="E17596" s="130"/>
    </row>
    <row r="17597" spans="1:5" x14ac:dyDescent="0.25">
      <c r="A17597" s="1033"/>
      <c r="E17597" s="130"/>
    </row>
    <row r="17598" spans="1:5" x14ac:dyDescent="0.25">
      <c r="A17598" s="1033"/>
      <c r="E17598" s="130"/>
    </row>
    <row r="17599" spans="1:5" x14ac:dyDescent="0.25">
      <c r="A17599" s="1033"/>
      <c r="E17599" s="130"/>
    </row>
    <row r="17600" spans="1:5" x14ac:dyDescent="0.25">
      <c r="A17600" s="1033"/>
      <c r="E17600" s="130"/>
    </row>
    <row r="17601" spans="1:5" x14ac:dyDescent="0.25">
      <c r="A17601" s="1033"/>
      <c r="E17601" s="130"/>
    </row>
    <row r="17602" spans="1:5" x14ac:dyDescent="0.25">
      <c r="A17602" s="1033"/>
      <c r="E17602" s="130"/>
    </row>
    <row r="17603" spans="1:5" x14ac:dyDescent="0.25">
      <c r="A17603" s="1033"/>
      <c r="E17603" s="130"/>
    </row>
    <row r="17604" spans="1:5" x14ac:dyDescent="0.25">
      <c r="A17604" s="1033"/>
      <c r="E17604" s="130"/>
    </row>
    <row r="17605" spans="1:5" x14ac:dyDescent="0.25">
      <c r="A17605" s="1033"/>
      <c r="E17605" s="130"/>
    </row>
    <row r="17606" spans="1:5" x14ac:dyDescent="0.25">
      <c r="A17606" s="1033"/>
      <c r="E17606" s="130"/>
    </row>
    <row r="17607" spans="1:5" x14ac:dyDescent="0.25">
      <c r="A17607" s="1033"/>
      <c r="E17607" s="130"/>
    </row>
    <row r="17608" spans="1:5" x14ac:dyDescent="0.25">
      <c r="A17608" s="1033"/>
      <c r="E17608" s="130"/>
    </row>
    <row r="17609" spans="1:5" x14ac:dyDescent="0.25">
      <c r="A17609" s="1033"/>
      <c r="E17609" s="130"/>
    </row>
    <row r="17610" spans="1:5" x14ac:dyDescent="0.25">
      <c r="A17610" s="1033"/>
      <c r="E17610" s="130"/>
    </row>
    <row r="17611" spans="1:5" x14ac:dyDescent="0.25">
      <c r="A17611" s="1033"/>
      <c r="E17611" s="130"/>
    </row>
    <row r="17612" spans="1:5" x14ac:dyDescent="0.25">
      <c r="A17612" s="1033"/>
      <c r="E17612" s="130"/>
    </row>
    <row r="17613" spans="1:5" x14ac:dyDescent="0.25">
      <c r="A17613" s="1033"/>
      <c r="E17613" s="130"/>
    </row>
    <row r="17614" spans="1:5" x14ac:dyDescent="0.25">
      <c r="A17614" s="1033"/>
      <c r="E17614" s="130"/>
    </row>
    <row r="17615" spans="1:5" x14ac:dyDescent="0.25">
      <c r="A17615" s="1033"/>
      <c r="E17615" s="130"/>
    </row>
    <row r="17616" spans="1:5" x14ac:dyDescent="0.25">
      <c r="A17616" s="1033"/>
      <c r="E17616" s="130"/>
    </row>
    <row r="17617" spans="1:5" x14ac:dyDescent="0.25">
      <c r="A17617" s="1033"/>
      <c r="E17617" s="130"/>
    </row>
    <row r="17618" spans="1:5" x14ac:dyDescent="0.25">
      <c r="A17618" s="1033"/>
      <c r="E17618" s="130"/>
    </row>
    <row r="17619" spans="1:5" x14ac:dyDescent="0.25">
      <c r="A17619" s="1033"/>
      <c r="E17619" s="130"/>
    </row>
    <row r="17620" spans="1:5" x14ac:dyDescent="0.25">
      <c r="A17620" s="1033"/>
      <c r="E17620" s="130"/>
    </row>
    <row r="17621" spans="1:5" x14ac:dyDescent="0.25">
      <c r="A17621" s="1033"/>
      <c r="E17621" s="130"/>
    </row>
    <row r="17622" spans="1:5" x14ac:dyDescent="0.25">
      <c r="A17622" s="1033"/>
      <c r="E17622" s="130"/>
    </row>
    <row r="17623" spans="1:5" x14ac:dyDescent="0.25">
      <c r="A17623" s="1033"/>
      <c r="E17623" s="130"/>
    </row>
    <row r="17624" spans="1:5" x14ac:dyDescent="0.25">
      <c r="A17624" s="1033"/>
      <c r="E17624" s="130"/>
    </row>
    <row r="17625" spans="1:5" x14ac:dyDescent="0.25">
      <c r="A17625" s="1033"/>
      <c r="E17625" s="130"/>
    </row>
    <row r="17626" spans="1:5" x14ac:dyDescent="0.25">
      <c r="A17626" s="1033"/>
      <c r="E17626" s="130"/>
    </row>
    <row r="17627" spans="1:5" x14ac:dyDescent="0.25">
      <c r="A17627" s="1033"/>
      <c r="E17627" s="130"/>
    </row>
    <row r="17628" spans="1:5" x14ac:dyDescent="0.25">
      <c r="A17628" s="1033"/>
      <c r="E17628" s="130"/>
    </row>
    <row r="17629" spans="1:5" x14ac:dyDescent="0.25">
      <c r="A17629" s="1033"/>
      <c r="E17629" s="130"/>
    </row>
    <row r="17630" spans="1:5" x14ac:dyDescent="0.25">
      <c r="A17630" s="1033"/>
      <c r="E17630" s="130"/>
    </row>
    <row r="17631" spans="1:5" x14ac:dyDescent="0.25">
      <c r="A17631" s="1033"/>
      <c r="E17631" s="130"/>
    </row>
    <row r="17632" spans="1:5" x14ac:dyDescent="0.25">
      <c r="A17632" s="1033"/>
      <c r="E17632" s="130"/>
    </row>
    <row r="17633" spans="1:5" x14ac:dyDescent="0.25">
      <c r="A17633" s="1033"/>
      <c r="E17633" s="130"/>
    </row>
    <row r="17634" spans="1:5" x14ac:dyDescent="0.25">
      <c r="A17634" s="1033"/>
      <c r="E17634" s="130"/>
    </row>
    <row r="17635" spans="1:5" x14ac:dyDescent="0.25">
      <c r="A17635" s="1033"/>
      <c r="E17635" s="130"/>
    </row>
    <row r="17636" spans="1:5" x14ac:dyDescent="0.25">
      <c r="A17636" s="1033"/>
      <c r="E17636" s="130"/>
    </row>
    <row r="17637" spans="1:5" x14ac:dyDescent="0.25">
      <c r="A17637" s="1033"/>
      <c r="E17637" s="130"/>
    </row>
    <row r="17638" spans="1:5" x14ac:dyDescent="0.25">
      <c r="A17638" s="1033"/>
      <c r="E17638" s="130"/>
    </row>
    <row r="17639" spans="1:5" x14ac:dyDescent="0.25">
      <c r="A17639" s="1033"/>
      <c r="E17639" s="130"/>
    </row>
    <row r="17640" spans="1:5" x14ac:dyDescent="0.25">
      <c r="A17640" s="1033"/>
      <c r="E17640" s="130"/>
    </row>
    <row r="17641" spans="1:5" x14ac:dyDescent="0.25">
      <c r="A17641" s="1033"/>
      <c r="E17641" s="130"/>
    </row>
    <row r="17642" spans="1:5" x14ac:dyDescent="0.25">
      <c r="A17642" s="1033"/>
      <c r="E17642" s="130"/>
    </row>
    <row r="17643" spans="1:5" x14ac:dyDescent="0.25">
      <c r="A17643" s="1033"/>
      <c r="E17643" s="130"/>
    </row>
    <row r="17644" spans="1:5" x14ac:dyDescent="0.25">
      <c r="A17644" s="1033"/>
      <c r="E17644" s="130"/>
    </row>
    <row r="17645" spans="1:5" x14ac:dyDescent="0.25">
      <c r="A17645" s="1033"/>
      <c r="E17645" s="130"/>
    </row>
    <row r="17646" spans="1:5" x14ac:dyDescent="0.25">
      <c r="A17646" s="1033"/>
      <c r="E17646" s="130"/>
    </row>
    <row r="17647" spans="1:5" x14ac:dyDescent="0.25">
      <c r="A17647" s="1033"/>
      <c r="E17647" s="130"/>
    </row>
    <row r="17648" spans="1:5" x14ac:dyDescent="0.25">
      <c r="A17648" s="1033"/>
      <c r="E17648" s="130"/>
    </row>
    <row r="17649" spans="1:5" x14ac:dyDescent="0.25">
      <c r="A17649" s="1033"/>
      <c r="E17649" s="130"/>
    </row>
    <row r="17650" spans="1:5" x14ac:dyDescent="0.25">
      <c r="A17650" s="1033"/>
      <c r="E17650" s="130"/>
    </row>
    <row r="17651" spans="1:5" x14ac:dyDescent="0.25">
      <c r="A17651" s="1033"/>
      <c r="E17651" s="130"/>
    </row>
    <row r="17652" spans="1:5" x14ac:dyDescent="0.25">
      <c r="A17652" s="1033"/>
      <c r="E17652" s="130"/>
    </row>
    <row r="17653" spans="1:5" x14ac:dyDescent="0.25">
      <c r="A17653" s="1033"/>
      <c r="E17653" s="130"/>
    </row>
    <row r="17654" spans="1:5" x14ac:dyDescent="0.25">
      <c r="A17654" s="1033"/>
      <c r="E17654" s="130"/>
    </row>
    <row r="17655" spans="1:5" x14ac:dyDescent="0.25">
      <c r="A17655" s="1033"/>
      <c r="E17655" s="130"/>
    </row>
    <row r="17656" spans="1:5" x14ac:dyDescent="0.25">
      <c r="A17656" s="1033"/>
      <c r="E17656" s="130"/>
    </row>
    <row r="17657" spans="1:5" x14ac:dyDescent="0.25">
      <c r="A17657" s="1033"/>
      <c r="E17657" s="130"/>
    </row>
    <row r="17658" spans="1:5" x14ac:dyDescent="0.25">
      <c r="A17658" s="1033"/>
      <c r="E17658" s="130"/>
    </row>
    <row r="17659" spans="1:5" x14ac:dyDescent="0.25">
      <c r="A17659" s="1033"/>
      <c r="E17659" s="130"/>
    </row>
    <row r="17660" spans="1:5" x14ac:dyDescent="0.25">
      <c r="A17660" s="1033"/>
      <c r="E17660" s="130"/>
    </row>
    <row r="17661" spans="1:5" x14ac:dyDescent="0.25">
      <c r="A17661" s="1033"/>
      <c r="E17661" s="130"/>
    </row>
    <row r="17662" spans="1:5" x14ac:dyDescent="0.25">
      <c r="A17662" s="1033"/>
      <c r="E17662" s="130"/>
    </row>
    <row r="17663" spans="1:5" x14ac:dyDescent="0.25">
      <c r="A17663" s="1033"/>
      <c r="E17663" s="130"/>
    </row>
    <row r="17664" spans="1:5" x14ac:dyDescent="0.25">
      <c r="A17664" s="1033"/>
      <c r="E17664" s="130"/>
    </row>
    <row r="17665" spans="1:5" x14ac:dyDescent="0.25">
      <c r="A17665" s="1033"/>
      <c r="E17665" s="130"/>
    </row>
    <row r="17666" spans="1:5" x14ac:dyDescent="0.25">
      <c r="A17666" s="1033"/>
      <c r="E17666" s="130"/>
    </row>
    <row r="17667" spans="1:5" x14ac:dyDescent="0.25">
      <c r="A17667" s="1033"/>
      <c r="E17667" s="130"/>
    </row>
    <row r="17668" spans="1:5" x14ac:dyDescent="0.25">
      <c r="A17668" s="1033"/>
      <c r="E17668" s="130"/>
    </row>
    <row r="17669" spans="1:5" x14ac:dyDescent="0.25">
      <c r="A17669" s="1033"/>
      <c r="E17669" s="130"/>
    </row>
    <row r="17670" spans="1:5" x14ac:dyDescent="0.25">
      <c r="A17670" s="1033"/>
      <c r="E17670" s="130"/>
    </row>
    <row r="17671" spans="1:5" x14ac:dyDescent="0.25">
      <c r="A17671" s="1033"/>
      <c r="E17671" s="130"/>
    </row>
    <row r="17672" spans="1:5" x14ac:dyDescent="0.25">
      <c r="A17672" s="1033"/>
      <c r="E17672" s="130"/>
    </row>
    <row r="17673" spans="1:5" x14ac:dyDescent="0.25">
      <c r="A17673" s="1033"/>
      <c r="E17673" s="130"/>
    </row>
    <row r="17674" spans="1:5" x14ac:dyDescent="0.25">
      <c r="A17674" s="1033"/>
      <c r="E17674" s="130"/>
    </row>
    <row r="17675" spans="1:5" x14ac:dyDescent="0.25">
      <c r="A17675" s="1033"/>
      <c r="E17675" s="130"/>
    </row>
    <row r="17676" spans="1:5" x14ac:dyDescent="0.25">
      <c r="A17676" s="1033"/>
      <c r="E17676" s="130"/>
    </row>
    <row r="17677" spans="1:5" x14ac:dyDescent="0.25">
      <c r="A17677" s="1033"/>
      <c r="E17677" s="130"/>
    </row>
    <row r="17678" spans="1:5" x14ac:dyDescent="0.25">
      <c r="A17678" s="1033"/>
      <c r="E17678" s="130"/>
    </row>
    <row r="17679" spans="1:5" x14ac:dyDescent="0.25">
      <c r="A17679" s="1033"/>
      <c r="E17679" s="130"/>
    </row>
    <row r="17680" spans="1:5" x14ac:dyDescent="0.25">
      <c r="A17680" s="1033"/>
      <c r="E17680" s="130"/>
    </row>
    <row r="17681" spans="1:5" x14ac:dyDescent="0.25">
      <c r="A17681" s="1033"/>
      <c r="E17681" s="130"/>
    </row>
    <row r="17682" spans="1:5" x14ac:dyDescent="0.25">
      <c r="A17682" s="1033"/>
      <c r="E17682" s="130"/>
    </row>
    <row r="17683" spans="1:5" x14ac:dyDescent="0.25">
      <c r="A17683" s="1033"/>
      <c r="E17683" s="130"/>
    </row>
    <row r="17684" spans="1:5" x14ac:dyDescent="0.25">
      <c r="A17684" s="1033"/>
      <c r="E17684" s="130"/>
    </row>
    <row r="17685" spans="1:5" x14ac:dyDescent="0.25">
      <c r="A17685" s="1033"/>
      <c r="E17685" s="130"/>
    </row>
    <row r="17686" spans="1:5" x14ac:dyDescent="0.25">
      <c r="A17686" s="1033"/>
      <c r="E17686" s="130"/>
    </row>
    <row r="17687" spans="1:5" x14ac:dyDescent="0.25">
      <c r="A17687" s="1033"/>
      <c r="E17687" s="130"/>
    </row>
    <row r="17688" spans="1:5" x14ac:dyDescent="0.25">
      <c r="A17688" s="1033"/>
      <c r="E17688" s="130"/>
    </row>
    <row r="17689" spans="1:5" x14ac:dyDescent="0.25">
      <c r="A17689" s="1033"/>
      <c r="E17689" s="130"/>
    </row>
    <row r="17690" spans="1:5" x14ac:dyDescent="0.25">
      <c r="A17690" s="1033"/>
      <c r="E17690" s="130"/>
    </row>
    <row r="17691" spans="1:5" x14ac:dyDescent="0.25">
      <c r="A17691" s="1033"/>
      <c r="E17691" s="130"/>
    </row>
    <row r="17692" spans="1:5" x14ac:dyDescent="0.25">
      <c r="A17692" s="1033"/>
      <c r="E17692" s="130"/>
    </row>
    <row r="17693" spans="1:5" x14ac:dyDescent="0.25">
      <c r="A17693" s="1033"/>
      <c r="E17693" s="130"/>
    </row>
    <row r="17694" spans="1:5" x14ac:dyDescent="0.25">
      <c r="A17694" s="1033"/>
      <c r="E17694" s="130"/>
    </row>
    <row r="17695" spans="1:5" x14ac:dyDescent="0.25">
      <c r="A17695" s="1033"/>
      <c r="E17695" s="130"/>
    </row>
    <row r="17696" spans="1:5" x14ac:dyDescent="0.25">
      <c r="A17696" s="1033"/>
      <c r="E17696" s="130"/>
    </row>
    <row r="17697" spans="1:5" x14ac:dyDescent="0.25">
      <c r="A17697" s="1033"/>
      <c r="E17697" s="130"/>
    </row>
    <row r="17698" spans="1:5" x14ac:dyDescent="0.25">
      <c r="A17698" s="1033"/>
      <c r="E17698" s="130"/>
    </row>
    <row r="17699" spans="1:5" x14ac:dyDescent="0.25">
      <c r="A17699" s="1033"/>
      <c r="E17699" s="130"/>
    </row>
    <row r="17700" spans="1:5" x14ac:dyDescent="0.25">
      <c r="A17700" s="1033"/>
      <c r="E17700" s="130"/>
    </row>
    <row r="17701" spans="1:5" x14ac:dyDescent="0.25">
      <c r="A17701" s="1033"/>
      <c r="E17701" s="130"/>
    </row>
    <row r="17702" spans="1:5" x14ac:dyDescent="0.25">
      <c r="A17702" s="1033"/>
      <c r="E17702" s="130"/>
    </row>
    <row r="17703" spans="1:5" x14ac:dyDescent="0.25">
      <c r="A17703" s="1033"/>
      <c r="E17703" s="130"/>
    </row>
    <row r="17704" spans="1:5" x14ac:dyDescent="0.25">
      <c r="A17704" s="1033"/>
      <c r="E17704" s="130"/>
    </row>
    <row r="17705" spans="1:5" x14ac:dyDescent="0.25">
      <c r="A17705" s="1033"/>
      <c r="E17705" s="130"/>
    </row>
    <row r="17706" spans="1:5" x14ac:dyDescent="0.25">
      <c r="A17706" s="1033"/>
      <c r="E17706" s="130"/>
    </row>
    <row r="17707" spans="1:5" x14ac:dyDescent="0.25">
      <c r="A17707" s="1033"/>
      <c r="E17707" s="130"/>
    </row>
    <row r="17708" spans="1:5" x14ac:dyDescent="0.25">
      <c r="A17708" s="1033"/>
      <c r="E17708" s="130"/>
    </row>
    <row r="17709" spans="1:5" x14ac:dyDescent="0.25">
      <c r="A17709" s="1033"/>
      <c r="E17709" s="130"/>
    </row>
    <row r="17710" spans="1:5" x14ac:dyDescent="0.25">
      <c r="A17710" s="1033"/>
      <c r="E17710" s="130"/>
    </row>
    <row r="17711" spans="1:5" x14ac:dyDescent="0.25">
      <c r="A17711" s="1033"/>
      <c r="E17711" s="130"/>
    </row>
    <row r="17712" spans="1:5" x14ac:dyDescent="0.25">
      <c r="A17712" s="1033"/>
      <c r="E17712" s="130"/>
    </row>
    <row r="17713" spans="1:5" x14ac:dyDescent="0.25">
      <c r="A17713" s="1033"/>
      <c r="E17713" s="130"/>
    </row>
    <row r="17714" spans="1:5" x14ac:dyDescent="0.25">
      <c r="A17714" s="1033"/>
      <c r="E17714" s="130"/>
    </row>
    <row r="17715" spans="1:5" x14ac:dyDescent="0.25">
      <c r="A17715" s="1033"/>
      <c r="E17715" s="130"/>
    </row>
    <row r="17716" spans="1:5" x14ac:dyDescent="0.25">
      <c r="A17716" s="1033"/>
      <c r="E17716" s="130"/>
    </row>
    <row r="17717" spans="1:5" x14ac:dyDescent="0.25">
      <c r="A17717" s="1033"/>
      <c r="E17717" s="130"/>
    </row>
    <row r="17718" spans="1:5" x14ac:dyDescent="0.25">
      <c r="A17718" s="1033"/>
      <c r="E17718" s="130"/>
    </row>
    <row r="17719" spans="1:5" x14ac:dyDescent="0.25">
      <c r="A17719" s="1033"/>
      <c r="E17719" s="130"/>
    </row>
    <row r="17720" spans="1:5" x14ac:dyDescent="0.25">
      <c r="A17720" s="1033"/>
      <c r="E17720" s="130"/>
    </row>
    <row r="17721" spans="1:5" x14ac:dyDescent="0.25">
      <c r="A17721" s="1033"/>
      <c r="E17721" s="130"/>
    </row>
    <row r="17722" spans="1:5" x14ac:dyDescent="0.25">
      <c r="A17722" s="1033"/>
      <c r="E17722" s="130"/>
    </row>
    <row r="17723" spans="1:5" x14ac:dyDescent="0.25">
      <c r="A17723" s="1033"/>
      <c r="E17723" s="130"/>
    </row>
    <row r="17724" spans="1:5" x14ac:dyDescent="0.25">
      <c r="A17724" s="1033"/>
      <c r="E17724" s="130"/>
    </row>
    <row r="17725" spans="1:5" x14ac:dyDescent="0.25">
      <c r="A17725" s="1033"/>
      <c r="E17725" s="130"/>
    </row>
    <row r="17726" spans="1:5" x14ac:dyDescent="0.25">
      <c r="A17726" s="1033"/>
      <c r="E17726" s="130"/>
    </row>
    <row r="17727" spans="1:5" x14ac:dyDescent="0.25">
      <c r="A17727" s="1033"/>
      <c r="E17727" s="130"/>
    </row>
    <row r="17728" spans="1:5" x14ac:dyDescent="0.25">
      <c r="A17728" s="1033"/>
      <c r="E17728" s="130"/>
    </row>
    <row r="17729" spans="1:5" x14ac:dyDescent="0.25">
      <c r="A17729" s="1033"/>
      <c r="E17729" s="130"/>
    </row>
    <row r="17730" spans="1:5" x14ac:dyDescent="0.25">
      <c r="A17730" s="1033"/>
      <c r="E17730" s="130"/>
    </row>
    <row r="17731" spans="1:5" x14ac:dyDescent="0.25">
      <c r="A17731" s="1033"/>
      <c r="E17731" s="130"/>
    </row>
    <row r="17732" spans="1:5" x14ac:dyDescent="0.25">
      <c r="A17732" s="1033"/>
      <c r="E17732" s="130"/>
    </row>
    <row r="17733" spans="1:5" x14ac:dyDescent="0.25">
      <c r="A17733" s="1033"/>
      <c r="E17733" s="130"/>
    </row>
    <row r="17734" spans="1:5" x14ac:dyDescent="0.25">
      <c r="A17734" s="1033"/>
      <c r="E17734" s="130"/>
    </row>
    <row r="17735" spans="1:5" x14ac:dyDescent="0.25">
      <c r="A17735" s="1033"/>
      <c r="E17735" s="130"/>
    </row>
    <row r="17736" spans="1:5" x14ac:dyDescent="0.25">
      <c r="A17736" s="1033"/>
      <c r="E17736" s="130"/>
    </row>
    <row r="17737" spans="1:5" x14ac:dyDescent="0.25">
      <c r="A17737" s="1033"/>
      <c r="E17737" s="130"/>
    </row>
    <row r="17738" spans="1:5" x14ac:dyDescent="0.25">
      <c r="A17738" s="1033"/>
      <c r="E17738" s="130"/>
    </row>
    <row r="17739" spans="1:5" x14ac:dyDescent="0.25">
      <c r="A17739" s="1033"/>
      <c r="E17739" s="130"/>
    </row>
    <row r="17740" spans="1:5" x14ac:dyDescent="0.25">
      <c r="A17740" s="1033"/>
      <c r="E17740" s="130"/>
    </row>
    <row r="17741" spans="1:5" x14ac:dyDescent="0.25">
      <c r="A17741" s="1033"/>
      <c r="E17741" s="130"/>
    </row>
    <row r="17742" spans="1:5" x14ac:dyDescent="0.25">
      <c r="A17742" s="1033"/>
      <c r="E17742" s="130"/>
    </row>
    <row r="17743" spans="1:5" x14ac:dyDescent="0.25">
      <c r="A17743" s="1033"/>
      <c r="E17743" s="130"/>
    </row>
    <row r="17744" spans="1:5" x14ac:dyDescent="0.25">
      <c r="A17744" s="1033"/>
      <c r="E17744" s="130"/>
    </row>
    <row r="17745" spans="1:5" x14ac:dyDescent="0.25">
      <c r="A17745" s="1033"/>
      <c r="E17745" s="130"/>
    </row>
    <row r="17746" spans="1:5" x14ac:dyDescent="0.25">
      <c r="A17746" s="1033"/>
      <c r="E17746" s="130"/>
    </row>
    <row r="17747" spans="1:5" x14ac:dyDescent="0.25">
      <c r="A17747" s="1033"/>
      <c r="E17747" s="130"/>
    </row>
    <row r="17748" spans="1:5" x14ac:dyDescent="0.25">
      <c r="A17748" s="1033"/>
      <c r="E17748" s="130"/>
    </row>
    <row r="17749" spans="1:5" x14ac:dyDescent="0.25">
      <c r="A17749" s="1033"/>
      <c r="E17749" s="130"/>
    </row>
    <row r="17750" spans="1:5" x14ac:dyDescent="0.25">
      <c r="A17750" s="1033"/>
      <c r="E17750" s="130"/>
    </row>
    <row r="17751" spans="1:5" x14ac:dyDescent="0.25">
      <c r="A17751" s="1033"/>
      <c r="E17751" s="130"/>
    </row>
    <row r="17752" spans="1:5" x14ac:dyDescent="0.25">
      <c r="A17752" s="1033"/>
      <c r="E17752" s="130"/>
    </row>
    <row r="17753" spans="1:5" x14ac:dyDescent="0.25">
      <c r="A17753" s="1033"/>
      <c r="E17753" s="130"/>
    </row>
    <row r="17754" spans="1:5" x14ac:dyDescent="0.25">
      <c r="A17754" s="1033"/>
      <c r="E17754" s="130"/>
    </row>
    <row r="17755" spans="1:5" x14ac:dyDescent="0.25">
      <c r="A17755" s="1033"/>
      <c r="E17755" s="130"/>
    </row>
    <row r="17756" spans="1:5" x14ac:dyDescent="0.25">
      <c r="A17756" s="1033"/>
      <c r="E17756" s="130"/>
    </row>
    <row r="17757" spans="1:5" x14ac:dyDescent="0.25">
      <c r="A17757" s="1033"/>
      <c r="E17757" s="130"/>
    </row>
    <row r="17758" spans="1:5" x14ac:dyDescent="0.25">
      <c r="A17758" s="1033"/>
      <c r="E17758" s="130"/>
    </row>
    <row r="17759" spans="1:5" x14ac:dyDescent="0.25">
      <c r="A17759" s="1033"/>
      <c r="E17759" s="130"/>
    </row>
    <row r="17760" spans="1:5" x14ac:dyDescent="0.25">
      <c r="A17760" s="1033"/>
      <c r="E17760" s="130"/>
    </row>
    <row r="17761" spans="1:5" x14ac:dyDescent="0.25">
      <c r="A17761" s="1033"/>
      <c r="E17761" s="130"/>
    </row>
    <row r="17762" spans="1:5" x14ac:dyDescent="0.25">
      <c r="A17762" s="1033"/>
      <c r="E17762" s="130"/>
    </row>
    <row r="17763" spans="1:5" x14ac:dyDescent="0.25">
      <c r="A17763" s="1033"/>
      <c r="E17763" s="130"/>
    </row>
    <row r="17764" spans="1:5" x14ac:dyDescent="0.25">
      <c r="A17764" s="1033"/>
      <c r="E17764" s="130"/>
    </row>
    <row r="17765" spans="1:5" x14ac:dyDescent="0.25">
      <c r="A17765" s="1033"/>
      <c r="E17765" s="130"/>
    </row>
    <row r="17766" spans="1:5" x14ac:dyDescent="0.25">
      <c r="A17766" s="1033"/>
      <c r="E17766" s="130"/>
    </row>
    <row r="17767" spans="1:5" x14ac:dyDescent="0.25">
      <c r="A17767" s="1033"/>
      <c r="E17767" s="130"/>
    </row>
    <row r="17768" spans="1:5" x14ac:dyDescent="0.25">
      <c r="A17768" s="1033"/>
      <c r="E17768" s="130"/>
    </row>
    <row r="17769" spans="1:5" x14ac:dyDescent="0.25">
      <c r="A17769" s="1033"/>
      <c r="E17769" s="130"/>
    </row>
    <row r="17770" spans="1:5" x14ac:dyDescent="0.25">
      <c r="A17770" s="1033"/>
      <c r="E17770" s="130"/>
    </row>
    <row r="17771" spans="1:5" x14ac:dyDescent="0.25">
      <c r="A17771" s="1033"/>
      <c r="E17771" s="130"/>
    </row>
    <row r="17772" spans="1:5" x14ac:dyDescent="0.25">
      <c r="A17772" s="1033"/>
      <c r="E17772" s="130"/>
    </row>
    <row r="17773" spans="1:5" x14ac:dyDescent="0.25">
      <c r="A17773" s="1033"/>
      <c r="E17773" s="130"/>
    </row>
    <row r="17774" spans="1:5" x14ac:dyDescent="0.25">
      <c r="A17774" s="1033"/>
      <c r="E17774" s="130"/>
    </row>
    <row r="17775" spans="1:5" x14ac:dyDescent="0.25">
      <c r="A17775" s="1033"/>
      <c r="E17775" s="130"/>
    </row>
    <row r="17776" spans="1:5" x14ac:dyDescent="0.25">
      <c r="A17776" s="1033"/>
      <c r="E17776" s="130"/>
    </row>
    <row r="17777" spans="1:5" x14ac:dyDescent="0.25">
      <c r="A17777" s="1033"/>
      <c r="E17777" s="130"/>
    </row>
    <row r="17778" spans="1:5" x14ac:dyDescent="0.25">
      <c r="A17778" s="1033"/>
      <c r="E17778" s="130"/>
    </row>
    <row r="17779" spans="1:5" x14ac:dyDescent="0.25">
      <c r="A17779" s="1033"/>
      <c r="E17779" s="130"/>
    </row>
    <row r="17780" spans="1:5" x14ac:dyDescent="0.25">
      <c r="A17780" s="1033"/>
      <c r="E17780" s="130"/>
    </row>
    <row r="17781" spans="1:5" x14ac:dyDescent="0.25">
      <c r="A17781" s="1033"/>
      <c r="E17781" s="130"/>
    </row>
    <row r="17782" spans="1:5" x14ac:dyDescent="0.25">
      <c r="A17782" s="1033"/>
      <c r="E17782" s="130"/>
    </row>
    <row r="17783" spans="1:5" x14ac:dyDescent="0.25">
      <c r="A17783" s="1033"/>
      <c r="E17783" s="130"/>
    </row>
    <row r="17784" spans="1:5" x14ac:dyDescent="0.25">
      <c r="A17784" s="1033"/>
      <c r="E17784" s="130"/>
    </row>
    <row r="17785" spans="1:5" x14ac:dyDescent="0.25">
      <c r="A17785" s="1033"/>
      <c r="E17785" s="130"/>
    </row>
    <row r="17786" spans="1:5" x14ac:dyDescent="0.25">
      <c r="A17786" s="1033"/>
      <c r="E17786" s="130"/>
    </row>
    <row r="17787" spans="1:5" x14ac:dyDescent="0.25">
      <c r="A17787" s="1033"/>
      <c r="E17787" s="130"/>
    </row>
    <row r="17788" spans="1:5" x14ac:dyDescent="0.25">
      <c r="A17788" s="1033"/>
      <c r="E17788" s="130"/>
    </row>
    <row r="17789" spans="1:5" x14ac:dyDescent="0.25">
      <c r="A17789" s="1033"/>
      <c r="E17789" s="130"/>
    </row>
    <row r="17790" spans="1:5" x14ac:dyDescent="0.25">
      <c r="A17790" s="1033"/>
      <c r="E17790" s="130"/>
    </row>
    <row r="17791" spans="1:5" x14ac:dyDescent="0.25">
      <c r="A17791" s="1033"/>
      <c r="E17791" s="130"/>
    </row>
    <row r="17792" spans="1:5" x14ac:dyDescent="0.25">
      <c r="A17792" s="1033"/>
      <c r="E17792" s="130"/>
    </row>
    <row r="17793" spans="1:5" x14ac:dyDescent="0.25">
      <c r="A17793" s="1033"/>
      <c r="E17793" s="130"/>
    </row>
    <row r="17794" spans="1:5" x14ac:dyDescent="0.25">
      <c r="A17794" s="1033"/>
      <c r="E17794" s="130"/>
    </row>
    <row r="17795" spans="1:5" x14ac:dyDescent="0.25">
      <c r="A17795" s="1033"/>
      <c r="E17795" s="130"/>
    </row>
    <row r="17796" spans="1:5" x14ac:dyDescent="0.25">
      <c r="A17796" s="1033"/>
      <c r="E17796" s="130"/>
    </row>
    <row r="17797" spans="1:5" x14ac:dyDescent="0.25">
      <c r="A17797" s="1033"/>
      <c r="E17797" s="130"/>
    </row>
    <row r="17798" spans="1:5" x14ac:dyDescent="0.25">
      <c r="A17798" s="1033"/>
      <c r="E17798" s="130"/>
    </row>
    <row r="17799" spans="1:5" x14ac:dyDescent="0.25">
      <c r="A17799" s="1033"/>
      <c r="E17799" s="130"/>
    </row>
    <row r="17800" spans="1:5" x14ac:dyDescent="0.25">
      <c r="A17800" s="1033"/>
      <c r="E17800" s="130"/>
    </row>
    <row r="17801" spans="1:5" x14ac:dyDescent="0.25">
      <c r="A17801" s="1033"/>
      <c r="E17801" s="130"/>
    </row>
    <row r="17802" spans="1:5" x14ac:dyDescent="0.25">
      <c r="A17802" s="1033"/>
      <c r="E17802" s="130"/>
    </row>
    <row r="17803" spans="1:5" x14ac:dyDescent="0.25">
      <c r="A17803" s="1033"/>
      <c r="E17803" s="130"/>
    </row>
    <row r="17804" spans="1:5" x14ac:dyDescent="0.25">
      <c r="A17804" s="1033"/>
      <c r="E17804" s="130"/>
    </row>
    <row r="17805" spans="1:5" x14ac:dyDescent="0.25">
      <c r="A17805" s="1033"/>
      <c r="E17805" s="130"/>
    </row>
    <row r="17806" spans="1:5" x14ac:dyDescent="0.25">
      <c r="A17806" s="1033"/>
      <c r="E17806" s="130"/>
    </row>
    <row r="17807" spans="1:5" x14ac:dyDescent="0.25">
      <c r="A17807" s="1033"/>
      <c r="E17807" s="130"/>
    </row>
    <row r="17808" spans="1:5" x14ac:dyDescent="0.25">
      <c r="A17808" s="1033"/>
      <c r="E17808" s="130"/>
    </row>
    <row r="17809" spans="1:5" x14ac:dyDescent="0.25">
      <c r="A17809" s="1033"/>
      <c r="E17809" s="130"/>
    </row>
    <row r="17810" spans="1:5" x14ac:dyDescent="0.25">
      <c r="A17810" s="1033"/>
      <c r="E17810" s="130"/>
    </row>
    <row r="17811" spans="1:5" x14ac:dyDescent="0.25">
      <c r="A17811" s="1033"/>
      <c r="E17811" s="130"/>
    </row>
    <row r="17812" spans="1:5" x14ac:dyDescent="0.25">
      <c r="A17812" s="1033"/>
      <c r="E17812" s="130"/>
    </row>
    <row r="17813" spans="1:5" x14ac:dyDescent="0.25">
      <c r="A17813" s="1033"/>
      <c r="E17813" s="130"/>
    </row>
    <row r="17814" spans="1:5" x14ac:dyDescent="0.25">
      <c r="A17814" s="1033"/>
      <c r="E17814" s="130"/>
    </row>
    <row r="17815" spans="1:5" x14ac:dyDescent="0.25">
      <c r="A17815" s="1033"/>
      <c r="E17815" s="130"/>
    </row>
    <row r="17816" spans="1:5" x14ac:dyDescent="0.25">
      <c r="A17816" s="1033"/>
      <c r="E17816" s="130"/>
    </row>
    <row r="17817" spans="1:5" x14ac:dyDescent="0.25">
      <c r="A17817" s="1033"/>
      <c r="E17817" s="130"/>
    </row>
    <row r="17818" spans="1:5" x14ac:dyDescent="0.25">
      <c r="A17818" s="1033"/>
      <c r="E17818" s="130"/>
    </row>
    <row r="17819" spans="1:5" x14ac:dyDescent="0.25">
      <c r="A17819" s="1033"/>
      <c r="E17819" s="130"/>
    </row>
    <row r="17820" spans="1:5" x14ac:dyDescent="0.25">
      <c r="A17820" s="1033"/>
      <c r="E17820" s="130"/>
    </row>
    <row r="17821" spans="1:5" x14ac:dyDescent="0.25">
      <c r="A17821" s="1033"/>
      <c r="E17821" s="130"/>
    </row>
    <row r="17822" spans="1:5" x14ac:dyDescent="0.25">
      <c r="A17822" s="1033"/>
      <c r="E17822" s="130"/>
    </row>
    <row r="17823" spans="1:5" x14ac:dyDescent="0.25">
      <c r="A17823" s="1033"/>
      <c r="E17823" s="130"/>
    </row>
    <row r="17824" spans="1:5" x14ac:dyDescent="0.25">
      <c r="A17824" s="1033"/>
      <c r="E17824" s="130"/>
    </row>
    <row r="17825" spans="1:5" x14ac:dyDescent="0.25">
      <c r="A17825" s="1033"/>
      <c r="E17825" s="130"/>
    </row>
    <row r="17826" spans="1:5" x14ac:dyDescent="0.25">
      <c r="A17826" s="1033"/>
      <c r="E17826" s="130"/>
    </row>
    <row r="17827" spans="1:5" x14ac:dyDescent="0.25">
      <c r="A17827" s="1033"/>
      <c r="E17827" s="130"/>
    </row>
    <row r="17828" spans="1:5" x14ac:dyDescent="0.25">
      <c r="A17828" s="1033"/>
      <c r="E17828" s="130"/>
    </row>
    <row r="17829" spans="1:5" x14ac:dyDescent="0.25">
      <c r="A17829" s="1033"/>
      <c r="E17829" s="130"/>
    </row>
    <row r="17830" spans="1:5" x14ac:dyDescent="0.25">
      <c r="A17830" s="1033"/>
      <c r="E17830" s="130"/>
    </row>
    <row r="17831" spans="1:5" x14ac:dyDescent="0.25">
      <c r="A17831" s="1033"/>
      <c r="E17831" s="130"/>
    </row>
    <row r="17832" spans="1:5" x14ac:dyDescent="0.25">
      <c r="A17832" s="1033"/>
      <c r="E17832" s="130"/>
    </row>
    <row r="17833" spans="1:5" x14ac:dyDescent="0.25">
      <c r="A17833" s="1033"/>
      <c r="E17833" s="130"/>
    </row>
    <row r="17834" spans="1:5" x14ac:dyDescent="0.25">
      <c r="A17834" s="1033"/>
      <c r="E17834" s="130"/>
    </row>
    <row r="17835" spans="1:5" x14ac:dyDescent="0.25">
      <c r="A17835" s="1033"/>
      <c r="E17835" s="130"/>
    </row>
    <row r="17836" spans="1:5" x14ac:dyDescent="0.25">
      <c r="A17836" s="1033"/>
      <c r="E17836" s="130"/>
    </row>
    <row r="17837" spans="1:5" x14ac:dyDescent="0.25">
      <c r="A17837" s="1033"/>
      <c r="E17837" s="130"/>
    </row>
    <row r="17838" spans="1:5" x14ac:dyDescent="0.25">
      <c r="A17838" s="1033"/>
      <c r="E17838" s="130"/>
    </row>
    <row r="17839" spans="1:5" x14ac:dyDescent="0.25">
      <c r="A17839" s="1033"/>
      <c r="E17839" s="130"/>
    </row>
    <row r="17840" spans="1:5" x14ac:dyDescent="0.25">
      <c r="A17840" s="1033"/>
      <c r="E17840" s="130"/>
    </row>
    <row r="17841" spans="1:5" x14ac:dyDescent="0.25">
      <c r="A17841" s="1033"/>
      <c r="E17841" s="130"/>
    </row>
    <row r="17842" spans="1:5" x14ac:dyDescent="0.25">
      <c r="A17842" s="1033"/>
      <c r="E17842" s="130"/>
    </row>
    <row r="17843" spans="1:5" x14ac:dyDescent="0.25">
      <c r="A17843" s="1033"/>
      <c r="E17843" s="130"/>
    </row>
    <row r="17844" spans="1:5" x14ac:dyDescent="0.25">
      <c r="A17844" s="1033"/>
      <c r="E17844" s="130"/>
    </row>
    <row r="17845" spans="1:5" x14ac:dyDescent="0.25">
      <c r="A17845" s="1033"/>
      <c r="E17845" s="130"/>
    </row>
    <row r="17846" spans="1:5" x14ac:dyDescent="0.25">
      <c r="A17846" s="1033"/>
      <c r="E17846" s="130"/>
    </row>
    <row r="17847" spans="1:5" x14ac:dyDescent="0.25">
      <c r="A17847" s="1033"/>
      <c r="E17847" s="130"/>
    </row>
    <row r="17848" spans="1:5" x14ac:dyDescent="0.25">
      <c r="A17848" s="1033"/>
      <c r="E17848" s="130"/>
    </row>
    <row r="17849" spans="1:5" x14ac:dyDescent="0.25">
      <c r="A17849" s="1033"/>
      <c r="E17849" s="130"/>
    </row>
    <row r="17850" spans="1:5" x14ac:dyDescent="0.25">
      <c r="A17850" s="1033"/>
      <c r="E17850" s="130"/>
    </row>
    <row r="17851" spans="1:5" x14ac:dyDescent="0.25">
      <c r="A17851" s="1033"/>
      <c r="E17851" s="130"/>
    </row>
    <row r="17852" spans="1:5" x14ac:dyDescent="0.25">
      <c r="A17852" s="1033"/>
      <c r="E17852" s="130"/>
    </row>
    <row r="17853" spans="1:5" x14ac:dyDescent="0.25">
      <c r="A17853" s="1033"/>
      <c r="E17853" s="130"/>
    </row>
    <row r="17854" spans="1:5" x14ac:dyDescent="0.25">
      <c r="A17854" s="1033"/>
      <c r="E17854" s="130"/>
    </row>
    <row r="17855" spans="1:5" x14ac:dyDescent="0.25">
      <c r="A17855" s="1033"/>
      <c r="E17855" s="130"/>
    </row>
    <row r="17856" spans="1:5" x14ac:dyDescent="0.25">
      <c r="A17856" s="1033"/>
      <c r="E17856" s="130"/>
    </row>
    <row r="17857" spans="1:5" x14ac:dyDescent="0.25">
      <c r="A17857" s="1033"/>
      <c r="E17857" s="130"/>
    </row>
    <row r="17858" spans="1:5" x14ac:dyDescent="0.25">
      <c r="A17858" s="1033"/>
      <c r="E17858" s="130"/>
    </row>
    <row r="17859" spans="1:5" x14ac:dyDescent="0.25">
      <c r="A17859" s="1033"/>
      <c r="E17859" s="130"/>
    </row>
    <row r="17860" spans="1:5" x14ac:dyDescent="0.25">
      <c r="A17860" s="1033"/>
      <c r="E17860" s="130"/>
    </row>
    <row r="17861" spans="1:5" x14ac:dyDescent="0.25">
      <c r="A17861" s="1033"/>
      <c r="E17861" s="130"/>
    </row>
    <row r="17862" spans="1:5" x14ac:dyDescent="0.25">
      <c r="A17862" s="1033"/>
      <c r="E17862" s="130"/>
    </row>
    <row r="17863" spans="1:5" x14ac:dyDescent="0.25">
      <c r="A17863" s="1033"/>
      <c r="E17863" s="130"/>
    </row>
    <row r="17864" spans="1:5" x14ac:dyDescent="0.25">
      <c r="A17864" s="1033"/>
      <c r="E17864" s="130"/>
    </row>
    <row r="17865" spans="1:5" x14ac:dyDescent="0.25">
      <c r="A17865" s="1033"/>
      <c r="E17865" s="130"/>
    </row>
    <row r="17866" spans="1:5" x14ac:dyDescent="0.25">
      <c r="A17866" s="1033"/>
      <c r="E17866" s="130"/>
    </row>
    <row r="17867" spans="1:5" x14ac:dyDescent="0.25">
      <c r="A17867" s="1033"/>
      <c r="E17867" s="130"/>
    </row>
    <row r="17868" spans="1:5" x14ac:dyDescent="0.25">
      <c r="A17868" s="1033"/>
      <c r="E17868" s="130"/>
    </row>
    <row r="17869" spans="1:5" x14ac:dyDescent="0.25">
      <c r="A17869" s="1033"/>
      <c r="E17869" s="130"/>
    </row>
    <row r="17870" spans="1:5" x14ac:dyDescent="0.25">
      <c r="A17870" s="1033"/>
      <c r="E17870" s="130"/>
    </row>
    <row r="17871" spans="1:5" x14ac:dyDescent="0.25">
      <c r="A17871" s="1033"/>
      <c r="E17871" s="130"/>
    </row>
    <row r="17872" spans="1:5" x14ac:dyDescent="0.25">
      <c r="A17872" s="1033"/>
      <c r="E17872" s="130"/>
    </row>
    <row r="17873" spans="1:5" x14ac:dyDescent="0.25">
      <c r="A17873" s="1033"/>
      <c r="E17873" s="130"/>
    </row>
    <row r="17874" spans="1:5" x14ac:dyDescent="0.25">
      <c r="A17874" s="1033"/>
      <c r="E17874" s="130"/>
    </row>
    <row r="17875" spans="1:5" x14ac:dyDescent="0.25">
      <c r="A17875" s="1033"/>
      <c r="E17875" s="130"/>
    </row>
    <row r="17876" spans="1:5" x14ac:dyDescent="0.25">
      <c r="A17876" s="1033"/>
      <c r="E17876" s="130"/>
    </row>
    <row r="17877" spans="1:5" x14ac:dyDescent="0.25">
      <c r="A17877" s="1033"/>
      <c r="E17877" s="130"/>
    </row>
    <row r="17878" spans="1:5" x14ac:dyDescent="0.25">
      <c r="A17878" s="1033"/>
      <c r="E17878" s="130"/>
    </row>
    <row r="17879" spans="1:5" x14ac:dyDescent="0.25">
      <c r="A17879" s="1033"/>
      <c r="E17879" s="130"/>
    </row>
    <row r="17880" spans="1:5" x14ac:dyDescent="0.25">
      <c r="A17880" s="1033"/>
      <c r="E17880" s="130"/>
    </row>
    <row r="17881" spans="1:5" x14ac:dyDescent="0.25">
      <c r="A17881" s="1033"/>
      <c r="E17881" s="130"/>
    </row>
    <row r="17882" spans="1:5" x14ac:dyDescent="0.25">
      <c r="A17882" s="1033"/>
      <c r="E17882" s="130"/>
    </row>
    <row r="17883" spans="1:5" x14ac:dyDescent="0.25">
      <c r="A17883" s="1033"/>
      <c r="E17883" s="130"/>
    </row>
    <row r="17884" spans="1:5" x14ac:dyDescent="0.25">
      <c r="A17884" s="1033"/>
      <c r="E17884" s="130"/>
    </row>
    <row r="17885" spans="1:5" x14ac:dyDescent="0.25">
      <c r="A17885" s="1033"/>
      <c r="E17885" s="130"/>
    </row>
    <row r="17886" spans="1:5" x14ac:dyDescent="0.25">
      <c r="A17886" s="1033"/>
      <c r="E17886" s="130"/>
    </row>
    <row r="17887" spans="1:5" x14ac:dyDescent="0.25">
      <c r="A17887" s="1033"/>
      <c r="E17887" s="130"/>
    </row>
    <row r="17888" spans="1:5" x14ac:dyDescent="0.25">
      <c r="A17888" s="1033"/>
      <c r="E17888" s="130"/>
    </row>
    <row r="17889" spans="1:5" x14ac:dyDescent="0.25">
      <c r="A17889" s="1033"/>
      <c r="E17889" s="130"/>
    </row>
    <row r="17890" spans="1:5" x14ac:dyDescent="0.25">
      <c r="A17890" s="1033"/>
      <c r="E17890" s="130"/>
    </row>
    <row r="17891" spans="1:5" x14ac:dyDescent="0.25">
      <c r="A17891" s="1033"/>
      <c r="E17891" s="130"/>
    </row>
    <row r="17892" spans="1:5" x14ac:dyDescent="0.25">
      <c r="A17892" s="1033"/>
      <c r="E17892" s="130"/>
    </row>
    <row r="17893" spans="1:5" x14ac:dyDescent="0.25">
      <c r="A17893" s="1033"/>
      <c r="E17893" s="130"/>
    </row>
    <row r="17894" spans="1:5" x14ac:dyDescent="0.25">
      <c r="A17894" s="1033"/>
      <c r="E17894" s="130"/>
    </row>
    <row r="17895" spans="1:5" x14ac:dyDescent="0.25">
      <c r="A17895" s="1033"/>
      <c r="E17895" s="130"/>
    </row>
    <row r="17896" spans="1:5" x14ac:dyDescent="0.25">
      <c r="A17896" s="1033"/>
      <c r="E17896" s="130"/>
    </row>
    <row r="17897" spans="1:5" x14ac:dyDescent="0.25">
      <c r="A17897" s="1033"/>
      <c r="E17897" s="130"/>
    </row>
    <row r="17898" spans="1:5" x14ac:dyDescent="0.25">
      <c r="A17898" s="1033"/>
      <c r="E17898" s="130"/>
    </row>
    <row r="17899" spans="1:5" x14ac:dyDescent="0.25">
      <c r="A17899" s="1033"/>
      <c r="E17899" s="130"/>
    </row>
    <row r="17900" spans="1:5" x14ac:dyDescent="0.25">
      <c r="A17900" s="1033"/>
      <c r="E17900" s="130"/>
    </row>
    <row r="17901" spans="1:5" x14ac:dyDescent="0.25">
      <c r="A17901" s="1033"/>
      <c r="E17901" s="130"/>
    </row>
    <row r="17902" spans="1:5" x14ac:dyDescent="0.25">
      <c r="A17902" s="1033"/>
      <c r="E17902" s="130"/>
    </row>
    <row r="17903" spans="1:5" x14ac:dyDescent="0.25">
      <c r="A17903" s="1033"/>
      <c r="E17903" s="130"/>
    </row>
    <row r="17904" spans="1:5" x14ac:dyDescent="0.25">
      <c r="A17904" s="1033"/>
      <c r="E17904" s="130"/>
    </row>
    <row r="17905" spans="1:5" x14ac:dyDescent="0.25">
      <c r="A17905" s="1033"/>
      <c r="E17905" s="130"/>
    </row>
    <row r="17906" spans="1:5" x14ac:dyDescent="0.25">
      <c r="A17906" s="1033"/>
      <c r="E17906" s="130"/>
    </row>
    <row r="17907" spans="1:5" x14ac:dyDescent="0.25">
      <c r="A17907" s="1033"/>
      <c r="E17907" s="130"/>
    </row>
    <row r="17908" spans="1:5" x14ac:dyDescent="0.25">
      <c r="A17908" s="1033"/>
      <c r="E17908" s="130"/>
    </row>
    <row r="17909" spans="1:5" x14ac:dyDescent="0.25">
      <c r="A17909" s="1033"/>
      <c r="E17909" s="130"/>
    </row>
    <row r="17910" spans="1:5" x14ac:dyDescent="0.25">
      <c r="A17910" s="1033"/>
      <c r="E17910" s="130"/>
    </row>
    <row r="17911" spans="1:5" x14ac:dyDescent="0.25">
      <c r="A17911" s="1033"/>
      <c r="E17911" s="130"/>
    </row>
    <row r="17912" spans="1:5" x14ac:dyDescent="0.25">
      <c r="A17912" s="1033"/>
      <c r="E17912" s="130"/>
    </row>
    <row r="17913" spans="1:5" x14ac:dyDescent="0.25">
      <c r="A17913" s="1033"/>
      <c r="E17913" s="130"/>
    </row>
    <row r="17914" spans="1:5" x14ac:dyDescent="0.25">
      <c r="A17914" s="1033"/>
      <c r="E17914" s="130"/>
    </row>
    <row r="17915" spans="1:5" x14ac:dyDescent="0.25">
      <c r="A17915" s="1033"/>
      <c r="E17915" s="130"/>
    </row>
    <row r="17916" spans="1:5" x14ac:dyDescent="0.25">
      <c r="A17916" s="1033"/>
      <c r="E17916" s="130"/>
    </row>
    <row r="17917" spans="1:5" x14ac:dyDescent="0.25">
      <c r="A17917" s="1033"/>
      <c r="E17917" s="130"/>
    </row>
    <row r="17918" spans="1:5" x14ac:dyDescent="0.25">
      <c r="A17918" s="1033"/>
      <c r="E17918" s="130"/>
    </row>
    <row r="17919" spans="1:5" x14ac:dyDescent="0.25">
      <c r="A17919" s="1033"/>
      <c r="E17919" s="130"/>
    </row>
    <row r="17920" spans="1:5" x14ac:dyDescent="0.25">
      <c r="A17920" s="1033"/>
      <c r="E17920" s="130"/>
    </row>
    <row r="17921" spans="1:5" x14ac:dyDescent="0.25">
      <c r="A17921" s="1033"/>
      <c r="E17921" s="130"/>
    </row>
    <row r="17922" spans="1:5" x14ac:dyDescent="0.25">
      <c r="A17922" s="1033"/>
      <c r="E17922" s="130"/>
    </row>
    <row r="17923" spans="1:5" x14ac:dyDescent="0.25">
      <c r="A17923" s="1033"/>
      <c r="E17923" s="130"/>
    </row>
    <row r="17924" spans="1:5" x14ac:dyDescent="0.25">
      <c r="A17924" s="1033"/>
      <c r="E17924" s="130"/>
    </row>
    <row r="17925" spans="1:5" x14ac:dyDescent="0.25">
      <c r="A17925" s="1033"/>
      <c r="E17925" s="130"/>
    </row>
    <row r="17926" spans="1:5" x14ac:dyDescent="0.25">
      <c r="A17926" s="1033"/>
      <c r="E17926" s="130"/>
    </row>
    <row r="17927" spans="1:5" x14ac:dyDescent="0.25">
      <c r="A17927" s="1033"/>
      <c r="E17927" s="130"/>
    </row>
    <row r="17928" spans="1:5" x14ac:dyDescent="0.25">
      <c r="A17928" s="1033"/>
      <c r="E17928" s="130"/>
    </row>
    <row r="17929" spans="1:5" x14ac:dyDescent="0.25">
      <c r="A17929" s="1033"/>
      <c r="E17929" s="130"/>
    </row>
    <row r="17930" spans="1:5" x14ac:dyDescent="0.25">
      <c r="A17930" s="1033"/>
      <c r="E17930" s="130"/>
    </row>
    <row r="17931" spans="1:5" x14ac:dyDescent="0.25">
      <c r="A17931" s="1033"/>
      <c r="E17931" s="130"/>
    </row>
    <row r="17932" spans="1:5" x14ac:dyDescent="0.25">
      <c r="A17932" s="1033"/>
      <c r="E17932" s="130"/>
    </row>
    <row r="17933" spans="1:5" x14ac:dyDescent="0.25">
      <c r="A17933" s="1033"/>
      <c r="E17933" s="130"/>
    </row>
    <row r="17934" spans="1:5" x14ac:dyDescent="0.25">
      <c r="A17934" s="1033"/>
      <c r="E17934" s="130"/>
    </row>
    <row r="17935" spans="1:5" x14ac:dyDescent="0.25">
      <c r="A17935" s="1033"/>
      <c r="E17935" s="130"/>
    </row>
    <row r="17936" spans="1:5" x14ac:dyDescent="0.25">
      <c r="A17936" s="1033"/>
      <c r="E17936" s="130"/>
    </row>
    <row r="17937" spans="1:5" x14ac:dyDescent="0.25">
      <c r="A17937" s="1033"/>
      <c r="E17937" s="130"/>
    </row>
    <row r="17938" spans="1:5" x14ac:dyDescent="0.25">
      <c r="A17938" s="1033"/>
      <c r="E17938" s="130"/>
    </row>
    <row r="17939" spans="1:5" x14ac:dyDescent="0.25">
      <c r="A17939" s="1033"/>
      <c r="E17939" s="130"/>
    </row>
    <row r="17940" spans="1:5" x14ac:dyDescent="0.25">
      <c r="A17940" s="1033"/>
      <c r="E17940" s="130"/>
    </row>
    <row r="17941" spans="1:5" x14ac:dyDescent="0.25">
      <c r="A17941" s="1033"/>
      <c r="E17941" s="130"/>
    </row>
    <row r="17942" spans="1:5" x14ac:dyDescent="0.25">
      <c r="A17942" s="1033"/>
      <c r="E17942" s="130"/>
    </row>
    <row r="17943" spans="1:5" x14ac:dyDescent="0.25">
      <c r="A17943" s="1033"/>
      <c r="E17943" s="130"/>
    </row>
    <row r="17944" spans="1:5" x14ac:dyDescent="0.25">
      <c r="A17944" s="1033"/>
      <c r="E17944" s="130"/>
    </row>
    <row r="17945" spans="1:5" x14ac:dyDescent="0.25">
      <c r="A17945" s="1033"/>
      <c r="E17945" s="130"/>
    </row>
    <row r="17946" spans="1:5" x14ac:dyDescent="0.25">
      <c r="A17946" s="1033"/>
      <c r="E17946" s="130"/>
    </row>
    <row r="17947" spans="1:5" x14ac:dyDescent="0.25">
      <c r="A17947" s="1033"/>
      <c r="E17947" s="130"/>
    </row>
    <row r="17948" spans="1:5" x14ac:dyDescent="0.25">
      <c r="A17948" s="1033"/>
      <c r="E17948" s="130"/>
    </row>
    <row r="17949" spans="1:5" x14ac:dyDescent="0.25">
      <c r="A17949" s="1033"/>
      <c r="E17949" s="130"/>
    </row>
    <row r="17950" spans="1:5" x14ac:dyDescent="0.25">
      <c r="A17950" s="1033"/>
      <c r="E17950" s="130"/>
    </row>
    <row r="17951" spans="1:5" x14ac:dyDescent="0.25">
      <c r="A17951" s="1033"/>
      <c r="E17951" s="130"/>
    </row>
    <row r="17952" spans="1:5" x14ac:dyDescent="0.25">
      <c r="A17952" s="1033"/>
      <c r="E17952" s="130"/>
    </row>
    <row r="17953" spans="1:5" x14ac:dyDescent="0.25">
      <c r="A17953" s="1033"/>
      <c r="E17953" s="130"/>
    </row>
    <row r="17954" spans="1:5" x14ac:dyDescent="0.25">
      <c r="A17954" s="1033"/>
      <c r="E17954" s="130"/>
    </row>
    <row r="17955" spans="1:5" x14ac:dyDescent="0.25">
      <c r="A17955" s="1033"/>
      <c r="E17955" s="130"/>
    </row>
    <row r="17956" spans="1:5" x14ac:dyDescent="0.25">
      <c r="A17956" s="1033"/>
      <c r="E17956" s="130"/>
    </row>
    <row r="17957" spans="1:5" x14ac:dyDescent="0.25">
      <c r="A17957" s="1033"/>
      <c r="E17957" s="130"/>
    </row>
    <row r="17958" spans="1:5" x14ac:dyDescent="0.25">
      <c r="A17958" s="1033"/>
      <c r="E17958" s="130"/>
    </row>
    <row r="17959" spans="1:5" x14ac:dyDescent="0.25">
      <c r="A17959" s="1033"/>
      <c r="E17959" s="130"/>
    </row>
    <row r="17960" spans="1:5" x14ac:dyDescent="0.25">
      <c r="A17960" s="1033"/>
      <c r="E17960" s="130"/>
    </row>
    <row r="17961" spans="1:5" x14ac:dyDescent="0.25">
      <c r="A17961" s="1033"/>
      <c r="E17961" s="130"/>
    </row>
    <row r="17962" spans="1:5" x14ac:dyDescent="0.25">
      <c r="A17962" s="1033"/>
      <c r="E17962" s="130"/>
    </row>
    <row r="17963" spans="1:5" x14ac:dyDescent="0.25">
      <c r="A17963" s="1033"/>
      <c r="E17963" s="130"/>
    </row>
    <row r="17964" spans="1:5" x14ac:dyDescent="0.25">
      <c r="A17964" s="1033"/>
      <c r="E17964" s="130"/>
    </row>
    <row r="17965" spans="1:5" x14ac:dyDescent="0.25">
      <c r="A17965" s="1033"/>
      <c r="E17965" s="130"/>
    </row>
    <row r="17966" spans="1:5" x14ac:dyDescent="0.25">
      <c r="A17966" s="1033"/>
      <c r="E17966" s="130"/>
    </row>
    <row r="17967" spans="1:5" x14ac:dyDescent="0.25">
      <c r="A17967" s="1033"/>
      <c r="E17967" s="130"/>
    </row>
    <row r="17968" spans="1:5" x14ac:dyDescent="0.25">
      <c r="A17968" s="1033"/>
      <c r="E17968" s="130"/>
    </row>
    <row r="17969" spans="1:5" x14ac:dyDescent="0.25">
      <c r="A17969" s="1033"/>
      <c r="E17969" s="130"/>
    </row>
    <row r="17970" spans="1:5" x14ac:dyDescent="0.25">
      <c r="A17970" s="1033"/>
      <c r="E17970" s="130"/>
    </row>
    <row r="17971" spans="1:5" x14ac:dyDescent="0.25">
      <c r="A17971" s="1033"/>
      <c r="E17971" s="130"/>
    </row>
    <row r="17972" spans="1:5" x14ac:dyDescent="0.25">
      <c r="A17972" s="1033"/>
      <c r="E17972" s="130"/>
    </row>
    <row r="17973" spans="1:5" x14ac:dyDescent="0.25">
      <c r="A17973" s="1033"/>
      <c r="E17973" s="130"/>
    </row>
    <row r="17974" spans="1:5" x14ac:dyDescent="0.25">
      <c r="A17974" s="1033"/>
      <c r="E17974" s="130"/>
    </row>
    <row r="17975" spans="1:5" x14ac:dyDescent="0.25">
      <c r="A17975" s="1033"/>
      <c r="E17975" s="130"/>
    </row>
    <row r="17976" spans="1:5" x14ac:dyDescent="0.25">
      <c r="A17976" s="1033"/>
      <c r="E17976" s="130"/>
    </row>
    <row r="17977" spans="1:5" x14ac:dyDescent="0.25">
      <c r="A17977" s="1033"/>
      <c r="E17977" s="130"/>
    </row>
    <row r="17978" spans="1:5" x14ac:dyDescent="0.25">
      <c r="A17978" s="1033"/>
      <c r="E17978" s="130"/>
    </row>
    <row r="17979" spans="1:5" x14ac:dyDescent="0.25">
      <c r="A17979" s="1033"/>
      <c r="E17979" s="130"/>
    </row>
    <row r="17980" spans="1:5" x14ac:dyDescent="0.25">
      <c r="A17980" s="1033"/>
      <c r="E17980" s="130"/>
    </row>
    <row r="17981" spans="1:5" x14ac:dyDescent="0.25">
      <c r="A17981" s="1033"/>
      <c r="E17981" s="130"/>
    </row>
    <row r="17982" spans="1:5" x14ac:dyDescent="0.25">
      <c r="A17982" s="1033"/>
      <c r="E17982" s="130"/>
    </row>
    <row r="17983" spans="1:5" x14ac:dyDescent="0.25">
      <c r="A17983" s="1033"/>
      <c r="E17983" s="130"/>
    </row>
    <row r="17984" spans="1:5" x14ac:dyDescent="0.25">
      <c r="A17984" s="1033"/>
      <c r="E17984" s="130"/>
    </row>
    <row r="17985" spans="1:5" x14ac:dyDescent="0.25">
      <c r="A17985" s="1033"/>
      <c r="E17985" s="130"/>
    </row>
    <row r="17986" spans="1:5" x14ac:dyDescent="0.25">
      <c r="A17986" s="1033"/>
      <c r="E17986" s="130"/>
    </row>
    <row r="17987" spans="1:5" x14ac:dyDescent="0.25">
      <c r="A17987" s="1033"/>
      <c r="E17987" s="130"/>
    </row>
    <row r="17988" spans="1:5" x14ac:dyDescent="0.25">
      <c r="A17988" s="1033"/>
      <c r="E17988" s="130"/>
    </row>
    <row r="17989" spans="1:5" x14ac:dyDescent="0.25">
      <c r="A17989" s="1033"/>
      <c r="E17989" s="130"/>
    </row>
    <row r="17990" spans="1:5" x14ac:dyDescent="0.25">
      <c r="A17990" s="1033"/>
      <c r="E17990" s="130"/>
    </row>
    <row r="17991" spans="1:5" x14ac:dyDescent="0.25">
      <c r="A17991" s="1033"/>
      <c r="E17991" s="130"/>
    </row>
    <row r="17992" spans="1:5" x14ac:dyDescent="0.25">
      <c r="A17992" s="1033"/>
      <c r="E17992" s="130"/>
    </row>
    <row r="17993" spans="1:5" x14ac:dyDescent="0.25">
      <c r="A17993" s="1033"/>
      <c r="E17993" s="130"/>
    </row>
    <row r="17994" spans="1:5" x14ac:dyDescent="0.25">
      <c r="A17994" s="1033"/>
      <c r="E17994" s="130"/>
    </row>
    <row r="17995" spans="1:5" x14ac:dyDescent="0.25">
      <c r="A17995" s="1033"/>
      <c r="E17995" s="130"/>
    </row>
    <row r="17996" spans="1:5" x14ac:dyDescent="0.25">
      <c r="A17996" s="1033"/>
      <c r="E17996" s="130"/>
    </row>
    <row r="17997" spans="1:5" x14ac:dyDescent="0.25">
      <c r="A17997" s="1033"/>
      <c r="E17997" s="130"/>
    </row>
    <row r="17998" spans="1:5" x14ac:dyDescent="0.25">
      <c r="A17998" s="1033"/>
      <c r="E17998" s="130"/>
    </row>
    <row r="17999" spans="1:5" x14ac:dyDescent="0.25">
      <c r="A17999" s="1033"/>
      <c r="E17999" s="130"/>
    </row>
    <row r="18000" spans="1:5" x14ac:dyDescent="0.25">
      <c r="A18000" s="1033"/>
      <c r="E18000" s="130"/>
    </row>
    <row r="18001" spans="1:5" x14ac:dyDescent="0.25">
      <c r="A18001" s="1033"/>
      <c r="E18001" s="130"/>
    </row>
    <row r="18002" spans="1:5" x14ac:dyDescent="0.25">
      <c r="A18002" s="1033"/>
      <c r="E18002" s="130"/>
    </row>
    <row r="18003" spans="1:5" x14ac:dyDescent="0.25">
      <c r="A18003" s="1033"/>
      <c r="E18003" s="130"/>
    </row>
    <row r="18004" spans="1:5" x14ac:dyDescent="0.25">
      <c r="A18004" s="1033"/>
      <c r="E18004" s="130"/>
    </row>
    <row r="18005" spans="1:5" x14ac:dyDescent="0.25">
      <c r="A18005" s="1033"/>
      <c r="E18005" s="130"/>
    </row>
    <row r="18006" spans="1:5" x14ac:dyDescent="0.25">
      <c r="A18006" s="1033"/>
      <c r="E18006" s="130"/>
    </row>
    <row r="18007" spans="1:5" x14ac:dyDescent="0.25">
      <c r="A18007" s="1033"/>
      <c r="E18007" s="130"/>
    </row>
    <row r="18008" spans="1:5" x14ac:dyDescent="0.25">
      <c r="A18008" s="1033"/>
      <c r="E18008" s="130"/>
    </row>
    <row r="18009" spans="1:5" x14ac:dyDescent="0.25">
      <c r="A18009" s="1033"/>
      <c r="E18009" s="130"/>
    </row>
    <row r="18010" spans="1:5" x14ac:dyDescent="0.25">
      <c r="A18010" s="1033"/>
      <c r="E18010" s="130"/>
    </row>
    <row r="18011" spans="1:5" x14ac:dyDescent="0.25">
      <c r="A18011" s="1033"/>
      <c r="E18011" s="130"/>
    </row>
    <row r="18012" spans="1:5" x14ac:dyDescent="0.25">
      <c r="A18012" s="1033"/>
      <c r="E18012" s="130"/>
    </row>
    <row r="18013" spans="1:5" x14ac:dyDescent="0.25">
      <c r="A18013" s="1033"/>
      <c r="E18013" s="130"/>
    </row>
    <row r="18014" spans="1:5" x14ac:dyDescent="0.25">
      <c r="A18014" s="1033"/>
      <c r="E18014" s="130"/>
    </row>
    <row r="18015" spans="1:5" x14ac:dyDescent="0.25">
      <c r="A18015" s="1033"/>
      <c r="E18015" s="130"/>
    </row>
    <row r="18016" spans="1:5" x14ac:dyDescent="0.25">
      <c r="A18016" s="1033"/>
      <c r="E18016" s="130"/>
    </row>
    <row r="18017" spans="1:5" x14ac:dyDescent="0.25">
      <c r="A18017" s="1033"/>
      <c r="E18017" s="130"/>
    </row>
    <row r="18018" spans="1:5" x14ac:dyDescent="0.25">
      <c r="A18018" s="1033"/>
      <c r="E18018" s="130"/>
    </row>
    <row r="18019" spans="1:5" x14ac:dyDescent="0.25">
      <c r="A18019" s="1033"/>
      <c r="E18019" s="130"/>
    </row>
    <row r="18020" spans="1:5" x14ac:dyDescent="0.25">
      <c r="A18020" s="1033"/>
      <c r="E18020" s="130"/>
    </row>
    <row r="18021" spans="1:5" x14ac:dyDescent="0.25">
      <c r="A18021" s="1033"/>
      <c r="E18021" s="130"/>
    </row>
    <row r="18022" spans="1:5" x14ac:dyDescent="0.25">
      <c r="A18022" s="1033"/>
      <c r="E18022" s="130"/>
    </row>
    <row r="18023" spans="1:5" x14ac:dyDescent="0.25">
      <c r="A18023" s="1033"/>
      <c r="E18023" s="130"/>
    </row>
    <row r="18024" spans="1:5" x14ac:dyDescent="0.25">
      <c r="A18024" s="1033"/>
      <c r="E18024" s="130"/>
    </row>
    <row r="18025" spans="1:5" x14ac:dyDescent="0.25">
      <c r="A18025" s="1033"/>
      <c r="E18025" s="130"/>
    </row>
    <row r="18026" spans="1:5" x14ac:dyDescent="0.25">
      <c r="A18026" s="1033"/>
      <c r="E18026" s="130"/>
    </row>
    <row r="18027" spans="1:5" x14ac:dyDescent="0.25">
      <c r="A18027" s="1033"/>
      <c r="E18027" s="130"/>
    </row>
    <row r="18028" spans="1:5" x14ac:dyDescent="0.25">
      <c r="A18028" s="1033"/>
      <c r="E18028" s="130"/>
    </row>
    <row r="18029" spans="1:5" x14ac:dyDescent="0.25">
      <c r="A18029" s="1033"/>
      <c r="E18029" s="130"/>
    </row>
    <row r="18030" spans="1:5" x14ac:dyDescent="0.25">
      <c r="A18030" s="1033"/>
      <c r="E18030" s="130"/>
    </row>
    <row r="18031" spans="1:5" x14ac:dyDescent="0.25">
      <c r="A18031" s="1033"/>
      <c r="E18031" s="130"/>
    </row>
    <row r="18032" spans="1:5" x14ac:dyDescent="0.25">
      <c r="A18032" s="1033"/>
      <c r="E18032" s="130"/>
    </row>
    <row r="18033" spans="1:5" x14ac:dyDescent="0.25">
      <c r="A18033" s="1033"/>
      <c r="E18033" s="130"/>
    </row>
    <row r="18034" spans="1:5" x14ac:dyDescent="0.25">
      <c r="A18034" s="1033"/>
      <c r="E18034" s="130"/>
    </row>
    <row r="18035" spans="1:5" x14ac:dyDescent="0.25">
      <c r="A18035" s="1033"/>
      <c r="E18035" s="130"/>
    </row>
    <row r="18036" spans="1:5" x14ac:dyDescent="0.25">
      <c r="A18036" s="1033"/>
      <c r="E18036" s="130"/>
    </row>
    <row r="18037" spans="1:5" x14ac:dyDescent="0.25">
      <c r="A18037" s="1033"/>
      <c r="E18037" s="130"/>
    </row>
    <row r="18038" spans="1:5" x14ac:dyDescent="0.25">
      <c r="A18038" s="1033"/>
      <c r="E18038" s="130"/>
    </row>
    <row r="18039" spans="1:5" x14ac:dyDescent="0.25">
      <c r="A18039" s="1033"/>
      <c r="E18039" s="130"/>
    </row>
    <row r="18040" spans="1:5" x14ac:dyDescent="0.25">
      <c r="A18040" s="1033"/>
      <c r="E18040" s="130"/>
    </row>
    <row r="18041" spans="1:5" x14ac:dyDescent="0.25">
      <c r="A18041" s="1033"/>
      <c r="E18041" s="130"/>
    </row>
    <row r="18042" spans="1:5" x14ac:dyDescent="0.25">
      <c r="A18042" s="1033"/>
      <c r="E18042" s="130"/>
    </row>
    <row r="18043" spans="1:5" x14ac:dyDescent="0.25">
      <c r="A18043" s="1033"/>
      <c r="E18043" s="130"/>
    </row>
    <row r="18044" spans="1:5" x14ac:dyDescent="0.25">
      <c r="A18044" s="1033"/>
      <c r="E18044" s="130"/>
    </row>
    <row r="18045" spans="1:5" x14ac:dyDescent="0.25">
      <c r="A18045" s="1033"/>
      <c r="E18045" s="130"/>
    </row>
    <row r="18046" spans="1:5" x14ac:dyDescent="0.25">
      <c r="A18046" s="1033"/>
      <c r="E18046" s="130"/>
    </row>
    <row r="18047" spans="1:5" x14ac:dyDescent="0.25">
      <c r="A18047" s="1033"/>
      <c r="E18047" s="130"/>
    </row>
    <row r="18048" spans="1:5" x14ac:dyDescent="0.25">
      <c r="A18048" s="1033"/>
      <c r="E18048" s="130"/>
    </row>
    <row r="18049" spans="1:5" x14ac:dyDescent="0.25">
      <c r="A18049" s="1033"/>
      <c r="E18049" s="130"/>
    </row>
    <row r="18050" spans="1:5" x14ac:dyDescent="0.25">
      <c r="A18050" s="1033"/>
      <c r="E18050" s="130"/>
    </row>
    <row r="18051" spans="1:5" x14ac:dyDescent="0.25">
      <c r="A18051" s="1033"/>
      <c r="E18051" s="130"/>
    </row>
    <row r="18052" spans="1:5" x14ac:dyDescent="0.25">
      <c r="A18052" s="1033"/>
      <c r="E18052" s="130"/>
    </row>
    <row r="18053" spans="1:5" x14ac:dyDescent="0.25">
      <c r="A18053" s="1033"/>
      <c r="E18053" s="130"/>
    </row>
    <row r="18054" spans="1:5" x14ac:dyDescent="0.25">
      <c r="A18054" s="1033"/>
      <c r="E18054" s="130"/>
    </row>
    <row r="18055" spans="1:5" x14ac:dyDescent="0.25">
      <c r="A18055" s="1033"/>
      <c r="E18055" s="130"/>
    </row>
    <row r="18056" spans="1:5" x14ac:dyDescent="0.25">
      <c r="A18056" s="1033"/>
      <c r="E18056" s="130"/>
    </row>
    <row r="18057" spans="1:5" x14ac:dyDescent="0.25">
      <c r="A18057" s="1033"/>
      <c r="E18057" s="130"/>
    </row>
    <row r="18058" spans="1:5" x14ac:dyDescent="0.25">
      <c r="A18058" s="1033"/>
      <c r="E18058" s="130"/>
    </row>
    <row r="18059" spans="1:5" x14ac:dyDescent="0.25">
      <c r="A18059" s="1033"/>
      <c r="E18059" s="130"/>
    </row>
    <row r="18060" spans="1:5" x14ac:dyDescent="0.25">
      <c r="A18060" s="1033"/>
      <c r="E18060" s="130"/>
    </row>
    <row r="18061" spans="1:5" x14ac:dyDescent="0.25">
      <c r="A18061" s="1033"/>
      <c r="E18061" s="130"/>
    </row>
    <row r="18062" spans="1:5" x14ac:dyDescent="0.25">
      <c r="A18062" s="1033"/>
      <c r="E18062" s="130"/>
    </row>
    <row r="18063" spans="1:5" x14ac:dyDescent="0.25">
      <c r="A18063" s="1033"/>
      <c r="E18063" s="130"/>
    </row>
    <row r="18064" spans="1:5" x14ac:dyDescent="0.25">
      <c r="A18064" s="1033"/>
      <c r="E18064" s="130"/>
    </row>
    <row r="18065" spans="1:5" x14ac:dyDescent="0.25">
      <c r="A18065" s="1033"/>
      <c r="E18065" s="130"/>
    </row>
    <row r="18066" spans="1:5" x14ac:dyDescent="0.25">
      <c r="A18066" s="1033"/>
      <c r="E18066" s="130"/>
    </row>
    <row r="18067" spans="1:5" x14ac:dyDescent="0.25">
      <c r="A18067" s="1033"/>
      <c r="E18067" s="130"/>
    </row>
    <row r="18068" spans="1:5" x14ac:dyDescent="0.25">
      <c r="A18068" s="1033"/>
      <c r="E18068" s="130"/>
    </row>
    <row r="18069" spans="1:5" x14ac:dyDescent="0.25">
      <c r="A18069" s="1033"/>
      <c r="E18069" s="130"/>
    </row>
    <row r="18070" spans="1:5" x14ac:dyDescent="0.25">
      <c r="A18070" s="1033"/>
      <c r="E18070" s="130"/>
    </row>
    <row r="18071" spans="1:5" x14ac:dyDescent="0.25">
      <c r="A18071" s="1033"/>
      <c r="E18071" s="130"/>
    </row>
    <row r="18072" spans="1:5" x14ac:dyDescent="0.25">
      <c r="A18072" s="1033"/>
      <c r="E18072" s="130"/>
    </row>
    <row r="18073" spans="1:5" x14ac:dyDescent="0.25">
      <c r="A18073" s="1033"/>
      <c r="E18073" s="130"/>
    </row>
    <row r="18074" spans="1:5" x14ac:dyDescent="0.25">
      <c r="A18074" s="1033"/>
      <c r="E18074" s="130"/>
    </row>
    <row r="18075" spans="1:5" x14ac:dyDescent="0.25">
      <c r="A18075" s="1033"/>
      <c r="E18075" s="130"/>
    </row>
    <row r="18076" spans="1:5" x14ac:dyDescent="0.25">
      <c r="A18076" s="1033"/>
      <c r="E18076" s="130"/>
    </row>
    <row r="18077" spans="1:5" x14ac:dyDescent="0.25">
      <c r="A18077" s="1033"/>
      <c r="E18077" s="130"/>
    </row>
    <row r="18078" spans="1:5" x14ac:dyDescent="0.25">
      <c r="A18078" s="1033"/>
      <c r="E18078" s="130"/>
    </row>
    <row r="18079" spans="1:5" x14ac:dyDescent="0.25">
      <c r="A18079" s="1033"/>
      <c r="E18079" s="130"/>
    </row>
    <row r="18080" spans="1:5" x14ac:dyDescent="0.25">
      <c r="A18080" s="1033"/>
      <c r="E18080" s="130"/>
    </row>
    <row r="18081" spans="1:5" x14ac:dyDescent="0.25">
      <c r="A18081" s="1033"/>
      <c r="E18081" s="130"/>
    </row>
    <row r="18082" spans="1:5" x14ac:dyDescent="0.25">
      <c r="A18082" s="1033"/>
      <c r="E18082" s="130"/>
    </row>
    <row r="18083" spans="1:5" x14ac:dyDescent="0.25">
      <c r="A18083" s="1033"/>
      <c r="E18083" s="130"/>
    </row>
    <row r="18084" spans="1:5" x14ac:dyDescent="0.25">
      <c r="A18084" s="1033"/>
      <c r="E18084" s="130"/>
    </row>
    <row r="18085" spans="1:5" x14ac:dyDescent="0.25">
      <c r="A18085" s="1033"/>
      <c r="E18085" s="130"/>
    </row>
    <row r="18086" spans="1:5" x14ac:dyDescent="0.25">
      <c r="A18086" s="1033"/>
      <c r="E18086" s="130"/>
    </row>
    <row r="18087" spans="1:5" x14ac:dyDescent="0.25">
      <c r="A18087" s="1033"/>
      <c r="E18087" s="130"/>
    </row>
    <row r="18088" spans="1:5" x14ac:dyDescent="0.25">
      <c r="A18088" s="1033"/>
      <c r="E18088" s="130"/>
    </row>
    <row r="18089" spans="1:5" x14ac:dyDescent="0.25">
      <c r="A18089" s="1033"/>
      <c r="E18089" s="130"/>
    </row>
    <row r="18090" spans="1:5" x14ac:dyDescent="0.25">
      <c r="A18090" s="1033"/>
      <c r="E18090" s="130"/>
    </row>
    <row r="18091" spans="1:5" x14ac:dyDescent="0.25">
      <c r="A18091" s="1033"/>
      <c r="E18091" s="130"/>
    </row>
    <row r="18092" spans="1:5" x14ac:dyDescent="0.25">
      <c r="A18092" s="1033"/>
      <c r="E18092" s="130"/>
    </row>
    <row r="18093" spans="1:5" x14ac:dyDescent="0.25">
      <c r="A18093" s="1033"/>
      <c r="E18093" s="130"/>
    </row>
    <row r="18094" spans="1:5" x14ac:dyDescent="0.25">
      <c r="A18094" s="1033"/>
      <c r="E18094" s="130"/>
    </row>
    <row r="18095" spans="1:5" x14ac:dyDescent="0.25">
      <c r="A18095" s="1033"/>
      <c r="E18095" s="130"/>
    </row>
    <row r="18096" spans="1:5" x14ac:dyDescent="0.25">
      <c r="A18096" s="1033"/>
      <c r="E18096" s="130"/>
    </row>
    <row r="18097" spans="1:5" x14ac:dyDescent="0.25">
      <c r="A18097" s="1033"/>
      <c r="E18097" s="130"/>
    </row>
    <row r="18098" spans="1:5" x14ac:dyDescent="0.25">
      <c r="A18098" s="1033"/>
      <c r="E18098" s="130"/>
    </row>
    <row r="18099" spans="1:5" x14ac:dyDescent="0.25">
      <c r="A18099" s="1033"/>
      <c r="E18099" s="130"/>
    </row>
    <row r="18100" spans="1:5" x14ac:dyDescent="0.25">
      <c r="A18100" s="1033"/>
      <c r="E18100" s="130"/>
    </row>
    <row r="18101" spans="1:5" x14ac:dyDescent="0.25">
      <c r="A18101" s="1033"/>
      <c r="E18101" s="130"/>
    </row>
    <row r="18102" spans="1:5" x14ac:dyDescent="0.25">
      <c r="A18102" s="1033"/>
      <c r="E18102" s="130"/>
    </row>
    <row r="18103" spans="1:5" x14ac:dyDescent="0.25">
      <c r="A18103" s="1033"/>
      <c r="E18103" s="130"/>
    </row>
    <row r="18104" spans="1:5" x14ac:dyDescent="0.25">
      <c r="A18104" s="1033"/>
      <c r="E18104" s="130"/>
    </row>
    <row r="18105" spans="1:5" x14ac:dyDescent="0.25">
      <c r="A18105" s="1033"/>
      <c r="E18105" s="130"/>
    </row>
    <row r="18106" spans="1:5" x14ac:dyDescent="0.25">
      <c r="A18106" s="1033"/>
      <c r="E18106" s="130"/>
    </row>
    <row r="18107" spans="1:5" x14ac:dyDescent="0.25">
      <c r="A18107" s="1033"/>
      <c r="E18107" s="130"/>
    </row>
    <row r="18108" spans="1:5" x14ac:dyDescent="0.25">
      <c r="A18108" s="1033"/>
      <c r="E18108" s="130"/>
    </row>
    <row r="18109" spans="1:5" x14ac:dyDescent="0.25">
      <c r="A18109" s="1033"/>
      <c r="E18109" s="130"/>
    </row>
    <row r="18110" spans="1:5" x14ac:dyDescent="0.25">
      <c r="A18110" s="1033"/>
      <c r="E18110" s="130"/>
    </row>
    <row r="18111" spans="1:5" x14ac:dyDescent="0.25">
      <c r="A18111" s="1033"/>
      <c r="E18111" s="130"/>
    </row>
    <row r="18112" spans="1:5" x14ac:dyDescent="0.25">
      <c r="A18112" s="1033"/>
      <c r="E18112" s="130"/>
    </row>
    <row r="18113" spans="1:5" x14ac:dyDescent="0.25">
      <c r="A18113" s="1033"/>
      <c r="E18113" s="130"/>
    </row>
    <row r="18114" spans="1:5" x14ac:dyDescent="0.25">
      <c r="A18114" s="1033"/>
      <c r="E18114" s="130"/>
    </row>
    <row r="18115" spans="1:5" x14ac:dyDescent="0.25">
      <c r="A18115" s="1033"/>
      <c r="E18115" s="130"/>
    </row>
    <row r="18116" spans="1:5" x14ac:dyDescent="0.25">
      <c r="A18116" s="1033"/>
      <c r="E18116" s="130"/>
    </row>
    <row r="18117" spans="1:5" x14ac:dyDescent="0.25">
      <c r="A18117" s="1033"/>
      <c r="E18117" s="130"/>
    </row>
    <row r="18118" spans="1:5" x14ac:dyDescent="0.25">
      <c r="A18118" s="1033"/>
      <c r="E18118" s="130"/>
    </row>
    <row r="18119" spans="1:5" x14ac:dyDescent="0.25">
      <c r="A18119" s="1033"/>
      <c r="E18119" s="130"/>
    </row>
    <row r="18120" spans="1:5" x14ac:dyDescent="0.25">
      <c r="A18120" s="1033"/>
      <c r="E18120" s="130"/>
    </row>
    <row r="18121" spans="1:5" x14ac:dyDescent="0.25">
      <c r="A18121" s="1033"/>
      <c r="E18121" s="130"/>
    </row>
    <row r="18122" spans="1:5" x14ac:dyDescent="0.25">
      <c r="A18122" s="1033"/>
      <c r="E18122" s="130"/>
    </row>
    <row r="18123" spans="1:5" x14ac:dyDescent="0.25">
      <c r="A18123" s="1033"/>
      <c r="E18123" s="130"/>
    </row>
    <row r="18124" spans="1:5" x14ac:dyDescent="0.25">
      <c r="A18124" s="1033"/>
      <c r="E18124" s="130"/>
    </row>
    <row r="18125" spans="1:5" x14ac:dyDescent="0.25">
      <c r="A18125" s="1033"/>
      <c r="E18125" s="130"/>
    </row>
    <row r="18126" spans="1:5" x14ac:dyDescent="0.25">
      <c r="A18126" s="1033"/>
      <c r="E18126" s="130"/>
    </row>
    <row r="18127" spans="1:5" x14ac:dyDescent="0.25">
      <c r="A18127" s="1033"/>
      <c r="E18127" s="130"/>
    </row>
    <row r="18128" spans="1:5" x14ac:dyDescent="0.25">
      <c r="A18128" s="1033"/>
      <c r="E18128" s="130"/>
    </row>
    <row r="18129" spans="1:5" x14ac:dyDescent="0.25">
      <c r="A18129" s="1033"/>
      <c r="E18129" s="130"/>
    </row>
    <row r="18130" spans="1:5" x14ac:dyDescent="0.25">
      <c r="A18130" s="1033"/>
      <c r="E18130" s="130"/>
    </row>
    <row r="18131" spans="1:5" x14ac:dyDescent="0.25">
      <c r="A18131" s="1033"/>
      <c r="E18131" s="130"/>
    </row>
    <row r="18132" spans="1:5" x14ac:dyDescent="0.25">
      <c r="A18132" s="1033"/>
      <c r="E18132" s="130"/>
    </row>
    <row r="18133" spans="1:5" x14ac:dyDescent="0.25">
      <c r="A18133" s="1033"/>
      <c r="E18133" s="130"/>
    </row>
    <row r="18134" spans="1:5" x14ac:dyDescent="0.25">
      <c r="A18134" s="1033"/>
      <c r="E18134" s="130"/>
    </row>
    <row r="18135" spans="1:5" x14ac:dyDescent="0.25">
      <c r="A18135" s="1033"/>
      <c r="E18135" s="130"/>
    </row>
    <row r="18136" spans="1:5" x14ac:dyDescent="0.25">
      <c r="A18136" s="1033"/>
      <c r="E18136" s="130"/>
    </row>
    <row r="18137" spans="1:5" x14ac:dyDescent="0.25">
      <c r="A18137" s="1033"/>
      <c r="E18137" s="130"/>
    </row>
    <row r="18138" spans="1:5" x14ac:dyDescent="0.25">
      <c r="A18138" s="1033"/>
      <c r="E18138" s="130"/>
    </row>
    <row r="18139" spans="1:5" x14ac:dyDescent="0.25">
      <c r="A18139" s="1033"/>
      <c r="E18139" s="130"/>
    </row>
    <row r="18140" spans="1:5" x14ac:dyDescent="0.25">
      <c r="A18140" s="1033"/>
      <c r="E18140" s="130"/>
    </row>
    <row r="18141" spans="1:5" x14ac:dyDescent="0.25">
      <c r="A18141" s="1033"/>
      <c r="E18141" s="130"/>
    </row>
    <row r="18142" spans="1:5" x14ac:dyDescent="0.25">
      <c r="A18142" s="1033"/>
      <c r="E18142" s="130"/>
    </row>
    <row r="18143" spans="1:5" x14ac:dyDescent="0.25">
      <c r="A18143" s="1033"/>
      <c r="E18143" s="130"/>
    </row>
    <row r="18144" spans="1:5" x14ac:dyDescent="0.25">
      <c r="A18144" s="1033"/>
      <c r="E18144" s="130"/>
    </row>
    <row r="18145" spans="1:5" x14ac:dyDescent="0.25">
      <c r="A18145" s="1033"/>
      <c r="E18145" s="130"/>
    </row>
    <row r="18146" spans="1:5" x14ac:dyDescent="0.25">
      <c r="A18146" s="1033"/>
      <c r="E18146" s="130"/>
    </row>
    <row r="18147" spans="1:5" x14ac:dyDescent="0.25">
      <c r="A18147" s="1033"/>
      <c r="E18147" s="130"/>
    </row>
    <row r="18148" spans="1:5" x14ac:dyDescent="0.25">
      <c r="A18148" s="1033"/>
      <c r="E18148" s="130"/>
    </row>
    <row r="18149" spans="1:5" x14ac:dyDescent="0.25">
      <c r="A18149" s="1033"/>
      <c r="E18149" s="130"/>
    </row>
    <row r="18150" spans="1:5" x14ac:dyDescent="0.25">
      <c r="A18150" s="1033"/>
      <c r="E18150" s="130"/>
    </row>
    <row r="18151" spans="1:5" x14ac:dyDescent="0.25">
      <c r="A18151" s="1033"/>
      <c r="E18151" s="130"/>
    </row>
    <row r="18152" spans="1:5" x14ac:dyDescent="0.25">
      <c r="A18152" s="1033"/>
      <c r="E18152" s="130"/>
    </row>
    <row r="18153" spans="1:5" x14ac:dyDescent="0.25">
      <c r="A18153" s="1033"/>
      <c r="E18153" s="130"/>
    </row>
    <row r="18154" spans="1:5" x14ac:dyDescent="0.25">
      <c r="A18154" s="1033"/>
      <c r="E18154" s="130"/>
    </row>
    <row r="18155" spans="1:5" x14ac:dyDescent="0.25">
      <c r="A18155" s="1033"/>
      <c r="E18155" s="130"/>
    </row>
    <row r="18156" spans="1:5" x14ac:dyDescent="0.25">
      <c r="A18156" s="1033"/>
      <c r="E18156" s="130"/>
    </row>
    <row r="18157" spans="1:5" x14ac:dyDescent="0.25">
      <c r="A18157" s="1033"/>
      <c r="E18157" s="130"/>
    </row>
    <row r="18158" spans="1:5" x14ac:dyDescent="0.25">
      <c r="A18158" s="1033"/>
      <c r="E18158" s="130"/>
    </row>
    <row r="18159" spans="1:5" x14ac:dyDescent="0.25">
      <c r="A18159" s="1033"/>
      <c r="E18159" s="130"/>
    </row>
    <row r="18160" spans="1:5" x14ac:dyDescent="0.25">
      <c r="A18160" s="1033"/>
      <c r="E18160" s="130"/>
    </row>
    <row r="18161" spans="1:5" x14ac:dyDescent="0.25">
      <c r="A18161" s="1033"/>
      <c r="E18161" s="130"/>
    </row>
    <row r="18162" spans="1:5" x14ac:dyDescent="0.25">
      <c r="A18162" s="1033"/>
      <c r="E18162" s="130"/>
    </row>
    <row r="18163" spans="1:5" x14ac:dyDescent="0.25">
      <c r="A18163" s="1033"/>
      <c r="E18163" s="130"/>
    </row>
    <row r="18164" spans="1:5" x14ac:dyDescent="0.25">
      <c r="A18164" s="1033"/>
      <c r="E18164" s="130"/>
    </row>
    <row r="18165" spans="1:5" x14ac:dyDescent="0.25">
      <c r="A18165" s="1033"/>
      <c r="E18165" s="130"/>
    </row>
    <row r="18166" spans="1:5" x14ac:dyDescent="0.25">
      <c r="A18166" s="1033"/>
      <c r="E18166" s="130"/>
    </row>
    <row r="18167" spans="1:5" x14ac:dyDescent="0.25">
      <c r="A18167" s="1033"/>
      <c r="E18167" s="130"/>
    </row>
    <row r="18168" spans="1:5" x14ac:dyDescent="0.25">
      <c r="A18168" s="1033"/>
      <c r="E18168" s="130"/>
    </row>
    <row r="18169" spans="1:5" x14ac:dyDescent="0.25">
      <c r="A18169" s="1033"/>
      <c r="E18169" s="130"/>
    </row>
    <row r="18170" spans="1:5" x14ac:dyDescent="0.25">
      <c r="A18170" s="1033"/>
      <c r="E18170" s="130"/>
    </row>
    <row r="18171" spans="1:5" x14ac:dyDescent="0.25">
      <c r="A18171" s="1033"/>
      <c r="E18171" s="130"/>
    </row>
    <row r="18172" spans="1:5" x14ac:dyDescent="0.25">
      <c r="A18172" s="1033"/>
      <c r="E18172" s="130"/>
    </row>
    <row r="18173" spans="1:5" x14ac:dyDescent="0.25">
      <c r="A18173" s="1033"/>
      <c r="E18173" s="130"/>
    </row>
    <row r="18174" spans="1:5" x14ac:dyDescent="0.25">
      <c r="A18174" s="1033"/>
      <c r="E18174" s="130"/>
    </row>
    <row r="18175" spans="1:5" x14ac:dyDescent="0.25">
      <c r="A18175" s="1033"/>
      <c r="E18175" s="130"/>
    </row>
    <row r="18176" spans="1:5" x14ac:dyDescent="0.25">
      <c r="A18176" s="1033"/>
      <c r="E18176" s="130"/>
    </row>
    <row r="18177" spans="1:5" x14ac:dyDescent="0.25">
      <c r="A18177" s="1033"/>
      <c r="E18177" s="130"/>
    </row>
    <row r="18178" spans="1:5" x14ac:dyDescent="0.25">
      <c r="A18178" s="1033"/>
      <c r="E18178" s="130"/>
    </row>
    <row r="18179" spans="1:5" x14ac:dyDescent="0.25">
      <c r="A18179" s="1033"/>
      <c r="E18179" s="130"/>
    </row>
    <row r="18180" spans="1:5" x14ac:dyDescent="0.25">
      <c r="A18180" s="1033"/>
      <c r="E18180" s="130"/>
    </row>
    <row r="18181" spans="1:5" x14ac:dyDescent="0.25">
      <c r="A18181" s="1033"/>
      <c r="E18181" s="130"/>
    </row>
    <row r="18182" spans="1:5" x14ac:dyDescent="0.25">
      <c r="A18182" s="1033"/>
      <c r="E18182" s="130"/>
    </row>
    <row r="18183" spans="1:5" x14ac:dyDescent="0.25">
      <c r="A18183" s="1033"/>
      <c r="E18183" s="130"/>
    </row>
    <row r="18184" spans="1:5" x14ac:dyDescent="0.25">
      <c r="A18184" s="1033"/>
      <c r="E18184" s="130"/>
    </row>
    <row r="18185" spans="1:5" x14ac:dyDescent="0.25">
      <c r="A18185" s="1033"/>
      <c r="E18185" s="130"/>
    </row>
    <row r="18186" spans="1:5" x14ac:dyDescent="0.25">
      <c r="A18186" s="1033"/>
      <c r="E18186" s="130"/>
    </row>
    <row r="18187" spans="1:5" x14ac:dyDescent="0.25">
      <c r="A18187" s="1033"/>
      <c r="E18187" s="130"/>
    </row>
    <row r="18188" spans="1:5" x14ac:dyDescent="0.25">
      <c r="A18188" s="1033"/>
      <c r="E18188" s="130"/>
    </row>
    <row r="18189" spans="1:5" x14ac:dyDescent="0.25">
      <c r="A18189" s="1033"/>
      <c r="E18189" s="130"/>
    </row>
    <row r="18190" spans="1:5" x14ac:dyDescent="0.25">
      <c r="A18190" s="1033"/>
      <c r="E18190" s="130"/>
    </row>
    <row r="18191" spans="1:5" x14ac:dyDescent="0.25">
      <c r="A18191" s="1033"/>
      <c r="E18191" s="130"/>
    </row>
    <row r="18192" spans="1:5" x14ac:dyDescent="0.25">
      <c r="A18192" s="1033"/>
      <c r="E18192" s="130"/>
    </row>
    <row r="18193" spans="1:5" x14ac:dyDescent="0.25">
      <c r="A18193" s="1033"/>
      <c r="E18193" s="130"/>
    </row>
    <row r="18194" spans="1:5" x14ac:dyDescent="0.25">
      <c r="A18194" s="1033"/>
      <c r="E18194" s="130"/>
    </row>
    <row r="18195" spans="1:5" x14ac:dyDescent="0.25">
      <c r="A18195" s="1033"/>
      <c r="E18195" s="130"/>
    </row>
    <row r="18196" spans="1:5" x14ac:dyDescent="0.25">
      <c r="A18196" s="1033"/>
      <c r="E18196" s="130"/>
    </row>
    <row r="18197" spans="1:5" x14ac:dyDescent="0.25">
      <c r="A18197" s="1033"/>
      <c r="E18197" s="130"/>
    </row>
    <row r="18198" spans="1:5" x14ac:dyDescent="0.25">
      <c r="A18198" s="1033"/>
      <c r="E18198" s="130"/>
    </row>
    <row r="18199" spans="1:5" x14ac:dyDescent="0.25">
      <c r="A18199" s="1033"/>
      <c r="E18199" s="130"/>
    </row>
    <row r="18200" spans="1:5" x14ac:dyDescent="0.25">
      <c r="A18200" s="1033"/>
      <c r="E18200" s="130"/>
    </row>
    <row r="18201" spans="1:5" x14ac:dyDescent="0.25">
      <c r="A18201" s="1033"/>
      <c r="E18201" s="130"/>
    </row>
    <row r="18202" spans="1:5" x14ac:dyDescent="0.25">
      <c r="A18202" s="1033"/>
      <c r="E18202" s="130"/>
    </row>
    <row r="18203" spans="1:5" x14ac:dyDescent="0.25">
      <c r="A18203" s="1033"/>
      <c r="E18203" s="130"/>
    </row>
    <row r="18204" spans="1:5" x14ac:dyDescent="0.25">
      <c r="A18204" s="1033"/>
      <c r="E18204" s="130"/>
    </row>
    <row r="18205" spans="1:5" x14ac:dyDescent="0.25">
      <c r="A18205" s="1033"/>
      <c r="E18205" s="130"/>
    </row>
    <row r="18206" spans="1:5" x14ac:dyDescent="0.25">
      <c r="A18206" s="1033"/>
      <c r="E18206" s="130"/>
    </row>
    <row r="18207" spans="1:5" x14ac:dyDescent="0.25">
      <c r="A18207" s="1033"/>
      <c r="E18207" s="130"/>
    </row>
    <row r="18208" spans="1:5" x14ac:dyDescent="0.25">
      <c r="A18208" s="1033"/>
      <c r="E18208" s="130"/>
    </row>
    <row r="18209" spans="1:5" x14ac:dyDescent="0.25">
      <c r="A18209" s="1033"/>
      <c r="E18209" s="130"/>
    </row>
    <row r="18210" spans="1:5" x14ac:dyDescent="0.25">
      <c r="A18210" s="1033"/>
      <c r="E18210" s="130"/>
    </row>
    <row r="18211" spans="1:5" x14ac:dyDescent="0.25">
      <c r="A18211" s="1033"/>
      <c r="E18211" s="130"/>
    </row>
    <row r="18212" spans="1:5" x14ac:dyDescent="0.25">
      <c r="A18212" s="1033"/>
      <c r="E18212" s="130"/>
    </row>
    <row r="18213" spans="1:5" x14ac:dyDescent="0.25">
      <c r="A18213" s="1033"/>
      <c r="E18213" s="130"/>
    </row>
    <row r="18214" spans="1:5" x14ac:dyDescent="0.25">
      <c r="A18214" s="1033"/>
      <c r="E18214" s="130"/>
    </row>
    <row r="18215" spans="1:5" x14ac:dyDescent="0.25">
      <c r="A18215" s="1033"/>
      <c r="E18215" s="130"/>
    </row>
    <row r="18216" spans="1:5" x14ac:dyDescent="0.25">
      <c r="A18216" s="1033"/>
      <c r="E18216" s="130"/>
    </row>
    <row r="18217" spans="1:5" x14ac:dyDescent="0.25">
      <c r="A18217" s="1033"/>
      <c r="E18217" s="130"/>
    </row>
    <row r="18218" spans="1:5" x14ac:dyDescent="0.25">
      <c r="A18218" s="1033"/>
      <c r="E18218" s="130"/>
    </row>
    <row r="18219" spans="1:5" x14ac:dyDescent="0.25">
      <c r="A18219" s="1033"/>
      <c r="E18219" s="130"/>
    </row>
    <row r="18220" spans="1:5" x14ac:dyDescent="0.25">
      <c r="A18220" s="1033"/>
      <c r="E18220" s="130"/>
    </row>
    <row r="18221" spans="1:5" x14ac:dyDescent="0.25">
      <c r="A18221" s="1033"/>
      <c r="E18221" s="130"/>
    </row>
    <row r="18222" spans="1:5" x14ac:dyDescent="0.25">
      <c r="A18222" s="1033"/>
      <c r="E18222" s="130"/>
    </row>
    <row r="18223" spans="1:5" x14ac:dyDescent="0.25">
      <c r="A18223" s="1033"/>
      <c r="E18223" s="130"/>
    </row>
    <row r="18224" spans="1:5" x14ac:dyDescent="0.25">
      <c r="A18224" s="1033"/>
      <c r="E18224" s="130"/>
    </row>
    <row r="18225" spans="1:5" x14ac:dyDescent="0.25">
      <c r="A18225" s="1033"/>
      <c r="E18225" s="130"/>
    </row>
    <row r="18226" spans="1:5" x14ac:dyDescent="0.25">
      <c r="A18226" s="1033"/>
      <c r="E18226" s="130"/>
    </row>
    <row r="18227" spans="1:5" x14ac:dyDescent="0.25">
      <c r="A18227" s="1033"/>
      <c r="E18227" s="130"/>
    </row>
    <row r="18228" spans="1:5" x14ac:dyDescent="0.25">
      <c r="A18228" s="1033"/>
      <c r="E18228" s="130"/>
    </row>
    <row r="18229" spans="1:5" x14ac:dyDescent="0.25">
      <c r="A18229" s="1033"/>
      <c r="E18229" s="130"/>
    </row>
    <row r="18230" spans="1:5" x14ac:dyDescent="0.25">
      <c r="A18230" s="1033"/>
      <c r="E18230" s="130"/>
    </row>
    <row r="18231" spans="1:5" x14ac:dyDescent="0.25">
      <c r="A18231" s="1033"/>
      <c r="E18231" s="130"/>
    </row>
    <row r="18232" spans="1:5" x14ac:dyDescent="0.25">
      <c r="A18232" s="1033"/>
      <c r="E18232" s="130"/>
    </row>
    <row r="18233" spans="1:5" x14ac:dyDescent="0.25">
      <c r="A18233" s="1033"/>
      <c r="E18233" s="130"/>
    </row>
    <row r="18234" spans="1:5" x14ac:dyDescent="0.25">
      <c r="A18234" s="1033"/>
      <c r="E18234" s="130"/>
    </row>
    <row r="18235" spans="1:5" x14ac:dyDescent="0.25">
      <c r="A18235" s="1033"/>
      <c r="E18235" s="130"/>
    </row>
    <row r="18236" spans="1:5" x14ac:dyDescent="0.25">
      <c r="A18236" s="1033"/>
      <c r="E18236" s="130"/>
    </row>
    <row r="18237" spans="1:5" x14ac:dyDescent="0.25">
      <c r="A18237" s="1033"/>
      <c r="E18237" s="130"/>
    </row>
    <row r="18238" spans="1:5" x14ac:dyDescent="0.25">
      <c r="A18238" s="1033"/>
      <c r="E18238" s="130"/>
    </row>
    <row r="18239" spans="1:5" x14ac:dyDescent="0.25">
      <c r="A18239" s="1033"/>
      <c r="E18239" s="130"/>
    </row>
    <row r="18240" spans="1:5" x14ac:dyDescent="0.25">
      <c r="A18240" s="1033"/>
      <c r="E18240" s="130"/>
    </row>
    <row r="18241" spans="1:5" x14ac:dyDescent="0.25">
      <c r="A18241" s="1033"/>
      <c r="E18241" s="130"/>
    </row>
    <row r="18242" spans="1:5" x14ac:dyDescent="0.25">
      <c r="A18242" s="1033"/>
      <c r="E18242" s="130"/>
    </row>
    <row r="18243" spans="1:5" x14ac:dyDescent="0.25">
      <c r="A18243" s="1033"/>
      <c r="E18243" s="130"/>
    </row>
    <row r="18244" spans="1:5" x14ac:dyDescent="0.25">
      <c r="A18244" s="1033"/>
      <c r="E18244" s="130"/>
    </row>
    <row r="18245" spans="1:5" x14ac:dyDescent="0.25">
      <c r="A18245" s="1033"/>
      <c r="E18245" s="130"/>
    </row>
    <row r="18246" spans="1:5" x14ac:dyDescent="0.25">
      <c r="A18246" s="1033"/>
      <c r="E18246" s="130"/>
    </row>
    <row r="18247" spans="1:5" x14ac:dyDescent="0.25">
      <c r="A18247" s="1033"/>
      <c r="E18247" s="130"/>
    </row>
    <row r="18248" spans="1:5" x14ac:dyDescent="0.25">
      <c r="A18248" s="1033"/>
      <c r="E18248" s="130"/>
    </row>
    <row r="18249" spans="1:5" x14ac:dyDescent="0.25">
      <c r="A18249" s="1033"/>
      <c r="E18249" s="130"/>
    </row>
    <row r="18250" spans="1:5" x14ac:dyDescent="0.25">
      <c r="A18250" s="1033"/>
      <c r="E18250" s="130"/>
    </row>
    <row r="18251" spans="1:5" x14ac:dyDescent="0.25">
      <c r="A18251" s="1033"/>
      <c r="E18251" s="130"/>
    </row>
    <row r="18252" spans="1:5" x14ac:dyDescent="0.25">
      <c r="A18252" s="1033"/>
      <c r="E18252" s="130"/>
    </row>
    <row r="18253" spans="1:5" x14ac:dyDescent="0.25">
      <c r="A18253" s="1033"/>
      <c r="E18253" s="130"/>
    </row>
    <row r="18254" spans="1:5" x14ac:dyDescent="0.25">
      <c r="A18254" s="1033"/>
      <c r="E18254" s="130"/>
    </row>
    <row r="18255" spans="1:5" x14ac:dyDescent="0.25">
      <c r="A18255" s="1033"/>
      <c r="E18255" s="130"/>
    </row>
    <row r="18256" spans="1:5" x14ac:dyDescent="0.25">
      <c r="A18256" s="1033"/>
      <c r="E18256" s="130"/>
    </row>
    <row r="18257" spans="1:5" x14ac:dyDescent="0.25">
      <c r="A18257" s="1033"/>
      <c r="E18257" s="130"/>
    </row>
    <row r="18258" spans="1:5" x14ac:dyDescent="0.25">
      <c r="A18258" s="1033"/>
      <c r="E18258" s="130"/>
    </row>
    <row r="18259" spans="1:5" x14ac:dyDescent="0.25">
      <c r="A18259" s="1033"/>
      <c r="E18259" s="130"/>
    </row>
    <row r="18260" spans="1:5" x14ac:dyDescent="0.25">
      <c r="A18260" s="1033"/>
      <c r="E18260" s="130"/>
    </row>
    <row r="18261" spans="1:5" x14ac:dyDescent="0.25">
      <c r="A18261" s="1033"/>
      <c r="E18261" s="130"/>
    </row>
    <row r="18262" spans="1:5" x14ac:dyDescent="0.25">
      <c r="A18262" s="1033"/>
      <c r="E18262" s="130"/>
    </row>
    <row r="18263" spans="1:5" x14ac:dyDescent="0.25">
      <c r="A18263" s="1033"/>
      <c r="E18263" s="130"/>
    </row>
    <row r="18264" spans="1:5" x14ac:dyDescent="0.25">
      <c r="A18264" s="1033"/>
      <c r="E18264" s="130"/>
    </row>
    <row r="18265" spans="1:5" x14ac:dyDescent="0.25">
      <c r="A18265" s="1033"/>
      <c r="E18265" s="130"/>
    </row>
    <row r="18266" spans="1:5" x14ac:dyDescent="0.25">
      <c r="A18266" s="1033"/>
      <c r="E18266" s="130"/>
    </row>
    <row r="18267" spans="1:5" x14ac:dyDescent="0.25">
      <c r="A18267" s="1033"/>
      <c r="E18267" s="130"/>
    </row>
    <row r="18268" spans="1:5" x14ac:dyDescent="0.25">
      <c r="A18268" s="1033"/>
      <c r="E18268" s="130"/>
    </row>
    <row r="18269" spans="1:5" x14ac:dyDescent="0.25">
      <c r="A18269" s="1033"/>
      <c r="E18269" s="130"/>
    </row>
    <row r="18270" spans="1:5" x14ac:dyDescent="0.25">
      <c r="A18270" s="1033"/>
      <c r="E18270" s="130"/>
    </row>
    <row r="18271" spans="1:5" x14ac:dyDescent="0.25">
      <c r="A18271" s="1033"/>
      <c r="E18271" s="130"/>
    </row>
    <row r="18272" spans="1:5" x14ac:dyDescent="0.25">
      <c r="A18272" s="1033"/>
      <c r="E18272" s="130"/>
    </row>
    <row r="18273" spans="1:5" x14ac:dyDescent="0.25">
      <c r="A18273" s="1033"/>
      <c r="E18273" s="130"/>
    </row>
    <row r="18274" spans="1:5" x14ac:dyDescent="0.25">
      <c r="A18274" s="1033"/>
      <c r="E18274" s="130"/>
    </row>
    <row r="18275" spans="1:5" x14ac:dyDescent="0.25">
      <c r="A18275" s="1033"/>
      <c r="E18275" s="130"/>
    </row>
    <row r="18276" spans="1:5" x14ac:dyDescent="0.25">
      <c r="A18276" s="1033"/>
      <c r="E18276" s="130"/>
    </row>
    <row r="18277" spans="1:5" x14ac:dyDescent="0.25">
      <c r="A18277" s="1033"/>
      <c r="E18277" s="130"/>
    </row>
    <row r="18278" spans="1:5" x14ac:dyDescent="0.25">
      <c r="A18278" s="1033"/>
      <c r="E18278" s="130"/>
    </row>
    <row r="18279" spans="1:5" x14ac:dyDescent="0.25">
      <c r="A18279" s="1033"/>
      <c r="E18279" s="130"/>
    </row>
    <row r="18280" spans="1:5" x14ac:dyDescent="0.25">
      <c r="A18280" s="1033"/>
      <c r="E18280" s="130"/>
    </row>
    <row r="18281" spans="1:5" x14ac:dyDescent="0.25">
      <c r="A18281" s="1033"/>
      <c r="E18281" s="130"/>
    </row>
    <row r="18282" spans="1:5" x14ac:dyDescent="0.25">
      <c r="A18282" s="1033"/>
      <c r="E18282" s="130"/>
    </row>
    <row r="18283" spans="1:5" x14ac:dyDescent="0.25">
      <c r="A18283" s="1033"/>
      <c r="E18283" s="130"/>
    </row>
    <row r="18284" spans="1:5" x14ac:dyDescent="0.25">
      <c r="A18284" s="1033"/>
      <c r="E18284" s="130"/>
    </row>
    <row r="18285" spans="1:5" x14ac:dyDescent="0.25">
      <c r="A18285" s="1033"/>
      <c r="E18285" s="130"/>
    </row>
    <row r="18286" spans="1:5" x14ac:dyDescent="0.25">
      <c r="A18286" s="1033"/>
      <c r="E18286" s="130"/>
    </row>
    <row r="18287" spans="1:5" x14ac:dyDescent="0.25">
      <c r="A18287" s="1033"/>
      <c r="E18287" s="130"/>
    </row>
    <row r="18288" spans="1:5" x14ac:dyDescent="0.25">
      <c r="A18288" s="1033"/>
      <c r="E18288" s="130"/>
    </row>
    <row r="18289" spans="1:5" x14ac:dyDescent="0.25">
      <c r="A18289" s="1033"/>
      <c r="E18289" s="130"/>
    </row>
    <row r="18290" spans="1:5" x14ac:dyDescent="0.25">
      <c r="A18290" s="1033"/>
      <c r="E18290" s="130"/>
    </row>
    <row r="18291" spans="1:5" x14ac:dyDescent="0.25">
      <c r="A18291" s="1033"/>
      <c r="E18291" s="130"/>
    </row>
    <row r="18292" spans="1:5" x14ac:dyDescent="0.25">
      <c r="A18292" s="1033"/>
      <c r="E18292" s="130"/>
    </row>
    <row r="18293" spans="1:5" x14ac:dyDescent="0.25">
      <c r="A18293" s="1033"/>
      <c r="E18293" s="130"/>
    </row>
    <row r="18294" spans="1:5" x14ac:dyDescent="0.25">
      <c r="A18294" s="1033"/>
      <c r="E18294" s="130"/>
    </row>
    <row r="18295" spans="1:5" x14ac:dyDescent="0.25">
      <c r="A18295" s="1033"/>
      <c r="E18295" s="130"/>
    </row>
    <row r="18296" spans="1:5" x14ac:dyDescent="0.25">
      <c r="A18296" s="1033"/>
      <c r="E18296" s="130"/>
    </row>
    <row r="18297" spans="1:5" x14ac:dyDescent="0.25">
      <c r="A18297" s="1033"/>
      <c r="E18297" s="130"/>
    </row>
    <row r="18298" spans="1:5" x14ac:dyDescent="0.25">
      <c r="A18298" s="1033"/>
      <c r="E18298" s="130"/>
    </row>
    <row r="18299" spans="1:5" x14ac:dyDescent="0.25">
      <c r="A18299" s="1033"/>
      <c r="E18299" s="130"/>
    </row>
    <row r="18300" spans="1:5" x14ac:dyDescent="0.25">
      <c r="A18300" s="1033"/>
      <c r="E18300" s="130"/>
    </row>
    <row r="18301" spans="1:5" x14ac:dyDescent="0.25">
      <c r="A18301" s="1033"/>
      <c r="E18301" s="130"/>
    </row>
    <row r="18302" spans="1:5" x14ac:dyDescent="0.25">
      <c r="A18302" s="1033"/>
      <c r="E18302" s="130"/>
    </row>
    <row r="18303" spans="1:5" x14ac:dyDescent="0.25">
      <c r="A18303" s="1033"/>
      <c r="E18303" s="130"/>
    </row>
    <row r="18304" spans="1:5" x14ac:dyDescent="0.25">
      <c r="A18304" s="1033"/>
      <c r="E18304" s="130"/>
    </row>
    <row r="18305" spans="1:5" x14ac:dyDescent="0.25">
      <c r="A18305" s="1033"/>
      <c r="E18305" s="130"/>
    </row>
    <row r="18306" spans="1:5" x14ac:dyDescent="0.25">
      <c r="A18306" s="1033"/>
      <c r="E18306" s="130"/>
    </row>
    <row r="18307" spans="1:5" x14ac:dyDescent="0.25">
      <c r="A18307" s="1033"/>
      <c r="E18307" s="130"/>
    </row>
    <row r="18308" spans="1:5" x14ac:dyDescent="0.25">
      <c r="A18308" s="1033"/>
      <c r="E18308" s="130"/>
    </row>
    <row r="18309" spans="1:5" x14ac:dyDescent="0.25">
      <c r="A18309" s="1033"/>
      <c r="E18309" s="130"/>
    </row>
    <row r="18310" spans="1:5" x14ac:dyDescent="0.25">
      <c r="A18310" s="1033"/>
      <c r="E18310" s="130"/>
    </row>
    <row r="18311" spans="1:5" x14ac:dyDescent="0.25">
      <c r="A18311" s="1033"/>
      <c r="E18311" s="130"/>
    </row>
    <row r="18312" spans="1:5" x14ac:dyDescent="0.25">
      <c r="A18312" s="1033"/>
      <c r="E18312" s="130"/>
    </row>
    <row r="18313" spans="1:5" x14ac:dyDescent="0.25">
      <c r="A18313" s="1033"/>
      <c r="E18313" s="130"/>
    </row>
    <row r="18314" spans="1:5" x14ac:dyDescent="0.25">
      <c r="A18314" s="1033"/>
      <c r="E18314" s="130"/>
    </row>
    <row r="18315" spans="1:5" x14ac:dyDescent="0.25">
      <c r="A18315" s="1033"/>
      <c r="E18315" s="130"/>
    </row>
    <row r="18316" spans="1:5" x14ac:dyDescent="0.25">
      <c r="A18316" s="1033"/>
      <c r="E18316" s="130"/>
    </row>
    <row r="18317" spans="1:5" x14ac:dyDescent="0.25">
      <c r="A18317" s="1033"/>
      <c r="E18317" s="130"/>
    </row>
    <row r="18318" spans="1:5" x14ac:dyDescent="0.25">
      <c r="A18318" s="1033"/>
      <c r="E18318" s="130"/>
    </row>
    <row r="18319" spans="1:5" x14ac:dyDescent="0.25">
      <c r="A18319" s="1033"/>
      <c r="E18319" s="130"/>
    </row>
    <row r="18320" spans="1:5" x14ac:dyDescent="0.25">
      <c r="A18320" s="1033"/>
      <c r="E18320" s="130"/>
    </row>
    <row r="18321" spans="1:5" x14ac:dyDescent="0.25">
      <c r="A18321" s="1033"/>
      <c r="E18321" s="130"/>
    </row>
    <row r="18322" spans="1:5" x14ac:dyDescent="0.25">
      <c r="A18322" s="1033"/>
      <c r="E18322" s="130"/>
    </row>
    <row r="18323" spans="1:5" x14ac:dyDescent="0.25">
      <c r="A18323" s="1033"/>
      <c r="E18323" s="130"/>
    </row>
    <row r="18324" spans="1:5" x14ac:dyDescent="0.25">
      <c r="A18324" s="1033"/>
      <c r="E18324" s="130"/>
    </row>
    <row r="18325" spans="1:5" x14ac:dyDescent="0.25">
      <c r="A18325" s="1033"/>
      <c r="E18325" s="130"/>
    </row>
    <row r="18326" spans="1:5" x14ac:dyDescent="0.25">
      <c r="A18326" s="1033"/>
      <c r="E18326" s="130"/>
    </row>
    <row r="18327" spans="1:5" x14ac:dyDescent="0.25">
      <c r="A18327" s="1033"/>
      <c r="E18327" s="130"/>
    </row>
    <row r="18328" spans="1:5" x14ac:dyDescent="0.25">
      <c r="A18328" s="1033"/>
      <c r="E18328" s="130"/>
    </row>
    <row r="18329" spans="1:5" x14ac:dyDescent="0.25">
      <c r="A18329" s="1033"/>
      <c r="E18329" s="130"/>
    </row>
    <row r="18330" spans="1:5" x14ac:dyDescent="0.25">
      <c r="A18330" s="1033"/>
      <c r="E18330" s="130"/>
    </row>
    <row r="18331" spans="1:5" x14ac:dyDescent="0.25">
      <c r="A18331" s="1033"/>
      <c r="E18331" s="130"/>
    </row>
    <row r="18332" spans="1:5" x14ac:dyDescent="0.25">
      <c r="A18332" s="1033"/>
      <c r="E18332" s="130"/>
    </row>
    <row r="18333" spans="1:5" x14ac:dyDescent="0.25">
      <c r="A18333" s="1033"/>
      <c r="E18333" s="130"/>
    </row>
    <row r="18334" spans="1:5" x14ac:dyDescent="0.25">
      <c r="A18334" s="1033"/>
      <c r="E18334" s="130"/>
    </row>
    <row r="18335" spans="1:5" x14ac:dyDescent="0.25">
      <c r="A18335" s="1033"/>
      <c r="E18335" s="130"/>
    </row>
    <row r="18336" spans="1:5" x14ac:dyDescent="0.25">
      <c r="A18336" s="1033"/>
      <c r="E18336" s="130"/>
    </row>
    <row r="18337" spans="1:5" x14ac:dyDescent="0.25">
      <c r="A18337" s="1033"/>
      <c r="E18337" s="130"/>
    </row>
    <row r="18338" spans="1:5" x14ac:dyDescent="0.25">
      <c r="A18338" s="1033"/>
      <c r="E18338" s="130"/>
    </row>
    <row r="18339" spans="1:5" x14ac:dyDescent="0.25">
      <c r="A18339" s="1033"/>
      <c r="E18339" s="130"/>
    </row>
    <row r="18340" spans="1:5" x14ac:dyDescent="0.25">
      <c r="A18340" s="1033"/>
      <c r="E18340" s="130"/>
    </row>
    <row r="18341" spans="1:5" x14ac:dyDescent="0.25">
      <c r="A18341" s="1033"/>
      <c r="E18341" s="130"/>
    </row>
    <row r="18342" spans="1:5" x14ac:dyDescent="0.25">
      <c r="A18342" s="1033"/>
      <c r="E18342" s="130"/>
    </row>
    <row r="18343" spans="1:5" x14ac:dyDescent="0.25">
      <c r="A18343" s="1033"/>
      <c r="E18343" s="130"/>
    </row>
    <row r="18344" spans="1:5" x14ac:dyDescent="0.25">
      <c r="A18344" s="1033"/>
      <c r="E18344" s="130"/>
    </row>
    <row r="18345" spans="1:5" x14ac:dyDescent="0.25">
      <c r="A18345" s="1033"/>
      <c r="E18345" s="130"/>
    </row>
    <row r="18346" spans="1:5" x14ac:dyDescent="0.25">
      <c r="A18346" s="1033"/>
      <c r="E18346" s="130"/>
    </row>
    <row r="18347" spans="1:5" x14ac:dyDescent="0.25">
      <c r="A18347" s="1033"/>
      <c r="E18347" s="130"/>
    </row>
    <row r="18348" spans="1:5" x14ac:dyDescent="0.25">
      <c r="A18348" s="1033"/>
      <c r="E18348" s="130"/>
    </row>
    <row r="18349" spans="1:5" x14ac:dyDescent="0.25">
      <c r="A18349" s="1033"/>
      <c r="E18349" s="130"/>
    </row>
    <row r="18350" spans="1:5" x14ac:dyDescent="0.25">
      <c r="A18350" s="1033"/>
      <c r="E18350" s="130"/>
    </row>
    <row r="18351" spans="1:5" x14ac:dyDescent="0.25">
      <c r="A18351" s="1033"/>
      <c r="E18351" s="130"/>
    </row>
    <row r="18352" spans="1:5" x14ac:dyDescent="0.25">
      <c r="A18352" s="1033"/>
      <c r="E18352" s="130"/>
    </row>
    <row r="18353" spans="1:5" x14ac:dyDescent="0.25">
      <c r="A18353" s="1033"/>
      <c r="E18353" s="130"/>
    </row>
    <row r="18354" spans="1:5" x14ac:dyDescent="0.25">
      <c r="A18354" s="1033"/>
      <c r="E18354" s="130"/>
    </row>
    <row r="18355" spans="1:5" x14ac:dyDescent="0.25">
      <c r="A18355" s="1033"/>
      <c r="E18355" s="130"/>
    </row>
    <row r="18356" spans="1:5" x14ac:dyDescent="0.25">
      <c r="A18356" s="1033"/>
      <c r="E18356" s="130"/>
    </row>
    <row r="18357" spans="1:5" x14ac:dyDescent="0.25">
      <c r="A18357" s="1033"/>
      <c r="E18357" s="130"/>
    </row>
    <row r="18358" spans="1:5" x14ac:dyDescent="0.25">
      <c r="A18358" s="1033"/>
      <c r="E18358" s="130"/>
    </row>
    <row r="18359" spans="1:5" x14ac:dyDescent="0.25">
      <c r="A18359" s="1033"/>
      <c r="E18359" s="130"/>
    </row>
    <row r="18360" spans="1:5" x14ac:dyDescent="0.25">
      <c r="A18360" s="1033"/>
      <c r="E18360" s="130"/>
    </row>
    <row r="18361" spans="1:5" x14ac:dyDescent="0.25">
      <c r="A18361" s="1033"/>
      <c r="E18361" s="130"/>
    </row>
    <row r="18362" spans="1:5" x14ac:dyDescent="0.25">
      <c r="A18362" s="1033"/>
      <c r="E18362" s="130"/>
    </row>
    <row r="18363" spans="1:5" x14ac:dyDescent="0.25">
      <c r="A18363" s="1033"/>
      <c r="E18363" s="130"/>
    </row>
    <row r="18364" spans="1:5" x14ac:dyDescent="0.25">
      <c r="A18364" s="1033"/>
      <c r="E18364" s="130"/>
    </row>
    <row r="18365" spans="1:5" x14ac:dyDescent="0.25">
      <c r="A18365" s="1033"/>
      <c r="E18365" s="130"/>
    </row>
    <row r="18366" spans="1:5" x14ac:dyDescent="0.25">
      <c r="A18366" s="1033"/>
      <c r="E18366" s="130"/>
    </row>
    <row r="18367" spans="1:5" x14ac:dyDescent="0.25">
      <c r="A18367" s="1033"/>
      <c r="E18367" s="130"/>
    </row>
    <row r="18368" spans="1:5" x14ac:dyDescent="0.25">
      <c r="A18368" s="1033"/>
      <c r="E18368" s="130"/>
    </row>
    <row r="18369" spans="1:5" x14ac:dyDescent="0.25">
      <c r="A18369" s="1033"/>
      <c r="E18369" s="130"/>
    </row>
    <row r="18370" spans="1:5" x14ac:dyDescent="0.25">
      <c r="A18370" s="1033"/>
      <c r="E18370" s="130"/>
    </row>
    <row r="18371" spans="1:5" x14ac:dyDescent="0.25">
      <c r="A18371" s="1033"/>
      <c r="E18371" s="130"/>
    </row>
    <row r="18372" spans="1:5" x14ac:dyDescent="0.25">
      <c r="A18372" s="1033"/>
      <c r="E18372" s="130"/>
    </row>
    <row r="18373" spans="1:5" x14ac:dyDescent="0.25">
      <c r="A18373" s="1033"/>
      <c r="E18373" s="130"/>
    </row>
    <row r="18374" spans="1:5" x14ac:dyDescent="0.25">
      <c r="A18374" s="1033"/>
      <c r="E18374" s="130"/>
    </row>
    <row r="18375" spans="1:5" x14ac:dyDescent="0.25">
      <c r="A18375" s="1033"/>
      <c r="E18375" s="130"/>
    </row>
    <row r="18376" spans="1:5" x14ac:dyDescent="0.25">
      <c r="A18376" s="1033"/>
      <c r="E18376" s="130"/>
    </row>
    <row r="18377" spans="1:5" x14ac:dyDescent="0.25">
      <c r="A18377" s="1033"/>
      <c r="E18377" s="130"/>
    </row>
    <row r="18378" spans="1:5" x14ac:dyDescent="0.25">
      <c r="A18378" s="1033"/>
      <c r="E18378" s="130"/>
    </row>
    <row r="18379" spans="1:5" x14ac:dyDescent="0.25">
      <c r="A18379" s="1033"/>
      <c r="E18379" s="130"/>
    </row>
    <row r="18380" spans="1:5" x14ac:dyDescent="0.25">
      <c r="A18380" s="1033"/>
      <c r="E18380" s="130"/>
    </row>
    <row r="18381" spans="1:5" x14ac:dyDescent="0.25">
      <c r="A18381" s="1033"/>
      <c r="E18381" s="130"/>
    </row>
    <row r="18382" spans="1:5" x14ac:dyDescent="0.25">
      <c r="A18382" s="1033"/>
      <c r="E18382" s="130"/>
    </row>
    <row r="18383" spans="1:5" x14ac:dyDescent="0.25">
      <c r="A18383" s="1033"/>
      <c r="E18383" s="130"/>
    </row>
    <row r="18384" spans="1:5" x14ac:dyDescent="0.25">
      <c r="A18384" s="1033"/>
      <c r="E18384" s="130"/>
    </row>
    <row r="18385" spans="1:5" x14ac:dyDescent="0.25">
      <c r="A18385" s="1033"/>
      <c r="E18385" s="130"/>
    </row>
    <row r="18386" spans="1:5" x14ac:dyDescent="0.25">
      <c r="A18386" s="1033"/>
      <c r="E18386" s="130"/>
    </row>
    <row r="18387" spans="1:5" x14ac:dyDescent="0.25">
      <c r="A18387" s="1033"/>
      <c r="E18387" s="130"/>
    </row>
    <row r="18388" spans="1:5" x14ac:dyDescent="0.25">
      <c r="A18388" s="1033"/>
      <c r="E18388" s="130"/>
    </row>
    <row r="18389" spans="1:5" x14ac:dyDescent="0.25">
      <c r="A18389" s="1033"/>
      <c r="E18389" s="130"/>
    </row>
    <row r="18390" spans="1:5" x14ac:dyDescent="0.25">
      <c r="A18390" s="1033"/>
      <c r="E18390" s="130"/>
    </row>
    <row r="18391" spans="1:5" x14ac:dyDescent="0.25">
      <c r="A18391" s="1033"/>
      <c r="E18391" s="130"/>
    </row>
    <row r="18392" spans="1:5" x14ac:dyDescent="0.25">
      <c r="A18392" s="1033"/>
      <c r="E18392" s="130"/>
    </row>
    <row r="18393" spans="1:5" x14ac:dyDescent="0.25">
      <c r="A18393" s="1033"/>
      <c r="E18393" s="130"/>
    </row>
    <row r="18394" spans="1:5" x14ac:dyDescent="0.25">
      <c r="A18394" s="1033"/>
      <c r="E18394" s="130"/>
    </row>
    <row r="18395" spans="1:5" x14ac:dyDescent="0.25">
      <c r="A18395" s="1033"/>
      <c r="E18395" s="130"/>
    </row>
    <row r="18396" spans="1:5" x14ac:dyDescent="0.25">
      <c r="A18396" s="1033"/>
      <c r="E18396" s="130"/>
    </row>
    <row r="18397" spans="1:5" x14ac:dyDescent="0.25">
      <c r="A18397" s="1033"/>
      <c r="E18397" s="130"/>
    </row>
    <row r="18398" spans="1:5" x14ac:dyDescent="0.25">
      <c r="A18398" s="1033"/>
      <c r="E18398" s="130"/>
    </row>
    <row r="18399" spans="1:5" x14ac:dyDescent="0.25">
      <c r="A18399" s="1033"/>
      <c r="E18399" s="130"/>
    </row>
    <row r="18400" spans="1:5" x14ac:dyDescent="0.25">
      <c r="A18400" s="1033"/>
      <c r="E18400" s="130"/>
    </row>
    <row r="18401" spans="1:5" x14ac:dyDescent="0.25">
      <c r="A18401" s="1033"/>
      <c r="E18401" s="130"/>
    </row>
    <row r="18402" spans="1:5" x14ac:dyDescent="0.25">
      <c r="A18402" s="1033"/>
      <c r="E18402" s="130"/>
    </row>
    <row r="18403" spans="1:5" x14ac:dyDescent="0.25">
      <c r="A18403" s="1033"/>
      <c r="E18403" s="130"/>
    </row>
    <row r="18404" spans="1:5" x14ac:dyDescent="0.25">
      <c r="A18404" s="1033"/>
      <c r="E18404" s="130"/>
    </row>
    <row r="18405" spans="1:5" x14ac:dyDescent="0.25">
      <c r="A18405" s="1033"/>
      <c r="E18405" s="130"/>
    </row>
    <row r="18406" spans="1:5" x14ac:dyDescent="0.25">
      <c r="A18406" s="1033"/>
      <c r="E18406" s="130"/>
    </row>
    <row r="18407" spans="1:5" x14ac:dyDescent="0.25">
      <c r="A18407" s="1033"/>
      <c r="E18407" s="130"/>
    </row>
    <row r="18408" spans="1:5" x14ac:dyDescent="0.25">
      <c r="A18408" s="1033"/>
      <c r="E18408" s="130"/>
    </row>
    <row r="18409" spans="1:5" x14ac:dyDescent="0.25">
      <c r="A18409" s="1033"/>
      <c r="E18409" s="130"/>
    </row>
    <row r="18410" spans="1:5" x14ac:dyDescent="0.25">
      <c r="A18410" s="1033"/>
      <c r="E18410" s="130"/>
    </row>
    <row r="18411" spans="1:5" x14ac:dyDescent="0.25">
      <c r="A18411" s="1033"/>
      <c r="E18411" s="130"/>
    </row>
    <row r="18412" spans="1:5" x14ac:dyDescent="0.25">
      <c r="A18412" s="1033"/>
      <c r="E18412" s="130"/>
    </row>
    <row r="18413" spans="1:5" x14ac:dyDescent="0.25">
      <c r="A18413" s="1033"/>
      <c r="E18413" s="130"/>
    </row>
    <row r="18414" spans="1:5" x14ac:dyDescent="0.25">
      <c r="A18414" s="1033"/>
      <c r="E18414" s="130"/>
    </row>
    <row r="18415" spans="1:5" x14ac:dyDescent="0.25">
      <c r="A18415" s="1033"/>
      <c r="E18415" s="130"/>
    </row>
    <row r="18416" spans="1:5" x14ac:dyDescent="0.25">
      <c r="A18416" s="1033"/>
      <c r="E18416" s="130"/>
    </row>
    <row r="18417" spans="1:5" x14ac:dyDescent="0.25">
      <c r="A18417" s="1033"/>
      <c r="E18417" s="130"/>
    </row>
    <row r="18418" spans="1:5" x14ac:dyDescent="0.25">
      <c r="A18418" s="1033"/>
      <c r="E18418" s="130"/>
    </row>
    <row r="18419" spans="1:5" x14ac:dyDescent="0.25">
      <c r="A18419" s="1033"/>
      <c r="E18419" s="130"/>
    </row>
    <row r="18420" spans="1:5" x14ac:dyDescent="0.25">
      <c r="A18420" s="1033"/>
      <c r="E18420" s="130"/>
    </row>
    <row r="18421" spans="1:5" x14ac:dyDescent="0.25">
      <c r="A18421" s="1033"/>
      <c r="E18421" s="130"/>
    </row>
    <row r="18422" spans="1:5" x14ac:dyDescent="0.25">
      <c r="A18422" s="1033"/>
      <c r="E18422" s="130"/>
    </row>
    <row r="18423" spans="1:5" x14ac:dyDescent="0.25">
      <c r="A18423" s="1033"/>
      <c r="E18423" s="130"/>
    </row>
    <row r="18424" spans="1:5" x14ac:dyDescent="0.25">
      <c r="A18424" s="1033"/>
      <c r="E18424" s="130"/>
    </row>
    <row r="18425" spans="1:5" x14ac:dyDescent="0.25">
      <c r="A18425" s="1033"/>
      <c r="E18425" s="130"/>
    </row>
    <row r="18426" spans="1:5" x14ac:dyDescent="0.25">
      <c r="A18426" s="1033"/>
      <c r="E18426" s="130"/>
    </row>
    <row r="18427" spans="1:5" x14ac:dyDescent="0.25">
      <c r="A18427" s="1033"/>
      <c r="E18427" s="130"/>
    </row>
    <row r="18428" spans="1:5" x14ac:dyDescent="0.25">
      <c r="A18428" s="1033"/>
      <c r="E18428" s="130"/>
    </row>
    <row r="18429" spans="1:5" x14ac:dyDescent="0.25">
      <c r="A18429" s="1033"/>
      <c r="E18429" s="130"/>
    </row>
    <row r="18430" spans="1:5" x14ac:dyDescent="0.25">
      <c r="A18430" s="1033"/>
      <c r="E18430" s="130"/>
    </row>
    <row r="18431" spans="1:5" x14ac:dyDescent="0.25">
      <c r="A18431" s="1033"/>
      <c r="E18431" s="130"/>
    </row>
    <row r="18432" spans="1:5" x14ac:dyDescent="0.25">
      <c r="A18432" s="1033"/>
      <c r="E18432" s="130"/>
    </row>
    <row r="18433" spans="1:5" x14ac:dyDescent="0.25">
      <c r="A18433" s="1033"/>
      <c r="E18433" s="130"/>
    </row>
    <row r="18434" spans="1:5" x14ac:dyDescent="0.25">
      <c r="A18434" s="1033"/>
      <c r="E18434" s="130"/>
    </row>
    <row r="18435" spans="1:5" x14ac:dyDescent="0.25">
      <c r="A18435" s="1033"/>
      <c r="E18435" s="130"/>
    </row>
    <row r="18436" spans="1:5" x14ac:dyDescent="0.25">
      <c r="A18436" s="1033"/>
      <c r="E18436" s="130"/>
    </row>
    <row r="18437" spans="1:5" x14ac:dyDescent="0.25">
      <c r="A18437" s="1033"/>
      <c r="E18437" s="130"/>
    </row>
    <row r="18438" spans="1:5" x14ac:dyDescent="0.25">
      <c r="A18438" s="1033"/>
      <c r="E18438" s="130"/>
    </row>
    <row r="18439" spans="1:5" x14ac:dyDescent="0.25">
      <c r="A18439" s="1033"/>
      <c r="E18439" s="130"/>
    </row>
    <row r="18440" spans="1:5" x14ac:dyDescent="0.25">
      <c r="A18440" s="1033"/>
      <c r="E18440" s="130"/>
    </row>
    <row r="18441" spans="1:5" x14ac:dyDescent="0.25">
      <c r="A18441" s="1033"/>
      <c r="E18441" s="130"/>
    </row>
    <row r="18442" spans="1:5" x14ac:dyDescent="0.25">
      <c r="A18442" s="1033"/>
      <c r="E18442" s="130"/>
    </row>
    <row r="18443" spans="1:5" x14ac:dyDescent="0.25">
      <c r="A18443" s="1033"/>
      <c r="E18443" s="130"/>
    </row>
    <row r="18444" spans="1:5" x14ac:dyDescent="0.25">
      <c r="A18444" s="1033"/>
      <c r="E18444" s="130"/>
    </row>
    <row r="18445" spans="1:5" x14ac:dyDescent="0.25">
      <c r="A18445" s="1033"/>
      <c r="E18445" s="130"/>
    </row>
    <row r="18446" spans="1:5" x14ac:dyDescent="0.25">
      <c r="A18446" s="1033"/>
      <c r="E18446" s="130"/>
    </row>
    <row r="18447" spans="1:5" x14ac:dyDescent="0.25">
      <c r="A18447" s="1033"/>
      <c r="E18447" s="130"/>
    </row>
    <row r="18448" spans="1:5" x14ac:dyDescent="0.25">
      <c r="A18448" s="1033"/>
      <c r="E18448" s="130"/>
    </row>
    <row r="18449" spans="1:5" x14ac:dyDescent="0.25">
      <c r="A18449" s="1033"/>
      <c r="E18449" s="130"/>
    </row>
    <row r="18450" spans="1:5" x14ac:dyDescent="0.25">
      <c r="A18450" s="1033"/>
      <c r="E18450" s="130"/>
    </row>
    <row r="18451" spans="1:5" x14ac:dyDescent="0.25">
      <c r="A18451" s="1033"/>
      <c r="E18451" s="130"/>
    </row>
    <row r="18452" spans="1:5" x14ac:dyDescent="0.25">
      <c r="A18452" s="1033"/>
      <c r="E18452" s="130"/>
    </row>
    <row r="18453" spans="1:5" x14ac:dyDescent="0.25">
      <c r="A18453" s="1033"/>
      <c r="E18453" s="130"/>
    </row>
    <row r="18454" spans="1:5" x14ac:dyDescent="0.25">
      <c r="A18454" s="1033"/>
      <c r="E18454" s="130"/>
    </row>
    <row r="18455" spans="1:5" x14ac:dyDescent="0.25">
      <c r="A18455" s="1033"/>
      <c r="E18455" s="130"/>
    </row>
    <row r="18456" spans="1:5" x14ac:dyDescent="0.25">
      <c r="A18456" s="1033"/>
      <c r="E18456" s="130"/>
    </row>
    <row r="18457" spans="1:5" x14ac:dyDescent="0.25">
      <c r="A18457" s="1033"/>
      <c r="E18457" s="130"/>
    </row>
    <row r="18458" spans="1:5" x14ac:dyDescent="0.25">
      <c r="A18458" s="1033"/>
      <c r="E18458" s="130"/>
    </row>
    <row r="18459" spans="1:5" x14ac:dyDescent="0.25">
      <c r="A18459" s="1033"/>
      <c r="E18459" s="130"/>
    </row>
    <row r="18460" spans="1:5" x14ac:dyDescent="0.25">
      <c r="A18460" s="1033"/>
      <c r="E18460" s="130"/>
    </row>
    <row r="18461" spans="1:5" x14ac:dyDescent="0.25">
      <c r="A18461" s="1033"/>
      <c r="E18461" s="130"/>
    </row>
    <row r="18462" spans="1:5" x14ac:dyDescent="0.25">
      <c r="A18462" s="1033"/>
      <c r="E18462" s="130"/>
    </row>
    <row r="18463" spans="1:5" x14ac:dyDescent="0.25">
      <c r="A18463" s="1033"/>
      <c r="E18463" s="130"/>
    </row>
    <row r="18464" spans="1:5" x14ac:dyDescent="0.25">
      <c r="A18464" s="1033"/>
      <c r="E18464" s="130"/>
    </row>
    <row r="18465" spans="1:5" x14ac:dyDescent="0.25">
      <c r="A18465" s="1033"/>
      <c r="E18465" s="130"/>
    </row>
    <row r="18466" spans="1:5" x14ac:dyDescent="0.25">
      <c r="A18466" s="1033"/>
      <c r="E18466" s="130"/>
    </row>
    <row r="18467" spans="1:5" x14ac:dyDescent="0.25">
      <c r="A18467" s="1033"/>
      <c r="E18467" s="130"/>
    </row>
    <row r="18468" spans="1:5" x14ac:dyDescent="0.25">
      <c r="A18468" s="1033"/>
      <c r="E18468" s="130"/>
    </row>
    <row r="18469" spans="1:5" x14ac:dyDescent="0.25">
      <c r="A18469" s="1033"/>
      <c r="E18469" s="130"/>
    </row>
    <row r="18470" spans="1:5" x14ac:dyDescent="0.25">
      <c r="A18470" s="1033"/>
      <c r="E18470" s="130"/>
    </row>
    <row r="18471" spans="1:5" x14ac:dyDescent="0.25">
      <c r="A18471" s="1033"/>
      <c r="E18471" s="130"/>
    </row>
    <row r="18472" spans="1:5" x14ac:dyDescent="0.25">
      <c r="A18472" s="1033"/>
      <c r="E18472" s="130"/>
    </row>
    <row r="18473" spans="1:5" x14ac:dyDescent="0.25">
      <c r="A18473" s="1033"/>
      <c r="E18473" s="130"/>
    </row>
    <row r="18474" spans="1:5" x14ac:dyDescent="0.25">
      <c r="A18474" s="1033"/>
      <c r="E18474" s="130"/>
    </row>
    <row r="18475" spans="1:5" x14ac:dyDescent="0.25">
      <c r="A18475" s="1033"/>
      <c r="E18475" s="130"/>
    </row>
    <row r="18476" spans="1:5" x14ac:dyDescent="0.25">
      <c r="A18476" s="1033"/>
      <c r="E18476" s="130"/>
    </row>
    <row r="18477" spans="1:5" x14ac:dyDescent="0.25">
      <c r="A18477" s="1033"/>
      <c r="E18477" s="130"/>
    </row>
    <row r="18478" spans="1:5" x14ac:dyDescent="0.25">
      <c r="A18478" s="1033"/>
      <c r="E18478" s="130"/>
    </row>
    <row r="18479" spans="1:5" x14ac:dyDescent="0.25">
      <c r="A18479" s="1033"/>
      <c r="E18479" s="130"/>
    </row>
    <row r="18480" spans="1:5" x14ac:dyDescent="0.25">
      <c r="A18480" s="1033"/>
      <c r="E18480" s="130"/>
    </row>
    <row r="18481" spans="1:5" x14ac:dyDescent="0.25">
      <c r="A18481" s="1033"/>
      <c r="E18481" s="130"/>
    </row>
    <row r="18482" spans="1:5" x14ac:dyDescent="0.25">
      <c r="A18482" s="1033"/>
      <c r="E18482" s="130"/>
    </row>
    <row r="18483" spans="1:5" x14ac:dyDescent="0.25">
      <c r="A18483" s="1033"/>
      <c r="E18483" s="130"/>
    </row>
    <row r="18484" spans="1:5" x14ac:dyDescent="0.25">
      <c r="A18484" s="1033"/>
      <c r="E18484" s="130"/>
    </row>
    <row r="18485" spans="1:5" x14ac:dyDescent="0.25">
      <c r="A18485" s="1033"/>
      <c r="E18485" s="130"/>
    </row>
    <row r="18486" spans="1:5" x14ac:dyDescent="0.25">
      <c r="A18486" s="1033"/>
      <c r="E18486" s="130"/>
    </row>
    <row r="18487" spans="1:5" x14ac:dyDescent="0.25">
      <c r="A18487" s="1033"/>
      <c r="E18487" s="130"/>
    </row>
    <row r="18488" spans="1:5" x14ac:dyDescent="0.25">
      <c r="A18488" s="1033"/>
      <c r="E18488" s="130"/>
    </row>
    <row r="18489" spans="1:5" x14ac:dyDescent="0.25">
      <c r="A18489" s="1033"/>
      <c r="E18489" s="130"/>
    </row>
    <row r="18490" spans="1:5" x14ac:dyDescent="0.25">
      <c r="A18490" s="1033"/>
      <c r="E18490" s="130"/>
    </row>
    <row r="18491" spans="1:5" x14ac:dyDescent="0.25">
      <c r="A18491" s="1033"/>
      <c r="E18491" s="130"/>
    </row>
    <row r="18492" spans="1:5" x14ac:dyDescent="0.25">
      <c r="A18492" s="1033"/>
      <c r="E18492" s="130"/>
    </row>
    <row r="18493" spans="1:5" x14ac:dyDescent="0.25">
      <c r="A18493" s="1033"/>
      <c r="E18493" s="130"/>
    </row>
    <row r="18494" spans="1:5" x14ac:dyDescent="0.25">
      <c r="A18494" s="1033"/>
      <c r="E18494" s="130"/>
    </row>
    <row r="18495" spans="1:5" x14ac:dyDescent="0.25">
      <c r="A18495" s="1033"/>
      <c r="E18495" s="130"/>
    </row>
    <row r="18496" spans="1:5" x14ac:dyDescent="0.25">
      <c r="A18496" s="1033"/>
      <c r="E18496" s="130"/>
    </row>
    <row r="18497" spans="1:5" x14ac:dyDescent="0.25">
      <c r="A18497" s="1033"/>
      <c r="E18497" s="130"/>
    </row>
    <row r="18498" spans="1:5" x14ac:dyDescent="0.25">
      <c r="A18498" s="1033"/>
      <c r="E18498" s="130"/>
    </row>
    <row r="18499" spans="1:5" x14ac:dyDescent="0.25">
      <c r="A18499" s="1033"/>
      <c r="E18499" s="130"/>
    </row>
    <row r="18500" spans="1:5" x14ac:dyDescent="0.25">
      <c r="A18500" s="1033"/>
      <c r="E18500" s="130"/>
    </row>
    <row r="18501" spans="1:5" x14ac:dyDescent="0.25">
      <c r="A18501" s="1033"/>
      <c r="E18501" s="130"/>
    </row>
    <row r="18502" spans="1:5" x14ac:dyDescent="0.25">
      <c r="A18502" s="1033"/>
      <c r="E18502" s="130"/>
    </row>
    <row r="18503" spans="1:5" x14ac:dyDescent="0.25">
      <c r="A18503" s="1033"/>
      <c r="E18503" s="130"/>
    </row>
    <row r="18504" spans="1:5" x14ac:dyDescent="0.25">
      <c r="A18504" s="1033"/>
      <c r="E18504" s="130"/>
    </row>
    <row r="18505" spans="1:5" x14ac:dyDescent="0.25">
      <c r="A18505" s="1033"/>
      <c r="E18505" s="130"/>
    </row>
    <row r="18506" spans="1:5" x14ac:dyDescent="0.25">
      <c r="A18506" s="1033"/>
      <c r="E18506" s="130"/>
    </row>
    <row r="18507" spans="1:5" x14ac:dyDescent="0.25">
      <c r="A18507" s="1033"/>
      <c r="E18507" s="130"/>
    </row>
    <row r="18508" spans="1:5" x14ac:dyDescent="0.25">
      <c r="A18508" s="1033"/>
      <c r="E18508" s="130"/>
    </row>
    <row r="18509" spans="1:5" x14ac:dyDescent="0.25">
      <c r="A18509" s="1033"/>
      <c r="E18509" s="130"/>
    </row>
    <row r="18510" spans="1:5" x14ac:dyDescent="0.25">
      <c r="A18510" s="1033"/>
      <c r="E18510" s="130"/>
    </row>
    <row r="18511" spans="1:5" x14ac:dyDescent="0.25">
      <c r="A18511" s="1033"/>
      <c r="E18511" s="130"/>
    </row>
    <row r="18512" spans="1:5" x14ac:dyDescent="0.25">
      <c r="A18512" s="1033"/>
      <c r="E18512" s="130"/>
    </row>
    <row r="18513" spans="1:5" x14ac:dyDescent="0.25">
      <c r="A18513" s="1033"/>
      <c r="E18513" s="130"/>
    </row>
    <row r="18514" spans="1:5" x14ac:dyDescent="0.25">
      <c r="A18514" s="1033"/>
      <c r="E18514" s="130"/>
    </row>
    <row r="18515" spans="1:5" x14ac:dyDescent="0.25">
      <c r="A18515" s="1033"/>
      <c r="E18515" s="130"/>
    </row>
    <row r="18516" spans="1:5" x14ac:dyDescent="0.25">
      <c r="A18516" s="1033"/>
      <c r="E18516" s="130"/>
    </row>
    <row r="18517" spans="1:5" x14ac:dyDescent="0.25">
      <c r="A18517" s="1033"/>
      <c r="E18517" s="130"/>
    </row>
    <row r="18518" spans="1:5" x14ac:dyDescent="0.25">
      <c r="A18518" s="1033"/>
      <c r="E18518" s="130"/>
    </row>
    <row r="18519" spans="1:5" x14ac:dyDescent="0.25">
      <c r="A18519" s="1033"/>
      <c r="E18519" s="130"/>
    </row>
    <row r="18520" spans="1:5" x14ac:dyDescent="0.25">
      <c r="A18520" s="1033"/>
      <c r="E18520" s="130"/>
    </row>
    <row r="18521" spans="1:5" x14ac:dyDescent="0.25">
      <c r="A18521" s="1033"/>
      <c r="E18521" s="130"/>
    </row>
    <row r="18522" spans="1:5" x14ac:dyDescent="0.25">
      <c r="A18522" s="1033"/>
      <c r="E18522" s="130"/>
    </row>
    <row r="18523" spans="1:5" x14ac:dyDescent="0.25">
      <c r="A18523" s="1033"/>
      <c r="E18523" s="130"/>
    </row>
    <row r="18524" spans="1:5" x14ac:dyDescent="0.25">
      <c r="A18524" s="1033"/>
      <c r="E18524" s="130"/>
    </row>
    <row r="18525" spans="1:5" x14ac:dyDescent="0.25">
      <c r="A18525" s="1033"/>
      <c r="E18525" s="130"/>
    </row>
    <row r="18526" spans="1:5" x14ac:dyDescent="0.25">
      <c r="A18526" s="1033"/>
      <c r="E18526" s="130"/>
    </row>
    <row r="18527" spans="1:5" x14ac:dyDescent="0.25">
      <c r="A18527" s="1033"/>
      <c r="E18527" s="130"/>
    </row>
    <row r="18528" spans="1:5" x14ac:dyDescent="0.25">
      <c r="A18528" s="1033"/>
      <c r="E18528" s="130"/>
    </row>
    <row r="18529" spans="1:5" x14ac:dyDescent="0.25">
      <c r="A18529" s="1033"/>
      <c r="E18529" s="130"/>
    </row>
    <row r="18530" spans="1:5" x14ac:dyDescent="0.25">
      <c r="A18530" s="1033"/>
      <c r="E18530" s="130"/>
    </row>
    <row r="18531" spans="1:5" x14ac:dyDescent="0.25">
      <c r="A18531" s="1033"/>
      <c r="E18531" s="130"/>
    </row>
    <row r="18532" spans="1:5" x14ac:dyDescent="0.25">
      <c r="A18532" s="1033"/>
      <c r="E18532" s="130"/>
    </row>
    <row r="18533" spans="1:5" x14ac:dyDescent="0.25">
      <c r="A18533" s="1033"/>
      <c r="E18533" s="130"/>
    </row>
    <row r="18534" spans="1:5" x14ac:dyDescent="0.25">
      <c r="A18534" s="1033"/>
      <c r="E18534" s="130"/>
    </row>
    <row r="18535" spans="1:5" x14ac:dyDescent="0.25">
      <c r="A18535" s="1033"/>
      <c r="E18535" s="130"/>
    </row>
    <row r="18536" spans="1:5" x14ac:dyDescent="0.25">
      <c r="A18536" s="1033"/>
      <c r="E18536" s="130"/>
    </row>
    <row r="18537" spans="1:5" x14ac:dyDescent="0.25">
      <c r="A18537" s="1033"/>
      <c r="E18537" s="130"/>
    </row>
    <row r="18538" spans="1:5" x14ac:dyDescent="0.25">
      <c r="A18538" s="1033"/>
      <c r="E18538" s="130"/>
    </row>
    <row r="18539" spans="1:5" x14ac:dyDescent="0.25">
      <c r="A18539" s="1033"/>
      <c r="E18539" s="130"/>
    </row>
    <row r="18540" spans="1:5" x14ac:dyDescent="0.25">
      <c r="A18540" s="1033"/>
      <c r="E18540" s="130"/>
    </row>
    <row r="18541" spans="1:5" x14ac:dyDescent="0.25">
      <c r="A18541" s="1033"/>
      <c r="E18541" s="130"/>
    </row>
    <row r="18542" spans="1:5" x14ac:dyDescent="0.25">
      <c r="A18542" s="1033"/>
      <c r="E18542" s="130"/>
    </row>
    <row r="18543" spans="1:5" x14ac:dyDescent="0.25">
      <c r="A18543" s="1033"/>
      <c r="E18543" s="130"/>
    </row>
    <row r="18544" spans="1:5" x14ac:dyDescent="0.25">
      <c r="A18544" s="1033"/>
      <c r="E18544" s="130"/>
    </row>
    <row r="18545" spans="1:5" x14ac:dyDescent="0.25">
      <c r="A18545" s="1033"/>
      <c r="E18545" s="130"/>
    </row>
    <row r="18546" spans="1:5" x14ac:dyDescent="0.25">
      <c r="A18546" s="1033"/>
      <c r="E18546" s="130"/>
    </row>
    <row r="18547" spans="1:5" x14ac:dyDescent="0.25">
      <c r="A18547" s="1033"/>
      <c r="E18547" s="130"/>
    </row>
    <row r="18548" spans="1:5" x14ac:dyDescent="0.25">
      <c r="A18548" s="1033"/>
      <c r="E18548" s="130"/>
    </row>
    <row r="18549" spans="1:5" x14ac:dyDescent="0.25">
      <c r="A18549" s="1033"/>
      <c r="E18549" s="130"/>
    </row>
    <row r="18550" spans="1:5" x14ac:dyDescent="0.25">
      <c r="A18550" s="1033"/>
      <c r="E18550" s="130"/>
    </row>
    <row r="18551" spans="1:5" x14ac:dyDescent="0.25">
      <c r="A18551" s="1033"/>
      <c r="E18551" s="130"/>
    </row>
    <row r="18552" spans="1:5" x14ac:dyDescent="0.25">
      <c r="A18552" s="1033"/>
      <c r="E18552" s="130"/>
    </row>
    <row r="18553" spans="1:5" x14ac:dyDescent="0.25">
      <c r="A18553" s="1033"/>
      <c r="E18553" s="130"/>
    </row>
    <row r="18554" spans="1:5" x14ac:dyDescent="0.25">
      <c r="A18554" s="1033"/>
      <c r="E18554" s="130"/>
    </row>
    <row r="18555" spans="1:5" x14ac:dyDescent="0.25">
      <c r="A18555" s="1033"/>
      <c r="E18555" s="130"/>
    </row>
    <row r="18556" spans="1:5" x14ac:dyDescent="0.25">
      <c r="A18556" s="1033"/>
      <c r="E18556" s="130"/>
    </row>
    <row r="18557" spans="1:5" x14ac:dyDescent="0.25">
      <c r="A18557" s="1033"/>
      <c r="E18557" s="130"/>
    </row>
    <row r="18558" spans="1:5" x14ac:dyDescent="0.25">
      <c r="A18558" s="1033"/>
      <c r="E18558" s="130"/>
    </row>
    <row r="18559" spans="1:5" x14ac:dyDescent="0.25">
      <c r="A18559" s="1033"/>
      <c r="E18559" s="130"/>
    </row>
    <row r="18560" spans="1:5" x14ac:dyDescent="0.25">
      <c r="A18560" s="1033"/>
      <c r="E18560" s="130"/>
    </row>
    <row r="18561" spans="1:5" x14ac:dyDescent="0.25">
      <c r="A18561" s="1033"/>
      <c r="E18561" s="130"/>
    </row>
    <row r="18562" spans="1:5" x14ac:dyDescent="0.25">
      <c r="A18562" s="1033"/>
      <c r="E18562" s="130"/>
    </row>
    <row r="18563" spans="1:5" x14ac:dyDescent="0.25">
      <c r="A18563" s="1033"/>
      <c r="E18563" s="130"/>
    </row>
    <row r="18564" spans="1:5" x14ac:dyDescent="0.25">
      <c r="A18564" s="1033"/>
      <c r="E18564" s="130"/>
    </row>
    <row r="18565" spans="1:5" x14ac:dyDescent="0.25">
      <c r="A18565" s="1033"/>
      <c r="E18565" s="130"/>
    </row>
    <row r="18566" spans="1:5" x14ac:dyDescent="0.25">
      <c r="A18566" s="1033"/>
      <c r="E18566" s="130"/>
    </row>
    <row r="18567" spans="1:5" x14ac:dyDescent="0.25">
      <c r="A18567" s="1033"/>
      <c r="E18567" s="130"/>
    </row>
    <row r="18568" spans="1:5" x14ac:dyDescent="0.25">
      <c r="A18568" s="1033"/>
      <c r="E18568" s="130"/>
    </row>
    <row r="18569" spans="1:5" x14ac:dyDescent="0.25">
      <c r="A18569" s="1033"/>
      <c r="E18569" s="130"/>
    </row>
    <row r="18570" spans="1:5" x14ac:dyDescent="0.25">
      <c r="A18570" s="1033"/>
      <c r="E18570" s="130"/>
    </row>
    <row r="18571" spans="1:5" x14ac:dyDescent="0.25">
      <c r="A18571" s="1033"/>
      <c r="E18571" s="130"/>
    </row>
    <row r="18572" spans="1:5" x14ac:dyDescent="0.25">
      <c r="A18572" s="1033"/>
      <c r="E18572" s="130"/>
    </row>
    <row r="18573" spans="1:5" x14ac:dyDescent="0.25">
      <c r="A18573" s="1033"/>
      <c r="E18573" s="130"/>
    </row>
    <row r="18574" spans="1:5" x14ac:dyDescent="0.25">
      <c r="A18574" s="1033"/>
      <c r="E18574" s="130"/>
    </row>
    <row r="18575" spans="1:5" x14ac:dyDescent="0.25">
      <c r="A18575" s="1033"/>
      <c r="E18575" s="130"/>
    </row>
    <row r="18576" spans="1:5" x14ac:dyDescent="0.25">
      <c r="A18576" s="1033"/>
      <c r="E18576" s="130"/>
    </row>
    <row r="18577" spans="1:5" x14ac:dyDescent="0.25">
      <c r="A18577" s="1033"/>
      <c r="E18577" s="130"/>
    </row>
    <row r="18578" spans="1:5" x14ac:dyDescent="0.25">
      <c r="A18578" s="1033"/>
      <c r="E18578" s="130"/>
    </row>
    <row r="18579" spans="1:5" x14ac:dyDescent="0.25">
      <c r="A18579" s="1033"/>
      <c r="E18579" s="130"/>
    </row>
    <row r="18580" spans="1:5" x14ac:dyDescent="0.25">
      <c r="A18580" s="1033"/>
      <c r="E18580" s="130"/>
    </row>
    <row r="18581" spans="1:5" x14ac:dyDescent="0.25">
      <c r="A18581" s="1033"/>
      <c r="E18581" s="130"/>
    </row>
    <row r="18582" spans="1:5" x14ac:dyDescent="0.25">
      <c r="A18582" s="1033"/>
      <c r="E18582" s="130"/>
    </row>
    <row r="18583" spans="1:5" x14ac:dyDescent="0.25">
      <c r="A18583" s="1033"/>
      <c r="E18583" s="130"/>
    </row>
    <row r="18584" spans="1:5" x14ac:dyDescent="0.25">
      <c r="A18584" s="1033"/>
      <c r="E18584" s="130"/>
    </row>
    <row r="18585" spans="1:5" x14ac:dyDescent="0.25">
      <c r="A18585" s="1033"/>
      <c r="E18585" s="130"/>
    </row>
    <row r="18586" spans="1:5" x14ac:dyDescent="0.25">
      <c r="A18586" s="1033"/>
      <c r="E18586" s="130"/>
    </row>
    <row r="18587" spans="1:5" x14ac:dyDescent="0.25">
      <c r="A18587" s="1033"/>
      <c r="E18587" s="130"/>
    </row>
    <row r="18588" spans="1:5" x14ac:dyDescent="0.25">
      <c r="A18588" s="1033"/>
      <c r="E18588" s="130"/>
    </row>
    <row r="18589" spans="1:5" x14ac:dyDescent="0.25">
      <c r="A18589" s="1033"/>
      <c r="E18589" s="130"/>
    </row>
    <row r="18590" spans="1:5" x14ac:dyDescent="0.25">
      <c r="A18590" s="1033"/>
      <c r="E18590" s="130"/>
    </row>
    <row r="18591" spans="1:5" x14ac:dyDescent="0.25">
      <c r="A18591" s="1033"/>
      <c r="E18591" s="130"/>
    </row>
    <row r="18592" spans="1:5" x14ac:dyDescent="0.25">
      <c r="A18592" s="1033"/>
      <c r="E18592" s="130"/>
    </row>
    <row r="18593" spans="1:5" x14ac:dyDescent="0.25">
      <c r="A18593" s="1033"/>
      <c r="E18593" s="130"/>
    </row>
    <row r="18594" spans="1:5" x14ac:dyDescent="0.25">
      <c r="A18594" s="1033"/>
      <c r="E18594" s="130"/>
    </row>
    <row r="18595" spans="1:5" x14ac:dyDescent="0.25">
      <c r="A18595" s="1033"/>
      <c r="E18595" s="130"/>
    </row>
    <row r="18596" spans="1:5" x14ac:dyDescent="0.25">
      <c r="A18596" s="1033"/>
      <c r="E18596" s="130"/>
    </row>
    <row r="18597" spans="1:5" x14ac:dyDescent="0.25">
      <c r="A18597" s="1033"/>
      <c r="E18597" s="130"/>
    </row>
    <row r="18598" spans="1:5" x14ac:dyDescent="0.25">
      <c r="A18598" s="1033"/>
      <c r="E18598" s="130"/>
    </row>
    <row r="18599" spans="1:5" x14ac:dyDescent="0.25">
      <c r="A18599" s="1033"/>
      <c r="E18599" s="130"/>
    </row>
    <row r="18600" spans="1:5" x14ac:dyDescent="0.25">
      <c r="A18600" s="1033"/>
      <c r="E18600" s="130"/>
    </row>
    <row r="18601" spans="1:5" x14ac:dyDescent="0.25">
      <c r="A18601" s="1033"/>
      <c r="E18601" s="130"/>
    </row>
    <row r="18602" spans="1:5" x14ac:dyDescent="0.25">
      <c r="A18602" s="1033"/>
      <c r="E18602" s="130"/>
    </row>
    <row r="18603" spans="1:5" x14ac:dyDescent="0.25">
      <c r="A18603" s="1033"/>
      <c r="E18603" s="130"/>
    </row>
    <row r="18604" spans="1:5" x14ac:dyDescent="0.25">
      <c r="A18604" s="1033"/>
      <c r="E18604" s="130"/>
    </row>
    <row r="18605" spans="1:5" x14ac:dyDescent="0.25">
      <c r="A18605" s="1033"/>
      <c r="E18605" s="130"/>
    </row>
    <row r="18606" spans="1:5" x14ac:dyDescent="0.25">
      <c r="A18606" s="1033"/>
      <c r="E18606" s="130"/>
    </row>
    <row r="18607" spans="1:5" x14ac:dyDescent="0.25">
      <c r="A18607" s="1033"/>
      <c r="E18607" s="130"/>
    </row>
    <row r="18608" spans="1:5" x14ac:dyDescent="0.25">
      <c r="A18608" s="1033"/>
      <c r="E18608" s="130"/>
    </row>
    <row r="18609" spans="1:5" x14ac:dyDescent="0.25">
      <c r="A18609" s="1033"/>
      <c r="E18609" s="130"/>
    </row>
    <row r="18610" spans="1:5" x14ac:dyDescent="0.25">
      <c r="A18610" s="1033"/>
      <c r="E18610" s="130"/>
    </row>
    <row r="18611" spans="1:5" x14ac:dyDescent="0.25">
      <c r="A18611" s="1033"/>
      <c r="E18611" s="130"/>
    </row>
    <row r="18612" spans="1:5" x14ac:dyDescent="0.25">
      <c r="A18612" s="1033"/>
      <c r="E18612" s="130"/>
    </row>
    <row r="18613" spans="1:5" x14ac:dyDescent="0.25">
      <c r="A18613" s="1033"/>
      <c r="E18613" s="130"/>
    </row>
    <row r="18614" spans="1:5" x14ac:dyDescent="0.25">
      <c r="A18614" s="1033"/>
      <c r="E18614" s="130"/>
    </row>
    <row r="18615" spans="1:5" x14ac:dyDescent="0.25">
      <c r="A18615" s="1033"/>
      <c r="E18615" s="130"/>
    </row>
    <row r="18616" spans="1:5" x14ac:dyDescent="0.25">
      <c r="A18616" s="1033"/>
      <c r="E18616" s="130"/>
    </row>
    <row r="18617" spans="1:5" x14ac:dyDescent="0.25">
      <c r="A18617" s="1033"/>
      <c r="E18617" s="130"/>
    </row>
    <row r="18618" spans="1:5" x14ac:dyDescent="0.25">
      <c r="A18618" s="1033"/>
      <c r="E18618" s="130"/>
    </row>
    <row r="18619" spans="1:5" x14ac:dyDescent="0.25">
      <c r="A18619" s="1033"/>
      <c r="E18619" s="130"/>
    </row>
    <row r="18620" spans="1:5" x14ac:dyDescent="0.25">
      <c r="A18620" s="1033"/>
      <c r="E18620" s="130"/>
    </row>
    <row r="18621" spans="1:5" x14ac:dyDescent="0.25">
      <c r="A18621" s="1033"/>
      <c r="E18621" s="130"/>
    </row>
    <row r="18622" spans="1:5" x14ac:dyDescent="0.25">
      <c r="A18622" s="1033"/>
      <c r="E18622" s="130"/>
    </row>
    <row r="18623" spans="1:5" x14ac:dyDescent="0.25">
      <c r="A18623" s="1033"/>
      <c r="E18623" s="130"/>
    </row>
    <row r="18624" spans="1:5" x14ac:dyDescent="0.25">
      <c r="A18624" s="1033"/>
      <c r="E18624" s="130"/>
    </row>
    <row r="18625" spans="1:5" x14ac:dyDescent="0.25">
      <c r="A18625" s="1033"/>
      <c r="E18625" s="130"/>
    </row>
    <row r="18626" spans="1:5" x14ac:dyDescent="0.25">
      <c r="A18626" s="1033"/>
      <c r="E18626" s="130"/>
    </row>
    <row r="18627" spans="1:5" x14ac:dyDescent="0.25">
      <c r="A18627" s="1033"/>
      <c r="E18627" s="130"/>
    </row>
    <row r="18628" spans="1:5" x14ac:dyDescent="0.25">
      <c r="A18628" s="1033"/>
      <c r="E18628" s="130"/>
    </row>
    <row r="18629" spans="1:5" x14ac:dyDescent="0.25">
      <c r="A18629" s="1033"/>
      <c r="E18629" s="130"/>
    </row>
    <row r="18630" spans="1:5" x14ac:dyDescent="0.25">
      <c r="A18630" s="1033"/>
      <c r="E18630" s="130"/>
    </row>
    <row r="18631" spans="1:5" x14ac:dyDescent="0.25">
      <c r="A18631" s="1033"/>
      <c r="E18631" s="130"/>
    </row>
    <row r="18632" spans="1:5" x14ac:dyDescent="0.25">
      <c r="A18632" s="1033"/>
      <c r="E18632" s="130"/>
    </row>
    <row r="18633" spans="1:5" x14ac:dyDescent="0.25">
      <c r="A18633" s="1033"/>
      <c r="E18633" s="130"/>
    </row>
    <row r="18634" spans="1:5" x14ac:dyDescent="0.25">
      <c r="A18634" s="1033"/>
      <c r="E18634" s="130"/>
    </row>
    <row r="18635" spans="1:5" x14ac:dyDescent="0.25">
      <c r="A18635" s="1033"/>
      <c r="E18635" s="130"/>
    </row>
    <row r="18636" spans="1:5" x14ac:dyDescent="0.25">
      <c r="A18636" s="1033"/>
      <c r="E18636" s="130"/>
    </row>
    <row r="18637" spans="1:5" x14ac:dyDescent="0.25">
      <c r="A18637" s="1033"/>
      <c r="E18637" s="130"/>
    </row>
    <row r="18638" spans="1:5" x14ac:dyDescent="0.25">
      <c r="A18638" s="1033"/>
      <c r="E18638" s="130"/>
    </row>
    <row r="18639" spans="1:5" x14ac:dyDescent="0.25">
      <c r="A18639" s="1033"/>
      <c r="E18639" s="130"/>
    </row>
    <row r="18640" spans="1:5" x14ac:dyDescent="0.25">
      <c r="A18640" s="1033"/>
      <c r="E18640" s="130"/>
    </row>
    <row r="18641" spans="1:5" x14ac:dyDescent="0.25">
      <c r="A18641" s="1033"/>
      <c r="E18641" s="130"/>
    </row>
    <row r="18642" spans="1:5" x14ac:dyDescent="0.25">
      <c r="A18642" s="1033"/>
      <c r="E18642" s="130"/>
    </row>
    <row r="18643" spans="1:5" x14ac:dyDescent="0.25">
      <c r="A18643" s="1033"/>
      <c r="E18643" s="130"/>
    </row>
    <row r="18644" spans="1:5" x14ac:dyDescent="0.25">
      <c r="A18644" s="1033"/>
      <c r="E18644" s="130"/>
    </row>
    <row r="18645" spans="1:5" x14ac:dyDescent="0.25">
      <c r="A18645" s="1033"/>
      <c r="E18645" s="130"/>
    </row>
    <row r="18646" spans="1:5" x14ac:dyDescent="0.25">
      <c r="A18646" s="1033"/>
      <c r="E18646" s="130"/>
    </row>
    <row r="18647" spans="1:5" x14ac:dyDescent="0.25">
      <c r="A18647" s="1033"/>
      <c r="E18647" s="130"/>
    </row>
    <row r="18648" spans="1:5" x14ac:dyDescent="0.25">
      <c r="A18648" s="1033"/>
      <c r="E18648" s="130"/>
    </row>
    <row r="18649" spans="1:5" x14ac:dyDescent="0.25">
      <c r="A18649" s="1033"/>
      <c r="E18649" s="130"/>
    </row>
    <row r="18650" spans="1:5" x14ac:dyDescent="0.25">
      <c r="A18650" s="1033"/>
      <c r="E18650" s="130"/>
    </row>
    <row r="18651" spans="1:5" x14ac:dyDescent="0.25">
      <c r="A18651" s="1033"/>
      <c r="E18651" s="130"/>
    </row>
    <row r="18652" spans="1:5" x14ac:dyDescent="0.25">
      <c r="A18652" s="1033"/>
      <c r="E18652" s="130"/>
    </row>
    <row r="18653" spans="1:5" x14ac:dyDescent="0.25">
      <c r="A18653" s="1033"/>
      <c r="E18653" s="130"/>
    </row>
    <row r="18654" spans="1:5" x14ac:dyDescent="0.25">
      <c r="A18654" s="1033"/>
      <c r="E18654" s="130"/>
    </row>
    <row r="18655" spans="1:5" x14ac:dyDescent="0.25">
      <c r="A18655" s="1033"/>
      <c r="E18655" s="130"/>
    </row>
    <row r="18656" spans="1:5" x14ac:dyDescent="0.25">
      <c r="A18656" s="1033"/>
      <c r="E18656" s="130"/>
    </row>
    <row r="18657" spans="1:5" x14ac:dyDescent="0.25">
      <c r="A18657" s="1033"/>
      <c r="E18657" s="130"/>
    </row>
    <row r="18658" spans="1:5" x14ac:dyDescent="0.25">
      <c r="A18658" s="1033"/>
      <c r="E18658" s="130"/>
    </row>
    <row r="18659" spans="1:5" x14ac:dyDescent="0.25">
      <c r="A18659" s="1033"/>
      <c r="E18659" s="130"/>
    </row>
    <row r="18660" spans="1:5" x14ac:dyDescent="0.25">
      <c r="A18660" s="1033"/>
      <c r="E18660" s="130"/>
    </row>
    <row r="18661" spans="1:5" x14ac:dyDescent="0.25">
      <c r="A18661" s="1033"/>
      <c r="E18661" s="130"/>
    </row>
    <row r="18662" spans="1:5" x14ac:dyDescent="0.25">
      <c r="A18662" s="1033"/>
      <c r="E18662" s="130"/>
    </row>
    <row r="18663" spans="1:5" x14ac:dyDescent="0.25">
      <c r="A18663" s="1033"/>
      <c r="E18663" s="130"/>
    </row>
    <row r="18664" spans="1:5" x14ac:dyDescent="0.25">
      <c r="A18664" s="1033"/>
      <c r="E18664" s="130"/>
    </row>
    <row r="18665" spans="1:5" x14ac:dyDescent="0.25">
      <c r="A18665" s="1033"/>
      <c r="E18665" s="130"/>
    </row>
    <row r="18666" spans="1:5" x14ac:dyDescent="0.25">
      <c r="A18666" s="1033"/>
      <c r="E18666" s="130"/>
    </row>
    <row r="18667" spans="1:5" x14ac:dyDescent="0.25">
      <c r="A18667" s="1033"/>
      <c r="E18667" s="130"/>
    </row>
    <row r="18668" spans="1:5" x14ac:dyDescent="0.25">
      <c r="A18668" s="1033"/>
      <c r="E18668" s="130"/>
    </row>
    <row r="18669" spans="1:5" x14ac:dyDescent="0.25">
      <c r="A18669" s="1033"/>
      <c r="E18669" s="130"/>
    </row>
    <row r="18670" spans="1:5" x14ac:dyDescent="0.25">
      <c r="A18670" s="1033"/>
      <c r="E18670" s="130"/>
    </row>
    <row r="18671" spans="1:5" x14ac:dyDescent="0.25">
      <c r="A18671" s="1033"/>
      <c r="E18671" s="130"/>
    </row>
    <row r="18672" spans="1:5" x14ac:dyDescent="0.25">
      <c r="A18672" s="1033"/>
      <c r="E18672" s="130"/>
    </row>
    <row r="18673" spans="1:5" x14ac:dyDescent="0.25">
      <c r="A18673" s="1033"/>
      <c r="E18673" s="130"/>
    </row>
    <row r="18674" spans="1:5" x14ac:dyDescent="0.25">
      <c r="A18674" s="1033"/>
      <c r="E18674" s="130"/>
    </row>
    <row r="18675" spans="1:5" x14ac:dyDescent="0.25">
      <c r="A18675" s="1033"/>
      <c r="E18675" s="130"/>
    </row>
    <row r="18676" spans="1:5" x14ac:dyDescent="0.25">
      <c r="A18676" s="1033"/>
      <c r="E18676" s="130"/>
    </row>
    <row r="18677" spans="1:5" x14ac:dyDescent="0.25">
      <c r="A18677" s="1033"/>
      <c r="E18677" s="130"/>
    </row>
    <row r="18678" spans="1:5" x14ac:dyDescent="0.25">
      <c r="A18678" s="1033"/>
      <c r="E18678" s="130"/>
    </row>
    <row r="18679" spans="1:5" x14ac:dyDescent="0.25">
      <c r="A18679" s="1033"/>
      <c r="E18679" s="130"/>
    </row>
    <row r="18680" spans="1:5" x14ac:dyDescent="0.25">
      <c r="A18680" s="1033"/>
      <c r="E18680" s="130"/>
    </row>
    <row r="18681" spans="1:5" x14ac:dyDescent="0.25">
      <c r="A18681" s="1033"/>
      <c r="E18681" s="130"/>
    </row>
    <row r="18682" spans="1:5" x14ac:dyDescent="0.25">
      <c r="A18682" s="1033"/>
      <c r="E18682" s="130"/>
    </row>
    <row r="18683" spans="1:5" x14ac:dyDescent="0.25">
      <c r="A18683" s="1033"/>
      <c r="E18683" s="130"/>
    </row>
    <row r="18684" spans="1:5" x14ac:dyDescent="0.25">
      <c r="A18684" s="1033"/>
      <c r="E18684" s="130"/>
    </row>
    <row r="18685" spans="1:5" x14ac:dyDescent="0.25">
      <c r="A18685" s="1033"/>
      <c r="E18685" s="130"/>
    </row>
    <row r="18686" spans="1:5" x14ac:dyDescent="0.25">
      <c r="A18686" s="1033"/>
      <c r="E18686" s="130"/>
    </row>
    <row r="18687" spans="1:5" x14ac:dyDescent="0.25">
      <c r="A18687" s="1033"/>
      <c r="E18687" s="130"/>
    </row>
    <row r="18688" spans="1:5" x14ac:dyDescent="0.25">
      <c r="A18688" s="1033"/>
      <c r="E18688" s="130"/>
    </row>
    <row r="18689" spans="1:5" x14ac:dyDescent="0.25">
      <c r="A18689" s="1033"/>
      <c r="E18689" s="130"/>
    </row>
    <row r="18690" spans="1:5" x14ac:dyDescent="0.25">
      <c r="A18690" s="1033"/>
      <c r="E18690" s="130"/>
    </row>
    <row r="18691" spans="1:5" x14ac:dyDescent="0.25">
      <c r="A18691" s="1033"/>
      <c r="E18691" s="130"/>
    </row>
    <row r="18692" spans="1:5" x14ac:dyDescent="0.25">
      <c r="A18692" s="1033"/>
      <c r="E18692" s="130"/>
    </row>
    <row r="18693" spans="1:5" x14ac:dyDescent="0.25">
      <c r="A18693" s="1033"/>
      <c r="E18693" s="130"/>
    </row>
    <row r="18694" spans="1:5" x14ac:dyDescent="0.25">
      <c r="A18694" s="1033"/>
      <c r="E18694" s="130"/>
    </row>
    <row r="18695" spans="1:5" x14ac:dyDescent="0.25">
      <c r="A18695" s="1033"/>
      <c r="E18695" s="130"/>
    </row>
    <row r="18696" spans="1:5" x14ac:dyDescent="0.25">
      <c r="A18696" s="1033"/>
      <c r="E18696" s="130"/>
    </row>
    <row r="18697" spans="1:5" x14ac:dyDescent="0.25">
      <c r="A18697" s="1033"/>
      <c r="E18697" s="130"/>
    </row>
    <row r="18698" spans="1:5" x14ac:dyDescent="0.25">
      <c r="A18698" s="1033"/>
      <c r="E18698" s="130"/>
    </row>
    <row r="18699" spans="1:5" x14ac:dyDescent="0.25">
      <c r="A18699" s="1033"/>
      <c r="E18699" s="130"/>
    </row>
    <row r="18700" spans="1:5" x14ac:dyDescent="0.25">
      <c r="A18700" s="1033"/>
      <c r="E18700" s="130"/>
    </row>
    <row r="18701" spans="1:5" x14ac:dyDescent="0.25">
      <c r="A18701" s="1033"/>
      <c r="E18701" s="130"/>
    </row>
    <row r="18702" spans="1:5" x14ac:dyDescent="0.25">
      <c r="A18702" s="1033"/>
      <c r="E18702" s="130"/>
    </row>
    <row r="18703" spans="1:5" x14ac:dyDescent="0.25">
      <c r="A18703" s="1033"/>
      <c r="E18703" s="130"/>
    </row>
    <row r="18704" spans="1:5" x14ac:dyDescent="0.25">
      <c r="A18704" s="1033"/>
      <c r="E18704" s="130"/>
    </row>
    <row r="18705" spans="1:5" x14ac:dyDescent="0.25">
      <c r="A18705" s="1033"/>
      <c r="E18705" s="130"/>
    </row>
    <row r="18706" spans="1:5" x14ac:dyDescent="0.25">
      <c r="A18706" s="1033"/>
      <c r="E18706" s="130"/>
    </row>
    <row r="18707" spans="1:5" x14ac:dyDescent="0.25">
      <c r="A18707" s="1033"/>
      <c r="E18707" s="130"/>
    </row>
    <row r="18708" spans="1:5" x14ac:dyDescent="0.25">
      <c r="A18708" s="1033"/>
      <c r="E18708" s="130"/>
    </row>
    <row r="18709" spans="1:5" x14ac:dyDescent="0.25">
      <c r="A18709" s="1033"/>
      <c r="E18709" s="130"/>
    </row>
    <row r="18710" spans="1:5" x14ac:dyDescent="0.25">
      <c r="A18710" s="1033"/>
      <c r="E18710" s="130"/>
    </row>
    <row r="18711" spans="1:5" x14ac:dyDescent="0.25">
      <c r="A18711" s="1033"/>
      <c r="E18711" s="130"/>
    </row>
    <row r="18712" spans="1:5" x14ac:dyDescent="0.25">
      <c r="A18712" s="1033"/>
      <c r="E18712" s="130"/>
    </row>
    <row r="18713" spans="1:5" x14ac:dyDescent="0.25">
      <c r="A18713" s="1033"/>
      <c r="E18713" s="130"/>
    </row>
    <row r="18714" spans="1:5" x14ac:dyDescent="0.25">
      <c r="A18714" s="1033"/>
      <c r="E18714" s="130"/>
    </row>
    <row r="18715" spans="1:5" x14ac:dyDescent="0.25">
      <c r="A18715" s="1033"/>
      <c r="E18715" s="130"/>
    </row>
    <row r="18716" spans="1:5" x14ac:dyDescent="0.25">
      <c r="A18716" s="1033"/>
      <c r="E18716" s="130"/>
    </row>
    <row r="18717" spans="1:5" x14ac:dyDescent="0.25">
      <c r="A18717" s="1033"/>
      <c r="E18717" s="130"/>
    </row>
    <row r="18718" spans="1:5" x14ac:dyDescent="0.25">
      <c r="A18718" s="1033"/>
      <c r="E18718" s="130"/>
    </row>
    <row r="18719" spans="1:5" x14ac:dyDescent="0.25">
      <c r="A18719" s="1033"/>
      <c r="E18719" s="130"/>
    </row>
    <row r="18720" spans="1:5" x14ac:dyDescent="0.25">
      <c r="A18720" s="1033"/>
      <c r="E18720" s="130"/>
    </row>
    <row r="18721" spans="1:5" x14ac:dyDescent="0.25">
      <c r="A18721" s="1033"/>
      <c r="E18721" s="130"/>
    </row>
    <row r="18722" spans="1:5" x14ac:dyDescent="0.25">
      <c r="A18722" s="1033"/>
      <c r="E18722" s="130"/>
    </row>
    <row r="18723" spans="1:5" x14ac:dyDescent="0.25">
      <c r="A18723" s="1033"/>
      <c r="E18723" s="130"/>
    </row>
    <row r="18724" spans="1:5" x14ac:dyDescent="0.25">
      <c r="A18724" s="1033"/>
      <c r="E18724" s="130"/>
    </row>
    <row r="18725" spans="1:5" x14ac:dyDescent="0.25">
      <c r="A18725" s="1033"/>
      <c r="E18725" s="130"/>
    </row>
    <row r="18726" spans="1:5" x14ac:dyDescent="0.25">
      <c r="A18726" s="1033"/>
      <c r="E18726" s="130"/>
    </row>
    <row r="18727" spans="1:5" x14ac:dyDescent="0.25">
      <c r="A18727" s="1033"/>
      <c r="E18727" s="130"/>
    </row>
    <row r="18728" spans="1:5" x14ac:dyDescent="0.25">
      <c r="A18728" s="1033"/>
      <c r="E18728" s="130"/>
    </row>
    <row r="18729" spans="1:5" x14ac:dyDescent="0.25">
      <c r="A18729" s="1033"/>
      <c r="E18729" s="130"/>
    </row>
    <row r="18730" spans="1:5" x14ac:dyDescent="0.25">
      <c r="A18730" s="1033"/>
      <c r="E18730" s="130"/>
    </row>
    <row r="18731" spans="1:5" x14ac:dyDescent="0.25">
      <c r="A18731" s="1033"/>
      <c r="E18731" s="130"/>
    </row>
    <row r="18732" spans="1:5" x14ac:dyDescent="0.25">
      <c r="A18732" s="1033"/>
      <c r="E18732" s="130"/>
    </row>
    <row r="18733" spans="1:5" x14ac:dyDescent="0.25">
      <c r="A18733" s="1033"/>
      <c r="E18733" s="130"/>
    </row>
    <row r="18734" spans="1:5" x14ac:dyDescent="0.25">
      <c r="A18734" s="1033"/>
      <c r="E18734" s="130"/>
    </row>
    <row r="18735" spans="1:5" x14ac:dyDescent="0.25">
      <c r="A18735" s="1033"/>
      <c r="E18735" s="130"/>
    </row>
    <row r="18736" spans="1:5" x14ac:dyDescent="0.25">
      <c r="A18736" s="1033"/>
      <c r="E18736" s="130"/>
    </row>
    <row r="18737" spans="1:5" x14ac:dyDescent="0.25">
      <c r="A18737" s="1033"/>
      <c r="E18737" s="130"/>
    </row>
    <row r="18738" spans="1:5" x14ac:dyDescent="0.25">
      <c r="A18738" s="1033"/>
      <c r="E18738" s="130"/>
    </row>
    <row r="18739" spans="1:5" x14ac:dyDescent="0.25">
      <c r="A18739" s="1033"/>
      <c r="E18739" s="130"/>
    </row>
    <row r="18740" spans="1:5" x14ac:dyDescent="0.25">
      <c r="A18740" s="1033"/>
      <c r="E18740" s="130"/>
    </row>
    <row r="18741" spans="1:5" x14ac:dyDescent="0.25">
      <c r="A18741" s="1033"/>
      <c r="E18741" s="130"/>
    </row>
    <row r="18742" spans="1:5" x14ac:dyDescent="0.25">
      <c r="A18742" s="1033"/>
      <c r="E18742" s="130"/>
    </row>
    <row r="18743" spans="1:5" x14ac:dyDescent="0.25">
      <c r="A18743" s="1033"/>
      <c r="E18743" s="130"/>
    </row>
    <row r="18744" spans="1:5" x14ac:dyDescent="0.25">
      <c r="A18744" s="1033"/>
      <c r="E18744" s="130"/>
    </row>
    <row r="18745" spans="1:5" x14ac:dyDescent="0.25">
      <c r="A18745" s="1033"/>
      <c r="E18745" s="130"/>
    </row>
    <row r="18746" spans="1:5" x14ac:dyDescent="0.25">
      <c r="A18746" s="1033"/>
      <c r="E18746" s="130"/>
    </row>
    <row r="18747" spans="1:5" x14ac:dyDescent="0.25">
      <c r="A18747" s="1033"/>
      <c r="E18747" s="130"/>
    </row>
    <row r="18748" spans="1:5" x14ac:dyDescent="0.25">
      <c r="A18748" s="1033"/>
      <c r="E18748" s="130"/>
    </row>
    <row r="18749" spans="1:5" x14ac:dyDescent="0.25">
      <c r="A18749" s="1033"/>
      <c r="E18749" s="130"/>
    </row>
    <row r="18750" spans="1:5" x14ac:dyDescent="0.25">
      <c r="A18750" s="1033"/>
      <c r="E18750" s="130"/>
    </row>
    <row r="18751" spans="1:5" x14ac:dyDescent="0.25">
      <c r="A18751" s="1033"/>
      <c r="E18751" s="130"/>
    </row>
    <row r="18752" spans="1:5" x14ac:dyDescent="0.25">
      <c r="A18752" s="1033"/>
      <c r="E18752" s="130"/>
    </row>
    <row r="18753" spans="1:5" x14ac:dyDescent="0.25">
      <c r="A18753" s="1033"/>
      <c r="E18753" s="130"/>
    </row>
    <row r="18754" spans="1:5" x14ac:dyDescent="0.25">
      <c r="A18754" s="1033"/>
      <c r="E18754" s="130"/>
    </row>
    <row r="18755" spans="1:5" x14ac:dyDescent="0.25">
      <c r="A18755" s="1033"/>
      <c r="E18755" s="130"/>
    </row>
    <row r="18756" spans="1:5" x14ac:dyDescent="0.25">
      <c r="A18756" s="1033"/>
      <c r="E18756" s="130"/>
    </row>
    <row r="18757" spans="1:5" x14ac:dyDescent="0.25">
      <c r="A18757" s="1033"/>
      <c r="E18757" s="130"/>
    </row>
    <row r="18758" spans="1:5" x14ac:dyDescent="0.25">
      <c r="A18758" s="1033"/>
      <c r="E18758" s="130"/>
    </row>
    <row r="18759" spans="1:5" x14ac:dyDescent="0.25">
      <c r="A18759" s="1033"/>
      <c r="E18759" s="130"/>
    </row>
    <row r="18760" spans="1:5" x14ac:dyDescent="0.25">
      <c r="A18760" s="1033"/>
      <c r="E18760" s="130"/>
    </row>
    <row r="18761" spans="1:5" x14ac:dyDescent="0.25">
      <c r="A18761" s="1033"/>
      <c r="E18761" s="130"/>
    </row>
    <row r="18762" spans="1:5" x14ac:dyDescent="0.25">
      <c r="A18762" s="1033"/>
      <c r="E18762" s="130"/>
    </row>
    <row r="18763" spans="1:5" x14ac:dyDescent="0.25">
      <c r="A18763" s="1033"/>
      <c r="E18763" s="130"/>
    </row>
    <row r="18764" spans="1:5" x14ac:dyDescent="0.25">
      <c r="A18764" s="1033"/>
      <c r="E18764" s="130"/>
    </row>
    <row r="18765" spans="1:5" x14ac:dyDescent="0.25">
      <c r="A18765" s="1033"/>
      <c r="E18765" s="130"/>
    </row>
    <row r="18766" spans="1:5" x14ac:dyDescent="0.25">
      <c r="A18766" s="1033"/>
      <c r="E18766" s="130"/>
    </row>
    <row r="18767" spans="1:5" x14ac:dyDescent="0.25">
      <c r="A18767" s="1033"/>
      <c r="E18767" s="130"/>
    </row>
    <row r="18768" spans="1:5" x14ac:dyDescent="0.25">
      <c r="A18768" s="1033"/>
      <c r="E18768" s="130"/>
    </row>
    <row r="18769" spans="1:5" x14ac:dyDescent="0.25">
      <c r="A18769" s="1033"/>
      <c r="E18769" s="130"/>
    </row>
    <row r="18770" spans="1:5" x14ac:dyDescent="0.25">
      <c r="A18770" s="1033"/>
      <c r="E18770" s="130"/>
    </row>
    <row r="18771" spans="1:5" x14ac:dyDescent="0.25">
      <c r="A18771" s="1033"/>
      <c r="E18771" s="130"/>
    </row>
    <row r="18772" spans="1:5" x14ac:dyDescent="0.25">
      <c r="A18772" s="1033"/>
      <c r="E18772" s="130"/>
    </row>
    <row r="18773" spans="1:5" x14ac:dyDescent="0.25">
      <c r="A18773" s="1033"/>
      <c r="E18773" s="130"/>
    </row>
    <row r="18774" spans="1:5" x14ac:dyDescent="0.25">
      <c r="A18774" s="1033"/>
      <c r="E18774" s="130"/>
    </row>
    <row r="18775" spans="1:5" x14ac:dyDescent="0.25">
      <c r="A18775" s="1033"/>
      <c r="E18775" s="130"/>
    </row>
    <row r="18776" spans="1:5" x14ac:dyDescent="0.25">
      <c r="A18776" s="1033"/>
      <c r="E18776" s="130"/>
    </row>
    <row r="18777" spans="1:5" x14ac:dyDescent="0.25">
      <c r="A18777" s="1033"/>
      <c r="E18777" s="130"/>
    </row>
    <row r="18778" spans="1:5" x14ac:dyDescent="0.25">
      <c r="A18778" s="1033"/>
      <c r="E18778" s="130"/>
    </row>
    <row r="18779" spans="1:5" x14ac:dyDescent="0.25">
      <c r="A18779" s="1033"/>
      <c r="E18779" s="130"/>
    </row>
    <row r="18780" spans="1:5" x14ac:dyDescent="0.25">
      <c r="A18780" s="1033"/>
      <c r="E18780" s="130"/>
    </row>
    <row r="18781" spans="1:5" x14ac:dyDescent="0.25">
      <c r="A18781" s="1033"/>
      <c r="E18781" s="130"/>
    </row>
    <row r="18782" spans="1:5" x14ac:dyDescent="0.25">
      <c r="A18782" s="1033"/>
      <c r="E18782" s="130"/>
    </row>
    <row r="18783" spans="1:5" x14ac:dyDescent="0.25">
      <c r="A18783" s="1033"/>
      <c r="E18783" s="130"/>
    </row>
    <row r="18784" spans="1:5" x14ac:dyDescent="0.25">
      <c r="A18784" s="1033"/>
      <c r="E18784" s="130"/>
    </row>
    <row r="18785" spans="1:5" x14ac:dyDescent="0.25">
      <c r="A18785" s="1033"/>
      <c r="E18785" s="130"/>
    </row>
    <row r="18786" spans="1:5" x14ac:dyDescent="0.25">
      <c r="A18786" s="1033"/>
      <c r="E18786" s="130"/>
    </row>
    <row r="18787" spans="1:5" x14ac:dyDescent="0.25">
      <c r="A18787" s="1033"/>
      <c r="E18787" s="130"/>
    </row>
    <row r="18788" spans="1:5" x14ac:dyDescent="0.25">
      <c r="A18788" s="1033"/>
      <c r="E18788" s="130"/>
    </row>
    <row r="18789" spans="1:5" x14ac:dyDescent="0.25">
      <c r="A18789" s="1033"/>
      <c r="E18789" s="130"/>
    </row>
    <row r="18790" spans="1:5" x14ac:dyDescent="0.25">
      <c r="A18790" s="1033"/>
      <c r="E18790" s="130"/>
    </row>
    <row r="18791" spans="1:5" x14ac:dyDescent="0.25">
      <c r="A18791" s="1033"/>
      <c r="E18791" s="130"/>
    </row>
    <row r="18792" spans="1:5" x14ac:dyDescent="0.25">
      <c r="A18792" s="1033"/>
      <c r="E18792" s="130"/>
    </row>
    <row r="18793" spans="1:5" x14ac:dyDescent="0.25">
      <c r="A18793" s="1033"/>
      <c r="E18793" s="130"/>
    </row>
    <row r="18794" spans="1:5" x14ac:dyDescent="0.25">
      <c r="A18794" s="1033"/>
      <c r="E18794" s="130"/>
    </row>
    <row r="18795" spans="1:5" x14ac:dyDescent="0.25">
      <c r="A18795" s="1033"/>
      <c r="E18795" s="130"/>
    </row>
    <row r="18796" spans="1:5" x14ac:dyDescent="0.25">
      <c r="A18796" s="1033"/>
      <c r="E18796" s="130"/>
    </row>
    <row r="18797" spans="1:5" x14ac:dyDescent="0.25">
      <c r="A18797" s="1033"/>
      <c r="E18797" s="130"/>
    </row>
    <row r="18798" spans="1:5" x14ac:dyDescent="0.25">
      <c r="A18798" s="1033"/>
      <c r="E18798" s="130"/>
    </row>
    <row r="18799" spans="1:5" x14ac:dyDescent="0.25">
      <c r="A18799" s="1033"/>
      <c r="E18799" s="130"/>
    </row>
    <row r="18800" spans="1:5" x14ac:dyDescent="0.25">
      <c r="A18800" s="1033"/>
      <c r="E18800" s="130"/>
    </row>
    <row r="18801" spans="1:5" x14ac:dyDescent="0.25">
      <c r="A18801" s="1033"/>
      <c r="E18801" s="130"/>
    </row>
    <row r="18802" spans="1:5" x14ac:dyDescent="0.25">
      <c r="A18802" s="1033"/>
      <c r="E18802" s="130"/>
    </row>
    <row r="18803" spans="1:5" x14ac:dyDescent="0.25">
      <c r="A18803" s="1033"/>
      <c r="E18803" s="130"/>
    </row>
    <row r="18804" spans="1:5" x14ac:dyDescent="0.25">
      <c r="A18804" s="1033"/>
      <c r="E18804" s="130"/>
    </row>
    <row r="18805" spans="1:5" x14ac:dyDescent="0.25">
      <c r="A18805" s="1033"/>
      <c r="E18805" s="130"/>
    </row>
    <row r="18806" spans="1:5" x14ac:dyDescent="0.25">
      <c r="A18806" s="1033"/>
      <c r="E18806" s="130"/>
    </row>
    <row r="18807" spans="1:5" x14ac:dyDescent="0.25">
      <c r="A18807" s="1033"/>
      <c r="E18807" s="130"/>
    </row>
    <row r="18808" spans="1:5" x14ac:dyDescent="0.25">
      <c r="A18808" s="1033"/>
      <c r="E18808" s="130"/>
    </row>
    <row r="18809" spans="1:5" x14ac:dyDescent="0.25">
      <c r="A18809" s="1033"/>
      <c r="E18809" s="130"/>
    </row>
    <row r="18810" spans="1:5" x14ac:dyDescent="0.25">
      <c r="A18810" s="1033"/>
      <c r="E18810" s="130"/>
    </row>
    <row r="18811" spans="1:5" x14ac:dyDescent="0.25">
      <c r="A18811" s="1033"/>
      <c r="E18811" s="130"/>
    </row>
    <row r="18812" spans="1:5" x14ac:dyDescent="0.25">
      <c r="A18812" s="1033"/>
      <c r="E18812" s="130"/>
    </row>
    <row r="18813" spans="1:5" x14ac:dyDescent="0.25">
      <c r="A18813" s="1033"/>
      <c r="E18813" s="130"/>
    </row>
    <row r="18814" spans="1:5" x14ac:dyDescent="0.25">
      <c r="A18814" s="1033"/>
      <c r="E18814" s="130"/>
    </row>
    <row r="18815" spans="1:5" x14ac:dyDescent="0.25">
      <c r="A18815" s="1033"/>
      <c r="E18815" s="130"/>
    </row>
    <row r="18816" spans="1:5" x14ac:dyDescent="0.25">
      <c r="A18816" s="1033"/>
      <c r="E18816" s="130"/>
    </row>
    <row r="18817" spans="1:5" x14ac:dyDescent="0.25">
      <c r="A18817" s="1033"/>
      <c r="E18817" s="130"/>
    </row>
    <row r="18818" spans="1:5" x14ac:dyDescent="0.25">
      <c r="A18818" s="1033"/>
      <c r="E18818" s="130"/>
    </row>
    <row r="18819" spans="1:5" x14ac:dyDescent="0.25">
      <c r="A18819" s="1033"/>
      <c r="E18819" s="130"/>
    </row>
    <row r="18820" spans="1:5" x14ac:dyDescent="0.25">
      <c r="A18820" s="1033"/>
      <c r="E18820" s="130"/>
    </row>
    <row r="18821" spans="1:5" x14ac:dyDescent="0.25">
      <c r="A18821" s="1033"/>
      <c r="E18821" s="130"/>
    </row>
    <row r="18822" spans="1:5" x14ac:dyDescent="0.25">
      <c r="A18822" s="1033"/>
      <c r="E18822" s="130"/>
    </row>
    <row r="18823" spans="1:5" x14ac:dyDescent="0.25">
      <c r="A18823" s="1033"/>
      <c r="E18823" s="130"/>
    </row>
    <row r="18824" spans="1:5" x14ac:dyDescent="0.25">
      <c r="A18824" s="1033"/>
      <c r="E18824" s="130"/>
    </row>
    <row r="18825" spans="1:5" x14ac:dyDescent="0.25">
      <c r="A18825" s="1033"/>
      <c r="E18825" s="130"/>
    </row>
    <row r="18826" spans="1:5" x14ac:dyDescent="0.25">
      <c r="A18826" s="1033"/>
      <c r="E18826" s="130"/>
    </row>
    <row r="18827" spans="1:5" x14ac:dyDescent="0.25">
      <c r="A18827" s="1033"/>
      <c r="E18827" s="130"/>
    </row>
    <row r="18828" spans="1:5" x14ac:dyDescent="0.25">
      <c r="A18828" s="1033"/>
      <c r="E18828" s="130"/>
    </row>
    <row r="18829" spans="1:5" x14ac:dyDescent="0.25">
      <c r="A18829" s="1033"/>
      <c r="E18829" s="130"/>
    </row>
    <row r="18830" spans="1:5" x14ac:dyDescent="0.25">
      <c r="A18830" s="1033"/>
      <c r="E18830" s="130"/>
    </row>
    <row r="18831" spans="1:5" x14ac:dyDescent="0.25">
      <c r="A18831" s="1033"/>
      <c r="E18831" s="130"/>
    </row>
    <row r="18832" spans="1:5" x14ac:dyDescent="0.25">
      <c r="A18832" s="1033"/>
      <c r="E18832" s="130"/>
    </row>
    <row r="18833" spans="1:5" x14ac:dyDescent="0.25">
      <c r="A18833" s="1033"/>
      <c r="E18833" s="130"/>
    </row>
    <row r="18834" spans="1:5" x14ac:dyDescent="0.25">
      <c r="A18834" s="1033"/>
      <c r="E18834" s="130"/>
    </row>
    <row r="18835" spans="1:5" x14ac:dyDescent="0.25">
      <c r="A18835" s="1033"/>
      <c r="E18835" s="130"/>
    </row>
    <row r="18836" spans="1:5" x14ac:dyDescent="0.25">
      <c r="A18836" s="1033"/>
      <c r="E18836" s="130"/>
    </row>
    <row r="18837" spans="1:5" x14ac:dyDescent="0.25">
      <c r="A18837" s="1033"/>
      <c r="E18837" s="130"/>
    </row>
    <row r="18838" spans="1:5" x14ac:dyDescent="0.25">
      <c r="A18838" s="1033"/>
      <c r="E18838" s="130"/>
    </row>
    <row r="18839" spans="1:5" x14ac:dyDescent="0.25">
      <c r="A18839" s="1033"/>
      <c r="E18839" s="130"/>
    </row>
    <row r="18840" spans="1:5" x14ac:dyDescent="0.25">
      <c r="A18840" s="1033"/>
      <c r="E18840" s="130"/>
    </row>
    <row r="18841" spans="1:5" x14ac:dyDescent="0.25">
      <c r="A18841" s="1033"/>
      <c r="E18841" s="130"/>
    </row>
    <row r="18842" spans="1:5" x14ac:dyDescent="0.25">
      <c r="A18842" s="1033"/>
      <c r="E18842" s="130"/>
    </row>
    <row r="18843" spans="1:5" x14ac:dyDescent="0.25">
      <c r="A18843" s="1033"/>
      <c r="E18843" s="130"/>
    </row>
    <row r="18844" spans="1:5" x14ac:dyDescent="0.25">
      <c r="A18844" s="1033"/>
      <c r="E18844" s="130"/>
    </row>
    <row r="18845" spans="1:5" x14ac:dyDescent="0.25">
      <c r="A18845" s="1033"/>
      <c r="E18845" s="130"/>
    </row>
    <row r="18846" spans="1:5" x14ac:dyDescent="0.25">
      <c r="A18846" s="1033"/>
      <c r="E18846" s="130"/>
    </row>
    <row r="18847" spans="1:5" x14ac:dyDescent="0.25">
      <c r="A18847" s="1033"/>
      <c r="E18847" s="130"/>
    </row>
    <row r="18848" spans="1:5" x14ac:dyDescent="0.25">
      <c r="A18848" s="1033"/>
      <c r="E18848" s="130"/>
    </row>
    <row r="18849" spans="1:5" x14ac:dyDescent="0.25">
      <c r="A18849" s="1033"/>
      <c r="E18849" s="130"/>
    </row>
    <row r="18850" spans="1:5" x14ac:dyDescent="0.25">
      <c r="A18850" s="1033"/>
      <c r="E18850" s="130"/>
    </row>
    <row r="18851" spans="1:5" x14ac:dyDescent="0.25">
      <c r="A18851" s="1033"/>
      <c r="E18851" s="130"/>
    </row>
    <row r="18852" spans="1:5" x14ac:dyDescent="0.25">
      <c r="A18852" s="1033"/>
      <c r="E18852" s="130"/>
    </row>
    <row r="18853" spans="1:5" x14ac:dyDescent="0.25">
      <c r="A18853" s="1033"/>
      <c r="E18853" s="130"/>
    </row>
    <row r="18854" spans="1:5" x14ac:dyDescent="0.25">
      <c r="A18854" s="1033"/>
      <c r="E18854" s="130"/>
    </row>
    <row r="18855" spans="1:5" x14ac:dyDescent="0.25">
      <c r="A18855" s="1033"/>
      <c r="E18855" s="130"/>
    </row>
    <row r="18856" spans="1:5" x14ac:dyDescent="0.25">
      <c r="A18856" s="1033"/>
      <c r="E18856" s="130"/>
    </row>
    <row r="18857" spans="1:5" x14ac:dyDescent="0.25">
      <c r="A18857" s="1033"/>
      <c r="E18857" s="130"/>
    </row>
    <row r="18858" spans="1:5" x14ac:dyDescent="0.25">
      <c r="A18858" s="1033"/>
      <c r="E18858" s="130"/>
    </row>
    <row r="18859" spans="1:5" x14ac:dyDescent="0.25">
      <c r="A18859" s="1033"/>
      <c r="E18859" s="130"/>
    </row>
    <row r="18860" spans="1:5" x14ac:dyDescent="0.25">
      <c r="A18860" s="1033"/>
      <c r="E18860" s="130"/>
    </row>
    <row r="18861" spans="1:5" x14ac:dyDescent="0.25">
      <c r="A18861" s="1033"/>
      <c r="E18861" s="130"/>
    </row>
    <row r="18862" spans="1:5" x14ac:dyDescent="0.25">
      <c r="A18862" s="1033"/>
      <c r="E18862" s="130"/>
    </row>
    <row r="18863" spans="1:5" x14ac:dyDescent="0.25">
      <c r="A18863" s="1033"/>
      <c r="E18863" s="130"/>
    </row>
    <row r="18864" spans="1:5" x14ac:dyDescent="0.25">
      <c r="A18864" s="1033"/>
      <c r="E18864" s="130"/>
    </row>
    <row r="18865" spans="1:5" x14ac:dyDescent="0.25">
      <c r="A18865" s="1033"/>
      <c r="E18865" s="130"/>
    </row>
    <row r="18866" spans="1:5" x14ac:dyDescent="0.25">
      <c r="A18866" s="1033"/>
      <c r="E18866" s="130"/>
    </row>
    <row r="18867" spans="1:5" x14ac:dyDescent="0.25">
      <c r="A18867" s="1033"/>
      <c r="E18867" s="130"/>
    </row>
    <row r="18868" spans="1:5" x14ac:dyDescent="0.25">
      <c r="A18868" s="1033"/>
      <c r="E18868" s="130"/>
    </row>
    <row r="18869" spans="1:5" x14ac:dyDescent="0.25">
      <c r="A18869" s="1033"/>
      <c r="E18869" s="130"/>
    </row>
    <row r="18870" spans="1:5" x14ac:dyDescent="0.25">
      <c r="A18870" s="1033"/>
      <c r="E18870" s="130"/>
    </row>
    <row r="18871" spans="1:5" x14ac:dyDescent="0.25">
      <c r="A18871" s="1033"/>
      <c r="E18871" s="130"/>
    </row>
    <row r="18872" spans="1:5" x14ac:dyDescent="0.25">
      <c r="A18872" s="1033"/>
      <c r="E18872" s="130"/>
    </row>
    <row r="18873" spans="1:5" x14ac:dyDescent="0.25">
      <c r="A18873" s="1033"/>
      <c r="E18873" s="130"/>
    </row>
    <row r="18874" spans="1:5" x14ac:dyDescent="0.25">
      <c r="A18874" s="1033"/>
      <c r="E18874" s="130"/>
    </row>
    <row r="18875" spans="1:5" x14ac:dyDescent="0.25">
      <c r="A18875" s="1033"/>
      <c r="E18875" s="130"/>
    </row>
    <row r="18876" spans="1:5" x14ac:dyDescent="0.25">
      <c r="A18876" s="1033"/>
      <c r="E18876" s="130"/>
    </row>
    <row r="18877" spans="1:5" x14ac:dyDescent="0.25">
      <c r="A18877" s="1033"/>
      <c r="E18877" s="130"/>
    </row>
    <row r="18878" spans="1:5" x14ac:dyDescent="0.25">
      <c r="A18878" s="1033"/>
      <c r="E18878" s="130"/>
    </row>
    <row r="18879" spans="1:5" x14ac:dyDescent="0.25">
      <c r="A18879" s="1033"/>
      <c r="E18879" s="130"/>
    </row>
    <row r="18880" spans="1:5" x14ac:dyDescent="0.25">
      <c r="A18880" s="1033"/>
      <c r="E18880" s="130"/>
    </row>
    <row r="18881" spans="1:5" x14ac:dyDescent="0.25">
      <c r="A18881" s="1033"/>
      <c r="E18881" s="130"/>
    </row>
    <row r="18882" spans="1:5" x14ac:dyDescent="0.25">
      <c r="A18882" s="1033"/>
      <c r="E18882" s="130"/>
    </row>
    <row r="18883" spans="1:5" x14ac:dyDescent="0.25">
      <c r="A18883" s="1033"/>
      <c r="E18883" s="130"/>
    </row>
    <row r="18884" spans="1:5" x14ac:dyDescent="0.25">
      <c r="A18884" s="1033"/>
      <c r="E18884" s="130"/>
    </row>
    <row r="18885" spans="1:5" x14ac:dyDescent="0.25">
      <c r="A18885" s="1033"/>
      <c r="E18885" s="130"/>
    </row>
    <row r="18886" spans="1:5" x14ac:dyDescent="0.25">
      <c r="A18886" s="1033"/>
      <c r="E18886" s="130"/>
    </row>
    <row r="18887" spans="1:5" x14ac:dyDescent="0.25">
      <c r="A18887" s="1033"/>
      <c r="E18887" s="130"/>
    </row>
    <row r="18888" spans="1:5" x14ac:dyDescent="0.25">
      <c r="A18888" s="1033"/>
      <c r="E18888" s="130"/>
    </row>
    <row r="18889" spans="1:5" x14ac:dyDescent="0.25">
      <c r="A18889" s="1033"/>
      <c r="E18889" s="130"/>
    </row>
    <row r="18890" spans="1:5" x14ac:dyDescent="0.25">
      <c r="A18890" s="1033"/>
      <c r="E18890" s="130"/>
    </row>
    <row r="18891" spans="1:5" x14ac:dyDescent="0.25">
      <c r="A18891" s="1033"/>
      <c r="E18891" s="130"/>
    </row>
    <row r="18892" spans="1:5" x14ac:dyDescent="0.25">
      <c r="A18892" s="1033"/>
      <c r="E18892" s="130"/>
    </row>
    <row r="18893" spans="1:5" x14ac:dyDescent="0.25">
      <c r="A18893" s="1033"/>
      <c r="E18893" s="130"/>
    </row>
    <row r="18894" spans="1:5" x14ac:dyDescent="0.25">
      <c r="A18894" s="1033"/>
      <c r="E18894" s="130"/>
    </row>
    <row r="18895" spans="1:5" x14ac:dyDescent="0.25">
      <c r="A18895" s="1033"/>
      <c r="E18895" s="130"/>
    </row>
    <row r="18896" spans="1:5" x14ac:dyDescent="0.25">
      <c r="A18896" s="1033"/>
      <c r="E18896" s="130"/>
    </row>
    <row r="18897" spans="1:5" x14ac:dyDescent="0.25">
      <c r="A18897" s="1033"/>
      <c r="E18897" s="130"/>
    </row>
    <row r="18898" spans="1:5" x14ac:dyDescent="0.25">
      <c r="A18898" s="1033"/>
      <c r="E18898" s="130"/>
    </row>
    <row r="18899" spans="1:5" x14ac:dyDescent="0.25">
      <c r="A18899" s="1033"/>
      <c r="E18899" s="130"/>
    </row>
    <row r="18900" spans="1:5" x14ac:dyDescent="0.25">
      <c r="A18900" s="1033"/>
      <c r="E18900" s="130"/>
    </row>
    <row r="18901" spans="1:5" x14ac:dyDescent="0.25">
      <c r="A18901" s="1033"/>
      <c r="E18901" s="130"/>
    </row>
    <row r="18902" spans="1:5" x14ac:dyDescent="0.25">
      <c r="A18902" s="1033"/>
      <c r="E18902" s="130"/>
    </row>
    <row r="18903" spans="1:5" x14ac:dyDescent="0.25">
      <c r="A18903" s="1033"/>
      <c r="E18903" s="130"/>
    </row>
    <row r="18904" spans="1:5" x14ac:dyDescent="0.25">
      <c r="A18904" s="1033"/>
      <c r="E18904" s="130"/>
    </row>
    <row r="18905" spans="1:5" x14ac:dyDescent="0.25">
      <c r="A18905" s="1033"/>
      <c r="E18905" s="130"/>
    </row>
    <row r="18906" spans="1:5" x14ac:dyDescent="0.25">
      <c r="A18906" s="1033"/>
      <c r="E18906" s="130"/>
    </row>
    <row r="18907" spans="1:5" x14ac:dyDescent="0.25">
      <c r="A18907" s="1033"/>
      <c r="E18907" s="130"/>
    </row>
    <row r="18908" spans="1:5" x14ac:dyDescent="0.25">
      <c r="A18908" s="1033"/>
      <c r="E18908" s="130"/>
    </row>
    <row r="18909" spans="1:5" x14ac:dyDescent="0.25">
      <c r="A18909" s="1033"/>
      <c r="E18909" s="130"/>
    </row>
    <row r="18910" spans="1:5" x14ac:dyDescent="0.25">
      <c r="A18910" s="1033"/>
      <c r="E18910" s="130"/>
    </row>
    <row r="18911" spans="1:5" x14ac:dyDescent="0.25">
      <c r="A18911" s="1033"/>
      <c r="E18911" s="130"/>
    </row>
    <row r="18912" spans="1:5" x14ac:dyDescent="0.25">
      <c r="A18912" s="1033"/>
      <c r="E18912" s="130"/>
    </row>
    <row r="18913" spans="1:5" x14ac:dyDescent="0.25">
      <c r="A18913" s="1033"/>
      <c r="E18913" s="130"/>
    </row>
    <row r="18914" spans="1:5" x14ac:dyDescent="0.25">
      <c r="A18914" s="1033"/>
      <c r="E18914" s="130"/>
    </row>
    <row r="18915" spans="1:5" x14ac:dyDescent="0.25">
      <c r="A18915" s="1033"/>
      <c r="E18915" s="130"/>
    </row>
    <row r="18916" spans="1:5" x14ac:dyDescent="0.25">
      <c r="A18916" s="1033"/>
      <c r="E18916" s="130"/>
    </row>
    <row r="18917" spans="1:5" x14ac:dyDescent="0.25">
      <c r="A18917" s="1033"/>
      <c r="E18917" s="130"/>
    </row>
    <row r="18918" spans="1:5" x14ac:dyDescent="0.25">
      <c r="A18918" s="1033"/>
      <c r="E18918" s="130"/>
    </row>
    <row r="18919" spans="1:5" x14ac:dyDescent="0.25">
      <c r="A18919" s="1033"/>
      <c r="E18919" s="130"/>
    </row>
    <row r="18920" spans="1:5" x14ac:dyDescent="0.25">
      <c r="A18920" s="1033"/>
      <c r="E18920" s="130"/>
    </row>
    <row r="18921" spans="1:5" x14ac:dyDescent="0.25">
      <c r="A18921" s="1033"/>
      <c r="E18921" s="130"/>
    </row>
    <row r="18922" spans="1:5" x14ac:dyDescent="0.25">
      <c r="A18922" s="1033"/>
      <c r="E18922" s="130"/>
    </row>
    <row r="18923" spans="1:5" x14ac:dyDescent="0.25">
      <c r="A18923" s="1033"/>
      <c r="E18923" s="130"/>
    </row>
    <row r="18924" spans="1:5" x14ac:dyDescent="0.25">
      <c r="A18924" s="1033"/>
      <c r="E18924" s="130"/>
    </row>
    <row r="18925" spans="1:5" x14ac:dyDescent="0.25">
      <c r="A18925" s="1033"/>
      <c r="E18925" s="130"/>
    </row>
    <row r="18926" spans="1:5" x14ac:dyDescent="0.25">
      <c r="A18926" s="1033"/>
      <c r="E18926" s="130"/>
    </row>
    <row r="18927" spans="1:5" x14ac:dyDescent="0.25">
      <c r="A18927" s="1033"/>
      <c r="E18927" s="130"/>
    </row>
    <row r="18928" spans="1:5" x14ac:dyDescent="0.25">
      <c r="A18928" s="1033"/>
      <c r="E18928" s="130"/>
    </row>
    <row r="18929" spans="1:5" x14ac:dyDescent="0.25">
      <c r="A18929" s="1033"/>
      <c r="E18929" s="130"/>
    </row>
    <row r="18930" spans="1:5" x14ac:dyDescent="0.25">
      <c r="A18930" s="1033"/>
      <c r="E18930" s="130"/>
    </row>
    <row r="18931" spans="1:5" x14ac:dyDescent="0.25">
      <c r="A18931" s="1033"/>
      <c r="E18931" s="130"/>
    </row>
    <row r="18932" spans="1:5" x14ac:dyDescent="0.25">
      <c r="A18932" s="1033"/>
      <c r="E18932" s="130"/>
    </row>
    <row r="18933" spans="1:5" x14ac:dyDescent="0.25">
      <c r="A18933" s="1033"/>
      <c r="E18933" s="130"/>
    </row>
    <row r="18934" spans="1:5" x14ac:dyDescent="0.25">
      <c r="A18934" s="1033"/>
      <c r="E18934" s="130"/>
    </row>
    <row r="18935" spans="1:5" x14ac:dyDescent="0.25">
      <c r="A18935" s="1033"/>
      <c r="E18935" s="130"/>
    </row>
    <row r="18936" spans="1:5" x14ac:dyDescent="0.25">
      <c r="A18936" s="1033"/>
      <c r="E18936" s="130"/>
    </row>
    <row r="18937" spans="1:5" x14ac:dyDescent="0.25">
      <c r="A18937" s="1033"/>
      <c r="E18937" s="130"/>
    </row>
    <row r="18938" spans="1:5" x14ac:dyDescent="0.25">
      <c r="A18938" s="1033"/>
      <c r="E18938" s="130"/>
    </row>
    <row r="18939" spans="1:5" x14ac:dyDescent="0.25">
      <c r="A18939" s="1033"/>
      <c r="E18939" s="130"/>
    </row>
    <row r="18940" spans="1:5" x14ac:dyDescent="0.25">
      <c r="A18940" s="1033"/>
      <c r="E18940" s="130"/>
    </row>
    <row r="18941" spans="1:5" x14ac:dyDescent="0.25">
      <c r="A18941" s="1033"/>
      <c r="E18941" s="130"/>
    </row>
    <row r="18942" spans="1:5" x14ac:dyDescent="0.25">
      <c r="A18942" s="1033"/>
      <c r="E18942" s="130"/>
    </row>
    <row r="18943" spans="1:5" x14ac:dyDescent="0.25">
      <c r="A18943" s="1033"/>
      <c r="E18943" s="130"/>
    </row>
    <row r="18944" spans="1:5" x14ac:dyDescent="0.25">
      <c r="A18944" s="1033"/>
      <c r="E18944" s="130"/>
    </row>
    <row r="18945" spans="1:5" x14ac:dyDescent="0.25">
      <c r="A18945" s="1033"/>
      <c r="E18945" s="130"/>
    </row>
    <row r="18946" spans="1:5" x14ac:dyDescent="0.25">
      <c r="A18946" s="1033"/>
      <c r="E18946" s="130"/>
    </row>
    <row r="18947" spans="1:5" x14ac:dyDescent="0.25">
      <c r="A18947" s="1033"/>
      <c r="E18947" s="130"/>
    </row>
    <row r="18948" spans="1:5" x14ac:dyDescent="0.25">
      <c r="A18948" s="1033"/>
      <c r="E18948" s="130"/>
    </row>
    <row r="18949" spans="1:5" x14ac:dyDescent="0.25">
      <c r="A18949" s="1033"/>
      <c r="E18949" s="130"/>
    </row>
    <row r="18950" spans="1:5" x14ac:dyDescent="0.25">
      <c r="A18950" s="1033"/>
      <c r="E18950" s="130"/>
    </row>
    <row r="18951" spans="1:5" x14ac:dyDescent="0.25">
      <c r="A18951" s="1033"/>
      <c r="E18951" s="130"/>
    </row>
    <row r="18952" spans="1:5" x14ac:dyDescent="0.25">
      <c r="A18952" s="1033"/>
      <c r="E18952" s="130"/>
    </row>
    <row r="18953" spans="1:5" x14ac:dyDescent="0.25">
      <c r="A18953" s="1033"/>
      <c r="E18953" s="130"/>
    </row>
    <row r="18954" spans="1:5" x14ac:dyDescent="0.25">
      <c r="A18954" s="1033"/>
      <c r="E18954" s="130"/>
    </row>
    <row r="18955" spans="1:5" x14ac:dyDescent="0.25">
      <c r="A18955" s="1033"/>
      <c r="E18955" s="130"/>
    </row>
    <row r="18956" spans="1:5" x14ac:dyDescent="0.25">
      <c r="A18956" s="1033"/>
      <c r="E18956" s="130"/>
    </row>
    <row r="18957" spans="1:5" x14ac:dyDescent="0.25">
      <c r="A18957" s="1033"/>
      <c r="E18957" s="130"/>
    </row>
    <row r="18958" spans="1:5" x14ac:dyDescent="0.25">
      <c r="A18958" s="1033"/>
      <c r="E18958" s="130"/>
    </row>
    <row r="18959" spans="1:5" x14ac:dyDescent="0.25">
      <c r="A18959" s="1033"/>
      <c r="E18959" s="130"/>
    </row>
    <row r="18960" spans="1:5" x14ac:dyDescent="0.25">
      <c r="A18960" s="1033"/>
      <c r="E18960" s="130"/>
    </row>
    <row r="18961" spans="1:5" x14ac:dyDescent="0.25">
      <c r="A18961" s="1033"/>
      <c r="E18961" s="130"/>
    </row>
    <row r="18962" spans="1:5" x14ac:dyDescent="0.25">
      <c r="A18962" s="1033"/>
      <c r="E18962" s="130"/>
    </row>
    <row r="18963" spans="1:5" x14ac:dyDescent="0.25">
      <c r="A18963" s="1033"/>
      <c r="E18963" s="130"/>
    </row>
    <row r="18964" spans="1:5" x14ac:dyDescent="0.25">
      <c r="A18964" s="1033"/>
      <c r="E18964" s="130"/>
    </row>
    <row r="18965" spans="1:5" x14ac:dyDescent="0.25">
      <c r="A18965" s="1033"/>
      <c r="E18965" s="130"/>
    </row>
    <row r="18966" spans="1:5" x14ac:dyDescent="0.25">
      <c r="A18966" s="1033"/>
      <c r="E18966" s="130"/>
    </row>
    <row r="18967" spans="1:5" x14ac:dyDescent="0.25">
      <c r="A18967" s="1033"/>
      <c r="E18967" s="130"/>
    </row>
    <row r="18968" spans="1:5" x14ac:dyDescent="0.25">
      <c r="A18968" s="1033"/>
      <c r="E18968" s="130"/>
    </row>
    <row r="18969" spans="1:5" x14ac:dyDescent="0.25">
      <c r="A18969" s="1033"/>
      <c r="E18969" s="130"/>
    </row>
    <row r="18970" spans="1:5" x14ac:dyDescent="0.25">
      <c r="A18970" s="1033"/>
      <c r="E18970" s="130"/>
    </row>
    <row r="18971" spans="1:5" x14ac:dyDescent="0.25">
      <c r="A18971" s="1033"/>
      <c r="E18971" s="130"/>
    </row>
    <row r="18972" spans="1:5" x14ac:dyDescent="0.25">
      <c r="A18972" s="1033"/>
      <c r="E18972" s="130"/>
    </row>
    <row r="18973" spans="1:5" x14ac:dyDescent="0.25">
      <c r="A18973" s="1033"/>
      <c r="E18973" s="130"/>
    </row>
    <row r="18974" spans="1:5" x14ac:dyDescent="0.25">
      <c r="A18974" s="1033"/>
      <c r="E18974" s="130"/>
    </row>
    <row r="18975" spans="1:5" x14ac:dyDescent="0.25">
      <c r="A18975" s="1033"/>
      <c r="E18975" s="130"/>
    </row>
    <row r="18976" spans="1:5" x14ac:dyDescent="0.25">
      <c r="A18976" s="1033"/>
      <c r="E18976" s="130"/>
    </row>
    <row r="18977" spans="1:5" x14ac:dyDescent="0.25">
      <c r="A18977" s="1033"/>
      <c r="E18977" s="130"/>
    </row>
    <row r="18978" spans="1:5" x14ac:dyDescent="0.25">
      <c r="A18978" s="1033"/>
      <c r="E18978" s="130"/>
    </row>
    <row r="18979" spans="1:5" x14ac:dyDescent="0.25">
      <c r="A18979" s="1033"/>
      <c r="E18979" s="130"/>
    </row>
    <row r="18980" spans="1:5" x14ac:dyDescent="0.25">
      <c r="A18980" s="1033"/>
      <c r="E18980" s="130"/>
    </row>
    <row r="18981" spans="1:5" x14ac:dyDescent="0.25">
      <c r="A18981" s="1033"/>
      <c r="E18981" s="130"/>
    </row>
    <row r="18982" spans="1:5" x14ac:dyDescent="0.25">
      <c r="A18982" s="1033"/>
      <c r="E18982" s="130"/>
    </row>
    <row r="18983" spans="1:5" x14ac:dyDescent="0.25">
      <c r="A18983" s="1033"/>
      <c r="E18983" s="130"/>
    </row>
    <row r="18984" spans="1:5" x14ac:dyDescent="0.25">
      <c r="A18984" s="1033"/>
      <c r="E18984" s="130"/>
    </row>
    <row r="18985" spans="1:5" x14ac:dyDescent="0.25">
      <c r="A18985" s="1033"/>
      <c r="E18985" s="130"/>
    </row>
    <row r="18986" spans="1:5" x14ac:dyDescent="0.25">
      <c r="A18986" s="1033"/>
      <c r="E18986" s="130"/>
    </row>
    <row r="18987" spans="1:5" x14ac:dyDescent="0.25">
      <c r="A18987" s="1033"/>
      <c r="E18987" s="130"/>
    </row>
    <row r="18988" spans="1:5" x14ac:dyDescent="0.25">
      <c r="A18988" s="1033"/>
      <c r="E18988" s="130"/>
    </row>
    <row r="18989" spans="1:5" x14ac:dyDescent="0.25">
      <c r="A18989" s="1033"/>
      <c r="E18989" s="130"/>
    </row>
    <row r="18990" spans="1:5" x14ac:dyDescent="0.25">
      <c r="A18990" s="1033"/>
      <c r="E18990" s="130"/>
    </row>
    <row r="18991" spans="1:5" x14ac:dyDescent="0.25">
      <c r="A18991" s="1033"/>
      <c r="E18991" s="130"/>
    </row>
    <row r="18992" spans="1:5" x14ac:dyDescent="0.25">
      <c r="A18992" s="1033"/>
      <c r="E18992" s="130"/>
    </row>
    <row r="18993" spans="1:5" x14ac:dyDescent="0.25">
      <c r="A18993" s="1033"/>
      <c r="E18993" s="130"/>
    </row>
    <row r="18994" spans="1:5" x14ac:dyDescent="0.25">
      <c r="A18994" s="1033"/>
      <c r="E18994" s="130"/>
    </row>
    <row r="18995" spans="1:5" x14ac:dyDescent="0.25">
      <c r="A18995" s="1033"/>
      <c r="E18995" s="130"/>
    </row>
    <row r="18996" spans="1:5" x14ac:dyDescent="0.25">
      <c r="A18996" s="1033"/>
      <c r="E18996" s="130"/>
    </row>
    <row r="18997" spans="1:5" x14ac:dyDescent="0.25">
      <c r="A18997" s="1033"/>
      <c r="E18997" s="130"/>
    </row>
    <row r="18998" spans="1:5" x14ac:dyDescent="0.25">
      <c r="A18998" s="1033"/>
      <c r="E18998" s="130"/>
    </row>
    <row r="18999" spans="1:5" x14ac:dyDescent="0.25">
      <c r="A18999" s="1033"/>
      <c r="E18999" s="130"/>
    </row>
    <row r="19000" spans="1:5" x14ac:dyDescent="0.25">
      <c r="A19000" s="1033"/>
      <c r="E19000" s="130"/>
    </row>
    <row r="19001" spans="1:5" x14ac:dyDescent="0.25">
      <c r="A19001" s="1033"/>
      <c r="E19001" s="130"/>
    </row>
    <row r="19002" spans="1:5" x14ac:dyDescent="0.25">
      <c r="A19002" s="1033"/>
      <c r="E19002" s="130"/>
    </row>
    <row r="19003" spans="1:5" x14ac:dyDescent="0.25">
      <c r="A19003" s="1033"/>
      <c r="E19003" s="130"/>
    </row>
    <row r="19004" spans="1:5" x14ac:dyDescent="0.25">
      <c r="A19004" s="1033"/>
      <c r="E19004" s="130"/>
    </row>
    <row r="19005" spans="1:5" x14ac:dyDescent="0.25">
      <c r="A19005" s="1033"/>
      <c r="E19005" s="130"/>
    </row>
    <row r="19006" spans="1:5" x14ac:dyDescent="0.25">
      <c r="A19006" s="1033"/>
      <c r="E19006" s="130"/>
    </row>
    <row r="19007" spans="1:5" x14ac:dyDescent="0.25">
      <c r="A19007" s="1033"/>
      <c r="E19007" s="130"/>
    </row>
    <row r="19008" spans="1:5" x14ac:dyDescent="0.25">
      <c r="A19008" s="1033"/>
      <c r="E19008" s="130"/>
    </row>
    <row r="19009" spans="1:5" x14ac:dyDescent="0.25">
      <c r="A19009" s="1033"/>
      <c r="E19009" s="130"/>
    </row>
    <row r="19010" spans="1:5" x14ac:dyDescent="0.25">
      <c r="A19010" s="1033"/>
      <c r="E19010" s="130"/>
    </row>
    <row r="19011" spans="1:5" x14ac:dyDescent="0.25">
      <c r="A19011" s="1033"/>
      <c r="E19011" s="130"/>
    </row>
    <row r="19012" spans="1:5" x14ac:dyDescent="0.25">
      <c r="A19012" s="1033"/>
      <c r="E19012" s="130"/>
    </row>
    <row r="19013" spans="1:5" x14ac:dyDescent="0.25">
      <c r="A19013" s="1033"/>
      <c r="E19013" s="130"/>
    </row>
    <row r="19014" spans="1:5" x14ac:dyDescent="0.25">
      <c r="A19014" s="1033"/>
      <c r="E19014" s="130"/>
    </row>
    <row r="19015" spans="1:5" x14ac:dyDescent="0.25">
      <c r="A19015" s="1033"/>
      <c r="E19015" s="130"/>
    </row>
    <row r="19016" spans="1:5" x14ac:dyDescent="0.25">
      <c r="A19016" s="1033"/>
      <c r="E19016" s="130"/>
    </row>
    <row r="19017" spans="1:5" x14ac:dyDescent="0.25">
      <c r="A19017" s="1033"/>
      <c r="E19017" s="130"/>
    </row>
    <row r="19018" spans="1:5" x14ac:dyDescent="0.25">
      <c r="A19018" s="1033"/>
      <c r="E19018" s="130"/>
    </row>
    <row r="19019" spans="1:5" x14ac:dyDescent="0.25">
      <c r="A19019" s="1033"/>
      <c r="E19019" s="130"/>
    </row>
    <row r="19020" spans="1:5" x14ac:dyDescent="0.25">
      <c r="A19020" s="1033"/>
      <c r="E19020" s="130"/>
    </row>
    <row r="19021" spans="1:5" x14ac:dyDescent="0.25">
      <c r="A19021" s="1033"/>
      <c r="E19021" s="130"/>
    </row>
    <row r="19022" spans="1:5" x14ac:dyDescent="0.25">
      <c r="A19022" s="1033"/>
      <c r="E19022" s="130"/>
    </row>
    <row r="19023" spans="1:5" x14ac:dyDescent="0.25">
      <c r="A19023" s="1033"/>
      <c r="E19023" s="130"/>
    </row>
    <row r="19024" spans="1:5" x14ac:dyDescent="0.25">
      <c r="A19024" s="1033"/>
      <c r="E19024" s="130"/>
    </row>
    <row r="19025" spans="1:5" x14ac:dyDescent="0.25">
      <c r="A19025" s="1033"/>
      <c r="E19025" s="130"/>
    </row>
    <row r="19026" spans="1:5" x14ac:dyDescent="0.25">
      <c r="A19026" s="1033"/>
      <c r="E19026" s="130"/>
    </row>
    <row r="19027" spans="1:5" x14ac:dyDescent="0.25">
      <c r="A19027" s="1033"/>
      <c r="E19027" s="130"/>
    </row>
    <row r="19028" spans="1:5" x14ac:dyDescent="0.25">
      <c r="A19028" s="1033"/>
      <c r="E19028" s="130"/>
    </row>
    <row r="19029" spans="1:5" x14ac:dyDescent="0.25">
      <c r="A19029" s="1033"/>
      <c r="E19029" s="130"/>
    </row>
    <row r="19030" spans="1:5" x14ac:dyDescent="0.25">
      <c r="A19030" s="1033"/>
      <c r="E19030" s="130"/>
    </row>
    <row r="19031" spans="1:5" x14ac:dyDescent="0.25">
      <c r="A19031" s="1033"/>
      <c r="E19031" s="130"/>
    </row>
    <row r="19032" spans="1:5" x14ac:dyDescent="0.25">
      <c r="A19032" s="1033"/>
      <c r="E19032" s="130"/>
    </row>
    <row r="19033" spans="1:5" x14ac:dyDescent="0.25">
      <c r="A19033" s="1033"/>
      <c r="E19033" s="130"/>
    </row>
    <row r="19034" spans="1:5" x14ac:dyDescent="0.25">
      <c r="A19034" s="1033"/>
      <c r="E19034" s="130"/>
    </row>
    <row r="19035" spans="1:5" x14ac:dyDescent="0.25">
      <c r="A19035" s="1033"/>
      <c r="E19035" s="130"/>
    </row>
    <row r="19036" spans="1:5" x14ac:dyDescent="0.25">
      <c r="A19036" s="1033"/>
      <c r="E19036" s="130"/>
    </row>
    <row r="19037" spans="1:5" x14ac:dyDescent="0.25">
      <c r="A19037" s="1033"/>
      <c r="E19037" s="130"/>
    </row>
    <row r="19038" spans="1:5" x14ac:dyDescent="0.25">
      <c r="A19038" s="1033"/>
      <c r="E19038" s="130"/>
    </row>
    <row r="19039" spans="1:5" x14ac:dyDescent="0.25">
      <c r="A19039" s="1033"/>
      <c r="E19039" s="130"/>
    </row>
    <row r="19040" spans="1:5" x14ac:dyDescent="0.25">
      <c r="A19040" s="1033"/>
      <c r="E19040" s="130"/>
    </row>
    <row r="19041" spans="1:5" x14ac:dyDescent="0.25">
      <c r="A19041" s="1033"/>
      <c r="E19041" s="130"/>
    </row>
    <row r="19042" spans="1:5" x14ac:dyDescent="0.25">
      <c r="A19042" s="1033"/>
      <c r="E19042" s="130"/>
    </row>
    <row r="19043" spans="1:5" x14ac:dyDescent="0.25">
      <c r="A19043" s="1033"/>
      <c r="E19043" s="130"/>
    </row>
    <row r="19044" spans="1:5" x14ac:dyDescent="0.25">
      <c r="A19044" s="1033"/>
      <c r="E19044" s="130"/>
    </row>
    <row r="19045" spans="1:5" x14ac:dyDescent="0.25">
      <c r="A19045" s="1033"/>
      <c r="E19045" s="130"/>
    </row>
    <row r="19046" spans="1:5" x14ac:dyDescent="0.25">
      <c r="A19046" s="1033"/>
      <c r="E19046" s="130"/>
    </row>
    <row r="19047" spans="1:5" x14ac:dyDescent="0.25">
      <c r="A19047" s="1033"/>
      <c r="E19047" s="130"/>
    </row>
    <row r="19048" spans="1:5" x14ac:dyDescent="0.25">
      <c r="A19048" s="1033"/>
      <c r="E19048" s="130"/>
    </row>
    <row r="19049" spans="1:5" x14ac:dyDescent="0.25">
      <c r="A19049" s="1033"/>
      <c r="E19049" s="130"/>
    </row>
    <row r="19050" spans="1:5" x14ac:dyDescent="0.25">
      <c r="A19050" s="1033"/>
      <c r="E19050" s="130"/>
    </row>
    <row r="19051" spans="1:5" x14ac:dyDescent="0.25">
      <c r="A19051" s="1033"/>
      <c r="E19051" s="130"/>
    </row>
    <row r="19052" spans="1:5" x14ac:dyDescent="0.25">
      <c r="A19052" s="1033"/>
      <c r="E19052" s="130"/>
    </row>
    <row r="19053" spans="1:5" x14ac:dyDescent="0.25">
      <c r="A19053" s="1033"/>
      <c r="E19053" s="130"/>
    </row>
    <row r="19054" spans="1:5" x14ac:dyDescent="0.25">
      <c r="A19054" s="1033"/>
      <c r="E19054" s="130"/>
    </row>
    <row r="19055" spans="1:5" x14ac:dyDescent="0.25">
      <c r="A19055" s="1033"/>
      <c r="E19055" s="130"/>
    </row>
    <row r="19056" spans="1:5" x14ac:dyDescent="0.25">
      <c r="A19056" s="1033"/>
      <c r="E19056" s="130"/>
    </row>
    <row r="19057" spans="1:5" x14ac:dyDescent="0.25">
      <c r="A19057" s="1033"/>
      <c r="E19057" s="130"/>
    </row>
    <row r="19058" spans="1:5" x14ac:dyDescent="0.25">
      <c r="A19058" s="1033"/>
      <c r="E19058" s="130"/>
    </row>
    <row r="19059" spans="1:5" x14ac:dyDescent="0.25">
      <c r="A19059" s="1033"/>
      <c r="E19059" s="130"/>
    </row>
    <row r="19060" spans="1:5" x14ac:dyDescent="0.25">
      <c r="A19060" s="1033"/>
      <c r="E19060" s="130"/>
    </row>
    <row r="19061" spans="1:5" x14ac:dyDescent="0.25">
      <c r="A19061" s="1033"/>
      <c r="E19061" s="130"/>
    </row>
    <row r="19062" spans="1:5" x14ac:dyDescent="0.25">
      <c r="A19062" s="1033"/>
      <c r="E19062" s="130"/>
    </row>
    <row r="19063" spans="1:5" x14ac:dyDescent="0.25">
      <c r="A19063" s="1033"/>
      <c r="E19063" s="130"/>
    </row>
    <row r="19064" spans="1:5" x14ac:dyDescent="0.25">
      <c r="A19064" s="1033"/>
      <c r="E19064" s="130"/>
    </row>
    <row r="19065" spans="1:5" x14ac:dyDescent="0.25">
      <c r="A19065" s="1033"/>
      <c r="E19065" s="130"/>
    </row>
    <row r="19066" spans="1:5" x14ac:dyDescent="0.25">
      <c r="A19066" s="1033"/>
      <c r="E19066" s="130"/>
    </row>
    <row r="19067" spans="1:5" x14ac:dyDescent="0.25">
      <c r="A19067" s="1033"/>
      <c r="E19067" s="130"/>
    </row>
    <row r="19068" spans="1:5" x14ac:dyDescent="0.25">
      <c r="A19068" s="1033"/>
      <c r="E19068" s="130"/>
    </row>
    <row r="19069" spans="1:5" x14ac:dyDescent="0.25">
      <c r="A19069" s="1033"/>
      <c r="E19069" s="130"/>
    </row>
    <row r="19070" spans="1:5" x14ac:dyDescent="0.25">
      <c r="A19070" s="1033"/>
      <c r="E19070" s="130"/>
    </row>
    <row r="19071" spans="1:5" x14ac:dyDescent="0.25">
      <c r="A19071" s="1033"/>
      <c r="E19071" s="130"/>
    </row>
    <row r="19072" spans="1:5" x14ac:dyDescent="0.25">
      <c r="A19072" s="1033"/>
      <c r="E19072" s="130"/>
    </row>
    <row r="19073" spans="1:5" x14ac:dyDescent="0.25">
      <c r="A19073" s="1033"/>
      <c r="E19073" s="130"/>
    </row>
    <row r="19074" spans="1:5" x14ac:dyDescent="0.25">
      <c r="A19074" s="1033"/>
      <c r="E19074" s="130"/>
    </row>
    <row r="19075" spans="1:5" x14ac:dyDescent="0.25">
      <c r="A19075" s="1033"/>
      <c r="E19075" s="130"/>
    </row>
    <row r="19076" spans="1:5" x14ac:dyDescent="0.25">
      <c r="A19076" s="1033"/>
      <c r="E19076" s="130"/>
    </row>
    <row r="19077" spans="1:5" x14ac:dyDescent="0.25">
      <c r="A19077" s="1033"/>
      <c r="E19077" s="130"/>
    </row>
    <row r="19078" spans="1:5" x14ac:dyDescent="0.25">
      <c r="A19078" s="1033"/>
      <c r="E19078" s="130"/>
    </row>
    <row r="19079" spans="1:5" x14ac:dyDescent="0.25">
      <c r="A19079" s="1033"/>
      <c r="E19079" s="130"/>
    </row>
    <row r="19080" spans="1:5" x14ac:dyDescent="0.25">
      <c r="A19080" s="1033"/>
      <c r="E19080" s="130"/>
    </row>
    <row r="19081" spans="1:5" x14ac:dyDescent="0.25">
      <c r="A19081" s="1033"/>
      <c r="E19081" s="130"/>
    </row>
    <row r="19082" spans="1:5" x14ac:dyDescent="0.25">
      <c r="A19082" s="1033"/>
      <c r="E19082" s="130"/>
    </row>
    <row r="19083" spans="1:5" x14ac:dyDescent="0.25">
      <c r="A19083" s="1033"/>
      <c r="E19083" s="130"/>
    </row>
    <row r="19084" spans="1:5" x14ac:dyDescent="0.25">
      <c r="A19084" s="1033"/>
      <c r="E19084" s="130"/>
    </row>
    <row r="19085" spans="1:5" x14ac:dyDescent="0.25">
      <c r="A19085" s="1033"/>
      <c r="E19085" s="130"/>
    </row>
    <row r="19086" spans="1:5" x14ac:dyDescent="0.25">
      <c r="A19086" s="1033"/>
      <c r="E19086" s="130"/>
    </row>
    <row r="19087" spans="1:5" x14ac:dyDescent="0.25">
      <c r="A19087" s="1033"/>
      <c r="E19087" s="130"/>
    </row>
    <row r="19088" spans="1:5" x14ac:dyDescent="0.25">
      <c r="A19088" s="1033"/>
      <c r="E19088" s="130"/>
    </row>
    <row r="19089" spans="1:5" x14ac:dyDescent="0.25">
      <c r="A19089" s="1033"/>
      <c r="E19089" s="130"/>
    </row>
    <row r="19090" spans="1:5" x14ac:dyDescent="0.25">
      <c r="A19090" s="1033"/>
      <c r="E19090" s="130"/>
    </row>
    <row r="19091" spans="1:5" x14ac:dyDescent="0.25">
      <c r="A19091" s="1033"/>
      <c r="E19091" s="130"/>
    </row>
    <row r="19092" spans="1:5" x14ac:dyDescent="0.25">
      <c r="A19092" s="1033"/>
      <c r="E19092" s="130"/>
    </row>
    <row r="19093" spans="1:5" x14ac:dyDescent="0.25">
      <c r="A19093" s="1033"/>
      <c r="E19093" s="130"/>
    </row>
    <row r="19094" spans="1:5" x14ac:dyDescent="0.25">
      <c r="A19094" s="1033"/>
      <c r="E19094" s="130"/>
    </row>
    <row r="19095" spans="1:5" x14ac:dyDescent="0.25">
      <c r="A19095" s="1033"/>
      <c r="E19095" s="130"/>
    </row>
    <row r="19096" spans="1:5" x14ac:dyDescent="0.25">
      <c r="A19096" s="1033"/>
      <c r="E19096" s="130"/>
    </row>
    <row r="19097" spans="1:5" x14ac:dyDescent="0.25">
      <c r="A19097" s="1033"/>
      <c r="E19097" s="130"/>
    </row>
    <row r="19098" spans="1:5" x14ac:dyDescent="0.25">
      <c r="A19098" s="1033"/>
      <c r="E19098" s="130"/>
    </row>
    <row r="19099" spans="1:5" x14ac:dyDescent="0.25">
      <c r="A19099" s="1033"/>
      <c r="E19099" s="130"/>
    </row>
    <row r="19100" spans="1:5" x14ac:dyDescent="0.25">
      <c r="A19100" s="1033"/>
      <c r="E19100" s="130"/>
    </row>
    <row r="19101" spans="1:5" x14ac:dyDescent="0.25">
      <c r="A19101" s="1033"/>
      <c r="E19101" s="130"/>
    </row>
    <row r="19102" spans="1:5" x14ac:dyDescent="0.25">
      <c r="A19102" s="1033"/>
      <c r="E19102" s="130"/>
    </row>
    <row r="19103" spans="1:5" x14ac:dyDescent="0.25">
      <c r="A19103" s="1033"/>
      <c r="E19103" s="130"/>
    </row>
    <row r="19104" spans="1:5" x14ac:dyDescent="0.25">
      <c r="A19104" s="1033"/>
      <c r="E19104" s="130"/>
    </row>
    <row r="19105" spans="1:5" x14ac:dyDescent="0.25">
      <c r="A19105" s="1033"/>
      <c r="E19105" s="130"/>
    </row>
    <row r="19106" spans="1:5" x14ac:dyDescent="0.25">
      <c r="A19106" s="1033"/>
      <c r="E19106" s="130"/>
    </row>
    <row r="19107" spans="1:5" x14ac:dyDescent="0.25">
      <c r="A19107" s="1033"/>
      <c r="E19107" s="130"/>
    </row>
    <row r="19108" spans="1:5" x14ac:dyDescent="0.25">
      <c r="A19108" s="1033"/>
      <c r="E19108" s="130"/>
    </row>
    <row r="19109" spans="1:5" x14ac:dyDescent="0.25">
      <c r="A19109" s="1033"/>
      <c r="E19109" s="130"/>
    </row>
    <row r="19110" spans="1:5" x14ac:dyDescent="0.25">
      <c r="A19110" s="1033"/>
      <c r="E19110" s="130"/>
    </row>
    <row r="19111" spans="1:5" x14ac:dyDescent="0.25">
      <c r="A19111" s="1033"/>
      <c r="E19111" s="130"/>
    </row>
    <row r="19112" spans="1:5" x14ac:dyDescent="0.25">
      <c r="A19112" s="1033"/>
      <c r="E19112" s="130"/>
    </row>
    <row r="19113" spans="1:5" x14ac:dyDescent="0.25">
      <c r="A19113" s="1033"/>
      <c r="E19113" s="130"/>
    </row>
    <row r="19114" spans="1:5" x14ac:dyDescent="0.25">
      <c r="A19114" s="1033"/>
      <c r="E19114" s="130"/>
    </row>
    <row r="19115" spans="1:5" x14ac:dyDescent="0.25">
      <c r="A19115" s="1033"/>
      <c r="E19115" s="130"/>
    </row>
    <row r="19116" spans="1:5" x14ac:dyDescent="0.25">
      <c r="A19116" s="1033"/>
      <c r="E19116" s="130"/>
    </row>
    <row r="19117" spans="1:5" x14ac:dyDescent="0.25">
      <c r="A19117" s="1033"/>
      <c r="E19117" s="130"/>
    </row>
    <row r="19118" spans="1:5" x14ac:dyDescent="0.25">
      <c r="A19118" s="1033"/>
      <c r="E19118" s="130"/>
    </row>
    <row r="19119" spans="1:5" x14ac:dyDescent="0.25">
      <c r="A19119" s="1033"/>
      <c r="E19119" s="130"/>
    </row>
    <row r="19120" spans="1:5" x14ac:dyDescent="0.25">
      <c r="A19120" s="1033"/>
      <c r="E19120" s="130"/>
    </row>
    <row r="19121" spans="1:5" x14ac:dyDescent="0.25">
      <c r="A19121" s="1033"/>
      <c r="E19121" s="130"/>
    </row>
    <row r="19122" spans="1:5" x14ac:dyDescent="0.25">
      <c r="A19122" s="1033"/>
      <c r="E19122" s="130"/>
    </row>
    <row r="19123" spans="1:5" x14ac:dyDescent="0.25">
      <c r="A19123" s="1033"/>
      <c r="E19123" s="130"/>
    </row>
    <row r="19124" spans="1:5" x14ac:dyDescent="0.25">
      <c r="A19124" s="1033"/>
      <c r="E19124" s="130"/>
    </row>
    <row r="19125" spans="1:5" x14ac:dyDescent="0.25">
      <c r="A19125" s="1033"/>
      <c r="E19125" s="130"/>
    </row>
    <row r="19126" spans="1:5" x14ac:dyDescent="0.25">
      <c r="A19126" s="1033"/>
      <c r="E19126" s="130"/>
    </row>
    <row r="19127" spans="1:5" x14ac:dyDescent="0.25">
      <c r="A19127" s="1033"/>
      <c r="E19127" s="130"/>
    </row>
    <row r="19128" spans="1:5" x14ac:dyDescent="0.25">
      <c r="A19128" s="1033"/>
      <c r="E19128" s="130"/>
    </row>
    <row r="19129" spans="1:5" x14ac:dyDescent="0.25">
      <c r="A19129" s="1033"/>
      <c r="E19129" s="130"/>
    </row>
    <row r="19130" spans="1:5" x14ac:dyDescent="0.25">
      <c r="A19130" s="1033"/>
      <c r="E19130" s="130"/>
    </row>
    <row r="19131" spans="1:5" x14ac:dyDescent="0.25">
      <c r="A19131" s="1033"/>
      <c r="E19131" s="130"/>
    </row>
    <row r="19132" spans="1:5" x14ac:dyDescent="0.25">
      <c r="A19132" s="1033"/>
      <c r="E19132" s="130"/>
    </row>
    <row r="19133" spans="1:5" x14ac:dyDescent="0.25">
      <c r="A19133" s="1033"/>
      <c r="E19133" s="130"/>
    </row>
    <row r="19134" spans="1:5" x14ac:dyDescent="0.25">
      <c r="A19134" s="1033"/>
      <c r="E19134" s="130"/>
    </row>
    <row r="19135" spans="1:5" x14ac:dyDescent="0.25">
      <c r="A19135" s="1033"/>
      <c r="E19135" s="130"/>
    </row>
    <row r="19136" spans="1:5" x14ac:dyDescent="0.25">
      <c r="A19136" s="1033"/>
      <c r="E19136" s="130"/>
    </row>
    <row r="19137" spans="1:5" x14ac:dyDescent="0.25">
      <c r="A19137" s="1033"/>
      <c r="E19137" s="130"/>
    </row>
    <row r="19138" spans="1:5" x14ac:dyDescent="0.25">
      <c r="A19138" s="1033"/>
      <c r="E19138" s="130"/>
    </row>
    <row r="19139" spans="1:5" x14ac:dyDescent="0.25">
      <c r="A19139" s="1033"/>
      <c r="E19139" s="130"/>
    </row>
    <row r="19140" spans="1:5" x14ac:dyDescent="0.25">
      <c r="A19140" s="1033"/>
      <c r="E19140" s="130"/>
    </row>
    <row r="19141" spans="1:5" x14ac:dyDescent="0.25">
      <c r="A19141" s="1033"/>
      <c r="E19141" s="130"/>
    </row>
    <row r="19142" spans="1:5" x14ac:dyDescent="0.25">
      <c r="A19142" s="1033"/>
      <c r="E19142" s="130"/>
    </row>
    <row r="19143" spans="1:5" x14ac:dyDescent="0.25">
      <c r="A19143" s="1033"/>
      <c r="E19143" s="130"/>
    </row>
    <row r="19144" spans="1:5" x14ac:dyDescent="0.25">
      <c r="A19144" s="1033"/>
      <c r="E19144" s="130"/>
    </row>
    <row r="19145" spans="1:5" x14ac:dyDescent="0.25">
      <c r="A19145" s="1033"/>
      <c r="E19145" s="130"/>
    </row>
    <row r="19146" spans="1:5" x14ac:dyDescent="0.25">
      <c r="A19146" s="1033"/>
      <c r="E19146" s="130"/>
    </row>
    <row r="19147" spans="1:5" x14ac:dyDescent="0.25">
      <c r="A19147" s="1033"/>
      <c r="E19147" s="130"/>
    </row>
    <row r="19148" spans="1:5" x14ac:dyDescent="0.25">
      <c r="A19148" s="1033"/>
      <c r="E19148" s="130"/>
    </row>
    <row r="19149" spans="1:5" x14ac:dyDescent="0.25">
      <c r="A19149" s="1033"/>
      <c r="E19149" s="130"/>
    </row>
    <row r="19150" spans="1:5" x14ac:dyDescent="0.25">
      <c r="A19150" s="1033"/>
      <c r="E19150" s="130"/>
    </row>
    <row r="19151" spans="1:5" x14ac:dyDescent="0.25">
      <c r="A19151" s="1033"/>
      <c r="E19151" s="130"/>
    </row>
    <row r="19152" spans="1:5" x14ac:dyDescent="0.25">
      <c r="A19152" s="1033"/>
      <c r="E19152" s="130"/>
    </row>
    <row r="19153" spans="1:5" x14ac:dyDescent="0.25">
      <c r="A19153" s="1033"/>
      <c r="E19153" s="130"/>
    </row>
    <row r="19154" spans="1:5" x14ac:dyDescent="0.25">
      <c r="A19154" s="1033"/>
      <c r="E19154" s="130"/>
    </row>
    <row r="19155" spans="1:5" x14ac:dyDescent="0.25">
      <c r="A19155" s="1033"/>
      <c r="E19155" s="130"/>
    </row>
    <row r="19156" spans="1:5" x14ac:dyDescent="0.25">
      <c r="A19156" s="1033"/>
      <c r="E19156" s="130"/>
    </row>
    <row r="19157" spans="1:5" x14ac:dyDescent="0.25">
      <c r="A19157" s="1033"/>
      <c r="E19157" s="130"/>
    </row>
    <row r="19158" spans="1:5" x14ac:dyDescent="0.25">
      <c r="A19158" s="1033"/>
      <c r="E19158" s="130"/>
    </row>
    <row r="19159" spans="1:5" x14ac:dyDescent="0.25">
      <c r="A19159" s="1033"/>
      <c r="E19159" s="130"/>
    </row>
    <row r="19160" spans="1:5" x14ac:dyDescent="0.25">
      <c r="A19160" s="1033"/>
      <c r="E19160" s="130"/>
    </row>
    <row r="19161" spans="1:5" x14ac:dyDescent="0.25">
      <c r="A19161" s="1033"/>
      <c r="E19161" s="130"/>
    </row>
    <row r="19162" spans="1:5" x14ac:dyDescent="0.25">
      <c r="A19162" s="1033"/>
      <c r="E19162" s="130"/>
    </row>
    <row r="19163" spans="1:5" x14ac:dyDescent="0.25">
      <c r="A19163" s="1033"/>
      <c r="E19163" s="130"/>
    </row>
    <row r="19164" spans="1:5" x14ac:dyDescent="0.25">
      <c r="A19164" s="1033"/>
      <c r="E19164" s="130"/>
    </row>
    <row r="19165" spans="1:5" x14ac:dyDescent="0.25">
      <c r="A19165" s="1033"/>
      <c r="E19165" s="130"/>
    </row>
    <row r="19166" spans="1:5" x14ac:dyDescent="0.25">
      <c r="A19166" s="1033"/>
      <c r="E19166" s="130"/>
    </row>
    <row r="19167" spans="1:5" x14ac:dyDescent="0.25">
      <c r="A19167" s="1033"/>
      <c r="E19167" s="130"/>
    </row>
    <row r="19168" spans="1:5" x14ac:dyDescent="0.25">
      <c r="A19168" s="1033"/>
      <c r="E19168" s="130"/>
    </row>
    <row r="19169" spans="1:5" x14ac:dyDescent="0.25">
      <c r="A19169" s="1033"/>
      <c r="E19169" s="130"/>
    </row>
    <row r="19170" spans="1:5" x14ac:dyDescent="0.25">
      <c r="A19170" s="1033"/>
      <c r="E19170" s="130"/>
    </row>
    <row r="19171" spans="1:5" x14ac:dyDescent="0.25">
      <c r="A19171" s="1033"/>
      <c r="E19171" s="130"/>
    </row>
    <row r="19172" spans="1:5" x14ac:dyDescent="0.25">
      <c r="A19172" s="1033"/>
      <c r="E19172" s="130"/>
    </row>
    <row r="19173" spans="1:5" x14ac:dyDescent="0.25">
      <c r="A19173" s="1033"/>
      <c r="E19173" s="130"/>
    </row>
    <row r="19174" spans="1:5" x14ac:dyDescent="0.25">
      <c r="A19174" s="1033"/>
      <c r="E19174" s="130"/>
    </row>
    <row r="19175" spans="1:5" x14ac:dyDescent="0.25">
      <c r="A19175" s="1033"/>
      <c r="E19175" s="130"/>
    </row>
    <row r="19176" spans="1:5" x14ac:dyDescent="0.25">
      <c r="A19176" s="1033"/>
      <c r="E19176" s="130"/>
    </row>
    <row r="19177" spans="1:5" x14ac:dyDescent="0.25">
      <c r="A19177" s="1033"/>
      <c r="E19177" s="130"/>
    </row>
    <row r="19178" spans="1:5" x14ac:dyDescent="0.25">
      <c r="A19178" s="1033"/>
      <c r="E19178" s="130"/>
    </row>
    <row r="19179" spans="1:5" x14ac:dyDescent="0.25">
      <c r="A19179" s="1033"/>
      <c r="E19179" s="130"/>
    </row>
    <row r="19180" spans="1:5" x14ac:dyDescent="0.25">
      <c r="A19180" s="1033"/>
      <c r="E19180" s="130"/>
    </row>
    <row r="19181" spans="1:5" x14ac:dyDescent="0.25">
      <c r="A19181" s="1033"/>
      <c r="E19181" s="130"/>
    </row>
    <row r="19182" spans="1:5" x14ac:dyDescent="0.25">
      <c r="A19182" s="1033"/>
      <c r="E19182" s="130"/>
    </row>
    <row r="19183" spans="1:5" x14ac:dyDescent="0.25">
      <c r="A19183" s="1033"/>
      <c r="E19183" s="130"/>
    </row>
    <row r="19184" spans="1:5" x14ac:dyDescent="0.25">
      <c r="A19184" s="1033"/>
      <c r="E19184" s="130"/>
    </row>
    <row r="19185" spans="1:5" x14ac:dyDescent="0.25">
      <c r="A19185" s="1033"/>
      <c r="E19185" s="130"/>
    </row>
    <row r="19186" spans="1:5" x14ac:dyDescent="0.25">
      <c r="A19186" s="1033"/>
      <c r="E19186" s="130"/>
    </row>
    <row r="19187" spans="1:5" x14ac:dyDescent="0.25">
      <c r="A19187" s="1033"/>
      <c r="E19187" s="130"/>
    </row>
    <row r="19188" spans="1:5" x14ac:dyDescent="0.25">
      <c r="A19188" s="1033"/>
      <c r="E19188" s="130"/>
    </row>
    <row r="19189" spans="1:5" x14ac:dyDescent="0.25">
      <c r="A19189" s="1033"/>
      <c r="E19189" s="130"/>
    </row>
    <row r="19190" spans="1:5" x14ac:dyDescent="0.25">
      <c r="A19190" s="1033"/>
      <c r="E19190" s="130"/>
    </row>
    <row r="19191" spans="1:5" x14ac:dyDescent="0.25">
      <c r="A19191" s="1033"/>
      <c r="E19191" s="130"/>
    </row>
    <row r="19192" spans="1:5" x14ac:dyDescent="0.25">
      <c r="A19192" s="1033"/>
      <c r="E19192" s="130"/>
    </row>
    <row r="19193" spans="1:5" x14ac:dyDescent="0.25">
      <c r="A19193" s="1033"/>
      <c r="E19193" s="130"/>
    </row>
    <row r="19194" spans="1:5" x14ac:dyDescent="0.25">
      <c r="A19194" s="1033"/>
      <c r="E19194" s="130"/>
    </row>
    <row r="19195" spans="1:5" x14ac:dyDescent="0.25">
      <c r="A19195" s="1033"/>
      <c r="E19195" s="130"/>
    </row>
    <row r="19196" spans="1:5" x14ac:dyDescent="0.25">
      <c r="A19196" s="1033"/>
      <c r="E19196" s="130"/>
    </row>
    <row r="19197" spans="1:5" x14ac:dyDescent="0.25">
      <c r="A19197" s="1033"/>
      <c r="E19197" s="130"/>
    </row>
    <row r="19198" spans="1:5" x14ac:dyDescent="0.25">
      <c r="A19198" s="1033"/>
      <c r="E19198" s="130"/>
    </row>
    <row r="19199" spans="1:5" x14ac:dyDescent="0.25">
      <c r="A19199" s="1033"/>
      <c r="E19199" s="130"/>
    </row>
    <row r="19200" spans="1:5" x14ac:dyDescent="0.25">
      <c r="A19200" s="1033"/>
      <c r="E19200" s="130"/>
    </row>
    <row r="19201" spans="1:5" x14ac:dyDescent="0.25">
      <c r="A19201" s="1033"/>
      <c r="E19201" s="130"/>
    </row>
    <row r="19202" spans="1:5" x14ac:dyDescent="0.25">
      <c r="A19202" s="1033"/>
      <c r="E19202" s="130"/>
    </row>
    <row r="19203" spans="1:5" x14ac:dyDescent="0.25">
      <c r="A19203" s="1033"/>
      <c r="E19203" s="130"/>
    </row>
    <row r="19204" spans="1:5" x14ac:dyDescent="0.25">
      <c r="A19204" s="1033"/>
      <c r="E19204" s="130"/>
    </row>
    <row r="19205" spans="1:5" x14ac:dyDescent="0.25">
      <c r="A19205" s="1033"/>
      <c r="E19205" s="130"/>
    </row>
    <row r="19206" spans="1:5" x14ac:dyDescent="0.25">
      <c r="A19206" s="1033"/>
      <c r="E19206" s="130"/>
    </row>
    <row r="19207" spans="1:5" x14ac:dyDescent="0.25">
      <c r="A19207" s="1033"/>
      <c r="E19207" s="130"/>
    </row>
    <row r="19208" spans="1:5" x14ac:dyDescent="0.25">
      <c r="A19208" s="1033"/>
      <c r="E19208" s="130"/>
    </row>
    <row r="19209" spans="1:5" x14ac:dyDescent="0.25">
      <c r="A19209" s="1033"/>
      <c r="E19209" s="130"/>
    </row>
    <row r="19210" spans="1:5" x14ac:dyDescent="0.25">
      <c r="A19210" s="1033"/>
      <c r="E19210" s="130"/>
    </row>
    <row r="19211" spans="1:5" x14ac:dyDescent="0.25">
      <c r="A19211" s="1033"/>
      <c r="E19211" s="130"/>
    </row>
    <row r="19212" spans="1:5" x14ac:dyDescent="0.25">
      <c r="A19212" s="1033"/>
      <c r="E19212" s="130"/>
    </row>
    <row r="19213" spans="1:5" x14ac:dyDescent="0.25">
      <c r="A19213" s="1033"/>
      <c r="E19213" s="130"/>
    </row>
    <row r="19214" spans="1:5" x14ac:dyDescent="0.25">
      <c r="A19214" s="1033"/>
      <c r="E19214" s="130"/>
    </row>
    <row r="19215" spans="1:5" x14ac:dyDescent="0.25">
      <c r="A19215" s="1033"/>
      <c r="E19215" s="130"/>
    </row>
    <row r="19216" spans="1:5" x14ac:dyDescent="0.25">
      <c r="A19216" s="1033"/>
      <c r="E19216" s="130"/>
    </row>
    <row r="19217" spans="1:5" x14ac:dyDescent="0.25">
      <c r="A19217" s="1033"/>
      <c r="E19217" s="130"/>
    </row>
    <row r="19218" spans="1:5" x14ac:dyDescent="0.25">
      <c r="A19218" s="1033"/>
      <c r="E19218" s="130"/>
    </row>
    <row r="19219" spans="1:5" x14ac:dyDescent="0.25">
      <c r="A19219" s="1033"/>
      <c r="E19219" s="130"/>
    </row>
    <row r="19220" spans="1:5" x14ac:dyDescent="0.25">
      <c r="A19220" s="1033"/>
      <c r="E19220" s="130"/>
    </row>
    <row r="19221" spans="1:5" x14ac:dyDescent="0.25">
      <c r="A19221" s="1033"/>
      <c r="E19221" s="130"/>
    </row>
    <row r="19222" spans="1:5" x14ac:dyDescent="0.25">
      <c r="A19222" s="1033"/>
      <c r="E19222" s="130"/>
    </row>
    <row r="19223" spans="1:5" x14ac:dyDescent="0.25">
      <c r="A19223" s="1033"/>
      <c r="E19223" s="130"/>
    </row>
    <row r="19224" spans="1:5" x14ac:dyDescent="0.25">
      <c r="A19224" s="1033"/>
      <c r="E19224" s="130"/>
    </row>
    <row r="19225" spans="1:5" x14ac:dyDescent="0.25">
      <c r="A19225" s="1033"/>
      <c r="E19225" s="130"/>
    </row>
    <row r="19226" spans="1:5" x14ac:dyDescent="0.25">
      <c r="A19226" s="1033"/>
      <c r="E19226" s="130"/>
    </row>
    <row r="19227" spans="1:5" x14ac:dyDescent="0.25">
      <c r="A19227" s="1033"/>
      <c r="E19227" s="130"/>
    </row>
    <row r="19228" spans="1:5" x14ac:dyDescent="0.25">
      <c r="A19228" s="1033"/>
      <c r="E19228" s="130"/>
    </row>
    <row r="19229" spans="1:5" x14ac:dyDescent="0.25">
      <c r="A19229" s="1033"/>
      <c r="E19229" s="130"/>
    </row>
    <row r="19230" spans="1:5" x14ac:dyDescent="0.25">
      <c r="A19230" s="1033"/>
      <c r="E19230" s="130"/>
    </row>
    <row r="19231" spans="1:5" x14ac:dyDescent="0.25">
      <c r="A19231" s="1033"/>
      <c r="E19231" s="130"/>
    </row>
    <row r="19232" spans="1:5" x14ac:dyDescent="0.25">
      <c r="A19232" s="1033"/>
      <c r="E19232" s="130"/>
    </row>
    <row r="19233" spans="1:5" x14ac:dyDescent="0.25">
      <c r="A19233" s="1033"/>
      <c r="E19233" s="130"/>
    </row>
    <row r="19234" spans="1:5" x14ac:dyDescent="0.25">
      <c r="A19234" s="1033"/>
      <c r="E19234" s="130"/>
    </row>
    <row r="19235" spans="1:5" x14ac:dyDescent="0.25">
      <c r="A19235" s="1033"/>
      <c r="E19235" s="130"/>
    </row>
    <row r="19236" spans="1:5" x14ac:dyDescent="0.25">
      <c r="A19236" s="1033"/>
      <c r="E19236" s="130"/>
    </row>
    <row r="19237" spans="1:5" x14ac:dyDescent="0.25">
      <c r="A19237" s="1033"/>
      <c r="E19237" s="130"/>
    </row>
    <row r="19238" spans="1:5" x14ac:dyDescent="0.25">
      <c r="A19238" s="1033"/>
      <c r="E19238" s="130"/>
    </row>
    <row r="19239" spans="1:5" x14ac:dyDescent="0.25">
      <c r="A19239" s="1033"/>
      <c r="E19239" s="130"/>
    </row>
    <row r="19240" spans="1:5" x14ac:dyDescent="0.25">
      <c r="A19240" s="1033"/>
      <c r="E19240" s="130"/>
    </row>
    <row r="19241" spans="1:5" x14ac:dyDescent="0.25">
      <c r="A19241" s="1033"/>
      <c r="E19241" s="130"/>
    </row>
    <row r="19242" spans="1:5" x14ac:dyDescent="0.25">
      <c r="A19242" s="1033"/>
      <c r="E19242" s="130"/>
    </row>
    <row r="19243" spans="1:5" x14ac:dyDescent="0.25">
      <c r="A19243" s="1033"/>
      <c r="E19243" s="130"/>
    </row>
    <row r="19244" spans="1:5" x14ac:dyDescent="0.25">
      <c r="A19244" s="1033"/>
      <c r="E19244" s="130"/>
    </row>
    <row r="19245" spans="1:5" x14ac:dyDescent="0.25">
      <c r="A19245" s="1033"/>
      <c r="E19245" s="130"/>
    </row>
    <row r="19246" spans="1:5" x14ac:dyDescent="0.25">
      <c r="A19246" s="1033"/>
      <c r="E19246" s="130"/>
    </row>
    <row r="19247" spans="1:5" x14ac:dyDescent="0.25">
      <c r="A19247" s="1033"/>
      <c r="E19247" s="130"/>
    </row>
    <row r="19248" spans="1:5" x14ac:dyDescent="0.25">
      <c r="A19248" s="1033"/>
      <c r="E19248" s="130"/>
    </row>
    <row r="19249" spans="1:5" x14ac:dyDescent="0.25">
      <c r="A19249" s="1033"/>
      <c r="E19249" s="130"/>
    </row>
    <row r="19250" spans="1:5" x14ac:dyDescent="0.25">
      <c r="A19250" s="1033"/>
      <c r="E19250" s="130"/>
    </row>
    <row r="19251" spans="1:5" x14ac:dyDescent="0.25">
      <c r="A19251" s="1033"/>
      <c r="E19251" s="130"/>
    </row>
    <row r="19252" spans="1:5" x14ac:dyDescent="0.25">
      <c r="A19252" s="1033"/>
      <c r="E19252" s="130"/>
    </row>
    <row r="19253" spans="1:5" x14ac:dyDescent="0.25">
      <c r="A19253" s="1033"/>
      <c r="E19253" s="130"/>
    </row>
    <row r="19254" spans="1:5" x14ac:dyDescent="0.25">
      <c r="A19254" s="1033"/>
      <c r="E19254" s="130"/>
    </row>
    <row r="19255" spans="1:5" x14ac:dyDescent="0.25">
      <c r="A19255" s="1033"/>
      <c r="E19255" s="130"/>
    </row>
    <row r="19256" spans="1:5" x14ac:dyDescent="0.25">
      <c r="A19256" s="1033"/>
      <c r="E19256" s="130"/>
    </row>
    <row r="19257" spans="1:5" x14ac:dyDescent="0.25">
      <c r="A19257" s="1033"/>
      <c r="E19257" s="130"/>
    </row>
    <row r="19258" spans="1:5" x14ac:dyDescent="0.25">
      <c r="A19258" s="1033"/>
      <c r="E19258" s="130"/>
    </row>
    <row r="19259" spans="1:5" x14ac:dyDescent="0.25">
      <c r="A19259" s="1033"/>
      <c r="E19259" s="130"/>
    </row>
    <row r="19260" spans="1:5" x14ac:dyDescent="0.25">
      <c r="A19260" s="1033"/>
      <c r="E19260" s="130"/>
    </row>
    <row r="19261" spans="1:5" x14ac:dyDescent="0.25">
      <c r="A19261" s="1033"/>
      <c r="E19261" s="130"/>
    </row>
    <row r="19262" spans="1:5" x14ac:dyDescent="0.25">
      <c r="A19262" s="1033"/>
      <c r="E19262" s="130"/>
    </row>
    <row r="19263" spans="1:5" x14ac:dyDescent="0.25">
      <c r="A19263" s="1033"/>
      <c r="E19263" s="130"/>
    </row>
    <row r="19264" spans="1:5" x14ac:dyDescent="0.25">
      <c r="A19264" s="1033"/>
      <c r="E19264" s="130"/>
    </row>
    <row r="19265" spans="1:5" x14ac:dyDescent="0.25">
      <c r="A19265" s="1033"/>
      <c r="E19265" s="130"/>
    </row>
    <row r="19266" spans="1:5" x14ac:dyDescent="0.25">
      <c r="A19266" s="1033"/>
      <c r="E19266" s="130"/>
    </row>
    <row r="19267" spans="1:5" x14ac:dyDescent="0.25">
      <c r="A19267" s="1033"/>
      <c r="E19267" s="130"/>
    </row>
    <row r="19268" spans="1:5" x14ac:dyDescent="0.25">
      <c r="A19268" s="1033"/>
      <c r="E19268" s="130"/>
    </row>
    <row r="19269" spans="1:5" x14ac:dyDescent="0.25">
      <c r="A19269" s="1033"/>
      <c r="E19269" s="130"/>
    </row>
    <row r="19270" spans="1:5" x14ac:dyDescent="0.25">
      <c r="A19270" s="1033"/>
      <c r="E19270" s="130"/>
    </row>
    <row r="19271" spans="1:5" x14ac:dyDescent="0.25">
      <c r="A19271" s="1033"/>
      <c r="E19271" s="130"/>
    </row>
    <row r="19272" spans="1:5" x14ac:dyDescent="0.25">
      <c r="A19272" s="1033"/>
      <c r="E19272" s="130"/>
    </row>
    <row r="19273" spans="1:5" x14ac:dyDescent="0.25">
      <c r="A19273" s="1033"/>
      <c r="E19273" s="130"/>
    </row>
    <row r="19274" spans="1:5" x14ac:dyDescent="0.25">
      <c r="A19274" s="1033"/>
      <c r="E19274" s="130"/>
    </row>
    <row r="19275" spans="1:5" x14ac:dyDescent="0.25">
      <c r="A19275" s="1033"/>
      <c r="E19275" s="130"/>
    </row>
    <row r="19276" spans="1:5" x14ac:dyDescent="0.25">
      <c r="A19276" s="1033"/>
      <c r="E19276" s="130"/>
    </row>
    <row r="19277" spans="1:5" x14ac:dyDescent="0.25">
      <c r="A19277" s="1033"/>
      <c r="E19277" s="130"/>
    </row>
    <row r="19278" spans="1:5" x14ac:dyDescent="0.25">
      <c r="A19278" s="1033"/>
      <c r="E19278" s="130"/>
    </row>
    <row r="19279" spans="1:5" x14ac:dyDescent="0.25">
      <c r="A19279" s="1033"/>
      <c r="E19279" s="130"/>
    </row>
    <row r="19280" spans="1:5" x14ac:dyDescent="0.25">
      <c r="A19280" s="1033"/>
      <c r="E19280" s="130"/>
    </row>
    <row r="19281" spans="1:5" x14ac:dyDescent="0.25">
      <c r="A19281" s="1033"/>
      <c r="E19281" s="130"/>
    </row>
    <row r="19282" spans="1:5" x14ac:dyDescent="0.25">
      <c r="A19282" s="1033"/>
      <c r="E19282" s="130"/>
    </row>
    <row r="19283" spans="1:5" x14ac:dyDescent="0.25">
      <c r="A19283" s="1033"/>
      <c r="E19283" s="130"/>
    </row>
    <row r="19284" spans="1:5" x14ac:dyDescent="0.25">
      <c r="A19284" s="1033"/>
      <c r="E19284" s="130"/>
    </row>
    <row r="19285" spans="1:5" x14ac:dyDescent="0.25">
      <c r="A19285" s="1033"/>
      <c r="E19285" s="130"/>
    </row>
    <row r="19286" spans="1:5" x14ac:dyDescent="0.25">
      <c r="A19286" s="1033"/>
      <c r="E19286" s="130"/>
    </row>
    <row r="19287" spans="1:5" x14ac:dyDescent="0.25">
      <c r="A19287" s="1033"/>
      <c r="E19287" s="130"/>
    </row>
    <row r="19288" spans="1:5" x14ac:dyDescent="0.25">
      <c r="A19288" s="1033"/>
      <c r="E19288" s="130"/>
    </row>
    <row r="19289" spans="1:5" x14ac:dyDescent="0.25">
      <c r="A19289" s="1033"/>
      <c r="E19289" s="130"/>
    </row>
    <row r="19290" spans="1:5" x14ac:dyDescent="0.25">
      <c r="A19290" s="1033"/>
      <c r="E19290" s="130"/>
    </row>
    <row r="19291" spans="1:5" x14ac:dyDescent="0.25">
      <c r="A19291" s="1033"/>
      <c r="E19291" s="130"/>
    </row>
    <row r="19292" spans="1:5" x14ac:dyDescent="0.25">
      <c r="A19292" s="1033"/>
      <c r="E19292" s="130"/>
    </row>
    <row r="19293" spans="1:5" x14ac:dyDescent="0.25">
      <c r="A19293" s="1033"/>
      <c r="E19293" s="130"/>
    </row>
    <row r="19294" spans="1:5" x14ac:dyDescent="0.25">
      <c r="A19294" s="1033"/>
      <c r="E19294" s="130"/>
    </row>
    <row r="19295" spans="1:5" x14ac:dyDescent="0.25">
      <c r="A19295" s="1033"/>
      <c r="E19295" s="130"/>
    </row>
    <row r="19296" spans="1:5" x14ac:dyDescent="0.25">
      <c r="A19296" s="1033"/>
      <c r="E19296" s="130"/>
    </row>
    <row r="19297" spans="1:5" x14ac:dyDescent="0.25">
      <c r="A19297" s="1033"/>
      <c r="E19297" s="130"/>
    </row>
    <row r="19298" spans="1:5" x14ac:dyDescent="0.25">
      <c r="A19298" s="1033"/>
      <c r="E19298" s="130"/>
    </row>
    <row r="19299" spans="1:5" x14ac:dyDescent="0.25">
      <c r="A19299" s="1033"/>
      <c r="E19299" s="130"/>
    </row>
    <row r="19300" spans="1:5" x14ac:dyDescent="0.25">
      <c r="A19300" s="1033"/>
      <c r="E19300" s="130"/>
    </row>
    <row r="19301" spans="1:5" x14ac:dyDescent="0.25">
      <c r="A19301" s="1033"/>
      <c r="E19301" s="130"/>
    </row>
    <row r="19302" spans="1:5" x14ac:dyDescent="0.25">
      <c r="A19302" s="1033"/>
      <c r="E19302" s="130"/>
    </row>
    <row r="19303" spans="1:5" x14ac:dyDescent="0.25">
      <c r="A19303" s="1033"/>
      <c r="E19303" s="130"/>
    </row>
    <row r="19304" spans="1:5" x14ac:dyDescent="0.25">
      <c r="A19304" s="1033"/>
      <c r="E19304" s="130"/>
    </row>
    <row r="19305" spans="1:5" x14ac:dyDescent="0.25">
      <c r="A19305" s="1033"/>
      <c r="E19305" s="130"/>
    </row>
    <row r="19306" spans="1:5" x14ac:dyDescent="0.25">
      <c r="A19306" s="1033"/>
      <c r="E19306" s="130"/>
    </row>
    <row r="19307" spans="1:5" x14ac:dyDescent="0.25">
      <c r="A19307" s="1033"/>
      <c r="E19307" s="130"/>
    </row>
    <row r="19308" spans="1:5" x14ac:dyDescent="0.25">
      <c r="A19308" s="1033"/>
      <c r="E19308" s="130"/>
    </row>
    <row r="19309" spans="1:5" x14ac:dyDescent="0.25">
      <c r="A19309" s="1033"/>
      <c r="E19309" s="130"/>
    </row>
    <row r="19310" spans="1:5" x14ac:dyDescent="0.25">
      <c r="A19310" s="1033"/>
      <c r="E19310" s="130"/>
    </row>
    <row r="19311" spans="1:5" x14ac:dyDescent="0.25">
      <c r="A19311" s="1033"/>
      <c r="E19311" s="130"/>
    </row>
    <row r="19312" spans="1:5" x14ac:dyDescent="0.25">
      <c r="A19312" s="1033"/>
      <c r="E19312" s="130"/>
    </row>
    <row r="19313" spans="1:5" x14ac:dyDescent="0.25">
      <c r="A19313" s="1033"/>
      <c r="E19313" s="130"/>
    </row>
    <row r="19314" spans="1:5" x14ac:dyDescent="0.25">
      <c r="A19314" s="1033"/>
      <c r="E19314" s="130"/>
    </row>
    <row r="19315" spans="1:5" x14ac:dyDescent="0.25">
      <c r="A19315" s="1033"/>
      <c r="E19315" s="130"/>
    </row>
    <row r="19316" spans="1:5" x14ac:dyDescent="0.25">
      <c r="A19316" s="1033"/>
      <c r="E19316" s="130"/>
    </row>
    <row r="19317" spans="1:5" x14ac:dyDescent="0.25">
      <c r="A19317" s="1033"/>
      <c r="E19317" s="130"/>
    </row>
    <row r="19318" spans="1:5" x14ac:dyDescent="0.25">
      <c r="A19318" s="1033"/>
      <c r="E19318" s="130"/>
    </row>
    <row r="19319" spans="1:5" x14ac:dyDescent="0.25">
      <c r="A19319" s="1033"/>
      <c r="E19319" s="130"/>
    </row>
    <row r="19320" spans="1:5" x14ac:dyDescent="0.25">
      <c r="A19320" s="1033"/>
      <c r="E19320" s="130"/>
    </row>
    <row r="19321" spans="1:5" x14ac:dyDescent="0.25">
      <c r="A19321" s="1033"/>
      <c r="E19321" s="130"/>
    </row>
    <row r="19322" spans="1:5" x14ac:dyDescent="0.25">
      <c r="A19322" s="1033"/>
      <c r="E19322" s="130"/>
    </row>
    <row r="19323" spans="1:5" x14ac:dyDescent="0.25">
      <c r="A19323" s="1033"/>
      <c r="E19323" s="130"/>
    </row>
    <row r="19324" spans="1:5" x14ac:dyDescent="0.25">
      <c r="A19324" s="1033"/>
      <c r="E19324" s="130"/>
    </row>
    <row r="19325" spans="1:5" x14ac:dyDescent="0.25">
      <c r="A19325" s="1033"/>
      <c r="E19325" s="130"/>
    </row>
    <row r="19326" spans="1:5" x14ac:dyDescent="0.25">
      <c r="A19326" s="1033"/>
      <c r="E19326" s="130"/>
    </row>
    <row r="19327" spans="1:5" x14ac:dyDescent="0.25">
      <c r="A19327" s="1033"/>
      <c r="E19327" s="130"/>
    </row>
    <row r="19328" spans="1:5" x14ac:dyDescent="0.25">
      <c r="A19328" s="1033"/>
      <c r="E19328" s="130"/>
    </row>
    <row r="19329" spans="1:5" x14ac:dyDescent="0.25">
      <c r="A19329" s="1033"/>
      <c r="E19329" s="130"/>
    </row>
    <row r="19330" spans="1:5" x14ac:dyDescent="0.25">
      <c r="A19330" s="1033"/>
      <c r="E19330" s="130"/>
    </row>
    <row r="19331" spans="1:5" x14ac:dyDescent="0.25">
      <c r="A19331" s="1033"/>
      <c r="E19331" s="130"/>
    </row>
    <row r="19332" spans="1:5" x14ac:dyDescent="0.25">
      <c r="A19332" s="1033"/>
      <c r="E19332" s="130"/>
    </row>
    <row r="19333" spans="1:5" x14ac:dyDescent="0.25">
      <c r="A19333" s="1033"/>
      <c r="E19333" s="130"/>
    </row>
    <row r="19334" spans="1:5" x14ac:dyDescent="0.25">
      <c r="A19334" s="1033"/>
      <c r="E19334" s="130"/>
    </row>
    <row r="19335" spans="1:5" x14ac:dyDescent="0.25">
      <c r="A19335" s="1033"/>
      <c r="E19335" s="130"/>
    </row>
    <row r="19336" spans="1:5" x14ac:dyDescent="0.25">
      <c r="A19336" s="1033"/>
      <c r="E19336" s="130"/>
    </row>
    <row r="19337" spans="1:5" x14ac:dyDescent="0.25">
      <c r="A19337" s="1033"/>
      <c r="E19337" s="130"/>
    </row>
    <row r="19338" spans="1:5" x14ac:dyDescent="0.25">
      <c r="A19338" s="1033"/>
      <c r="E19338" s="130"/>
    </row>
    <row r="19339" spans="1:5" x14ac:dyDescent="0.25">
      <c r="A19339" s="1033"/>
      <c r="E19339" s="130"/>
    </row>
    <row r="19340" spans="1:5" x14ac:dyDescent="0.25">
      <c r="A19340" s="1033"/>
      <c r="E19340" s="130"/>
    </row>
    <row r="19341" spans="1:5" x14ac:dyDescent="0.25">
      <c r="A19341" s="1033"/>
      <c r="E19341" s="130"/>
    </row>
    <row r="19342" spans="1:5" x14ac:dyDescent="0.25">
      <c r="A19342" s="1033"/>
      <c r="E19342" s="130"/>
    </row>
    <row r="19343" spans="1:5" x14ac:dyDescent="0.25">
      <c r="A19343" s="1033"/>
      <c r="E19343" s="130"/>
    </row>
    <row r="19344" spans="1:5" x14ac:dyDescent="0.25">
      <c r="A19344" s="1033"/>
      <c r="E19344" s="130"/>
    </row>
    <row r="19345" spans="1:5" x14ac:dyDescent="0.25">
      <c r="A19345" s="1033"/>
      <c r="E19345" s="130"/>
    </row>
    <row r="19346" spans="1:5" x14ac:dyDescent="0.25">
      <c r="A19346" s="1033"/>
      <c r="E19346" s="130"/>
    </row>
    <row r="19347" spans="1:5" x14ac:dyDescent="0.25">
      <c r="A19347" s="1033"/>
      <c r="E19347" s="130"/>
    </row>
    <row r="19348" spans="1:5" x14ac:dyDescent="0.25">
      <c r="A19348" s="1033"/>
      <c r="E19348" s="130"/>
    </row>
    <row r="19349" spans="1:5" x14ac:dyDescent="0.25">
      <c r="A19349" s="1033"/>
      <c r="E19349" s="130"/>
    </row>
    <row r="19350" spans="1:5" x14ac:dyDescent="0.25">
      <c r="A19350" s="1033"/>
      <c r="E19350" s="130"/>
    </row>
    <row r="19351" spans="1:5" x14ac:dyDescent="0.25">
      <c r="A19351" s="1033"/>
      <c r="E19351" s="130"/>
    </row>
    <row r="19352" spans="1:5" x14ac:dyDescent="0.25">
      <c r="A19352" s="1033"/>
      <c r="E19352" s="130"/>
    </row>
    <row r="19353" spans="1:5" x14ac:dyDescent="0.25">
      <c r="A19353" s="1033"/>
      <c r="E19353" s="130"/>
    </row>
    <row r="19354" spans="1:5" x14ac:dyDescent="0.25">
      <c r="A19354" s="1033"/>
      <c r="E19354" s="130"/>
    </row>
    <row r="19355" spans="1:5" x14ac:dyDescent="0.25">
      <c r="A19355" s="1033"/>
      <c r="E19355" s="130"/>
    </row>
    <row r="19356" spans="1:5" x14ac:dyDescent="0.25">
      <c r="A19356" s="1033"/>
      <c r="E19356" s="130"/>
    </row>
    <row r="19357" spans="1:5" x14ac:dyDescent="0.25">
      <c r="A19357" s="1033"/>
      <c r="E19357" s="130"/>
    </row>
    <row r="19358" spans="1:5" x14ac:dyDescent="0.25">
      <c r="A19358" s="1033"/>
      <c r="E19358" s="130"/>
    </row>
    <row r="19359" spans="1:5" x14ac:dyDescent="0.25">
      <c r="A19359" s="1033"/>
      <c r="E19359" s="130"/>
    </row>
    <row r="19360" spans="1:5" x14ac:dyDescent="0.25">
      <c r="A19360" s="1033"/>
      <c r="E19360" s="130"/>
    </row>
    <row r="19361" spans="1:5" x14ac:dyDescent="0.25">
      <c r="A19361" s="1033"/>
      <c r="E19361" s="130"/>
    </row>
    <row r="19362" spans="1:5" x14ac:dyDescent="0.25">
      <c r="A19362" s="1033"/>
      <c r="E19362" s="130"/>
    </row>
    <row r="19363" spans="1:5" x14ac:dyDescent="0.25">
      <c r="A19363" s="1033"/>
      <c r="E19363" s="130"/>
    </row>
    <row r="19364" spans="1:5" x14ac:dyDescent="0.25">
      <c r="A19364" s="1033"/>
      <c r="E19364" s="130"/>
    </row>
    <row r="19365" spans="1:5" x14ac:dyDescent="0.25">
      <c r="A19365" s="1033"/>
      <c r="E19365" s="130"/>
    </row>
    <row r="19366" spans="1:5" x14ac:dyDescent="0.25">
      <c r="A19366" s="1033"/>
      <c r="E19366" s="130"/>
    </row>
    <row r="19367" spans="1:5" x14ac:dyDescent="0.25">
      <c r="A19367" s="1033"/>
      <c r="E19367" s="130"/>
    </row>
    <row r="19368" spans="1:5" x14ac:dyDescent="0.25">
      <c r="A19368" s="1033"/>
      <c r="E19368" s="130"/>
    </row>
    <row r="19369" spans="1:5" x14ac:dyDescent="0.25">
      <c r="A19369" s="1033"/>
      <c r="E19369" s="130"/>
    </row>
    <row r="19370" spans="1:5" x14ac:dyDescent="0.25">
      <c r="A19370" s="1033"/>
      <c r="E19370" s="130"/>
    </row>
    <row r="19371" spans="1:5" x14ac:dyDescent="0.25">
      <c r="A19371" s="1033"/>
      <c r="E19371" s="130"/>
    </row>
    <row r="19372" spans="1:5" x14ac:dyDescent="0.25">
      <c r="A19372" s="1033"/>
      <c r="E19372" s="130"/>
    </row>
    <row r="19373" spans="1:5" x14ac:dyDescent="0.25">
      <c r="A19373" s="1033"/>
      <c r="E19373" s="130"/>
    </row>
    <row r="19374" spans="1:5" x14ac:dyDescent="0.25">
      <c r="A19374" s="1033"/>
      <c r="E19374" s="130"/>
    </row>
    <row r="19375" spans="1:5" x14ac:dyDescent="0.25">
      <c r="A19375" s="1033"/>
      <c r="E19375" s="130"/>
    </row>
    <row r="19376" spans="1:5" x14ac:dyDescent="0.25">
      <c r="A19376" s="1033"/>
      <c r="E19376" s="130"/>
    </row>
    <row r="19377" spans="1:5" x14ac:dyDescent="0.25">
      <c r="A19377" s="1033"/>
      <c r="E19377" s="130"/>
    </row>
    <row r="19378" spans="1:5" x14ac:dyDescent="0.25">
      <c r="A19378" s="1033"/>
      <c r="E19378" s="130"/>
    </row>
    <row r="19379" spans="1:5" x14ac:dyDescent="0.25">
      <c r="A19379" s="1033"/>
      <c r="E19379" s="130"/>
    </row>
    <row r="19380" spans="1:5" x14ac:dyDescent="0.25">
      <c r="A19380" s="1033"/>
      <c r="E19380" s="130"/>
    </row>
    <row r="19381" spans="1:5" x14ac:dyDescent="0.25">
      <c r="A19381" s="1033"/>
      <c r="E19381" s="130"/>
    </row>
    <row r="19382" spans="1:5" x14ac:dyDescent="0.25">
      <c r="A19382" s="1033"/>
      <c r="E19382" s="130"/>
    </row>
    <row r="19383" spans="1:5" x14ac:dyDescent="0.25">
      <c r="A19383" s="1033"/>
      <c r="E19383" s="130"/>
    </row>
    <row r="19384" spans="1:5" x14ac:dyDescent="0.25">
      <c r="A19384" s="1033"/>
      <c r="E19384" s="130"/>
    </row>
    <row r="19385" spans="1:5" x14ac:dyDescent="0.25">
      <c r="A19385" s="1033"/>
      <c r="E19385" s="130"/>
    </row>
    <row r="19386" spans="1:5" x14ac:dyDescent="0.25">
      <c r="A19386" s="1033"/>
      <c r="E19386" s="130"/>
    </row>
    <row r="19387" spans="1:5" x14ac:dyDescent="0.25">
      <c r="A19387" s="1033"/>
      <c r="E19387" s="130"/>
    </row>
    <row r="19388" spans="1:5" x14ac:dyDescent="0.25">
      <c r="A19388" s="1033"/>
      <c r="E19388" s="130"/>
    </row>
    <row r="19389" spans="1:5" x14ac:dyDescent="0.25">
      <c r="A19389" s="1033"/>
      <c r="E19389" s="130"/>
    </row>
    <row r="19390" spans="1:5" x14ac:dyDescent="0.25">
      <c r="A19390" s="1033"/>
      <c r="E19390" s="130"/>
    </row>
    <row r="19391" spans="1:5" x14ac:dyDescent="0.25">
      <c r="A19391" s="1033"/>
      <c r="E19391" s="130"/>
    </row>
    <row r="19392" spans="1:5" x14ac:dyDescent="0.25">
      <c r="A19392" s="1033"/>
      <c r="E19392" s="130"/>
    </row>
    <row r="19393" spans="1:5" x14ac:dyDescent="0.25">
      <c r="A19393" s="1033"/>
      <c r="E19393" s="130"/>
    </row>
    <row r="19394" spans="1:5" x14ac:dyDescent="0.25">
      <c r="A19394" s="1033"/>
      <c r="E19394" s="130"/>
    </row>
    <row r="19395" spans="1:5" x14ac:dyDescent="0.25">
      <c r="A19395" s="1033"/>
      <c r="E19395" s="130"/>
    </row>
    <row r="19396" spans="1:5" x14ac:dyDescent="0.25">
      <c r="A19396" s="1033"/>
      <c r="E19396" s="130"/>
    </row>
    <row r="19397" spans="1:5" x14ac:dyDescent="0.25">
      <c r="A19397" s="1033"/>
      <c r="E19397" s="130"/>
    </row>
    <row r="19398" spans="1:5" x14ac:dyDescent="0.25">
      <c r="A19398" s="1033"/>
      <c r="E19398" s="130"/>
    </row>
    <row r="19399" spans="1:5" x14ac:dyDescent="0.25">
      <c r="A19399" s="1033"/>
      <c r="E19399" s="130"/>
    </row>
    <row r="19400" spans="1:5" x14ac:dyDescent="0.25">
      <c r="A19400" s="1033"/>
      <c r="E19400" s="130"/>
    </row>
    <row r="19401" spans="1:5" x14ac:dyDescent="0.25">
      <c r="A19401" s="1033"/>
      <c r="E19401" s="130"/>
    </row>
    <row r="19402" spans="1:5" x14ac:dyDescent="0.25">
      <c r="A19402" s="1033"/>
      <c r="E19402" s="130"/>
    </row>
    <row r="19403" spans="1:5" x14ac:dyDescent="0.25">
      <c r="A19403" s="1033"/>
      <c r="E19403" s="130"/>
    </row>
    <row r="19404" spans="1:5" x14ac:dyDescent="0.25">
      <c r="A19404" s="1033"/>
      <c r="E19404" s="130"/>
    </row>
    <row r="19405" spans="1:5" x14ac:dyDescent="0.25">
      <c r="A19405" s="1033"/>
      <c r="E19405" s="130"/>
    </row>
    <row r="19406" spans="1:5" x14ac:dyDescent="0.25">
      <c r="A19406" s="1033"/>
      <c r="E19406" s="130"/>
    </row>
    <row r="19407" spans="1:5" x14ac:dyDescent="0.25">
      <c r="A19407" s="1033"/>
      <c r="E19407" s="130"/>
    </row>
    <row r="19408" spans="1:5" x14ac:dyDescent="0.25">
      <c r="A19408" s="1033"/>
      <c r="E19408" s="130"/>
    </row>
    <row r="19409" spans="1:5" x14ac:dyDescent="0.25">
      <c r="A19409" s="1033"/>
      <c r="E19409" s="130"/>
    </row>
    <row r="19410" spans="1:5" x14ac:dyDescent="0.25">
      <c r="A19410" s="1033"/>
      <c r="E19410" s="130"/>
    </row>
    <row r="19411" spans="1:5" x14ac:dyDescent="0.25">
      <c r="A19411" s="1033"/>
      <c r="E19411" s="130"/>
    </row>
    <row r="19412" spans="1:5" x14ac:dyDescent="0.25">
      <c r="A19412" s="1033"/>
      <c r="E19412" s="130"/>
    </row>
    <row r="19413" spans="1:5" x14ac:dyDescent="0.25">
      <c r="A19413" s="1033"/>
      <c r="E19413" s="130"/>
    </row>
    <row r="19414" spans="1:5" x14ac:dyDescent="0.25">
      <c r="A19414" s="1033"/>
      <c r="E19414" s="130"/>
    </row>
    <row r="19415" spans="1:5" x14ac:dyDescent="0.25">
      <c r="A19415" s="1033"/>
      <c r="E19415" s="130"/>
    </row>
    <row r="19416" spans="1:5" x14ac:dyDescent="0.25">
      <c r="A19416" s="1033"/>
      <c r="E19416" s="130"/>
    </row>
    <row r="19417" spans="1:5" x14ac:dyDescent="0.25">
      <c r="A19417" s="1033"/>
      <c r="E19417" s="130"/>
    </row>
    <row r="19418" spans="1:5" x14ac:dyDescent="0.25">
      <c r="A19418" s="1033"/>
      <c r="E19418" s="130"/>
    </row>
    <row r="19419" spans="1:5" x14ac:dyDescent="0.25">
      <c r="A19419" s="1033"/>
      <c r="E19419" s="130"/>
    </row>
    <row r="19420" spans="1:5" x14ac:dyDescent="0.25">
      <c r="A19420" s="1033"/>
      <c r="E19420" s="130"/>
    </row>
    <row r="19421" spans="1:5" x14ac:dyDescent="0.25">
      <c r="A19421" s="1033"/>
      <c r="E19421" s="130"/>
    </row>
    <row r="19422" spans="1:5" x14ac:dyDescent="0.25">
      <c r="A19422" s="1033"/>
      <c r="E19422" s="130"/>
    </row>
    <row r="19423" spans="1:5" x14ac:dyDescent="0.25">
      <c r="A19423" s="1033"/>
      <c r="E19423" s="130"/>
    </row>
    <row r="19424" spans="1:5" x14ac:dyDescent="0.25">
      <c r="A19424" s="1033"/>
      <c r="E19424" s="130"/>
    </row>
    <row r="19425" spans="1:5" x14ac:dyDescent="0.25">
      <c r="A19425" s="1033"/>
      <c r="E19425" s="130"/>
    </row>
    <row r="19426" spans="1:5" x14ac:dyDescent="0.25">
      <c r="A19426" s="1033"/>
      <c r="E19426" s="130"/>
    </row>
    <row r="19427" spans="1:5" x14ac:dyDescent="0.25">
      <c r="A19427" s="1033"/>
      <c r="E19427" s="130"/>
    </row>
    <row r="19428" spans="1:5" x14ac:dyDescent="0.25">
      <c r="A19428" s="1033"/>
      <c r="E19428" s="130"/>
    </row>
    <row r="19429" spans="1:5" x14ac:dyDescent="0.25">
      <c r="A19429" s="1033"/>
      <c r="E19429" s="130"/>
    </row>
    <row r="19430" spans="1:5" x14ac:dyDescent="0.25">
      <c r="A19430" s="1033"/>
      <c r="E19430" s="130"/>
    </row>
    <row r="19431" spans="1:5" x14ac:dyDescent="0.25">
      <c r="A19431" s="1033"/>
      <c r="E19431" s="130"/>
    </row>
    <row r="19432" spans="1:5" x14ac:dyDescent="0.25">
      <c r="A19432" s="1033"/>
      <c r="E19432" s="130"/>
    </row>
    <row r="19433" spans="1:5" x14ac:dyDescent="0.25">
      <c r="A19433" s="1033"/>
      <c r="E19433" s="130"/>
    </row>
    <row r="19434" spans="1:5" x14ac:dyDescent="0.25">
      <c r="A19434" s="1033"/>
      <c r="E19434" s="130"/>
    </row>
    <row r="19435" spans="1:5" x14ac:dyDescent="0.25">
      <c r="A19435" s="1033"/>
      <c r="E19435" s="130"/>
    </row>
    <row r="19436" spans="1:5" x14ac:dyDescent="0.25">
      <c r="A19436" s="1033"/>
      <c r="E19436" s="130"/>
    </row>
    <row r="19437" spans="1:5" x14ac:dyDescent="0.25">
      <c r="A19437" s="1033"/>
      <c r="E19437" s="130"/>
    </row>
    <row r="19438" spans="1:5" x14ac:dyDescent="0.25">
      <c r="A19438" s="1033"/>
      <c r="E19438" s="130"/>
    </row>
    <row r="19439" spans="1:5" x14ac:dyDescent="0.25">
      <c r="A19439" s="1033"/>
      <c r="E19439" s="130"/>
    </row>
    <row r="19440" spans="1:5" x14ac:dyDescent="0.25">
      <c r="A19440" s="1033"/>
      <c r="E19440" s="130"/>
    </row>
    <row r="19441" spans="1:5" x14ac:dyDescent="0.25">
      <c r="A19441" s="1033"/>
      <c r="E19441" s="130"/>
    </row>
    <row r="19442" spans="1:5" x14ac:dyDescent="0.25">
      <c r="A19442" s="1033"/>
      <c r="E19442" s="130"/>
    </row>
    <row r="19443" spans="1:5" x14ac:dyDescent="0.25">
      <c r="A19443" s="1033"/>
      <c r="E19443" s="130"/>
    </row>
    <row r="19444" spans="1:5" x14ac:dyDescent="0.25">
      <c r="A19444" s="1033"/>
      <c r="E19444" s="130"/>
    </row>
    <row r="19445" spans="1:5" x14ac:dyDescent="0.25">
      <c r="A19445" s="1033"/>
      <c r="E19445" s="130"/>
    </row>
    <row r="19446" spans="1:5" x14ac:dyDescent="0.25">
      <c r="A19446" s="1033"/>
      <c r="E19446" s="130"/>
    </row>
    <row r="19447" spans="1:5" x14ac:dyDescent="0.25">
      <c r="A19447" s="1033"/>
      <c r="E19447" s="130"/>
    </row>
    <row r="19448" spans="1:5" x14ac:dyDescent="0.25">
      <c r="A19448" s="1033"/>
      <c r="E19448" s="130"/>
    </row>
    <row r="19449" spans="1:5" x14ac:dyDescent="0.25">
      <c r="A19449" s="1033"/>
      <c r="E19449" s="130"/>
    </row>
    <row r="19450" spans="1:5" x14ac:dyDescent="0.25">
      <c r="A19450" s="1033"/>
      <c r="E19450" s="130"/>
    </row>
    <row r="19451" spans="1:5" x14ac:dyDescent="0.25">
      <c r="A19451" s="1033"/>
      <c r="E19451" s="130"/>
    </row>
    <row r="19452" spans="1:5" x14ac:dyDescent="0.25">
      <c r="A19452" s="1033"/>
      <c r="E19452" s="130"/>
    </row>
    <row r="19453" spans="1:5" x14ac:dyDescent="0.25">
      <c r="A19453" s="1033"/>
      <c r="E19453" s="130"/>
    </row>
    <row r="19454" spans="1:5" x14ac:dyDescent="0.25">
      <c r="A19454" s="1033"/>
      <c r="E19454" s="130"/>
    </row>
    <row r="19455" spans="1:5" x14ac:dyDescent="0.25">
      <c r="A19455" s="1033"/>
      <c r="E19455" s="130"/>
    </row>
    <row r="19456" spans="1:5" x14ac:dyDescent="0.25">
      <c r="A19456" s="1033"/>
      <c r="E19456" s="130"/>
    </row>
    <row r="19457" spans="1:5" x14ac:dyDescent="0.25">
      <c r="A19457" s="1033"/>
      <c r="E19457" s="130"/>
    </row>
    <row r="19458" spans="1:5" x14ac:dyDescent="0.25">
      <c r="A19458" s="1033"/>
      <c r="E19458" s="130"/>
    </row>
    <row r="19459" spans="1:5" x14ac:dyDescent="0.25">
      <c r="A19459" s="1033"/>
      <c r="E19459" s="130"/>
    </row>
    <row r="19460" spans="1:5" x14ac:dyDescent="0.25">
      <c r="A19460" s="1033"/>
      <c r="E19460" s="130"/>
    </row>
    <row r="19461" spans="1:5" x14ac:dyDescent="0.25">
      <c r="A19461" s="1033"/>
      <c r="E19461" s="130"/>
    </row>
    <row r="19462" spans="1:5" x14ac:dyDescent="0.25">
      <c r="A19462" s="1033"/>
      <c r="E19462" s="130"/>
    </row>
    <row r="19463" spans="1:5" x14ac:dyDescent="0.25">
      <c r="A19463" s="1033"/>
      <c r="E19463" s="130"/>
    </row>
    <row r="19464" spans="1:5" x14ac:dyDescent="0.25">
      <c r="A19464" s="1033"/>
      <c r="E19464" s="130"/>
    </row>
    <row r="19465" spans="1:5" x14ac:dyDescent="0.25">
      <c r="A19465" s="1033"/>
      <c r="E19465" s="130"/>
    </row>
    <row r="19466" spans="1:5" x14ac:dyDescent="0.25">
      <c r="A19466" s="1033"/>
      <c r="E19466" s="130"/>
    </row>
    <row r="19467" spans="1:5" x14ac:dyDescent="0.25">
      <c r="A19467" s="1033"/>
      <c r="E19467" s="130"/>
    </row>
    <row r="19468" spans="1:5" x14ac:dyDescent="0.25">
      <c r="A19468" s="1033"/>
      <c r="E19468" s="130"/>
    </row>
    <row r="19469" spans="1:5" x14ac:dyDescent="0.25">
      <c r="A19469" s="1033"/>
      <c r="E19469" s="130"/>
    </row>
    <row r="19470" spans="1:5" x14ac:dyDescent="0.25">
      <c r="A19470" s="1033"/>
      <c r="E19470" s="130"/>
    </row>
    <row r="19471" spans="1:5" x14ac:dyDescent="0.25">
      <c r="A19471" s="1033"/>
      <c r="E19471" s="130"/>
    </row>
    <row r="19472" spans="1:5" x14ac:dyDescent="0.25">
      <c r="A19472" s="1033"/>
      <c r="E19472" s="130"/>
    </row>
    <row r="19473" spans="1:5" x14ac:dyDescent="0.25">
      <c r="A19473" s="1033"/>
      <c r="E19473" s="130"/>
    </row>
    <row r="19474" spans="1:5" x14ac:dyDescent="0.25">
      <c r="A19474" s="1033"/>
      <c r="E19474" s="130"/>
    </row>
    <row r="19475" spans="1:5" x14ac:dyDescent="0.25">
      <c r="A19475" s="1033"/>
      <c r="E19475" s="130"/>
    </row>
    <row r="19476" spans="1:5" x14ac:dyDescent="0.25">
      <c r="A19476" s="1033"/>
      <c r="E19476" s="130"/>
    </row>
    <row r="19477" spans="1:5" x14ac:dyDescent="0.25">
      <c r="A19477" s="1033"/>
      <c r="E19477" s="130"/>
    </row>
    <row r="19478" spans="1:5" x14ac:dyDescent="0.25">
      <c r="A19478" s="1033"/>
      <c r="E19478" s="130"/>
    </row>
    <row r="19479" spans="1:5" x14ac:dyDescent="0.25">
      <c r="A19479" s="1033"/>
      <c r="E19479" s="130"/>
    </row>
    <row r="19480" spans="1:5" x14ac:dyDescent="0.25">
      <c r="A19480" s="1033"/>
      <c r="E19480" s="130"/>
    </row>
    <row r="19481" spans="1:5" x14ac:dyDescent="0.25">
      <c r="A19481" s="1033"/>
      <c r="E19481" s="130"/>
    </row>
    <row r="19482" spans="1:5" x14ac:dyDescent="0.25">
      <c r="A19482" s="1033"/>
      <c r="E19482" s="130"/>
    </row>
    <row r="19483" spans="1:5" x14ac:dyDescent="0.25">
      <c r="A19483" s="1033"/>
      <c r="E19483" s="130"/>
    </row>
    <row r="19484" spans="1:5" x14ac:dyDescent="0.25">
      <c r="A19484" s="1033"/>
      <c r="E19484" s="130"/>
    </row>
    <row r="19485" spans="1:5" x14ac:dyDescent="0.25">
      <c r="A19485" s="1033"/>
      <c r="E19485" s="130"/>
    </row>
    <row r="19486" spans="1:5" x14ac:dyDescent="0.25">
      <c r="A19486" s="1033"/>
      <c r="E19486" s="130"/>
    </row>
    <row r="19487" spans="1:5" x14ac:dyDescent="0.25">
      <c r="A19487" s="1033"/>
      <c r="E19487" s="130"/>
    </row>
    <row r="19488" spans="1:5" x14ac:dyDescent="0.25">
      <c r="A19488" s="1033"/>
      <c r="E19488" s="130"/>
    </row>
    <row r="19489" spans="1:5" x14ac:dyDescent="0.25">
      <c r="A19489" s="1033"/>
      <c r="E19489" s="130"/>
    </row>
    <row r="19490" spans="1:5" x14ac:dyDescent="0.25">
      <c r="A19490" s="1033"/>
      <c r="E19490" s="130"/>
    </row>
    <row r="19491" spans="1:5" x14ac:dyDescent="0.25">
      <c r="A19491" s="1033"/>
      <c r="E19491" s="130"/>
    </row>
    <row r="19492" spans="1:5" x14ac:dyDescent="0.25">
      <c r="A19492" s="1033"/>
      <c r="E19492" s="130"/>
    </row>
    <row r="19493" spans="1:5" x14ac:dyDescent="0.25">
      <c r="A19493" s="1033"/>
      <c r="E19493" s="130"/>
    </row>
    <row r="19494" spans="1:5" x14ac:dyDescent="0.25">
      <c r="A19494" s="1033"/>
      <c r="E19494" s="130"/>
    </row>
    <row r="19495" spans="1:5" x14ac:dyDescent="0.25">
      <c r="A19495" s="1033"/>
      <c r="E19495" s="130"/>
    </row>
    <row r="19496" spans="1:5" x14ac:dyDescent="0.25">
      <c r="A19496" s="1033"/>
      <c r="E19496" s="130"/>
    </row>
    <row r="19497" spans="1:5" x14ac:dyDescent="0.25">
      <c r="A19497" s="1033"/>
      <c r="E19497" s="130"/>
    </row>
    <row r="19498" spans="1:5" x14ac:dyDescent="0.25">
      <c r="A19498" s="1033"/>
      <c r="E19498" s="130"/>
    </row>
    <row r="19499" spans="1:5" x14ac:dyDescent="0.25">
      <c r="A19499" s="1033"/>
      <c r="E19499" s="130"/>
    </row>
    <row r="19500" spans="1:5" x14ac:dyDescent="0.25">
      <c r="A19500" s="1033"/>
      <c r="E19500" s="130"/>
    </row>
    <row r="19501" spans="1:5" x14ac:dyDescent="0.25">
      <c r="A19501" s="1033"/>
      <c r="E19501" s="130"/>
    </row>
    <row r="19502" spans="1:5" x14ac:dyDescent="0.25">
      <c r="A19502" s="1033"/>
      <c r="E19502" s="130"/>
    </row>
    <row r="19503" spans="1:5" x14ac:dyDescent="0.25">
      <c r="A19503" s="1033"/>
      <c r="E19503" s="130"/>
    </row>
    <row r="19504" spans="1:5" x14ac:dyDescent="0.25">
      <c r="A19504" s="1033"/>
      <c r="E19504" s="130"/>
    </row>
    <row r="19505" spans="1:5" x14ac:dyDescent="0.25">
      <c r="A19505" s="1033"/>
      <c r="E19505" s="130"/>
    </row>
    <row r="19506" spans="1:5" x14ac:dyDescent="0.25">
      <c r="A19506" s="1033"/>
      <c r="E19506" s="130"/>
    </row>
    <row r="19507" spans="1:5" x14ac:dyDescent="0.25">
      <c r="A19507" s="1033"/>
      <c r="E19507" s="130"/>
    </row>
    <row r="19508" spans="1:5" x14ac:dyDescent="0.25">
      <c r="A19508" s="1033"/>
      <c r="E19508" s="130"/>
    </row>
    <row r="19509" spans="1:5" x14ac:dyDescent="0.25">
      <c r="A19509" s="1033"/>
      <c r="E19509" s="130"/>
    </row>
    <row r="19510" spans="1:5" x14ac:dyDescent="0.25">
      <c r="A19510" s="1033"/>
      <c r="E19510" s="130"/>
    </row>
    <row r="19511" spans="1:5" x14ac:dyDescent="0.25">
      <c r="A19511" s="1033"/>
      <c r="E19511" s="130"/>
    </row>
    <row r="19512" spans="1:5" x14ac:dyDescent="0.25">
      <c r="A19512" s="1033"/>
      <c r="E19512" s="130"/>
    </row>
    <row r="19513" spans="1:5" x14ac:dyDescent="0.25">
      <c r="A19513" s="1033"/>
      <c r="E19513" s="130"/>
    </row>
    <row r="19514" spans="1:5" x14ac:dyDescent="0.25">
      <c r="A19514" s="1033"/>
      <c r="E19514" s="130"/>
    </row>
    <row r="19515" spans="1:5" x14ac:dyDescent="0.25">
      <c r="A19515" s="1033"/>
      <c r="E19515" s="130"/>
    </row>
    <row r="19516" spans="1:5" x14ac:dyDescent="0.25">
      <c r="A19516" s="1033"/>
      <c r="E19516" s="130"/>
    </row>
    <row r="19517" spans="1:5" x14ac:dyDescent="0.25">
      <c r="A19517" s="1033"/>
      <c r="E19517" s="130"/>
    </row>
    <row r="19518" spans="1:5" x14ac:dyDescent="0.25">
      <c r="A19518" s="1033"/>
      <c r="E19518" s="130"/>
    </row>
    <row r="19519" spans="1:5" x14ac:dyDescent="0.25">
      <c r="A19519" s="1033"/>
      <c r="E19519" s="130"/>
    </row>
    <row r="19520" spans="1:5" x14ac:dyDescent="0.25">
      <c r="A19520" s="1033"/>
      <c r="E19520" s="130"/>
    </row>
    <row r="19521" spans="1:5" x14ac:dyDescent="0.25">
      <c r="A19521" s="1033"/>
      <c r="E19521" s="130"/>
    </row>
    <row r="19522" spans="1:5" x14ac:dyDescent="0.25">
      <c r="A19522" s="1033"/>
      <c r="E19522" s="130"/>
    </row>
    <row r="19523" spans="1:5" x14ac:dyDescent="0.25">
      <c r="A19523" s="1033"/>
      <c r="E19523" s="130"/>
    </row>
    <row r="19524" spans="1:5" x14ac:dyDescent="0.25">
      <c r="A19524" s="1033"/>
      <c r="E19524" s="130"/>
    </row>
    <row r="19525" spans="1:5" x14ac:dyDescent="0.25">
      <c r="A19525" s="1033"/>
      <c r="E19525" s="130"/>
    </row>
    <row r="19526" spans="1:5" x14ac:dyDescent="0.25">
      <c r="A19526" s="1033"/>
      <c r="E19526" s="130"/>
    </row>
    <row r="19527" spans="1:5" x14ac:dyDescent="0.25">
      <c r="A19527" s="1033"/>
      <c r="E19527" s="130"/>
    </row>
    <row r="19528" spans="1:5" x14ac:dyDescent="0.25">
      <c r="A19528" s="1033"/>
      <c r="E19528" s="130"/>
    </row>
    <row r="19529" spans="1:5" x14ac:dyDescent="0.25">
      <c r="A19529" s="1033"/>
      <c r="E19529" s="130"/>
    </row>
    <row r="19530" spans="1:5" x14ac:dyDescent="0.25">
      <c r="A19530" s="1033"/>
      <c r="E19530" s="130"/>
    </row>
    <row r="19531" spans="1:5" x14ac:dyDescent="0.25">
      <c r="A19531" s="1033"/>
      <c r="E19531" s="130"/>
    </row>
    <row r="19532" spans="1:5" x14ac:dyDescent="0.25">
      <c r="A19532" s="1033"/>
      <c r="E19532" s="130"/>
    </row>
    <row r="19533" spans="1:5" x14ac:dyDescent="0.25">
      <c r="A19533" s="1033"/>
      <c r="E19533" s="130"/>
    </row>
    <row r="19534" spans="1:5" x14ac:dyDescent="0.25">
      <c r="A19534" s="1033"/>
      <c r="E19534" s="130"/>
    </row>
    <row r="19535" spans="1:5" x14ac:dyDescent="0.25">
      <c r="A19535" s="1033"/>
      <c r="E19535" s="130"/>
    </row>
    <row r="19536" spans="1:5" x14ac:dyDescent="0.25">
      <c r="A19536" s="1033"/>
      <c r="E19536" s="130"/>
    </row>
    <row r="19537" spans="1:5" x14ac:dyDescent="0.25">
      <c r="A19537" s="1033"/>
      <c r="E19537" s="130"/>
    </row>
    <row r="19538" spans="1:5" x14ac:dyDescent="0.25">
      <c r="A19538" s="1033"/>
      <c r="E19538" s="130"/>
    </row>
    <row r="19539" spans="1:5" x14ac:dyDescent="0.25">
      <c r="A19539" s="1033"/>
      <c r="E19539" s="130"/>
    </row>
    <row r="19540" spans="1:5" x14ac:dyDescent="0.25">
      <c r="A19540" s="1033"/>
      <c r="E19540" s="130"/>
    </row>
    <row r="19541" spans="1:5" x14ac:dyDescent="0.25">
      <c r="A19541" s="1033"/>
      <c r="E19541" s="130"/>
    </row>
    <row r="19542" spans="1:5" x14ac:dyDescent="0.25">
      <c r="A19542" s="1033"/>
      <c r="E19542" s="130"/>
    </row>
    <row r="19543" spans="1:5" x14ac:dyDescent="0.25">
      <c r="A19543" s="1033"/>
      <c r="E19543" s="130"/>
    </row>
    <row r="19544" spans="1:5" x14ac:dyDescent="0.25">
      <c r="A19544" s="1033"/>
      <c r="E19544" s="130"/>
    </row>
    <row r="19545" spans="1:5" x14ac:dyDescent="0.25">
      <c r="A19545" s="1033"/>
      <c r="E19545" s="130"/>
    </row>
    <row r="19546" spans="1:5" x14ac:dyDescent="0.25">
      <c r="A19546" s="1033"/>
      <c r="E19546" s="130"/>
    </row>
    <row r="19547" spans="1:5" x14ac:dyDescent="0.25">
      <c r="A19547" s="1033"/>
      <c r="E19547" s="130"/>
    </row>
    <row r="19548" spans="1:5" x14ac:dyDescent="0.25">
      <c r="A19548" s="1033"/>
      <c r="E19548" s="130"/>
    </row>
    <row r="19549" spans="1:5" x14ac:dyDescent="0.25">
      <c r="A19549" s="1033"/>
      <c r="E19549" s="130"/>
    </row>
    <row r="19550" spans="1:5" x14ac:dyDescent="0.25">
      <c r="A19550" s="1033"/>
      <c r="E19550" s="130"/>
    </row>
    <row r="19551" spans="1:5" x14ac:dyDescent="0.25">
      <c r="A19551" s="1033"/>
      <c r="E19551" s="130"/>
    </row>
    <row r="19552" spans="1:5" x14ac:dyDescent="0.25">
      <c r="A19552" s="1033"/>
      <c r="E19552" s="130"/>
    </row>
    <row r="19553" spans="1:5" x14ac:dyDescent="0.25">
      <c r="A19553" s="1033"/>
      <c r="E19553" s="130"/>
    </row>
    <row r="19554" spans="1:5" x14ac:dyDescent="0.25">
      <c r="A19554" s="1033"/>
      <c r="E19554" s="130"/>
    </row>
    <row r="19555" spans="1:5" x14ac:dyDescent="0.25">
      <c r="A19555" s="1033"/>
      <c r="E19555" s="130"/>
    </row>
    <row r="19556" spans="1:5" x14ac:dyDescent="0.25">
      <c r="A19556" s="1033"/>
      <c r="E19556" s="130"/>
    </row>
    <row r="19557" spans="1:5" x14ac:dyDescent="0.25">
      <c r="A19557" s="1033"/>
      <c r="E19557" s="130"/>
    </row>
    <row r="19558" spans="1:5" x14ac:dyDescent="0.25">
      <c r="A19558" s="1033"/>
      <c r="E19558" s="130"/>
    </row>
    <row r="19559" spans="1:5" x14ac:dyDescent="0.25">
      <c r="A19559" s="1033"/>
      <c r="E19559" s="130"/>
    </row>
    <row r="19560" spans="1:5" x14ac:dyDescent="0.25">
      <c r="A19560" s="1033"/>
      <c r="E19560" s="130"/>
    </row>
    <row r="19561" spans="1:5" x14ac:dyDescent="0.25">
      <c r="A19561" s="1033"/>
      <c r="E19561" s="130"/>
    </row>
    <row r="19562" spans="1:5" x14ac:dyDescent="0.25">
      <c r="A19562" s="1033"/>
      <c r="E19562" s="130"/>
    </row>
    <row r="19563" spans="1:5" x14ac:dyDescent="0.25">
      <c r="A19563" s="1033"/>
      <c r="E19563" s="130"/>
    </row>
    <row r="19564" spans="1:5" x14ac:dyDescent="0.25">
      <c r="A19564" s="1033"/>
      <c r="E19564" s="130"/>
    </row>
    <row r="19565" spans="1:5" x14ac:dyDescent="0.25">
      <c r="A19565" s="1033"/>
      <c r="E19565" s="130"/>
    </row>
    <row r="19566" spans="1:5" x14ac:dyDescent="0.25">
      <c r="A19566" s="1033"/>
      <c r="E19566" s="130"/>
    </row>
    <row r="19567" spans="1:5" x14ac:dyDescent="0.25">
      <c r="A19567" s="1033"/>
      <c r="E19567" s="130"/>
    </row>
    <row r="19568" spans="1:5" x14ac:dyDescent="0.25">
      <c r="A19568" s="1033"/>
      <c r="E19568" s="130"/>
    </row>
    <row r="19569" spans="1:5" x14ac:dyDescent="0.25">
      <c r="A19569" s="1033"/>
      <c r="E19569" s="130"/>
    </row>
    <row r="19570" spans="1:5" x14ac:dyDescent="0.25">
      <c r="A19570" s="1033"/>
      <c r="E19570" s="130"/>
    </row>
    <row r="19571" spans="1:5" x14ac:dyDescent="0.25">
      <c r="A19571" s="1033"/>
      <c r="E19571" s="130"/>
    </row>
    <row r="19572" spans="1:5" x14ac:dyDescent="0.25">
      <c r="A19572" s="1033"/>
      <c r="E19572" s="130"/>
    </row>
    <row r="19573" spans="1:5" x14ac:dyDescent="0.25">
      <c r="A19573" s="1033"/>
      <c r="E19573" s="130"/>
    </row>
    <row r="19574" spans="1:5" x14ac:dyDescent="0.25">
      <c r="A19574" s="1033"/>
      <c r="E19574" s="130"/>
    </row>
    <row r="19575" spans="1:5" x14ac:dyDescent="0.25">
      <c r="A19575" s="1033"/>
      <c r="E19575" s="130"/>
    </row>
    <row r="19576" spans="1:5" x14ac:dyDescent="0.25">
      <c r="A19576" s="1033"/>
      <c r="E19576" s="130"/>
    </row>
    <row r="19577" spans="1:5" x14ac:dyDescent="0.25">
      <c r="A19577" s="1033"/>
      <c r="E19577" s="130"/>
    </row>
    <row r="19578" spans="1:5" x14ac:dyDescent="0.25">
      <c r="A19578" s="1033"/>
      <c r="E19578" s="130"/>
    </row>
    <row r="19579" spans="1:5" x14ac:dyDescent="0.25">
      <c r="A19579" s="1033"/>
      <c r="E19579" s="130"/>
    </row>
    <row r="19580" spans="1:5" x14ac:dyDescent="0.25">
      <c r="A19580" s="1033"/>
      <c r="E19580" s="130"/>
    </row>
    <row r="19581" spans="1:5" x14ac:dyDescent="0.25">
      <c r="A19581" s="1033"/>
      <c r="E19581" s="130"/>
    </row>
    <row r="19582" spans="1:5" x14ac:dyDescent="0.25">
      <c r="A19582" s="1033"/>
      <c r="E19582" s="130"/>
    </row>
    <row r="19583" spans="1:5" x14ac:dyDescent="0.25">
      <c r="A19583" s="1033"/>
      <c r="E19583" s="130"/>
    </row>
    <row r="19584" spans="1:5" x14ac:dyDescent="0.25">
      <c r="A19584" s="1033"/>
      <c r="E19584" s="130"/>
    </row>
    <row r="19585" spans="1:5" x14ac:dyDescent="0.25">
      <c r="A19585" s="1033"/>
      <c r="E19585" s="130"/>
    </row>
    <row r="19586" spans="1:5" x14ac:dyDescent="0.25">
      <c r="A19586" s="1033"/>
      <c r="E19586" s="130"/>
    </row>
    <row r="19587" spans="1:5" x14ac:dyDescent="0.25">
      <c r="A19587" s="1033"/>
      <c r="E19587" s="130"/>
    </row>
    <row r="19588" spans="1:5" x14ac:dyDescent="0.25">
      <c r="A19588" s="1033"/>
      <c r="E19588" s="130"/>
    </row>
    <row r="19589" spans="1:5" x14ac:dyDescent="0.25">
      <c r="A19589" s="1033"/>
      <c r="E19589" s="130"/>
    </row>
    <row r="19590" spans="1:5" x14ac:dyDescent="0.25">
      <c r="A19590" s="1033"/>
      <c r="E19590" s="130"/>
    </row>
    <row r="19591" spans="1:5" x14ac:dyDescent="0.25">
      <c r="A19591" s="1033"/>
      <c r="E19591" s="130"/>
    </row>
    <row r="19592" spans="1:5" x14ac:dyDescent="0.25">
      <c r="A19592" s="1033"/>
      <c r="E19592" s="130"/>
    </row>
    <row r="19593" spans="1:5" x14ac:dyDescent="0.25">
      <c r="A19593" s="1033"/>
      <c r="E19593" s="130"/>
    </row>
    <row r="19594" spans="1:5" x14ac:dyDescent="0.25">
      <c r="A19594" s="1033"/>
      <c r="E19594" s="130"/>
    </row>
    <row r="19595" spans="1:5" x14ac:dyDescent="0.25">
      <c r="A19595" s="1033"/>
      <c r="E19595" s="130"/>
    </row>
    <row r="19596" spans="1:5" x14ac:dyDescent="0.25">
      <c r="A19596" s="1033"/>
      <c r="E19596" s="130"/>
    </row>
    <row r="19597" spans="1:5" x14ac:dyDescent="0.25">
      <c r="A19597" s="1033"/>
      <c r="E19597" s="130"/>
    </row>
    <row r="19598" spans="1:5" x14ac:dyDescent="0.25">
      <c r="A19598" s="1033"/>
      <c r="E19598" s="130"/>
    </row>
    <row r="19599" spans="1:5" x14ac:dyDescent="0.25">
      <c r="A19599" s="1033"/>
      <c r="E19599" s="130"/>
    </row>
    <row r="19600" spans="1:5" x14ac:dyDescent="0.25">
      <c r="A19600" s="1033"/>
      <c r="E19600" s="130"/>
    </row>
    <row r="19601" spans="1:5" x14ac:dyDescent="0.25">
      <c r="A19601" s="1033"/>
      <c r="E19601" s="130"/>
    </row>
    <row r="19602" spans="1:5" x14ac:dyDescent="0.25">
      <c r="A19602" s="1033"/>
      <c r="E19602" s="130"/>
    </row>
    <row r="19603" spans="1:5" x14ac:dyDescent="0.25">
      <c r="A19603" s="1033"/>
      <c r="E19603" s="130"/>
    </row>
    <row r="19604" spans="1:5" x14ac:dyDescent="0.25">
      <c r="A19604" s="1033"/>
      <c r="E19604" s="130"/>
    </row>
    <row r="19605" spans="1:5" x14ac:dyDescent="0.25">
      <c r="A19605" s="1033"/>
      <c r="E19605" s="130"/>
    </row>
    <row r="19606" spans="1:5" x14ac:dyDescent="0.25">
      <c r="A19606" s="1033"/>
      <c r="E19606" s="130"/>
    </row>
    <row r="19607" spans="1:5" x14ac:dyDescent="0.25">
      <c r="A19607" s="1033"/>
      <c r="E19607" s="130"/>
    </row>
    <row r="19608" spans="1:5" x14ac:dyDescent="0.25">
      <c r="A19608" s="1033"/>
      <c r="E19608" s="130"/>
    </row>
    <row r="19609" spans="1:5" x14ac:dyDescent="0.25">
      <c r="A19609" s="1033"/>
      <c r="E19609" s="130"/>
    </row>
    <row r="19610" spans="1:5" x14ac:dyDescent="0.25">
      <c r="A19610" s="1033"/>
      <c r="E19610" s="130"/>
    </row>
    <row r="19611" spans="1:5" x14ac:dyDescent="0.25">
      <c r="A19611" s="1033"/>
      <c r="E19611" s="130"/>
    </row>
    <row r="19612" spans="1:5" x14ac:dyDescent="0.25">
      <c r="A19612" s="1033"/>
      <c r="E19612" s="130"/>
    </row>
    <row r="19613" spans="1:5" x14ac:dyDescent="0.25">
      <c r="A19613" s="1033"/>
      <c r="E19613" s="130"/>
    </row>
    <row r="19614" spans="1:5" x14ac:dyDescent="0.25">
      <c r="A19614" s="1033"/>
      <c r="E19614" s="130"/>
    </row>
    <row r="19615" spans="1:5" x14ac:dyDescent="0.25">
      <c r="A19615" s="1033"/>
      <c r="E19615" s="130"/>
    </row>
    <row r="19616" spans="1:5" x14ac:dyDescent="0.25">
      <c r="A19616" s="1033"/>
      <c r="E19616" s="130"/>
    </row>
    <row r="19617" spans="1:5" x14ac:dyDescent="0.25">
      <c r="A19617" s="1033"/>
      <c r="E19617" s="130"/>
    </row>
    <row r="19618" spans="1:5" x14ac:dyDescent="0.25">
      <c r="A19618" s="1033"/>
      <c r="E19618" s="130"/>
    </row>
    <row r="19619" spans="1:5" x14ac:dyDescent="0.25">
      <c r="A19619" s="1033"/>
      <c r="E19619" s="130"/>
    </row>
    <row r="19620" spans="1:5" x14ac:dyDescent="0.25">
      <c r="A19620" s="1033"/>
      <c r="E19620" s="130"/>
    </row>
    <row r="19621" spans="1:5" x14ac:dyDescent="0.25">
      <c r="A19621" s="1033"/>
      <c r="E19621" s="130"/>
    </row>
    <row r="19622" spans="1:5" x14ac:dyDescent="0.25">
      <c r="A19622" s="1033"/>
      <c r="E19622" s="130"/>
    </row>
    <row r="19623" spans="1:5" x14ac:dyDescent="0.25">
      <c r="A19623" s="1033"/>
      <c r="E19623" s="130"/>
    </row>
    <row r="19624" spans="1:5" x14ac:dyDescent="0.25">
      <c r="A19624" s="1033"/>
      <c r="E19624" s="130"/>
    </row>
    <row r="19625" spans="1:5" x14ac:dyDescent="0.25">
      <c r="A19625" s="1033"/>
      <c r="E19625" s="130"/>
    </row>
    <row r="19626" spans="1:5" x14ac:dyDescent="0.25">
      <c r="A19626" s="1033"/>
      <c r="E19626" s="130"/>
    </row>
    <row r="19627" spans="1:5" x14ac:dyDescent="0.25">
      <c r="A19627" s="1033"/>
      <c r="E19627" s="130"/>
    </row>
    <row r="19628" spans="1:5" x14ac:dyDescent="0.25">
      <c r="A19628" s="1033"/>
      <c r="E19628" s="130"/>
    </row>
    <row r="19629" spans="1:5" x14ac:dyDescent="0.25">
      <c r="A19629" s="1033"/>
      <c r="E19629" s="130"/>
    </row>
    <row r="19630" spans="1:5" x14ac:dyDescent="0.25">
      <c r="A19630" s="1033"/>
      <c r="E19630" s="130"/>
    </row>
    <row r="19631" spans="1:5" x14ac:dyDescent="0.25">
      <c r="A19631" s="1033"/>
      <c r="E19631" s="130"/>
    </row>
    <row r="19632" spans="1:5" x14ac:dyDescent="0.25">
      <c r="A19632" s="1033"/>
      <c r="E19632" s="130"/>
    </row>
    <row r="19633" spans="1:5" x14ac:dyDescent="0.25">
      <c r="A19633" s="1033"/>
      <c r="E19633" s="130"/>
    </row>
    <row r="19634" spans="1:5" x14ac:dyDescent="0.25">
      <c r="A19634" s="1033"/>
      <c r="E19634" s="130"/>
    </row>
    <row r="19635" spans="1:5" x14ac:dyDescent="0.25">
      <c r="A19635" s="1033"/>
      <c r="E19635" s="130"/>
    </row>
    <row r="19636" spans="1:5" x14ac:dyDescent="0.25">
      <c r="A19636" s="1033"/>
      <c r="E19636" s="130"/>
    </row>
    <row r="19637" spans="1:5" x14ac:dyDescent="0.25">
      <c r="A19637" s="1033"/>
      <c r="E19637" s="130"/>
    </row>
    <row r="19638" spans="1:5" x14ac:dyDescent="0.25">
      <c r="A19638" s="1033"/>
      <c r="E19638" s="130"/>
    </row>
    <row r="19639" spans="1:5" x14ac:dyDescent="0.25">
      <c r="A19639" s="1033"/>
      <c r="E19639" s="130"/>
    </row>
    <row r="19640" spans="1:5" x14ac:dyDescent="0.25">
      <c r="A19640" s="1033"/>
      <c r="E19640" s="130"/>
    </row>
    <row r="19641" spans="1:5" x14ac:dyDescent="0.25">
      <c r="A19641" s="1033"/>
      <c r="E19641" s="130"/>
    </row>
    <row r="19642" spans="1:5" x14ac:dyDescent="0.25">
      <c r="A19642" s="1033"/>
      <c r="E19642" s="130"/>
    </row>
    <row r="19643" spans="1:5" x14ac:dyDescent="0.25">
      <c r="A19643" s="1033"/>
      <c r="E19643" s="130"/>
    </row>
    <row r="19644" spans="1:5" x14ac:dyDescent="0.25">
      <c r="A19644" s="1033"/>
      <c r="E19644" s="130"/>
    </row>
    <row r="19645" spans="1:5" x14ac:dyDescent="0.25">
      <c r="A19645" s="1033"/>
      <c r="E19645" s="130"/>
    </row>
    <row r="19646" spans="1:5" x14ac:dyDescent="0.25">
      <c r="A19646" s="1033"/>
      <c r="E19646" s="130"/>
    </row>
    <row r="19647" spans="1:5" x14ac:dyDescent="0.25">
      <c r="A19647" s="1033"/>
      <c r="E19647" s="130"/>
    </row>
    <row r="19648" spans="1:5" x14ac:dyDescent="0.25">
      <c r="A19648" s="1033"/>
      <c r="E19648" s="130"/>
    </row>
    <row r="19649" spans="1:5" x14ac:dyDescent="0.25">
      <c r="A19649" s="1033"/>
      <c r="E19649" s="130"/>
    </row>
    <row r="19650" spans="1:5" x14ac:dyDescent="0.25">
      <c r="A19650" s="1033"/>
      <c r="E19650" s="130"/>
    </row>
    <row r="19651" spans="1:5" x14ac:dyDescent="0.25">
      <c r="A19651" s="1033"/>
      <c r="E19651" s="130"/>
    </row>
    <row r="19652" spans="1:5" x14ac:dyDescent="0.25">
      <c r="A19652" s="1033"/>
      <c r="E19652" s="130"/>
    </row>
    <row r="19653" spans="1:5" x14ac:dyDescent="0.25">
      <c r="A19653" s="1033"/>
      <c r="E19653" s="130"/>
    </row>
    <row r="19654" spans="1:5" x14ac:dyDescent="0.25">
      <c r="A19654" s="1033"/>
      <c r="E19654" s="130"/>
    </row>
    <row r="19655" spans="1:5" x14ac:dyDescent="0.25">
      <c r="A19655" s="1033"/>
      <c r="E19655" s="130"/>
    </row>
    <row r="19656" spans="1:5" x14ac:dyDescent="0.25">
      <c r="A19656" s="1033"/>
      <c r="E19656" s="130"/>
    </row>
    <row r="19657" spans="1:5" x14ac:dyDescent="0.25">
      <c r="A19657" s="1033"/>
      <c r="E19657" s="130"/>
    </row>
    <row r="19658" spans="1:5" x14ac:dyDescent="0.25">
      <c r="A19658" s="1033"/>
      <c r="E19658" s="130"/>
    </row>
    <row r="19659" spans="1:5" x14ac:dyDescent="0.25">
      <c r="A19659" s="1033"/>
      <c r="E19659" s="130"/>
    </row>
    <row r="19660" spans="1:5" x14ac:dyDescent="0.25">
      <c r="A19660" s="1033"/>
      <c r="E19660" s="130"/>
    </row>
    <row r="19661" spans="1:5" x14ac:dyDescent="0.25">
      <c r="A19661" s="1033"/>
      <c r="E19661" s="130"/>
    </row>
    <row r="19662" spans="1:5" x14ac:dyDescent="0.25">
      <c r="A19662" s="1033"/>
      <c r="E19662" s="130"/>
    </row>
    <row r="19663" spans="1:5" x14ac:dyDescent="0.25">
      <c r="A19663" s="1033"/>
      <c r="E19663" s="130"/>
    </row>
    <row r="19664" spans="1:5" x14ac:dyDescent="0.25">
      <c r="A19664" s="1033"/>
      <c r="E19664" s="130"/>
    </row>
    <row r="19665" spans="1:5" x14ac:dyDescent="0.25">
      <c r="A19665" s="1033"/>
      <c r="E19665" s="130"/>
    </row>
    <row r="19666" spans="1:5" x14ac:dyDescent="0.25">
      <c r="A19666" s="1033"/>
      <c r="E19666" s="130"/>
    </row>
    <row r="19667" spans="1:5" x14ac:dyDescent="0.25">
      <c r="A19667" s="1033"/>
      <c r="E19667" s="130"/>
    </row>
    <row r="19668" spans="1:5" x14ac:dyDescent="0.25">
      <c r="A19668" s="1033"/>
      <c r="E19668" s="130"/>
    </row>
    <row r="19669" spans="1:5" x14ac:dyDescent="0.25">
      <c r="A19669" s="1033"/>
      <c r="E19669" s="130"/>
    </row>
    <row r="19670" spans="1:5" x14ac:dyDescent="0.25">
      <c r="A19670" s="1033"/>
      <c r="E19670" s="130"/>
    </row>
    <row r="19671" spans="1:5" x14ac:dyDescent="0.25">
      <c r="A19671" s="1033"/>
      <c r="E19671" s="130"/>
    </row>
    <row r="19672" spans="1:5" x14ac:dyDescent="0.25">
      <c r="A19672" s="1033"/>
      <c r="E19672" s="130"/>
    </row>
    <row r="19673" spans="1:5" x14ac:dyDescent="0.25">
      <c r="A19673" s="1033"/>
      <c r="E19673" s="130"/>
    </row>
    <row r="19674" spans="1:5" x14ac:dyDescent="0.25">
      <c r="A19674" s="1033"/>
      <c r="E19674" s="130"/>
    </row>
    <row r="19675" spans="1:5" x14ac:dyDescent="0.25">
      <c r="A19675" s="1033"/>
      <c r="E19675" s="130"/>
    </row>
    <row r="19676" spans="1:5" x14ac:dyDescent="0.25">
      <c r="A19676" s="1033"/>
      <c r="E19676" s="130"/>
    </row>
    <row r="19677" spans="1:5" x14ac:dyDescent="0.25">
      <c r="A19677" s="1033"/>
      <c r="E19677" s="130"/>
    </row>
    <row r="19678" spans="1:5" x14ac:dyDescent="0.25">
      <c r="A19678" s="1033"/>
      <c r="E19678" s="130"/>
    </row>
    <row r="19679" spans="1:5" x14ac:dyDescent="0.25">
      <c r="A19679" s="1033"/>
      <c r="E19679" s="130"/>
    </row>
    <row r="19680" spans="1:5" x14ac:dyDescent="0.25">
      <c r="A19680" s="1033"/>
      <c r="E19680" s="130"/>
    </row>
    <row r="19681" spans="1:5" x14ac:dyDescent="0.25">
      <c r="A19681" s="1033"/>
      <c r="E19681" s="130"/>
    </row>
    <row r="19682" spans="1:5" x14ac:dyDescent="0.25">
      <c r="A19682" s="1033"/>
      <c r="E19682" s="130"/>
    </row>
    <row r="19683" spans="1:5" x14ac:dyDescent="0.25">
      <c r="A19683" s="1033"/>
      <c r="E19683" s="130"/>
    </row>
    <row r="19684" spans="1:5" x14ac:dyDescent="0.25">
      <c r="A19684" s="1033"/>
      <c r="E19684" s="130"/>
    </row>
    <row r="19685" spans="1:5" x14ac:dyDescent="0.25">
      <c r="A19685" s="1033"/>
      <c r="E19685" s="130"/>
    </row>
    <row r="19686" spans="1:5" x14ac:dyDescent="0.25">
      <c r="A19686" s="1033"/>
      <c r="E19686" s="130"/>
    </row>
    <row r="19687" spans="1:5" x14ac:dyDescent="0.25">
      <c r="A19687" s="1033"/>
      <c r="E19687" s="130"/>
    </row>
    <row r="19688" spans="1:5" x14ac:dyDescent="0.25">
      <c r="A19688" s="1033"/>
      <c r="E19688" s="130"/>
    </row>
    <row r="19689" spans="1:5" x14ac:dyDescent="0.25">
      <c r="A19689" s="1033"/>
      <c r="E19689" s="130"/>
    </row>
    <row r="19690" spans="1:5" x14ac:dyDescent="0.25">
      <c r="A19690" s="1033"/>
      <c r="E19690" s="130"/>
    </row>
    <row r="19691" spans="1:5" x14ac:dyDescent="0.25">
      <c r="A19691" s="1033"/>
      <c r="E19691" s="130"/>
    </row>
    <row r="19692" spans="1:5" x14ac:dyDescent="0.25">
      <c r="A19692" s="1033"/>
      <c r="E19692" s="130"/>
    </row>
    <row r="19693" spans="1:5" x14ac:dyDescent="0.25">
      <c r="A19693" s="1033"/>
      <c r="E19693" s="130"/>
    </row>
    <row r="19694" spans="1:5" x14ac:dyDescent="0.25">
      <c r="A19694" s="1033"/>
      <c r="E19694" s="130"/>
    </row>
    <row r="19695" spans="1:5" x14ac:dyDescent="0.25">
      <c r="A19695" s="1033"/>
      <c r="E19695" s="130"/>
    </row>
    <row r="19696" spans="1:5" x14ac:dyDescent="0.25">
      <c r="A19696" s="1033"/>
      <c r="E19696" s="130"/>
    </row>
    <row r="19697" spans="1:5" x14ac:dyDescent="0.25">
      <c r="A19697" s="1033"/>
      <c r="E19697" s="130"/>
    </row>
    <row r="19698" spans="1:5" x14ac:dyDescent="0.25">
      <c r="A19698" s="1033"/>
      <c r="E19698" s="130"/>
    </row>
    <row r="19699" spans="1:5" x14ac:dyDescent="0.25">
      <c r="A19699" s="1033"/>
      <c r="E19699" s="130"/>
    </row>
    <row r="19700" spans="1:5" x14ac:dyDescent="0.25">
      <c r="A19700" s="1033"/>
      <c r="E19700" s="130"/>
    </row>
    <row r="19701" spans="1:5" x14ac:dyDescent="0.25">
      <c r="A19701" s="1033"/>
      <c r="E19701" s="130"/>
    </row>
    <row r="19702" spans="1:5" x14ac:dyDescent="0.25">
      <c r="A19702" s="1033"/>
      <c r="E19702" s="130"/>
    </row>
    <row r="19703" spans="1:5" x14ac:dyDescent="0.25">
      <c r="A19703" s="1033"/>
      <c r="E19703" s="130"/>
    </row>
    <row r="19704" spans="1:5" x14ac:dyDescent="0.25">
      <c r="A19704" s="1033"/>
      <c r="E19704" s="130"/>
    </row>
    <row r="19705" spans="1:5" x14ac:dyDescent="0.25">
      <c r="A19705" s="1033"/>
      <c r="E19705" s="130"/>
    </row>
    <row r="19706" spans="1:5" x14ac:dyDescent="0.25">
      <c r="A19706" s="1033"/>
      <c r="E19706" s="130"/>
    </row>
    <row r="19707" spans="1:5" x14ac:dyDescent="0.25">
      <c r="A19707" s="1033"/>
      <c r="E19707" s="130"/>
    </row>
    <row r="19708" spans="1:5" x14ac:dyDescent="0.25">
      <c r="A19708" s="1033"/>
      <c r="E19708" s="130"/>
    </row>
    <row r="19709" spans="1:5" x14ac:dyDescent="0.25">
      <c r="A19709" s="1033"/>
      <c r="E19709" s="130"/>
    </row>
    <row r="19710" spans="1:5" x14ac:dyDescent="0.25">
      <c r="A19710" s="1033"/>
      <c r="E19710" s="130"/>
    </row>
    <row r="19711" spans="1:5" x14ac:dyDescent="0.25">
      <c r="A19711" s="1033"/>
      <c r="E19711" s="130"/>
    </row>
    <row r="19712" spans="1:5" x14ac:dyDescent="0.25">
      <c r="A19712" s="1033"/>
      <c r="E19712" s="130"/>
    </row>
    <row r="19713" spans="1:5" x14ac:dyDescent="0.25">
      <c r="A19713" s="1033"/>
      <c r="E19713" s="130"/>
    </row>
    <row r="19714" spans="1:5" x14ac:dyDescent="0.25">
      <c r="A19714" s="1033"/>
      <c r="E19714" s="130"/>
    </row>
    <row r="19715" spans="1:5" x14ac:dyDescent="0.25">
      <c r="A19715" s="1033"/>
      <c r="E19715" s="130"/>
    </row>
    <row r="19716" spans="1:5" x14ac:dyDescent="0.25">
      <c r="A19716" s="1033"/>
      <c r="E19716" s="130"/>
    </row>
    <row r="19717" spans="1:5" x14ac:dyDescent="0.25">
      <c r="A19717" s="1033"/>
      <c r="E19717" s="130"/>
    </row>
    <row r="19718" spans="1:5" x14ac:dyDescent="0.25">
      <c r="A19718" s="1033"/>
      <c r="E19718" s="130"/>
    </row>
    <row r="19719" spans="1:5" x14ac:dyDescent="0.25">
      <c r="A19719" s="1033"/>
      <c r="E19719" s="130"/>
    </row>
    <row r="19720" spans="1:5" x14ac:dyDescent="0.25">
      <c r="A19720" s="1033"/>
      <c r="E19720" s="130"/>
    </row>
    <row r="19721" spans="1:5" x14ac:dyDescent="0.25">
      <c r="A19721" s="1033"/>
      <c r="E19721" s="130"/>
    </row>
    <row r="19722" spans="1:5" x14ac:dyDescent="0.25">
      <c r="A19722" s="1033"/>
      <c r="E19722" s="130"/>
    </row>
    <row r="19723" spans="1:5" x14ac:dyDescent="0.25">
      <c r="A19723" s="1033"/>
      <c r="E19723" s="130"/>
    </row>
    <row r="19724" spans="1:5" x14ac:dyDescent="0.25">
      <c r="A19724" s="1033"/>
      <c r="E19724" s="130"/>
    </row>
    <row r="19725" spans="1:5" x14ac:dyDescent="0.25">
      <c r="A19725" s="1033"/>
      <c r="E19725" s="130"/>
    </row>
    <row r="19726" spans="1:5" x14ac:dyDescent="0.25">
      <c r="A19726" s="1033"/>
      <c r="E19726" s="130"/>
    </row>
    <row r="19727" spans="1:5" x14ac:dyDescent="0.25">
      <c r="A19727" s="1033"/>
      <c r="E19727" s="130"/>
    </row>
    <row r="19728" spans="1:5" x14ac:dyDescent="0.25">
      <c r="A19728" s="1033"/>
      <c r="E19728" s="130"/>
    </row>
    <row r="19729" spans="1:5" x14ac:dyDescent="0.25">
      <c r="A19729" s="1033"/>
      <c r="E19729" s="130"/>
    </row>
    <row r="19730" spans="1:5" x14ac:dyDescent="0.25">
      <c r="A19730" s="1033"/>
      <c r="E19730" s="130"/>
    </row>
    <row r="19731" spans="1:5" x14ac:dyDescent="0.25">
      <c r="A19731" s="1033"/>
      <c r="E19731" s="130"/>
    </row>
    <row r="19732" spans="1:5" x14ac:dyDescent="0.25">
      <c r="A19732" s="1033"/>
      <c r="E19732" s="130"/>
    </row>
    <row r="19733" spans="1:5" x14ac:dyDescent="0.25">
      <c r="A19733" s="1033"/>
      <c r="E19733" s="130"/>
    </row>
    <row r="19734" spans="1:5" x14ac:dyDescent="0.25">
      <c r="A19734" s="1033"/>
      <c r="E19734" s="130"/>
    </row>
    <row r="19735" spans="1:5" x14ac:dyDescent="0.25">
      <c r="A19735" s="1033"/>
      <c r="E19735" s="130"/>
    </row>
    <row r="19736" spans="1:5" x14ac:dyDescent="0.25">
      <c r="A19736" s="1033"/>
      <c r="E19736" s="130"/>
    </row>
    <row r="19737" spans="1:5" x14ac:dyDescent="0.25">
      <c r="A19737" s="1033"/>
      <c r="E19737" s="130"/>
    </row>
    <row r="19738" spans="1:5" x14ac:dyDescent="0.25">
      <c r="A19738" s="1033"/>
      <c r="E19738" s="130"/>
    </row>
    <row r="19739" spans="1:5" x14ac:dyDescent="0.25">
      <c r="A19739" s="1033"/>
      <c r="E19739" s="130"/>
    </row>
    <row r="19740" spans="1:5" x14ac:dyDescent="0.25">
      <c r="A19740" s="1033"/>
      <c r="E19740" s="130"/>
    </row>
    <row r="19741" spans="1:5" x14ac:dyDescent="0.25">
      <c r="A19741" s="1033"/>
      <c r="E19741" s="130"/>
    </row>
    <row r="19742" spans="1:5" x14ac:dyDescent="0.25">
      <c r="A19742" s="1033"/>
      <c r="E19742" s="130"/>
    </row>
    <row r="19743" spans="1:5" x14ac:dyDescent="0.25">
      <c r="A19743" s="1033"/>
      <c r="E19743" s="130"/>
    </row>
    <row r="19744" spans="1:5" x14ac:dyDescent="0.25">
      <c r="A19744" s="1033"/>
      <c r="E19744" s="130"/>
    </row>
    <row r="19745" spans="1:5" x14ac:dyDescent="0.25">
      <c r="A19745" s="1033"/>
      <c r="E19745" s="130"/>
    </row>
    <row r="19746" spans="1:5" x14ac:dyDescent="0.25">
      <c r="A19746" s="1033"/>
      <c r="E19746" s="130"/>
    </row>
    <row r="19747" spans="1:5" x14ac:dyDescent="0.25">
      <c r="A19747" s="1033"/>
      <c r="E19747" s="130"/>
    </row>
    <row r="19748" spans="1:5" x14ac:dyDescent="0.25">
      <c r="A19748" s="1033"/>
      <c r="E19748" s="130"/>
    </row>
    <row r="19749" spans="1:5" x14ac:dyDescent="0.25">
      <c r="A19749" s="1033"/>
      <c r="E19749" s="130"/>
    </row>
    <row r="19750" spans="1:5" x14ac:dyDescent="0.25">
      <c r="A19750" s="1033"/>
      <c r="E19750" s="130"/>
    </row>
    <row r="19751" spans="1:5" x14ac:dyDescent="0.25">
      <c r="A19751" s="1033"/>
      <c r="E19751" s="130"/>
    </row>
    <row r="19752" spans="1:5" x14ac:dyDescent="0.25">
      <c r="A19752" s="1033"/>
      <c r="E19752" s="130"/>
    </row>
    <row r="19753" spans="1:5" x14ac:dyDescent="0.25">
      <c r="A19753" s="1033"/>
      <c r="E19753" s="130"/>
    </row>
    <row r="19754" spans="1:5" x14ac:dyDescent="0.25">
      <c r="A19754" s="1033"/>
      <c r="E19754" s="130"/>
    </row>
    <row r="19755" spans="1:5" x14ac:dyDescent="0.25">
      <c r="A19755" s="1033"/>
      <c r="E19755" s="130"/>
    </row>
    <row r="19756" spans="1:5" x14ac:dyDescent="0.25">
      <c r="A19756" s="1033"/>
      <c r="E19756" s="130"/>
    </row>
    <row r="19757" spans="1:5" x14ac:dyDescent="0.25">
      <c r="A19757" s="1033"/>
      <c r="E19757" s="130"/>
    </row>
    <row r="19758" spans="1:5" x14ac:dyDescent="0.25">
      <c r="A19758" s="1033"/>
      <c r="E19758" s="130"/>
    </row>
    <row r="19759" spans="1:5" x14ac:dyDescent="0.25">
      <c r="A19759" s="1033"/>
      <c r="E19759" s="130"/>
    </row>
    <row r="19760" spans="1:5" x14ac:dyDescent="0.25">
      <c r="A19760" s="1033"/>
      <c r="E19760" s="130"/>
    </row>
    <row r="19761" spans="1:5" x14ac:dyDescent="0.25">
      <c r="A19761" s="1033"/>
      <c r="E19761" s="130"/>
    </row>
    <row r="19762" spans="1:5" x14ac:dyDescent="0.25">
      <c r="A19762" s="1033"/>
      <c r="E19762" s="130"/>
    </row>
    <row r="19763" spans="1:5" x14ac:dyDescent="0.25">
      <c r="A19763" s="1033"/>
      <c r="E19763" s="130"/>
    </row>
    <row r="19764" spans="1:5" x14ac:dyDescent="0.25">
      <c r="A19764" s="1033"/>
      <c r="E19764" s="130"/>
    </row>
    <row r="19765" spans="1:5" x14ac:dyDescent="0.25">
      <c r="A19765" s="1033"/>
      <c r="E19765" s="130"/>
    </row>
    <row r="19766" spans="1:5" x14ac:dyDescent="0.25">
      <c r="A19766" s="1033"/>
      <c r="E19766" s="130"/>
    </row>
    <row r="19767" spans="1:5" x14ac:dyDescent="0.25">
      <c r="A19767" s="1033"/>
      <c r="E19767" s="130"/>
    </row>
    <row r="19768" spans="1:5" x14ac:dyDescent="0.25">
      <c r="A19768" s="1033"/>
      <c r="E19768" s="130"/>
    </row>
    <row r="19769" spans="1:5" x14ac:dyDescent="0.25">
      <c r="A19769" s="1033"/>
      <c r="E19769" s="130"/>
    </row>
    <row r="19770" spans="1:5" x14ac:dyDescent="0.25">
      <c r="A19770" s="1033"/>
      <c r="E19770" s="130"/>
    </row>
    <row r="19771" spans="1:5" x14ac:dyDescent="0.25">
      <c r="A19771" s="1033"/>
      <c r="E19771" s="130"/>
    </row>
    <row r="19772" spans="1:5" x14ac:dyDescent="0.25">
      <c r="A19772" s="1033"/>
      <c r="E19772" s="130"/>
    </row>
    <row r="19773" spans="1:5" x14ac:dyDescent="0.25">
      <c r="A19773" s="1033"/>
      <c r="E19773" s="130"/>
    </row>
    <row r="19774" spans="1:5" x14ac:dyDescent="0.25">
      <c r="A19774" s="1033"/>
      <c r="E19774" s="130"/>
    </row>
    <row r="19775" spans="1:5" x14ac:dyDescent="0.25">
      <c r="A19775" s="1033"/>
      <c r="E19775" s="130"/>
    </row>
    <row r="19776" spans="1:5" x14ac:dyDescent="0.25">
      <c r="A19776" s="1033"/>
      <c r="E19776" s="130"/>
    </row>
    <row r="19777" spans="1:5" x14ac:dyDescent="0.25">
      <c r="A19777" s="1033"/>
      <c r="E19777" s="130"/>
    </row>
    <row r="19778" spans="1:5" x14ac:dyDescent="0.25">
      <c r="A19778" s="1033"/>
      <c r="E19778" s="130"/>
    </row>
    <row r="19779" spans="1:5" x14ac:dyDescent="0.25">
      <c r="A19779" s="1033"/>
      <c r="E19779" s="130"/>
    </row>
    <row r="19780" spans="1:5" x14ac:dyDescent="0.25">
      <c r="A19780" s="1033"/>
      <c r="E19780" s="130"/>
    </row>
    <row r="19781" spans="1:5" x14ac:dyDescent="0.25">
      <c r="A19781" s="1033"/>
      <c r="E19781" s="130"/>
    </row>
    <row r="19782" spans="1:5" x14ac:dyDescent="0.25">
      <c r="A19782" s="1033"/>
      <c r="E19782" s="130"/>
    </row>
    <row r="19783" spans="1:5" x14ac:dyDescent="0.25">
      <c r="A19783" s="1033"/>
      <c r="E19783" s="130"/>
    </row>
    <row r="19784" spans="1:5" x14ac:dyDescent="0.25">
      <c r="A19784" s="1033"/>
      <c r="E19784" s="130"/>
    </row>
    <row r="19785" spans="1:5" x14ac:dyDescent="0.25">
      <c r="A19785" s="1033"/>
      <c r="E19785" s="130"/>
    </row>
    <row r="19786" spans="1:5" x14ac:dyDescent="0.25">
      <c r="A19786" s="1033"/>
      <c r="E19786" s="130"/>
    </row>
    <row r="19787" spans="1:5" x14ac:dyDescent="0.25">
      <c r="A19787" s="1033"/>
      <c r="E19787" s="130"/>
    </row>
    <row r="19788" spans="1:5" x14ac:dyDescent="0.25">
      <c r="A19788" s="1033"/>
      <c r="E19788" s="130"/>
    </row>
    <row r="19789" spans="1:5" x14ac:dyDescent="0.25">
      <c r="A19789" s="1033"/>
      <c r="E19789" s="130"/>
    </row>
    <row r="19790" spans="1:5" x14ac:dyDescent="0.25">
      <c r="A19790" s="1033"/>
      <c r="E19790" s="130"/>
    </row>
    <row r="19791" spans="1:5" x14ac:dyDescent="0.25">
      <c r="A19791" s="1033"/>
      <c r="E19791" s="130"/>
    </row>
    <row r="19792" spans="1:5" x14ac:dyDescent="0.25">
      <c r="A19792" s="1033"/>
      <c r="E19792" s="130"/>
    </row>
    <row r="19793" spans="1:5" x14ac:dyDescent="0.25">
      <c r="A19793" s="1033"/>
      <c r="E19793" s="130"/>
    </row>
    <row r="19794" spans="1:5" x14ac:dyDescent="0.25">
      <c r="A19794" s="1033"/>
      <c r="E19794" s="130"/>
    </row>
    <row r="19795" spans="1:5" x14ac:dyDescent="0.25">
      <c r="A19795" s="1033"/>
      <c r="E19795" s="130"/>
    </row>
    <row r="19796" spans="1:5" x14ac:dyDescent="0.25">
      <c r="A19796" s="1033"/>
      <c r="E19796" s="130"/>
    </row>
    <row r="19797" spans="1:5" x14ac:dyDescent="0.25">
      <c r="A19797" s="1033"/>
      <c r="E19797" s="130"/>
    </row>
    <row r="19798" spans="1:5" x14ac:dyDescent="0.25">
      <c r="A19798" s="1033"/>
      <c r="E19798" s="130"/>
    </row>
    <row r="19799" spans="1:5" x14ac:dyDescent="0.25">
      <c r="A19799" s="1033"/>
      <c r="E19799" s="130"/>
    </row>
    <row r="19800" spans="1:5" x14ac:dyDescent="0.25">
      <c r="A19800" s="1033"/>
      <c r="E19800" s="130"/>
    </row>
    <row r="19801" spans="1:5" x14ac:dyDescent="0.25">
      <c r="A19801" s="1033"/>
      <c r="E19801" s="130"/>
    </row>
    <row r="19802" spans="1:5" x14ac:dyDescent="0.25">
      <c r="A19802" s="1033"/>
      <c r="E19802" s="130"/>
    </row>
    <row r="19803" spans="1:5" x14ac:dyDescent="0.25">
      <c r="A19803" s="1033"/>
      <c r="E19803" s="130"/>
    </row>
    <row r="19804" spans="1:5" x14ac:dyDescent="0.25">
      <c r="A19804" s="1033"/>
      <c r="E19804" s="130"/>
    </row>
    <row r="19805" spans="1:5" x14ac:dyDescent="0.25">
      <c r="A19805" s="1033"/>
      <c r="E19805" s="130"/>
    </row>
    <row r="19806" spans="1:5" x14ac:dyDescent="0.25">
      <c r="A19806" s="1033"/>
      <c r="E19806" s="130"/>
    </row>
    <row r="19807" spans="1:5" x14ac:dyDescent="0.25">
      <c r="A19807" s="1033"/>
      <c r="E19807" s="130"/>
    </row>
    <row r="19808" spans="1:5" x14ac:dyDescent="0.25">
      <c r="A19808" s="1033"/>
      <c r="E19808" s="130"/>
    </row>
    <row r="19809" spans="1:5" x14ac:dyDescent="0.25">
      <c r="A19809" s="1033"/>
      <c r="E19809" s="130"/>
    </row>
    <row r="19810" spans="1:5" x14ac:dyDescent="0.25">
      <c r="A19810" s="1033"/>
      <c r="E19810" s="130"/>
    </row>
    <row r="19811" spans="1:5" x14ac:dyDescent="0.25">
      <c r="A19811" s="1033"/>
      <c r="E19811" s="130"/>
    </row>
    <row r="19812" spans="1:5" x14ac:dyDescent="0.25">
      <c r="A19812" s="1033"/>
      <c r="E19812" s="130"/>
    </row>
    <row r="19813" spans="1:5" x14ac:dyDescent="0.25">
      <c r="A19813" s="1033"/>
      <c r="E19813" s="130"/>
    </row>
    <row r="19814" spans="1:5" x14ac:dyDescent="0.25">
      <c r="A19814" s="1033"/>
      <c r="E19814" s="130"/>
    </row>
    <row r="19815" spans="1:5" x14ac:dyDescent="0.25">
      <c r="A19815" s="1033"/>
      <c r="E19815" s="130"/>
    </row>
    <row r="19816" spans="1:5" x14ac:dyDescent="0.25">
      <c r="A19816" s="1033"/>
      <c r="E19816" s="130"/>
    </row>
    <row r="19817" spans="1:5" x14ac:dyDescent="0.25">
      <c r="A19817" s="1033"/>
      <c r="E19817" s="130"/>
    </row>
    <row r="19818" spans="1:5" x14ac:dyDescent="0.25">
      <c r="A19818" s="1033"/>
      <c r="E19818" s="130"/>
    </row>
    <row r="19819" spans="1:5" x14ac:dyDescent="0.25">
      <c r="A19819" s="1033"/>
      <c r="E19819" s="130"/>
    </row>
    <row r="19820" spans="1:5" x14ac:dyDescent="0.25">
      <c r="A19820" s="1033"/>
      <c r="E19820" s="130"/>
    </row>
    <row r="19821" spans="1:5" x14ac:dyDescent="0.25">
      <c r="A19821" s="1033"/>
      <c r="E19821" s="130"/>
    </row>
    <row r="19822" spans="1:5" x14ac:dyDescent="0.25">
      <c r="A19822" s="1033"/>
      <c r="E19822" s="130"/>
    </row>
    <row r="19823" spans="1:5" x14ac:dyDescent="0.25">
      <c r="A19823" s="1033"/>
      <c r="E19823" s="130"/>
    </row>
    <row r="19824" spans="1:5" x14ac:dyDescent="0.25">
      <c r="A19824" s="1033"/>
      <c r="E19824" s="130"/>
    </row>
    <row r="19825" spans="1:5" x14ac:dyDescent="0.25">
      <c r="A19825" s="1033"/>
      <c r="E19825" s="130"/>
    </row>
    <row r="19826" spans="1:5" x14ac:dyDescent="0.25">
      <c r="A19826" s="1033"/>
      <c r="E19826" s="130"/>
    </row>
    <row r="19827" spans="1:5" x14ac:dyDescent="0.25">
      <c r="A19827" s="1033"/>
      <c r="E19827" s="130"/>
    </row>
    <row r="19828" spans="1:5" x14ac:dyDescent="0.25">
      <c r="A19828" s="1033"/>
      <c r="E19828" s="130"/>
    </row>
    <row r="19829" spans="1:5" x14ac:dyDescent="0.25">
      <c r="A19829" s="1033"/>
      <c r="E19829" s="130"/>
    </row>
    <row r="19830" spans="1:5" x14ac:dyDescent="0.25">
      <c r="A19830" s="1033"/>
      <c r="E19830" s="130"/>
    </row>
    <row r="19831" spans="1:5" x14ac:dyDescent="0.25">
      <c r="A19831" s="1033"/>
      <c r="E19831" s="130"/>
    </row>
    <row r="19832" spans="1:5" x14ac:dyDescent="0.25">
      <c r="A19832" s="1033"/>
      <c r="E19832" s="130"/>
    </row>
    <row r="19833" spans="1:5" x14ac:dyDescent="0.25">
      <c r="A19833" s="1033"/>
      <c r="E19833" s="130"/>
    </row>
    <row r="19834" spans="1:5" x14ac:dyDescent="0.25">
      <c r="A19834" s="1033"/>
      <c r="E19834" s="130"/>
    </row>
    <row r="19835" spans="1:5" x14ac:dyDescent="0.25">
      <c r="A19835" s="1033"/>
      <c r="E19835" s="130"/>
    </row>
    <row r="19836" spans="1:5" x14ac:dyDescent="0.25">
      <c r="A19836" s="1033"/>
      <c r="E19836" s="130"/>
    </row>
    <row r="19837" spans="1:5" x14ac:dyDescent="0.25">
      <c r="A19837" s="1033"/>
      <c r="E19837" s="130"/>
    </row>
    <row r="19838" spans="1:5" x14ac:dyDescent="0.25">
      <c r="A19838" s="1033"/>
      <c r="E19838" s="130"/>
    </row>
    <row r="19839" spans="1:5" x14ac:dyDescent="0.25">
      <c r="A19839" s="1033"/>
      <c r="E19839" s="130"/>
    </row>
    <row r="19840" spans="1:5" x14ac:dyDescent="0.25">
      <c r="A19840" s="1033"/>
      <c r="E19840" s="130"/>
    </row>
    <row r="19841" spans="1:5" x14ac:dyDescent="0.25">
      <c r="A19841" s="1033"/>
      <c r="E19841" s="130"/>
    </row>
    <row r="19842" spans="1:5" x14ac:dyDescent="0.25">
      <c r="A19842" s="1033"/>
      <c r="E19842" s="130"/>
    </row>
    <row r="19843" spans="1:5" x14ac:dyDescent="0.25">
      <c r="A19843" s="1033"/>
      <c r="E19843" s="130"/>
    </row>
    <row r="19844" spans="1:5" x14ac:dyDescent="0.25">
      <c r="A19844" s="1033"/>
      <c r="E19844" s="130"/>
    </row>
    <row r="19845" spans="1:5" x14ac:dyDescent="0.25">
      <c r="A19845" s="1033"/>
      <c r="E19845" s="130"/>
    </row>
    <row r="19846" spans="1:5" x14ac:dyDescent="0.25">
      <c r="A19846" s="1033"/>
      <c r="E19846" s="130"/>
    </row>
    <row r="19847" spans="1:5" x14ac:dyDescent="0.25">
      <c r="A19847" s="1033"/>
      <c r="E19847" s="130"/>
    </row>
    <row r="19848" spans="1:5" x14ac:dyDescent="0.25">
      <c r="A19848" s="1033"/>
      <c r="E19848" s="130"/>
    </row>
    <row r="19849" spans="1:5" x14ac:dyDescent="0.25">
      <c r="A19849" s="1033"/>
      <c r="E19849" s="130"/>
    </row>
    <row r="19850" spans="1:5" x14ac:dyDescent="0.25">
      <c r="A19850" s="1033"/>
      <c r="E19850" s="130"/>
    </row>
    <row r="19851" spans="1:5" x14ac:dyDescent="0.25">
      <c r="A19851" s="1033"/>
      <c r="E19851" s="130"/>
    </row>
    <row r="19852" spans="1:5" x14ac:dyDescent="0.25">
      <c r="A19852" s="1033"/>
      <c r="E19852" s="130"/>
    </row>
    <row r="19853" spans="1:5" x14ac:dyDescent="0.25">
      <c r="A19853" s="1033"/>
      <c r="E19853" s="130"/>
    </row>
    <row r="19854" spans="1:5" x14ac:dyDescent="0.25">
      <c r="A19854" s="1033"/>
      <c r="E19854" s="130"/>
    </row>
    <row r="19855" spans="1:5" x14ac:dyDescent="0.25">
      <c r="A19855" s="1033"/>
      <c r="E19855" s="130"/>
    </row>
    <row r="19856" spans="1:5" x14ac:dyDescent="0.25">
      <c r="A19856" s="1033"/>
      <c r="E19856" s="130"/>
    </row>
    <row r="19857" spans="1:5" x14ac:dyDescent="0.25">
      <c r="A19857" s="1033"/>
      <c r="E19857" s="130"/>
    </row>
    <row r="19858" spans="1:5" x14ac:dyDescent="0.25">
      <c r="A19858" s="1033"/>
      <c r="E19858" s="130"/>
    </row>
    <row r="19859" spans="1:5" x14ac:dyDescent="0.25">
      <c r="A19859" s="1033"/>
      <c r="E19859" s="130"/>
    </row>
    <row r="19860" spans="1:5" x14ac:dyDescent="0.25">
      <c r="A19860" s="1033"/>
      <c r="E19860" s="130"/>
    </row>
    <row r="19861" spans="1:5" x14ac:dyDescent="0.25">
      <c r="A19861" s="1033"/>
      <c r="E19861" s="130"/>
    </row>
    <row r="19862" spans="1:5" x14ac:dyDescent="0.25">
      <c r="A19862" s="1033"/>
      <c r="E19862" s="130"/>
    </row>
    <row r="19863" spans="1:5" x14ac:dyDescent="0.25">
      <c r="A19863" s="1033"/>
      <c r="E19863" s="130"/>
    </row>
    <row r="19864" spans="1:5" x14ac:dyDescent="0.25">
      <c r="A19864" s="1033"/>
      <c r="E19864" s="130"/>
    </row>
    <row r="19865" spans="1:5" x14ac:dyDescent="0.25">
      <c r="A19865" s="1033"/>
      <c r="E19865" s="130"/>
    </row>
    <row r="19866" spans="1:5" x14ac:dyDescent="0.25">
      <c r="A19866" s="1033"/>
      <c r="E19866" s="130"/>
    </row>
    <row r="19867" spans="1:5" x14ac:dyDescent="0.25">
      <c r="A19867" s="1033"/>
      <c r="E19867" s="130"/>
    </row>
    <row r="19868" spans="1:5" x14ac:dyDescent="0.25">
      <c r="A19868" s="1033"/>
      <c r="E19868" s="130"/>
    </row>
    <row r="19869" spans="1:5" x14ac:dyDescent="0.25">
      <c r="A19869" s="1033"/>
      <c r="E19869" s="130"/>
    </row>
    <row r="19870" spans="1:5" x14ac:dyDescent="0.25">
      <c r="A19870" s="1033"/>
      <c r="E19870" s="130"/>
    </row>
    <row r="19871" spans="1:5" x14ac:dyDescent="0.25">
      <c r="A19871" s="1033"/>
      <c r="E19871" s="130"/>
    </row>
    <row r="19872" spans="1:5" x14ac:dyDescent="0.25">
      <c r="A19872" s="1033"/>
      <c r="E19872" s="130"/>
    </row>
    <row r="19873" spans="1:5" x14ac:dyDescent="0.25">
      <c r="A19873" s="1033"/>
      <c r="E19873" s="130"/>
    </row>
    <row r="19874" spans="1:5" x14ac:dyDescent="0.25">
      <c r="A19874" s="1033"/>
      <c r="E19874" s="130"/>
    </row>
    <row r="19875" spans="1:5" x14ac:dyDescent="0.25">
      <c r="A19875" s="1033"/>
      <c r="E19875" s="130"/>
    </row>
    <row r="19876" spans="1:5" x14ac:dyDescent="0.25">
      <c r="A19876" s="1033"/>
      <c r="E19876" s="130"/>
    </row>
    <row r="19877" spans="1:5" x14ac:dyDescent="0.25">
      <c r="A19877" s="1033"/>
      <c r="E19877" s="130"/>
    </row>
    <row r="19878" spans="1:5" x14ac:dyDescent="0.25">
      <c r="A19878" s="1033"/>
      <c r="E19878" s="130"/>
    </row>
    <row r="19879" spans="1:5" x14ac:dyDescent="0.25">
      <c r="A19879" s="1033"/>
      <c r="E19879" s="130"/>
    </row>
    <row r="19880" spans="1:5" x14ac:dyDescent="0.25">
      <c r="A19880" s="1033"/>
      <c r="E19880" s="130"/>
    </row>
    <row r="19881" spans="1:5" x14ac:dyDescent="0.25">
      <c r="A19881" s="1033"/>
      <c r="E19881" s="130"/>
    </row>
    <row r="19882" spans="1:5" x14ac:dyDescent="0.25">
      <c r="A19882" s="1033"/>
      <c r="E19882" s="130"/>
    </row>
    <row r="19883" spans="1:5" x14ac:dyDescent="0.25">
      <c r="A19883" s="1033"/>
      <c r="E19883" s="130"/>
    </row>
    <row r="19884" spans="1:5" x14ac:dyDescent="0.25">
      <c r="A19884" s="1033"/>
      <c r="E19884" s="130"/>
    </row>
    <row r="19885" spans="1:5" x14ac:dyDescent="0.25">
      <c r="A19885" s="1033"/>
      <c r="E19885" s="130"/>
    </row>
    <row r="19886" spans="1:5" x14ac:dyDescent="0.25">
      <c r="A19886" s="1033"/>
      <c r="E19886" s="130"/>
    </row>
    <row r="19887" spans="1:5" x14ac:dyDescent="0.25">
      <c r="A19887" s="1033"/>
      <c r="E19887" s="130"/>
    </row>
    <row r="19888" spans="1:5" x14ac:dyDescent="0.25">
      <c r="A19888" s="1033"/>
      <c r="E19888" s="130"/>
    </row>
    <row r="19889" spans="1:5" x14ac:dyDescent="0.25">
      <c r="A19889" s="1033"/>
      <c r="E19889" s="130"/>
    </row>
    <row r="19890" spans="1:5" x14ac:dyDescent="0.25">
      <c r="A19890" s="1033"/>
      <c r="E19890" s="130"/>
    </row>
    <row r="19891" spans="1:5" x14ac:dyDescent="0.25">
      <c r="A19891" s="1033"/>
      <c r="E19891" s="130"/>
    </row>
    <row r="19892" spans="1:5" x14ac:dyDescent="0.25">
      <c r="A19892" s="1033"/>
      <c r="E19892" s="130"/>
    </row>
    <row r="19893" spans="1:5" x14ac:dyDescent="0.25">
      <c r="A19893" s="1033"/>
      <c r="E19893" s="130"/>
    </row>
    <row r="19894" spans="1:5" x14ac:dyDescent="0.25">
      <c r="A19894" s="1033"/>
      <c r="E19894" s="130"/>
    </row>
    <row r="19895" spans="1:5" x14ac:dyDescent="0.25">
      <c r="A19895" s="1033"/>
      <c r="E19895" s="130"/>
    </row>
    <row r="19896" spans="1:5" x14ac:dyDescent="0.25">
      <c r="A19896" s="1033"/>
      <c r="E19896" s="130"/>
    </row>
    <row r="19897" spans="1:5" x14ac:dyDescent="0.25">
      <c r="A19897" s="1033"/>
      <c r="E19897" s="130"/>
    </row>
    <row r="19898" spans="1:5" x14ac:dyDescent="0.25">
      <c r="A19898" s="1033"/>
      <c r="E19898" s="130"/>
    </row>
    <row r="19899" spans="1:5" x14ac:dyDescent="0.25">
      <c r="A19899" s="1033"/>
      <c r="E19899" s="130"/>
    </row>
    <row r="19900" spans="1:5" x14ac:dyDescent="0.25">
      <c r="A19900" s="1033"/>
      <c r="E19900" s="130"/>
    </row>
    <row r="19901" spans="1:5" x14ac:dyDescent="0.25">
      <c r="A19901" s="1033"/>
      <c r="E19901" s="130"/>
    </row>
    <row r="19902" spans="1:5" x14ac:dyDescent="0.25">
      <c r="A19902" s="1033"/>
      <c r="E19902" s="130"/>
    </row>
    <row r="19903" spans="1:5" x14ac:dyDescent="0.25">
      <c r="A19903" s="1033"/>
      <c r="E19903" s="130"/>
    </row>
    <row r="19904" spans="1:5" x14ac:dyDescent="0.25">
      <c r="A19904" s="1033"/>
      <c r="E19904" s="130"/>
    </row>
    <row r="19905" spans="1:5" x14ac:dyDescent="0.25">
      <c r="A19905" s="1033"/>
      <c r="E19905" s="130"/>
    </row>
    <row r="19906" spans="1:5" x14ac:dyDescent="0.25">
      <c r="A19906" s="1033"/>
      <c r="E19906" s="130"/>
    </row>
    <row r="19907" spans="1:5" x14ac:dyDescent="0.25">
      <c r="A19907" s="1033"/>
      <c r="E19907" s="130"/>
    </row>
    <row r="19908" spans="1:5" x14ac:dyDescent="0.25">
      <c r="A19908" s="1033"/>
      <c r="E19908" s="130"/>
    </row>
    <row r="19909" spans="1:5" x14ac:dyDescent="0.25">
      <c r="A19909" s="1033"/>
      <c r="E19909" s="130"/>
    </row>
    <row r="19910" spans="1:5" x14ac:dyDescent="0.25">
      <c r="A19910" s="1033"/>
      <c r="E19910" s="130"/>
    </row>
    <row r="19911" spans="1:5" x14ac:dyDescent="0.25">
      <c r="A19911" s="1033"/>
      <c r="E19911" s="130"/>
    </row>
    <row r="19912" spans="1:5" x14ac:dyDescent="0.25">
      <c r="A19912" s="1033"/>
      <c r="E19912" s="130"/>
    </row>
    <row r="19913" spans="1:5" x14ac:dyDescent="0.25">
      <c r="A19913" s="1033"/>
      <c r="E19913" s="130"/>
    </row>
    <row r="19914" spans="1:5" x14ac:dyDescent="0.25">
      <c r="A19914" s="1033"/>
      <c r="E19914" s="130"/>
    </row>
    <row r="19915" spans="1:5" x14ac:dyDescent="0.25">
      <c r="A19915" s="1033"/>
      <c r="E19915" s="130"/>
    </row>
    <row r="19916" spans="1:5" x14ac:dyDescent="0.25">
      <c r="A19916" s="1033"/>
      <c r="E19916" s="130"/>
    </row>
    <row r="19917" spans="1:5" x14ac:dyDescent="0.25">
      <c r="A19917" s="1033"/>
      <c r="E19917" s="130"/>
    </row>
    <row r="19918" spans="1:5" x14ac:dyDescent="0.25">
      <c r="A19918" s="1033"/>
      <c r="E19918" s="130"/>
    </row>
    <row r="19919" spans="1:5" x14ac:dyDescent="0.25">
      <c r="A19919" s="1033"/>
      <c r="E19919" s="130"/>
    </row>
    <row r="19920" spans="1:5" x14ac:dyDescent="0.25">
      <c r="A19920" s="1033"/>
      <c r="E19920" s="130"/>
    </row>
    <row r="19921" spans="1:5" x14ac:dyDescent="0.25">
      <c r="A19921" s="1033"/>
      <c r="E19921" s="130"/>
    </row>
    <row r="19922" spans="1:5" x14ac:dyDescent="0.25">
      <c r="A19922" s="1033"/>
      <c r="E19922" s="130"/>
    </row>
    <row r="19923" spans="1:5" x14ac:dyDescent="0.25">
      <c r="A19923" s="1033"/>
      <c r="E19923" s="130"/>
    </row>
    <row r="19924" spans="1:5" x14ac:dyDescent="0.25">
      <c r="A19924" s="1033"/>
      <c r="E19924" s="130"/>
    </row>
    <row r="19925" spans="1:5" x14ac:dyDescent="0.25">
      <c r="A19925" s="1033"/>
      <c r="E19925" s="130"/>
    </row>
    <row r="19926" spans="1:5" x14ac:dyDescent="0.25">
      <c r="A19926" s="1033"/>
      <c r="E19926" s="130"/>
    </row>
    <row r="19927" spans="1:5" x14ac:dyDescent="0.25">
      <c r="A19927" s="1033"/>
      <c r="E19927" s="130"/>
    </row>
    <row r="19928" spans="1:5" x14ac:dyDescent="0.25">
      <c r="A19928" s="1033"/>
      <c r="E19928" s="130"/>
    </row>
    <row r="19929" spans="1:5" x14ac:dyDescent="0.25">
      <c r="A19929" s="1033"/>
      <c r="E19929" s="130"/>
    </row>
    <row r="19930" spans="1:5" x14ac:dyDescent="0.25">
      <c r="A19930" s="1033"/>
      <c r="E19930" s="130"/>
    </row>
    <row r="19931" spans="1:5" x14ac:dyDescent="0.25">
      <c r="A19931" s="1033"/>
      <c r="E19931" s="130"/>
    </row>
    <row r="19932" spans="1:5" x14ac:dyDescent="0.25">
      <c r="A19932" s="1033"/>
      <c r="E19932" s="130"/>
    </row>
    <row r="19933" spans="1:5" x14ac:dyDescent="0.25">
      <c r="A19933" s="1033"/>
      <c r="E19933" s="130"/>
    </row>
    <row r="19934" spans="1:5" x14ac:dyDescent="0.25">
      <c r="A19934" s="1033"/>
      <c r="E19934" s="130"/>
    </row>
    <row r="19935" spans="1:5" x14ac:dyDescent="0.25">
      <c r="A19935" s="1033"/>
      <c r="E19935" s="130"/>
    </row>
    <row r="19936" spans="1:5" x14ac:dyDescent="0.25">
      <c r="A19936" s="1033"/>
      <c r="E19936" s="130"/>
    </row>
    <row r="19937" spans="1:5" x14ac:dyDescent="0.25">
      <c r="A19937" s="1033"/>
      <c r="E19937" s="130"/>
    </row>
    <row r="19938" spans="1:5" x14ac:dyDescent="0.25">
      <c r="A19938" s="1033"/>
      <c r="E19938" s="130"/>
    </row>
    <row r="19939" spans="1:5" x14ac:dyDescent="0.25">
      <c r="A19939" s="1033"/>
      <c r="E19939" s="130"/>
    </row>
    <row r="19940" spans="1:5" x14ac:dyDescent="0.25">
      <c r="A19940" s="1033"/>
      <c r="E19940" s="130"/>
    </row>
    <row r="19941" spans="1:5" x14ac:dyDescent="0.25">
      <c r="A19941" s="1033"/>
      <c r="E19941" s="130"/>
    </row>
    <row r="19942" spans="1:5" x14ac:dyDescent="0.25">
      <c r="A19942" s="1033"/>
      <c r="E19942" s="130"/>
    </row>
    <row r="19943" spans="1:5" x14ac:dyDescent="0.25">
      <c r="A19943" s="1033"/>
      <c r="E19943" s="130"/>
    </row>
    <row r="19944" spans="1:5" x14ac:dyDescent="0.25">
      <c r="A19944" s="1033"/>
      <c r="E19944" s="130"/>
    </row>
    <row r="19945" spans="1:5" x14ac:dyDescent="0.25">
      <c r="A19945" s="1033"/>
      <c r="E19945" s="130"/>
    </row>
    <row r="19946" spans="1:5" x14ac:dyDescent="0.25">
      <c r="A19946" s="1033"/>
      <c r="E19946" s="130"/>
    </row>
    <row r="19947" spans="1:5" x14ac:dyDescent="0.25">
      <c r="A19947" s="1033"/>
      <c r="E19947" s="130"/>
    </row>
    <row r="19948" spans="1:5" x14ac:dyDescent="0.25">
      <c r="A19948" s="1033"/>
      <c r="E19948" s="130"/>
    </row>
    <row r="19949" spans="1:5" x14ac:dyDescent="0.25">
      <c r="A19949" s="1033"/>
      <c r="E19949" s="130"/>
    </row>
    <row r="19950" spans="1:5" x14ac:dyDescent="0.25">
      <c r="A19950" s="1033"/>
      <c r="E19950" s="130"/>
    </row>
    <row r="19951" spans="1:5" x14ac:dyDescent="0.25">
      <c r="A19951" s="1033"/>
      <c r="E19951" s="130"/>
    </row>
    <row r="19952" spans="1:5" x14ac:dyDescent="0.25">
      <c r="A19952" s="1033"/>
      <c r="E19952" s="130"/>
    </row>
    <row r="19953" spans="1:5" x14ac:dyDescent="0.25">
      <c r="A19953" s="1033"/>
      <c r="E19953" s="130"/>
    </row>
    <row r="19954" spans="1:5" x14ac:dyDescent="0.25">
      <c r="A19954" s="1033"/>
      <c r="E19954" s="130"/>
    </row>
    <row r="19955" spans="1:5" x14ac:dyDescent="0.25">
      <c r="A19955" s="1033"/>
      <c r="E19955" s="130"/>
    </row>
    <row r="19956" spans="1:5" x14ac:dyDescent="0.25">
      <c r="A19956" s="1033"/>
      <c r="E19956" s="130"/>
    </row>
    <row r="19957" spans="1:5" x14ac:dyDescent="0.25">
      <c r="A19957" s="1033"/>
      <c r="E19957" s="130"/>
    </row>
    <row r="19958" spans="1:5" x14ac:dyDescent="0.25">
      <c r="A19958" s="1033"/>
      <c r="E19958" s="130"/>
    </row>
    <row r="19959" spans="1:5" x14ac:dyDescent="0.25">
      <c r="A19959" s="1033"/>
      <c r="E19959" s="130"/>
    </row>
    <row r="19960" spans="1:5" x14ac:dyDescent="0.25">
      <c r="A19960" s="1033"/>
      <c r="E19960" s="130"/>
    </row>
    <row r="19961" spans="1:5" x14ac:dyDescent="0.25">
      <c r="A19961" s="1033"/>
      <c r="E19961" s="130"/>
    </row>
    <row r="19962" spans="1:5" x14ac:dyDescent="0.25">
      <c r="A19962" s="1033"/>
      <c r="E19962" s="130"/>
    </row>
    <row r="19963" spans="1:5" x14ac:dyDescent="0.25">
      <c r="A19963" s="1033"/>
      <c r="E19963" s="130"/>
    </row>
    <row r="19964" spans="1:5" x14ac:dyDescent="0.25">
      <c r="A19964" s="1033"/>
      <c r="E19964" s="130"/>
    </row>
    <row r="19965" spans="1:5" x14ac:dyDescent="0.25">
      <c r="A19965" s="1033"/>
      <c r="E19965" s="130"/>
    </row>
    <row r="19966" spans="1:5" x14ac:dyDescent="0.25">
      <c r="A19966" s="1033"/>
      <c r="E19966" s="130"/>
    </row>
    <row r="19967" spans="1:5" x14ac:dyDescent="0.25">
      <c r="A19967" s="1033"/>
      <c r="E19967" s="130"/>
    </row>
    <row r="19968" spans="1:5" x14ac:dyDescent="0.25">
      <c r="A19968" s="1033"/>
      <c r="E19968" s="130"/>
    </row>
    <row r="19969" spans="1:5" x14ac:dyDescent="0.25">
      <c r="A19969" s="1033"/>
      <c r="E19969" s="130"/>
    </row>
    <row r="19970" spans="1:5" x14ac:dyDescent="0.25">
      <c r="A19970" s="1033"/>
      <c r="E19970" s="130"/>
    </row>
    <row r="19971" spans="1:5" x14ac:dyDescent="0.25">
      <c r="A19971" s="1033"/>
      <c r="E19971" s="130"/>
    </row>
    <row r="19972" spans="1:5" x14ac:dyDescent="0.25">
      <c r="A19972" s="1033"/>
      <c r="E19972" s="130"/>
    </row>
    <row r="19973" spans="1:5" x14ac:dyDescent="0.25">
      <c r="A19973" s="1033"/>
      <c r="E19973" s="130"/>
    </row>
    <row r="19974" spans="1:5" x14ac:dyDescent="0.25">
      <c r="A19974" s="1033"/>
      <c r="E19974" s="130"/>
    </row>
    <row r="19975" spans="1:5" x14ac:dyDescent="0.25">
      <c r="A19975" s="1033"/>
      <c r="E19975" s="130"/>
    </row>
    <row r="19976" spans="1:5" x14ac:dyDescent="0.25">
      <c r="A19976" s="1033"/>
      <c r="E19976" s="130"/>
    </row>
    <row r="19977" spans="1:5" x14ac:dyDescent="0.25">
      <c r="A19977" s="1033"/>
      <c r="E19977" s="130"/>
    </row>
    <row r="19978" spans="1:5" x14ac:dyDescent="0.25">
      <c r="A19978" s="1033"/>
      <c r="E19978" s="130"/>
    </row>
    <row r="19979" spans="1:5" x14ac:dyDescent="0.25">
      <c r="A19979" s="1033"/>
      <c r="E19979" s="130"/>
    </row>
    <row r="19980" spans="1:5" x14ac:dyDescent="0.25">
      <c r="A19980" s="1033"/>
      <c r="E19980" s="130"/>
    </row>
    <row r="19981" spans="1:5" x14ac:dyDescent="0.25">
      <c r="A19981" s="1033"/>
      <c r="E19981" s="130"/>
    </row>
    <row r="19982" spans="1:5" x14ac:dyDescent="0.25">
      <c r="A19982" s="1033"/>
      <c r="E19982" s="130"/>
    </row>
    <row r="19983" spans="1:5" x14ac:dyDescent="0.25">
      <c r="A19983" s="1033"/>
      <c r="E19983" s="130"/>
    </row>
    <row r="19984" spans="1:5" x14ac:dyDescent="0.25">
      <c r="A19984" s="1033"/>
      <c r="E19984" s="130"/>
    </row>
    <row r="19985" spans="1:5" x14ac:dyDescent="0.25">
      <c r="A19985" s="1033"/>
      <c r="E19985" s="130"/>
    </row>
    <row r="19986" spans="1:5" x14ac:dyDescent="0.25">
      <c r="A19986" s="1033"/>
      <c r="E19986" s="130"/>
    </row>
    <row r="19987" spans="1:5" x14ac:dyDescent="0.25">
      <c r="A19987" s="1033"/>
      <c r="E19987" s="130"/>
    </row>
    <row r="19988" spans="1:5" x14ac:dyDescent="0.25">
      <c r="A19988" s="1033"/>
      <c r="E19988" s="130"/>
    </row>
    <row r="19989" spans="1:5" x14ac:dyDescent="0.25">
      <c r="A19989" s="1033"/>
      <c r="E19989" s="130"/>
    </row>
    <row r="19990" spans="1:5" x14ac:dyDescent="0.25">
      <c r="A19990" s="1033"/>
      <c r="E19990" s="130"/>
    </row>
    <row r="19991" spans="1:5" x14ac:dyDescent="0.25">
      <c r="A19991" s="1033"/>
      <c r="E19991" s="130"/>
    </row>
    <row r="19992" spans="1:5" x14ac:dyDescent="0.25">
      <c r="A19992" s="1033"/>
      <c r="E19992" s="130"/>
    </row>
    <row r="19993" spans="1:5" x14ac:dyDescent="0.25">
      <c r="A19993" s="1033"/>
      <c r="E19993" s="130"/>
    </row>
    <row r="19994" spans="1:5" x14ac:dyDescent="0.25">
      <c r="A19994" s="1033"/>
      <c r="E19994" s="130"/>
    </row>
    <row r="19995" spans="1:5" x14ac:dyDescent="0.25">
      <c r="A19995" s="1033"/>
      <c r="E19995" s="130"/>
    </row>
    <row r="19996" spans="1:5" x14ac:dyDescent="0.25">
      <c r="A19996" s="1033"/>
      <c r="E19996" s="130"/>
    </row>
    <row r="19997" spans="1:5" x14ac:dyDescent="0.25">
      <c r="A19997" s="1033"/>
      <c r="E19997" s="130"/>
    </row>
    <row r="19998" spans="1:5" x14ac:dyDescent="0.25">
      <c r="A19998" s="1033"/>
      <c r="E19998" s="130"/>
    </row>
    <row r="19999" spans="1:5" x14ac:dyDescent="0.25">
      <c r="A19999" s="1033"/>
      <c r="E19999" s="130"/>
    </row>
    <row r="20000" spans="1:5" x14ac:dyDescent="0.25">
      <c r="A20000" s="1033"/>
      <c r="E20000" s="130"/>
    </row>
    <row r="20001" spans="1:5" x14ac:dyDescent="0.25">
      <c r="A20001" s="1033"/>
      <c r="E20001" s="130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2025 États Financiers à L`écran</dc:title>
  <dc:subject>BMW OnScreen</dc:subject>
  <dc:creator>GODDINJA</dc:creator>
  <cp:lastModifiedBy>User</cp:lastModifiedBy>
  <cp:lastPrinted>2021-11-17T15:07:54Z</cp:lastPrinted>
  <dcterms:created xsi:type="dcterms:W3CDTF">2009-01-02T13:36:28Z</dcterms:created>
  <dcterms:modified xsi:type="dcterms:W3CDTF">2025-02-11T21:13:06Z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