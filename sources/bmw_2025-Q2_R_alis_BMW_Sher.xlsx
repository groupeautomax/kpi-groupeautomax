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5 Réalisé BMW Sh\"/>
    </mc:Choice>
  </mc:AlternateContent>
  <xr:revisionPtr revIDLastSave="0" documentId="13_ncr:1_{B4964504-CBBD-42C9-999B-F4EC1A8E4289}" xr6:coauthVersionLast="47" xr6:coauthVersionMax="47" xr10:uidLastSave="{00000000-0000-0000-0000-000000000000}"/>
  <bookViews>
    <workbookView xWindow="28680" yWindow="-120" windowWidth="29040" windowHeight="15720" activeTab="1" xr2:uid="{508BF4A0-C9FC-49F5-A5A9-A2907877ABE5}"/>
  </bookViews>
  <sheets>
    <sheet name="Paramètre" sheetId="2" r:id="rId1"/>
    <sheet name="Conso" sheetId="1" r:id="rId2"/>
    <sheet name="START" sheetId="3" r:id="rId3"/>
    <sheet name="Mois 1" sheetId="15" r:id="rId4"/>
    <sheet name="Mois 2" sheetId="5" r:id="rId5"/>
    <sheet name="Mois 3" sheetId="6" r:id="rId6"/>
    <sheet name="END" sheetId="4" r:id="rId7"/>
  </sheets>
  <definedNames>
    <definedName name="_Dates_Conc">#REF!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localSheetId="4" hidden="1">{"Page1",#N/A,FALSE,"CompCo";"Page2",#N/A,FALSE,"CompCo"}</definedName>
    <definedName name="Compco1" localSheetId="5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localSheetId="4" hidden="1">{"Page1",#N/A,FALSE,"CompCo";"Page2",#N/A,FALSE,"CompCo"}</definedName>
    <definedName name="Compco2" localSheetId="5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localSheetId="3" hidden="1">OFFSET(#REF!,5,0,COUNTA(#REF!)-COUNTA(#REF!),1)</definedName>
    <definedName name="DateRangePr" hidden="1">OFFSET(#REF!,5,0,COUNTA(#REF!)-COUNTA(#REF!),1)</definedName>
    <definedName name="DateRangePrice" localSheetId="3" hidden="1">OFFSET(#REF!,5,0,COUNTA(#REF!)-COUNTA(#REF!),1)</definedName>
    <definedName name="DateRangePrice" hidden="1">OFFSET(#REF!,5,0,COUNTA(#REF!)-COUNTA(#REF!),1)</definedName>
    <definedName name="DateRangePrice1" localSheetId="3" hidden="1">OFFSET(#REF!,5,0,COUNTA(#REF!)-COUNTA(#REF!),1)</definedName>
    <definedName name="DateRangePrice1" hidden="1">OFFSET(#REF!,5,0,COUNTA(#REF!)-COUNTA(#REF!),1)</definedName>
    <definedName name="DateRangePrice2" localSheetId="3" hidden="1">OFFSET(#REF!,5,0,COUNTA(#REF!)-COUNTA(#REF!),1)</definedName>
    <definedName name="DateRangePrice2" hidden="1">OFFSET(#REF!,5,0,COUNTA(#REF!)-COUNTA(#REF!),1)</definedName>
    <definedName name="ERT" localSheetId="3" hidden="1">{"execsum",#N/A,FALSE,"ExecSum";"finstatement",#N/A,FALSE,"Fin_St"}</definedName>
    <definedName name="ERT" localSheetId="4" hidden="1">{"execsum",#N/A,FALSE,"ExecSum";"finstatement",#N/A,FALSE,"Fin_St"}</definedName>
    <definedName name="ERT" localSheetId="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localSheetId="4" hidden="1">{"finana",#N/A,FALSE,"Fin"}</definedName>
    <definedName name="kjjkghkhj" localSheetId="5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3" hidden="1">OFFSET(#REF!,5,0,COUNTA(#REF!)-COUNTA(#REF!),1)</definedName>
    <definedName name="PriceRange" hidden="1">OFFSET(#REF!,5,0,COUNTA(#REF!)-COUNTA(#REF!),1)</definedName>
    <definedName name="PriceRange2" localSheetId="3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localSheetId="4" hidden="1">{"execsum",#N/A,FALSE,"ExecSum";"finstatement",#N/A,FALSE,"Fin_St"}</definedName>
    <definedName name="test" localSheetId="5" hidden="1">{"execsum",#N/A,FALSE,"ExecSum";"finstatement",#N/A,FALSE,"Fin_St"}</definedName>
    <definedName name="test" hidden="1">{"execsum",#N/A,FALSE,"ExecSum";"finstatement",#N/A,FALSE,"Fin_St"}</definedName>
    <definedName name="test21" localSheetId="3" hidden="1">OFFSET(#REF!,5,0,COUNTA(#REF!)-COUNTA(#REF!),1)</definedName>
    <definedName name="test21" hidden="1">OFFSET(#REF!,5,0,COUNTA(#REF!)-COUNTA(#REF!),1)</definedName>
    <definedName name="Ticker" hidden="1">#N/A</definedName>
    <definedName name="Titre">#REF!</definedName>
    <definedName name="value" localSheetId="3" hidden="1">OFFSET(#REF!,5,0,COUNTA(#REF!)-COUNTA(#REF!),1)</definedName>
    <definedName name="value" hidden="1">OFFSET(#REF!,5,0,COUNTA(#REF!)-COUNTA(#REF!),1)</definedName>
    <definedName name="value2" localSheetId="3" hidden="1">OFFSET(#REF!,5,0,COUNTA(#REF!)-COUNTA(#REF!),1)</definedName>
    <definedName name="value2" hidden="1">OFFSET(#REF!,5,0,COUNTA(#REF!)-COUNTA(#REF!),1)</definedName>
    <definedName name="wrn.amendement." localSheetId="3" hidden="1">{#N/A,#N/A,FALSE,"amendement"}</definedName>
    <definedName name="wrn.amendement." localSheetId="4" hidden="1">{#N/A,#N/A,FALSE,"amendement"}</definedName>
    <definedName name="wrn.amendement." localSheetId="5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localSheetId="4" hidden="1">{#N/A,#N/A,FALSE,"amendement"}</definedName>
    <definedName name="wrn.amendement.." localSheetId="5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localSheetId="4" hidden="1">{"Page1",#N/A,FALSE,"CompCo";"Page2",#N/A,FALSE,"CompCo"}</definedName>
    <definedName name="wrn.COMPCO." localSheetId="5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localSheetId="4" hidden="1">{"finana",#N/A,FALSE,"Fin"}</definedName>
    <definedName name="wrn.Finanalysis." localSheetId="5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">Conso!$C$1:$S$353,Conso!$V$402:$AO$498</definedName>
    <definedName name="_xlnm.Print_Area" localSheetId="3">'Mois 1'!#REF!,'Mois 1'!#REF!,'Mois 1'!#REF!,'Mois 1'!#REF!,'Mois 1'!#REF!,'Mois 1'!#REF!</definedName>
    <definedName name="_xlnm.Print_Area" localSheetId="4">'Mois 2'!#REF!,'Mois 2'!#REF!,'Mois 2'!#REF!,'Mois 2'!#REF!,'Mois 2'!#REF!,'Mois 2'!#REF!</definedName>
    <definedName name="_xlnm.Print_Area" localSheetId="5">'Mois 3'!$C$1:$T$698,'Mois 3'!$U$402:$AO$498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08" i="1" l="1"/>
  <c r="V314" i="1"/>
  <c r="S97" i="1"/>
  <c r="R97" i="1"/>
  <c r="N97" i="1"/>
  <c r="M97" i="1"/>
  <c r="A499" i="6" l="1"/>
  <c r="A498" i="6"/>
  <c r="AO497" i="6"/>
  <c r="A497" i="6"/>
  <c r="AN496" i="6"/>
  <c r="AO496" i="6"/>
  <c r="A496" i="6"/>
  <c r="AO495" i="6"/>
  <c r="AN495" i="6"/>
  <c r="A495" i="6"/>
  <c r="AN494" i="6"/>
  <c r="AO494" i="6"/>
  <c r="AH494" i="6"/>
  <c r="AI494" i="6"/>
  <c r="A494" i="6"/>
  <c r="AO493" i="6"/>
  <c r="AI493" i="6"/>
  <c r="A493" i="6"/>
  <c r="AN492" i="6"/>
  <c r="AO492" i="6"/>
  <c r="AH492" i="6"/>
  <c r="AI492" i="6"/>
  <c r="A492" i="6"/>
  <c r="AN491" i="6"/>
  <c r="AO491" i="6"/>
  <c r="AH491" i="6"/>
  <c r="AI491" i="6"/>
  <c r="A491" i="6"/>
  <c r="A490" i="6"/>
  <c r="A489" i="6"/>
  <c r="A488" i="6"/>
  <c r="A487" i="6"/>
  <c r="A486" i="6"/>
  <c r="A484" i="6"/>
  <c r="A483" i="6"/>
  <c r="AO482" i="6"/>
  <c r="AN482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O467" i="6"/>
  <c r="AN467" i="6"/>
  <c r="AH467" i="6"/>
  <c r="A467" i="6"/>
  <c r="A466" i="6"/>
  <c r="A465" i="6"/>
  <c r="A464" i="6"/>
  <c r="A463" i="6"/>
  <c r="A462" i="6"/>
  <c r="A461" i="6"/>
  <c r="A460" i="6"/>
  <c r="AH460" i="6" s="1"/>
  <c r="A459" i="6"/>
  <c r="AQ458" i="6"/>
  <c r="AO458" i="6"/>
  <c r="AN458" i="6"/>
  <c r="A458" i="6"/>
  <c r="AH457" i="6"/>
  <c r="AI457" i="6"/>
  <c r="A457" i="6"/>
  <c r="AN456" i="6"/>
  <c r="A456" i="6"/>
  <c r="AO456" i="6" s="1"/>
  <c r="AO455" i="6"/>
  <c r="AN455" i="6"/>
  <c r="A455" i="6"/>
  <c r="AH454" i="6"/>
  <c r="AI454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Q439" i="6"/>
  <c r="A439" i="6"/>
  <c r="AQ438" i="6"/>
  <c r="A438" i="6"/>
  <c r="A437" i="6"/>
  <c r="AQ436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I420" i="6"/>
  <c r="AH420" i="6"/>
  <c r="AN420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R407" i="6"/>
  <c r="AR502" i="6" s="1"/>
  <c r="A407" i="6"/>
  <c r="A406" i="6"/>
  <c r="A405" i="6"/>
  <c r="A404" i="6"/>
  <c r="S394" i="6"/>
  <c r="A394" i="6"/>
  <c r="S393" i="6"/>
  <c r="A393" i="6"/>
  <c r="S392" i="6"/>
  <c r="A392" i="6"/>
  <c r="S391" i="6"/>
  <c r="A391" i="6"/>
  <c r="A390" i="6"/>
  <c r="S389" i="6"/>
  <c r="A389" i="6"/>
  <c r="S388" i="6"/>
  <c r="A388" i="6"/>
  <c r="A387" i="6"/>
  <c r="S386" i="6"/>
  <c r="A386" i="6"/>
  <c r="S385" i="6"/>
  <c r="A385" i="6"/>
  <c r="S384" i="6"/>
  <c r="A384" i="6"/>
  <c r="A383" i="6"/>
  <c r="S382" i="6"/>
  <c r="A382" i="6"/>
  <c r="S381" i="6"/>
  <c r="A381" i="6"/>
  <c r="S380" i="6"/>
  <c r="A380" i="6"/>
  <c r="A379" i="6"/>
  <c r="A378" i="6"/>
  <c r="A377" i="6"/>
  <c r="S376" i="6"/>
  <c r="A376" i="6"/>
  <c r="S375" i="6"/>
  <c r="A375" i="6"/>
  <c r="A374" i="6"/>
  <c r="S374" i="6" s="1"/>
  <c r="S373" i="6"/>
  <c r="A373" i="6"/>
  <c r="S372" i="6"/>
  <c r="A372" i="6"/>
  <c r="S371" i="6"/>
  <c r="A371" i="6"/>
  <c r="S370" i="6"/>
  <c r="A370" i="6"/>
  <c r="A369" i="6"/>
  <c r="A368" i="6"/>
  <c r="S368" i="6" s="1"/>
  <c r="S367" i="6"/>
  <c r="A367" i="6"/>
  <c r="S366" i="6"/>
  <c r="A366" i="6"/>
  <c r="S365" i="6"/>
  <c r="L377" i="6"/>
  <c r="A365" i="6"/>
  <c r="A364" i="6"/>
  <c r="A363" i="6"/>
  <c r="A362" i="6"/>
  <c r="A361" i="6"/>
  <c r="R360" i="6"/>
  <c r="L362" i="6"/>
  <c r="K360" i="6"/>
  <c r="D362" i="6"/>
  <c r="E362" i="6" s="1"/>
  <c r="A360" i="6"/>
  <c r="F362" i="6" s="1"/>
  <c r="A359" i="6"/>
  <c r="S348" i="6"/>
  <c r="N348" i="6"/>
  <c r="A348" i="6"/>
  <c r="S347" i="6"/>
  <c r="N347" i="6"/>
  <c r="A347" i="6"/>
  <c r="A346" i="6"/>
  <c r="N345" i="6"/>
  <c r="S345" i="6"/>
  <c r="A345" i="6"/>
  <c r="S344" i="6"/>
  <c r="N344" i="6"/>
  <c r="A344" i="6"/>
  <c r="S343" i="6"/>
  <c r="A343" i="6"/>
  <c r="S342" i="6"/>
  <c r="A342" i="6"/>
  <c r="S341" i="6"/>
  <c r="A341" i="6"/>
  <c r="N341" i="6" s="1"/>
  <c r="A340" i="6"/>
  <c r="S339" i="6"/>
  <c r="N339" i="6"/>
  <c r="A339" i="6"/>
  <c r="A338" i="6"/>
  <c r="S338" i="6" s="1"/>
  <c r="S337" i="6"/>
  <c r="N337" i="6"/>
  <c r="A337" i="6"/>
  <c r="A336" i="6"/>
  <c r="S336" i="6" s="1"/>
  <c r="S335" i="6"/>
  <c r="A335" i="6"/>
  <c r="A334" i="6"/>
  <c r="S333" i="6"/>
  <c r="A333" i="6"/>
  <c r="N333" i="6" s="1"/>
  <c r="A332" i="6"/>
  <c r="N331" i="6"/>
  <c r="S331" i="6"/>
  <c r="A331" i="6"/>
  <c r="A330" i="6"/>
  <c r="A329" i="6"/>
  <c r="A328" i="6"/>
  <c r="A327" i="6"/>
  <c r="S326" i="6"/>
  <c r="A326" i="6"/>
  <c r="N326" i="6" s="1"/>
  <c r="A325" i="6"/>
  <c r="A324" i="6"/>
  <c r="S324" i="6" s="1"/>
  <c r="S323" i="6"/>
  <c r="A323" i="6"/>
  <c r="S322" i="6"/>
  <c r="A322" i="6"/>
  <c r="S321" i="6"/>
  <c r="N321" i="6"/>
  <c r="A321" i="6"/>
  <c r="S320" i="6"/>
  <c r="N320" i="6"/>
  <c r="A320" i="6"/>
  <c r="S319" i="6"/>
  <c r="N319" i="6"/>
  <c r="A319" i="6"/>
  <c r="L330" i="6"/>
  <c r="A318" i="6"/>
  <c r="A317" i="6"/>
  <c r="A316" i="6"/>
  <c r="A315" i="6"/>
  <c r="A314" i="6"/>
  <c r="A313" i="6"/>
  <c r="K312" i="6"/>
  <c r="E312" i="6"/>
  <c r="A312" i="6"/>
  <c r="A311" i="6"/>
  <c r="A310" i="6"/>
  <c r="A309" i="6"/>
  <c r="A308" i="6"/>
  <c r="S307" i="6"/>
  <c r="E307" i="6"/>
  <c r="A307" i="6"/>
  <c r="A306" i="6"/>
  <c r="A305" i="6"/>
  <c r="A304" i="6"/>
  <c r="K303" i="6"/>
  <c r="A303" i="6"/>
  <c r="K302" i="6"/>
  <c r="E302" i="6"/>
  <c r="A302" i="6"/>
  <c r="K301" i="6"/>
  <c r="A301" i="6"/>
  <c r="K300" i="6"/>
  <c r="A300" i="6"/>
  <c r="S299" i="6"/>
  <c r="E299" i="6"/>
  <c r="A299" i="6"/>
  <c r="K298" i="6"/>
  <c r="A298" i="6"/>
  <c r="K297" i="6"/>
  <c r="A297" i="6"/>
  <c r="S296" i="6"/>
  <c r="E296" i="6"/>
  <c r="A296" i="6"/>
  <c r="K295" i="6"/>
  <c r="A295" i="6"/>
  <c r="A294" i="6"/>
  <c r="A284" i="6"/>
  <c r="A283" i="6"/>
  <c r="N282" i="6"/>
  <c r="A282" i="6"/>
  <c r="A281" i="6"/>
  <c r="A280" i="6"/>
  <c r="A279" i="6"/>
  <c r="A278" i="6"/>
  <c r="S277" i="6"/>
  <c r="N277" i="6"/>
  <c r="A277" i="6"/>
  <c r="S276" i="6"/>
  <c r="N276" i="6"/>
  <c r="A276" i="6"/>
  <c r="S275" i="6"/>
  <c r="A275" i="6"/>
  <c r="A274" i="6"/>
  <c r="S274" i="6" s="1"/>
  <c r="S273" i="6"/>
  <c r="N273" i="6"/>
  <c r="A273" i="6"/>
  <c r="A272" i="6"/>
  <c r="S272" i="6" s="1"/>
  <c r="S271" i="6"/>
  <c r="A271" i="6"/>
  <c r="N270" i="6"/>
  <c r="A270" i="6"/>
  <c r="S269" i="6"/>
  <c r="N269" i="6"/>
  <c r="A269" i="6"/>
  <c r="S268" i="6"/>
  <c r="A268" i="6"/>
  <c r="A267" i="6"/>
  <c r="A266" i="6"/>
  <c r="N265" i="6"/>
  <c r="A265" i="6"/>
  <c r="A264" i="6"/>
  <c r="S263" i="6"/>
  <c r="N263" i="6"/>
  <c r="A263" i="6"/>
  <c r="A262" i="6"/>
  <c r="S261" i="6"/>
  <c r="A261" i="6"/>
  <c r="S260" i="6"/>
  <c r="A260" i="6"/>
  <c r="S259" i="6"/>
  <c r="N259" i="6"/>
  <c r="A259" i="6"/>
  <c r="A258" i="6"/>
  <c r="A257" i="6"/>
  <c r="S257" i="6" s="1"/>
  <c r="N256" i="6"/>
  <c r="A256" i="6"/>
  <c r="N255" i="6"/>
  <c r="A255" i="6"/>
  <c r="S254" i="6"/>
  <c r="A254" i="6"/>
  <c r="A253" i="6"/>
  <c r="A252" i="6"/>
  <c r="A251" i="6"/>
  <c r="K250" i="6"/>
  <c r="L251" i="6" s="1"/>
  <c r="A250" i="6"/>
  <c r="A249" i="6"/>
  <c r="S248" i="6"/>
  <c r="Q248" i="6"/>
  <c r="L248" i="6"/>
  <c r="F248" i="6"/>
  <c r="A248" i="6"/>
  <c r="S247" i="6"/>
  <c r="R247" i="6"/>
  <c r="M247" i="6"/>
  <c r="N247" i="6"/>
  <c r="A247" i="6"/>
  <c r="A246" i="6"/>
  <c r="L245" i="6"/>
  <c r="A245" i="6"/>
  <c r="A244" i="6"/>
  <c r="A243" i="6"/>
  <c r="A242" i="6"/>
  <c r="M241" i="6"/>
  <c r="A241" i="6"/>
  <c r="A240" i="6"/>
  <c r="A239" i="6"/>
  <c r="N228" i="6"/>
  <c r="A228" i="6"/>
  <c r="S228" i="6" s="1"/>
  <c r="S227" i="6"/>
  <c r="N227" i="6"/>
  <c r="A227" i="6"/>
  <c r="N226" i="6"/>
  <c r="S226" i="6"/>
  <c r="A226" i="6"/>
  <c r="S225" i="6"/>
  <c r="N225" i="6"/>
  <c r="A225" i="6"/>
  <c r="A224" i="6"/>
  <c r="S224" i="6" s="1"/>
  <c r="S223" i="6"/>
  <c r="A223" i="6"/>
  <c r="S222" i="6"/>
  <c r="N222" i="6"/>
  <c r="A222" i="6"/>
  <c r="A221" i="6"/>
  <c r="A220" i="6"/>
  <c r="S219" i="6"/>
  <c r="A219" i="6"/>
  <c r="A218" i="6"/>
  <c r="S218" i="6" s="1"/>
  <c r="S217" i="6"/>
  <c r="A217" i="6"/>
  <c r="N216" i="6"/>
  <c r="A216" i="6"/>
  <c r="S215" i="6"/>
  <c r="N215" i="6"/>
  <c r="A215" i="6"/>
  <c r="N214" i="6"/>
  <c r="A214" i="6"/>
  <c r="S213" i="6"/>
  <c r="N213" i="6"/>
  <c r="A213" i="6"/>
  <c r="N212" i="6"/>
  <c r="A212" i="6"/>
  <c r="S212" i="6" s="1"/>
  <c r="N211" i="6"/>
  <c r="A211" i="6"/>
  <c r="A210" i="6"/>
  <c r="A209" i="6"/>
  <c r="S208" i="6"/>
  <c r="N208" i="6"/>
  <c r="A208" i="6"/>
  <c r="A207" i="6"/>
  <c r="N207" i="6" s="1"/>
  <c r="A206" i="6"/>
  <c r="S205" i="6"/>
  <c r="N205" i="6"/>
  <c r="A205" i="6"/>
  <c r="N204" i="6"/>
  <c r="A204" i="6"/>
  <c r="S204" i="6" s="1"/>
  <c r="S203" i="6"/>
  <c r="A203" i="6"/>
  <c r="A202" i="6"/>
  <c r="S201" i="6"/>
  <c r="A201" i="6"/>
  <c r="N200" i="6"/>
  <c r="S200" i="6"/>
  <c r="A200" i="6"/>
  <c r="S199" i="6"/>
  <c r="A199" i="6"/>
  <c r="A198" i="6"/>
  <c r="A197" i="6"/>
  <c r="A196" i="6"/>
  <c r="A195" i="6"/>
  <c r="A194" i="6"/>
  <c r="A193" i="6"/>
  <c r="L192" i="6"/>
  <c r="A192" i="6"/>
  <c r="A191" i="6"/>
  <c r="A190" i="6"/>
  <c r="L189" i="6"/>
  <c r="A189" i="6"/>
  <c r="R188" i="6"/>
  <c r="Q189" i="6"/>
  <c r="S188" i="6"/>
  <c r="F189" i="6"/>
  <c r="M188" i="6"/>
  <c r="A188" i="6"/>
  <c r="A187" i="6"/>
  <c r="A186" i="6"/>
  <c r="A185" i="6"/>
  <c r="N184" i="6"/>
  <c r="A184" i="6"/>
  <c r="S184" i="6" s="1"/>
  <c r="A183" i="6"/>
  <c r="M182" i="6"/>
  <c r="A182" i="6"/>
  <c r="A181" i="6"/>
  <c r="A180" i="6"/>
  <c r="R179" i="6"/>
  <c r="A179" i="6"/>
  <c r="R178" i="6"/>
  <c r="Q179" i="6"/>
  <c r="N178" i="6"/>
  <c r="A178" i="6"/>
  <c r="A177" i="6"/>
  <c r="A176" i="6"/>
  <c r="A175" i="6"/>
  <c r="A174" i="6"/>
  <c r="A173" i="6"/>
  <c r="Q173" i="6"/>
  <c r="K174" i="6"/>
  <c r="E174" i="6"/>
  <c r="A172" i="6"/>
  <c r="A171" i="6"/>
  <c r="A162" i="6"/>
  <c r="S162" i="6" s="1"/>
  <c r="A161" i="6"/>
  <c r="S160" i="6"/>
  <c r="N160" i="6"/>
  <c r="A160" i="6"/>
  <c r="S159" i="6"/>
  <c r="N159" i="6"/>
  <c r="V159" i="6"/>
  <c r="A159" i="6"/>
  <c r="A158" i="6"/>
  <c r="N157" i="6"/>
  <c r="A157" i="6"/>
  <c r="S157" i="6" s="1"/>
  <c r="N156" i="6"/>
  <c r="A156" i="6"/>
  <c r="A155" i="6"/>
  <c r="A154" i="6"/>
  <c r="A153" i="6"/>
  <c r="S152" i="6"/>
  <c r="A152" i="6"/>
  <c r="N151" i="6"/>
  <c r="A151" i="6"/>
  <c r="S151" i="6" s="1"/>
  <c r="S150" i="6"/>
  <c r="A150" i="6"/>
  <c r="A149" i="6"/>
  <c r="S148" i="6"/>
  <c r="N148" i="6"/>
  <c r="A148" i="6"/>
  <c r="A147" i="6"/>
  <c r="A146" i="6"/>
  <c r="S145" i="6"/>
  <c r="N145" i="6"/>
  <c r="A145" i="6"/>
  <c r="A144" i="6"/>
  <c r="S143" i="6"/>
  <c r="N143" i="6"/>
  <c r="A143" i="6"/>
  <c r="S142" i="6"/>
  <c r="N142" i="6"/>
  <c r="A142" i="6"/>
  <c r="S141" i="6"/>
  <c r="N141" i="6"/>
  <c r="A141" i="6"/>
  <c r="S140" i="6"/>
  <c r="N140" i="6"/>
  <c r="A140" i="6"/>
  <c r="A139" i="6"/>
  <c r="S139" i="6" s="1"/>
  <c r="S138" i="6"/>
  <c r="A138" i="6"/>
  <c r="S137" i="6"/>
  <c r="A137" i="6"/>
  <c r="A136" i="6"/>
  <c r="A135" i="6"/>
  <c r="A134" i="6"/>
  <c r="S133" i="6"/>
  <c r="N133" i="6"/>
  <c r="A133" i="6"/>
  <c r="A132" i="6"/>
  <c r="S131" i="6"/>
  <c r="N131" i="6"/>
  <c r="A131" i="6"/>
  <c r="A130" i="6"/>
  <c r="A129" i="6"/>
  <c r="S129" i="6" s="1"/>
  <c r="S128" i="6"/>
  <c r="N128" i="6"/>
  <c r="A128" i="6"/>
  <c r="A127" i="6"/>
  <c r="A126" i="6"/>
  <c r="A125" i="6"/>
  <c r="N124" i="6"/>
  <c r="A124" i="6"/>
  <c r="N123" i="6"/>
  <c r="A123" i="6"/>
  <c r="A122" i="6"/>
  <c r="A121" i="6"/>
  <c r="A120" i="6"/>
  <c r="S119" i="6"/>
  <c r="A119" i="6"/>
  <c r="S118" i="6"/>
  <c r="A118" i="6"/>
  <c r="A117" i="6"/>
  <c r="N116" i="6"/>
  <c r="A116" i="6"/>
  <c r="S115" i="6"/>
  <c r="A115" i="6"/>
  <c r="A114" i="6"/>
  <c r="N113" i="6"/>
  <c r="A113" i="6"/>
  <c r="N112" i="6"/>
  <c r="A112" i="6"/>
  <c r="A111" i="6"/>
  <c r="A110" i="6"/>
  <c r="A109" i="6"/>
  <c r="A108" i="6"/>
  <c r="A107" i="6"/>
  <c r="A106" i="6"/>
  <c r="A105" i="6"/>
  <c r="N104" i="6"/>
  <c r="E104" i="6"/>
  <c r="A104" i="6"/>
  <c r="N103" i="6"/>
  <c r="E103" i="6"/>
  <c r="A103" i="6"/>
  <c r="S103" i="6" s="1"/>
  <c r="A102" i="6"/>
  <c r="A101" i="6"/>
  <c r="A100" i="6"/>
  <c r="A99" i="6"/>
  <c r="A98" i="6"/>
  <c r="A97" i="6"/>
  <c r="P96" i="6"/>
  <c r="K96" i="6"/>
  <c r="M96" i="6"/>
  <c r="E96" i="6"/>
  <c r="A96" i="6"/>
  <c r="P95" i="6"/>
  <c r="N95" i="6"/>
  <c r="A95" i="6"/>
  <c r="K94" i="6"/>
  <c r="A94" i="6"/>
  <c r="A93" i="6"/>
  <c r="C89" i="6"/>
  <c r="B85" i="6"/>
  <c r="A85" i="6"/>
  <c r="B84" i="6"/>
  <c r="A84" i="6"/>
  <c r="B83" i="6"/>
  <c r="A83" i="6" s="1"/>
  <c r="B82" i="6"/>
  <c r="A82" i="6" s="1"/>
  <c r="B81" i="6"/>
  <c r="A81" i="6"/>
  <c r="B80" i="6"/>
  <c r="A80" i="6"/>
  <c r="B79" i="6"/>
  <c r="A79" i="6" s="1"/>
  <c r="B78" i="6"/>
  <c r="A78" i="6"/>
  <c r="B77" i="6"/>
  <c r="A77" i="6" s="1"/>
  <c r="B76" i="6"/>
  <c r="S75" i="6"/>
  <c r="B75" i="6"/>
  <c r="A75" i="6"/>
  <c r="B74" i="6"/>
  <c r="A74" i="6"/>
  <c r="B73" i="6"/>
  <c r="A73" i="6"/>
  <c r="B72" i="6"/>
  <c r="A72" i="6"/>
  <c r="B71" i="6"/>
  <c r="B70" i="6"/>
  <c r="B69" i="6"/>
  <c r="A69" i="6"/>
  <c r="S69" i="6" s="1"/>
  <c r="B68" i="6"/>
  <c r="A68" i="6"/>
  <c r="N67" i="6"/>
  <c r="B67" i="6"/>
  <c r="A67" i="6"/>
  <c r="N66" i="6"/>
  <c r="B66" i="6"/>
  <c r="A66" i="6"/>
  <c r="B65" i="6"/>
  <c r="A65" i="6"/>
  <c r="B64" i="6"/>
  <c r="A64" i="6" s="1"/>
  <c r="B63" i="6"/>
  <c r="A63" i="6" s="1"/>
  <c r="B62" i="6"/>
  <c r="A62" i="6"/>
  <c r="B61" i="6"/>
  <c r="A61" i="6"/>
  <c r="B60" i="6"/>
  <c r="B59" i="6"/>
  <c r="B58" i="6"/>
  <c r="B57" i="6"/>
  <c r="A57" i="6"/>
  <c r="B56" i="6"/>
  <c r="B55" i="6"/>
  <c r="A55" i="6" s="1"/>
  <c r="B54" i="6"/>
  <c r="A54" i="6" s="1"/>
  <c r="B53" i="6"/>
  <c r="A53" i="6"/>
  <c r="B52" i="6"/>
  <c r="A52" i="6" s="1"/>
  <c r="B51" i="6"/>
  <c r="A51" i="6"/>
  <c r="B50" i="6"/>
  <c r="A50" i="6"/>
  <c r="B49" i="6"/>
  <c r="N49" i="6" s="1"/>
  <c r="A49" i="6"/>
  <c r="B48" i="6"/>
  <c r="A48" i="6"/>
  <c r="N47" i="6"/>
  <c r="B47" i="6"/>
  <c r="A47" i="6"/>
  <c r="B46" i="6"/>
  <c r="S45" i="6"/>
  <c r="B45" i="6"/>
  <c r="A45" i="6"/>
  <c r="S44" i="6"/>
  <c r="N44" i="6"/>
  <c r="B44" i="6"/>
  <c r="A44" i="6"/>
  <c r="B43" i="6"/>
  <c r="A43" i="6"/>
  <c r="S42" i="6"/>
  <c r="B42" i="6"/>
  <c r="A42" i="6"/>
  <c r="B41" i="6"/>
  <c r="A41" i="6"/>
  <c r="B40" i="6"/>
  <c r="B39" i="6"/>
  <c r="A39" i="6" s="1"/>
  <c r="S38" i="6"/>
  <c r="N38" i="6"/>
  <c r="K38" i="6"/>
  <c r="B38" i="6"/>
  <c r="A38" i="6"/>
  <c r="B37" i="6"/>
  <c r="B36" i="6"/>
  <c r="B35" i="6"/>
  <c r="K34" i="6"/>
  <c r="B34" i="6"/>
  <c r="A34" i="6" s="1"/>
  <c r="B33" i="6"/>
  <c r="B32" i="6"/>
  <c r="A32" i="6" s="1"/>
  <c r="B31" i="6"/>
  <c r="B30" i="6"/>
  <c r="A30" i="6" s="1"/>
  <c r="B29" i="6"/>
  <c r="A29" i="6"/>
  <c r="B28" i="6"/>
  <c r="A28" i="6"/>
  <c r="B27" i="6"/>
  <c r="A27" i="6"/>
  <c r="B26" i="6"/>
  <c r="A26" i="6" s="1"/>
  <c r="B25" i="6"/>
  <c r="A25" i="6"/>
  <c r="B24" i="6"/>
  <c r="A24" i="6" s="1"/>
  <c r="E23" i="6"/>
  <c r="B23" i="6"/>
  <c r="A23" i="6"/>
  <c r="N22" i="6"/>
  <c r="E22" i="6"/>
  <c r="B22" i="6"/>
  <c r="L24" i="6" s="1"/>
  <c r="A22" i="6"/>
  <c r="B21" i="6"/>
  <c r="A21" i="6"/>
  <c r="B20" i="6"/>
  <c r="A20" i="6" s="1"/>
  <c r="R19" i="6"/>
  <c r="E19" i="6"/>
  <c r="B19" i="6"/>
  <c r="A19" i="6"/>
  <c r="B18" i="6"/>
  <c r="A18" i="6" s="1"/>
  <c r="B17" i="6"/>
  <c r="A17" i="6" s="1"/>
  <c r="B16" i="6"/>
  <c r="A16" i="6"/>
  <c r="B15" i="6"/>
  <c r="B14" i="6"/>
  <c r="A14" i="6" s="1"/>
  <c r="B13" i="6"/>
  <c r="A13" i="6"/>
  <c r="P12" i="6"/>
  <c r="N12" i="6"/>
  <c r="B12" i="6"/>
  <c r="A12" i="6" s="1"/>
  <c r="B11" i="6"/>
  <c r="A11" i="6"/>
  <c r="B10" i="6"/>
  <c r="A10" i="6"/>
  <c r="E10" i="6" s="1"/>
  <c r="B9" i="6"/>
  <c r="B8" i="6"/>
  <c r="B7" i="6"/>
  <c r="E6" i="6"/>
  <c r="B6" i="6"/>
  <c r="N6" i="6" s="1"/>
  <c r="A6" i="6"/>
  <c r="B5" i="6"/>
  <c r="S89" i="6"/>
  <c r="C168" i="6"/>
  <c r="M12" i="6" l="1"/>
  <c r="K9" i="6"/>
  <c r="N34" i="6"/>
  <c r="A37" i="6"/>
  <c r="N63" i="6"/>
  <c r="K11" i="6"/>
  <c r="A31" i="6"/>
  <c r="K39" i="6"/>
  <c r="S47" i="6"/>
  <c r="N64" i="6"/>
  <c r="A76" i="6"/>
  <c r="S11" i="6"/>
  <c r="F24" i="6"/>
  <c r="N24" i="6" s="1"/>
  <c r="N25" i="6" s="1"/>
  <c r="E21" i="6"/>
  <c r="S22" i="6"/>
  <c r="A33" i="6"/>
  <c r="S34" i="6"/>
  <c r="S64" i="6"/>
  <c r="N81" i="6"/>
  <c r="S81" i="6"/>
  <c r="R12" i="6"/>
  <c r="K12" i="6"/>
  <c r="S77" i="6"/>
  <c r="N77" i="6"/>
  <c r="A5" i="6"/>
  <c r="A8" i="6"/>
  <c r="N10" i="6"/>
  <c r="P11" i="6"/>
  <c r="N19" i="6"/>
  <c r="S23" i="6"/>
  <c r="A40" i="6"/>
  <c r="N48" i="6"/>
  <c r="A59" i="6"/>
  <c r="S112" i="6"/>
  <c r="S68" i="6"/>
  <c r="N68" i="6"/>
  <c r="S113" i="6"/>
  <c r="R10" i="6"/>
  <c r="K6" i="6"/>
  <c r="M6" i="6"/>
  <c r="A9" i="6"/>
  <c r="K10" i="6"/>
  <c r="S21" i="6"/>
  <c r="S65" i="6"/>
  <c r="A7" i="6"/>
  <c r="A15" i="6"/>
  <c r="Q24" i="6"/>
  <c r="S24" i="6" s="1"/>
  <c r="S43" i="6"/>
  <c r="N78" i="6"/>
  <c r="P10" i="6"/>
  <c r="M10" i="6"/>
  <c r="E17" i="6"/>
  <c r="P17" i="6"/>
  <c r="S17" i="6"/>
  <c r="S48" i="6"/>
  <c r="A60" i="6"/>
  <c r="S10" i="6"/>
  <c r="N45" i="6"/>
  <c r="N52" i="6"/>
  <c r="N42" i="6"/>
  <c r="L54" i="6"/>
  <c r="D53" i="6"/>
  <c r="E12" i="6"/>
  <c r="S12" i="6"/>
  <c r="S19" i="6"/>
  <c r="A36" i="6"/>
  <c r="N43" i="6"/>
  <c r="S61" i="6"/>
  <c r="A46" i="6"/>
  <c r="Z442" i="6"/>
  <c r="S62" i="6"/>
  <c r="S6" i="6"/>
  <c r="L13" i="6"/>
  <c r="L27" i="6" s="1"/>
  <c r="N17" i="6"/>
  <c r="N11" i="6"/>
  <c r="E11" i="6"/>
  <c r="S49" i="6"/>
  <c r="N53" i="6"/>
  <c r="J32" i="6"/>
  <c r="S32" i="6"/>
  <c r="N32" i="6"/>
  <c r="S50" i="6"/>
  <c r="N50" i="6"/>
  <c r="S53" i="6"/>
  <c r="N57" i="6"/>
  <c r="N80" i="6"/>
  <c r="R6" i="6"/>
  <c r="N21" i="6"/>
  <c r="A35" i="6"/>
  <c r="S57" i="6"/>
  <c r="D97" i="6"/>
  <c r="E95" i="6"/>
  <c r="O97" i="6"/>
  <c r="P113" i="6" s="1"/>
  <c r="N115" i="6"/>
  <c r="A56" i="6"/>
  <c r="A58" i="6"/>
  <c r="S66" i="6"/>
  <c r="A71" i="6"/>
  <c r="N75" i="6"/>
  <c r="F97" i="6"/>
  <c r="S104" i="6"/>
  <c r="L135" i="6"/>
  <c r="S134" i="6"/>
  <c r="K95" i="6"/>
  <c r="R95" i="6"/>
  <c r="S127" i="6"/>
  <c r="N127" i="6"/>
  <c r="S52" i="6"/>
  <c r="J97" i="6"/>
  <c r="N96" i="6"/>
  <c r="N23" i="6"/>
  <c r="N65" i="6"/>
  <c r="S67" i="6"/>
  <c r="N69" i="6"/>
  <c r="M95" i="6"/>
  <c r="Q105" i="6"/>
  <c r="E102" i="6"/>
  <c r="L122" i="6"/>
  <c r="S175" i="6"/>
  <c r="N100" i="6"/>
  <c r="Q122" i="6"/>
  <c r="S125" i="6"/>
  <c r="N125" i="6"/>
  <c r="S132" i="6"/>
  <c r="N132" i="6"/>
  <c r="N61" i="6"/>
  <c r="S63" i="6"/>
  <c r="A70" i="6"/>
  <c r="S78" i="6"/>
  <c r="N94" i="6"/>
  <c r="S114" i="6"/>
  <c r="S116" i="6"/>
  <c r="S80" i="6"/>
  <c r="S95" i="6"/>
  <c r="S117" i="6"/>
  <c r="S51" i="6"/>
  <c r="AO485" i="6"/>
  <c r="AO402" i="6"/>
  <c r="S356" i="6"/>
  <c r="S236" i="6"/>
  <c r="S168" i="6"/>
  <c r="S291" i="6"/>
  <c r="N51" i="6"/>
  <c r="Q97" i="6"/>
  <c r="K100" i="6"/>
  <c r="L97" i="6"/>
  <c r="S100" i="6"/>
  <c r="E115" i="6"/>
  <c r="S120" i="6"/>
  <c r="N120" i="6"/>
  <c r="S130" i="6"/>
  <c r="N130" i="6"/>
  <c r="S123" i="6"/>
  <c r="Q135" i="6"/>
  <c r="S126" i="6"/>
  <c r="N126" i="6"/>
  <c r="S172" i="6"/>
  <c r="S178" i="6"/>
  <c r="R181" i="6"/>
  <c r="N188" i="6"/>
  <c r="N241" i="6"/>
  <c r="N242" i="6" s="1"/>
  <c r="N118" i="6"/>
  <c r="N137" i="6"/>
  <c r="S198" i="6"/>
  <c r="N201" i="6"/>
  <c r="S267" i="6"/>
  <c r="R96" i="6"/>
  <c r="S102" i="6"/>
  <c r="N121" i="6"/>
  <c r="S124" i="6"/>
  <c r="L179" i="6"/>
  <c r="S158" i="6"/>
  <c r="N158" i="6"/>
  <c r="R175" i="6"/>
  <c r="F176" i="6"/>
  <c r="F179" i="6"/>
  <c r="L210" i="6"/>
  <c r="F229" i="6"/>
  <c r="P285" i="6"/>
  <c r="P266" i="6"/>
  <c r="Q250" i="6"/>
  <c r="P287" i="6"/>
  <c r="S245" i="6"/>
  <c r="J113" i="6"/>
  <c r="N114" i="6"/>
  <c r="F135" i="6"/>
  <c r="N129" i="6"/>
  <c r="N138" i="6"/>
  <c r="D185" i="6"/>
  <c r="N163" i="6"/>
  <c r="F173" i="6"/>
  <c r="M178" i="6"/>
  <c r="N149" i="6"/>
  <c r="N152" i="6"/>
  <c r="S202" i="6"/>
  <c r="N202" i="6"/>
  <c r="AL445" i="6"/>
  <c r="N146" i="6"/>
  <c r="S149" i="6"/>
  <c r="Q163" i="6"/>
  <c r="L153" i="6"/>
  <c r="S146" i="6"/>
  <c r="N172" i="6"/>
  <c r="Q192" i="6"/>
  <c r="F192" i="6"/>
  <c r="Q210" i="6"/>
  <c r="F210" i="6"/>
  <c r="S244" i="6"/>
  <c r="S96" i="6"/>
  <c r="L105" i="6"/>
  <c r="N119" i="6"/>
  <c r="N139" i="6"/>
  <c r="R172" i="6"/>
  <c r="N134" i="6"/>
  <c r="N150" i="6"/>
  <c r="P174" i="6"/>
  <c r="N181" i="6"/>
  <c r="N198" i="6"/>
  <c r="S209" i="6"/>
  <c r="S144" i="6"/>
  <c r="N144" i="6"/>
  <c r="S147" i="6"/>
  <c r="N147" i="6"/>
  <c r="F163" i="6"/>
  <c r="S241" i="6"/>
  <c r="N298" i="6"/>
  <c r="M299" i="6"/>
  <c r="K299" i="6"/>
  <c r="S221" i="6"/>
  <c r="F242" i="6"/>
  <c r="N264" i="6"/>
  <c r="K266" i="6"/>
  <c r="S270" i="6"/>
  <c r="N283" i="6"/>
  <c r="L304" i="6"/>
  <c r="N296" i="6"/>
  <c r="N301" i="6"/>
  <c r="M307" i="6"/>
  <c r="K307" i="6"/>
  <c r="L163" i="6"/>
  <c r="N161" i="6"/>
  <c r="S207" i="6"/>
  <c r="N209" i="6"/>
  <c r="N217" i="6"/>
  <c r="N219" i="6"/>
  <c r="N221" i="6"/>
  <c r="N223" i="6"/>
  <c r="S255" i="6"/>
  <c r="S264" i="6"/>
  <c r="L266" i="6"/>
  <c r="S283" i="6"/>
  <c r="K287" i="6"/>
  <c r="R296" i="6"/>
  <c r="P296" i="6"/>
  <c r="N299" i="6"/>
  <c r="N307" i="6"/>
  <c r="L182" i="6"/>
  <c r="L229" i="6"/>
  <c r="L242" i="6"/>
  <c r="N244" i="6"/>
  <c r="N245" i="6" s="1"/>
  <c r="R299" i="6"/>
  <c r="P299" i="6"/>
  <c r="R307" i="6"/>
  <c r="P307" i="6"/>
  <c r="K285" i="6"/>
  <c r="N262" i="6"/>
  <c r="S278" i="6"/>
  <c r="N278" i="6"/>
  <c r="S281" i="6"/>
  <c r="N281" i="6"/>
  <c r="E297" i="6"/>
  <c r="S302" i="6"/>
  <c r="N302" i="6"/>
  <c r="S327" i="6"/>
  <c r="Q349" i="6"/>
  <c r="S161" i="6"/>
  <c r="J185" i="6"/>
  <c r="N224" i="6"/>
  <c r="N258" i="6"/>
  <c r="N260" i="6"/>
  <c r="N271" i="6"/>
  <c r="N274" i="6"/>
  <c r="AL448" i="6"/>
  <c r="N300" i="6"/>
  <c r="E300" i="6"/>
  <c r="E308" i="6"/>
  <c r="Q330" i="6"/>
  <c r="S318" i="6"/>
  <c r="S156" i="6"/>
  <c r="L176" i="6"/>
  <c r="K185" i="6"/>
  <c r="S206" i="6"/>
  <c r="S211" i="6"/>
  <c r="S258" i="6"/>
  <c r="S262" i="6"/>
  <c r="L285" i="6"/>
  <c r="S284" i="6"/>
  <c r="M297" i="6"/>
  <c r="R302" i="6"/>
  <c r="P302" i="6"/>
  <c r="K377" i="6"/>
  <c r="N162" i="6"/>
  <c r="L173" i="6"/>
  <c r="L185" i="6"/>
  <c r="N206" i="6"/>
  <c r="N218" i="6"/>
  <c r="N220" i="6"/>
  <c r="C236" i="6"/>
  <c r="P250" i="6"/>
  <c r="R244" i="6"/>
  <c r="S265" i="6"/>
  <c r="N284" i="6"/>
  <c r="N308" i="6"/>
  <c r="N312" i="6"/>
  <c r="S330" i="6"/>
  <c r="S328" i="6"/>
  <c r="M172" i="6"/>
  <c r="P183" i="6"/>
  <c r="S220" i="6"/>
  <c r="L250" i="6"/>
  <c r="N279" i="6"/>
  <c r="N297" i="6"/>
  <c r="N136" i="6"/>
  <c r="P180" i="6"/>
  <c r="Q185" i="6"/>
  <c r="N199" i="6"/>
  <c r="S214" i="6"/>
  <c r="S216" i="6"/>
  <c r="N254" i="6"/>
  <c r="S256" i="6"/>
  <c r="S282" i="6"/>
  <c r="S301" i="6"/>
  <c r="E303" i="6"/>
  <c r="S369" i="6"/>
  <c r="Q242" i="6"/>
  <c r="R241" i="6"/>
  <c r="F250" i="6"/>
  <c r="Q266" i="6"/>
  <c r="N272" i="6"/>
  <c r="S279" i="6"/>
  <c r="Q304" i="6"/>
  <c r="N303" i="6"/>
  <c r="S329" i="6"/>
  <c r="AF450" i="6"/>
  <c r="AF425" i="6"/>
  <c r="Z470" i="6"/>
  <c r="AF447" i="6"/>
  <c r="AF438" i="6"/>
  <c r="AF474" i="6"/>
  <c r="AF471" i="6"/>
  <c r="AF432" i="6"/>
  <c r="Z480" i="6"/>
  <c r="Z448" i="6"/>
  <c r="AL430" i="6"/>
  <c r="Z429" i="6"/>
  <c r="AL421" i="6"/>
  <c r="AF465" i="6"/>
  <c r="AL446" i="6"/>
  <c r="Z445" i="6"/>
  <c r="AF414" i="6"/>
  <c r="V485" i="6"/>
  <c r="A485" i="6" s="1"/>
  <c r="AF436" i="6"/>
  <c r="AF475" i="6"/>
  <c r="AF472" i="6"/>
  <c r="AL434" i="6"/>
  <c r="AF427" i="6"/>
  <c r="AF424" i="6"/>
  <c r="AF421" i="6"/>
  <c r="AL476" i="6"/>
  <c r="AO476" i="6" s="1"/>
  <c r="AL431" i="6"/>
  <c r="AL422" i="6"/>
  <c r="Z421" i="6"/>
  <c r="AF434" i="6"/>
  <c r="AF409" i="6"/>
  <c r="V402" i="6"/>
  <c r="Z443" i="6"/>
  <c r="AF410" i="6"/>
  <c r="AL441" i="6"/>
  <c r="Z446" i="6"/>
  <c r="Z412" i="6"/>
  <c r="AL444" i="6"/>
  <c r="C291" i="6"/>
  <c r="C356" i="6" s="1"/>
  <c r="AF437" i="6"/>
  <c r="M181" i="6"/>
  <c r="N203" i="6"/>
  <c r="F245" i="6"/>
  <c r="Z424" i="6"/>
  <c r="N261" i="6"/>
  <c r="N268" i="6"/>
  <c r="N275" i="6"/>
  <c r="S280" i="6"/>
  <c r="Z447" i="6"/>
  <c r="M296" i="6"/>
  <c r="K296" i="6"/>
  <c r="S300" i="6"/>
  <c r="S325" i="6"/>
  <c r="S334" i="6"/>
  <c r="Q362" i="6"/>
  <c r="P360" i="6"/>
  <c r="S360" i="6"/>
  <c r="N328" i="6"/>
  <c r="AI456" i="6"/>
  <c r="AH456" i="6"/>
  <c r="AQ496" i="6"/>
  <c r="S303" i="6"/>
  <c r="M312" i="6"/>
  <c r="S312" i="6"/>
  <c r="R312" i="6" s="1"/>
  <c r="N323" i="6"/>
  <c r="AI453" i="6"/>
  <c r="AH453" i="6"/>
  <c r="AI460" i="6"/>
  <c r="AN493" i="6"/>
  <c r="AH493" i="6"/>
  <c r="AH496" i="6"/>
  <c r="AI496" i="6" s="1"/>
  <c r="N248" i="6"/>
  <c r="S297" i="6"/>
  <c r="S308" i="6"/>
  <c r="N325" i="6"/>
  <c r="N327" i="6"/>
  <c r="N332" i="6"/>
  <c r="N334" i="6"/>
  <c r="N336" i="6"/>
  <c r="N338" i="6"/>
  <c r="AN453" i="6"/>
  <c r="AO461" i="6"/>
  <c r="S332" i="6"/>
  <c r="AN461" i="6"/>
  <c r="K308" i="6"/>
  <c r="S340" i="6"/>
  <c r="F377" i="6"/>
  <c r="J304" i="6"/>
  <c r="N322" i="6"/>
  <c r="N324" i="6"/>
  <c r="N340" i="6"/>
  <c r="N342" i="6"/>
  <c r="S346" i="6"/>
  <c r="E360" i="6"/>
  <c r="AH458" i="6"/>
  <c r="AI458" i="6" s="1"/>
  <c r="S295" i="6"/>
  <c r="S298" i="6"/>
  <c r="P312" i="6"/>
  <c r="N329" i="6"/>
  <c r="N346" i="6"/>
  <c r="J362" i="6"/>
  <c r="K362" i="6" s="1"/>
  <c r="Q377" i="6"/>
  <c r="S377" i="6" s="1"/>
  <c r="F395" i="6"/>
  <c r="E395" i="6" s="1"/>
  <c r="AO454" i="6"/>
  <c r="AN477" i="6"/>
  <c r="AO477" i="6" s="1"/>
  <c r="L395" i="6"/>
  <c r="K395" i="6" s="1"/>
  <c r="S378" i="6"/>
  <c r="S390" i="6"/>
  <c r="AI455" i="6"/>
  <c r="AH455" i="6"/>
  <c r="L349" i="6"/>
  <c r="O362" i="6"/>
  <c r="Q395" i="6"/>
  <c r="P395" i="6" s="1"/>
  <c r="N335" i="6"/>
  <c r="AH459" i="6"/>
  <c r="N343" i="6"/>
  <c r="S379" i="6"/>
  <c r="S383" i="6"/>
  <c r="S387" i="6"/>
  <c r="AO420" i="6"/>
  <c r="AN497" i="6"/>
  <c r="AN454" i="6"/>
  <c r="AN457" i="6"/>
  <c r="AO457" i="6" s="1"/>
  <c r="AH469" i="6"/>
  <c r="AI469" i="6" s="1"/>
  <c r="AH477" i="6"/>
  <c r="AI477" i="6" s="1"/>
  <c r="P121" i="6" l="1"/>
  <c r="S349" i="6"/>
  <c r="Q194" i="6"/>
  <c r="Q309" i="6"/>
  <c r="F231" i="6"/>
  <c r="P210" i="6"/>
  <c r="AN421" i="6"/>
  <c r="AH421" i="6"/>
  <c r="AL443" i="6"/>
  <c r="AF451" i="6"/>
  <c r="AF418" i="6"/>
  <c r="Q351" i="6"/>
  <c r="N229" i="6"/>
  <c r="R301" i="6"/>
  <c r="P301" i="6"/>
  <c r="F349" i="6"/>
  <c r="E100" i="6"/>
  <c r="S106" i="6"/>
  <c r="K118" i="6"/>
  <c r="X109" i="6"/>
  <c r="K121" i="6"/>
  <c r="K115" i="6"/>
  <c r="K102" i="6"/>
  <c r="R102" i="6" s="1"/>
  <c r="K97" i="6"/>
  <c r="W159" i="6"/>
  <c r="M97" i="6"/>
  <c r="M98" i="6" s="1"/>
  <c r="K119" i="6"/>
  <c r="K116" i="6"/>
  <c r="J105" i="6"/>
  <c r="K120" i="6"/>
  <c r="K117" i="6"/>
  <c r="K114" i="6"/>
  <c r="R97" i="6"/>
  <c r="R98" i="6" s="1"/>
  <c r="K104" i="6"/>
  <c r="R104" i="6" s="1"/>
  <c r="K112" i="6"/>
  <c r="J108" i="6"/>
  <c r="K103" i="6"/>
  <c r="R103" i="6" s="1"/>
  <c r="K113" i="6"/>
  <c r="O108" i="6"/>
  <c r="O105" i="6"/>
  <c r="P105" i="6" s="1"/>
  <c r="P119" i="6"/>
  <c r="P97" i="6"/>
  <c r="K15" i="6"/>
  <c r="K7" i="6"/>
  <c r="R7" i="6"/>
  <c r="AL438" i="6"/>
  <c r="Z438" i="6"/>
  <c r="N8" i="6"/>
  <c r="E8" i="6"/>
  <c r="P8" i="6"/>
  <c r="S8" i="6"/>
  <c r="AN474" i="6"/>
  <c r="AO474" i="6" s="1"/>
  <c r="AH474" i="6"/>
  <c r="AI474" i="6" s="1"/>
  <c r="Z473" i="6"/>
  <c r="AF464" i="6"/>
  <c r="L194" i="6"/>
  <c r="L186" i="6"/>
  <c r="S185" i="6"/>
  <c r="E298" i="6"/>
  <c r="M298" i="6"/>
  <c r="S105" i="6"/>
  <c r="K153" i="6"/>
  <c r="P177" i="6"/>
  <c r="S70" i="6"/>
  <c r="N70" i="6"/>
  <c r="V82" i="6"/>
  <c r="S82" i="6"/>
  <c r="N82" i="6"/>
  <c r="D105" i="6"/>
  <c r="E112" i="6"/>
  <c r="E97" i="6"/>
  <c r="E116" i="6"/>
  <c r="D108" i="6"/>
  <c r="S46" i="6"/>
  <c r="S54" i="6" s="1"/>
  <c r="N39" i="6"/>
  <c r="E117" i="6"/>
  <c r="N117" i="6"/>
  <c r="R100" i="6"/>
  <c r="P100" i="6"/>
  <c r="N71" i="6"/>
  <c r="S71" i="6"/>
  <c r="Z428" i="6"/>
  <c r="AO460" i="6"/>
  <c r="AN460" i="6"/>
  <c r="S395" i="6"/>
  <c r="AL470" i="6"/>
  <c r="AF430" i="6"/>
  <c r="AF463" i="6"/>
  <c r="AF416" i="6"/>
  <c r="AF480" i="6"/>
  <c r="Z441" i="6"/>
  <c r="AL429" i="6"/>
  <c r="Z476" i="6"/>
  <c r="AF470" i="6"/>
  <c r="F251" i="6"/>
  <c r="M250" i="6" s="1"/>
  <c r="E250" i="6"/>
  <c r="M244" i="6"/>
  <c r="N250" i="6"/>
  <c r="N251" i="6" s="1"/>
  <c r="S250" i="6"/>
  <c r="M300" i="6"/>
  <c r="R308" i="6"/>
  <c r="P308" i="6"/>
  <c r="K186" i="6"/>
  <c r="E301" i="6"/>
  <c r="M301" i="6"/>
  <c r="R298" i="6"/>
  <c r="P298" i="6"/>
  <c r="F182" i="6"/>
  <c r="Z437" i="6"/>
  <c r="AL437" i="6"/>
  <c r="AN437" i="6" s="1"/>
  <c r="F54" i="6"/>
  <c r="O113" i="6"/>
  <c r="AH410" i="6"/>
  <c r="AI459" i="6"/>
  <c r="J309" i="6"/>
  <c r="K304" i="6"/>
  <c r="AF439" i="6"/>
  <c r="AL412" i="6"/>
  <c r="AL442" i="6"/>
  <c r="Z431" i="6"/>
  <c r="AF473" i="6"/>
  <c r="L309" i="6"/>
  <c r="S304" i="6"/>
  <c r="S305" i="6" s="1"/>
  <c r="N175" i="6"/>
  <c r="Q245" i="6"/>
  <c r="J112" i="6"/>
  <c r="L108" i="6"/>
  <c r="N97" i="6"/>
  <c r="N98" i="6" s="1"/>
  <c r="N58" i="6"/>
  <c r="S58" i="6"/>
  <c r="S79" i="6"/>
  <c r="N79" i="6"/>
  <c r="Q54" i="6"/>
  <c r="S39" i="6"/>
  <c r="AH424" i="6"/>
  <c r="AI424" i="6" s="1"/>
  <c r="E295" i="6"/>
  <c r="D304" i="6"/>
  <c r="M295" i="6"/>
  <c r="AH437" i="6"/>
  <c r="AL473" i="6"/>
  <c r="AO473" i="6" s="1"/>
  <c r="Z436" i="6"/>
  <c r="AL410" i="6"/>
  <c r="AF442" i="6"/>
  <c r="AF423" i="6"/>
  <c r="AF417" i="6"/>
  <c r="Z444" i="6"/>
  <c r="Z410" i="6"/>
  <c r="AF476" i="6"/>
  <c r="N280" i="6"/>
  <c r="P185" i="6"/>
  <c r="P194" i="6" s="1"/>
  <c r="F185" i="6"/>
  <c r="N185" i="6" s="1"/>
  <c r="N186" i="6" s="1"/>
  <c r="Q251" i="6"/>
  <c r="R250" i="6" s="1"/>
  <c r="S251" i="6" s="1"/>
  <c r="Q285" i="6"/>
  <c r="S285" i="6" s="1"/>
  <c r="P115" i="6"/>
  <c r="P117" i="6"/>
  <c r="J13" i="6"/>
  <c r="J24" i="6" s="1"/>
  <c r="S40" i="6"/>
  <c r="N40" i="6"/>
  <c r="K40" i="6"/>
  <c r="K17" i="6"/>
  <c r="R17" i="6"/>
  <c r="M17" i="6"/>
  <c r="AN469" i="6"/>
  <c r="AO469" i="6" s="1"/>
  <c r="E377" i="6"/>
  <c r="F397" i="6"/>
  <c r="N349" i="6"/>
  <c r="AL428" i="6"/>
  <c r="Z475" i="6"/>
  <c r="AH475" i="6" s="1"/>
  <c r="AI475" i="6" s="1"/>
  <c r="AF449" i="6"/>
  <c r="AF415" i="6"/>
  <c r="AF445" i="6"/>
  <c r="AF426" i="6"/>
  <c r="AF435" i="6"/>
  <c r="AF441" i="6"/>
  <c r="AF479" i="6"/>
  <c r="L397" i="6"/>
  <c r="S242" i="6"/>
  <c r="E120" i="6"/>
  <c r="Q176" i="6"/>
  <c r="E121" i="6"/>
  <c r="K8" i="6"/>
  <c r="M8" i="6"/>
  <c r="R8" i="6"/>
  <c r="M11" i="6"/>
  <c r="Z464" i="6"/>
  <c r="AI464" i="6" s="1"/>
  <c r="AN434" i="6"/>
  <c r="AO434" i="6" s="1"/>
  <c r="AE414" i="6"/>
  <c r="AF429" i="6"/>
  <c r="AF444" i="6"/>
  <c r="AF422" i="6"/>
  <c r="Q182" i="6"/>
  <c r="S181" i="6"/>
  <c r="P300" i="6"/>
  <c r="R300" i="6"/>
  <c r="Q108" i="6"/>
  <c r="P135" i="6" s="1"/>
  <c r="M100" i="6"/>
  <c r="L155" i="6"/>
  <c r="N122" i="6"/>
  <c r="K122" i="6"/>
  <c r="S122" i="6"/>
  <c r="S135" i="6"/>
  <c r="N135" i="6"/>
  <c r="K135" i="6"/>
  <c r="X27" i="6"/>
  <c r="N60" i="6"/>
  <c r="S31" i="6"/>
  <c r="N31" i="6"/>
  <c r="L41" i="6"/>
  <c r="J31" i="6"/>
  <c r="O32" i="6"/>
  <c r="AH438" i="6"/>
  <c r="AN438" i="6"/>
  <c r="L72" i="6"/>
  <c r="K72" i="6" s="1"/>
  <c r="S55" i="6"/>
  <c r="N55" i="6"/>
  <c r="N62" i="6"/>
  <c r="K54" i="6"/>
  <c r="AL439" i="6"/>
  <c r="Z439" i="6"/>
  <c r="R11" i="6"/>
  <c r="D32" i="6"/>
  <c r="AI421" i="6"/>
  <c r="Z430" i="6"/>
  <c r="AO421" i="6"/>
  <c r="K194" i="6"/>
  <c r="AF440" i="6"/>
  <c r="AF452" i="6" s="1"/>
  <c r="AF478" i="6"/>
  <c r="Z423" i="6"/>
  <c r="Z451" i="6"/>
  <c r="AI451" i="6" s="1"/>
  <c r="AF428" i="6"/>
  <c r="N318" i="6"/>
  <c r="F330" i="6"/>
  <c r="L287" i="6"/>
  <c r="S266" i="6"/>
  <c r="F153" i="6"/>
  <c r="N153" i="6" s="1"/>
  <c r="L231" i="6"/>
  <c r="N210" i="6"/>
  <c r="S210" i="6"/>
  <c r="Q229" i="6"/>
  <c r="P229" i="6" s="1"/>
  <c r="P120" i="6"/>
  <c r="P116" i="6"/>
  <c r="S94" i="6"/>
  <c r="S97" i="6" s="1"/>
  <c r="S98" i="6" s="1"/>
  <c r="M94" i="6"/>
  <c r="E94" i="6"/>
  <c r="P6" i="6"/>
  <c r="E118" i="6"/>
  <c r="S36" i="6"/>
  <c r="S9" i="6"/>
  <c r="N9" i="6"/>
  <c r="AN471" i="6"/>
  <c r="AO471" i="6" s="1"/>
  <c r="AH471" i="6"/>
  <c r="AI471" i="6" s="1"/>
  <c r="R362" i="6"/>
  <c r="P362" i="6"/>
  <c r="Q397" i="6"/>
  <c r="P397" i="6" s="1"/>
  <c r="P377" i="6"/>
  <c r="AN459" i="6"/>
  <c r="AN466" i="6" s="1"/>
  <c r="AO453" i="6"/>
  <c r="Z440" i="6"/>
  <c r="AI440" i="6" s="1"/>
  <c r="AF411" i="6"/>
  <c r="AF443" i="6"/>
  <c r="AF412" i="6"/>
  <c r="AF413" i="6"/>
  <c r="AL440" i="6"/>
  <c r="AO440" i="6" s="1"/>
  <c r="AL424" i="6"/>
  <c r="AN424" i="6" s="1"/>
  <c r="AL436" i="6"/>
  <c r="Z497" i="6"/>
  <c r="Z422" i="6"/>
  <c r="Z450" i="6"/>
  <c r="AI450" i="6" s="1"/>
  <c r="AF431" i="6"/>
  <c r="R295" i="6"/>
  <c r="P295" i="6"/>
  <c r="O304" i="6"/>
  <c r="M308" i="6"/>
  <c r="S163" i="6"/>
  <c r="O185" i="6"/>
  <c r="Q153" i="6"/>
  <c r="P153" i="6" s="1"/>
  <c r="S136" i="6"/>
  <c r="N179" i="6"/>
  <c r="S121" i="6"/>
  <c r="E114" i="6"/>
  <c r="E119" i="6"/>
  <c r="P118" i="6"/>
  <c r="F122" i="6"/>
  <c r="N36" i="6"/>
  <c r="S25" i="6"/>
  <c r="O112" i="6"/>
  <c r="AH447" i="6"/>
  <c r="AI447" i="6" s="1"/>
  <c r="AI461" i="6"/>
  <c r="AH461" i="6"/>
  <c r="Q399" i="6"/>
  <c r="S363" i="6"/>
  <c r="S362" i="6"/>
  <c r="N257" i="6"/>
  <c r="F266" i="6"/>
  <c r="AL447" i="6"/>
  <c r="AF446" i="6"/>
  <c r="AL475" i="6"/>
  <c r="AO475" i="6" s="1"/>
  <c r="AF448" i="6"/>
  <c r="AL423" i="6"/>
  <c r="Z434" i="6"/>
  <c r="AH434" i="6" s="1"/>
  <c r="F304" i="6"/>
  <c r="F309" i="6" s="1"/>
  <c r="F314" i="6" s="1"/>
  <c r="N295" i="6"/>
  <c r="P303" i="6"/>
  <c r="R303" i="6"/>
  <c r="L351" i="6"/>
  <c r="F285" i="6"/>
  <c r="E285" i="6" s="1"/>
  <c r="N267" i="6"/>
  <c r="N285" i="6" s="1"/>
  <c r="R297" i="6"/>
  <c r="P297" i="6"/>
  <c r="M175" i="6"/>
  <c r="E185" i="6"/>
  <c r="E194" i="6" s="1"/>
  <c r="P114" i="6"/>
  <c r="N102" i="6"/>
  <c r="F105" i="6"/>
  <c r="D113" i="6" s="1"/>
  <c r="R94" i="6"/>
  <c r="P94" i="6"/>
  <c r="E113" i="6"/>
  <c r="N15" i="6"/>
  <c r="M15" i="6"/>
  <c r="R15" i="6"/>
  <c r="S15" i="6"/>
  <c r="P112" i="6"/>
  <c r="L83" i="6"/>
  <c r="S76" i="6"/>
  <c r="A499" i="5"/>
  <c r="A498" i="5"/>
  <c r="AO497" i="5"/>
  <c r="A497" i="5"/>
  <c r="AN496" i="5"/>
  <c r="AO496" i="5"/>
  <c r="AI496" i="5"/>
  <c r="AH496" i="5"/>
  <c r="A496" i="5"/>
  <c r="AQ496" i="5" s="1"/>
  <c r="AO495" i="5"/>
  <c r="AN495" i="5"/>
  <c r="A495" i="5"/>
  <c r="AO494" i="5"/>
  <c r="AN494" i="5"/>
  <c r="AH494" i="5"/>
  <c r="AI494" i="5"/>
  <c r="A494" i="5"/>
  <c r="AO493" i="5"/>
  <c r="AN493" i="5"/>
  <c r="AI493" i="5"/>
  <c r="A493" i="5"/>
  <c r="AI492" i="5"/>
  <c r="A492" i="5"/>
  <c r="AO492" i="5" s="1"/>
  <c r="AO491" i="5"/>
  <c r="AN491" i="5"/>
  <c r="AH491" i="5"/>
  <c r="AI491" i="5"/>
  <c r="A491" i="5"/>
  <c r="A490" i="5"/>
  <c r="A489" i="5"/>
  <c r="A488" i="5"/>
  <c r="A487" i="5"/>
  <c r="A486" i="5"/>
  <c r="A484" i="5"/>
  <c r="A483" i="5"/>
  <c r="AO482" i="5"/>
  <c r="AN482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O467" i="5"/>
  <c r="AN467" i="5"/>
  <c r="AH467" i="5"/>
  <c r="A467" i="5"/>
  <c r="A466" i="5"/>
  <c r="A465" i="5"/>
  <c r="A464" i="5"/>
  <c r="A463" i="5"/>
  <c r="A462" i="5"/>
  <c r="A461" i="5"/>
  <c r="A460" i="5"/>
  <c r="AN459" i="5"/>
  <c r="A459" i="5"/>
  <c r="A458" i="5"/>
  <c r="A457" i="5"/>
  <c r="A456" i="5"/>
  <c r="AO456" i="5" s="1"/>
  <c r="A455" i="5"/>
  <c r="A454" i="5"/>
  <c r="AH454" i="5" s="1"/>
  <c r="AI454" i="5" s="1"/>
  <c r="A453" i="5"/>
  <c r="A452" i="5"/>
  <c r="A451" i="5"/>
  <c r="A450" i="5"/>
  <c r="A449" i="5"/>
  <c r="A448" i="5"/>
  <c r="AQ447" i="5"/>
  <c r="A447" i="5"/>
  <c r="AQ446" i="5"/>
  <c r="A446" i="5"/>
  <c r="A445" i="5"/>
  <c r="A444" i="5"/>
  <c r="AQ443" i="5"/>
  <c r="A443" i="5"/>
  <c r="A442" i="5"/>
  <c r="AQ441" i="5"/>
  <c r="A441" i="5"/>
  <c r="A439" i="5"/>
  <c r="A438" i="5"/>
  <c r="A437" i="5"/>
  <c r="A436" i="5"/>
  <c r="A435" i="5"/>
  <c r="AQ434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O420" i="5"/>
  <c r="AH420" i="5"/>
  <c r="AN420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R407" i="5"/>
  <c r="AR502" i="5" s="1"/>
  <c r="A407" i="5"/>
  <c r="A406" i="5"/>
  <c r="A405" i="5"/>
  <c r="A404" i="5"/>
  <c r="A394" i="5"/>
  <c r="A393" i="5"/>
  <c r="A392" i="5"/>
  <c r="A391" i="5"/>
  <c r="A390" i="5"/>
  <c r="A389" i="5"/>
  <c r="S388" i="5"/>
  <c r="A388" i="5"/>
  <c r="S387" i="5"/>
  <c r="A387" i="5"/>
  <c r="A386" i="5"/>
  <c r="S385" i="5"/>
  <c r="A385" i="5"/>
  <c r="A384" i="5"/>
  <c r="A383" i="5"/>
  <c r="A382" i="5"/>
  <c r="A381" i="5"/>
  <c r="A380" i="5"/>
  <c r="S379" i="5"/>
  <c r="A379" i="5"/>
  <c r="L395" i="5"/>
  <c r="K395" i="5" s="1"/>
  <c r="A378" i="5"/>
  <c r="A377" i="5"/>
  <c r="A376" i="5"/>
  <c r="A375" i="5"/>
  <c r="A374" i="5"/>
  <c r="S373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K360" i="5"/>
  <c r="J362" i="5"/>
  <c r="K362" i="5" s="1"/>
  <c r="A360" i="5"/>
  <c r="A359" i="5"/>
  <c r="N348" i="5"/>
  <c r="A348" i="5"/>
  <c r="A347" i="5"/>
  <c r="S346" i="5"/>
  <c r="A346" i="5"/>
  <c r="A345" i="5"/>
  <c r="S344" i="5"/>
  <c r="N344" i="5"/>
  <c r="A344" i="5"/>
  <c r="A343" i="5"/>
  <c r="S342" i="5"/>
  <c r="N342" i="5"/>
  <c r="A342" i="5"/>
  <c r="A341" i="5"/>
  <c r="N340" i="5"/>
  <c r="A340" i="5"/>
  <c r="N339" i="5"/>
  <c r="A339" i="5"/>
  <c r="S338" i="5"/>
  <c r="A338" i="5"/>
  <c r="S337" i="5"/>
  <c r="N337" i="5"/>
  <c r="A337" i="5"/>
  <c r="S336" i="5"/>
  <c r="A336" i="5"/>
  <c r="A335" i="5"/>
  <c r="N334" i="5"/>
  <c r="A334" i="5"/>
  <c r="A333" i="5"/>
  <c r="S332" i="5"/>
  <c r="N332" i="5"/>
  <c r="A332" i="5"/>
  <c r="A331" i="5"/>
  <c r="A330" i="5"/>
  <c r="N329" i="5"/>
  <c r="A329" i="5"/>
  <c r="A328" i="5"/>
  <c r="N327" i="5"/>
  <c r="A327" i="5"/>
  <c r="A326" i="5"/>
  <c r="A325" i="5"/>
  <c r="N324" i="5"/>
  <c r="A324" i="5"/>
  <c r="A323" i="5"/>
  <c r="S322" i="5"/>
  <c r="N322" i="5"/>
  <c r="A322" i="5"/>
  <c r="A321" i="5"/>
  <c r="S320" i="5"/>
  <c r="N320" i="5"/>
  <c r="A320" i="5"/>
  <c r="N319" i="5"/>
  <c r="A319" i="5"/>
  <c r="S318" i="5"/>
  <c r="N318" i="5"/>
  <c r="A318" i="5"/>
  <c r="A317" i="5"/>
  <c r="A316" i="5"/>
  <c r="A315" i="5"/>
  <c r="A314" i="5"/>
  <c r="A313" i="5"/>
  <c r="P312" i="5"/>
  <c r="S312" i="5"/>
  <c r="R312" i="5" s="1"/>
  <c r="K312" i="5"/>
  <c r="A312" i="5"/>
  <c r="A311" i="5"/>
  <c r="A310" i="5"/>
  <c r="A309" i="5"/>
  <c r="A308" i="5"/>
  <c r="R307" i="5"/>
  <c r="A307" i="5"/>
  <c r="A306" i="5"/>
  <c r="A305" i="5"/>
  <c r="A304" i="5"/>
  <c r="N303" i="5"/>
  <c r="K303" i="5"/>
  <c r="E303" i="5"/>
  <c r="A303" i="5"/>
  <c r="N302" i="5"/>
  <c r="K302" i="5"/>
  <c r="E302" i="5"/>
  <c r="A302" i="5"/>
  <c r="P301" i="5"/>
  <c r="R301" i="5"/>
  <c r="N301" i="5"/>
  <c r="K301" i="5"/>
  <c r="E301" i="5"/>
  <c r="A301" i="5"/>
  <c r="K300" i="5"/>
  <c r="A300" i="5"/>
  <c r="K299" i="5"/>
  <c r="E299" i="5"/>
  <c r="A299" i="5"/>
  <c r="A298" i="5"/>
  <c r="M297" i="5"/>
  <c r="K297" i="5"/>
  <c r="A297" i="5"/>
  <c r="K296" i="5"/>
  <c r="A296" i="5"/>
  <c r="N295" i="5"/>
  <c r="S295" i="5"/>
  <c r="A295" i="5"/>
  <c r="A294" i="5"/>
  <c r="A284" i="5"/>
  <c r="S284" i="5" s="1"/>
  <c r="S283" i="5"/>
  <c r="N283" i="5"/>
  <c r="A283" i="5"/>
  <c r="A282" i="5"/>
  <c r="S281" i="5"/>
  <c r="N281" i="5"/>
  <c r="A281" i="5"/>
  <c r="N280" i="5"/>
  <c r="A280" i="5"/>
  <c r="A279" i="5"/>
  <c r="S279" i="5" s="1"/>
  <c r="N278" i="5"/>
  <c r="A278" i="5"/>
  <c r="S278" i="5" s="1"/>
  <c r="A277" i="5"/>
  <c r="A276" i="5"/>
  <c r="A275" i="5"/>
  <c r="N274" i="5"/>
  <c r="A274" i="5"/>
  <c r="A273" i="5"/>
  <c r="A272" i="5"/>
  <c r="S272" i="5" s="1"/>
  <c r="A271" i="5"/>
  <c r="S271" i="5" s="1"/>
  <c r="A270" i="5"/>
  <c r="A269" i="5"/>
  <c r="L285" i="5"/>
  <c r="A268" i="5"/>
  <c r="N267" i="5"/>
  <c r="A267" i="5"/>
  <c r="L266" i="5"/>
  <c r="A266" i="5"/>
  <c r="A265" i="5"/>
  <c r="S264" i="5"/>
  <c r="K287" i="5"/>
  <c r="N264" i="5"/>
  <c r="A264" i="5"/>
  <c r="N263" i="5"/>
  <c r="A263" i="5"/>
  <c r="K285" i="5"/>
  <c r="A262" i="5"/>
  <c r="S262" i="5" s="1"/>
  <c r="A261" i="5"/>
  <c r="S261" i="5" s="1"/>
  <c r="A260" i="5"/>
  <c r="A259" i="5"/>
  <c r="A258" i="5"/>
  <c r="A257" i="5"/>
  <c r="S256" i="5"/>
  <c r="N256" i="5"/>
  <c r="A256" i="5"/>
  <c r="S255" i="5"/>
  <c r="N255" i="5"/>
  <c r="A255" i="5"/>
  <c r="N254" i="5"/>
  <c r="A254" i="5"/>
  <c r="A253" i="5"/>
  <c r="A252" i="5"/>
  <c r="A251" i="5"/>
  <c r="K250" i="5"/>
  <c r="F250" i="5"/>
  <c r="A250" i="5"/>
  <c r="A249" i="5"/>
  <c r="S248" i="5"/>
  <c r="Q248" i="5"/>
  <c r="N248" i="5"/>
  <c r="F248" i="5"/>
  <c r="A248" i="5"/>
  <c r="R247" i="5"/>
  <c r="N247" i="5"/>
  <c r="M247" i="5"/>
  <c r="L248" i="5"/>
  <c r="A247" i="5"/>
  <c r="A246" i="5"/>
  <c r="A245" i="5"/>
  <c r="S244" i="5"/>
  <c r="P250" i="5"/>
  <c r="R244" i="5"/>
  <c r="E250" i="5"/>
  <c r="A244" i="5"/>
  <c r="F245" i="5" s="1"/>
  <c r="A243" i="5"/>
  <c r="Q242" i="5"/>
  <c r="A242" i="5"/>
  <c r="A241" i="5"/>
  <c r="F242" i="5" s="1"/>
  <c r="A240" i="5"/>
  <c r="A239" i="5"/>
  <c r="N232" i="5"/>
  <c r="S228" i="5"/>
  <c r="A228" i="5"/>
  <c r="S227" i="5"/>
  <c r="N227" i="5"/>
  <c r="A227" i="5"/>
  <c r="N226" i="5"/>
  <c r="A226" i="5"/>
  <c r="A225" i="5"/>
  <c r="A224" i="5"/>
  <c r="A223" i="5"/>
  <c r="A222" i="5"/>
  <c r="A221" i="5"/>
  <c r="N220" i="5"/>
  <c r="A220" i="5"/>
  <c r="N219" i="5"/>
  <c r="A219" i="5"/>
  <c r="A218" i="5"/>
  <c r="S218" i="5" s="1"/>
  <c r="N217" i="5"/>
  <c r="A217" i="5"/>
  <c r="S217" i="5" s="1"/>
  <c r="A216" i="5"/>
  <c r="A215" i="5"/>
  <c r="A214" i="5"/>
  <c r="N213" i="5"/>
  <c r="A213" i="5"/>
  <c r="S212" i="5"/>
  <c r="A212" i="5"/>
  <c r="N211" i="5"/>
  <c r="A211" i="5"/>
  <c r="A210" i="5"/>
  <c r="S209" i="5"/>
  <c r="N209" i="5"/>
  <c r="A209" i="5"/>
  <c r="A208" i="5"/>
  <c r="A207" i="5"/>
  <c r="N207" i="5" s="1"/>
  <c r="A206" i="5"/>
  <c r="N205" i="5"/>
  <c r="A205" i="5"/>
  <c r="S204" i="5"/>
  <c r="A204" i="5"/>
  <c r="N203" i="5"/>
  <c r="A203" i="5"/>
  <c r="S202" i="5"/>
  <c r="A202" i="5"/>
  <c r="S201" i="5"/>
  <c r="A201" i="5"/>
  <c r="N201" i="5" s="1"/>
  <c r="S200" i="5"/>
  <c r="N200" i="5"/>
  <c r="A200" i="5"/>
  <c r="S199" i="5"/>
  <c r="A199" i="5"/>
  <c r="L210" i="5"/>
  <c r="A198" i="5"/>
  <c r="A197" i="5"/>
  <c r="A196" i="5"/>
  <c r="A195" i="5"/>
  <c r="A194" i="5"/>
  <c r="A193" i="5"/>
  <c r="L192" i="5"/>
  <c r="A192" i="5"/>
  <c r="Q192" i="5"/>
  <c r="F192" i="5"/>
  <c r="A191" i="5"/>
  <c r="A190" i="5"/>
  <c r="A189" i="5"/>
  <c r="R188" i="5"/>
  <c r="L189" i="5"/>
  <c r="A188" i="5"/>
  <c r="A187" i="5"/>
  <c r="A186" i="5"/>
  <c r="A185" i="5"/>
  <c r="A184" i="5"/>
  <c r="A183" i="5"/>
  <c r="Q182" i="5"/>
  <c r="M182" i="5"/>
  <c r="A182" i="5"/>
  <c r="R181" i="5"/>
  <c r="M181" i="5"/>
  <c r="N181" i="5"/>
  <c r="F182" i="5"/>
  <c r="A181" i="5"/>
  <c r="A180" i="5"/>
  <c r="R179" i="5"/>
  <c r="F179" i="5"/>
  <c r="A179" i="5"/>
  <c r="Q179" i="5"/>
  <c r="M178" i="5"/>
  <c r="N178" i="5"/>
  <c r="A178" i="5"/>
  <c r="A177" i="5"/>
  <c r="A176" i="5"/>
  <c r="L176" i="5"/>
  <c r="A175" i="5"/>
  <c r="A174" i="5"/>
  <c r="L173" i="5"/>
  <c r="A173" i="5"/>
  <c r="S172" i="5"/>
  <c r="N172" i="5"/>
  <c r="M172" i="5"/>
  <c r="F173" i="5"/>
  <c r="A172" i="5"/>
  <c r="A171" i="5"/>
  <c r="A162" i="5"/>
  <c r="S161" i="5"/>
  <c r="A161" i="5"/>
  <c r="S160" i="5"/>
  <c r="N160" i="5"/>
  <c r="A160" i="5"/>
  <c r="N159" i="5"/>
  <c r="V159" i="5"/>
  <c r="A159" i="5"/>
  <c r="S158" i="5"/>
  <c r="N158" i="5"/>
  <c r="A158" i="5"/>
  <c r="A157" i="5"/>
  <c r="A156" i="5"/>
  <c r="A155" i="5"/>
  <c r="A154" i="5"/>
  <c r="A153" i="5"/>
  <c r="S152" i="5"/>
  <c r="A152" i="5"/>
  <c r="S151" i="5"/>
  <c r="A151" i="5"/>
  <c r="A150" i="5"/>
  <c r="A149" i="5"/>
  <c r="S148" i="5"/>
  <c r="N148" i="5"/>
  <c r="A148" i="5"/>
  <c r="S147" i="5"/>
  <c r="N147" i="5"/>
  <c r="A147" i="5"/>
  <c r="S146" i="5"/>
  <c r="N146" i="5"/>
  <c r="A146" i="5"/>
  <c r="S145" i="5"/>
  <c r="N145" i="5"/>
  <c r="A145" i="5"/>
  <c r="S144" i="5"/>
  <c r="A144" i="5"/>
  <c r="N143" i="5"/>
  <c r="A143" i="5"/>
  <c r="A142" i="5"/>
  <c r="S141" i="5"/>
  <c r="A141" i="5"/>
  <c r="A140" i="5"/>
  <c r="A139" i="5"/>
  <c r="N138" i="5"/>
  <c r="S138" i="5"/>
  <c r="A138" i="5"/>
  <c r="S137" i="5"/>
  <c r="A137" i="5"/>
  <c r="S136" i="5"/>
  <c r="A136" i="5"/>
  <c r="A135" i="5"/>
  <c r="A134" i="5"/>
  <c r="A133" i="5"/>
  <c r="N132" i="5"/>
  <c r="A132" i="5"/>
  <c r="A131" i="5"/>
  <c r="A130" i="5"/>
  <c r="A129" i="5"/>
  <c r="S128" i="5"/>
  <c r="A128" i="5"/>
  <c r="S127" i="5"/>
  <c r="A127" i="5"/>
  <c r="S126" i="5"/>
  <c r="A126" i="5"/>
  <c r="A125" i="5"/>
  <c r="N125" i="5" s="1"/>
  <c r="S124" i="5"/>
  <c r="N124" i="5"/>
  <c r="A124" i="5"/>
  <c r="N123" i="5"/>
  <c r="A123" i="5"/>
  <c r="A122" i="5"/>
  <c r="A121" i="5"/>
  <c r="S120" i="5"/>
  <c r="A120" i="5"/>
  <c r="S119" i="5"/>
  <c r="A119" i="5"/>
  <c r="A118" i="5"/>
  <c r="S117" i="5"/>
  <c r="A117" i="5"/>
  <c r="N116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S103" i="5"/>
  <c r="E103" i="5"/>
  <c r="A103" i="5"/>
  <c r="N102" i="5"/>
  <c r="E102" i="5"/>
  <c r="A102" i="5"/>
  <c r="A101" i="5"/>
  <c r="A100" i="5"/>
  <c r="M100" i="5" s="1"/>
  <c r="A99" i="5"/>
  <c r="A98" i="5"/>
  <c r="A97" i="5"/>
  <c r="K96" i="5"/>
  <c r="A96" i="5"/>
  <c r="N95" i="5"/>
  <c r="A95" i="5"/>
  <c r="A94" i="5"/>
  <c r="A93" i="5"/>
  <c r="B85" i="5"/>
  <c r="A85" i="5"/>
  <c r="B84" i="5"/>
  <c r="A84" i="5"/>
  <c r="B83" i="5"/>
  <c r="A83" i="5" s="1"/>
  <c r="B82" i="5"/>
  <c r="N81" i="5"/>
  <c r="B81" i="5"/>
  <c r="A81" i="5" s="1"/>
  <c r="S80" i="5"/>
  <c r="N80" i="5"/>
  <c r="B80" i="5"/>
  <c r="A80" i="5" s="1"/>
  <c r="B79" i="5"/>
  <c r="B78" i="5"/>
  <c r="A78" i="5" s="1"/>
  <c r="N77" i="5"/>
  <c r="B77" i="5"/>
  <c r="A77" i="5" s="1"/>
  <c r="B76" i="5"/>
  <c r="B75" i="5"/>
  <c r="A75" i="5"/>
  <c r="B74" i="5"/>
  <c r="A74" i="5"/>
  <c r="B73" i="5"/>
  <c r="A73" i="5"/>
  <c r="B72" i="5"/>
  <c r="A72" i="5"/>
  <c r="B71" i="5"/>
  <c r="A71" i="5" s="1"/>
  <c r="S71" i="5" s="1"/>
  <c r="S70" i="5"/>
  <c r="B70" i="5"/>
  <c r="A70" i="5"/>
  <c r="S69" i="5"/>
  <c r="B69" i="5"/>
  <c r="A69" i="5" s="1"/>
  <c r="N69" i="5" s="1"/>
  <c r="S68" i="5"/>
  <c r="B68" i="5"/>
  <c r="A68" i="5"/>
  <c r="B67" i="5"/>
  <c r="B66" i="5"/>
  <c r="B65" i="5"/>
  <c r="A65" i="5"/>
  <c r="S65" i="5" s="1"/>
  <c r="B64" i="5"/>
  <c r="N63" i="5"/>
  <c r="B63" i="5"/>
  <c r="A63" i="5" s="1"/>
  <c r="B62" i="5"/>
  <c r="A62" i="5" s="1"/>
  <c r="B61" i="5"/>
  <c r="A61" i="5" s="1"/>
  <c r="B60" i="5"/>
  <c r="A60" i="5" s="1"/>
  <c r="S59" i="5"/>
  <c r="B59" i="5"/>
  <c r="A59" i="5"/>
  <c r="B58" i="5"/>
  <c r="B57" i="5"/>
  <c r="B56" i="5"/>
  <c r="B55" i="5"/>
  <c r="B54" i="5"/>
  <c r="A54" i="5" s="1"/>
  <c r="B53" i="5"/>
  <c r="A53" i="5"/>
  <c r="B52" i="5"/>
  <c r="A52" i="5"/>
  <c r="B51" i="5"/>
  <c r="B50" i="5"/>
  <c r="B49" i="5"/>
  <c r="B48" i="5"/>
  <c r="B47" i="5"/>
  <c r="A47" i="5" s="1"/>
  <c r="N46" i="5"/>
  <c r="B46" i="5"/>
  <c r="A46" i="5"/>
  <c r="S45" i="5"/>
  <c r="N45" i="5"/>
  <c r="B45" i="5"/>
  <c r="A45" i="5"/>
  <c r="B44" i="5"/>
  <c r="A44" i="5"/>
  <c r="B43" i="5"/>
  <c r="A43" i="5"/>
  <c r="B42" i="5"/>
  <c r="B41" i="5"/>
  <c r="A41" i="5"/>
  <c r="S40" i="5"/>
  <c r="K40" i="5"/>
  <c r="B40" i="5"/>
  <c r="A40" i="5" s="1"/>
  <c r="B39" i="5"/>
  <c r="A39" i="5" s="1"/>
  <c r="N38" i="5"/>
  <c r="B38" i="5"/>
  <c r="A38" i="5"/>
  <c r="B37" i="5"/>
  <c r="A37" i="5" s="1"/>
  <c r="B36" i="5"/>
  <c r="B35" i="5"/>
  <c r="A35" i="5"/>
  <c r="B34" i="5"/>
  <c r="A34" i="5"/>
  <c r="B33" i="5"/>
  <c r="B32" i="5"/>
  <c r="B31" i="5"/>
  <c r="A31" i="5"/>
  <c r="B30" i="5"/>
  <c r="A30" i="5"/>
  <c r="B29" i="5"/>
  <c r="A29" i="5"/>
  <c r="B28" i="5"/>
  <c r="A28" i="5" s="1"/>
  <c r="B27" i="5"/>
  <c r="A27" i="5" s="1"/>
  <c r="B26" i="5"/>
  <c r="A26" i="5" s="1"/>
  <c r="B25" i="5"/>
  <c r="A25" i="5"/>
  <c r="B24" i="5"/>
  <c r="A24" i="5"/>
  <c r="S23" i="5"/>
  <c r="E23" i="5"/>
  <c r="B23" i="5"/>
  <c r="A23" i="5"/>
  <c r="N22" i="5"/>
  <c r="B22" i="5"/>
  <c r="A22" i="5" s="1"/>
  <c r="B21" i="5"/>
  <c r="S21" i="5" s="1"/>
  <c r="A21" i="5"/>
  <c r="B20" i="5"/>
  <c r="A20" i="5"/>
  <c r="R19" i="5"/>
  <c r="B19" i="5"/>
  <c r="A19" i="5" s="1"/>
  <c r="B18" i="5"/>
  <c r="A18" i="5"/>
  <c r="B17" i="5"/>
  <c r="A17" i="5" s="1"/>
  <c r="P17" i="5" s="1"/>
  <c r="B16" i="5"/>
  <c r="A16" i="5" s="1"/>
  <c r="S15" i="5"/>
  <c r="K15" i="5"/>
  <c r="B15" i="5"/>
  <c r="A15" i="5"/>
  <c r="B14" i="5"/>
  <c r="A14" i="5"/>
  <c r="B13" i="5"/>
  <c r="A13" i="5"/>
  <c r="M12" i="5"/>
  <c r="N12" i="5"/>
  <c r="K12" i="5"/>
  <c r="E12" i="5"/>
  <c r="B12" i="5"/>
  <c r="A12" i="5"/>
  <c r="B11" i="5"/>
  <c r="A11" i="5"/>
  <c r="P10" i="5"/>
  <c r="S10" i="5"/>
  <c r="B10" i="5"/>
  <c r="A10" i="5"/>
  <c r="E10" i="5" s="1"/>
  <c r="K9" i="5"/>
  <c r="B9" i="5"/>
  <c r="A9" i="5"/>
  <c r="E9" i="5" s="1"/>
  <c r="K8" i="5"/>
  <c r="B8" i="5"/>
  <c r="A8" i="5"/>
  <c r="E8" i="5" s="1"/>
  <c r="P7" i="5"/>
  <c r="M7" i="5"/>
  <c r="B7" i="5"/>
  <c r="A7" i="5"/>
  <c r="B6" i="5"/>
  <c r="A6" i="5"/>
  <c r="B5" i="5"/>
  <c r="A5" i="5" s="1"/>
  <c r="A499" i="15"/>
  <c r="A498" i="15"/>
  <c r="AO497" i="15"/>
  <c r="A497" i="15"/>
  <c r="AN496" i="15"/>
  <c r="AO496" i="15"/>
  <c r="A496" i="15"/>
  <c r="AO495" i="15"/>
  <c r="AN495" i="15"/>
  <c r="A495" i="15"/>
  <c r="AO494" i="15"/>
  <c r="AH494" i="15"/>
  <c r="AI494" i="15"/>
  <c r="A494" i="15"/>
  <c r="AO493" i="15"/>
  <c r="AH493" i="15"/>
  <c r="AI493" i="15"/>
  <c r="A493" i="15"/>
  <c r="AO492" i="15"/>
  <c r="AN492" i="15"/>
  <c r="AI492" i="15"/>
  <c r="A492" i="15"/>
  <c r="AH491" i="15"/>
  <c r="AI491" i="15"/>
  <c r="A491" i="15"/>
  <c r="A490" i="15"/>
  <c r="A489" i="15"/>
  <c r="A488" i="15"/>
  <c r="A487" i="15"/>
  <c r="A486" i="15"/>
  <c r="A484" i="15"/>
  <c r="A483" i="15"/>
  <c r="AO482" i="15"/>
  <c r="AN482" i="15"/>
  <c r="A482" i="15"/>
  <c r="A481" i="15"/>
  <c r="A480" i="15"/>
  <c r="A479" i="15"/>
  <c r="A478" i="15"/>
  <c r="A477" i="15"/>
  <c r="A476" i="15"/>
  <c r="A475" i="15"/>
  <c r="A474" i="15"/>
  <c r="A473" i="15"/>
  <c r="A472" i="15"/>
  <c r="A471" i="15"/>
  <c r="A470" i="15"/>
  <c r="A469" i="15"/>
  <c r="A468" i="15"/>
  <c r="AO467" i="15"/>
  <c r="AN467" i="15"/>
  <c r="AH467" i="15"/>
  <c r="A467" i="15"/>
  <c r="A466" i="15"/>
  <c r="A465" i="15"/>
  <c r="A464" i="15"/>
  <c r="A463" i="15"/>
  <c r="A462" i="15"/>
  <c r="A461" i="15"/>
  <c r="AQ460" i="15"/>
  <c r="AH460" i="15"/>
  <c r="AI460" i="15"/>
  <c r="A460" i="15"/>
  <c r="AO459" i="15"/>
  <c r="AN459" i="15"/>
  <c r="A459" i="15"/>
  <c r="AO458" i="15"/>
  <c r="AN458" i="15"/>
  <c r="A458" i="15"/>
  <c r="AH457" i="15"/>
  <c r="AI457" i="15"/>
  <c r="A457" i="15"/>
  <c r="AO456" i="15"/>
  <c r="A456" i="15"/>
  <c r="AI456" i="15" s="1"/>
  <c r="AO455" i="15"/>
  <c r="AN455" i="15"/>
  <c r="A455" i="15"/>
  <c r="A454" i="15"/>
  <c r="A453" i="15"/>
  <c r="A452" i="15"/>
  <c r="A451" i="15"/>
  <c r="A450" i="15"/>
  <c r="A449" i="15"/>
  <c r="AQ448" i="15"/>
  <c r="A448" i="15"/>
  <c r="AQ447" i="15"/>
  <c r="A447" i="15"/>
  <c r="A446" i="15"/>
  <c r="A445" i="15"/>
  <c r="A444" i="15"/>
  <c r="A443" i="15"/>
  <c r="A442" i="15"/>
  <c r="AQ441" i="15"/>
  <c r="A441" i="15"/>
  <c r="AQ439" i="15"/>
  <c r="A439" i="15"/>
  <c r="A438" i="15"/>
  <c r="AQ437" i="15"/>
  <c r="A437" i="15"/>
  <c r="A436" i="15"/>
  <c r="A435" i="15"/>
  <c r="AQ434" i="15"/>
  <c r="A434" i="15"/>
  <c r="A433" i="15"/>
  <c r="A432" i="15"/>
  <c r="A431" i="15"/>
  <c r="A430" i="15"/>
  <c r="A429" i="15"/>
  <c r="A428" i="15"/>
  <c r="A427" i="15"/>
  <c r="A426" i="15"/>
  <c r="A425" i="15"/>
  <c r="A424" i="15"/>
  <c r="A423" i="15"/>
  <c r="A422" i="15"/>
  <c r="A421" i="15"/>
  <c r="A420" i="15"/>
  <c r="A419" i="15"/>
  <c r="A418" i="15"/>
  <c r="A417" i="15"/>
  <c r="A416" i="15"/>
  <c r="A415" i="15"/>
  <c r="A414" i="15"/>
  <c r="A413" i="15"/>
  <c r="A412" i="15"/>
  <c r="A411" i="15"/>
  <c r="A410" i="15"/>
  <c r="A409" i="15"/>
  <c r="A408" i="15"/>
  <c r="AR407" i="15"/>
  <c r="AR502" i="15" s="1"/>
  <c r="A407" i="15"/>
  <c r="A406" i="15"/>
  <c r="A405" i="15"/>
  <c r="A404" i="15"/>
  <c r="S394" i="15"/>
  <c r="A394" i="15"/>
  <c r="S393" i="15"/>
  <c r="A393" i="15"/>
  <c r="S392" i="15"/>
  <c r="A392" i="15"/>
  <c r="A391" i="15"/>
  <c r="A390" i="15"/>
  <c r="A389" i="15"/>
  <c r="A388" i="15"/>
  <c r="A387" i="15"/>
  <c r="A386" i="15"/>
  <c r="A385" i="15"/>
  <c r="A384" i="15"/>
  <c r="A383" i="15"/>
  <c r="S382" i="15"/>
  <c r="A382" i="15"/>
  <c r="S381" i="15"/>
  <c r="A381" i="15"/>
  <c r="S380" i="15"/>
  <c r="A380" i="15"/>
  <c r="A379" i="15"/>
  <c r="Q395" i="15"/>
  <c r="P395" i="15" s="1"/>
  <c r="A378" i="15"/>
  <c r="A377" i="15"/>
  <c r="A376" i="15"/>
  <c r="A375" i="15"/>
  <c r="S374" i="15"/>
  <c r="A374" i="15"/>
  <c r="S373" i="15"/>
  <c r="A373" i="15"/>
  <c r="S372" i="15"/>
  <c r="A372" i="15"/>
  <c r="A371" i="15"/>
  <c r="A370" i="15"/>
  <c r="S369" i="15"/>
  <c r="A369" i="15"/>
  <c r="A368" i="15"/>
  <c r="A367" i="15"/>
  <c r="A366" i="15"/>
  <c r="A365" i="15"/>
  <c r="A364" i="15"/>
  <c r="A363" i="15"/>
  <c r="A362" i="15"/>
  <c r="A361" i="15"/>
  <c r="J362" i="15"/>
  <c r="K362" i="15" s="1"/>
  <c r="F362" i="15"/>
  <c r="A360" i="15"/>
  <c r="A359" i="15"/>
  <c r="S348" i="15"/>
  <c r="N348" i="15"/>
  <c r="A348" i="15"/>
  <c r="A347" i="15"/>
  <c r="S347" i="15" s="1"/>
  <c r="A346" i="15"/>
  <c r="N346" i="15" s="1"/>
  <c r="A345" i="15"/>
  <c r="S344" i="15"/>
  <c r="N344" i="15"/>
  <c r="A344" i="15"/>
  <c r="S343" i="15"/>
  <c r="A343" i="15"/>
  <c r="A342" i="15"/>
  <c r="S342" i="15" s="1"/>
  <c r="N341" i="15"/>
  <c r="A341" i="15"/>
  <c r="S340" i="15"/>
  <c r="A340" i="15"/>
  <c r="A339" i="15"/>
  <c r="A338" i="15"/>
  <c r="A337" i="15"/>
  <c r="A336" i="15"/>
  <c r="A335" i="15"/>
  <c r="S334" i="15"/>
  <c r="A334" i="15"/>
  <c r="A333" i="15"/>
  <c r="S332" i="15"/>
  <c r="A332" i="15"/>
  <c r="N331" i="15"/>
  <c r="A331" i="15"/>
  <c r="A330" i="15"/>
  <c r="A329" i="15"/>
  <c r="S329" i="15" s="1"/>
  <c r="S328" i="15"/>
  <c r="N328" i="15"/>
  <c r="A328" i="15"/>
  <c r="S327" i="15"/>
  <c r="A327" i="15"/>
  <c r="N326" i="15"/>
  <c r="S326" i="15"/>
  <c r="A326" i="15"/>
  <c r="S325" i="15"/>
  <c r="A325" i="15"/>
  <c r="N325" i="15" s="1"/>
  <c r="N324" i="15"/>
  <c r="A324" i="15"/>
  <c r="A323" i="15"/>
  <c r="S322" i="15"/>
  <c r="N322" i="15"/>
  <c r="A322" i="15"/>
  <c r="A321" i="15"/>
  <c r="A320" i="15"/>
  <c r="S319" i="15"/>
  <c r="N319" i="15"/>
  <c r="A319" i="15"/>
  <c r="S318" i="15"/>
  <c r="A318" i="15"/>
  <c r="A317" i="15"/>
  <c r="A316" i="15"/>
  <c r="A315" i="15"/>
  <c r="A314" i="15"/>
  <c r="A313" i="15"/>
  <c r="K312" i="15"/>
  <c r="A312" i="15"/>
  <c r="A311" i="15"/>
  <c r="A310" i="15"/>
  <c r="A309" i="15"/>
  <c r="A308" i="15"/>
  <c r="R307" i="15"/>
  <c r="N307" i="15"/>
  <c r="M307" i="15"/>
  <c r="E307" i="15"/>
  <c r="A307" i="15"/>
  <c r="P307" i="15" s="1"/>
  <c r="A306" i="15"/>
  <c r="A305" i="15"/>
  <c r="A304" i="15"/>
  <c r="S303" i="15"/>
  <c r="N303" i="15"/>
  <c r="K303" i="15"/>
  <c r="E303" i="15"/>
  <c r="A303" i="15"/>
  <c r="S302" i="15"/>
  <c r="N302" i="15"/>
  <c r="K302" i="15"/>
  <c r="E302" i="15"/>
  <c r="A302" i="15"/>
  <c r="K301" i="15"/>
  <c r="A301" i="15"/>
  <c r="A300" i="15"/>
  <c r="R299" i="15"/>
  <c r="N299" i="15"/>
  <c r="S299" i="15"/>
  <c r="M299" i="15"/>
  <c r="E299" i="15"/>
  <c r="A299" i="15"/>
  <c r="A298" i="15"/>
  <c r="A297" i="15"/>
  <c r="R296" i="15"/>
  <c r="P296" i="15"/>
  <c r="N296" i="15"/>
  <c r="S296" i="15"/>
  <c r="J304" i="15"/>
  <c r="E296" i="15"/>
  <c r="A296" i="15"/>
  <c r="A295" i="15"/>
  <c r="A294" i="15"/>
  <c r="N284" i="15"/>
  <c r="A284" i="15"/>
  <c r="S284" i="15" s="1"/>
  <c r="S283" i="15"/>
  <c r="A283" i="15"/>
  <c r="N282" i="15"/>
  <c r="S282" i="15"/>
  <c r="A282" i="15"/>
  <c r="A281" i="15"/>
  <c r="N280" i="15"/>
  <c r="A280" i="15"/>
  <c r="A279" i="15"/>
  <c r="S278" i="15"/>
  <c r="N278" i="15"/>
  <c r="A278" i="15"/>
  <c r="A277" i="15"/>
  <c r="N276" i="15"/>
  <c r="S276" i="15"/>
  <c r="A276" i="15"/>
  <c r="S275" i="15"/>
  <c r="A275" i="15"/>
  <c r="N275" i="15" s="1"/>
  <c r="S274" i="15"/>
  <c r="N274" i="15"/>
  <c r="A274" i="15"/>
  <c r="N273" i="15"/>
  <c r="A273" i="15"/>
  <c r="S273" i="15" s="1"/>
  <c r="A272" i="15"/>
  <c r="N271" i="15"/>
  <c r="A271" i="15"/>
  <c r="S271" i="15" s="1"/>
  <c r="A270" i="15"/>
  <c r="N269" i="15"/>
  <c r="S269" i="15"/>
  <c r="A269" i="15"/>
  <c r="A268" i="15"/>
  <c r="N268" i="15" s="1"/>
  <c r="S267" i="15"/>
  <c r="A267" i="15"/>
  <c r="A266" i="15"/>
  <c r="A265" i="15"/>
  <c r="N265" i="15" s="1"/>
  <c r="A264" i="15"/>
  <c r="N263" i="15"/>
  <c r="A263" i="15"/>
  <c r="A262" i="15"/>
  <c r="N261" i="15"/>
  <c r="A261" i="15"/>
  <c r="S261" i="15" s="1"/>
  <c r="A260" i="15"/>
  <c r="S259" i="15"/>
  <c r="N259" i="15"/>
  <c r="A259" i="15"/>
  <c r="S258" i="15"/>
  <c r="A258" i="15"/>
  <c r="N258" i="15" s="1"/>
  <c r="S257" i="15"/>
  <c r="N257" i="15"/>
  <c r="A257" i="15"/>
  <c r="S256" i="15"/>
  <c r="A256" i="15"/>
  <c r="N255" i="15"/>
  <c r="A255" i="15"/>
  <c r="S255" i="15" s="1"/>
  <c r="S254" i="15"/>
  <c r="A254" i="15"/>
  <c r="A253" i="15"/>
  <c r="A252" i="15"/>
  <c r="A251" i="15"/>
  <c r="K250" i="15"/>
  <c r="L251" i="15" s="1"/>
  <c r="A250" i="15"/>
  <c r="A249" i="15"/>
  <c r="S248" i="15"/>
  <c r="Q248" i="15"/>
  <c r="N248" i="15"/>
  <c r="L248" i="15"/>
  <c r="F248" i="15"/>
  <c r="A248" i="15"/>
  <c r="R247" i="15"/>
  <c r="N247" i="15"/>
  <c r="S247" i="15"/>
  <c r="M247" i="15"/>
  <c r="A247" i="15"/>
  <c r="A246" i="15"/>
  <c r="A245" i="15"/>
  <c r="A244" i="15"/>
  <c r="A243" i="15"/>
  <c r="A242" i="15"/>
  <c r="A241" i="15"/>
  <c r="A240" i="15"/>
  <c r="A239" i="15"/>
  <c r="N232" i="15"/>
  <c r="N228" i="15"/>
  <c r="A228" i="15"/>
  <c r="A227" i="15"/>
  <c r="N226" i="15"/>
  <c r="A226" i="15"/>
  <c r="S225" i="15"/>
  <c r="A225" i="15"/>
  <c r="A224" i="15"/>
  <c r="S224" i="15" s="1"/>
  <c r="S223" i="15"/>
  <c r="A223" i="15"/>
  <c r="N222" i="15"/>
  <c r="A222" i="15"/>
  <c r="S221" i="15"/>
  <c r="N221" i="15"/>
  <c r="A221" i="15"/>
  <c r="S220" i="15"/>
  <c r="N220" i="15"/>
  <c r="A220" i="15"/>
  <c r="S219" i="15"/>
  <c r="A219" i="15"/>
  <c r="A218" i="15"/>
  <c r="S218" i="15" s="1"/>
  <c r="S217" i="15"/>
  <c r="A217" i="15"/>
  <c r="A216" i="15"/>
  <c r="N215" i="15"/>
  <c r="A215" i="15"/>
  <c r="A214" i="15"/>
  <c r="N214" i="15" s="1"/>
  <c r="S213" i="15"/>
  <c r="N213" i="15"/>
  <c r="A213" i="15"/>
  <c r="A212" i="15"/>
  <c r="S212" i="15" s="1"/>
  <c r="A211" i="15"/>
  <c r="A210" i="15"/>
  <c r="A209" i="15"/>
  <c r="N208" i="15"/>
  <c r="A208" i="15"/>
  <c r="S207" i="15"/>
  <c r="N207" i="15"/>
  <c r="A207" i="15"/>
  <c r="S206" i="15"/>
  <c r="A206" i="15"/>
  <c r="S205" i="15"/>
  <c r="A205" i="15"/>
  <c r="A204" i="15"/>
  <c r="S203" i="15"/>
  <c r="N203" i="15"/>
  <c r="A203" i="15"/>
  <c r="A202" i="15"/>
  <c r="N201" i="15"/>
  <c r="A201" i="15"/>
  <c r="S201" i="15" s="1"/>
  <c r="A200" i="15"/>
  <c r="A199" i="15"/>
  <c r="A198" i="15"/>
  <c r="A197" i="15"/>
  <c r="A196" i="15"/>
  <c r="A195" i="15"/>
  <c r="A194" i="15"/>
  <c r="A193" i="15"/>
  <c r="L192" i="15"/>
  <c r="A192" i="15"/>
  <c r="F192" i="15"/>
  <c r="A191" i="15"/>
  <c r="A190" i="15"/>
  <c r="L189" i="15"/>
  <c r="A189" i="15"/>
  <c r="R188" i="15"/>
  <c r="A188" i="15"/>
  <c r="A187" i="15"/>
  <c r="A186" i="15"/>
  <c r="A185" i="15"/>
  <c r="S184" i="15"/>
  <c r="A184" i="15"/>
  <c r="A183" i="15"/>
  <c r="M182" i="15"/>
  <c r="F182" i="15"/>
  <c r="A182" i="15"/>
  <c r="L182" i="15"/>
  <c r="M181" i="15"/>
  <c r="A181" i="15"/>
  <c r="P180" i="15"/>
  <c r="A180" i="15"/>
  <c r="R179" i="15"/>
  <c r="F179" i="15"/>
  <c r="A179" i="15"/>
  <c r="R178" i="15"/>
  <c r="L179" i="15"/>
  <c r="N179" i="15" s="1"/>
  <c r="M178" i="15"/>
  <c r="N178" i="15"/>
  <c r="A178" i="15"/>
  <c r="A177" i="15"/>
  <c r="A176" i="15"/>
  <c r="S175" i="15"/>
  <c r="M175" i="15"/>
  <c r="A175" i="15"/>
  <c r="K174" i="15"/>
  <c r="A174" i="15"/>
  <c r="A173" i="15"/>
  <c r="J185" i="15"/>
  <c r="A172" i="15"/>
  <c r="A171" i="15"/>
  <c r="S162" i="15"/>
  <c r="A162" i="15"/>
  <c r="S161" i="15"/>
  <c r="N161" i="15"/>
  <c r="A161" i="15"/>
  <c r="S160" i="15"/>
  <c r="N160" i="15"/>
  <c r="A160" i="15"/>
  <c r="V159" i="15"/>
  <c r="S159" i="15"/>
  <c r="N159" i="15"/>
  <c r="A159" i="15"/>
  <c r="A158" i="15"/>
  <c r="A157" i="15"/>
  <c r="A156" i="15"/>
  <c r="A155" i="15"/>
  <c r="A154" i="15"/>
  <c r="A153" i="15"/>
  <c r="A152" i="15"/>
  <c r="S151" i="15"/>
  <c r="A151" i="15"/>
  <c r="A150" i="15"/>
  <c r="A149" i="15"/>
  <c r="S148" i="15"/>
  <c r="A148" i="15"/>
  <c r="S147" i="15"/>
  <c r="N147" i="15"/>
  <c r="A147" i="15"/>
  <c r="A146" i="15"/>
  <c r="A145" i="15"/>
  <c r="A144" i="15"/>
  <c r="S143" i="15"/>
  <c r="A143" i="15"/>
  <c r="A142" i="15"/>
  <c r="N141" i="15"/>
  <c r="A141" i="15"/>
  <c r="A140" i="15"/>
  <c r="N139" i="15"/>
  <c r="A139" i="15"/>
  <c r="S139" i="15" s="1"/>
  <c r="A138" i="15"/>
  <c r="N137" i="15"/>
  <c r="S137" i="15"/>
  <c r="A137" i="15"/>
  <c r="A136" i="15"/>
  <c r="A135" i="15"/>
  <c r="A134" i="15"/>
  <c r="A133" i="15"/>
  <c r="A132" i="15"/>
  <c r="A131" i="15"/>
  <c r="A130" i="15"/>
  <c r="A129" i="15"/>
  <c r="N129" i="15" s="1"/>
  <c r="A128" i="15"/>
  <c r="N127" i="15"/>
  <c r="A127" i="15"/>
  <c r="N126" i="15"/>
  <c r="S126" i="15"/>
  <c r="A126" i="15"/>
  <c r="S125" i="15"/>
  <c r="N125" i="15"/>
  <c r="A125" i="15"/>
  <c r="A124" i="15"/>
  <c r="A123" i="15"/>
  <c r="A122" i="15"/>
  <c r="A121" i="15"/>
  <c r="A120" i="15"/>
  <c r="A119" i="15"/>
  <c r="N118" i="15"/>
  <c r="A118" i="15"/>
  <c r="N117" i="15"/>
  <c r="A117" i="15"/>
  <c r="A116" i="15"/>
  <c r="A115" i="15"/>
  <c r="N114" i="15"/>
  <c r="A114" i="15"/>
  <c r="A113" i="15"/>
  <c r="N112" i="15"/>
  <c r="A112" i="15"/>
  <c r="A111" i="15"/>
  <c r="A110" i="15"/>
  <c r="A109" i="15"/>
  <c r="A108" i="15"/>
  <c r="A107" i="15"/>
  <c r="A106" i="15"/>
  <c r="A105" i="15"/>
  <c r="S104" i="15"/>
  <c r="N104" i="15"/>
  <c r="E104" i="15"/>
  <c r="A104" i="15"/>
  <c r="E103" i="15"/>
  <c r="A103" i="15"/>
  <c r="L105" i="15"/>
  <c r="A102" i="15"/>
  <c r="A101" i="15"/>
  <c r="P100" i="15"/>
  <c r="N100" i="15"/>
  <c r="M100" i="15"/>
  <c r="A100" i="15"/>
  <c r="A99" i="15"/>
  <c r="A98" i="15"/>
  <c r="A97" i="15"/>
  <c r="A96" i="15"/>
  <c r="S95" i="15"/>
  <c r="A95" i="15"/>
  <c r="A94" i="15"/>
  <c r="A93" i="15"/>
  <c r="B85" i="15"/>
  <c r="A85" i="15"/>
  <c r="B84" i="15"/>
  <c r="A84" i="15"/>
  <c r="B83" i="15"/>
  <c r="A83" i="15" s="1"/>
  <c r="B82" i="15"/>
  <c r="A82" i="15"/>
  <c r="B81" i="15"/>
  <c r="A81" i="15"/>
  <c r="B80" i="15"/>
  <c r="A80" i="15" s="1"/>
  <c r="B79" i="15"/>
  <c r="A79" i="15"/>
  <c r="B78" i="15"/>
  <c r="B77" i="15"/>
  <c r="A77" i="15"/>
  <c r="S77" i="15" s="1"/>
  <c r="B76" i="15"/>
  <c r="N75" i="15"/>
  <c r="S75" i="15"/>
  <c r="B75" i="15"/>
  <c r="A75" i="15"/>
  <c r="B74" i="15"/>
  <c r="A74" i="15"/>
  <c r="B73" i="15"/>
  <c r="A73" i="15"/>
  <c r="B72" i="15"/>
  <c r="A72" i="15" s="1"/>
  <c r="B71" i="15"/>
  <c r="A71" i="15"/>
  <c r="B70" i="15"/>
  <c r="B69" i="15"/>
  <c r="A69" i="15" s="1"/>
  <c r="B68" i="15"/>
  <c r="B67" i="15"/>
  <c r="A67" i="15" s="1"/>
  <c r="B66" i="15"/>
  <c r="A66" i="15" s="1"/>
  <c r="B65" i="15"/>
  <c r="A65" i="15" s="1"/>
  <c r="B64" i="15"/>
  <c r="A64" i="15"/>
  <c r="B63" i="15"/>
  <c r="S62" i="15"/>
  <c r="B62" i="15"/>
  <c r="A62" i="15"/>
  <c r="B61" i="15"/>
  <c r="S60" i="15"/>
  <c r="N60" i="15"/>
  <c r="B60" i="15"/>
  <c r="A60" i="15"/>
  <c r="B59" i="15"/>
  <c r="N58" i="15"/>
  <c r="B58" i="15"/>
  <c r="A58" i="15"/>
  <c r="B57" i="15"/>
  <c r="A57" i="15"/>
  <c r="B56" i="15"/>
  <c r="B55" i="15"/>
  <c r="A55" i="15"/>
  <c r="B54" i="15"/>
  <c r="A54" i="15" s="1"/>
  <c r="B53" i="15"/>
  <c r="A53" i="15" s="1"/>
  <c r="B52" i="15"/>
  <c r="B51" i="15"/>
  <c r="A51" i="15"/>
  <c r="S50" i="15"/>
  <c r="B50" i="15"/>
  <c r="A50" i="15" s="1"/>
  <c r="B49" i="15"/>
  <c r="B48" i="15"/>
  <c r="A48" i="15"/>
  <c r="B47" i="15"/>
  <c r="A47" i="15" s="1"/>
  <c r="B46" i="15"/>
  <c r="A46" i="15" s="1"/>
  <c r="S45" i="15"/>
  <c r="B45" i="15"/>
  <c r="A45" i="15"/>
  <c r="B44" i="15"/>
  <c r="A44" i="15"/>
  <c r="N43" i="15"/>
  <c r="B43" i="15"/>
  <c r="A43" i="15"/>
  <c r="N42" i="15"/>
  <c r="B42" i="15"/>
  <c r="A42" i="15"/>
  <c r="B41" i="15"/>
  <c r="A41" i="15"/>
  <c r="K40" i="15"/>
  <c r="B40" i="15"/>
  <c r="A40" i="15"/>
  <c r="B39" i="15"/>
  <c r="A39" i="15"/>
  <c r="B38" i="15"/>
  <c r="B37" i="15"/>
  <c r="A37" i="15" s="1"/>
  <c r="B36" i="15"/>
  <c r="A36" i="15"/>
  <c r="B35" i="15"/>
  <c r="B34" i="15"/>
  <c r="A34" i="15"/>
  <c r="B33" i="15"/>
  <c r="B32" i="15"/>
  <c r="A32" i="15"/>
  <c r="B31" i="15"/>
  <c r="A31" i="15"/>
  <c r="B30" i="15"/>
  <c r="A30" i="15"/>
  <c r="B29" i="15"/>
  <c r="A29" i="15"/>
  <c r="B28" i="15"/>
  <c r="A28" i="15" s="1"/>
  <c r="B27" i="15"/>
  <c r="A27" i="15"/>
  <c r="B26" i="15"/>
  <c r="A26" i="15" s="1"/>
  <c r="B25" i="15"/>
  <c r="A25" i="15"/>
  <c r="B24" i="15"/>
  <c r="A24" i="15"/>
  <c r="B23" i="15"/>
  <c r="A23" i="15"/>
  <c r="E23" i="15" s="1"/>
  <c r="E22" i="15"/>
  <c r="B22" i="15"/>
  <c r="A22" i="15"/>
  <c r="E21" i="15"/>
  <c r="B21" i="15"/>
  <c r="A21" i="15" s="1"/>
  <c r="B20" i="15"/>
  <c r="A20" i="15" s="1"/>
  <c r="R19" i="15"/>
  <c r="B19" i="15"/>
  <c r="A19" i="15" s="1"/>
  <c r="B18" i="15"/>
  <c r="A18" i="15"/>
  <c r="K17" i="15"/>
  <c r="B17" i="15"/>
  <c r="B16" i="15"/>
  <c r="A16" i="15"/>
  <c r="P15" i="15"/>
  <c r="N15" i="15"/>
  <c r="S15" i="15"/>
  <c r="B15" i="15"/>
  <c r="A15" i="15" s="1"/>
  <c r="B14" i="15"/>
  <c r="A14" i="15" s="1"/>
  <c r="B13" i="15"/>
  <c r="A13" i="15" s="1"/>
  <c r="B12" i="15"/>
  <c r="A12" i="15"/>
  <c r="E11" i="15"/>
  <c r="B11" i="15"/>
  <c r="A11" i="15"/>
  <c r="B10" i="15"/>
  <c r="A10" i="15" s="1"/>
  <c r="B9" i="15"/>
  <c r="A9" i="15"/>
  <c r="B8" i="15"/>
  <c r="K7" i="15"/>
  <c r="E7" i="15"/>
  <c r="B7" i="15"/>
  <c r="A7" i="15"/>
  <c r="B6" i="15"/>
  <c r="K6" i="15" s="1"/>
  <c r="A6" i="15"/>
  <c r="B5" i="15"/>
  <c r="A5" i="15"/>
  <c r="S83" i="6" l="1"/>
  <c r="K24" i="6"/>
  <c r="K32" i="6"/>
  <c r="K35" i="6"/>
  <c r="K33" i="6"/>
  <c r="K37" i="6"/>
  <c r="K36" i="6"/>
  <c r="K31" i="6"/>
  <c r="F83" i="6"/>
  <c r="Z472" i="6"/>
  <c r="AN475" i="6"/>
  <c r="F108" i="6"/>
  <c r="AE411" i="6"/>
  <c r="N287" i="6"/>
  <c r="AO459" i="6"/>
  <c r="AN442" i="6"/>
  <c r="AH442" i="6"/>
  <c r="AI442" i="6" s="1"/>
  <c r="AN439" i="6"/>
  <c r="AO439" i="6" s="1"/>
  <c r="AH439" i="6"/>
  <c r="AE410" i="6"/>
  <c r="AN430" i="6"/>
  <c r="AO430" i="6" s="1"/>
  <c r="AH430" i="6"/>
  <c r="E7" i="6"/>
  <c r="D13" i="6"/>
  <c r="S229" i="6"/>
  <c r="F13" i="6"/>
  <c r="N7" i="6"/>
  <c r="N13" i="6" s="1"/>
  <c r="S194" i="6"/>
  <c r="S195" i="6" s="1"/>
  <c r="N194" i="6"/>
  <c r="N195" i="6" s="1"/>
  <c r="L195" i="6"/>
  <c r="L233" i="6"/>
  <c r="X194" i="6"/>
  <c r="AN445" i="6"/>
  <c r="AO445" i="6" s="1"/>
  <c r="AH445" i="6"/>
  <c r="AI445" i="6" s="1"/>
  <c r="AN431" i="6"/>
  <c r="AO431" i="6" s="1"/>
  <c r="AH431" i="6"/>
  <c r="F351" i="6"/>
  <c r="E351" i="6" s="1"/>
  <c r="E330" i="6"/>
  <c r="N330" i="6"/>
  <c r="AL413" i="6"/>
  <c r="AN413" i="6" s="1"/>
  <c r="S35" i="6"/>
  <c r="AE415" i="6"/>
  <c r="AP498" i="6"/>
  <c r="AS498" i="6" s="1"/>
  <c r="Z495" i="6"/>
  <c r="AN410" i="6"/>
  <c r="AO410" i="6" s="1"/>
  <c r="Q13" i="6"/>
  <c r="S7" i="6"/>
  <c r="S13" i="6" s="1"/>
  <c r="P122" i="6"/>
  <c r="S351" i="6"/>
  <c r="E266" i="6"/>
  <c r="F287" i="6"/>
  <c r="P9" i="6"/>
  <c r="R9" i="6"/>
  <c r="R13" i="6" s="1"/>
  <c r="N266" i="6"/>
  <c r="Z413" i="6"/>
  <c r="N35" i="6"/>
  <c r="AL472" i="6"/>
  <c r="Q83" i="6"/>
  <c r="AI430" i="6"/>
  <c r="L74" i="6"/>
  <c r="N41" i="6"/>
  <c r="K41" i="6"/>
  <c r="F194" i="6"/>
  <c r="F186" i="6"/>
  <c r="S33" i="6"/>
  <c r="AL411" i="6"/>
  <c r="AN411" i="6" s="1"/>
  <c r="S37" i="6"/>
  <c r="AL415" i="6"/>
  <c r="AN470" i="6"/>
  <c r="AO470" i="6" s="1"/>
  <c r="AH470" i="6"/>
  <c r="AI470" i="6" s="1"/>
  <c r="AF481" i="6"/>
  <c r="Q287" i="6"/>
  <c r="Q289" i="6" s="1"/>
  <c r="Z425" i="6"/>
  <c r="Q155" i="6"/>
  <c r="P155" i="6" s="1"/>
  <c r="E9" i="6"/>
  <c r="M9" i="6"/>
  <c r="AN428" i="6"/>
  <c r="AH428" i="6"/>
  <c r="N33" i="6"/>
  <c r="Z411" i="6"/>
  <c r="N304" i="6"/>
  <c r="N305" i="6" s="1"/>
  <c r="Z415" i="6"/>
  <c r="AH415" i="6" s="1"/>
  <c r="N37" i="6"/>
  <c r="N46" i="6"/>
  <c r="N54" i="6" s="1"/>
  <c r="S153" i="6"/>
  <c r="AH464" i="6"/>
  <c r="AI438" i="6"/>
  <c r="AE418" i="6"/>
  <c r="S310" i="6"/>
  <c r="Q314" i="6"/>
  <c r="P351" i="6" s="1"/>
  <c r="AI497" i="6"/>
  <c r="AH497" i="6"/>
  <c r="AO428" i="6"/>
  <c r="Z427" i="6"/>
  <c r="L314" i="6"/>
  <c r="S309" i="6"/>
  <c r="N309" i="6"/>
  <c r="N310" i="6" s="1"/>
  <c r="AI428" i="6"/>
  <c r="AH450" i="6"/>
  <c r="E108" i="6"/>
  <c r="AO438" i="6"/>
  <c r="AH451" i="6"/>
  <c r="Q231" i="6"/>
  <c r="P231" i="6" s="1"/>
  <c r="F353" i="6"/>
  <c r="AN422" i="6"/>
  <c r="AO422" i="6" s="1"/>
  <c r="AH422" i="6"/>
  <c r="AI422" i="6" s="1"/>
  <c r="AN473" i="6"/>
  <c r="AH473" i="6"/>
  <c r="AI473" i="6" s="1"/>
  <c r="AF419" i="6"/>
  <c r="M105" i="6"/>
  <c r="K105" i="6"/>
  <c r="AI434" i="6"/>
  <c r="N76" i="6"/>
  <c r="N83" i="6" s="1"/>
  <c r="AO424" i="6"/>
  <c r="K210" i="6"/>
  <c r="S60" i="6"/>
  <c r="AH444" i="6"/>
  <c r="AN444" i="6"/>
  <c r="AO444" i="6" s="1"/>
  <c r="K13" i="6"/>
  <c r="K22" i="6"/>
  <c r="R22" i="6" s="1"/>
  <c r="K23" i="6"/>
  <c r="R23" i="6" s="1"/>
  <c r="K21" i="6"/>
  <c r="R21" i="6" s="1"/>
  <c r="J27" i="6"/>
  <c r="AN476" i="6"/>
  <c r="AH476" i="6"/>
  <c r="AI476" i="6" s="1"/>
  <c r="Z479" i="6"/>
  <c r="AE409" i="6"/>
  <c r="AN480" i="6"/>
  <c r="AO480" i="6" s="1"/>
  <c r="AH480" i="6"/>
  <c r="AI480" i="6" s="1"/>
  <c r="Z463" i="6"/>
  <c r="N105" i="6"/>
  <c r="N106" i="6" s="1"/>
  <c r="P108" i="6"/>
  <c r="E349" i="6"/>
  <c r="AH436" i="6"/>
  <c r="AI436" i="6" s="1"/>
  <c r="Q195" i="6"/>
  <c r="AN440" i="6"/>
  <c r="AH440" i="6"/>
  <c r="AN429" i="6"/>
  <c r="AO429" i="6" s="1"/>
  <c r="AH429" i="6"/>
  <c r="AI429" i="6" s="1"/>
  <c r="Q41" i="6"/>
  <c r="S41" i="6" s="1"/>
  <c r="O31" i="6"/>
  <c r="AL409" i="6"/>
  <c r="S397" i="6"/>
  <c r="K397" i="6"/>
  <c r="L399" i="6"/>
  <c r="S399" i="6" s="1"/>
  <c r="E397" i="6"/>
  <c r="F399" i="6"/>
  <c r="Z435" i="6"/>
  <c r="AH435" i="6" s="1"/>
  <c r="N56" i="6"/>
  <c r="F72" i="6"/>
  <c r="Y410" i="6"/>
  <c r="AI410" i="6"/>
  <c r="AI431" i="6"/>
  <c r="AO437" i="6"/>
  <c r="AE416" i="6"/>
  <c r="M7" i="6"/>
  <c r="M13" i="6" s="1"/>
  <c r="AN436" i="6"/>
  <c r="AO436" i="6" s="1"/>
  <c r="Q186" i="6"/>
  <c r="AN447" i="6"/>
  <c r="AO447" i="6" s="1"/>
  <c r="AL414" i="6"/>
  <c r="AE413" i="6"/>
  <c r="N231" i="6"/>
  <c r="K231" i="6"/>
  <c r="S155" i="6"/>
  <c r="N155" i="6"/>
  <c r="K155" i="6"/>
  <c r="F41" i="6"/>
  <c r="D31" i="6"/>
  <c r="Z409" i="6"/>
  <c r="AH479" i="6"/>
  <c r="AI479" i="6" s="1"/>
  <c r="S56" i="6"/>
  <c r="Q72" i="6"/>
  <c r="AL435" i="6"/>
  <c r="AN435" i="6" s="1"/>
  <c r="AI444" i="6"/>
  <c r="D309" i="6"/>
  <c r="E304" i="6"/>
  <c r="AO442" i="6"/>
  <c r="K309" i="6"/>
  <c r="J314" i="6"/>
  <c r="M309" i="6"/>
  <c r="AI437" i="6"/>
  <c r="Z432" i="6"/>
  <c r="E105" i="6"/>
  <c r="AF433" i="6"/>
  <c r="AN448" i="6"/>
  <c r="AO448" i="6" s="1"/>
  <c r="AH448" i="6"/>
  <c r="AI448" i="6" s="1"/>
  <c r="P186" i="6"/>
  <c r="R185" i="6"/>
  <c r="S186" i="6" s="1"/>
  <c r="P15" i="6"/>
  <c r="Z426" i="6"/>
  <c r="AI426" i="6" s="1"/>
  <c r="F155" i="6"/>
  <c r="E155" i="6" s="1"/>
  <c r="E122" i="6"/>
  <c r="AN412" i="6"/>
  <c r="AH412" i="6"/>
  <c r="AI412" i="6" s="1"/>
  <c r="AE412" i="6"/>
  <c r="O13" i="6"/>
  <c r="AK412" i="6" s="1"/>
  <c r="E153" i="6"/>
  <c r="AF406" i="6"/>
  <c r="AL451" i="6"/>
  <c r="AO451" i="6" s="1"/>
  <c r="AL463" i="6"/>
  <c r="AL465" i="6"/>
  <c r="AL479" i="6"/>
  <c r="AO479" i="6" s="1"/>
  <c r="AL449" i="6"/>
  <c r="AO449" i="6" s="1"/>
  <c r="AL416" i="6"/>
  <c r="AL432" i="6"/>
  <c r="AL417" i="6"/>
  <c r="AL425" i="6"/>
  <c r="AL450" i="6"/>
  <c r="AL464" i="6"/>
  <c r="AL426" i="6"/>
  <c r="AO426" i="6" s="1"/>
  <c r="AL478" i="6"/>
  <c r="AO478" i="6" s="1"/>
  <c r="AL427" i="6"/>
  <c r="AL418" i="6"/>
  <c r="AN418" i="6" s="1"/>
  <c r="AH441" i="6"/>
  <c r="AI441" i="6" s="1"/>
  <c r="AN441" i="6"/>
  <c r="AO441" i="6" s="1"/>
  <c r="AE417" i="6"/>
  <c r="AN417" i="6"/>
  <c r="AO412" i="6"/>
  <c r="M304" i="6"/>
  <c r="L289" i="6"/>
  <c r="AF466" i="6"/>
  <c r="S59" i="6"/>
  <c r="S72" i="6" s="1"/>
  <c r="K229" i="6"/>
  <c r="Z414" i="6"/>
  <c r="E15" i="6"/>
  <c r="D24" i="6"/>
  <c r="M24" i="6" s="1"/>
  <c r="AN446" i="6"/>
  <c r="AO446" i="6" s="1"/>
  <c r="AH446" i="6"/>
  <c r="AI446" i="6" s="1"/>
  <c r="D112" i="6"/>
  <c r="O309" i="6"/>
  <c r="R304" i="6"/>
  <c r="P304" i="6"/>
  <c r="AN443" i="6"/>
  <c r="AO443" i="6" s="1"/>
  <c r="AH443" i="6"/>
  <c r="AI443" i="6" s="1"/>
  <c r="M185" i="6"/>
  <c r="AI439" i="6"/>
  <c r="Z417" i="6"/>
  <c r="AH417" i="6" s="1"/>
  <c r="E40" i="6"/>
  <c r="Z416" i="6"/>
  <c r="AH416" i="6" s="1"/>
  <c r="Z449" i="6"/>
  <c r="AI449" i="6" s="1"/>
  <c r="Z478" i="6"/>
  <c r="AH478" i="6" s="1"/>
  <c r="AI478" i="6" s="1"/>
  <c r="AN423" i="6"/>
  <c r="AO423" i="6" s="1"/>
  <c r="AH423" i="6"/>
  <c r="AI423" i="6" s="1"/>
  <c r="N108" i="6"/>
  <c r="N109" i="6" s="1"/>
  <c r="L165" i="6"/>
  <c r="X108" i="6"/>
  <c r="S108" i="6"/>
  <c r="S109" i="6" s="1"/>
  <c r="Z418" i="6"/>
  <c r="Z465" i="6"/>
  <c r="P7" i="6"/>
  <c r="N59" i="6"/>
  <c r="N72" i="6" s="1"/>
  <c r="M108" i="6"/>
  <c r="M109" i="6" s="1"/>
  <c r="R108" i="6"/>
  <c r="R109" i="6" s="1"/>
  <c r="K108" i="6"/>
  <c r="E231" i="6"/>
  <c r="Q24" i="5"/>
  <c r="S34" i="5"/>
  <c r="S11" i="5"/>
  <c r="R7" i="5"/>
  <c r="S12" i="5"/>
  <c r="N15" i="5"/>
  <c r="V485" i="5"/>
  <c r="A485" i="5" s="1"/>
  <c r="AF472" i="5"/>
  <c r="AF412" i="5"/>
  <c r="AL409" i="5"/>
  <c r="V402" i="5"/>
  <c r="C291" i="5"/>
  <c r="C356" i="5" s="1"/>
  <c r="AF445" i="5"/>
  <c r="C236" i="5"/>
  <c r="C168" i="5"/>
  <c r="AL412" i="5"/>
  <c r="C89" i="5"/>
  <c r="AF476" i="5" s="1"/>
  <c r="N8" i="5"/>
  <c r="P15" i="5"/>
  <c r="A58" i="5"/>
  <c r="A67" i="5"/>
  <c r="AF447" i="5"/>
  <c r="K11" i="5"/>
  <c r="L24" i="5"/>
  <c r="S9" i="5"/>
  <c r="M10" i="5"/>
  <c r="K10" i="5"/>
  <c r="R15" i="5"/>
  <c r="N23" i="5"/>
  <c r="N34" i="5"/>
  <c r="AF441" i="5"/>
  <c r="A64" i="5"/>
  <c r="AF444" i="5"/>
  <c r="P95" i="5"/>
  <c r="S113" i="5"/>
  <c r="AL422" i="5"/>
  <c r="N43" i="5"/>
  <c r="AL431" i="5"/>
  <c r="N52" i="5"/>
  <c r="A55" i="5"/>
  <c r="S8" i="5"/>
  <c r="M9" i="5"/>
  <c r="E22" i="5"/>
  <c r="A33" i="5"/>
  <c r="A49" i="5"/>
  <c r="P6" i="5"/>
  <c r="Q13" i="5"/>
  <c r="O31" i="5" s="1"/>
  <c r="P8" i="5"/>
  <c r="N10" i="5"/>
  <c r="AF416" i="5"/>
  <c r="A56" i="5"/>
  <c r="S77" i="5"/>
  <c r="V82" i="5"/>
  <c r="E94" i="5"/>
  <c r="P94" i="5"/>
  <c r="M96" i="5"/>
  <c r="N103" i="5"/>
  <c r="M8" i="5"/>
  <c r="S31" i="5"/>
  <c r="AL413" i="5"/>
  <c r="Z413" i="5"/>
  <c r="E15" i="5"/>
  <c r="S53" i="5"/>
  <c r="Z442" i="5"/>
  <c r="M94" i="5"/>
  <c r="J97" i="5"/>
  <c r="K94" i="5"/>
  <c r="S44" i="5"/>
  <c r="N44" i="5"/>
  <c r="E17" i="5"/>
  <c r="E19" i="5"/>
  <c r="N53" i="5"/>
  <c r="N62" i="5"/>
  <c r="N71" i="5"/>
  <c r="S75" i="5"/>
  <c r="A79" i="5"/>
  <c r="N37" i="5"/>
  <c r="A50" i="5"/>
  <c r="E21" i="5"/>
  <c r="A57" i="5"/>
  <c r="S62" i="5"/>
  <c r="N65" i="5"/>
  <c r="S118" i="5"/>
  <c r="S356" i="5"/>
  <c r="AO485" i="5"/>
  <c r="AO402" i="5"/>
  <c r="S291" i="5"/>
  <c r="S236" i="5"/>
  <c r="S168" i="5"/>
  <c r="S89" i="5"/>
  <c r="S37" i="5"/>
  <c r="L41" i="5"/>
  <c r="AL423" i="5"/>
  <c r="D53" i="5"/>
  <c r="R10" i="5"/>
  <c r="N9" i="5"/>
  <c r="P9" i="5"/>
  <c r="F24" i="5"/>
  <c r="A42" i="5"/>
  <c r="A51" i="5"/>
  <c r="R8" i="5"/>
  <c r="E6" i="5"/>
  <c r="E7" i="5"/>
  <c r="E11" i="5"/>
  <c r="P11" i="5"/>
  <c r="M15" i="5"/>
  <c r="S22" i="5"/>
  <c r="A66" i="5"/>
  <c r="A76" i="5"/>
  <c r="A36" i="5"/>
  <c r="AF414" i="5"/>
  <c r="S38" i="5"/>
  <c r="K38" i="5"/>
  <c r="N40" i="5"/>
  <c r="S63" i="5"/>
  <c r="N133" i="5"/>
  <c r="N140" i="5"/>
  <c r="N70" i="5"/>
  <c r="E96" i="5"/>
  <c r="S96" i="5"/>
  <c r="P100" i="5"/>
  <c r="L105" i="5"/>
  <c r="L135" i="5"/>
  <c r="N127" i="5"/>
  <c r="S143" i="5"/>
  <c r="N151" i="5"/>
  <c r="M95" i="5"/>
  <c r="Q105" i="5"/>
  <c r="O113" i="5" s="1"/>
  <c r="S112" i="5"/>
  <c r="S125" i="5"/>
  <c r="N130" i="5"/>
  <c r="S133" i="5"/>
  <c r="L163" i="5"/>
  <c r="N156" i="5"/>
  <c r="E185" i="5"/>
  <c r="E194" i="5" s="1"/>
  <c r="R178" i="5"/>
  <c r="A32" i="5"/>
  <c r="S46" i="5"/>
  <c r="A48" i="5"/>
  <c r="S81" i="5"/>
  <c r="K95" i="5"/>
  <c r="E104" i="5"/>
  <c r="S123" i="5"/>
  <c r="K174" i="5"/>
  <c r="AF439" i="5"/>
  <c r="A82" i="5"/>
  <c r="S95" i="5"/>
  <c r="S102" i="5"/>
  <c r="N104" i="5"/>
  <c r="N144" i="5"/>
  <c r="S156" i="5"/>
  <c r="R175" i="5"/>
  <c r="M175" i="5"/>
  <c r="D185" i="5"/>
  <c r="L231" i="5"/>
  <c r="L97" i="5"/>
  <c r="S100" i="5"/>
  <c r="F135" i="5"/>
  <c r="F153" i="5"/>
  <c r="N141" i="5"/>
  <c r="S149" i="5"/>
  <c r="N149" i="5"/>
  <c r="S157" i="5"/>
  <c r="F163" i="5"/>
  <c r="S198" i="5"/>
  <c r="S104" i="5"/>
  <c r="N126" i="5"/>
  <c r="N128" i="5"/>
  <c r="N131" i="5"/>
  <c r="N134" i="5"/>
  <c r="N136" i="5"/>
  <c r="S162" i="5"/>
  <c r="S52" i="5"/>
  <c r="N96" i="5"/>
  <c r="E100" i="5"/>
  <c r="S114" i="5"/>
  <c r="N114" i="5"/>
  <c r="N117" i="5"/>
  <c r="S134" i="5"/>
  <c r="N162" i="5"/>
  <c r="R172" i="5"/>
  <c r="Q189" i="5"/>
  <c r="S43" i="5"/>
  <c r="J32" i="5"/>
  <c r="K100" i="5"/>
  <c r="S131" i="5"/>
  <c r="P174" i="5"/>
  <c r="P185" i="5"/>
  <c r="P194" i="5" s="1"/>
  <c r="S178" i="5"/>
  <c r="S184" i="5"/>
  <c r="S150" i="5"/>
  <c r="N150" i="5"/>
  <c r="N59" i="5"/>
  <c r="N68" i="5"/>
  <c r="F105" i="5"/>
  <c r="D113" i="5" s="1"/>
  <c r="N113" i="5"/>
  <c r="S116" i="5"/>
  <c r="S129" i="5"/>
  <c r="N129" i="5"/>
  <c r="Q153" i="5"/>
  <c r="N142" i="5"/>
  <c r="Q173" i="5"/>
  <c r="K185" i="5"/>
  <c r="R95" i="5"/>
  <c r="N112" i="5"/>
  <c r="L122" i="5"/>
  <c r="L153" i="5"/>
  <c r="N137" i="5"/>
  <c r="S211" i="5"/>
  <c r="S224" i="5"/>
  <c r="N224" i="5"/>
  <c r="N241" i="5"/>
  <c r="L242" i="5"/>
  <c r="R303" i="5"/>
  <c r="P303" i="5"/>
  <c r="M308" i="5"/>
  <c r="K308" i="5"/>
  <c r="Q330" i="5"/>
  <c r="S381" i="5"/>
  <c r="F395" i="5"/>
  <c r="E395" i="5" s="1"/>
  <c r="S216" i="5"/>
  <c r="N216" i="5"/>
  <c r="N228" i="5"/>
  <c r="R241" i="5"/>
  <c r="Q266" i="5"/>
  <c r="N308" i="5"/>
  <c r="S376" i="5"/>
  <c r="S130" i="5"/>
  <c r="S132" i="5"/>
  <c r="S140" i="5"/>
  <c r="S142" i="5"/>
  <c r="L179" i="5"/>
  <c r="N179" i="5" s="1"/>
  <c r="L185" i="5"/>
  <c r="N198" i="5"/>
  <c r="N202" i="5"/>
  <c r="N204" i="5"/>
  <c r="S213" i="5"/>
  <c r="N221" i="5"/>
  <c r="M244" i="5"/>
  <c r="S259" i="5"/>
  <c r="N298" i="5"/>
  <c r="S319" i="5"/>
  <c r="S188" i="5"/>
  <c r="S221" i="5"/>
  <c r="N244" i="5"/>
  <c r="N245" i="5" s="1"/>
  <c r="L250" i="5"/>
  <c r="L245" i="5"/>
  <c r="K266" i="5"/>
  <c r="Q285" i="5"/>
  <c r="S285" i="5" s="1"/>
  <c r="N268" i="5"/>
  <c r="N285" i="5" s="1"/>
  <c r="N275" i="5"/>
  <c r="N335" i="5"/>
  <c r="N139" i="5"/>
  <c r="N157" i="5"/>
  <c r="P183" i="5"/>
  <c r="N184" i="5"/>
  <c r="S207" i="5"/>
  <c r="L229" i="5"/>
  <c r="F251" i="5"/>
  <c r="S275" i="5"/>
  <c r="R296" i="5"/>
  <c r="N214" i="5"/>
  <c r="N222" i="5"/>
  <c r="S225" i="5"/>
  <c r="N225" i="5"/>
  <c r="S241" i="5"/>
  <c r="S242" i="5" s="1"/>
  <c r="N265" i="5"/>
  <c r="N161" i="5"/>
  <c r="M188" i="5"/>
  <c r="S205" i="5"/>
  <c r="N212" i="5"/>
  <c r="S214" i="5"/>
  <c r="S219" i="5"/>
  <c r="S222" i="5"/>
  <c r="S254" i="5"/>
  <c r="S260" i="5"/>
  <c r="S263" i="5"/>
  <c r="S265" i="5"/>
  <c r="S282" i="5"/>
  <c r="N120" i="5"/>
  <c r="S159" i="5"/>
  <c r="J185" i="5"/>
  <c r="K186" i="5" s="1"/>
  <c r="N175" i="5"/>
  <c r="P180" i="5"/>
  <c r="F210" i="5"/>
  <c r="S208" i="5"/>
  <c r="N208" i="5"/>
  <c r="P287" i="5"/>
  <c r="S245" i="5"/>
  <c r="P285" i="5"/>
  <c r="Q250" i="5"/>
  <c r="N257" i="5"/>
  <c r="S257" i="5"/>
  <c r="S276" i="5"/>
  <c r="S181" i="5"/>
  <c r="S215" i="5"/>
  <c r="N215" i="5"/>
  <c r="L287" i="5"/>
  <c r="S273" i="5"/>
  <c r="N273" i="5"/>
  <c r="S307" i="5"/>
  <c r="N307" i="5"/>
  <c r="N152" i="5"/>
  <c r="N188" i="5"/>
  <c r="N218" i="5"/>
  <c r="P266" i="5"/>
  <c r="S280" i="5"/>
  <c r="N300" i="5"/>
  <c r="S300" i="5"/>
  <c r="S203" i="5"/>
  <c r="S223" i="5"/>
  <c r="N223" i="5"/>
  <c r="S258" i="5"/>
  <c r="P297" i="5"/>
  <c r="R297" i="5"/>
  <c r="S325" i="5"/>
  <c r="S392" i="5"/>
  <c r="E174" i="5"/>
  <c r="L182" i="5"/>
  <c r="S206" i="5"/>
  <c r="N206" i="5"/>
  <c r="S220" i="5"/>
  <c r="S226" i="5"/>
  <c r="M241" i="5"/>
  <c r="Q245" i="5"/>
  <c r="N258" i="5"/>
  <c r="S270" i="5"/>
  <c r="S277" i="5"/>
  <c r="P295" i="5"/>
  <c r="P298" i="5"/>
  <c r="R298" i="5"/>
  <c r="M295" i="5"/>
  <c r="S303" i="5"/>
  <c r="S308" i="5"/>
  <c r="S343" i="5"/>
  <c r="N343" i="5"/>
  <c r="AL441" i="5"/>
  <c r="AO454" i="5"/>
  <c r="AN454" i="5"/>
  <c r="N259" i="5"/>
  <c r="N261" i="5"/>
  <c r="N269" i="5"/>
  <c r="N271" i="5"/>
  <c r="N276" i="5"/>
  <c r="K295" i="5"/>
  <c r="F304" i="5"/>
  <c r="F309" i="5" s="1"/>
  <c r="F314" i="5" s="1"/>
  <c r="E298" i="5"/>
  <c r="S298" i="5"/>
  <c r="L304" i="5"/>
  <c r="S384" i="5"/>
  <c r="S267" i="5"/>
  <c r="S269" i="5"/>
  <c r="S274" i="5"/>
  <c r="K307" i="5"/>
  <c r="E308" i="5"/>
  <c r="S329" i="5"/>
  <c r="N346" i="5"/>
  <c r="N296" i="5"/>
  <c r="M312" i="5"/>
  <c r="E312" i="5"/>
  <c r="N325" i="5"/>
  <c r="S327" i="5"/>
  <c r="S335" i="5"/>
  <c r="S368" i="5"/>
  <c r="K298" i="5"/>
  <c r="S301" i="5"/>
  <c r="S341" i="5"/>
  <c r="Q362" i="5"/>
  <c r="S299" i="5"/>
  <c r="S302" i="5"/>
  <c r="N321" i="5"/>
  <c r="N323" i="5"/>
  <c r="N328" i="5"/>
  <c r="AH469" i="5"/>
  <c r="AI469" i="5" s="1"/>
  <c r="N282" i="5"/>
  <c r="N284" i="5"/>
  <c r="M299" i="5"/>
  <c r="S323" i="5"/>
  <c r="S328" i="5"/>
  <c r="N333" i="5"/>
  <c r="S333" i="5"/>
  <c r="S365" i="5"/>
  <c r="L377" i="5"/>
  <c r="S386" i="5"/>
  <c r="S247" i="5"/>
  <c r="N260" i="5"/>
  <c r="N262" i="5"/>
  <c r="N270" i="5"/>
  <c r="N272" i="5"/>
  <c r="N277" i="5"/>
  <c r="N279" i="5"/>
  <c r="R295" i="5"/>
  <c r="S296" i="5"/>
  <c r="N299" i="5"/>
  <c r="M301" i="5"/>
  <c r="P307" i="5"/>
  <c r="N326" i="5"/>
  <c r="N336" i="5"/>
  <c r="S374" i="5"/>
  <c r="S297" i="5"/>
  <c r="O304" i="5"/>
  <c r="N312" i="5"/>
  <c r="S321" i="5"/>
  <c r="S326" i="5"/>
  <c r="S348" i="5"/>
  <c r="S394" i="5"/>
  <c r="F330" i="5"/>
  <c r="L349" i="5"/>
  <c r="S331" i="5"/>
  <c r="N331" i="5"/>
  <c r="J304" i="5"/>
  <c r="L330" i="5"/>
  <c r="S324" i="5"/>
  <c r="S334" i="5"/>
  <c r="S360" i="5"/>
  <c r="S378" i="5"/>
  <c r="S389" i="5"/>
  <c r="AN469" i="5"/>
  <c r="AO469" i="5" s="1"/>
  <c r="N341" i="5"/>
  <c r="L362" i="5"/>
  <c r="Q377" i="5"/>
  <c r="S371" i="5"/>
  <c r="AN455" i="5"/>
  <c r="AO453" i="5"/>
  <c r="AH455" i="5"/>
  <c r="AH460" i="5"/>
  <c r="AI460" i="5" s="1"/>
  <c r="AN477" i="5"/>
  <c r="AH477" i="5"/>
  <c r="AI477" i="5" s="1"/>
  <c r="S339" i="5"/>
  <c r="F377" i="5"/>
  <c r="N347" i="5"/>
  <c r="S369" i="5"/>
  <c r="S372" i="5"/>
  <c r="S382" i="5"/>
  <c r="S390" i="5"/>
  <c r="AH453" i="5"/>
  <c r="AH458" i="5"/>
  <c r="N345" i="5"/>
  <c r="S347" i="5"/>
  <c r="AN458" i="5"/>
  <c r="AH461" i="5"/>
  <c r="AN492" i="5"/>
  <c r="S393" i="5"/>
  <c r="AI420" i="5"/>
  <c r="AN453" i="5"/>
  <c r="AI456" i="5"/>
  <c r="N338" i="5"/>
  <c r="S345" i="5"/>
  <c r="S367" i="5"/>
  <c r="S370" i="5"/>
  <c r="S375" i="5"/>
  <c r="S380" i="5"/>
  <c r="S340" i="5"/>
  <c r="D362" i="5"/>
  <c r="E362" i="5" s="1"/>
  <c r="AO459" i="5"/>
  <c r="S383" i="5"/>
  <c r="S391" i="5"/>
  <c r="AN456" i="5"/>
  <c r="AH459" i="5"/>
  <c r="AH493" i="5"/>
  <c r="AN497" i="5"/>
  <c r="AH492" i="5"/>
  <c r="S51" i="15"/>
  <c r="N51" i="15"/>
  <c r="E6" i="15"/>
  <c r="A8" i="15"/>
  <c r="M11" i="15"/>
  <c r="S42" i="15"/>
  <c r="S11" i="15"/>
  <c r="J113" i="15"/>
  <c r="N6" i="15"/>
  <c r="S6" i="15"/>
  <c r="E12" i="15"/>
  <c r="P12" i="15"/>
  <c r="N23" i="15"/>
  <c r="S47" i="15"/>
  <c r="S53" i="15"/>
  <c r="N69" i="15"/>
  <c r="S69" i="15"/>
  <c r="E9" i="15"/>
  <c r="S9" i="15"/>
  <c r="P9" i="15"/>
  <c r="N9" i="15"/>
  <c r="F24" i="15"/>
  <c r="S7" i="15"/>
  <c r="P7" i="15"/>
  <c r="N12" i="15"/>
  <c r="N34" i="15"/>
  <c r="R12" i="15"/>
  <c r="S39" i="15"/>
  <c r="S48" i="15"/>
  <c r="AO402" i="15"/>
  <c r="AO485" i="15"/>
  <c r="S356" i="15"/>
  <c r="S291" i="15"/>
  <c r="S236" i="15"/>
  <c r="S168" i="15"/>
  <c r="S89" i="15"/>
  <c r="P10" i="15"/>
  <c r="E10" i="15"/>
  <c r="S80" i="15"/>
  <c r="N31" i="15"/>
  <c r="S31" i="15"/>
  <c r="K10" i="15"/>
  <c r="N44" i="15"/>
  <c r="S64" i="15"/>
  <c r="P6" i="15"/>
  <c r="N7" i="15"/>
  <c r="S22" i="15"/>
  <c r="S57" i="15"/>
  <c r="R6" i="15"/>
  <c r="M6" i="15"/>
  <c r="A33" i="15"/>
  <c r="L41" i="15"/>
  <c r="S66" i="15"/>
  <c r="N66" i="15"/>
  <c r="R96" i="15"/>
  <c r="N22" i="15"/>
  <c r="N64" i="15"/>
  <c r="N77" i="15"/>
  <c r="K96" i="15"/>
  <c r="S112" i="15"/>
  <c r="AL423" i="15"/>
  <c r="N57" i="15"/>
  <c r="A59" i="15"/>
  <c r="N62" i="15"/>
  <c r="E95" i="15"/>
  <c r="N53" i="15"/>
  <c r="S58" i="15"/>
  <c r="N32" i="15"/>
  <c r="S34" i="15"/>
  <c r="N37" i="15"/>
  <c r="Q24" i="15"/>
  <c r="S23" i="15"/>
  <c r="A35" i="15"/>
  <c r="N48" i="15"/>
  <c r="N50" i="15"/>
  <c r="A52" i="15"/>
  <c r="N55" i="15"/>
  <c r="V82" i="15"/>
  <c r="S82" i="15"/>
  <c r="Q105" i="15"/>
  <c r="E102" i="15"/>
  <c r="S115" i="15"/>
  <c r="L122" i="15"/>
  <c r="S71" i="15"/>
  <c r="A78" i="15"/>
  <c r="N80" i="15"/>
  <c r="K94" i="15"/>
  <c r="R7" i="15"/>
  <c r="AF451" i="15"/>
  <c r="A17" i="15"/>
  <c r="N36" i="15"/>
  <c r="A61" i="15"/>
  <c r="A63" i="15"/>
  <c r="S65" i="15"/>
  <c r="Z445" i="15"/>
  <c r="AF447" i="15"/>
  <c r="N71" i="15"/>
  <c r="A76" i="15"/>
  <c r="N82" i="15"/>
  <c r="L97" i="15"/>
  <c r="M95" i="15"/>
  <c r="N40" i="15"/>
  <c r="S102" i="15"/>
  <c r="N102" i="15"/>
  <c r="N113" i="15"/>
  <c r="S37" i="15"/>
  <c r="N95" i="15"/>
  <c r="AL429" i="15"/>
  <c r="V485" i="15"/>
  <c r="A485" i="15" s="1"/>
  <c r="AF478" i="15"/>
  <c r="AL473" i="15"/>
  <c r="AO473" i="15" s="1"/>
  <c r="AL437" i="15"/>
  <c r="AF412" i="15"/>
  <c r="Z424" i="15"/>
  <c r="C291" i="15"/>
  <c r="C356" i="15" s="1"/>
  <c r="C168" i="15"/>
  <c r="V402" i="15"/>
  <c r="C236" i="15"/>
  <c r="Z473" i="15" s="1"/>
  <c r="K11" i="15"/>
  <c r="A38" i="15"/>
  <c r="S43" i="15"/>
  <c r="N45" i="15"/>
  <c r="A49" i="15"/>
  <c r="A56" i="15"/>
  <c r="N65" i="15"/>
  <c r="C89" i="15"/>
  <c r="AF444" i="15" s="1"/>
  <c r="N94" i="15"/>
  <c r="E100" i="15"/>
  <c r="O113" i="15"/>
  <c r="N123" i="15"/>
  <c r="N39" i="15"/>
  <c r="K39" i="15"/>
  <c r="A70" i="15"/>
  <c r="P95" i="15"/>
  <c r="R95" i="15"/>
  <c r="J97" i="15"/>
  <c r="R100" i="15"/>
  <c r="S113" i="15"/>
  <c r="N116" i="15"/>
  <c r="S124" i="15"/>
  <c r="N124" i="15"/>
  <c r="M12" i="15"/>
  <c r="S40" i="15"/>
  <c r="N47" i="15"/>
  <c r="A68" i="15"/>
  <c r="S116" i="15"/>
  <c r="K12" i="15"/>
  <c r="N103" i="15"/>
  <c r="K38" i="15"/>
  <c r="S79" i="15"/>
  <c r="M7" i="15"/>
  <c r="P11" i="15"/>
  <c r="E19" i="15"/>
  <c r="D53" i="15"/>
  <c r="N79" i="15"/>
  <c r="E96" i="15"/>
  <c r="F97" i="15"/>
  <c r="S96" i="15"/>
  <c r="S103" i="15"/>
  <c r="S118" i="15"/>
  <c r="S145" i="15"/>
  <c r="N145" i="15"/>
  <c r="P185" i="15"/>
  <c r="L153" i="15"/>
  <c r="S136" i="15"/>
  <c r="Q185" i="15"/>
  <c r="Q173" i="15"/>
  <c r="S114" i="15"/>
  <c r="S127" i="15"/>
  <c r="S129" i="15"/>
  <c r="N134" i="15"/>
  <c r="N136" i="15"/>
  <c r="N148" i="15"/>
  <c r="S132" i="15"/>
  <c r="S134" i="15"/>
  <c r="S142" i="15"/>
  <c r="N81" i="15"/>
  <c r="S81" i="15"/>
  <c r="P94" i="15"/>
  <c r="E94" i="15"/>
  <c r="S94" i="15"/>
  <c r="S97" i="15" s="1"/>
  <c r="K100" i="15"/>
  <c r="S100" i="15"/>
  <c r="N119" i="15"/>
  <c r="N132" i="15"/>
  <c r="N130" i="15"/>
  <c r="S130" i="15"/>
  <c r="N146" i="15"/>
  <c r="S146" i="15"/>
  <c r="N152" i="15"/>
  <c r="S152" i="15"/>
  <c r="S149" i="15"/>
  <c r="N149" i="15"/>
  <c r="S157" i="15"/>
  <c r="N157" i="15"/>
  <c r="N115" i="15"/>
  <c r="N140" i="15"/>
  <c r="K95" i="15"/>
  <c r="S119" i="15"/>
  <c r="N128" i="15"/>
  <c r="S128" i="15"/>
  <c r="N133" i="15"/>
  <c r="Q153" i="15"/>
  <c r="N143" i="15"/>
  <c r="K186" i="15"/>
  <c r="S133" i="15"/>
  <c r="F163" i="15"/>
  <c r="N121" i="15"/>
  <c r="S131" i="15"/>
  <c r="S144" i="15"/>
  <c r="N144" i="15"/>
  <c r="N158" i="15"/>
  <c r="S158" i="15"/>
  <c r="N96" i="15"/>
  <c r="S117" i="15"/>
  <c r="N131" i="15"/>
  <c r="N138" i="15"/>
  <c r="S138" i="15"/>
  <c r="S141" i="15"/>
  <c r="N150" i="15"/>
  <c r="S140" i="15"/>
  <c r="N172" i="15"/>
  <c r="S200" i="15"/>
  <c r="N204" i="15"/>
  <c r="S204" i="15"/>
  <c r="R300" i="15"/>
  <c r="R308" i="15"/>
  <c r="P308" i="15"/>
  <c r="Q176" i="15"/>
  <c r="L163" i="15"/>
  <c r="S150" i="15"/>
  <c r="N156" i="15"/>
  <c r="M188" i="15"/>
  <c r="S198" i="15"/>
  <c r="Q163" i="15"/>
  <c r="Q210" i="15"/>
  <c r="N151" i="15"/>
  <c r="N142" i="15"/>
  <c r="R175" i="15"/>
  <c r="F176" i="15"/>
  <c r="S199" i="15"/>
  <c r="N199" i="15"/>
  <c r="R297" i="15"/>
  <c r="L135" i="15"/>
  <c r="K185" i="15"/>
  <c r="K266" i="15"/>
  <c r="L250" i="15"/>
  <c r="L245" i="15"/>
  <c r="S211" i="15"/>
  <c r="N267" i="15"/>
  <c r="Q285" i="15"/>
  <c r="F285" i="15"/>
  <c r="E285" i="15" s="1"/>
  <c r="S301" i="15"/>
  <c r="N301" i="15"/>
  <c r="S323" i="15"/>
  <c r="N181" i="15"/>
  <c r="L242" i="15"/>
  <c r="L285" i="15"/>
  <c r="K295" i="15"/>
  <c r="L304" i="15"/>
  <c r="N295" i="15"/>
  <c r="M297" i="15"/>
  <c r="S337" i="15"/>
  <c r="N337" i="15"/>
  <c r="S172" i="15"/>
  <c r="Q192" i="15"/>
  <c r="N205" i="15"/>
  <c r="N216" i="15"/>
  <c r="N223" i="15"/>
  <c r="S320" i="15"/>
  <c r="R181" i="15"/>
  <c r="N212" i="15"/>
  <c r="L229" i="15"/>
  <c r="S260" i="15"/>
  <c r="N260" i="15"/>
  <c r="Q266" i="15"/>
  <c r="Q287" i="15" s="1"/>
  <c r="P299" i="15"/>
  <c r="L349" i="15"/>
  <c r="L185" i="15"/>
  <c r="L210" i="15"/>
  <c r="S214" i="15"/>
  <c r="S216" i="15"/>
  <c r="N219" i="15"/>
  <c r="S270" i="15"/>
  <c r="N270" i="15"/>
  <c r="S307" i="15"/>
  <c r="S365" i="15"/>
  <c r="S370" i="15"/>
  <c r="L173" i="15"/>
  <c r="L176" i="15"/>
  <c r="N198" i="15"/>
  <c r="F210" i="15"/>
  <c r="P303" i="15"/>
  <c r="R303" i="15"/>
  <c r="P312" i="15"/>
  <c r="M312" i="15"/>
  <c r="E312" i="15"/>
  <c r="S321" i="15"/>
  <c r="N321" i="15"/>
  <c r="S341" i="15"/>
  <c r="S277" i="15"/>
  <c r="N277" i="15"/>
  <c r="J309" i="15"/>
  <c r="K298" i="15"/>
  <c r="N298" i="15"/>
  <c r="M300" i="15"/>
  <c r="S335" i="15"/>
  <c r="N335" i="15"/>
  <c r="S366" i="15"/>
  <c r="Q182" i="15"/>
  <c r="N202" i="15"/>
  <c r="N206" i="15"/>
  <c r="S208" i="15"/>
  <c r="N217" i="15"/>
  <c r="N224" i="15"/>
  <c r="S268" i="15"/>
  <c r="N300" i="15"/>
  <c r="Q330" i="15"/>
  <c r="S345" i="15"/>
  <c r="N162" i="15"/>
  <c r="N184" i="15"/>
  <c r="S215" i="15"/>
  <c r="Q229" i="15"/>
  <c r="N244" i="15"/>
  <c r="N245" i="15" s="1"/>
  <c r="E250" i="15"/>
  <c r="R244" i="15"/>
  <c r="S281" i="15"/>
  <c r="R302" i="15"/>
  <c r="P302" i="15"/>
  <c r="S222" i="15"/>
  <c r="K285" i="15"/>
  <c r="S262" i="15"/>
  <c r="N262" i="15"/>
  <c r="N333" i="15"/>
  <c r="S333" i="15"/>
  <c r="S202" i="15"/>
  <c r="N209" i="15"/>
  <c r="N218" i="15"/>
  <c r="N225" i="15"/>
  <c r="S228" i="15"/>
  <c r="F242" i="15"/>
  <c r="M241" i="15"/>
  <c r="S241" i="15"/>
  <c r="R241" i="15"/>
  <c r="S272" i="15"/>
  <c r="S339" i="15"/>
  <c r="N339" i="15"/>
  <c r="Q362" i="15"/>
  <c r="AH459" i="15"/>
  <c r="AI459" i="15" s="1"/>
  <c r="S209" i="15"/>
  <c r="S226" i="15"/>
  <c r="S263" i="15"/>
  <c r="S265" i="15"/>
  <c r="S280" i="15"/>
  <c r="S324" i="15"/>
  <c r="S346" i="15"/>
  <c r="P360" i="15"/>
  <c r="S386" i="15"/>
  <c r="AN453" i="15"/>
  <c r="AN456" i="15"/>
  <c r="AN469" i="15"/>
  <c r="AO469" i="15" s="1"/>
  <c r="P297" i="15"/>
  <c r="S300" i="15"/>
  <c r="S308" i="15"/>
  <c r="F377" i="15"/>
  <c r="S367" i="15"/>
  <c r="S379" i="15"/>
  <c r="S391" i="15"/>
  <c r="AQ496" i="15"/>
  <c r="AI496" i="15"/>
  <c r="N272" i="15"/>
  <c r="K296" i="15"/>
  <c r="K299" i="15"/>
  <c r="K307" i="15"/>
  <c r="E308" i="15"/>
  <c r="S312" i="15"/>
  <c r="R312" i="15" s="1"/>
  <c r="N323" i="15"/>
  <c r="S384" i="15"/>
  <c r="AO454" i="15"/>
  <c r="AH496" i="15"/>
  <c r="K287" i="15"/>
  <c r="N318" i="15"/>
  <c r="N320" i="15"/>
  <c r="L330" i="15"/>
  <c r="N332" i="15"/>
  <c r="N343" i="15"/>
  <c r="N345" i="15"/>
  <c r="L377" i="15"/>
  <c r="S389" i="15"/>
  <c r="AN477" i="15"/>
  <c r="AO477" i="15" s="1"/>
  <c r="N227" i="15"/>
  <c r="N264" i="15"/>
  <c r="N281" i="15"/>
  <c r="N283" i="15"/>
  <c r="M296" i="15"/>
  <c r="N297" i="15"/>
  <c r="N308" i="15"/>
  <c r="N347" i="15"/>
  <c r="K360" i="15"/>
  <c r="AN454" i="15"/>
  <c r="AN457" i="15"/>
  <c r="AO457" i="15" s="1"/>
  <c r="AN460" i="15"/>
  <c r="AO460" i="15" s="1"/>
  <c r="S298" i="15"/>
  <c r="S338" i="15"/>
  <c r="S360" i="15"/>
  <c r="L362" i="15"/>
  <c r="S375" i="15"/>
  <c r="S387" i="15"/>
  <c r="AN420" i="15"/>
  <c r="AO420" i="15" s="1"/>
  <c r="AH454" i="15"/>
  <c r="AI454" i="15" s="1"/>
  <c r="N256" i="15"/>
  <c r="K297" i="15"/>
  <c r="K300" i="15"/>
  <c r="K308" i="15"/>
  <c r="N327" i="15"/>
  <c r="N329" i="15"/>
  <c r="N334" i="15"/>
  <c r="S336" i="15"/>
  <c r="N338" i="15"/>
  <c r="N342" i="15"/>
  <c r="S368" i="15"/>
  <c r="L266" i="15"/>
  <c r="N336" i="15"/>
  <c r="N340" i="15"/>
  <c r="F395" i="15"/>
  <c r="E395" i="15" s="1"/>
  <c r="S385" i="15"/>
  <c r="AI455" i="15"/>
  <c r="AH455" i="15"/>
  <c r="AI458" i="15"/>
  <c r="L395" i="15"/>
  <c r="K395" i="15" s="1"/>
  <c r="S378" i="15"/>
  <c r="S390" i="15"/>
  <c r="S371" i="15"/>
  <c r="S383" i="15"/>
  <c r="AN461" i="15"/>
  <c r="AO461" i="15" s="1"/>
  <c r="AO491" i="15"/>
  <c r="S376" i="15"/>
  <c r="S388" i="15"/>
  <c r="AN497" i="15"/>
  <c r="AN491" i="15"/>
  <c r="AN494" i="15"/>
  <c r="AH453" i="15"/>
  <c r="AH456" i="15"/>
  <c r="AN493" i="15"/>
  <c r="AH477" i="15"/>
  <c r="AI477" i="15" s="1"/>
  <c r="AH492" i="15"/>
  <c r="AH458" i="15"/>
  <c r="Q233" i="6" l="1"/>
  <c r="R14" i="6"/>
  <c r="AL433" i="6"/>
  <c r="AM416" i="6"/>
  <c r="X28" i="6"/>
  <c r="K27" i="6"/>
  <c r="AI425" i="6"/>
  <c r="AH425" i="6"/>
  <c r="Y418" i="6"/>
  <c r="AI418" i="6"/>
  <c r="E36" i="6"/>
  <c r="AK416" i="6"/>
  <c r="AO416" i="6"/>
  <c r="AL481" i="6"/>
  <c r="Y411" i="6"/>
  <c r="AM411" i="6" s="1"/>
  <c r="AI411" i="6"/>
  <c r="F233" i="6"/>
  <c r="F195" i="6"/>
  <c r="E210" i="6"/>
  <c r="E229" i="6"/>
  <c r="AM410" i="6"/>
  <c r="AG410" i="6"/>
  <c r="S287" i="6"/>
  <c r="AK409" i="6"/>
  <c r="AL419" i="6"/>
  <c r="AN409" i="6"/>
  <c r="AO409" i="6" s="1"/>
  <c r="AS481" i="6"/>
  <c r="AH449" i="6"/>
  <c r="AH452" i="6" s="1"/>
  <c r="AI452" i="6" s="1"/>
  <c r="Y413" i="6"/>
  <c r="AM413" i="6" s="1"/>
  <c r="Y414" i="6"/>
  <c r="AH414" i="6"/>
  <c r="AI414" i="6" s="1"/>
  <c r="AI432" i="6"/>
  <c r="AH432" i="6"/>
  <c r="AN479" i="6"/>
  <c r="AH413" i="6"/>
  <c r="AI413" i="6" s="1"/>
  <c r="Z452" i="6"/>
  <c r="AG418" i="6"/>
  <c r="AM418" i="6"/>
  <c r="E33" i="6"/>
  <c r="AN449" i="6"/>
  <c r="AN452" i="6" s="1"/>
  <c r="E35" i="6"/>
  <c r="S14" i="6"/>
  <c r="Q27" i="6"/>
  <c r="P72" i="6" s="1"/>
  <c r="N14" i="6"/>
  <c r="F27" i="6"/>
  <c r="AH411" i="6"/>
  <c r="AO418" i="6"/>
  <c r="AK418" i="6"/>
  <c r="Y409" i="6"/>
  <c r="AM409" i="6" s="1"/>
  <c r="Z419" i="6"/>
  <c r="AH409" i="6"/>
  <c r="AI409" i="6" s="1"/>
  <c r="L353" i="6"/>
  <c r="X314" i="6"/>
  <c r="S314" i="6"/>
  <c r="N314" i="6"/>
  <c r="N315" i="6" s="1"/>
  <c r="K330" i="6"/>
  <c r="K349" i="6"/>
  <c r="AH418" i="6"/>
  <c r="AL466" i="6"/>
  <c r="AO466" i="6" s="1"/>
  <c r="K314" i="6"/>
  <c r="AI463" i="6"/>
  <c r="Z466" i="6"/>
  <c r="F401" i="6"/>
  <c r="Z433" i="6"/>
  <c r="AK415" i="6"/>
  <c r="AO415" i="6"/>
  <c r="AI495" i="6"/>
  <c r="AH495" i="6"/>
  <c r="AK410" i="6"/>
  <c r="F165" i="6"/>
  <c r="N165" i="6" s="1"/>
  <c r="E135" i="6"/>
  <c r="O24" i="6"/>
  <c r="E31" i="6"/>
  <c r="E72" i="6"/>
  <c r="AI427" i="6"/>
  <c r="AH427" i="6"/>
  <c r="AN415" i="6"/>
  <c r="AO427" i="6"/>
  <c r="AN427" i="6"/>
  <c r="AK414" i="6"/>
  <c r="AN414" i="6"/>
  <c r="AO414" i="6" s="1"/>
  <c r="Q74" i="6"/>
  <c r="P74" i="6" s="1"/>
  <c r="P41" i="6"/>
  <c r="R309" i="6"/>
  <c r="P309" i="6"/>
  <c r="O314" i="6"/>
  <c r="AH463" i="6"/>
  <c r="AH466" i="6" s="1"/>
  <c r="S289" i="6"/>
  <c r="E41" i="6"/>
  <c r="F74" i="6"/>
  <c r="E74" i="6" s="1"/>
  <c r="N74" i="6"/>
  <c r="K74" i="6"/>
  <c r="L85" i="6"/>
  <c r="E287" i="6"/>
  <c r="F289" i="6"/>
  <c r="N289" i="6" s="1"/>
  <c r="AH426" i="6"/>
  <c r="AI435" i="6"/>
  <c r="AN451" i="6"/>
  <c r="AO411" i="6"/>
  <c r="AK411" i="6"/>
  <c r="W82" i="6"/>
  <c r="AN426" i="6"/>
  <c r="Z481" i="6"/>
  <c r="AH472" i="6"/>
  <c r="AI472" i="6" s="1"/>
  <c r="AI465" i="6"/>
  <c r="AH465" i="6"/>
  <c r="AI416" i="6"/>
  <c r="Y416" i="6"/>
  <c r="AG416" i="6" s="1"/>
  <c r="AO450" i="6"/>
  <c r="AN450" i="6"/>
  <c r="E309" i="6"/>
  <c r="D314" i="6"/>
  <c r="AN478" i="6"/>
  <c r="AH419" i="6"/>
  <c r="AI419" i="6" s="1"/>
  <c r="AF468" i="6"/>
  <c r="AN419" i="6"/>
  <c r="K351" i="6"/>
  <c r="S233" i="6"/>
  <c r="N233" i="6"/>
  <c r="M14" i="6"/>
  <c r="E13" i="6"/>
  <c r="D27" i="6"/>
  <c r="E27" i="6" s="1"/>
  <c r="Y412" i="6"/>
  <c r="E24" i="6"/>
  <c r="E38" i="6"/>
  <c r="E34" i="6"/>
  <c r="E39" i="6"/>
  <c r="E32" i="6"/>
  <c r="AO425" i="6"/>
  <c r="AN425" i="6"/>
  <c r="O27" i="6"/>
  <c r="P27" i="6" s="1"/>
  <c r="P13" i="6"/>
  <c r="AI415" i="6"/>
  <c r="Y415" i="6"/>
  <c r="AG415" i="6" s="1"/>
  <c r="AO472" i="6"/>
  <c r="AN472" i="6"/>
  <c r="N351" i="6"/>
  <c r="M194" i="6"/>
  <c r="R194" i="6"/>
  <c r="Q165" i="6"/>
  <c r="S165" i="6" s="1"/>
  <c r="AI417" i="6"/>
  <c r="Y417" i="6"/>
  <c r="AG417" i="6" s="1"/>
  <c r="AO417" i="6"/>
  <c r="AK417" i="6"/>
  <c r="AM412" i="6"/>
  <c r="AG412" i="6"/>
  <c r="AN433" i="6"/>
  <c r="AO433" i="6" s="1"/>
  <c r="AH433" i="6"/>
  <c r="AI433" i="6" s="1"/>
  <c r="AO435" i="6"/>
  <c r="AL452" i="6"/>
  <c r="S231" i="6"/>
  <c r="AN416" i="6"/>
  <c r="S315" i="6"/>
  <c r="Q353" i="6"/>
  <c r="P349" i="6"/>
  <c r="P330" i="6"/>
  <c r="E37" i="6"/>
  <c r="AK413" i="6"/>
  <c r="AO413" i="6"/>
  <c r="AF407" i="6"/>
  <c r="S242" i="15"/>
  <c r="Q287" i="5"/>
  <c r="S266" i="5"/>
  <c r="AE414" i="5"/>
  <c r="F397" i="5"/>
  <c r="E397" i="5" s="1"/>
  <c r="E377" i="5"/>
  <c r="P377" i="5"/>
  <c r="O309" i="5"/>
  <c r="R304" i="5"/>
  <c r="P304" i="5"/>
  <c r="N210" i="5"/>
  <c r="AE416" i="5"/>
  <c r="AN441" i="5"/>
  <c r="AO441" i="5" s="1"/>
  <c r="Q304" i="5"/>
  <c r="J309" i="5"/>
  <c r="K304" i="5"/>
  <c r="E300" i="5"/>
  <c r="F189" i="5"/>
  <c r="S250" i="5"/>
  <c r="N250" i="5"/>
  <c r="N251" i="5" s="1"/>
  <c r="L289" i="5"/>
  <c r="F349" i="5"/>
  <c r="E349" i="5" s="1"/>
  <c r="Q176" i="5"/>
  <c r="S175" i="5"/>
  <c r="F176" i="5"/>
  <c r="F185" i="5"/>
  <c r="Q163" i="5"/>
  <c r="S17" i="5"/>
  <c r="N17" i="5"/>
  <c r="K117" i="5"/>
  <c r="K119" i="5"/>
  <c r="K102" i="5"/>
  <c r="R102" i="5" s="1"/>
  <c r="K112" i="5"/>
  <c r="K116" i="5"/>
  <c r="K113" i="5"/>
  <c r="K103" i="5"/>
  <c r="R103" i="5" s="1"/>
  <c r="W159" i="5"/>
  <c r="K114" i="5"/>
  <c r="K120" i="5"/>
  <c r="K104" i="5"/>
  <c r="R104" i="5" s="1"/>
  <c r="K97" i="5"/>
  <c r="X109" i="5"/>
  <c r="J108" i="5"/>
  <c r="J105" i="5"/>
  <c r="K121" i="5"/>
  <c r="K118" i="5"/>
  <c r="K115" i="5"/>
  <c r="M11" i="5"/>
  <c r="D13" i="5"/>
  <c r="AL437" i="5"/>
  <c r="Z437" i="5"/>
  <c r="AF413" i="5"/>
  <c r="AL470" i="5"/>
  <c r="AF424" i="5"/>
  <c r="Z448" i="5"/>
  <c r="AL475" i="5"/>
  <c r="AO475" i="5" s="1"/>
  <c r="AF448" i="5"/>
  <c r="Z440" i="5"/>
  <c r="AI440" i="5" s="1"/>
  <c r="AF479" i="5"/>
  <c r="O13" i="5"/>
  <c r="AK412" i="5" s="1"/>
  <c r="P296" i="5"/>
  <c r="Q229" i="5"/>
  <c r="AO412" i="5"/>
  <c r="AN412" i="5"/>
  <c r="AF450" i="5"/>
  <c r="AF451" i="5"/>
  <c r="AI455" i="5"/>
  <c r="S366" i="5"/>
  <c r="M300" i="5"/>
  <c r="S287" i="5"/>
  <c r="Q395" i="5"/>
  <c r="P395" i="5" s="1"/>
  <c r="F229" i="5"/>
  <c r="F231" i="5" s="1"/>
  <c r="P177" i="5"/>
  <c r="N163" i="5"/>
  <c r="Z472" i="5"/>
  <c r="AH472" i="5" s="1"/>
  <c r="AI472" i="5" s="1"/>
  <c r="F13" i="5"/>
  <c r="N100" i="5"/>
  <c r="Z431" i="5"/>
  <c r="AL476" i="5"/>
  <c r="AO476" i="5" s="1"/>
  <c r="AF430" i="5"/>
  <c r="Z475" i="5"/>
  <c r="AF475" i="5"/>
  <c r="R9" i="5"/>
  <c r="E360" i="5"/>
  <c r="F362" i="5"/>
  <c r="F399" i="5" s="1"/>
  <c r="AN461" i="5"/>
  <c r="AO461" i="5" s="1"/>
  <c r="E295" i="5"/>
  <c r="D304" i="5"/>
  <c r="M304" i="5" s="1"/>
  <c r="M307" i="5"/>
  <c r="E307" i="5"/>
  <c r="S153" i="5"/>
  <c r="N153" i="5"/>
  <c r="R96" i="5"/>
  <c r="P96" i="5"/>
  <c r="S163" i="5"/>
  <c r="S135" i="5"/>
  <c r="N135" i="5"/>
  <c r="S76" i="5"/>
  <c r="S47" i="5"/>
  <c r="N47" i="5"/>
  <c r="R100" i="5"/>
  <c r="AL439" i="5"/>
  <c r="Z422" i="5"/>
  <c r="Z409" i="5"/>
  <c r="AF478" i="5"/>
  <c r="AF471" i="5"/>
  <c r="N21" i="5"/>
  <c r="AI461" i="5"/>
  <c r="E296" i="5"/>
  <c r="M296" i="5"/>
  <c r="Q135" i="5"/>
  <c r="AL436" i="5"/>
  <c r="Z436" i="5"/>
  <c r="S349" i="5"/>
  <c r="F266" i="5"/>
  <c r="S268" i="5"/>
  <c r="S139" i="5"/>
  <c r="N75" i="5"/>
  <c r="L251" i="5"/>
  <c r="S66" i="5"/>
  <c r="N66" i="5"/>
  <c r="N115" i="5"/>
  <c r="N55" i="5"/>
  <c r="S55" i="5"/>
  <c r="L72" i="5"/>
  <c r="S24" i="5"/>
  <c r="S25" i="5" s="1"/>
  <c r="N24" i="5"/>
  <c r="N25" i="5" s="1"/>
  <c r="AL448" i="5"/>
  <c r="AF443" i="5"/>
  <c r="Z424" i="5"/>
  <c r="AF434" i="5"/>
  <c r="AF410" i="5"/>
  <c r="AF474" i="5"/>
  <c r="Z497" i="5"/>
  <c r="Z470" i="5"/>
  <c r="N11" i="5"/>
  <c r="AO457" i="5"/>
  <c r="AN457" i="5"/>
  <c r="P299" i="5"/>
  <c r="R299" i="5"/>
  <c r="M298" i="5"/>
  <c r="AO455" i="5"/>
  <c r="S395" i="5"/>
  <c r="N349" i="5"/>
  <c r="AH456" i="5"/>
  <c r="AN466" i="5"/>
  <c r="AN460" i="5"/>
  <c r="AO460" i="5" s="1"/>
  <c r="AI453" i="5"/>
  <c r="R302" i="5"/>
  <c r="P302" i="5"/>
  <c r="N199" i="5"/>
  <c r="Q185" i="5"/>
  <c r="L186" i="5"/>
  <c r="L194" i="5"/>
  <c r="N185" i="5"/>
  <c r="N186" i="5" s="1"/>
  <c r="S115" i="5"/>
  <c r="N121" i="5"/>
  <c r="L108" i="5"/>
  <c r="K135" i="5" s="1"/>
  <c r="S105" i="5"/>
  <c r="S106" i="5" s="1"/>
  <c r="J113" i="5"/>
  <c r="N105" i="5"/>
  <c r="N106" i="5" s="1"/>
  <c r="L54" i="5"/>
  <c r="AL446" i="5"/>
  <c r="Z446" i="5"/>
  <c r="J112" i="5"/>
  <c r="F122" i="5"/>
  <c r="N122" i="5" s="1"/>
  <c r="AL429" i="5"/>
  <c r="Z429" i="5"/>
  <c r="N94" i="5"/>
  <c r="F97" i="5"/>
  <c r="AL428" i="5"/>
  <c r="Z428" i="5"/>
  <c r="O97" i="5"/>
  <c r="R97" i="5" s="1"/>
  <c r="R98" i="5" s="1"/>
  <c r="R11" i="5"/>
  <c r="AF409" i="5"/>
  <c r="AF436" i="5"/>
  <c r="AF480" i="5"/>
  <c r="Z473" i="5"/>
  <c r="S50" i="5"/>
  <c r="N39" i="5"/>
  <c r="K39" i="5"/>
  <c r="S39" i="5"/>
  <c r="N49" i="5"/>
  <c r="S64" i="5"/>
  <c r="S7" i="5"/>
  <c r="N7" i="5"/>
  <c r="AF463" i="5"/>
  <c r="AL424" i="5"/>
  <c r="AF423" i="5"/>
  <c r="AL415" i="5"/>
  <c r="Z476" i="5"/>
  <c r="AH476" i="5" s="1"/>
  <c r="AI476" i="5" s="1"/>
  <c r="K7" i="5"/>
  <c r="AI458" i="5"/>
  <c r="F285" i="5"/>
  <c r="E285" i="5" s="1"/>
  <c r="S122" i="5"/>
  <c r="L155" i="5"/>
  <c r="K122" i="5"/>
  <c r="AO458" i="5"/>
  <c r="AH457" i="5"/>
  <c r="AI457" i="5" s="1"/>
  <c r="K229" i="5"/>
  <c r="S229" i="5"/>
  <c r="N229" i="5"/>
  <c r="Q210" i="5"/>
  <c r="Z416" i="5"/>
  <c r="N118" i="5"/>
  <c r="S94" i="5"/>
  <c r="S97" i="5" s="1"/>
  <c r="Q97" i="5"/>
  <c r="O112" i="5" s="1"/>
  <c r="AL444" i="5"/>
  <c r="AN444" i="5" s="1"/>
  <c r="Z444" i="5"/>
  <c r="AH444" i="5" s="1"/>
  <c r="N119" i="5"/>
  <c r="Z443" i="5"/>
  <c r="AF437" i="5"/>
  <c r="AF440" i="5"/>
  <c r="AF442" i="5"/>
  <c r="AF426" i="5"/>
  <c r="AF418" i="5"/>
  <c r="AF422" i="5"/>
  <c r="K6" i="5"/>
  <c r="M6" i="5"/>
  <c r="M13" i="5" s="1"/>
  <c r="J13" i="5"/>
  <c r="AE412" i="5" s="1"/>
  <c r="R6" i="5"/>
  <c r="S121" i="5"/>
  <c r="P12" i="5"/>
  <c r="R12" i="5"/>
  <c r="L74" i="5"/>
  <c r="AI459" i="5"/>
  <c r="L309" i="5"/>
  <c r="S304" i="5"/>
  <c r="N304" i="5"/>
  <c r="N305" i="5" s="1"/>
  <c r="N242" i="5"/>
  <c r="K231" i="5"/>
  <c r="S82" i="5"/>
  <c r="Q122" i="5"/>
  <c r="S19" i="5"/>
  <c r="N19" i="5"/>
  <c r="R94" i="5"/>
  <c r="S33" i="5"/>
  <c r="N61" i="5"/>
  <c r="S61" i="5"/>
  <c r="Z415" i="5"/>
  <c r="AF421" i="5"/>
  <c r="Z439" i="5"/>
  <c r="AH439" i="5" s="1"/>
  <c r="AL443" i="5"/>
  <c r="Z445" i="5"/>
  <c r="AH445" i="5" s="1"/>
  <c r="AF429" i="5"/>
  <c r="AF435" i="5"/>
  <c r="AF425" i="5"/>
  <c r="AF464" i="5"/>
  <c r="AO477" i="5"/>
  <c r="S362" i="5"/>
  <c r="Q349" i="5"/>
  <c r="Q351" i="5" s="1"/>
  <c r="P308" i="5"/>
  <c r="R308" i="5"/>
  <c r="N78" i="5"/>
  <c r="S78" i="5"/>
  <c r="D97" i="5"/>
  <c r="E95" i="5"/>
  <c r="L83" i="5"/>
  <c r="AL438" i="5"/>
  <c r="Z423" i="5"/>
  <c r="Z449" i="5"/>
  <c r="AI449" i="5" s="1"/>
  <c r="AF417" i="5"/>
  <c r="AF446" i="5"/>
  <c r="AF432" i="5"/>
  <c r="AF438" i="5"/>
  <c r="AF428" i="5"/>
  <c r="AF470" i="5"/>
  <c r="L13" i="5"/>
  <c r="N35" i="5"/>
  <c r="R360" i="5"/>
  <c r="O362" i="5"/>
  <c r="P360" i="5"/>
  <c r="Q289" i="5"/>
  <c r="Q251" i="5"/>
  <c r="K194" i="5"/>
  <c r="M185" i="5"/>
  <c r="O185" i="5"/>
  <c r="S60" i="5"/>
  <c r="N60" i="5"/>
  <c r="S36" i="5"/>
  <c r="N79" i="5"/>
  <c r="S79" i="5"/>
  <c r="AL447" i="5"/>
  <c r="Z447" i="5"/>
  <c r="AF415" i="5"/>
  <c r="AF427" i="5"/>
  <c r="AL473" i="5"/>
  <c r="AO473" i="5" s="1"/>
  <c r="AF465" i="5"/>
  <c r="Z438" i="5"/>
  <c r="AF449" i="5"/>
  <c r="Z441" i="5"/>
  <c r="AF431" i="5"/>
  <c r="AF473" i="5"/>
  <c r="N6" i="5"/>
  <c r="N13" i="5" s="1"/>
  <c r="S35" i="5"/>
  <c r="F351" i="5"/>
  <c r="E351" i="5" s="1"/>
  <c r="E330" i="5"/>
  <c r="L351" i="5"/>
  <c r="S330" i="5"/>
  <c r="N330" i="5"/>
  <c r="S377" i="5"/>
  <c r="L397" i="5"/>
  <c r="K377" i="5"/>
  <c r="S363" i="5"/>
  <c r="N297" i="5"/>
  <c r="E297" i="5"/>
  <c r="P300" i="5"/>
  <c r="R300" i="5"/>
  <c r="N36" i="5"/>
  <c r="M17" i="5"/>
  <c r="K17" i="5"/>
  <c r="R17" i="5"/>
  <c r="Q27" i="5"/>
  <c r="N31" i="5"/>
  <c r="N58" i="5"/>
  <c r="S58" i="5"/>
  <c r="Z412" i="5"/>
  <c r="AH412" i="5" s="1"/>
  <c r="AF411" i="5"/>
  <c r="AL442" i="5"/>
  <c r="AL440" i="5"/>
  <c r="AO440" i="5" s="1"/>
  <c r="AL445" i="5"/>
  <c r="S6" i="5"/>
  <c r="N349" i="15"/>
  <c r="AH420" i="15"/>
  <c r="AI420" i="15" s="1"/>
  <c r="S297" i="15"/>
  <c r="L397" i="15"/>
  <c r="K377" i="15"/>
  <c r="R295" i="15"/>
  <c r="P295" i="15"/>
  <c r="O304" i="15"/>
  <c r="F330" i="15"/>
  <c r="N175" i="15"/>
  <c r="S210" i="15"/>
  <c r="L231" i="15"/>
  <c r="N210" i="15"/>
  <c r="O185" i="15"/>
  <c r="R172" i="15"/>
  <c r="Q135" i="15"/>
  <c r="S123" i="15"/>
  <c r="Z446" i="15"/>
  <c r="AF413" i="15"/>
  <c r="Z423" i="15"/>
  <c r="AF449" i="15"/>
  <c r="AF445" i="15"/>
  <c r="K15" i="15"/>
  <c r="M15" i="15"/>
  <c r="R15" i="15"/>
  <c r="Q304" i="15"/>
  <c r="S304" i="15" s="1"/>
  <c r="Q377" i="15"/>
  <c r="N279" i="15"/>
  <c r="S363" i="15"/>
  <c r="P285" i="15"/>
  <c r="P266" i="15"/>
  <c r="P287" i="15"/>
  <c r="Q250" i="15"/>
  <c r="S245" i="15"/>
  <c r="Q245" i="15"/>
  <c r="S185" i="15"/>
  <c r="L186" i="15"/>
  <c r="L194" i="15"/>
  <c r="K210" i="15" s="1"/>
  <c r="F349" i="15"/>
  <c r="F304" i="15"/>
  <c r="F309" i="15" s="1"/>
  <c r="F314" i="15" s="1"/>
  <c r="S156" i="15"/>
  <c r="S163" i="15" s="1"/>
  <c r="AF464" i="15"/>
  <c r="AL447" i="15"/>
  <c r="Z415" i="15"/>
  <c r="AL424" i="15"/>
  <c r="AF472" i="15"/>
  <c r="AF448" i="15"/>
  <c r="AF471" i="15"/>
  <c r="F105" i="15"/>
  <c r="S46" i="15"/>
  <c r="N46" i="15"/>
  <c r="P96" i="15"/>
  <c r="O31" i="15"/>
  <c r="Q231" i="15"/>
  <c r="K118" i="15"/>
  <c r="X109" i="15"/>
  <c r="K115" i="15"/>
  <c r="K113" i="15"/>
  <c r="K112" i="15"/>
  <c r="K117" i="15"/>
  <c r="K121" i="15"/>
  <c r="K119" i="15"/>
  <c r="K116" i="15"/>
  <c r="J108" i="15"/>
  <c r="K103" i="15"/>
  <c r="R103" i="15" s="1"/>
  <c r="K120" i="15"/>
  <c r="K114" i="15"/>
  <c r="K97" i="15"/>
  <c r="K104" i="15"/>
  <c r="R104" i="15" s="1"/>
  <c r="K102" i="15"/>
  <c r="R102" i="15" s="1"/>
  <c r="J105" i="15"/>
  <c r="AF411" i="15"/>
  <c r="Z437" i="15"/>
  <c r="Z436" i="15"/>
  <c r="AF475" i="15"/>
  <c r="AF474" i="15"/>
  <c r="N10" i="15"/>
  <c r="S10" i="15"/>
  <c r="E15" i="15"/>
  <c r="L24" i="15"/>
  <c r="S21" i="15"/>
  <c r="N21" i="15"/>
  <c r="O13" i="15"/>
  <c r="D97" i="15"/>
  <c r="E120" i="15" s="1"/>
  <c r="Q97" i="15"/>
  <c r="AF480" i="15"/>
  <c r="N67" i="15"/>
  <c r="S67" i="15"/>
  <c r="S19" i="15"/>
  <c r="N19" i="15"/>
  <c r="S36" i="15"/>
  <c r="S8" i="15"/>
  <c r="S13" i="15" s="1"/>
  <c r="AH469" i="15"/>
  <c r="AI469" i="15" s="1"/>
  <c r="N241" i="15"/>
  <c r="N242" i="15" s="1"/>
  <c r="N304" i="15"/>
  <c r="N305" i="15" s="1"/>
  <c r="L309" i="15"/>
  <c r="AL412" i="15"/>
  <c r="AF470" i="15"/>
  <c r="Z414" i="15"/>
  <c r="AL409" i="15"/>
  <c r="Z475" i="15"/>
  <c r="Z429" i="15"/>
  <c r="Z410" i="15"/>
  <c r="AF410" i="15"/>
  <c r="Z476" i="15"/>
  <c r="R9" i="15"/>
  <c r="K9" i="15"/>
  <c r="M9" i="15"/>
  <c r="O32" i="15"/>
  <c r="F13" i="15"/>
  <c r="D31" i="15" s="1"/>
  <c r="M8" i="15"/>
  <c r="M13" i="15" s="1"/>
  <c r="P8" i="15"/>
  <c r="S295" i="15"/>
  <c r="M308" i="15"/>
  <c r="N285" i="15"/>
  <c r="S244" i="15"/>
  <c r="E174" i="15"/>
  <c r="E185" i="15"/>
  <c r="E194" i="15" s="1"/>
  <c r="M172" i="15"/>
  <c r="P177" i="15"/>
  <c r="S153" i="15"/>
  <c r="O97" i="15"/>
  <c r="P119" i="15" s="1"/>
  <c r="AF440" i="15"/>
  <c r="AF421" i="15"/>
  <c r="AF414" i="15"/>
  <c r="AL476" i="15"/>
  <c r="AO476" i="15" s="1"/>
  <c r="AL430" i="15"/>
  <c r="AF416" i="15"/>
  <c r="AF463" i="15"/>
  <c r="AL475" i="15"/>
  <c r="AO475" i="15" s="1"/>
  <c r="AL415" i="15"/>
  <c r="Z412" i="15"/>
  <c r="R94" i="15"/>
  <c r="E121" i="15"/>
  <c r="S120" i="15"/>
  <c r="D32" i="15"/>
  <c r="S44" i="15"/>
  <c r="L13" i="15"/>
  <c r="R8" i="15"/>
  <c r="K8" i="15"/>
  <c r="S227" i="15"/>
  <c r="N266" i="15"/>
  <c r="L287" i="15"/>
  <c r="S266" i="15"/>
  <c r="S330" i="15"/>
  <c r="L351" i="15"/>
  <c r="F266" i="15"/>
  <c r="R301" i="15"/>
  <c r="P301" i="15"/>
  <c r="AN466" i="15"/>
  <c r="K304" i="15"/>
  <c r="N70" i="15"/>
  <c r="S70" i="15"/>
  <c r="Q72" i="15"/>
  <c r="AF450" i="15"/>
  <c r="AF473" i="15"/>
  <c r="AF424" i="15"/>
  <c r="AF465" i="15"/>
  <c r="AF438" i="15"/>
  <c r="AF422" i="15"/>
  <c r="AF479" i="15"/>
  <c r="S121" i="15"/>
  <c r="N120" i="15"/>
  <c r="R10" i="15"/>
  <c r="L289" i="15"/>
  <c r="S250" i="15"/>
  <c r="N250" i="15"/>
  <c r="N251" i="15" s="1"/>
  <c r="Q186" i="15"/>
  <c r="Q194" i="15"/>
  <c r="P229" i="15" s="1"/>
  <c r="E301" i="15"/>
  <c r="M301" i="15"/>
  <c r="L399" i="15"/>
  <c r="S362" i="15"/>
  <c r="N312" i="15"/>
  <c r="E298" i="15"/>
  <c r="M298" i="15"/>
  <c r="F229" i="15"/>
  <c r="N211" i="15"/>
  <c r="S279" i="15"/>
  <c r="Q189" i="15"/>
  <c r="P300" i="15"/>
  <c r="P194" i="15"/>
  <c r="S395" i="15"/>
  <c r="E300" i="15"/>
  <c r="AO453" i="15"/>
  <c r="M244" i="15"/>
  <c r="K309" i="15"/>
  <c r="J314" i="15"/>
  <c r="S285" i="15"/>
  <c r="K194" i="15"/>
  <c r="M185" i="15"/>
  <c r="P174" i="15"/>
  <c r="E119" i="15"/>
  <c r="Z430" i="15"/>
  <c r="AL436" i="15"/>
  <c r="AF427" i="15"/>
  <c r="AF436" i="15"/>
  <c r="AF439" i="15"/>
  <c r="AF423" i="15"/>
  <c r="Z480" i="15"/>
  <c r="AF441" i="15"/>
  <c r="AF425" i="15"/>
  <c r="AF437" i="15"/>
  <c r="Z470" i="15"/>
  <c r="AL470" i="15"/>
  <c r="F41" i="15"/>
  <c r="S33" i="15"/>
  <c r="M10" i="15"/>
  <c r="L54" i="15"/>
  <c r="L74" i="15" s="1"/>
  <c r="F250" i="15"/>
  <c r="F245" i="15"/>
  <c r="R360" i="15"/>
  <c r="O362" i="15"/>
  <c r="S264" i="15"/>
  <c r="W159" i="15"/>
  <c r="F189" i="15"/>
  <c r="N188" i="15"/>
  <c r="AF434" i="15"/>
  <c r="AL444" i="15"/>
  <c r="AN444" i="15" s="1"/>
  <c r="AF430" i="15"/>
  <c r="Z439" i="15"/>
  <c r="AL410" i="15"/>
  <c r="Z442" i="15"/>
  <c r="AF426" i="15"/>
  <c r="AF418" i="15"/>
  <c r="Z409" i="15"/>
  <c r="AL442" i="15"/>
  <c r="AF428" i="15"/>
  <c r="M94" i="15"/>
  <c r="F135" i="15"/>
  <c r="N135" i="15" s="1"/>
  <c r="Q122" i="15"/>
  <c r="S105" i="15"/>
  <c r="S106" i="15" s="1"/>
  <c r="AN412" i="15"/>
  <c r="AH412" i="15"/>
  <c r="AE412" i="15"/>
  <c r="E295" i="15"/>
  <c r="D304" i="15"/>
  <c r="M295" i="15"/>
  <c r="R298" i="15"/>
  <c r="P298" i="15"/>
  <c r="D362" i="15"/>
  <c r="E362" i="15" s="1"/>
  <c r="E360" i="15"/>
  <c r="Q179" i="15"/>
  <c r="S178" i="15"/>
  <c r="S135" i="15"/>
  <c r="S188" i="15"/>
  <c r="N163" i="15"/>
  <c r="AF476" i="15"/>
  <c r="AL434" i="15"/>
  <c r="AL440" i="15"/>
  <c r="AO440" i="15" s="1"/>
  <c r="AF415" i="15"/>
  <c r="AF429" i="15"/>
  <c r="AF435" i="15"/>
  <c r="AL414" i="15"/>
  <c r="Z444" i="15"/>
  <c r="AH444" i="15" s="1"/>
  <c r="AF431" i="15"/>
  <c r="Z440" i="15"/>
  <c r="AI440" i="15" s="1"/>
  <c r="M96" i="15"/>
  <c r="R11" i="15"/>
  <c r="R13" i="15" s="1"/>
  <c r="Q13" i="15"/>
  <c r="N11" i="15"/>
  <c r="E297" i="15"/>
  <c r="P183" i="15"/>
  <c r="S229" i="15"/>
  <c r="K229" i="15"/>
  <c r="D185" i="15"/>
  <c r="N200" i="15"/>
  <c r="F153" i="15"/>
  <c r="N153" i="15" s="1"/>
  <c r="L83" i="15"/>
  <c r="F122" i="15"/>
  <c r="N122" i="15" s="1"/>
  <c r="AF409" i="15"/>
  <c r="AF443" i="15"/>
  <c r="AF432" i="15"/>
  <c r="Z422" i="15"/>
  <c r="AL445" i="15"/>
  <c r="Z434" i="15"/>
  <c r="S55" i="15"/>
  <c r="L155" i="15"/>
  <c r="S122" i="15"/>
  <c r="J13" i="15"/>
  <c r="S32" i="15"/>
  <c r="S12" i="15"/>
  <c r="AH461" i="15"/>
  <c r="N254" i="15"/>
  <c r="E377" i="15"/>
  <c r="F397" i="15"/>
  <c r="Q349" i="15"/>
  <c r="Q351" i="15" s="1"/>
  <c r="S331" i="15"/>
  <c r="S349" i="15" s="1"/>
  <c r="AI453" i="15"/>
  <c r="Q242" i="15"/>
  <c r="P250" i="15"/>
  <c r="S181" i="15"/>
  <c r="F173" i="15"/>
  <c r="F185" i="15"/>
  <c r="Z478" i="15"/>
  <c r="AH478" i="15" s="1"/>
  <c r="AI478" i="15" s="1"/>
  <c r="AL450" i="15"/>
  <c r="AO450" i="15" s="1"/>
  <c r="AL422" i="15"/>
  <c r="AF417" i="15"/>
  <c r="Z421" i="15"/>
  <c r="AF446" i="15"/>
  <c r="AL421" i="15"/>
  <c r="AL446" i="15"/>
  <c r="AF442" i="15"/>
  <c r="AL439" i="15"/>
  <c r="Z447" i="15"/>
  <c r="L108" i="15"/>
  <c r="K135" i="15" s="1"/>
  <c r="N97" i="15"/>
  <c r="N98" i="15" s="1"/>
  <c r="J112" i="15"/>
  <c r="N17" i="15"/>
  <c r="S17" i="15"/>
  <c r="L72" i="15"/>
  <c r="AO452" i="6" l="1"/>
  <c r="AP468" i="6"/>
  <c r="AS468" i="6" s="1"/>
  <c r="AH468" i="6"/>
  <c r="AI468" i="6" s="1"/>
  <c r="AD468" i="6"/>
  <c r="AH407" i="6"/>
  <c r="AI407" i="6" s="1"/>
  <c r="AF483" i="6"/>
  <c r="AS407" i="6"/>
  <c r="AD452" i="6"/>
  <c r="AD433" i="6"/>
  <c r="AD419" i="6"/>
  <c r="AI466" i="6"/>
  <c r="AG414" i="6"/>
  <c r="AM414" i="6"/>
  <c r="AL468" i="6"/>
  <c r="AO419" i="6"/>
  <c r="M27" i="6"/>
  <c r="M28" i="6" s="1"/>
  <c r="R27" i="6"/>
  <c r="R28" i="6" s="1"/>
  <c r="AD466" i="6"/>
  <c r="P38" i="6"/>
  <c r="P24" i="6"/>
  <c r="P34" i="6"/>
  <c r="P39" i="6"/>
  <c r="P32" i="6"/>
  <c r="P33" i="6"/>
  <c r="P37" i="6"/>
  <c r="P40" i="6"/>
  <c r="P36" i="6"/>
  <c r="P31" i="6"/>
  <c r="P35" i="6"/>
  <c r="X419" i="6"/>
  <c r="Z468" i="6"/>
  <c r="AG411" i="6"/>
  <c r="E314" i="6"/>
  <c r="Z406" i="6"/>
  <c r="Y448" i="6" s="1"/>
  <c r="AM415" i="6"/>
  <c r="M314" i="6"/>
  <c r="L401" i="6"/>
  <c r="N353" i="6"/>
  <c r="S353" i="6"/>
  <c r="X452" i="6"/>
  <c r="S74" i="6"/>
  <c r="R314" i="6"/>
  <c r="P314" i="6"/>
  <c r="AL406" i="6"/>
  <c r="AM417" i="6"/>
  <c r="Z407" i="6"/>
  <c r="Z483" i="6" s="1"/>
  <c r="F85" i="6"/>
  <c r="N27" i="6"/>
  <c r="E54" i="6"/>
  <c r="AG413" i="6"/>
  <c r="AD481" i="6"/>
  <c r="AG409" i="6"/>
  <c r="AH481" i="6"/>
  <c r="AI481" i="6" s="1"/>
  <c r="AL407" i="6"/>
  <c r="Q85" i="6"/>
  <c r="S27" i="6"/>
  <c r="S85" i="6" s="1"/>
  <c r="P54" i="6"/>
  <c r="AN481" i="6"/>
  <c r="AO481" i="6" s="1"/>
  <c r="R14" i="15"/>
  <c r="P115" i="5"/>
  <c r="P112" i="5"/>
  <c r="R97" i="15"/>
  <c r="R98" i="15" s="1"/>
  <c r="P121" i="5"/>
  <c r="Q397" i="5"/>
  <c r="S13" i="5"/>
  <c r="S14" i="5" s="1"/>
  <c r="S83" i="5"/>
  <c r="N231" i="5"/>
  <c r="Y416" i="5"/>
  <c r="AI416" i="5"/>
  <c r="AH416" i="5"/>
  <c r="AN473" i="5"/>
  <c r="AH473" i="5"/>
  <c r="AI473" i="5" s="1"/>
  <c r="AE417" i="5"/>
  <c r="Z411" i="5"/>
  <c r="N51" i="5"/>
  <c r="Z430" i="5"/>
  <c r="AE418" i="5"/>
  <c r="Z450" i="5"/>
  <c r="AI450" i="5" s="1"/>
  <c r="Z435" i="5"/>
  <c r="N56" i="5"/>
  <c r="Q194" i="5"/>
  <c r="P229" i="5" s="1"/>
  <c r="Q186" i="5"/>
  <c r="F287" i="5"/>
  <c r="E266" i="5"/>
  <c r="N266" i="5"/>
  <c r="AH448" i="5"/>
  <c r="AN448" i="5"/>
  <c r="AO448" i="5" s="1"/>
  <c r="Z463" i="5"/>
  <c r="AN431" i="5"/>
  <c r="AO431" i="5" s="1"/>
  <c r="AH431" i="5"/>
  <c r="AI431" i="5" s="1"/>
  <c r="K397" i="5"/>
  <c r="S397" i="5"/>
  <c r="D108" i="5"/>
  <c r="E108" i="5" s="1"/>
  <c r="D105" i="5"/>
  <c r="E105" i="5" s="1"/>
  <c r="E97" i="5"/>
  <c r="E113" i="5"/>
  <c r="E112" i="5"/>
  <c r="E117" i="5"/>
  <c r="E120" i="5"/>
  <c r="E116" i="5"/>
  <c r="E114" i="5"/>
  <c r="AN425" i="5"/>
  <c r="AN442" i="5"/>
  <c r="AO442" i="5" s="1"/>
  <c r="AH442" i="5"/>
  <c r="AI442" i="5" s="1"/>
  <c r="Q54" i="5"/>
  <c r="P54" i="5" s="1"/>
  <c r="S42" i="5"/>
  <c r="AL421" i="5"/>
  <c r="AN480" i="5"/>
  <c r="AO480" i="5" s="1"/>
  <c r="F108" i="5"/>
  <c r="D112" i="5"/>
  <c r="N97" i="5"/>
  <c r="N98" i="5" s="1"/>
  <c r="AN474" i="5"/>
  <c r="AO474" i="5" s="1"/>
  <c r="AH474" i="5"/>
  <c r="AI474" i="5" s="1"/>
  <c r="Z432" i="5"/>
  <c r="AI432" i="5" s="1"/>
  <c r="AK409" i="5"/>
  <c r="Z465" i="5"/>
  <c r="AI465" i="5" s="1"/>
  <c r="F186" i="5"/>
  <c r="F194" i="5"/>
  <c r="AH449" i="5"/>
  <c r="R362" i="5"/>
  <c r="P362" i="5"/>
  <c r="AH435" i="5"/>
  <c r="Z478" i="5"/>
  <c r="Z481" i="5" s="1"/>
  <c r="K155" i="5"/>
  <c r="Z418" i="5"/>
  <c r="AH418" i="5" s="1"/>
  <c r="L165" i="5"/>
  <c r="S108" i="5"/>
  <c r="X108" i="5"/>
  <c r="N108" i="5"/>
  <c r="N109" i="5" s="1"/>
  <c r="AN445" i="5"/>
  <c r="AO445" i="5" s="1"/>
  <c r="AI448" i="5"/>
  <c r="M105" i="5"/>
  <c r="K105" i="5"/>
  <c r="J314" i="5"/>
  <c r="K309" i="5"/>
  <c r="F54" i="5"/>
  <c r="Z421" i="5"/>
  <c r="N42" i="5"/>
  <c r="S67" i="5"/>
  <c r="AH440" i="5"/>
  <c r="AN440" i="5"/>
  <c r="N48" i="5"/>
  <c r="Z417" i="5"/>
  <c r="Z427" i="5"/>
  <c r="AI427" i="5" s="1"/>
  <c r="Z426" i="5"/>
  <c r="AI426" i="5" s="1"/>
  <c r="AN436" i="5"/>
  <c r="AO436" i="5" s="1"/>
  <c r="AH436" i="5"/>
  <c r="AI436" i="5" s="1"/>
  <c r="AE410" i="5"/>
  <c r="AN410" i="5"/>
  <c r="K153" i="5"/>
  <c r="AN424" i="5"/>
  <c r="AH424" i="5"/>
  <c r="AI424" i="5" s="1"/>
  <c r="M108" i="5"/>
  <c r="M109" i="5" s="1"/>
  <c r="K108" i="5"/>
  <c r="E119" i="5"/>
  <c r="Q309" i="5"/>
  <c r="S305" i="5"/>
  <c r="Z414" i="5"/>
  <c r="O32" i="5"/>
  <c r="S32" i="5"/>
  <c r="Q41" i="5"/>
  <c r="AL410" i="5"/>
  <c r="N67" i="5"/>
  <c r="AI445" i="5"/>
  <c r="S309" i="5"/>
  <c r="L314" i="5"/>
  <c r="N309" i="5"/>
  <c r="N310" i="5" s="1"/>
  <c r="AN437" i="5"/>
  <c r="AH437" i="5"/>
  <c r="S48" i="5"/>
  <c r="AL416" i="5"/>
  <c r="AL432" i="5"/>
  <c r="AL450" i="5"/>
  <c r="AO450" i="5" s="1"/>
  <c r="AL417" i="5"/>
  <c r="AN417" i="5" s="1"/>
  <c r="AL426" i="5"/>
  <c r="AO426" i="5" s="1"/>
  <c r="AL479" i="5"/>
  <c r="AO479" i="5" s="1"/>
  <c r="AL464" i="5"/>
  <c r="AL451" i="5"/>
  <c r="AO451" i="5" s="1"/>
  <c r="AL427" i="5"/>
  <c r="AO427" i="5" s="1"/>
  <c r="AL449" i="5"/>
  <c r="AO449" i="5" s="1"/>
  <c r="AL425" i="5"/>
  <c r="AO425" i="5" s="1"/>
  <c r="AL465" i="5"/>
  <c r="AL463" i="5"/>
  <c r="AL418" i="5"/>
  <c r="AL478" i="5"/>
  <c r="AO478" i="5" s="1"/>
  <c r="N64" i="5"/>
  <c r="AE409" i="5"/>
  <c r="AN409" i="5"/>
  <c r="AO409" i="5" s="1"/>
  <c r="AH409" i="5"/>
  <c r="AF419" i="5"/>
  <c r="E121" i="5"/>
  <c r="AF452" i="5"/>
  <c r="E118" i="5"/>
  <c r="P135" i="5"/>
  <c r="N14" i="5"/>
  <c r="F27" i="5"/>
  <c r="R309" i="5"/>
  <c r="P309" i="5"/>
  <c r="O314" i="5"/>
  <c r="Y409" i="5"/>
  <c r="AI409" i="5"/>
  <c r="AN429" i="5"/>
  <c r="AO429" i="5" s="1"/>
  <c r="AH429" i="5"/>
  <c r="AI429" i="5" s="1"/>
  <c r="AH411" i="5"/>
  <c r="AE411" i="5"/>
  <c r="AL414" i="5"/>
  <c r="R13" i="5"/>
  <c r="R14" i="5" s="1"/>
  <c r="Q231" i="5"/>
  <c r="P210" i="5"/>
  <c r="S210" i="5"/>
  <c r="E122" i="5"/>
  <c r="F155" i="5"/>
  <c r="E155" i="5" s="1"/>
  <c r="M250" i="5"/>
  <c r="R250" i="5"/>
  <c r="S251" i="5" s="1"/>
  <c r="AN413" i="5"/>
  <c r="AO413" i="5" s="1"/>
  <c r="AH413" i="5"/>
  <c r="AI413" i="5" s="1"/>
  <c r="AE413" i="5"/>
  <c r="AH441" i="5"/>
  <c r="AI441" i="5" s="1"/>
  <c r="AL430" i="5"/>
  <c r="S51" i="5"/>
  <c r="AH465" i="5"/>
  <c r="D32" i="5"/>
  <c r="N32" i="5"/>
  <c r="Z410" i="5"/>
  <c r="AH410" i="5" s="1"/>
  <c r="L27" i="5"/>
  <c r="J31" i="5"/>
  <c r="N33" i="5"/>
  <c r="AI412" i="5"/>
  <c r="Y412" i="5"/>
  <c r="AM412" i="5" s="1"/>
  <c r="S351" i="5"/>
  <c r="K351" i="5"/>
  <c r="N351" i="5"/>
  <c r="Z451" i="5"/>
  <c r="AI451" i="5" s="1"/>
  <c r="AN470" i="5"/>
  <c r="AO470" i="5" s="1"/>
  <c r="AF481" i="5"/>
  <c r="AH470" i="5"/>
  <c r="AI470" i="5" s="1"/>
  <c r="AI439" i="5"/>
  <c r="K13" i="5"/>
  <c r="K21" i="5"/>
  <c r="R21" i="5" s="1"/>
  <c r="K23" i="5"/>
  <c r="R23" i="5" s="1"/>
  <c r="J27" i="5"/>
  <c r="K22" i="5"/>
  <c r="R22" i="5" s="1"/>
  <c r="J24" i="5"/>
  <c r="S49" i="5"/>
  <c r="P97" i="5"/>
  <c r="O108" i="5"/>
  <c r="R108" i="5" s="1"/>
  <c r="O105" i="5"/>
  <c r="P105" i="5" s="1"/>
  <c r="P114" i="5"/>
  <c r="P120" i="5"/>
  <c r="P117" i="5"/>
  <c r="P113" i="5"/>
  <c r="P118" i="5"/>
  <c r="P119" i="5"/>
  <c r="P116" i="5"/>
  <c r="AN443" i="5"/>
  <c r="AO443" i="5" s="1"/>
  <c r="AH443" i="5"/>
  <c r="AI443" i="5" s="1"/>
  <c r="AL472" i="5"/>
  <c r="AL481" i="5" s="1"/>
  <c r="Q83" i="5"/>
  <c r="D31" i="5"/>
  <c r="Z425" i="5"/>
  <c r="AI425" i="5" s="1"/>
  <c r="AN439" i="5"/>
  <c r="AO439" i="5" s="1"/>
  <c r="AL411" i="5"/>
  <c r="AN427" i="5"/>
  <c r="AH428" i="5"/>
  <c r="AI428" i="5" s="1"/>
  <c r="AN428" i="5"/>
  <c r="AN421" i="5"/>
  <c r="AF433" i="5"/>
  <c r="AH421" i="5"/>
  <c r="Q155" i="5"/>
  <c r="AI444" i="5"/>
  <c r="F72" i="5"/>
  <c r="E72" i="5" s="1"/>
  <c r="Z434" i="5"/>
  <c r="AI446" i="5"/>
  <c r="F83" i="5"/>
  <c r="AI437" i="5"/>
  <c r="S289" i="5"/>
  <c r="Y413" i="5"/>
  <c r="S56" i="5"/>
  <c r="AL435" i="5"/>
  <c r="AP498" i="5"/>
  <c r="AS498" i="5" s="1"/>
  <c r="AN415" i="5"/>
  <c r="AO415" i="5" s="1"/>
  <c r="AH415" i="5"/>
  <c r="AI415" i="5" s="1"/>
  <c r="AE415" i="5"/>
  <c r="R185" i="5"/>
  <c r="P186" i="5"/>
  <c r="AH438" i="5"/>
  <c r="AI438" i="5" s="1"/>
  <c r="AN438" i="5"/>
  <c r="AO438" i="5" s="1"/>
  <c r="Y415" i="5"/>
  <c r="N82" i="5"/>
  <c r="Z480" i="5"/>
  <c r="AH480" i="5" s="1"/>
  <c r="AI480" i="5" s="1"/>
  <c r="K74" i="5"/>
  <c r="AO444" i="5"/>
  <c r="AK415" i="5"/>
  <c r="Q72" i="5"/>
  <c r="P72" i="5" s="1"/>
  <c r="AL434" i="5"/>
  <c r="AN434" i="5" s="1"/>
  <c r="L195" i="5"/>
  <c r="X194" i="5"/>
  <c r="L233" i="5"/>
  <c r="N194" i="5"/>
  <c r="N195" i="5" s="1"/>
  <c r="K210" i="5"/>
  <c r="N76" i="5"/>
  <c r="N83" i="5" s="1"/>
  <c r="E304" i="5"/>
  <c r="D309" i="5"/>
  <c r="M309" i="5" s="1"/>
  <c r="Z495" i="5"/>
  <c r="F41" i="5"/>
  <c r="O27" i="5"/>
  <c r="P27" i="5" s="1"/>
  <c r="P13" i="5"/>
  <c r="O24" i="5"/>
  <c r="P32" i="5" s="1"/>
  <c r="AO437" i="5"/>
  <c r="M97" i="5"/>
  <c r="M98" i="5" s="1"/>
  <c r="N57" i="5"/>
  <c r="N72" i="5" s="1"/>
  <c r="F353" i="5"/>
  <c r="AI497" i="5"/>
  <c r="AH497" i="5"/>
  <c r="AH432" i="5"/>
  <c r="Z479" i="5"/>
  <c r="AN423" i="5"/>
  <c r="AO423" i="5" s="1"/>
  <c r="AH423" i="5"/>
  <c r="AI423" i="5" s="1"/>
  <c r="K54" i="5"/>
  <c r="E115" i="5"/>
  <c r="Z464" i="5"/>
  <c r="AI464" i="5" s="1"/>
  <c r="AN475" i="5"/>
  <c r="AH475" i="5"/>
  <c r="AI475" i="5" s="1"/>
  <c r="E229" i="5"/>
  <c r="AH451" i="5"/>
  <c r="AN479" i="5"/>
  <c r="AH479" i="5"/>
  <c r="AI479" i="5" s="1"/>
  <c r="E13" i="5"/>
  <c r="M14" i="5"/>
  <c r="D27" i="5"/>
  <c r="E27" i="5" s="1"/>
  <c r="D24" i="5"/>
  <c r="E33" i="5" s="1"/>
  <c r="S57" i="5"/>
  <c r="AG416" i="5"/>
  <c r="AM416" i="5"/>
  <c r="AH447" i="5"/>
  <c r="AI447" i="5" s="1"/>
  <c r="AN476" i="5"/>
  <c r="AK413" i="5"/>
  <c r="AH463" i="5"/>
  <c r="AF466" i="5"/>
  <c r="AF406" i="5"/>
  <c r="AN446" i="5"/>
  <c r="AO446" i="5" s="1"/>
  <c r="AH446" i="5"/>
  <c r="L399" i="5"/>
  <c r="AH422" i="5"/>
  <c r="AI422" i="5" s="1"/>
  <c r="AN422" i="5"/>
  <c r="AO422" i="5" s="1"/>
  <c r="Q108" i="5"/>
  <c r="P122" i="5" s="1"/>
  <c r="S98" i="5"/>
  <c r="AO424" i="5"/>
  <c r="N50" i="5"/>
  <c r="AO428" i="5"/>
  <c r="S185" i="5"/>
  <c r="K72" i="5"/>
  <c r="AN471" i="5"/>
  <c r="AO471" i="5" s="1"/>
  <c r="AH471" i="5"/>
  <c r="AI471" i="5" s="1"/>
  <c r="AN447" i="5"/>
  <c r="AO447" i="5" s="1"/>
  <c r="N41" i="15"/>
  <c r="D309" i="15"/>
  <c r="E304" i="15"/>
  <c r="M304" i="15"/>
  <c r="AN436" i="15"/>
  <c r="AO436" i="15" s="1"/>
  <c r="AH436" i="15"/>
  <c r="E229" i="15"/>
  <c r="AN422" i="15"/>
  <c r="AH422" i="15"/>
  <c r="S287" i="15"/>
  <c r="AE416" i="15"/>
  <c r="AK409" i="15"/>
  <c r="O27" i="15"/>
  <c r="O24" i="15"/>
  <c r="P13" i="15"/>
  <c r="Q397" i="15"/>
  <c r="P377" i="15"/>
  <c r="AI414" i="15"/>
  <c r="Y414" i="15"/>
  <c r="Z450" i="15"/>
  <c r="AI450" i="15" s="1"/>
  <c r="AF481" i="15"/>
  <c r="AN470" i="15"/>
  <c r="AH470" i="15"/>
  <c r="AI470" i="15" s="1"/>
  <c r="K105" i="15"/>
  <c r="AI446" i="15"/>
  <c r="R304" i="15"/>
  <c r="O309" i="15"/>
  <c r="P304" i="15"/>
  <c r="AE418" i="15"/>
  <c r="R362" i="15"/>
  <c r="P362" i="15"/>
  <c r="AL441" i="15"/>
  <c r="AN441" i="15" s="1"/>
  <c r="S61" i="15"/>
  <c r="Z418" i="15"/>
  <c r="AH418" i="15" s="1"/>
  <c r="Z413" i="15"/>
  <c r="N35" i="15"/>
  <c r="AH414" i="15"/>
  <c r="AE414" i="15"/>
  <c r="AN414" i="15"/>
  <c r="AO414" i="15" s="1"/>
  <c r="AO412" i="15"/>
  <c r="AK412" i="15"/>
  <c r="N24" i="15"/>
  <c r="N25" i="15" s="1"/>
  <c r="S24" i="15"/>
  <c r="S25" i="15" s="1"/>
  <c r="J32" i="15"/>
  <c r="Q41" i="15"/>
  <c r="Z431" i="15"/>
  <c r="AH431" i="15" s="1"/>
  <c r="N52" i="15"/>
  <c r="N54" i="15" s="1"/>
  <c r="F231" i="15"/>
  <c r="AI447" i="15"/>
  <c r="N68" i="15"/>
  <c r="Z448" i="15"/>
  <c r="F186" i="15"/>
  <c r="F194" i="15"/>
  <c r="AI461" i="15"/>
  <c r="AN442" i="15"/>
  <c r="AO442" i="15" s="1"/>
  <c r="AH442" i="15"/>
  <c r="Z417" i="15"/>
  <c r="AI444" i="15"/>
  <c r="AH426" i="15"/>
  <c r="N61" i="15"/>
  <c r="Z441" i="15"/>
  <c r="S49" i="15"/>
  <c r="AL428" i="15"/>
  <c r="AN428" i="15" s="1"/>
  <c r="Z432" i="15"/>
  <c r="AI432" i="15" s="1"/>
  <c r="P35" i="15"/>
  <c r="S35" i="15"/>
  <c r="AL413" i="15"/>
  <c r="AN413" i="15" s="1"/>
  <c r="AN421" i="15"/>
  <c r="AO421" i="15" s="1"/>
  <c r="AH421" i="15"/>
  <c r="AF433" i="15"/>
  <c r="L314" i="15"/>
  <c r="K351" i="15" s="1"/>
  <c r="N309" i="15"/>
  <c r="N310" i="15" s="1"/>
  <c r="AL431" i="15"/>
  <c r="AN431" i="15" s="1"/>
  <c r="S52" i="15"/>
  <c r="S54" i="15" s="1"/>
  <c r="AI422" i="15"/>
  <c r="N229" i="15"/>
  <c r="Z438" i="15"/>
  <c r="N59" i="15"/>
  <c r="AL438" i="15"/>
  <c r="S59" i="15"/>
  <c r="AK414" i="15"/>
  <c r="AI442" i="15"/>
  <c r="AN437" i="15"/>
  <c r="AO437" i="15" s="1"/>
  <c r="AH437" i="15"/>
  <c r="AI437" i="15" s="1"/>
  <c r="F54" i="15"/>
  <c r="N49" i="15"/>
  <c r="Z428" i="15"/>
  <c r="AN440" i="15"/>
  <c r="AH440" i="15"/>
  <c r="P121" i="15"/>
  <c r="AN480" i="15"/>
  <c r="AO480" i="15" s="1"/>
  <c r="AH480" i="15"/>
  <c r="AI480" i="15" s="1"/>
  <c r="M97" i="15"/>
  <c r="M98" i="15" s="1"/>
  <c r="Q289" i="15"/>
  <c r="S289" i="15" s="1"/>
  <c r="Q251" i="15"/>
  <c r="R250" i="15" s="1"/>
  <c r="S251" i="15" s="1"/>
  <c r="Z451" i="15"/>
  <c r="Z427" i="15"/>
  <c r="AI427" i="15" s="1"/>
  <c r="Z495" i="15"/>
  <c r="Z497" i="15"/>
  <c r="Z465" i="15"/>
  <c r="AI465" i="15" s="1"/>
  <c r="Z426" i="15"/>
  <c r="AI426" i="15" s="1"/>
  <c r="Z464" i="15"/>
  <c r="AI464" i="15" s="1"/>
  <c r="Z463" i="15"/>
  <c r="N38" i="15"/>
  <c r="L165" i="15"/>
  <c r="X108" i="15"/>
  <c r="AH413" i="15"/>
  <c r="AE413" i="15"/>
  <c r="Y409" i="15"/>
  <c r="K72" i="15"/>
  <c r="Z449" i="15"/>
  <c r="AI449" i="15" s="1"/>
  <c r="K22" i="15"/>
  <c r="R22" i="15" s="1"/>
  <c r="K23" i="15"/>
  <c r="R23" i="15" s="1"/>
  <c r="J27" i="15"/>
  <c r="K21" i="15"/>
  <c r="R21" i="15" s="1"/>
  <c r="K13" i="15"/>
  <c r="AK410" i="15"/>
  <c r="F251" i="15"/>
  <c r="M250" i="15" s="1"/>
  <c r="N33" i="15"/>
  <c r="Z416" i="15"/>
  <c r="AH416" i="15" s="1"/>
  <c r="E266" i="15"/>
  <c r="F287" i="15"/>
  <c r="E287" i="15" s="1"/>
  <c r="K397" i="15"/>
  <c r="S397" i="15"/>
  <c r="AE411" i="15"/>
  <c r="E330" i="15"/>
  <c r="F351" i="15"/>
  <c r="E351" i="15" s="1"/>
  <c r="P17" i="15"/>
  <c r="R17" i="15"/>
  <c r="AN446" i="15"/>
  <c r="AO446" i="15" s="1"/>
  <c r="AH446" i="15"/>
  <c r="K122" i="15"/>
  <c r="AE409" i="15"/>
  <c r="AF419" i="15"/>
  <c r="AN409" i="15"/>
  <c r="AO409" i="15" s="1"/>
  <c r="AH409" i="15"/>
  <c r="AI409" i="15" s="1"/>
  <c r="AN429" i="15"/>
  <c r="AO429" i="15" s="1"/>
  <c r="AH429" i="15"/>
  <c r="AI429" i="15" s="1"/>
  <c r="Q155" i="15"/>
  <c r="AI439" i="15"/>
  <c r="AH441" i="15"/>
  <c r="AN424" i="15"/>
  <c r="AO424" i="15" s="1"/>
  <c r="AH424" i="15"/>
  <c r="AI424" i="15" s="1"/>
  <c r="S351" i="15"/>
  <c r="Z479" i="15"/>
  <c r="Q108" i="15"/>
  <c r="P122" i="15" s="1"/>
  <c r="S98" i="15"/>
  <c r="O112" i="15"/>
  <c r="N105" i="15"/>
  <c r="N106" i="15" s="1"/>
  <c r="D113" i="15"/>
  <c r="J24" i="15"/>
  <c r="R185" i="15"/>
  <c r="S186" i="15" s="1"/>
  <c r="P186" i="15"/>
  <c r="S377" i="15"/>
  <c r="S68" i="15"/>
  <c r="AL448" i="15"/>
  <c r="AN448" i="15" s="1"/>
  <c r="S305" i="15"/>
  <c r="Q309" i="15"/>
  <c r="S309" i="15" s="1"/>
  <c r="AI421" i="15"/>
  <c r="AN415" i="15"/>
  <c r="AE415" i="15"/>
  <c r="AP498" i="15"/>
  <c r="AS498" i="15" s="1"/>
  <c r="AH415" i="15"/>
  <c r="AI415" i="15" s="1"/>
  <c r="N78" i="15"/>
  <c r="AN430" i="15"/>
  <c r="AO430" i="15" s="1"/>
  <c r="AH430" i="15"/>
  <c r="AI430" i="15" s="1"/>
  <c r="K54" i="15"/>
  <c r="Q195" i="15"/>
  <c r="Q233" i="15"/>
  <c r="AN473" i="15"/>
  <c r="AH473" i="15"/>
  <c r="AI473" i="15" s="1"/>
  <c r="L27" i="15"/>
  <c r="K74" i="15" s="1"/>
  <c r="J31" i="15"/>
  <c r="AI412" i="15"/>
  <c r="O105" i="15"/>
  <c r="P105" i="15" s="1"/>
  <c r="O108" i="15"/>
  <c r="P117" i="15"/>
  <c r="P97" i="15"/>
  <c r="P112" i="15"/>
  <c r="P115" i="15"/>
  <c r="P116" i="15"/>
  <c r="P114" i="15"/>
  <c r="P118" i="15"/>
  <c r="P113" i="15"/>
  <c r="AH410" i="15"/>
  <c r="AI410" i="15" s="1"/>
  <c r="AN410" i="15"/>
  <c r="AO410" i="15" s="1"/>
  <c r="AE410" i="15"/>
  <c r="D105" i="15"/>
  <c r="E105" i="15" s="1"/>
  <c r="D108" i="15"/>
  <c r="E114" i="15"/>
  <c r="E97" i="15"/>
  <c r="E118" i="15"/>
  <c r="E116" i="15"/>
  <c r="E113" i="15"/>
  <c r="E115" i="15"/>
  <c r="E117" i="15"/>
  <c r="E112" i="15"/>
  <c r="F83" i="15"/>
  <c r="N76" i="15"/>
  <c r="Z472" i="15"/>
  <c r="AH472" i="15" s="1"/>
  <c r="AI472" i="15" s="1"/>
  <c r="E349" i="15"/>
  <c r="AH447" i="15"/>
  <c r="AO445" i="15"/>
  <c r="E17" i="15"/>
  <c r="M17" i="15"/>
  <c r="AE417" i="15"/>
  <c r="F155" i="15"/>
  <c r="S78" i="15"/>
  <c r="AO444" i="15"/>
  <c r="AN423" i="15"/>
  <c r="AO423" i="15" s="1"/>
  <c r="AH423" i="15"/>
  <c r="AI423" i="15" s="1"/>
  <c r="AF406" i="15"/>
  <c r="Z443" i="15"/>
  <c r="N63" i="15"/>
  <c r="AN450" i="15"/>
  <c r="N330" i="15"/>
  <c r="AK415" i="15"/>
  <c r="AO415" i="15"/>
  <c r="K153" i="15"/>
  <c r="Y410" i="15"/>
  <c r="AH474" i="15"/>
  <c r="AI474" i="15" s="1"/>
  <c r="AN474" i="15"/>
  <c r="AO474" i="15" s="1"/>
  <c r="R108" i="15"/>
  <c r="K108" i="15"/>
  <c r="P120" i="15"/>
  <c r="Q83" i="15"/>
  <c r="S76" i="15"/>
  <c r="AL472" i="15"/>
  <c r="AO472" i="15" s="1"/>
  <c r="N185" i="15"/>
  <c r="N186" i="15" s="1"/>
  <c r="Z425" i="15"/>
  <c r="AI425" i="15" s="1"/>
  <c r="Q54" i="15"/>
  <c r="P54" i="15" s="1"/>
  <c r="AN447" i="15"/>
  <c r="AO447" i="15" s="1"/>
  <c r="AO434" i="15"/>
  <c r="AH434" i="15"/>
  <c r="AN434" i="15"/>
  <c r="AF452" i="15"/>
  <c r="P33" i="15"/>
  <c r="AL411" i="15"/>
  <c r="AN439" i="15"/>
  <c r="AO439" i="15" s="1"/>
  <c r="AH439" i="15"/>
  <c r="AL443" i="15"/>
  <c r="S63" i="15"/>
  <c r="N56" i="15"/>
  <c r="Z435" i="15"/>
  <c r="AH435" i="15" s="1"/>
  <c r="F72" i="15"/>
  <c r="E8" i="15"/>
  <c r="D13" i="15"/>
  <c r="Y412" i="15" s="1"/>
  <c r="N8" i="15"/>
  <c r="N13" i="15" s="1"/>
  <c r="N14" i="15" s="1"/>
  <c r="AN475" i="15"/>
  <c r="AH475" i="15"/>
  <c r="AI475" i="15" s="1"/>
  <c r="P210" i="15"/>
  <c r="AH471" i="15"/>
  <c r="AI471" i="15" s="1"/>
  <c r="AN471" i="15"/>
  <c r="AO471" i="15" s="1"/>
  <c r="L233" i="15"/>
  <c r="L195" i="15"/>
  <c r="S194" i="15"/>
  <c r="S195" i="15" s="1"/>
  <c r="N194" i="15"/>
  <c r="N195" i="15" s="1"/>
  <c r="X194" i="15"/>
  <c r="AN445" i="15"/>
  <c r="AH445" i="15"/>
  <c r="AI445" i="15" s="1"/>
  <c r="S231" i="15"/>
  <c r="N231" i="15"/>
  <c r="K231" i="15"/>
  <c r="D112" i="15"/>
  <c r="AO470" i="15"/>
  <c r="AO422" i="15"/>
  <c r="K155" i="15"/>
  <c r="N155" i="15"/>
  <c r="Q27" i="15"/>
  <c r="S14" i="15"/>
  <c r="P38" i="15"/>
  <c r="AL427" i="15"/>
  <c r="AO427" i="15" s="1"/>
  <c r="AL416" i="15"/>
  <c r="AN416" i="15" s="1"/>
  <c r="AL417" i="15"/>
  <c r="AN417" i="15" s="1"/>
  <c r="AL478" i="15"/>
  <c r="AL432" i="15"/>
  <c r="AL418" i="15"/>
  <c r="AN418" i="15" s="1"/>
  <c r="S38" i="15"/>
  <c r="AL465" i="15"/>
  <c r="AL449" i="15"/>
  <c r="AO449" i="15" s="1"/>
  <c r="AL463" i="15"/>
  <c r="AL426" i="15"/>
  <c r="AO426" i="15" s="1"/>
  <c r="AL425" i="15"/>
  <c r="AO425" i="15" s="1"/>
  <c r="AL451" i="15"/>
  <c r="AL464" i="15"/>
  <c r="E397" i="15"/>
  <c r="F399" i="15"/>
  <c r="AN476" i="15"/>
  <c r="AH476" i="15"/>
  <c r="AI476" i="15" s="1"/>
  <c r="Z411" i="15"/>
  <c r="AH411" i="15" s="1"/>
  <c r="AL479" i="15"/>
  <c r="AO479" i="15" s="1"/>
  <c r="AH479" i="15"/>
  <c r="AI479" i="15" s="1"/>
  <c r="S56" i="15"/>
  <c r="AL435" i="15"/>
  <c r="AH463" i="15"/>
  <c r="AF466" i="15"/>
  <c r="F27" i="15"/>
  <c r="AI436" i="15"/>
  <c r="P231" i="15"/>
  <c r="AH448" i="15"/>
  <c r="AH449" i="15"/>
  <c r="F108" i="15"/>
  <c r="F165" i="15" s="1"/>
  <c r="AL483" i="6" l="1"/>
  <c r="AJ452" i="6"/>
  <c r="AJ468" i="6"/>
  <c r="AJ433" i="6"/>
  <c r="AJ466" i="6"/>
  <c r="AJ419" i="6"/>
  <c r="AJ407" i="6"/>
  <c r="AN407" i="6"/>
  <c r="AO407" i="6" s="1"/>
  <c r="AF489" i="6"/>
  <c r="AH483" i="6"/>
  <c r="AI483" i="6" s="1"/>
  <c r="AE483" i="6"/>
  <c r="AN483" i="6"/>
  <c r="N85" i="6"/>
  <c r="N28" i="6"/>
  <c r="Z489" i="6"/>
  <c r="Y483" i="6"/>
  <c r="AN468" i="6"/>
  <c r="AO468" i="6" s="1"/>
  <c r="X466" i="6"/>
  <c r="S28" i="6"/>
  <c r="AK483" i="6"/>
  <c r="X481" i="6"/>
  <c r="X433" i="6"/>
  <c r="X468" i="6"/>
  <c r="AL481" i="15"/>
  <c r="AN478" i="5"/>
  <c r="S194" i="5"/>
  <c r="S195" i="5" s="1"/>
  <c r="S186" i="5"/>
  <c r="S72" i="15"/>
  <c r="P397" i="5"/>
  <c r="Q399" i="5"/>
  <c r="S399" i="5" s="1"/>
  <c r="P155" i="15"/>
  <c r="S72" i="5"/>
  <c r="AG415" i="5"/>
  <c r="AM415" i="5"/>
  <c r="AH427" i="5"/>
  <c r="M24" i="5"/>
  <c r="K32" i="5"/>
  <c r="K34" i="5"/>
  <c r="K24" i="5"/>
  <c r="K35" i="5"/>
  <c r="K31" i="5"/>
  <c r="K37" i="5"/>
  <c r="K33" i="5"/>
  <c r="K36" i="5"/>
  <c r="P41" i="5"/>
  <c r="Q74" i="5"/>
  <c r="S41" i="5"/>
  <c r="AN426" i="5"/>
  <c r="AH425" i="5"/>
  <c r="AH478" i="5"/>
  <c r="AI478" i="5" s="1"/>
  <c r="AM418" i="5"/>
  <c r="AG418" i="5"/>
  <c r="AK411" i="5"/>
  <c r="M27" i="5"/>
  <c r="M28" i="5" s="1"/>
  <c r="R27" i="5"/>
  <c r="R28" i="5" s="1"/>
  <c r="K27" i="5"/>
  <c r="X28" i="5"/>
  <c r="W82" i="5"/>
  <c r="AH464" i="5"/>
  <c r="AH466" i="5" s="1"/>
  <c r="P231" i="5"/>
  <c r="S231" i="5"/>
  <c r="Z419" i="5"/>
  <c r="AL466" i="5"/>
  <c r="AO466" i="5" s="1"/>
  <c r="AK416" i="5"/>
  <c r="AO416" i="5"/>
  <c r="AN416" i="5"/>
  <c r="AI417" i="5"/>
  <c r="Y417" i="5"/>
  <c r="AG417" i="5" s="1"/>
  <c r="M314" i="5"/>
  <c r="K314" i="5"/>
  <c r="N165" i="5"/>
  <c r="AN449" i="5"/>
  <c r="AL407" i="5"/>
  <c r="AO418" i="5"/>
  <c r="AK418" i="5"/>
  <c r="AI418" i="5"/>
  <c r="Y418" i="5"/>
  <c r="AG412" i="5"/>
  <c r="Z452" i="5"/>
  <c r="P24" i="5"/>
  <c r="P38" i="5"/>
  <c r="P40" i="5"/>
  <c r="P34" i="5"/>
  <c r="P37" i="5"/>
  <c r="P31" i="5"/>
  <c r="P39" i="5"/>
  <c r="P35" i="5"/>
  <c r="P33" i="5"/>
  <c r="AH434" i="5"/>
  <c r="AH452" i="5" s="1"/>
  <c r="AI452" i="5" s="1"/>
  <c r="AM413" i="5"/>
  <c r="AG413" i="5"/>
  <c r="AD452" i="5"/>
  <c r="AI414" i="5"/>
  <c r="Y414" i="5"/>
  <c r="AH414" i="5"/>
  <c r="AH450" i="5"/>
  <c r="F165" i="5"/>
  <c r="E153" i="5"/>
  <c r="E135" i="5"/>
  <c r="E287" i="5"/>
  <c r="F289" i="5"/>
  <c r="N289" i="5" s="1"/>
  <c r="N287" i="5"/>
  <c r="AN418" i="5"/>
  <c r="AD466" i="5"/>
  <c r="R314" i="5"/>
  <c r="AL406" i="5"/>
  <c r="E36" i="5"/>
  <c r="N155" i="5"/>
  <c r="AN450" i="5"/>
  <c r="Y411" i="5"/>
  <c r="AI411" i="5"/>
  <c r="E41" i="5"/>
  <c r="F74" i="5"/>
  <c r="N41" i="5"/>
  <c r="P155" i="5"/>
  <c r="AF407" i="5"/>
  <c r="L85" i="5"/>
  <c r="X27" i="5"/>
  <c r="S27" i="5"/>
  <c r="N27" i="5"/>
  <c r="K41" i="5"/>
  <c r="S155" i="5"/>
  <c r="F233" i="5"/>
  <c r="F195" i="5"/>
  <c r="M194" i="5" s="1"/>
  <c r="E210" i="5"/>
  <c r="AK414" i="5"/>
  <c r="AN414" i="5"/>
  <c r="AO414" i="5" s="1"/>
  <c r="AD419" i="5"/>
  <c r="AF468" i="5"/>
  <c r="AO421" i="5"/>
  <c r="AL433" i="5"/>
  <c r="AI463" i="5"/>
  <c r="Z466" i="5"/>
  <c r="E24" i="5"/>
  <c r="E38" i="5"/>
  <c r="E40" i="5"/>
  <c r="E39" i="5"/>
  <c r="E37" i="5"/>
  <c r="E31" i="5"/>
  <c r="E34" i="5"/>
  <c r="E35" i="5"/>
  <c r="N233" i="5"/>
  <c r="L353" i="5"/>
  <c r="N314" i="5"/>
  <c r="N315" i="5" s="1"/>
  <c r="S314" i="5"/>
  <c r="X314" i="5"/>
  <c r="K330" i="5"/>
  <c r="K349" i="5"/>
  <c r="AN451" i="5"/>
  <c r="D314" i="5"/>
  <c r="E309" i="5"/>
  <c r="AD433" i="5"/>
  <c r="AS481" i="5"/>
  <c r="AH481" i="5"/>
  <c r="AI481" i="5" s="1"/>
  <c r="AD481" i="5"/>
  <c r="AN481" i="5"/>
  <c r="AO481" i="5" s="1"/>
  <c r="P36" i="5"/>
  <c r="S310" i="5"/>
  <c r="Q314" i="5"/>
  <c r="AG410" i="5"/>
  <c r="N54" i="5"/>
  <c r="S54" i="5"/>
  <c r="Q195" i="5"/>
  <c r="R194" i="5" s="1"/>
  <c r="Q233" i="5"/>
  <c r="S233" i="5" s="1"/>
  <c r="AH417" i="5"/>
  <c r="AL452" i="5"/>
  <c r="AO434" i="5"/>
  <c r="Q165" i="5"/>
  <c r="S165" i="5" s="1"/>
  <c r="S109" i="5"/>
  <c r="P153" i="5"/>
  <c r="AO472" i="5"/>
  <c r="AN472" i="5"/>
  <c r="P108" i="5"/>
  <c r="R109" i="5"/>
  <c r="E32" i="5"/>
  <c r="AG411" i="5"/>
  <c r="AM411" i="5"/>
  <c r="AI421" i="5"/>
  <c r="Z433" i="5"/>
  <c r="X433" i="5" s="1"/>
  <c r="AN435" i="5"/>
  <c r="AN452" i="5" s="1"/>
  <c r="Y410" i="5"/>
  <c r="AM410" i="5" s="1"/>
  <c r="AI410" i="5"/>
  <c r="Z407" i="5"/>
  <c r="AM409" i="5"/>
  <c r="AG409" i="5"/>
  <c r="E54" i="5"/>
  <c r="AH430" i="5"/>
  <c r="AI430" i="5" s="1"/>
  <c r="AI435" i="5"/>
  <c r="AI495" i="5"/>
  <c r="AH495" i="5"/>
  <c r="AN411" i="5"/>
  <c r="AO411" i="5" s="1"/>
  <c r="AK417" i="5"/>
  <c r="AO417" i="5"/>
  <c r="AO410" i="5"/>
  <c r="AK410" i="5"/>
  <c r="AL419" i="5"/>
  <c r="AH426" i="5"/>
  <c r="AN430" i="5"/>
  <c r="AO430" i="5" s="1"/>
  <c r="E231" i="5"/>
  <c r="AM412" i="15"/>
  <c r="AG412" i="15"/>
  <c r="AN425" i="15"/>
  <c r="AI438" i="15"/>
  <c r="AN433" i="15"/>
  <c r="AD433" i="15"/>
  <c r="AN426" i="15"/>
  <c r="AH427" i="15"/>
  <c r="Y415" i="15"/>
  <c r="K314" i="15"/>
  <c r="S233" i="15"/>
  <c r="AO451" i="15"/>
  <c r="AN451" i="15"/>
  <c r="AN449" i="15"/>
  <c r="AN479" i="15"/>
  <c r="E108" i="15"/>
  <c r="Q165" i="15"/>
  <c r="S165" i="15" s="1"/>
  <c r="P153" i="15"/>
  <c r="S108" i="15"/>
  <c r="S109" i="15" s="1"/>
  <c r="AI451" i="15"/>
  <c r="AH451" i="15"/>
  <c r="AI428" i="15"/>
  <c r="AN427" i="15"/>
  <c r="AM414" i="15"/>
  <c r="AG414" i="15"/>
  <c r="AO448" i="15"/>
  <c r="F289" i="15"/>
  <c r="N289" i="15" s="1"/>
  <c r="AL433" i="15"/>
  <c r="AH432" i="15"/>
  <c r="AI417" i="15"/>
  <c r="Y417" i="15"/>
  <c r="AG417" i="15" s="1"/>
  <c r="E231" i="15"/>
  <c r="M105" i="15"/>
  <c r="AK416" i="15"/>
  <c r="AO416" i="15"/>
  <c r="AH425" i="15"/>
  <c r="X28" i="15"/>
  <c r="M27" i="15"/>
  <c r="M28" i="15" s="1"/>
  <c r="K27" i="15"/>
  <c r="R27" i="15"/>
  <c r="R28" i="15" s="1"/>
  <c r="W82" i="15"/>
  <c r="Y411" i="15"/>
  <c r="AI411" i="15"/>
  <c r="AL466" i="15"/>
  <c r="AO466" i="15" s="1"/>
  <c r="S28" i="15"/>
  <c r="AK411" i="15"/>
  <c r="N83" i="15"/>
  <c r="Z481" i="15"/>
  <c r="P108" i="15"/>
  <c r="R109" i="15"/>
  <c r="AN411" i="15"/>
  <c r="AO411" i="15" s="1"/>
  <c r="N165" i="15"/>
  <c r="P135" i="15"/>
  <c r="E54" i="15"/>
  <c r="AO413" i="15"/>
  <c r="AK413" i="15"/>
  <c r="P397" i="15"/>
  <c r="Q399" i="15"/>
  <c r="S399" i="15" s="1"/>
  <c r="AH428" i="15"/>
  <c r="P72" i="15"/>
  <c r="AI497" i="15"/>
  <c r="AH497" i="15"/>
  <c r="N108" i="15"/>
  <c r="N109" i="15" s="1"/>
  <c r="AN438" i="15"/>
  <c r="AO438" i="15" s="1"/>
  <c r="AI431" i="15"/>
  <c r="Y413" i="15"/>
  <c r="AI413" i="15"/>
  <c r="N287" i="15"/>
  <c r="AO478" i="15"/>
  <c r="AN478" i="15"/>
  <c r="R194" i="15"/>
  <c r="AI495" i="15"/>
  <c r="AH495" i="15"/>
  <c r="L353" i="15"/>
  <c r="X314" i="15"/>
  <c r="N314" i="15"/>
  <c r="N315" i="15" s="1"/>
  <c r="K330" i="15"/>
  <c r="K349" i="15"/>
  <c r="AL419" i="15"/>
  <c r="E122" i="15"/>
  <c r="AM410" i="15"/>
  <c r="AG410" i="15"/>
  <c r="N351" i="15"/>
  <c r="AG411" i="15"/>
  <c r="AM411" i="15"/>
  <c r="S83" i="15"/>
  <c r="E155" i="15"/>
  <c r="AH419" i="15"/>
  <c r="AI419" i="15" s="1"/>
  <c r="AF468" i="15"/>
  <c r="AN419" i="15"/>
  <c r="AH438" i="15"/>
  <c r="AN472" i="15"/>
  <c r="S310" i="15"/>
  <c r="Q314" i="15"/>
  <c r="S314" i="15" s="1"/>
  <c r="AM413" i="15"/>
  <c r="AG413" i="15"/>
  <c r="Z407" i="15"/>
  <c r="F85" i="15"/>
  <c r="E13" i="15"/>
  <c r="D27" i="15"/>
  <c r="E27" i="15" s="1"/>
  <c r="M14" i="15"/>
  <c r="D24" i="15"/>
  <c r="AG409" i="15"/>
  <c r="AM409" i="15"/>
  <c r="AN435" i="15"/>
  <c r="AN452" i="15" s="1"/>
  <c r="AI463" i="15"/>
  <c r="Z466" i="15"/>
  <c r="F233" i="15"/>
  <c r="N233" i="15" s="1"/>
  <c r="F195" i="15"/>
  <c r="M194" i="15" s="1"/>
  <c r="E210" i="15"/>
  <c r="Q74" i="15"/>
  <c r="Q85" i="15" s="1"/>
  <c r="P41" i="15"/>
  <c r="S41" i="15"/>
  <c r="Y418" i="15"/>
  <c r="AG418" i="15" s="1"/>
  <c r="AI418" i="15"/>
  <c r="AS481" i="15"/>
  <c r="AN481" i="15"/>
  <c r="AO481" i="15" s="1"/>
  <c r="AH481" i="15"/>
  <c r="AI481" i="15" s="1"/>
  <c r="AD481" i="15"/>
  <c r="Z433" i="15"/>
  <c r="X433" i="15" s="1"/>
  <c r="AO417" i="15"/>
  <c r="AK417" i="15"/>
  <c r="N72" i="15"/>
  <c r="S155" i="15"/>
  <c r="E153" i="15"/>
  <c r="AO431" i="15"/>
  <c r="AO428" i="15"/>
  <c r="AH465" i="15"/>
  <c r="AH466" i="15" s="1"/>
  <c r="E309" i="15"/>
  <c r="D314" i="15"/>
  <c r="M309" i="15"/>
  <c r="AK418" i="15"/>
  <c r="AO418" i="15"/>
  <c r="AH452" i="15"/>
  <c r="AI452" i="15" s="1"/>
  <c r="AH450" i="15"/>
  <c r="AM417" i="15"/>
  <c r="AG415" i="15"/>
  <c r="AM415" i="15"/>
  <c r="M24" i="15"/>
  <c r="K32" i="15"/>
  <c r="K24" i="15"/>
  <c r="K35" i="15"/>
  <c r="K36" i="15"/>
  <c r="K37" i="15"/>
  <c r="K34" i="15"/>
  <c r="K31" i="15"/>
  <c r="K33" i="15"/>
  <c r="AH443" i="15"/>
  <c r="AI443" i="15" s="1"/>
  <c r="Z419" i="15"/>
  <c r="E72" i="15"/>
  <c r="E135" i="15"/>
  <c r="M108" i="15"/>
  <c r="M109" i="15" s="1"/>
  <c r="AH417" i="15"/>
  <c r="AF407" i="15"/>
  <c r="AD419" i="15" s="1"/>
  <c r="L85" i="15"/>
  <c r="N27" i="15"/>
  <c r="X27" i="15"/>
  <c r="S27" i="15"/>
  <c r="K41" i="15"/>
  <c r="F353" i="15"/>
  <c r="AN443" i="15"/>
  <c r="AO443" i="15" s="1"/>
  <c r="AH464" i="15"/>
  <c r="P24" i="15"/>
  <c r="P40" i="15"/>
  <c r="P39" i="15"/>
  <c r="P37" i="15"/>
  <c r="P34" i="15"/>
  <c r="P36" i="15"/>
  <c r="P32" i="15"/>
  <c r="P31" i="15"/>
  <c r="AI434" i="15"/>
  <c r="E41" i="15"/>
  <c r="AI435" i="15"/>
  <c r="AL452" i="15"/>
  <c r="AI416" i="15"/>
  <c r="Y416" i="15"/>
  <c r="AM416" i="15" s="1"/>
  <c r="AI441" i="15"/>
  <c r="AI448" i="15"/>
  <c r="AO441" i="15"/>
  <c r="R309" i="15"/>
  <c r="P309" i="15"/>
  <c r="O314" i="15"/>
  <c r="P27" i="15"/>
  <c r="Z452" i="15"/>
  <c r="F74" i="15"/>
  <c r="AE489" i="6" l="1"/>
  <c r="AF498" i="6"/>
  <c r="AH489" i="6"/>
  <c r="AI489" i="6" s="1"/>
  <c r="AF488" i="6"/>
  <c r="Z488" i="6"/>
  <c r="Y488" i="6" s="1"/>
  <c r="Y489" i="6"/>
  <c r="Z498" i="6"/>
  <c r="Y498" i="6" s="1"/>
  <c r="AL489" i="6"/>
  <c r="AN489" i="6" s="1"/>
  <c r="AO483" i="6"/>
  <c r="AL407" i="15"/>
  <c r="E74" i="5"/>
  <c r="N74" i="5"/>
  <c r="AJ466" i="5"/>
  <c r="AJ433" i="5"/>
  <c r="AJ419" i="5"/>
  <c r="AJ407" i="5"/>
  <c r="AJ452" i="5"/>
  <c r="X419" i="5"/>
  <c r="Z468" i="5"/>
  <c r="X468" i="5" s="1"/>
  <c r="X466" i="5"/>
  <c r="AI466" i="5"/>
  <c r="AO452" i="5"/>
  <c r="AL468" i="5"/>
  <c r="L401" i="5"/>
  <c r="N353" i="5"/>
  <c r="AO435" i="5"/>
  <c r="AI434" i="5"/>
  <c r="X452" i="5"/>
  <c r="F85" i="5"/>
  <c r="AH433" i="5"/>
  <c r="AI433" i="5" s="1"/>
  <c r="P74" i="5"/>
  <c r="S74" i="5"/>
  <c r="Q85" i="5"/>
  <c r="AN433" i="5"/>
  <c r="AO433" i="5" s="1"/>
  <c r="AN419" i="5"/>
  <c r="AO419" i="5" s="1"/>
  <c r="N85" i="5"/>
  <c r="N28" i="5"/>
  <c r="AP468" i="5"/>
  <c r="AS468" i="5" s="1"/>
  <c r="AD468" i="5"/>
  <c r="S85" i="5"/>
  <c r="S28" i="5"/>
  <c r="E314" i="5"/>
  <c r="Z406" i="5"/>
  <c r="Y448" i="5" s="1"/>
  <c r="F401" i="5"/>
  <c r="AM417" i="5"/>
  <c r="Q353" i="5"/>
  <c r="S353" i="5" s="1"/>
  <c r="S315" i="5"/>
  <c r="P330" i="5"/>
  <c r="P349" i="5"/>
  <c r="P351" i="5"/>
  <c r="AH419" i="5"/>
  <c r="AI419" i="5" s="1"/>
  <c r="X481" i="5"/>
  <c r="AH407" i="5"/>
  <c r="AI407" i="5" s="1"/>
  <c r="AF483" i="5"/>
  <c r="AS407" i="5"/>
  <c r="AN407" i="5"/>
  <c r="AO407" i="5" s="1"/>
  <c r="P314" i="5"/>
  <c r="AM414" i="5"/>
  <c r="AG414" i="5"/>
  <c r="N28" i="15"/>
  <c r="N85" i="15"/>
  <c r="AH407" i="15"/>
  <c r="AI407" i="15" s="1"/>
  <c r="AF483" i="15"/>
  <c r="AS407" i="15"/>
  <c r="AN407" i="15"/>
  <c r="AO407" i="15" s="1"/>
  <c r="Z483" i="15"/>
  <c r="X466" i="15"/>
  <c r="AI466" i="15"/>
  <c r="AJ419" i="15"/>
  <c r="AJ407" i="15"/>
  <c r="AJ452" i="15"/>
  <c r="AJ466" i="15"/>
  <c r="AJ433" i="15"/>
  <c r="AG416" i="15"/>
  <c r="AH433" i="15"/>
  <c r="AI433" i="15" s="1"/>
  <c r="E314" i="15"/>
  <c r="Z406" i="15"/>
  <c r="Y448" i="15" s="1"/>
  <c r="M314" i="15"/>
  <c r="AD452" i="15"/>
  <c r="Q353" i="15"/>
  <c r="S353" i="15" s="1"/>
  <c r="S315" i="15"/>
  <c r="P330" i="15"/>
  <c r="P349" i="15"/>
  <c r="P351" i="15"/>
  <c r="L401" i="15"/>
  <c r="N353" i="15"/>
  <c r="E74" i="15"/>
  <c r="N74" i="15"/>
  <c r="AO452" i="15"/>
  <c r="AO435" i="15"/>
  <c r="X452" i="15"/>
  <c r="AD466" i="15"/>
  <c r="F401" i="15"/>
  <c r="X419" i="15"/>
  <c r="Z468" i="15"/>
  <c r="X468" i="15" s="1"/>
  <c r="R314" i="15"/>
  <c r="P314" i="15"/>
  <c r="AL406" i="15"/>
  <c r="E24" i="15"/>
  <c r="E34" i="15"/>
  <c r="E37" i="15"/>
  <c r="E40" i="15"/>
  <c r="E36" i="15"/>
  <c r="E31" i="15"/>
  <c r="E32" i="15"/>
  <c r="E39" i="15"/>
  <c r="E33" i="15"/>
  <c r="E35" i="15"/>
  <c r="E38" i="15"/>
  <c r="X481" i="15"/>
  <c r="AM418" i="15"/>
  <c r="S85" i="15"/>
  <c r="AO433" i="15"/>
  <c r="P74" i="15"/>
  <c r="S74" i="15"/>
  <c r="AD468" i="15"/>
  <c r="AP468" i="15"/>
  <c r="AS468" i="15" s="1"/>
  <c r="AL468" i="15"/>
  <c r="AL483" i="15" s="1"/>
  <c r="AO419" i="15"/>
  <c r="AF513" i="6" l="1"/>
  <c r="AF507" i="6"/>
  <c r="AH498" i="6"/>
  <c r="AI498" i="6" s="1"/>
  <c r="AF502" i="6"/>
  <c r="AE498" i="6"/>
  <c r="AF504" i="6"/>
  <c r="AL498" i="6"/>
  <c r="AO489" i="6"/>
  <c r="AL488" i="6"/>
  <c r="AK489" i="6"/>
  <c r="AE488" i="6"/>
  <c r="AH488" i="6"/>
  <c r="AI488" i="6" s="1"/>
  <c r="Z483" i="5"/>
  <c r="AJ468" i="5"/>
  <c r="AF489" i="5"/>
  <c r="AH483" i="5"/>
  <c r="AI483" i="5" s="1"/>
  <c r="AE483" i="5"/>
  <c r="AL483" i="5"/>
  <c r="AN483" i="5" s="1"/>
  <c r="AH468" i="5"/>
  <c r="AI468" i="5" s="1"/>
  <c r="AN468" i="5"/>
  <c r="AO468" i="5" s="1"/>
  <c r="AL489" i="15"/>
  <c r="AO483" i="15"/>
  <c r="AK483" i="15"/>
  <c r="AK489" i="15"/>
  <c r="Z489" i="15"/>
  <c r="Y483" i="15"/>
  <c r="AF489" i="15"/>
  <c r="AH483" i="15"/>
  <c r="AI483" i="15" s="1"/>
  <c r="AE483" i="15"/>
  <c r="AN483" i="15"/>
  <c r="AH468" i="15"/>
  <c r="AI468" i="15" s="1"/>
  <c r="AJ468" i="15"/>
  <c r="AN468" i="15"/>
  <c r="AO468" i="15" s="1"/>
  <c r="AK488" i="6" l="1"/>
  <c r="AK498" i="6"/>
  <c r="AG513" i="6"/>
  <c r="AJ507" i="6"/>
  <c r="AN488" i="6"/>
  <c r="AO488" i="6" s="1"/>
  <c r="AN498" i="6"/>
  <c r="AO498" i="6" s="1"/>
  <c r="AL489" i="5"/>
  <c r="AN489" i="5" s="1"/>
  <c r="AO483" i="5"/>
  <c r="AK483" i="5"/>
  <c r="AE489" i="5"/>
  <c r="AF498" i="5"/>
  <c r="AF488" i="5"/>
  <c r="Y483" i="5"/>
  <c r="Z489" i="5"/>
  <c r="AE489" i="15"/>
  <c r="AF498" i="15"/>
  <c r="AN489" i="15"/>
  <c r="AO489" i="15" s="1"/>
  <c r="AH489" i="15"/>
  <c r="AI489" i="15" s="1"/>
  <c r="AF488" i="15"/>
  <c r="Z488" i="15"/>
  <c r="Y488" i="15" s="1"/>
  <c r="Y489" i="15"/>
  <c r="Z498" i="15"/>
  <c r="Y498" i="15" s="1"/>
  <c r="AL498" i="15"/>
  <c r="AL488" i="15"/>
  <c r="Z488" i="5" l="1"/>
  <c r="Y488" i="5" s="1"/>
  <c r="Y489" i="5"/>
  <c r="Z498" i="5"/>
  <c r="Y498" i="5" s="1"/>
  <c r="AE488" i="5"/>
  <c r="AN488" i="5"/>
  <c r="AH488" i="5"/>
  <c r="AI488" i="5" s="1"/>
  <c r="AH489" i="5"/>
  <c r="AI489" i="5" s="1"/>
  <c r="AN498" i="5"/>
  <c r="AF513" i="5"/>
  <c r="AF507" i="5"/>
  <c r="AH498" i="5"/>
  <c r="AI498" i="5" s="1"/>
  <c r="AF502" i="5"/>
  <c r="AE498" i="5"/>
  <c r="AF504" i="5"/>
  <c r="AL498" i="5"/>
  <c r="AL488" i="5"/>
  <c r="AO489" i="5"/>
  <c r="AK489" i="5"/>
  <c r="AE488" i="15"/>
  <c r="AN488" i="15"/>
  <c r="AH488" i="15"/>
  <c r="AI488" i="15" s="1"/>
  <c r="AO488" i="15"/>
  <c r="AK488" i="15"/>
  <c r="AK498" i="15"/>
  <c r="AN498" i="15"/>
  <c r="AO498" i="15" s="1"/>
  <c r="AF513" i="15"/>
  <c r="AF507" i="15"/>
  <c r="AH498" i="15"/>
  <c r="AI498" i="15" s="1"/>
  <c r="AF502" i="15"/>
  <c r="AE498" i="15"/>
  <c r="AF504" i="15"/>
  <c r="AO498" i="5" l="1"/>
  <c r="AK498" i="5"/>
  <c r="AG513" i="5"/>
  <c r="AJ507" i="5"/>
  <c r="AO488" i="5"/>
  <c r="AK488" i="5"/>
  <c r="AG513" i="15"/>
  <c r="AJ507" i="15"/>
  <c r="AO482" i="1" l="1"/>
  <c r="AN482" i="1"/>
  <c r="AO467" i="1"/>
  <c r="AN467" i="1"/>
  <c r="AO451" i="1"/>
  <c r="AO450" i="1"/>
  <c r="AO427" i="1"/>
  <c r="AO426" i="1"/>
  <c r="AO425" i="1"/>
  <c r="AO418" i="1"/>
  <c r="AO417" i="1"/>
  <c r="AO416" i="1"/>
  <c r="AH467" i="1"/>
  <c r="L329" i="1"/>
  <c r="I329" i="1"/>
  <c r="Q265" i="1"/>
  <c r="L265" i="1"/>
  <c r="I265" i="1"/>
  <c r="F265" i="1"/>
  <c r="N352" i="1"/>
  <c r="N288" i="1"/>
  <c r="N232" i="1"/>
  <c r="M182" i="1"/>
  <c r="R188" i="1"/>
  <c r="R185" i="1"/>
  <c r="S186" i="1" s="1"/>
  <c r="R179" i="1"/>
  <c r="R19" i="1"/>
  <c r="S1" i="1"/>
  <c r="AO485" i="1" s="1"/>
  <c r="AL496" i="1"/>
  <c r="AF496" i="1"/>
  <c r="AC496" i="1"/>
  <c r="S89" i="1" l="1"/>
  <c r="S168" i="1"/>
  <c r="S236" i="1"/>
  <c r="S291" i="1"/>
  <c r="S356" i="1"/>
  <c r="F282" i="1"/>
  <c r="AL460" i="1"/>
  <c r="AN496" i="1"/>
  <c r="AO496" i="1" s="1"/>
  <c r="S265" i="1"/>
  <c r="F140" i="1"/>
  <c r="F329" i="1"/>
  <c r="N329" i="1" s="1"/>
  <c r="N265" i="1"/>
  <c r="AB496" i="1"/>
  <c r="Q144" i="1"/>
  <c r="AL493" i="1"/>
  <c r="AO493" i="1" s="1"/>
  <c r="AL462" i="1"/>
  <c r="AL461" i="1"/>
  <c r="AL459" i="1"/>
  <c r="AL456" i="1"/>
  <c r="AO456" i="1" s="1"/>
  <c r="AL453" i="1"/>
  <c r="AL420" i="1"/>
  <c r="Q348" i="1"/>
  <c r="L348" i="1"/>
  <c r="I348" i="1"/>
  <c r="Q347" i="1"/>
  <c r="L347" i="1"/>
  <c r="I347" i="1"/>
  <c r="Q346" i="1"/>
  <c r="L346" i="1"/>
  <c r="I346" i="1"/>
  <c r="F346" i="1"/>
  <c r="Q284" i="1"/>
  <c r="L284" i="1"/>
  <c r="I284" i="1"/>
  <c r="F284" i="1"/>
  <c r="Q283" i="1"/>
  <c r="L283" i="1"/>
  <c r="I283" i="1"/>
  <c r="F283" i="1"/>
  <c r="Q282" i="1"/>
  <c r="L282" i="1"/>
  <c r="I282" i="1"/>
  <c r="Q228" i="1"/>
  <c r="L228" i="1"/>
  <c r="I228" i="1"/>
  <c r="F228" i="1"/>
  <c r="L227" i="1"/>
  <c r="I227" i="1"/>
  <c r="F227" i="1"/>
  <c r="Q226" i="1"/>
  <c r="L226" i="1"/>
  <c r="I226" i="1"/>
  <c r="F226" i="1"/>
  <c r="L209" i="1"/>
  <c r="I209" i="1"/>
  <c r="F209" i="1"/>
  <c r="Q162" i="1"/>
  <c r="L162" i="1"/>
  <c r="I162" i="1"/>
  <c r="L161" i="1"/>
  <c r="I161" i="1"/>
  <c r="F161" i="1"/>
  <c r="Q160" i="1"/>
  <c r="L160" i="1"/>
  <c r="I160" i="1"/>
  <c r="F160" i="1"/>
  <c r="L159" i="1"/>
  <c r="I159" i="1"/>
  <c r="F159" i="1"/>
  <c r="Q158" i="1"/>
  <c r="L158" i="1"/>
  <c r="I158" i="1"/>
  <c r="F158" i="1"/>
  <c r="Q157" i="1"/>
  <c r="L157" i="1"/>
  <c r="I157" i="1"/>
  <c r="F157" i="1"/>
  <c r="Q156" i="1"/>
  <c r="L156" i="1"/>
  <c r="I156" i="1"/>
  <c r="L152" i="1"/>
  <c r="I152" i="1"/>
  <c r="F152" i="1"/>
  <c r="Q151" i="1"/>
  <c r="L151" i="1"/>
  <c r="I151" i="1"/>
  <c r="F151" i="1"/>
  <c r="Q150" i="1"/>
  <c r="L150" i="1"/>
  <c r="I150" i="1"/>
  <c r="L149" i="1"/>
  <c r="I149" i="1"/>
  <c r="F149" i="1"/>
  <c r="Q148" i="1"/>
  <c r="L148" i="1"/>
  <c r="I148" i="1"/>
  <c r="F148" i="1"/>
  <c r="Q147" i="1"/>
  <c r="L147" i="1"/>
  <c r="I147" i="1"/>
  <c r="F147" i="1"/>
  <c r="Q146" i="1"/>
  <c r="L146" i="1"/>
  <c r="I146" i="1"/>
  <c r="F146" i="1"/>
  <c r="Q145" i="1"/>
  <c r="L145" i="1"/>
  <c r="I145" i="1"/>
  <c r="F145" i="1"/>
  <c r="L144" i="1"/>
  <c r="I144" i="1"/>
  <c r="F144" i="1"/>
  <c r="Q143" i="1"/>
  <c r="L143" i="1"/>
  <c r="I143" i="1"/>
  <c r="F143" i="1"/>
  <c r="Q142" i="1"/>
  <c r="L142" i="1"/>
  <c r="I142" i="1"/>
  <c r="F142" i="1"/>
  <c r="Q141" i="1"/>
  <c r="L141" i="1"/>
  <c r="I141" i="1"/>
  <c r="F141" i="1"/>
  <c r="Q140" i="1"/>
  <c r="L140" i="1"/>
  <c r="I140" i="1"/>
  <c r="Q139" i="1"/>
  <c r="L139" i="1"/>
  <c r="I139" i="1"/>
  <c r="F139" i="1"/>
  <c r="Q138" i="1"/>
  <c r="L138" i="1"/>
  <c r="I138" i="1"/>
  <c r="F138" i="1"/>
  <c r="Q137" i="1"/>
  <c r="L137" i="1"/>
  <c r="I137" i="1"/>
  <c r="F137" i="1"/>
  <c r="Q136" i="1"/>
  <c r="L136" i="1"/>
  <c r="I136" i="1"/>
  <c r="Q121" i="1"/>
  <c r="L121" i="1"/>
  <c r="I121" i="1"/>
  <c r="F121" i="1"/>
  <c r="Q120" i="1"/>
  <c r="L120" i="1"/>
  <c r="I120" i="1"/>
  <c r="F120" i="1"/>
  <c r="Q119" i="1"/>
  <c r="L119" i="1"/>
  <c r="I119" i="1"/>
  <c r="F119" i="1"/>
  <c r="Q134" i="1"/>
  <c r="L134" i="1"/>
  <c r="I134" i="1"/>
  <c r="F134" i="1"/>
  <c r="Q133" i="1"/>
  <c r="L133" i="1"/>
  <c r="I133" i="1"/>
  <c r="F133" i="1"/>
  <c r="Q132" i="1"/>
  <c r="L132" i="1"/>
  <c r="I132" i="1"/>
  <c r="L131" i="1"/>
  <c r="I131" i="1"/>
  <c r="F131" i="1"/>
  <c r="Q130" i="1"/>
  <c r="L130" i="1"/>
  <c r="I130" i="1"/>
  <c r="F130" i="1"/>
  <c r="Q129" i="1"/>
  <c r="L129" i="1"/>
  <c r="I129" i="1"/>
  <c r="F129" i="1"/>
  <c r="Q128" i="1"/>
  <c r="L128" i="1"/>
  <c r="I128" i="1"/>
  <c r="F128" i="1"/>
  <c r="Q127" i="1"/>
  <c r="L127" i="1"/>
  <c r="I127" i="1"/>
  <c r="F127" i="1"/>
  <c r="Q126" i="1"/>
  <c r="L126" i="1"/>
  <c r="I126" i="1"/>
  <c r="F126" i="1"/>
  <c r="Q125" i="1"/>
  <c r="L125" i="1"/>
  <c r="I125" i="1"/>
  <c r="F125" i="1"/>
  <c r="Q124" i="1"/>
  <c r="L124" i="1"/>
  <c r="I124" i="1"/>
  <c r="F124" i="1"/>
  <c r="Q123" i="1"/>
  <c r="L123" i="1"/>
  <c r="I123" i="1"/>
  <c r="Q118" i="1"/>
  <c r="L118" i="1"/>
  <c r="I118" i="1"/>
  <c r="Q117" i="1"/>
  <c r="L117" i="1"/>
  <c r="I117" i="1"/>
  <c r="F117" i="1"/>
  <c r="Q116" i="1"/>
  <c r="L116" i="1"/>
  <c r="I116" i="1"/>
  <c r="F116" i="1"/>
  <c r="Q115" i="1"/>
  <c r="L115" i="1"/>
  <c r="I115" i="1"/>
  <c r="L114" i="1"/>
  <c r="I114" i="1"/>
  <c r="F114" i="1"/>
  <c r="Q113" i="1"/>
  <c r="L113" i="1"/>
  <c r="I113" i="1"/>
  <c r="F113" i="1"/>
  <c r="Q112" i="1"/>
  <c r="L112" i="1"/>
  <c r="I112" i="1"/>
  <c r="F112" i="1"/>
  <c r="AC480" i="1"/>
  <c r="AC479" i="1"/>
  <c r="AC478" i="1"/>
  <c r="AC432" i="1"/>
  <c r="AC431" i="1"/>
  <c r="AC418" i="1"/>
  <c r="AC417" i="1"/>
  <c r="AC416" i="1"/>
  <c r="AB416" i="1" s="1"/>
  <c r="AC497" i="1"/>
  <c r="AF495" i="1"/>
  <c r="AC495" i="1"/>
  <c r="AB495" i="1" s="1"/>
  <c r="AF494" i="1"/>
  <c r="AC494" i="1"/>
  <c r="AF493" i="1"/>
  <c r="AC493" i="1"/>
  <c r="AF492" i="1"/>
  <c r="AC492" i="1"/>
  <c r="AB492" i="1" s="1"/>
  <c r="AF491" i="1"/>
  <c r="AC491" i="1"/>
  <c r="AB491" i="1" s="1"/>
  <c r="F347" i="1" l="1"/>
  <c r="N347" i="1" s="1"/>
  <c r="F118" i="1"/>
  <c r="N118" i="1" s="1"/>
  <c r="F156" i="1"/>
  <c r="N156" i="1" s="1"/>
  <c r="Z496" i="1"/>
  <c r="AH496" i="1" s="1"/>
  <c r="AI496" i="1" s="1"/>
  <c r="S117" i="1"/>
  <c r="N117" i="1"/>
  <c r="N147" i="1"/>
  <c r="S147" i="1"/>
  <c r="AL455" i="1"/>
  <c r="N141" i="1"/>
  <c r="S141" i="1"/>
  <c r="S346" i="1"/>
  <c r="N346" i="1"/>
  <c r="N124" i="1"/>
  <c r="S124" i="1"/>
  <c r="N130" i="1"/>
  <c r="S130" i="1"/>
  <c r="N209" i="1"/>
  <c r="N134" i="1"/>
  <c r="S134" i="1"/>
  <c r="S138" i="1"/>
  <c r="N138" i="1"/>
  <c r="N144" i="1"/>
  <c r="S144" i="1"/>
  <c r="N160" i="1"/>
  <c r="S160" i="1"/>
  <c r="AN493" i="1"/>
  <c r="N114" i="1"/>
  <c r="N151" i="1"/>
  <c r="S151" i="1"/>
  <c r="N157" i="1"/>
  <c r="S157" i="1"/>
  <c r="N226" i="1"/>
  <c r="S226" i="1"/>
  <c r="AL458" i="1"/>
  <c r="S125" i="1"/>
  <c r="N125" i="1"/>
  <c r="S128" i="1"/>
  <c r="N128" i="1"/>
  <c r="N131" i="1"/>
  <c r="F136" i="1"/>
  <c r="N136" i="1" s="1"/>
  <c r="S132" i="1"/>
  <c r="N119" i="1"/>
  <c r="S119" i="1"/>
  <c r="S136" i="1"/>
  <c r="N139" i="1"/>
  <c r="S139" i="1"/>
  <c r="S142" i="1"/>
  <c r="N142" i="1"/>
  <c r="N161" i="1"/>
  <c r="N283" i="1"/>
  <c r="S283" i="1"/>
  <c r="S347" i="1"/>
  <c r="N121" i="1"/>
  <c r="S121" i="1"/>
  <c r="N282" i="1"/>
  <c r="S282" i="1"/>
  <c r="S118" i="1"/>
  <c r="S115" i="1"/>
  <c r="N145" i="1"/>
  <c r="S145" i="1"/>
  <c r="S148" i="1"/>
  <c r="N148" i="1"/>
  <c r="S123" i="1"/>
  <c r="N126" i="1"/>
  <c r="S126" i="1"/>
  <c r="N129" i="1"/>
  <c r="S129" i="1"/>
  <c r="Q152" i="1"/>
  <c r="S152" i="1" s="1"/>
  <c r="S162" i="1"/>
  <c r="S112" i="1"/>
  <c r="N112" i="1"/>
  <c r="N152" i="1"/>
  <c r="S158" i="1"/>
  <c r="N158" i="1"/>
  <c r="N227" i="1"/>
  <c r="Q329" i="1"/>
  <c r="S329" i="1" s="1"/>
  <c r="S116" i="1"/>
  <c r="N116" i="1"/>
  <c r="S146" i="1"/>
  <c r="N146" i="1"/>
  <c r="N149" i="1"/>
  <c r="S348" i="1"/>
  <c r="AL492" i="1"/>
  <c r="AO492" i="1" s="1"/>
  <c r="N133" i="1"/>
  <c r="S133" i="1"/>
  <c r="S120" i="1"/>
  <c r="N120" i="1"/>
  <c r="S137" i="1"/>
  <c r="N137" i="1"/>
  <c r="S140" i="1"/>
  <c r="N140" i="1"/>
  <c r="S143" i="1"/>
  <c r="N143" i="1"/>
  <c r="S228" i="1"/>
  <c r="N228" i="1"/>
  <c r="S284" i="1"/>
  <c r="N284" i="1"/>
  <c r="S127" i="1"/>
  <c r="N127" i="1"/>
  <c r="N113" i="1"/>
  <c r="S113" i="1"/>
  <c r="S150" i="1"/>
  <c r="S156" i="1"/>
  <c r="N159" i="1"/>
  <c r="AL457" i="1"/>
  <c r="F123" i="1"/>
  <c r="N123" i="1" s="1"/>
  <c r="F162" i="1"/>
  <c r="N162" i="1" s="1"/>
  <c r="AL454" i="1"/>
  <c r="Q161" i="1"/>
  <c r="S161" i="1" s="1"/>
  <c r="AL494" i="1"/>
  <c r="AO494" i="1" s="1"/>
  <c r="F150" i="1"/>
  <c r="N150" i="1" s="1"/>
  <c r="F115" i="1"/>
  <c r="N115" i="1" s="1"/>
  <c r="Q131" i="1"/>
  <c r="S131" i="1" s="1"/>
  <c r="F348" i="1"/>
  <c r="N348" i="1" s="1"/>
  <c r="F132" i="1"/>
  <c r="N132" i="1" s="1"/>
  <c r="AB417" i="1"/>
  <c r="Q209" i="1"/>
  <c r="S209" i="1" s="1"/>
  <c r="Q114" i="1"/>
  <c r="S114" i="1" s="1"/>
  <c r="AL469" i="1"/>
  <c r="AL491" i="1"/>
  <c r="AN491" i="1" s="1"/>
  <c r="AO491" i="1" s="1"/>
  <c r="Q159" i="1"/>
  <c r="S159" i="1" s="1"/>
  <c r="Q227" i="1"/>
  <c r="S227" i="1" s="1"/>
  <c r="AB418" i="1"/>
  <c r="AB478" i="1"/>
  <c r="AB494" i="1"/>
  <c r="AB497" i="1"/>
  <c r="AB479" i="1"/>
  <c r="AB493" i="1"/>
  <c r="AB432" i="1"/>
  <c r="AB480" i="1"/>
  <c r="G113" i="1"/>
  <c r="AB431" i="1"/>
  <c r="AC477" i="1"/>
  <c r="AC476" i="1"/>
  <c r="AC475" i="1"/>
  <c r="AB475" i="1" s="1"/>
  <c r="AC474" i="1"/>
  <c r="AB474" i="1" s="1"/>
  <c r="AC473" i="1"/>
  <c r="AC472" i="1"/>
  <c r="AC471" i="1"/>
  <c r="AB471" i="1" s="1"/>
  <c r="AC470" i="1"/>
  <c r="AF469" i="1"/>
  <c r="AC469" i="1"/>
  <c r="AF462" i="1"/>
  <c r="AC462" i="1"/>
  <c r="Z462" i="1"/>
  <c r="AF461" i="1"/>
  <c r="AC461" i="1"/>
  <c r="AB461" i="1" s="1"/>
  <c r="AF460" i="1"/>
  <c r="AC460" i="1"/>
  <c r="AB460" i="1" s="1"/>
  <c r="AF459" i="1"/>
  <c r="AC459" i="1"/>
  <c r="AF458" i="1"/>
  <c r="AC458" i="1"/>
  <c r="AF457" i="1"/>
  <c r="AC457" i="1"/>
  <c r="AB457" i="1" s="1"/>
  <c r="AF456" i="1"/>
  <c r="AC456" i="1"/>
  <c r="AB456" i="1" s="1"/>
  <c r="AF455" i="1"/>
  <c r="AC455" i="1"/>
  <c r="AF454" i="1"/>
  <c r="AC454" i="1"/>
  <c r="AB454" i="1" s="1"/>
  <c r="AF453" i="1"/>
  <c r="AC453" i="1"/>
  <c r="AC451" i="1"/>
  <c r="AC450" i="1"/>
  <c r="AB450" i="1" s="1"/>
  <c r="AC449" i="1"/>
  <c r="AC448" i="1"/>
  <c r="AC447" i="1"/>
  <c r="AB447" i="1" s="1"/>
  <c r="AC446" i="1"/>
  <c r="AB446" i="1" s="1"/>
  <c r="AC445" i="1"/>
  <c r="AB445" i="1" s="1"/>
  <c r="AC444" i="1"/>
  <c r="AC443" i="1"/>
  <c r="AB443" i="1" s="1"/>
  <c r="AC442" i="1"/>
  <c r="AB442" i="1" s="1"/>
  <c r="AC441" i="1"/>
  <c r="AC440" i="1"/>
  <c r="AC439" i="1"/>
  <c r="AC438" i="1"/>
  <c r="AB438" i="1" s="1"/>
  <c r="AC437" i="1"/>
  <c r="AB437" i="1" s="1"/>
  <c r="AC436" i="1"/>
  <c r="AC435" i="1"/>
  <c r="AB435" i="1" s="1"/>
  <c r="AC434" i="1"/>
  <c r="AB434" i="1" s="1"/>
  <c r="AC430" i="1"/>
  <c r="AB430" i="1" s="1"/>
  <c r="AC429" i="1"/>
  <c r="AC428" i="1"/>
  <c r="AB428" i="1" s="1"/>
  <c r="AC427" i="1"/>
  <c r="AC426" i="1"/>
  <c r="AB426" i="1" s="1"/>
  <c r="AC425" i="1"/>
  <c r="AB425" i="1" s="1"/>
  <c r="AC424" i="1"/>
  <c r="AC423" i="1"/>
  <c r="AC422" i="1"/>
  <c r="AB422" i="1" s="1"/>
  <c r="AC421" i="1"/>
  <c r="AB421" i="1" s="1"/>
  <c r="AF420" i="1"/>
  <c r="AC420" i="1"/>
  <c r="AC415" i="1"/>
  <c r="AC414" i="1"/>
  <c r="AC413" i="1"/>
  <c r="AC412" i="1"/>
  <c r="AB412" i="1" s="1"/>
  <c r="AC411" i="1"/>
  <c r="AC410" i="1"/>
  <c r="AC409" i="1"/>
  <c r="Q104" i="1"/>
  <c r="O104" i="1"/>
  <c r="P104" i="1" s="1"/>
  <c r="L104" i="1"/>
  <c r="J104" i="1"/>
  <c r="K104" i="1" s="1"/>
  <c r="I104" i="1"/>
  <c r="G104" i="1"/>
  <c r="H104" i="1" s="1"/>
  <c r="F104" i="1"/>
  <c r="D104" i="1"/>
  <c r="E104" i="1" s="1"/>
  <c r="Q103" i="1"/>
  <c r="O103" i="1"/>
  <c r="P103" i="1" s="1"/>
  <c r="L103" i="1"/>
  <c r="J103" i="1"/>
  <c r="K103" i="1" s="1"/>
  <c r="I103" i="1"/>
  <c r="G103" i="1"/>
  <c r="H103" i="1" s="1"/>
  <c r="F103" i="1"/>
  <c r="D103" i="1"/>
  <c r="E103" i="1" s="1"/>
  <c r="Q102" i="1"/>
  <c r="O102" i="1"/>
  <c r="P102" i="1" s="1"/>
  <c r="L102" i="1"/>
  <c r="J102" i="1"/>
  <c r="K102" i="1" s="1"/>
  <c r="I102" i="1"/>
  <c r="G102" i="1"/>
  <c r="H102" i="1" s="1"/>
  <c r="F102" i="1"/>
  <c r="D102" i="1"/>
  <c r="E102" i="1" s="1"/>
  <c r="Q100" i="1"/>
  <c r="O100" i="1"/>
  <c r="L100" i="1"/>
  <c r="J100" i="1"/>
  <c r="I100" i="1"/>
  <c r="G100" i="1"/>
  <c r="F100" i="1"/>
  <c r="D100" i="1"/>
  <c r="Q99" i="1"/>
  <c r="O99" i="1"/>
  <c r="L99" i="1"/>
  <c r="J99" i="1"/>
  <c r="I99" i="1"/>
  <c r="G99" i="1"/>
  <c r="F99" i="1"/>
  <c r="D99" i="1"/>
  <c r="Q184" i="1"/>
  <c r="L184" i="1"/>
  <c r="I184" i="1"/>
  <c r="F184" i="1"/>
  <c r="Q360" i="1"/>
  <c r="O360" i="1"/>
  <c r="R360" i="1" s="1"/>
  <c r="L360" i="1"/>
  <c r="J360" i="1"/>
  <c r="I360" i="1"/>
  <c r="G360" i="1"/>
  <c r="F360" i="1"/>
  <c r="D360" i="1"/>
  <c r="L345" i="1"/>
  <c r="I345" i="1"/>
  <c r="F345" i="1"/>
  <c r="Q344" i="1"/>
  <c r="L344" i="1"/>
  <c r="I344" i="1"/>
  <c r="F344" i="1"/>
  <c r="Q343" i="1"/>
  <c r="L343" i="1"/>
  <c r="I343" i="1"/>
  <c r="F343" i="1"/>
  <c r="Q342" i="1"/>
  <c r="L342" i="1"/>
  <c r="I342" i="1"/>
  <c r="F342" i="1"/>
  <c r="Q341" i="1"/>
  <c r="L341" i="1"/>
  <c r="I341" i="1"/>
  <c r="F341" i="1"/>
  <c r="Q340" i="1"/>
  <c r="L340" i="1"/>
  <c r="I340" i="1"/>
  <c r="F340" i="1"/>
  <c r="Q339" i="1"/>
  <c r="L339" i="1"/>
  <c r="I339" i="1"/>
  <c r="F339" i="1"/>
  <c r="Q338" i="1"/>
  <c r="L338" i="1"/>
  <c r="I338" i="1"/>
  <c r="F338" i="1"/>
  <c r="Q337" i="1"/>
  <c r="L337" i="1"/>
  <c r="I337" i="1"/>
  <c r="F337" i="1"/>
  <c r="Q336" i="1"/>
  <c r="L336" i="1"/>
  <c r="I336" i="1"/>
  <c r="F336" i="1"/>
  <c r="Q335" i="1"/>
  <c r="L335" i="1"/>
  <c r="I335" i="1"/>
  <c r="F335" i="1"/>
  <c r="Q334" i="1"/>
  <c r="L334" i="1"/>
  <c r="I334" i="1"/>
  <c r="F334" i="1"/>
  <c r="Q333" i="1"/>
  <c r="L333" i="1"/>
  <c r="I333" i="1"/>
  <c r="F333" i="1"/>
  <c r="Q332" i="1"/>
  <c r="L332" i="1"/>
  <c r="I332" i="1"/>
  <c r="F332" i="1"/>
  <c r="Q331" i="1"/>
  <c r="L331" i="1"/>
  <c r="I331" i="1"/>
  <c r="F331" i="1"/>
  <c r="Q328" i="1"/>
  <c r="L328" i="1"/>
  <c r="I328" i="1"/>
  <c r="F328" i="1"/>
  <c r="Q327" i="1"/>
  <c r="L327" i="1"/>
  <c r="I327" i="1"/>
  <c r="F327" i="1"/>
  <c r="Q326" i="1"/>
  <c r="L326" i="1"/>
  <c r="I326" i="1"/>
  <c r="F326" i="1"/>
  <c r="Q325" i="1"/>
  <c r="L325" i="1"/>
  <c r="I325" i="1"/>
  <c r="F325" i="1"/>
  <c r="Q324" i="1"/>
  <c r="L324" i="1"/>
  <c r="I324" i="1"/>
  <c r="F324" i="1"/>
  <c r="Q323" i="1"/>
  <c r="L323" i="1"/>
  <c r="I323" i="1"/>
  <c r="F323" i="1"/>
  <c r="Q322" i="1"/>
  <c r="L322" i="1"/>
  <c r="I322" i="1"/>
  <c r="F322" i="1"/>
  <c r="Q321" i="1"/>
  <c r="L321" i="1"/>
  <c r="I321" i="1"/>
  <c r="F321" i="1"/>
  <c r="Q320" i="1"/>
  <c r="L320" i="1"/>
  <c r="I320" i="1"/>
  <c r="F320" i="1"/>
  <c r="Q319" i="1"/>
  <c r="L319" i="1"/>
  <c r="I319" i="1"/>
  <c r="F319" i="1"/>
  <c r="Q318" i="1"/>
  <c r="L318" i="1"/>
  <c r="I318" i="1"/>
  <c r="F318" i="1"/>
  <c r="Q312" i="1"/>
  <c r="O312" i="1"/>
  <c r="L312" i="1"/>
  <c r="J312" i="1"/>
  <c r="K312" i="1" s="1"/>
  <c r="I312" i="1"/>
  <c r="G312" i="1"/>
  <c r="H312" i="1" s="1"/>
  <c r="F312" i="1"/>
  <c r="M312" i="1" s="1"/>
  <c r="D312" i="1"/>
  <c r="E312" i="1" s="1"/>
  <c r="Q311" i="1"/>
  <c r="O311" i="1"/>
  <c r="L311" i="1"/>
  <c r="J311" i="1"/>
  <c r="K311" i="1" s="1"/>
  <c r="I311" i="1"/>
  <c r="G311" i="1"/>
  <c r="H311" i="1" s="1"/>
  <c r="F311" i="1"/>
  <c r="D311" i="1"/>
  <c r="E311" i="1" s="1"/>
  <c r="Q308" i="1"/>
  <c r="O308" i="1"/>
  <c r="L308" i="1"/>
  <c r="J308" i="1"/>
  <c r="I308" i="1"/>
  <c r="G308" i="1"/>
  <c r="H308" i="1" s="1"/>
  <c r="F308" i="1"/>
  <c r="D308" i="1"/>
  <c r="Q307" i="1"/>
  <c r="O307" i="1"/>
  <c r="L307" i="1"/>
  <c r="J307" i="1"/>
  <c r="I307" i="1"/>
  <c r="G307" i="1"/>
  <c r="H307" i="1" s="1"/>
  <c r="F307" i="1"/>
  <c r="D307" i="1"/>
  <c r="Q303" i="1"/>
  <c r="O303" i="1"/>
  <c r="L303" i="1"/>
  <c r="J303" i="1"/>
  <c r="K303" i="1" s="1"/>
  <c r="I303" i="1"/>
  <c r="G303" i="1"/>
  <c r="H303" i="1" s="1"/>
  <c r="F303" i="1"/>
  <c r="D303" i="1"/>
  <c r="E303" i="1" s="1"/>
  <c r="Q302" i="1"/>
  <c r="O302" i="1"/>
  <c r="R302" i="1" s="1"/>
  <c r="L302" i="1"/>
  <c r="J302" i="1"/>
  <c r="K302" i="1" s="1"/>
  <c r="I302" i="1"/>
  <c r="G302" i="1"/>
  <c r="H302" i="1" s="1"/>
  <c r="F302" i="1"/>
  <c r="D302" i="1"/>
  <c r="E302" i="1" s="1"/>
  <c r="Q301" i="1"/>
  <c r="O301" i="1"/>
  <c r="R301" i="1" s="1"/>
  <c r="L301" i="1"/>
  <c r="J301" i="1"/>
  <c r="I301" i="1"/>
  <c r="G301" i="1"/>
  <c r="H301" i="1" s="1"/>
  <c r="F301" i="1"/>
  <c r="D301" i="1"/>
  <c r="E301" i="1" s="1"/>
  <c r="Q300" i="1"/>
  <c r="O300" i="1"/>
  <c r="L300" i="1"/>
  <c r="J300" i="1"/>
  <c r="I300" i="1"/>
  <c r="G300" i="1"/>
  <c r="H300" i="1" s="1"/>
  <c r="F300" i="1"/>
  <c r="D300" i="1"/>
  <c r="Q299" i="1"/>
  <c r="O299" i="1"/>
  <c r="L299" i="1"/>
  <c r="J299" i="1"/>
  <c r="I299" i="1"/>
  <c r="G299" i="1"/>
  <c r="H299" i="1" s="1"/>
  <c r="F299" i="1"/>
  <c r="D299" i="1"/>
  <c r="Q298" i="1"/>
  <c r="O298" i="1"/>
  <c r="L298" i="1"/>
  <c r="J298" i="1"/>
  <c r="I298" i="1"/>
  <c r="G298" i="1"/>
  <c r="H298" i="1" s="1"/>
  <c r="F298" i="1"/>
  <c r="D298" i="1"/>
  <c r="Q297" i="1"/>
  <c r="O297" i="1"/>
  <c r="L297" i="1"/>
  <c r="J297" i="1"/>
  <c r="I297" i="1"/>
  <c r="G297" i="1"/>
  <c r="H297" i="1" s="1"/>
  <c r="F297" i="1"/>
  <c r="D297" i="1"/>
  <c r="Q296" i="1"/>
  <c r="O296" i="1"/>
  <c r="L296" i="1"/>
  <c r="J296" i="1"/>
  <c r="I296" i="1"/>
  <c r="G296" i="1"/>
  <c r="H296" i="1" s="1"/>
  <c r="F296" i="1"/>
  <c r="D296" i="1"/>
  <c r="Q295" i="1"/>
  <c r="O295" i="1"/>
  <c r="L295" i="1"/>
  <c r="J295" i="1"/>
  <c r="I295" i="1"/>
  <c r="G295" i="1"/>
  <c r="F295" i="1"/>
  <c r="D295" i="1"/>
  <c r="L281" i="1"/>
  <c r="I281" i="1"/>
  <c r="F281" i="1"/>
  <c r="Q280" i="1"/>
  <c r="L280" i="1"/>
  <c r="I280" i="1"/>
  <c r="F280" i="1"/>
  <c r="Q279" i="1"/>
  <c r="L279" i="1"/>
  <c r="I279" i="1"/>
  <c r="F279" i="1"/>
  <c r="Q278" i="1"/>
  <c r="L278" i="1"/>
  <c r="I278" i="1"/>
  <c r="F278" i="1"/>
  <c r="Q277" i="1"/>
  <c r="L277" i="1"/>
  <c r="I277" i="1"/>
  <c r="F277" i="1"/>
  <c r="Q276" i="1"/>
  <c r="L276" i="1"/>
  <c r="I276" i="1"/>
  <c r="F276" i="1"/>
  <c r="Q275" i="1"/>
  <c r="L275" i="1"/>
  <c r="I275" i="1"/>
  <c r="F275" i="1"/>
  <c r="Q274" i="1"/>
  <c r="L274" i="1"/>
  <c r="I274" i="1"/>
  <c r="F274" i="1"/>
  <c r="Q273" i="1"/>
  <c r="L273" i="1"/>
  <c r="I273" i="1"/>
  <c r="F273" i="1"/>
  <c r="Q272" i="1"/>
  <c r="L272" i="1"/>
  <c r="I272" i="1"/>
  <c r="F272" i="1"/>
  <c r="Q271" i="1"/>
  <c r="L271" i="1"/>
  <c r="I271" i="1"/>
  <c r="F271" i="1"/>
  <c r="Q270" i="1"/>
  <c r="L270" i="1"/>
  <c r="I270" i="1"/>
  <c r="F270" i="1"/>
  <c r="Q269" i="1"/>
  <c r="L269" i="1"/>
  <c r="I269" i="1"/>
  <c r="F269" i="1"/>
  <c r="Q268" i="1"/>
  <c r="L268" i="1"/>
  <c r="I268" i="1"/>
  <c r="F268" i="1"/>
  <c r="Q267" i="1"/>
  <c r="L267" i="1"/>
  <c r="I267" i="1"/>
  <c r="F267" i="1"/>
  <c r="Q264" i="1"/>
  <c r="L264" i="1"/>
  <c r="I264" i="1"/>
  <c r="F264" i="1"/>
  <c r="Q263" i="1"/>
  <c r="L263" i="1"/>
  <c r="I263" i="1"/>
  <c r="F263" i="1"/>
  <c r="Q262" i="1"/>
  <c r="L262" i="1"/>
  <c r="I262" i="1"/>
  <c r="F262" i="1"/>
  <c r="Q261" i="1"/>
  <c r="L261" i="1"/>
  <c r="I261" i="1"/>
  <c r="F261" i="1"/>
  <c r="Q260" i="1"/>
  <c r="L260" i="1"/>
  <c r="I260" i="1"/>
  <c r="F260" i="1"/>
  <c r="Q259" i="1"/>
  <c r="L259" i="1"/>
  <c r="I259" i="1"/>
  <c r="F259" i="1"/>
  <c r="Q258" i="1"/>
  <c r="L258" i="1"/>
  <c r="I258" i="1"/>
  <c r="F258" i="1"/>
  <c r="Q257" i="1"/>
  <c r="L257" i="1"/>
  <c r="I257" i="1"/>
  <c r="F257" i="1"/>
  <c r="Q256" i="1"/>
  <c r="L256" i="1"/>
  <c r="I256" i="1"/>
  <c r="F256" i="1"/>
  <c r="Q255" i="1"/>
  <c r="L255" i="1"/>
  <c r="I255" i="1"/>
  <c r="F255" i="1"/>
  <c r="Q254" i="1"/>
  <c r="L254" i="1"/>
  <c r="I254" i="1"/>
  <c r="F254" i="1"/>
  <c r="Q247" i="1"/>
  <c r="S248" i="1" s="1"/>
  <c r="P247" i="1"/>
  <c r="O247" i="1"/>
  <c r="R247" i="1" s="1"/>
  <c r="L247" i="1"/>
  <c r="K247" i="1"/>
  <c r="J247" i="1"/>
  <c r="I247" i="1"/>
  <c r="H247" i="1"/>
  <c r="G247" i="1"/>
  <c r="F247" i="1"/>
  <c r="E247" i="1"/>
  <c r="D247" i="1"/>
  <c r="Q244" i="1"/>
  <c r="S245" i="1" s="1"/>
  <c r="P244" i="1"/>
  <c r="O244" i="1"/>
  <c r="R244" i="1" s="1"/>
  <c r="L244" i="1"/>
  <c r="K244" i="1"/>
  <c r="J244" i="1"/>
  <c r="I244" i="1"/>
  <c r="H244" i="1"/>
  <c r="G244" i="1"/>
  <c r="F244" i="1"/>
  <c r="E244" i="1"/>
  <c r="D244" i="1"/>
  <c r="Q241" i="1"/>
  <c r="P241" i="1"/>
  <c r="O241" i="1"/>
  <c r="L241" i="1"/>
  <c r="K241" i="1"/>
  <c r="J241" i="1"/>
  <c r="I241" i="1"/>
  <c r="H241" i="1"/>
  <c r="G241" i="1"/>
  <c r="F241" i="1"/>
  <c r="E241" i="1"/>
  <c r="D241" i="1"/>
  <c r="L225" i="1"/>
  <c r="I225" i="1"/>
  <c r="F225" i="1"/>
  <c r="Q224" i="1"/>
  <c r="L224" i="1"/>
  <c r="I224" i="1"/>
  <c r="F224" i="1"/>
  <c r="Q223" i="1"/>
  <c r="L223" i="1"/>
  <c r="I223" i="1"/>
  <c r="F223" i="1"/>
  <c r="Q222" i="1"/>
  <c r="L222" i="1"/>
  <c r="I222" i="1"/>
  <c r="F222" i="1"/>
  <c r="Q221" i="1"/>
  <c r="L221" i="1"/>
  <c r="I221" i="1"/>
  <c r="F221" i="1"/>
  <c r="Q220" i="1"/>
  <c r="L220" i="1"/>
  <c r="I220" i="1"/>
  <c r="F220" i="1"/>
  <c r="Q219" i="1"/>
  <c r="L219" i="1"/>
  <c r="I219" i="1"/>
  <c r="F219" i="1"/>
  <c r="Q218" i="1"/>
  <c r="L218" i="1"/>
  <c r="I218" i="1"/>
  <c r="F218" i="1"/>
  <c r="Q217" i="1"/>
  <c r="L217" i="1"/>
  <c r="I217" i="1"/>
  <c r="F217" i="1"/>
  <c r="Q216" i="1"/>
  <c r="L216" i="1"/>
  <c r="I216" i="1"/>
  <c r="F216" i="1"/>
  <c r="Q215" i="1"/>
  <c r="L215" i="1"/>
  <c r="I215" i="1"/>
  <c r="F215" i="1"/>
  <c r="Q214" i="1"/>
  <c r="L214" i="1"/>
  <c r="I214" i="1"/>
  <c r="F214" i="1"/>
  <c r="Q213" i="1"/>
  <c r="L213" i="1"/>
  <c r="I213" i="1"/>
  <c r="F213" i="1"/>
  <c r="Q212" i="1"/>
  <c r="L212" i="1"/>
  <c r="I212" i="1"/>
  <c r="F212" i="1"/>
  <c r="Q211" i="1"/>
  <c r="L211" i="1"/>
  <c r="I211" i="1"/>
  <c r="F211" i="1"/>
  <c r="Q208" i="1"/>
  <c r="L208" i="1"/>
  <c r="I208" i="1"/>
  <c r="F208" i="1"/>
  <c r="Q207" i="1"/>
  <c r="L207" i="1"/>
  <c r="I207" i="1"/>
  <c r="F207" i="1"/>
  <c r="Q206" i="1"/>
  <c r="L206" i="1"/>
  <c r="I206" i="1"/>
  <c r="F206" i="1"/>
  <c r="Q205" i="1"/>
  <c r="L205" i="1"/>
  <c r="I205" i="1"/>
  <c r="F205" i="1"/>
  <c r="Q204" i="1"/>
  <c r="L204" i="1"/>
  <c r="I204" i="1"/>
  <c r="F204" i="1"/>
  <c r="Q203" i="1"/>
  <c r="L203" i="1"/>
  <c r="I203" i="1"/>
  <c r="F203" i="1"/>
  <c r="Q202" i="1"/>
  <c r="L202" i="1"/>
  <c r="I202" i="1"/>
  <c r="F202" i="1"/>
  <c r="Q201" i="1"/>
  <c r="L201" i="1"/>
  <c r="I201" i="1"/>
  <c r="F201" i="1"/>
  <c r="Q200" i="1"/>
  <c r="L200" i="1"/>
  <c r="I200" i="1"/>
  <c r="F200" i="1"/>
  <c r="Q199" i="1"/>
  <c r="L199" i="1"/>
  <c r="I199" i="1"/>
  <c r="F199" i="1"/>
  <c r="Q198" i="1"/>
  <c r="L198" i="1"/>
  <c r="I198" i="1"/>
  <c r="F198" i="1"/>
  <c r="Q191" i="1"/>
  <c r="P191" i="1"/>
  <c r="L191" i="1"/>
  <c r="K191" i="1"/>
  <c r="I191" i="1"/>
  <c r="H191" i="1"/>
  <c r="F191" i="1"/>
  <c r="E191" i="1"/>
  <c r="Q188" i="1"/>
  <c r="P188" i="1"/>
  <c r="L188" i="1"/>
  <c r="K188" i="1"/>
  <c r="I188" i="1"/>
  <c r="H188" i="1"/>
  <c r="F188" i="1"/>
  <c r="E188" i="1"/>
  <c r="Q181" i="1"/>
  <c r="P181" i="1"/>
  <c r="O181" i="1"/>
  <c r="L181" i="1"/>
  <c r="K181" i="1"/>
  <c r="J181" i="1"/>
  <c r="I181" i="1"/>
  <c r="H181" i="1"/>
  <c r="G181" i="1"/>
  <c r="F181" i="1"/>
  <c r="E181" i="1"/>
  <c r="D181" i="1"/>
  <c r="Q178" i="1"/>
  <c r="P178" i="1"/>
  <c r="O178" i="1"/>
  <c r="L178" i="1"/>
  <c r="K178" i="1"/>
  <c r="J178" i="1"/>
  <c r="I178" i="1"/>
  <c r="H178" i="1"/>
  <c r="G178" i="1"/>
  <c r="F178" i="1"/>
  <c r="E178" i="1"/>
  <c r="D178" i="1"/>
  <c r="D175" i="1"/>
  <c r="Q175" i="1"/>
  <c r="P175" i="1"/>
  <c r="O175" i="1"/>
  <c r="L175" i="1"/>
  <c r="K175" i="1"/>
  <c r="J175" i="1"/>
  <c r="I175" i="1"/>
  <c r="H175" i="1"/>
  <c r="G175" i="1"/>
  <c r="F175" i="1"/>
  <c r="E175" i="1"/>
  <c r="Q172" i="1"/>
  <c r="P172" i="1"/>
  <c r="O172" i="1"/>
  <c r="L172" i="1"/>
  <c r="K172" i="1"/>
  <c r="J172" i="1"/>
  <c r="I172" i="1"/>
  <c r="H172" i="1"/>
  <c r="G172" i="1"/>
  <c r="D172" i="1"/>
  <c r="F172" i="1"/>
  <c r="E172" i="1"/>
  <c r="E297" i="1" l="1"/>
  <c r="E300" i="1"/>
  <c r="R102" i="1"/>
  <c r="M175" i="1"/>
  <c r="M241" i="1"/>
  <c r="M244" i="1"/>
  <c r="M247" i="1"/>
  <c r="M178" i="1"/>
  <c r="M172" i="1"/>
  <c r="R296" i="1"/>
  <c r="R299" i="1"/>
  <c r="R308" i="1"/>
  <c r="R104" i="1"/>
  <c r="E296" i="1"/>
  <c r="E299" i="1"/>
  <c r="M300" i="1"/>
  <c r="S360" i="1"/>
  <c r="S223" i="1"/>
  <c r="N223" i="1"/>
  <c r="N103" i="1"/>
  <c r="S103" i="1"/>
  <c r="N220" i="1"/>
  <c r="S220" i="1"/>
  <c r="AN494" i="1"/>
  <c r="N188" i="1"/>
  <c r="S188" i="1"/>
  <c r="N261" i="1"/>
  <c r="S261" i="1"/>
  <c r="N281" i="1"/>
  <c r="AN454" i="1"/>
  <c r="AO454" i="1" s="1"/>
  <c r="AN460" i="1"/>
  <c r="AO460" i="1" s="1"/>
  <c r="S198" i="1"/>
  <c r="N198" i="1"/>
  <c r="N201" i="1"/>
  <c r="S201" i="1"/>
  <c r="S204" i="1"/>
  <c r="N204" i="1"/>
  <c r="N207" i="1"/>
  <c r="S207" i="1"/>
  <c r="N212" i="1"/>
  <c r="S212" i="1"/>
  <c r="N215" i="1"/>
  <c r="S215" i="1"/>
  <c r="S218" i="1"/>
  <c r="N218" i="1"/>
  <c r="S221" i="1"/>
  <c r="N221" i="1"/>
  <c r="S224" i="1"/>
  <c r="N224" i="1"/>
  <c r="M296" i="1"/>
  <c r="M299" i="1"/>
  <c r="M308" i="1"/>
  <c r="N102" i="1"/>
  <c r="S102" i="1"/>
  <c r="S318" i="1"/>
  <c r="N318" i="1"/>
  <c r="S338" i="1"/>
  <c r="N338" i="1"/>
  <c r="N214" i="1"/>
  <c r="S214" i="1"/>
  <c r="S297" i="1"/>
  <c r="N297" i="1"/>
  <c r="N303" i="1"/>
  <c r="S303" i="1"/>
  <c r="AN459" i="1"/>
  <c r="AO459" i="1" s="1"/>
  <c r="R297" i="1"/>
  <c r="P303" i="1"/>
  <c r="R303" i="1"/>
  <c r="S324" i="1"/>
  <c r="N324" i="1"/>
  <c r="S344" i="1"/>
  <c r="N344" i="1"/>
  <c r="N269" i="1"/>
  <c r="S269" i="1"/>
  <c r="N275" i="1"/>
  <c r="S275" i="1"/>
  <c r="S175" i="1"/>
  <c r="N175" i="1"/>
  <c r="N244" i="1"/>
  <c r="N245" i="1" s="1"/>
  <c r="S244" i="1"/>
  <c r="S302" i="1"/>
  <c r="N302" i="1"/>
  <c r="AN455" i="1"/>
  <c r="N206" i="1"/>
  <c r="S206" i="1"/>
  <c r="R175" i="1"/>
  <c r="S322" i="1"/>
  <c r="N322" i="1"/>
  <c r="S333" i="1"/>
  <c r="N333" i="1"/>
  <c r="S336" i="1"/>
  <c r="N336" i="1"/>
  <c r="N342" i="1"/>
  <c r="S342" i="1"/>
  <c r="R300" i="1"/>
  <c r="N321" i="1"/>
  <c r="S321" i="1"/>
  <c r="N335" i="1"/>
  <c r="S335" i="1"/>
  <c r="N255" i="1"/>
  <c r="S255" i="1"/>
  <c r="S272" i="1"/>
  <c r="N272" i="1"/>
  <c r="S247" i="1"/>
  <c r="N248" i="1"/>
  <c r="N247" i="1"/>
  <c r="N296" i="1"/>
  <c r="S296" i="1"/>
  <c r="N299" i="1"/>
  <c r="S299" i="1"/>
  <c r="N308" i="1"/>
  <c r="S308" i="1"/>
  <c r="N184" i="1"/>
  <c r="S184" i="1"/>
  <c r="AN461" i="1"/>
  <c r="AO461" i="1" s="1"/>
  <c r="S163" i="1"/>
  <c r="S172" i="1"/>
  <c r="N172" i="1"/>
  <c r="R241" i="1"/>
  <c r="S319" i="1"/>
  <c r="N319" i="1"/>
  <c r="N345" i="1"/>
  <c r="N202" i="1"/>
  <c r="S202" i="1"/>
  <c r="N208" i="1"/>
  <c r="S208" i="1"/>
  <c r="N219" i="1"/>
  <c r="S219" i="1"/>
  <c r="N225" i="1"/>
  <c r="M295" i="1"/>
  <c r="N100" i="1"/>
  <c r="S100" i="1"/>
  <c r="N104" i="1"/>
  <c r="S104" i="1"/>
  <c r="S203" i="1"/>
  <c r="N203" i="1"/>
  <c r="AN453" i="1"/>
  <c r="AO453" i="1" s="1"/>
  <c r="N332" i="1"/>
  <c r="S332" i="1"/>
  <c r="S258" i="1"/>
  <c r="N258" i="1"/>
  <c r="N163" i="1"/>
  <c r="R181" i="1"/>
  <c r="N256" i="1"/>
  <c r="S256" i="1"/>
  <c r="N259" i="1"/>
  <c r="S259" i="1"/>
  <c r="S262" i="1"/>
  <c r="N262" i="1"/>
  <c r="S267" i="1"/>
  <c r="N267" i="1"/>
  <c r="N270" i="1"/>
  <c r="S270" i="1"/>
  <c r="N273" i="1"/>
  <c r="S273" i="1"/>
  <c r="N276" i="1"/>
  <c r="S276" i="1"/>
  <c r="S279" i="1"/>
  <c r="N279" i="1"/>
  <c r="M100" i="1"/>
  <c r="R100" i="1"/>
  <c r="AN420" i="1"/>
  <c r="AO420" i="1" s="1"/>
  <c r="AN456" i="1"/>
  <c r="N199" i="1"/>
  <c r="S199" i="1"/>
  <c r="S205" i="1"/>
  <c r="N205" i="1"/>
  <c r="S213" i="1"/>
  <c r="N213" i="1"/>
  <c r="N216" i="1"/>
  <c r="S216" i="1"/>
  <c r="N222" i="1"/>
  <c r="S222" i="1"/>
  <c r="K298" i="1"/>
  <c r="M298" i="1"/>
  <c r="K301" i="1"/>
  <c r="M301" i="1"/>
  <c r="M307" i="1"/>
  <c r="F266" i="1"/>
  <c r="N295" i="1"/>
  <c r="S295" i="1"/>
  <c r="N298" i="1"/>
  <c r="S298" i="1"/>
  <c r="N301" i="1"/>
  <c r="S301" i="1"/>
  <c r="N307" i="1"/>
  <c r="S307" i="1"/>
  <c r="S312" i="1"/>
  <c r="R312" i="1" s="1"/>
  <c r="N312" i="1"/>
  <c r="AN457" i="1"/>
  <c r="AO457" i="1" s="1"/>
  <c r="AN492" i="1"/>
  <c r="S211" i="1"/>
  <c r="N211" i="1"/>
  <c r="S300" i="1"/>
  <c r="N300" i="1"/>
  <c r="S178" i="1"/>
  <c r="N178" i="1"/>
  <c r="S181" i="1"/>
  <c r="N181" i="1"/>
  <c r="S325" i="1"/>
  <c r="N325" i="1"/>
  <c r="N328" i="1"/>
  <c r="S328" i="1"/>
  <c r="N339" i="1"/>
  <c r="S339" i="1"/>
  <c r="M188" i="1"/>
  <c r="R295" i="1"/>
  <c r="R298" i="1"/>
  <c r="R307" i="1"/>
  <c r="N320" i="1"/>
  <c r="S320" i="1"/>
  <c r="N323" i="1"/>
  <c r="S323" i="1"/>
  <c r="N326" i="1"/>
  <c r="S326" i="1"/>
  <c r="S331" i="1"/>
  <c r="N331" i="1"/>
  <c r="S334" i="1"/>
  <c r="N334" i="1"/>
  <c r="N337" i="1"/>
  <c r="S337" i="1"/>
  <c r="N340" i="1"/>
  <c r="S340" i="1"/>
  <c r="S343" i="1"/>
  <c r="N343" i="1"/>
  <c r="AN469" i="1"/>
  <c r="AO469" i="1" s="1"/>
  <c r="S200" i="1"/>
  <c r="N200" i="1"/>
  <c r="S217" i="1"/>
  <c r="N217" i="1"/>
  <c r="K297" i="1"/>
  <c r="M297" i="1"/>
  <c r="N327" i="1"/>
  <c r="S327" i="1"/>
  <c r="N341" i="1"/>
  <c r="S341" i="1"/>
  <c r="N264" i="1"/>
  <c r="S264" i="1"/>
  <c r="S278" i="1"/>
  <c r="N278" i="1"/>
  <c r="N241" i="1"/>
  <c r="S241" i="1"/>
  <c r="R172" i="1"/>
  <c r="R178" i="1"/>
  <c r="M181" i="1"/>
  <c r="L266" i="1"/>
  <c r="S254" i="1"/>
  <c r="N254" i="1"/>
  <c r="N257" i="1"/>
  <c r="S257" i="1"/>
  <c r="N260" i="1"/>
  <c r="S260" i="1"/>
  <c r="N263" i="1"/>
  <c r="S263" i="1"/>
  <c r="S268" i="1"/>
  <c r="N268" i="1"/>
  <c r="N271" i="1"/>
  <c r="S271" i="1"/>
  <c r="S274" i="1"/>
  <c r="N274" i="1"/>
  <c r="N277" i="1"/>
  <c r="S277" i="1"/>
  <c r="N280" i="1"/>
  <c r="S280" i="1"/>
  <c r="R103" i="1"/>
  <c r="AN458" i="1"/>
  <c r="AO458" i="1" s="1"/>
  <c r="AB415" i="1"/>
  <c r="P299" i="1"/>
  <c r="AB448" i="1"/>
  <c r="AB476" i="1"/>
  <c r="P308" i="1"/>
  <c r="AB451" i="1"/>
  <c r="P312" i="1"/>
  <c r="P297" i="1"/>
  <c r="P300" i="1"/>
  <c r="E307" i="1"/>
  <c r="AB440" i="1"/>
  <c r="AB449" i="1"/>
  <c r="K307" i="1"/>
  <c r="K296" i="1"/>
  <c r="E298" i="1"/>
  <c r="K299" i="1"/>
  <c r="P307" i="1"/>
  <c r="P296" i="1"/>
  <c r="E308" i="1"/>
  <c r="AB472" i="1"/>
  <c r="F185" i="1"/>
  <c r="P302" i="1"/>
  <c r="P298" i="1"/>
  <c r="K308" i="1"/>
  <c r="AB462" i="1"/>
  <c r="P301" i="1"/>
  <c r="K300" i="1"/>
  <c r="AB410" i="1"/>
  <c r="AB429" i="1"/>
  <c r="AB459" i="1"/>
  <c r="AB469" i="1"/>
  <c r="AB413" i="1"/>
  <c r="AB453" i="1"/>
  <c r="AB455" i="1"/>
  <c r="AB477" i="1"/>
  <c r="AB420" i="1"/>
  <c r="AB423" i="1"/>
  <c r="AB441" i="1"/>
  <c r="AB411" i="1"/>
  <c r="AB427" i="1"/>
  <c r="AB414" i="1"/>
  <c r="AB470" i="1"/>
  <c r="AB424" i="1"/>
  <c r="AB439" i="1"/>
  <c r="AB458" i="1"/>
  <c r="P311" i="1"/>
  <c r="AB473" i="1"/>
  <c r="AB436" i="1"/>
  <c r="AB444" i="1"/>
  <c r="N242" i="1" l="1"/>
  <c r="N266" i="1"/>
  <c r="S242" i="1"/>
  <c r="AN466" i="1"/>
  <c r="N349" i="1"/>
  <c r="AO455" i="1"/>
  <c r="N285" i="1"/>
  <c r="AL448" i="1"/>
  <c r="D96" i="1" l="1"/>
  <c r="F96" i="1"/>
  <c r="G96" i="1"/>
  <c r="H96" i="1" s="1"/>
  <c r="I96" i="1"/>
  <c r="J96" i="1"/>
  <c r="L96" i="1"/>
  <c r="A96" i="1"/>
  <c r="N96" i="1" l="1"/>
  <c r="M96" i="1"/>
  <c r="K96" i="1"/>
  <c r="E96" i="1"/>
  <c r="Z492" i="1"/>
  <c r="Z491" i="1"/>
  <c r="AH491" i="1" s="1"/>
  <c r="AI491" i="1" s="1"/>
  <c r="Z469" i="1"/>
  <c r="AH469" i="1" s="1"/>
  <c r="AI469" i="1" s="1"/>
  <c r="Z461" i="1"/>
  <c r="Z458" i="1"/>
  <c r="AH458" i="1" s="1"/>
  <c r="AI458" i="1" s="1"/>
  <c r="AH461" i="1" l="1"/>
  <c r="AI461" i="1" s="1"/>
  <c r="AI492" i="1"/>
  <c r="AH492" i="1"/>
  <c r="Z420" i="1"/>
  <c r="AH420" i="1" s="1"/>
  <c r="AI420" i="1" s="1"/>
  <c r="Z460" i="1"/>
  <c r="AH460" i="1" s="1"/>
  <c r="AI460" i="1" s="1"/>
  <c r="Z453" i="1"/>
  <c r="AH453" i="1" s="1"/>
  <c r="Z454" i="1"/>
  <c r="AH454" i="1" s="1"/>
  <c r="AI454" i="1" s="1"/>
  <c r="Z455" i="1"/>
  <c r="Z456" i="1"/>
  <c r="Z457" i="1"/>
  <c r="Z493" i="1"/>
  <c r="Z459" i="1"/>
  <c r="AH459" i="1" s="1"/>
  <c r="AI459" i="1" s="1"/>
  <c r="AI493" i="1" l="1"/>
  <c r="AH493" i="1"/>
  <c r="AH457" i="1"/>
  <c r="AI457" i="1" s="1"/>
  <c r="AI456" i="1"/>
  <c r="AH456" i="1"/>
  <c r="AH455" i="1"/>
  <c r="AI455" i="1" s="1"/>
  <c r="AI453" i="1"/>
  <c r="O96" i="1"/>
  <c r="R96" i="1" s="1"/>
  <c r="Q96" i="1"/>
  <c r="S96" i="1" s="1"/>
  <c r="P96" i="1" l="1"/>
  <c r="Q281" i="1" l="1"/>
  <c r="S281" i="1" s="1"/>
  <c r="Q225" i="1"/>
  <c r="S225" i="1" s="1"/>
  <c r="Q345" i="1" l="1"/>
  <c r="S345" i="1" s="1"/>
  <c r="S349" i="1" s="1"/>
  <c r="Q149" i="1"/>
  <c r="S149" i="1" s="1"/>
  <c r="Z495" i="1" l="1"/>
  <c r="Z494" i="1"/>
  <c r="AF424" i="1"/>
  <c r="AF423" i="1"/>
  <c r="AF448" i="1"/>
  <c r="AL464" i="1"/>
  <c r="AF473" i="1"/>
  <c r="AF471" i="1"/>
  <c r="Z476" i="1"/>
  <c r="AF418" i="1"/>
  <c r="AF430" i="1"/>
  <c r="AF449" i="1"/>
  <c r="Z411" i="1"/>
  <c r="AF432" i="1"/>
  <c r="AF475" i="1"/>
  <c r="AF436" i="1"/>
  <c r="AF427" i="1"/>
  <c r="AF435" i="1"/>
  <c r="AF434" i="1"/>
  <c r="AF425" i="1"/>
  <c r="AF409" i="1"/>
  <c r="AF442" i="1"/>
  <c r="AF470" i="1"/>
  <c r="AF410" i="1"/>
  <c r="AL470" i="1"/>
  <c r="AF446" i="1"/>
  <c r="Z412" i="1"/>
  <c r="Z424" i="1"/>
  <c r="AF474" i="1"/>
  <c r="Z436" i="1"/>
  <c r="AF412" i="1"/>
  <c r="AH412" i="1" s="1"/>
  <c r="AF417" i="1"/>
  <c r="Z439" i="1"/>
  <c r="Z447" i="1"/>
  <c r="AF439" i="1"/>
  <c r="AF478" i="1"/>
  <c r="AF414" i="1"/>
  <c r="Z474" i="1"/>
  <c r="AF426" i="1"/>
  <c r="AF445" i="1"/>
  <c r="AF437" i="1"/>
  <c r="Z444" i="1"/>
  <c r="AH439" i="1" l="1"/>
  <c r="AN417" i="1"/>
  <c r="AN418" i="1"/>
  <c r="AN425" i="1"/>
  <c r="AN448" i="1"/>
  <c r="AO448" i="1" s="1"/>
  <c r="AH474" i="1"/>
  <c r="AI474" i="1" s="1"/>
  <c r="AH424" i="1"/>
  <c r="AI424" i="1" s="1"/>
  <c r="AN470" i="1"/>
  <c r="AO470" i="1" s="1"/>
  <c r="AI439" i="1"/>
  <c r="AI412" i="1"/>
  <c r="AI494" i="1"/>
  <c r="AH494" i="1"/>
  <c r="AN427" i="1"/>
  <c r="AH436" i="1"/>
  <c r="AI436" i="1" s="1"/>
  <c r="AN426" i="1"/>
  <c r="AI495" i="1"/>
  <c r="AH495" i="1"/>
  <c r="AF441" i="1"/>
  <c r="AF440" i="1"/>
  <c r="Z413" i="1"/>
  <c r="AF476" i="1"/>
  <c r="Z437" i="1"/>
  <c r="AH437" i="1" s="1"/>
  <c r="Z445" i="1"/>
  <c r="Z409" i="1"/>
  <c r="AH409" i="1" s="1"/>
  <c r="AF421" i="1"/>
  <c r="Z428" i="1"/>
  <c r="Z435" i="1"/>
  <c r="AH435" i="1" s="1"/>
  <c r="AI435" i="1" s="1"/>
  <c r="Z415" i="1"/>
  <c r="AF444" i="1"/>
  <c r="AH444" i="1" s="1"/>
  <c r="AI444" i="1" s="1"/>
  <c r="AF477" i="1"/>
  <c r="Z430" i="1"/>
  <c r="AH430" i="1" s="1"/>
  <c r="AI430" i="1" s="1"/>
  <c r="Z480" i="1"/>
  <c r="AF422" i="1"/>
  <c r="AF438" i="1"/>
  <c r="AF413" i="1"/>
  <c r="Z441" i="1"/>
  <c r="Z497" i="1"/>
  <c r="AI497" i="1" s="1"/>
  <c r="Z431" i="1"/>
  <c r="Z442" i="1"/>
  <c r="AH442" i="1" s="1"/>
  <c r="AI442" i="1" s="1"/>
  <c r="AF429" i="1"/>
  <c r="AF472" i="1"/>
  <c r="Z414" i="1"/>
  <c r="AH414" i="1" s="1"/>
  <c r="AI414" i="1" s="1"/>
  <c r="Z410" i="1"/>
  <c r="AH410" i="1" s="1"/>
  <c r="AI410" i="1" s="1"/>
  <c r="AF416" i="1"/>
  <c r="AF450" i="1"/>
  <c r="Z434" i="1"/>
  <c r="AH434" i="1" s="1"/>
  <c r="AF411" i="1"/>
  <c r="AH411" i="1" s="1"/>
  <c r="AI411" i="1" s="1"/>
  <c r="AF428" i="1"/>
  <c r="AF431" i="1"/>
  <c r="Z422" i="1"/>
  <c r="AF415" i="1"/>
  <c r="Z438" i="1"/>
  <c r="Z421" i="1"/>
  <c r="AF447" i="1"/>
  <c r="AH447" i="1" s="1"/>
  <c r="AI447" i="1" s="1"/>
  <c r="AF480" i="1"/>
  <c r="Z446" i="1"/>
  <c r="AH446" i="1" s="1"/>
  <c r="AI446" i="1" s="1"/>
  <c r="Z475" i="1"/>
  <c r="AH475" i="1" s="1"/>
  <c r="AI475" i="1" s="1"/>
  <c r="AF443" i="1"/>
  <c r="Z470" i="1"/>
  <c r="AH470" i="1" s="1"/>
  <c r="Z429" i="1"/>
  <c r="Z472" i="1"/>
  <c r="Z443" i="1"/>
  <c r="Z448" i="1"/>
  <c r="AH448" i="1" s="1"/>
  <c r="AI448" i="1" s="1"/>
  <c r="AF497" i="1"/>
  <c r="AF451" i="1"/>
  <c r="AE417" i="1"/>
  <c r="AF479" i="1"/>
  <c r="AE418" i="1"/>
  <c r="Z471" i="1"/>
  <c r="AH471" i="1" s="1"/>
  <c r="AI471" i="1" s="1"/>
  <c r="Z423" i="1"/>
  <c r="AH423" i="1" s="1"/>
  <c r="AI423" i="1" s="1"/>
  <c r="Z473" i="1"/>
  <c r="AH473" i="1" s="1"/>
  <c r="AI473" i="1" s="1"/>
  <c r="Z440" i="1"/>
  <c r="AI440" i="1" s="1"/>
  <c r="AL465" i="1"/>
  <c r="AL471" i="1"/>
  <c r="AN471" i="1" s="1"/>
  <c r="AO471" i="1" s="1"/>
  <c r="AL463" i="1"/>
  <c r="AL497" i="1"/>
  <c r="AO497" i="1" s="1"/>
  <c r="AL495" i="1"/>
  <c r="AL479" i="1"/>
  <c r="AO479" i="1" s="1"/>
  <c r="AL472" i="1"/>
  <c r="AO472" i="1" s="1"/>
  <c r="AL477" i="1"/>
  <c r="AL475" i="1"/>
  <c r="AN475" i="1" s="1"/>
  <c r="AO475" i="1" s="1"/>
  <c r="AL474" i="1"/>
  <c r="AN474" i="1" s="1"/>
  <c r="AO474" i="1" s="1"/>
  <c r="AL473" i="1"/>
  <c r="AO473" i="1" s="1"/>
  <c r="AL476" i="1"/>
  <c r="AO476" i="1" s="1"/>
  <c r="AL478" i="1"/>
  <c r="AO478" i="1" s="1"/>
  <c r="Z451" i="1"/>
  <c r="AI451" i="1" s="1"/>
  <c r="Z417" i="1"/>
  <c r="AI417" i="1" s="1"/>
  <c r="Z477" i="1"/>
  <c r="AH413" i="1" l="1"/>
  <c r="AI413" i="1" s="1"/>
  <c r="AN478" i="1"/>
  <c r="AH440" i="1"/>
  <c r="AH441" i="1"/>
  <c r="AI441" i="1" s="1"/>
  <c r="AH429" i="1"/>
  <c r="AI429" i="1" s="1"/>
  <c r="AI434" i="1"/>
  <c r="AH480" i="1"/>
  <c r="AI480" i="1" s="1"/>
  <c r="AH477" i="1"/>
  <c r="AI477" i="1" s="1"/>
  <c r="AN477" i="1"/>
  <c r="AO477" i="1" s="1"/>
  <c r="AN472" i="1"/>
  <c r="AH472" i="1"/>
  <c r="AI472" i="1" s="1"/>
  <c r="AI431" i="1"/>
  <c r="AH421" i="1"/>
  <c r="AI421" i="1" s="1"/>
  <c r="AH415" i="1"/>
  <c r="AI415" i="1" s="1"/>
  <c r="AI409" i="1"/>
  <c r="AN473" i="1"/>
  <c r="AH445" i="1"/>
  <c r="AI445" i="1" s="1"/>
  <c r="AN479" i="1"/>
  <c r="AN497" i="1"/>
  <c r="AH497" i="1"/>
  <c r="AH428" i="1"/>
  <c r="AI428" i="1" s="1"/>
  <c r="AH443" i="1"/>
  <c r="AI443" i="1" s="1"/>
  <c r="AH438" i="1"/>
  <c r="AI438" i="1" s="1"/>
  <c r="AI437" i="1"/>
  <c r="AN451" i="1"/>
  <c r="AH451" i="1"/>
  <c r="AH431" i="1"/>
  <c r="AN450" i="1"/>
  <c r="AN476" i="1"/>
  <c r="AH476" i="1"/>
  <c r="AI476" i="1" s="1"/>
  <c r="AO495" i="1"/>
  <c r="AN495" i="1"/>
  <c r="AI470" i="1"/>
  <c r="AH422" i="1"/>
  <c r="AI422" i="1" s="1"/>
  <c r="AE416" i="1"/>
  <c r="AN416" i="1"/>
  <c r="AH417" i="1"/>
  <c r="AL466" i="1"/>
  <c r="AO466" i="1" s="1"/>
  <c r="AE497" i="1"/>
  <c r="Z479" i="1"/>
  <c r="AH479" i="1" s="1"/>
  <c r="AI479" i="1" s="1"/>
  <c r="Z426" i="1"/>
  <c r="Z416" i="1"/>
  <c r="AI416" i="1" s="1"/>
  <c r="Z418" i="1"/>
  <c r="Z427" i="1"/>
  <c r="Z449" i="1"/>
  <c r="Z478" i="1"/>
  <c r="AH478" i="1" s="1"/>
  <c r="AI478" i="1" s="1"/>
  <c r="Z450" i="1"/>
  <c r="AI450" i="1" s="1"/>
  <c r="Z425" i="1"/>
  <c r="Z432" i="1"/>
  <c r="AH416" i="1" l="1"/>
  <c r="AI432" i="1"/>
  <c r="AH432" i="1"/>
  <c r="AI425" i="1"/>
  <c r="AH425" i="1"/>
  <c r="AI427" i="1"/>
  <c r="AH427" i="1"/>
  <c r="AI449" i="1"/>
  <c r="AH449" i="1"/>
  <c r="AH450" i="1"/>
  <c r="AH452" i="1" s="1"/>
  <c r="AI452" i="1" s="1"/>
  <c r="AI418" i="1"/>
  <c r="AH418" i="1"/>
  <c r="AI426" i="1"/>
  <c r="AH426" i="1"/>
  <c r="Z452" i="1"/>
  <c r="Z433" i="1"/>
  <c r="AL480" i="1"/>
  <c r="AL481" i="1" l="1"/>
  <c r="AN480" i="1"/>
  <c r="AO480" i="1" s="1"/>
  <c r="AC452" i="1"/>
  <c r="Q11" i="2" l="1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AF465" i="1" l="1"/>
  <c r="AF464" i="1"/>
  <c r="AF463" i="1"/>
  <c r="AC465" i="1"/>
  <c r="AC464" i="1"/>
  <c r="AC463" i="1"/>
  <c r="Z465" i="1"/>
  <c r="AI465" i="1" s="1"/>
  <c r="Z464" i="1"/>
  <c r="AI464" i="1" s="1"/>
  <c r="Z463" i="1"/>
  <c r="AI463" i="1" s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O362" i="1"/>
  <c r="R362" i="1" s="1"/>
  <c r="L394" i="1"/>
  <c r="L393" i="1"/>
  <c r="L392" i="1"/>
  <c r="L391" i="1"/>
  <c r="S391" i="1" s="1"/>
  <c r="L390" i="1"/>
  <c r="S390" i="1" s="1"/>
  <c r="L389" i="1"/>
  <c r="S389" i="1" s="1"/>
  <c r="L388" i="1"/>
  <c r="S388" i="1" s="1"/>
  <c r="L387" i="1"/>
  <c r="S387" i="1" s="1"/>
  <c r="L386" i="1"/>
  <c r="L385" i="1"/>
  <c r="L384" i="1"/>
  <c r="L383" i="1"/>
  <c r="L382" i="1"/>
  <c r="L381" i="1"/>
  <c r="L380" i="1"/>
  <c r="L379" i="1"/>
  <c r="S379" i="1" s="1"/>
  <c r="L378" i="1"/>
  <c r="S378" i="1" s="1"/>
  <c r="L376" i="1"/>
  <c r="S376" i="1" s="1"/>
  <c r="L375" i="1"/>
  <c r="S375" i="1" s="1"/>
  <c r="L374" i="1"/>
  <c r="S374" i="1" s="1"/>
  <c r="L373" i="1"/>
  <c r="S373" i="1" s="1"/>
  <c r="L372" i="1"/>
  <c r="L371" i="1"/>
  <c r="L370" i="1"/>
  <c r="L369" i="1"/>
  <c r="L368" i="1"/>
  <c r="L367" i="1"/>
  <c r="L366" i="1"/>
  <c r="S366" i="1" s="1"/>
  <c r="L365" i="1"/>
  <c r="S365" i="1" s="1"/>
  <c r="J362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2" i="1"/>
  <c r="G362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93" i="1"/>
  <c r="S386" i="1" l="1"/>
  <c r="S367" i="1"/>
  <c r="S380" i="1"/>
  <c r="S392" i="1"/>
  <c r="S393" i="1"/>
  <c r="S381" i="1"/>
  <c r="S369" i="1"/>
  <c r="S382" i="1"/>
  <c r="S394" i="1"/>
  <c r="S370" i="1"/>
  <c r="S383" i="1"/>
  <c r="AH463" i="1"/>
  <c r="AH466" i="1" s="1"/>
  <c r="S368" i="1"/>
  <c r="S371" i="1"/>
  <c r="S384" i="1"/>
  <c r="AH464" i="1"/>
  <c r="S372" i="1"/>
  <c r="S385" i="1"/>
  <c r="AH465" i="1"/>
  <c r="Q176" i="1"/>
  <c r="I248" i="1"/>
  <c r="L176" i="1"/>
  <c r="Q242" i="1"/>
  <c r="Q179" i="1"/>
  <c r="Q192" i="1"/>
  <c r="I189" i="1"/>
  <c r="H362" i="1"/>
  <c r="Q248" i="1"/>
  <c r="I182" i="1"/>
  <c r="L179" i="1"/>
  <c r="L192" i="1"/>
  <c r="P174" i="1"/>
  <c r="I304" i="1"/>
  <c r="I309" i="1" s="1"/>
  <c r="I314" i="1" s="1"/>
  <c r="Q182" i="1"/>
  <c r="I176" i="1"/>
  <c r="I242" i="1"/>
  <c r="Q173" i="1"/>
  <c r="I245" i="1"/>
  <c r="I330" i="1"/>
  <c r="I349" i="1"/>
  <c r="Q330" i="1"/>
  <c r="H250" i="1"/>
  <c r="Q189" i="1"/>
  <c r="F210" i="1"/>
  <c r="P250" i="1"/>
  <c r="Q304" i="1"/>
  <c r="Q309" i="1" s="1"/>
  <c r="Q314" i="1" s="1"/>
  <c r="H295" i="1"/>
  <c r="I179" i="1"/>
  <c r="I192" i="1"/>
  <c r="K174" i="1"/>
  <c r="L210" i="1"/>
  <c r="Q210" i="1"/>
  <c r="Q285" i="1"/>
  <c r="L330" i="1"/>
  <c r="P360" i="1"/>
  <c r="H174" i="1"/>
  <c r="I210" i="1"/>
  <c r="L185" i="1"/>
  <c r="L182" i="1"/>
  <c r="Q266" i="1"/>
  <c r="P266" i="1" s="1"/>
  <c r="L304" i="1"/>
  <c r="H360" i="1"/>
  <c r="I395" i="1"/>
  <c r="H395" i="1" s="1"/>
  <c r="K360" i="1"/>
  <c r="Q377" i="1"/>
  <c r="P377" i="1" s="1"/>
  <c r="I185" i="1"/>
  <c r="I194" i="1" s="1"/>
  <c r="L377" i="1"/>
  <c r="Q250" i="1"/>
  <c r="I377" i="1"/>
  <c r="L189" i="1"/>
  <c r="J304" i="1"/>
  <c r="Q395" i="1"/>
  <c r="P395" i="1" s="1"/>
  <c r="I266" i="1"/>
  <c r="I285" i="1"/>
  <c r="P295" i="1"/>
  <c r="Q349" i="1"/>
  <c r="L395" i="1"/>
  <c r="K395" i="1" s="1"/>
  <c r="Q362" i="1"/>
  <c r="S363" i="1" s="1"/>
  <c r="L362" i="1"/>
  <c r="O304" i="1"/>
  <c r="K295" i="1"/>
  <c r="G304" i="1"/>
  <c r="Q245" i="1"/>
  <c r="I250" i="1"/>
  <c r="P185" i="1"/>
  <c r="P194" i="1" s="1"/>
  <c r="Q185" i="1"/>
  <c r="K185" i="1"/>
  <c r="L173" i="1"/>
  <c r="H185" i="1"/>
  <c r="H194" i="1" s="1"/>
  <c r="I173" i="1"/>
  <c r="Q95" i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Q82" i="1"/>
  <c r="Q81" i="1"/>
  <c r="Q80" i="1"/>
  <c r="Q79" i="1"/>
  <c r="Q78" i="1"/>
  <c r="Q77" i="1"/>
  <c r="Q76" i="1"/>
  <c r="Q75" i="1"/>
  <c r="L81" i="1"/>
  <c r="L80" i="1"/>
  <c r="L79" i="1"/>
  <c r="L78" i="1"/>
  <c r="L77" i="1"/>
  <c r="L76" i="1"/>
  <c r="L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I97" i="1" l="1"/>
  <c r="S395" i="1"/>
  <c r="S362" i="1"/>
  <c r="S377" i="1"/>
  <c r="M95" i="1"/>
  <c r="R95" i="1"/>
  <c r="N80" i="1"/>
  <c r="S80" i="1"/>
  <c r="S81" i="1"/>
  <c r="N81" i="1"/>
  <c r="N79" i="1"/>
  <c r="S79" i="1"/>
  <c r="N75" i="1"/>
  <c r="S75" i="1"/>
  <c r="R304" i="1"/>
  <c r="N76" i="1"/>
  <c r="S76" i="1"/>
  <c r="N77" i="1"/>
  <c r="S77" i="1"/>
  <c r="M94" i="1"/>
  <c r="R94" i="1"/>
  <c r="N95" i="1"/>
  <c r="S95" i="1"/>
  <c r="S78" i="1"/>
  <c r="N78" i="1"/>
  <c r="L97" i="1"/>
  <c r="J112" i="1" s="1"/>
  <c r="S94" i="1"/>
  <c r="N94" i="1"/>
  <c r="S330" i="1"/>
  <c r="S304" i="1"/>
  <c r="S305" i="1" s="1"/>
  <c r="S210" i="1"/>
  <c r="N210" i="1"/>
  <c r="N185" i="1"/>
  <c r="N186" i="1" s="1"/>
  <c r="S185" i="1"/>
  <c r="K362" i="1"/>
  <c r="L309" i="1"/>
  <c r="L194" i="1"/>
  <c r="K194" i="1"/>
  <c r="G97" i="1"/>
  <c r="H97" i="1" s="1"/>
  <c r="D97" i="1"/>
  <c r="E113" i="1" s="1"/>
  <c r="F97" i="1"/>
  <c r="J97" i="1"/>
  <c r="Q97" i="1"/>
  <c r="O97" i="1"/>
  <c r="H99" i="1"/>
  <c r="E99" i="1"/>
  <c r="P99" i="1"/>
  <c r="K99" i="1"/>
  <c r="I397" i="1"/>
  <c r="H397" i="1" s="1"/>
  <c r="H94" i="1"/>
  <c r="P94" i="1"/>
  <c r="H330" i="1"/>
  <c r="H349" i="1"/>
  <c r="I287" i="1"/>
  <c r="I289" i="1" s="1"/>
  <c r="P349" i="1"/>
  <c r="H95" i="1"/>
  <c r="P95" i="1"/>
  <c r="P100" i="1"/>
  <c r="P330" i="1"/>
  <c r="K95" i="1"/>
  <c r="Q397" i="1"/>
  <c r="P397" i="1" s="1"/>
  <c r="Q351" i="1"/>
  <c r="P351" i="1" s="1"/>
  <c r="H266" i="1"/>
  <c r="H100" i="1"/>
  <c r="Q287" i="1"/>
  <c r="Q289" i="1" s="1"/>
  <c r="K304" i="1"/>
  <c r="L397" i="1"/>
  <c r="K100" i="1"/>
  <c r="H377" i="1"/>
  <c r="Q83" i="1"/>
  <c r="J309" i="1"/>
  <c r="K94" i="1"/>
  <c r="P285" i="1"/>
  <c r="E100" i="1"/>
  <c r="I195" i="1"/>
  <c r="K377" i="1"/>
  <c r="Q251" i="1"/>
  <c r="P362" i="1"/>
  <c r="O309" i="1"/>
  <c r="P304" i="1"/>
  <c r="G309" i="1"/>
  <c r="G314" i="1" s="1"/>
  <c r="H304" i="1"/>
  <c r="I251" i="1"/>
  <c r="H285" i="1"/>
  <c r="Q194" i="1"/>
  <c r="Q186" i="1"/>
  <c r="L186" i="1"/>
  <c r="H210" i="1"/>
  <c r="I186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Q40" i="1"/>
  <c r="Q39" i="1"/>
  <c r="Q38" i="1"/>
  <c r="Q37" i="1"/>
  <c r="Q36" i="1"/>
  <c r="Q35" i="1"/>
  <c r="Q34" i="1"/>
  <c r="Q33" i="1"/>
  <c r="Q32" i="1"/>
  <c r="Q31" i="1"/>
  <c r="L40" i="1"/>
  <c r="L39" i="1"/>
  <c r="L38" i="1"/>
  <c r="L37" i="1"/>
  <c r="L36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L23" i="1"/>
  <c r="L22" i="1"/>
  <c r="L21" i="1"/>
  <c r="I23" i="1"/>
  <c r="I22" i="1"/>
  <c r="I21" i="1"/>
  <c r="F23" i="1"/>
  <c r="F22" i="1"/>
  <c r="F21" i="1"/>
  <c r="Q19" i="1"/>
  <c r="L19" i="1"/>
  <c r="I19" i="1"/>
  <c r="F19" i="1"/>
  <c r="Q17" i="1"/>
  <c r="O17" i="1"/>
  <c r="L17" i="1"/>
  <c r="J17" i="1"/>
  <c r="I17" i="1"/>
  <c r="G17" i="1"/>
  <c r="F17" i="1"/>
  <c r="D17" i="1"/>
  <c r="Q15" i="1"/>
  <c r="O15" i="1"/>
  <c r="L15" i="1"/>
  <c r="J15" i="1"/>
  <c r="I15" i="1"/>
  <c r="G15" i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L12" i="1"/>
  <c r="L11" i="1"/>
  <c r="L10" i="1"/>
  <c r="L9" i="1"/>
  <c r="L8" i="1"/>
  <c r="L7" i="1"/>
  <c r="L6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L5" i="1"/>
  <c r="I5" i="1"/>
  <c r="F5" i="1"/>
  <c r="S98" i="1" l="1"/>
  <c r="H120" i="1"/>
  <c r="E119" i="1"/>
  <c r="R98" i="1"/>
  <c r="E118" i="1"/>
  <c r="E114" i="1"/>
  <c r="M98" i="1"/>
  <c r="S6" i="1"/>
  <c r="N6" i="1"/>
  <c r="S22" i="1"/>
  <c r="N22" i="1"/>
  <c r="S60" i="1"/>
  <c r="N60" i="1"/>
  <c r="N42" i="1"/>
  <c r="S42" i="1"/>
  <c r="R15" i="1"/>
  <c r="M15" i="1"/>
  <c r="S23" i="1"/>
  <c r="N23" i="1"/>
  <c r="N31" i="1"/>
  <c r="S31" i="1"/>
  <c r="S61" i="1"/>
  <c r="N61" i="1"/>
  <c r="N8" i="1"/>
  <c r="S8" i="1"/>
  <c r="N15" i="1"/>
  <c r="S15" i="1"/>
  <c r="S32" i="1"/>
  <c r="N32" i="1"/>
  <c r="S43" i="1"/>
  <c r="N43" i="1"/>
  <c r="S47" i="1"/>
  <c r="N47" i="1"/>
  <c r="N51" i="1"/>
  <c r="S51" i="1"/>
  <c r="N62" i="1"/>
  <c r="S62" i="1"/>
  <c r="S21" i="1"/>
  <c r="N21" i="1"/>
  <c r="N9" i="1"/>
  <c r="S9" i="1"/>
  <c r="N19" i="1"/>
  <c r="S19" i="1"/>
  <c r="S33" i="1"/>
  <c r="N33" i="1"/>
  <c r="S63" i="1"/>
  <c r="N63" i="1"/>
  <c r="S50" i="1"/>
  <c r="N50" i="1"/>
  <c r="N59" i="1"/>
  <c r="S59" i="1"/>
  <c r="N10" i="1"/>
  <c r="S10" i="1"/>
  <c r="N34" i="1"/>
  <c r="S34" i="1"/>
  <c r="N64" i="1"/>
  <c r="S64" i="1"/>
  <c r="R6" i="1"/>
  <c r="M6" i="1"/>
  <c r="S11" i="1"/>
  <c r="N11" i="1"/>
  <c r="N35" i="1"/>
  <c r="S35" i="1"/>
  <c r="N44" i="1"/>
  <c r="S44" i="1"/>
  <c r="S48" i="1"/>
  <c r="N48" i="1"/>
  <c r="N52" i="1"/>
  <c r="S52" i="1"/>
  <c r="S65" i="1"/>
  <c r="N65" i="1"/>
  <c r="R7" i="1"/>
  <c r="M7" i="1"/>
  <c r="N12" i="1"/>
  <c r="S12" i="1"/>
  <c r="N36" i="1"/>
  <c r="S36" i="1"/>
  <c r="S66" i="1"/>
  <c r="N66" i="1"/>
  <c r="R12" i="1"/>
  <c r="M12" i="1"/>
  <c r="R8" i="1"/>
  <c r="M8" i="1"/>
  <c r="S37" i="1"/>
  <c r="N37" i="1"/>
  <c r="N55" i="1"/>
  <c r="S55" i="1"/>
  <c r="N67" i="1"/>
  <c r="S67" i="1"/>
  <c r="S46" i="1"/>
  <c r="N46" i="1"/>
  <c r="N7" i="1"/>
  <c r="S7" i="1"/>
  <c r="R9" i="1"/>
  <c r="M9" i="1"/>
  <c r="N38" i="1"/>
  <c r="S38" i="1"/>
  <c r="S45" i="1"/>
  <c r="N45" i="1"/>
  <c r="N49" i="1"/>
  <c r="S49" i="1"/>
  <c r="S53" i="1"/>
  <c r="N53" i="1"/>
  <c r="S56" i="1"/>
  <c r="N56" i="1"/>
  <c r="N69" i="1"/>
  <c r="S69" i="1"/>
  <c r="N98" i="1"/>
  <c r="R10" i="1"/>
  <c r="M10" i="1"/>
  <c r="M17" i="1"/>
  <c r="R17" i="1"/>
  <c r="N39" i="1"/>
  <c r="S39" i="1"/>
  <c r="N57" i="1"/>
  <c r="S57" i="1"/>
  <c r="S70" i="1"/>
  <c r="N70" i="1"/>
  <c r="R11" i="1"/>
  <c r="M11" i="1"/>
  <c r="N17" i="1"/>
  <c r="S17" i="1"/>
  <c r="S40" i="1"/>
  <c r="N40" i="1"/>
  <c r="S58" i="1"/>
  <c r="N58" i="1"/>
  <c r="N71" i="1"/>
  <c r="S71" i="1"/>
  <c r="O314" i="1"/>
  <c r="R309" i="1"/>
  <c r="S397" i="1"/>
  <c r="K210" i="1"/>
  <c r="S194" i="1"/>
  <c r="S195" i="1" s="1"/>
  <c r="H119" i="1"/>
  <c r="S309" i="1"/>
  <c r="S310" i="1" s="1"/>
  <c r="H115" i="1"/>
  <c r="L195" i="1"/>
  <c r="H113" i="1"/>
  <c r="O112" i="1"/>
  <c r="H116" i="1"/>
  <c r="E120" i="1"/>
  <c r="E115" i="1"/>
  <c r="E117" i="1"/>
  <c r="E116" i="1"/>
  <c r="L314" i="1"/>
  <c r="K397" i="1"/>
  <c r="J314" i="1"/>
  <c r="E121" i="1"/>
  <c r="H121" i="1"/>
  <c r="H117" i="1"/>
  <c r="H114" i="1"/>
  <c r="H118" i="1"/>
  <c r="K117" i="1"/>
  <c r="P121" i="1"/>
  <c r="K120" i="1"/>
  <c r="P120" i="1"/>
  <c r="K116" i="1"/>
  <c r="P119" i="1"/>
  <c r="P118" i="1"/>
  <c r="P114" i="1"/>
  <c r="K113" i="1"/>
  <c r="P117" i="1"/>
  <c r="K118" i="1"/>
  <c r="P115" i="1"/>
  <c r="P113" i="1"/>
  <c r="K114" i="1"/>
  <c r="K121" i="1"/>
  <c r="K119" i="1"/>
  <c r="P116" i="1"/>
  <c r="K115" i="1"/>
  <c r="K97" i="1"/>
  <c r="L399" i="1"/>
  <c r="I399" i="1"/>
  <c r="H287" i="1"/>
  <c r="P287" i="1"/>
  <c r="K309" i="1"/>
  <c r="Q399" i="1"/>
  <c r="Q353" i="1"/>
  <c r="P314" i="1"/>
  <c r="P309" i="1"/>
  <c r="H314" i="1"/>
  <c r="H309" i="1"/>
  <c r="Q195" i="1"/>
  <c r="P210" i="1"/>
  <c r="N13" i="1" l="1"/>
  <c r="S399" i="1"/>
  <c r="S54" i="1"/>
  <c r="N54" i="1"/>
  <c r="M13" i="1"/>
  <c r="R13" i="1"/>
  <c r="S13" i="1"/>
  <c r="R194" i="1"/>
  <c r="S314" i="1"/>
  <c r="S315" i="1" s="1"/>
  <c r="R314" i="1"/>
  <c r="K314" i="1"/>
  <c r="K330" i="1"/>
  <c r="O13" i="2"/>
  <c r="O10" i="2" l="1"/>
  <c r="N13" i="2"/>
  <c r="J13" i="2"/>
  <c r="J10" i="2" l="1"/>
  <c r="N10" i="2"/>
  <c r="K13" i="2"/>
  <c r="C13" i="2"/>
  <c r="F13" i="2"/>
  <c r="L13" i="2"/>
  <c r="G13" i="2"/>
  <c r="B13" i="2"/>
  <c r="B10" i="2" s="1"/>
  <c r="F10" i="2" l="1"/>
  <c r="G10" i="2"/>
  <c r="K10" i="2"/>
  <c r="P13" i="2"/>
  <c r="P10" i="2" l="1"/>
  <c r="D13" i="2"/>
  <c r="H13" i="2"/>
  <c r="Q13" i="2"/>
  <c r="M13" i="2"/>
  <c r="H10" i="2" l="1"/>
  <c r="Q10" i="2"/>
  <c r="I13" i="2"/>
  <c r="E13" i="2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F362" i="1"/>
  <c r="D362" i="1"/>
  <c r="A360" i="1"/>
  <c r="A35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F248" i="1"/>
  <c r="A248" i="1"/>
  <c r="L248" i="1"/>
  <c r="A247" i="1"/>
  <c r="A246" i="1"/>
  <c r="A245" i="1"/>
  <c r="K250" i="1"/>
  <c r="A244" i="1"/>
  <c r="A243" i="1"/>
  <c r="A242" i="1"/>
  <c r="A241" i="1"/>
  <c r="A240" i="1"/>
  <c r="A239" i="1"/>
  <c r="A228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F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F179" i="1"/>
  <c r="N179" i="1" s="1"/>
  <c r="A178" i="1"/>
  <c r="A177" i="1"/>
  <c r="A176" i="1"/>
  <c r="A175" i="1"/>
  <c r="E174" i="1"/>
  <c r="A174" i="1"/>
  <c r="A173" i="1"/>
  <c r="A172" i="1"/>
  <c r="A171" i="1"/>
  <c r="L163" i="1"/>
  <c r="A162" i="1"/>
  <c r="A161" i="1"/>
  <c r="A160" i="1"/>
  <c r="A159" i="1"/>
  <c r="A158" i="1"/>
  <c r="A157" i="1"/>
  <c r="Q163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Q153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Q122" i="1"/>
  <c r="A112" i="1"/>
  <c r="A111" i="1"/>
  <c r="A110" i="1"/>
  <c r="A109" i="1"/>
  <c r="A108" i="1"/>
  <c r="A107" i="1"/>
  <c r="A106" i="1"/>
  <c r="L105" i="1"/>
  <c r="A105" i="1"/>
  <c r="A104" i="1"/>
  <c r="A103" i="1"/>
  <c r="F105" i="1"/>
  <c r="A102" i="1"/>
  <c r="A101" i="1"/>
  <c r="A100" i="1"/>
  <c r="A99" i="1"/>
  <c r="H98" i="1"/>
  <c r="A98" i="1"/>
  <c r="O108" i="1"/>
  <c r="J108" i="1"/>
  <c r="A97" i="1"/>
  <c r="A95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 s="1"/>
  <c r="B71" i="1"/>
  <c r="A71" i="1" s="1"/>
  <c r="B70" i="1"/>
  <c r="A70" i="1" s="1"/>
  <c r="B69" i="1"/>
  <c r="A69" i="1" s="1"/>
  <c r="B68" i="1"/>
  <c r="A68" i="1" s="1"/>
  <c r="B67" i="1"/>
  <c r="A67" i="1" s="1"/>
  <c r="B66" i="1"/>
  <c r="A66" i="1" s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I72" i="1" s="1"/>
  <c r="Q72" i="1"/>
  <c r="B55" i="1"/>
  <c r="A55" i="1" s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 s="1"/>
  <c r="B46" i="1"/>
  <c r="B45" i="1"/>
  <c r="A45" i="1" s="1"/>
  <c r="B44" i="1"/>
  <c r="B43" i="1"/>
  <c r="A43" i="1" s="1"/>
  <c r="B42" i="1"/>
  <c r="B41" i="1"/>
  <c r="A41" i="1" s="1"/>
  <c r="K40" i="1"/>
  <c r="B40" i="1"/>
  <c r="A40" i="1" s="1"/>
  <c r="K39" i="1"/>
  <c r="B39" i="1"/>
  <c r="B38" i="1"/>
  <c r="A38" i="1" s="1"/>
  <c r="B37" i="1"/>
  <c r="A37" i="1" s="1"/>
  <c r="B36" i="1"/>
  <c r="A36" i="1" s="1"/>
  <c r="B35" i="1"/>
  <c r="B34" i="1"/>
  <c r="A34" i="1" s="1"/>
  <c r="B33" i="1"/>
  <c r="B32" i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B22" i="1"/>
  <c r="A22" i="1" s="1"/>
  <c r="E22" i="1" s="1"/>
  <c r="H21" i="1"/>
  <c r="B21" i="1"/>
  <c r="B20" i="1"/>
  <c r="A20" i="1" s="1"/>
  <c r="B19" i="1"/>
  <c r="B18" i="1"/>
  <c r="A18" i="1" s="1"/>
  <c r="P17" i="1"/>
  <c r="K17" i="1"/>
  <c r="E17" i="1"/>
  <c r="B17" i="1"/>
  <c r="A17" i="1" s="1"/>
  <c r="B16" i="1"/>
  <c r="A16" i="1" s="1"/>
  <c r="K15" i="1"/>
  <c r="B15" i="1"/>
  <c r="P15" i="1" s="1"/>
  <c r="B14" i="1"/>
  <c r="A14" i="1" s="1"/>
  <c r="O13" i="1"/>
  <c r="R14" i="1" s="1"/>
  <c r="J13" i="1"/>
  <c r="B13" i="1"/>
  <c r="A13" i="1" s="1"/>
  <c r="P12" i="1"/>
  <c r="K12" i="1"/>
  <c r="B12" i="1"/>
  <c r="A12" i="1" s="1"/>
  <c r="P11" i="1"/>
  <c r="K11" i="1"/>
  <c r="B11" i="1"/>
  <c r="P10" i="1"/>
  <c r="K10" i="1"/>
  <c r="B10" i="1"/>
  <c r="A10" i="1" s="1"/>
  <c r="P9" i="1"/>
  <c r="K9" i="1"/>
  <c r="B9" i="1"/>
  <c r="P8" i="1"/>
  <c r="K8" i="1"/>
  <c r="B8" i="1"/>
  <c r="A8" i="1" s="1"/>
  <c r="K7" i="1"/>
  <c r="B7" i="1"/>
  <c r="P7" i="1" s="1"/>
  <c r="K6" i="1"/>
  <c r="B6" i="1"/>
  <c r="A6" i="1" s="1"/>
  <c r="B5" i="1"/>
  <c r="A5" i="1" s="1"/>
  <c r="S266" i="1" l="1"/>
  <c r="R108" i="1"/>
  <c r="R109" i="1" s="1"/>
  <c r="N105" i="1"/>
  <c r="N106" i="1" s="1"/>
  <c r="F108" i="1"/>
  <c r="D113" i="1"/>
  <c r="D112" i="1"/>
  <c r="J113" i="1"/>
  <c r="AK418" i="1"/>
  <c r="AK417" i="1"/>
  <c r="AK416" i="1"/>
  <c r="AK432" i="1"/>
  <c r="AK497" i="1"/>
  <c r="AE414" i="1"/>
  <c r="AE415" i="1"/>
  <c r="AE410" i="1"/>
  <c r="AE413" i="1"/>
  <c r="AE412" i="1"/>
  <c r="AE411" i="1"/>
  <c r="A7" i="1"/>
  <c r="I10" i="2"/>
  <c r="L108" i="1"/>
  <c r="A21" i="1"/>
  <c r="K22" i="1"/>
  <c r="R22" i="1" s="1"/>
  <c r="A23" i="1"/>
  <c r="O24" i="1"/>
  <c r="A33" i="1"/>
  <c r="A15" i="1"/>
  <c r="E362" i="1"/>
  <c r="K23" i="1"/>
  <c r="R23" i="1" s="1"/>
  <c r="K21" i="1"/>
  <c r="R21" i="1" s="1"/>
  <c r="P6" i="1"/>
  <c r="G105" i="1"/>
  <c r="G108" i="1"/>
  <c r="H6" i="1"/>
  <c r="H22" i="1"/>
  <c r="A32" i="1"/>
  <c r="A44" i="1"/>
  <c r="A52" i="1"/>
  <c r="A76" i="1"/>
  <c r="E95" i="1"/>
  <c r="V485" i="1"/>
  <c r="A485" i="1" s="1"/>
  <c r="V402" i="1"/>
  <c r="C291" i="1"/>
  <c r="C356" i="1" s="1"/>
  <c r="C236" i="1"/>
  <c r="C168" i="1"/>
  <c r="C89" i="1"/>
  <c r="A81" i="1"/>
  <c r="P21" i="1"/>
  <c r="A9" i="1"/>
  <c r="H17" i="1"/>
  <c r="E21" i="1"/>
  <c r="I24" i="1"/>
  <c r="E23" i="1"/>
  <c r="J24" i="1"/>
  <c r="A39" i="1"/>
  <c r="P39" i="1"/>
  <c r="Q54" i="1"/>
  <c r="A46" i="1"/>
  <c r="F72" i="1"/>
  <c r="A78" i="1"/>
  <c r="O105" i="1"/>
  <c r="P97" i="1"/>
  <c r="I122" i="1"/>
  <c r="G112" i="1"/>
  <c r="E12" i="1"/>
  <c r="AO402" i="1"/>
  <c r="A11" i="1"/>
  <c r="A19" i="1"/>
  <c r="F24" i="1"/>
  <c r="D32" i="1" s="1"/>
  <c r="H23" i="1"/>
  <c r="J27" i="1"/>
  <c r="L41" i="1"/>
  <c r="A35" i="1"/>
  <c r="A80" i="1"/>
  <c r="E94" i="1"/>
  <c r="Q105" i="1"/>
  <c r="S105" i="1" s="1"/>
  <c r="J105" i="1"/>
  <c r="H112" i="1"/>
  <c r="A77" i="1"/>
  <c r="Q24" i="1"/>
  <c r="O32" i="1" s="1"/>
  <c r="K38" i="1"/>
  <c r="A42" i="1"/>
  <c r="A82" i="1"/>
  <c r="L122" i="1"/>
  <c r="E10" i="1"/>
  <c r="O27" i="1"/>
  <c r="P23" i="1"/>
  <c r="A79" i="1"/>
  <c r="K112" i="1"/>
  <c r="P112" i="1"/>
  <c r="L135" i="1"/>
  <c r="E185" i="1"/>
  <c r="M185" i="1" s="1"/>
  <c r="L242" i="1"/>
  <c r="Q135" i="1"/>
  <c r="I153" i="1"/>
  <c r="F173" i="1"/>
  <c r="F135" i="1"/>
  <c r="F250" i="1"/>
  <c r="F245" i="1"/>
  <c r="Q229" i="1"/>
  <c r="F229" i="1"/>
  <c r="F176" i="1"/>
  <c r="E250" i="1"/>
  <c r="F163" i="1"/>
  <c r="AF466" i="1"/>
  <c r="F349" i="1"/>
  <c r="E360" i="1"/>
  <c r="F377" i="1"/>
  <c r="F395" i="1"/>
  <c r="E395" i="1" s="1"/>
  <c r="F330" i="1"/>
  <c r="N330" i="1" s="1"/>
  <c r="AC466" i="1"/>
  <c r="Z466" i="1"/>
  <c r="AI466" i="1" s="1"/>
  <c r="S122" i="1" l="1"/>
  <c r="N108" i="1"/>
  <c r="N109" i="1" s="1"/>
  <c r="R27" i="1"/>
  <c r="R28" i="1" s="1"/>
  <c r="S135" i="1"/>
  <c r="N135" i="1"/>
  <c r="S106" i="1"/>
  <c r="Q108" i="1"/>
  <c r="P108" i="1" s="1"/>
  <c r="O113" i="1"/>
  <c r="E194" i="1"/>
  <c r="AL449" i="1"/>
  <c r="AL440" i="1"/>
  <c r="AL443" i="1"/>
  <c r="AN443" i="1" s="1"/>
  <c r="AO443" i="1" s="1"/>
  <c r="AL411" i="1"/>
  <c r="AN411" i="1" s="1"/>
  <c r="AO411" i="1" s="1"/>
  <c r="AL434" i="1"/>
  <c r="AN434" i="1" s="1"/>
  <c r="AL422" i="1"/>
  <c r="AN422" i="1" s="1"/>
  <c r="AO422" i="1" s="1"/>
  <c r="AL444" i="1"/>
  <c r="AL436" i="1"/>
  <c r="AL414" i="1"/>
  <c r="AN414" i="1" s="1"/>
  <c r="AO414" i="1" s="1"/>
  <c r="AL415" i="1"/>
  <c r="AN415" i="1" s="1"/>
  <c r="AO415" i="1" s="1"/>
  <c r="AL442" i="1"/>
  <c r="AL409" i="1"/>
  <c r="AN409" i="1" s="1"/>
  <c r="AO409" i="1" s="1"/>
  <c r="AL428" i="1"/>
  <c r="AN428" i="1" s="1"/>
  <c r="AO428" i="1" s="1"/>
  <c r="AL430" i="1"/>
  <c r="AN430" i="1" s="1"/>
  <c r="AO430" i="1" s="1"/>
  <c r="AL447" i="1"/>
  <c r="AN447" i="1" s="1"/>
  <c r="AO447" i="1" s="1"/>
  <c r="AL421" i="1"/>
  <c r="AN421" i="1" s="1"/>
  <c r="AO421" i="1" s="1"/>
  <c r="AL424" i="1"/>
  <c r="AN424" i="1" s="1"/>
  <c r="AO424" i="1" s="1"/>
  <c r="AL439" i="1"/>
  <c r="AL412" i="1"/>
  <c r="AN412" i="1" s="1"/>
  <c r="AO412" i="1" s="1"/>
  <c r="AL423" i="1"/>
  <c r="AL445" i="1"/>
  <c r="AL437" i="1"/>
  <c r="AN437" i="1" s="1"/>
  <c r="AO437" i="1" s="1"/>
  <c r="AL431" i="1"/>
  <c r="AL446" i="1"/>
  <c r="AN446" i="1" s="1"/>
  <c r="AO446" i="1" s="1"/>
  <c r="AL410" i="1"/>
  <c r="AN410" i="1" s="1"/>
  <c r="AO410" i="1" s="1"/>
  <c r="AL413" i="1"/>
  <c r="AN413" i="1" s="1"/>
  <c r="AO413" i="1" s="1"/>
  <c r="AL438" i="1"/>
  <c r="AL429" i="1"/>
  <c r="AL435" i="1"/>
  <c r="AN435" i="1" s="1"/>
  <c r="AO435" i="1" s="1"/>
  <c r="AL441" i="1"/>
  <c r="AN441" i="1" s="1"/>
  <c r="AO441" i="1" s="1"/>
  <c r="P38" i="1"/>
  <c r="P40" i="1"/>
  <c r="P32" i="1"/>
  <c r="P35" i="1"/>
  <c r="P33" i="1"/>
  <c r="P36" i="1"/>
  <c r="P34" i="1"/>
  <c r="P31" i="1"/>
  <c r="P37" i="1"/>
  <c r="K31" i="1"/>
  <c r="K35" i="1"/>
  <c r="E135" i="1"/>
  <c r="F351" i="1"/>
  <c r="F397" i="1"/>
  <c r="E377" i="1"/>
  <c r="F231" i="1"/>
  <c r="E266" i="1"/>
  <c r="P135" i="1"/>
  <c r="L245" i="1"/>
  <c r="K266" i="1"/>
  <c r="L250" i="1"/>
  <c r="F251" i="1"/>
  <c r="H12" i="1"/>
  <c r="H15" i="1"/>
  <c r="E112" i="1"/>
  <c r="F122" i="1"/>
  <c r="N122" i="1" s="1"/>
  <c r="I13" i="1"/>
  <c r="F242" i="1"/>
  <c r="E11" i="1"/>
  <c r="Q231" i="1"/>
  <c r="K135" i="1"/>
  <c r="K33" i="1"/>
  <c r="K36" i="1"/>
  <c r="I135" i="1"/>
  <c r="H7" i="1"/>
  <c r="H8" i="1"/>
  <c r="Q155" i="1"/>
  <c r="K37" i="1"/>
  <c r="F285" i="1"/>
  <c r="E285" i="1" s="1"/>
  <c r="I229" i="1"/>
  <c r="F189" i="1"/>
  <c r="P22" i="1"/>
  <c r="L13" i="1"/>
  <c r="J31" i="1" s="1"/>
  <c r="E7" i="1"/>
  <c r="L54" i="1"/>
  <c r="I105" i="1"/>
  <c r="H105" i="1" s="1"/>
  <c r="K34" i="1"/>
  <c r="E15" i="1"/>
  <c r="P24" i="1"/>
  <c r="E6" i="1"/>
  <c r="F304" i="1"/>
  <c r="N304" i="1" s="1"/>
  <c r="N305" i="1" s="1"/>
  <c r="I351" i="1"/>
  <c r="H351" i="1" s="1"/>
  <c r="AL406" i="1"/>
  <c r="K105" i="1"/>
  <c r="K32" i="1"/>
  <c r="E9" i="1"/>
  <c r="G13" i="1"/>
  <c r="E295" i="1"/>
  <c r="D304" i="1"/>
  <c r="M304" i="1" s="1"/>
  <c r="F182" i="1"/>
  <c r="E8" i="1"/>
  <c r="P105" i="1"/>
  <c r="H10" i="1"/>
  <c r="L24" i="1"/>
  <c r="D108" i="1"/>
  <c r="M108" i="1" s="1"/>
  <c r="M109" i="1" s="1"/>
  <c r="E97" i="1"/>
  <c r="D105" i="1"/>
  <c r="M105" i="1" s="1"/>
  <c r="F41" i="1"/>
  <c r="N41" i="1" s="1"/>
  <c r="Q41" i="1"/>
  <c r="S41" i="1" s="1"/>
  <c r="Q13" i="1"/>
  <c r="S14" i="1" s="1"/>
  <c r="K122" i="1"/>
  <c r="F153" i="1"/>
  <c r="E153" i="1" s="1"/>
  <c r="I163" i="1"/>
  <c r="K108" i="1"/>
  <c r="F13" i="1"/>
  <c r="N14" i="1" s="1"/>
  <c r="P155" i="1" l="1"/>
  <c r="P153" i="1"/>
  <c r="P122" i="1"/>
  <c r="AN438" i="1"/>
  <c r="AO438" i="1" s="1"/>
  <c r="AN449" i="1"/>
  <c r="AO449" i="1"/>
  <c r="AN431" i="1"/>
  <c r="AO431" i="1" s="1"/>
  <c r="AN442" i="1"/>
  <c r="AO442" i="1" s="1"/>
  <c r="AO440" i="1"/>
  <c r="AN440" i="1"/>
  <c r="AN445" i="1"/>
  <c r="AO445" i="1" s="1"/>
  <c r="AN423" i="1"/>
  <c r="AO423" i="1" s="1"/>
  <c r="AN436" i="1"/>
  <c r="AO436" i="1" s="1"/>
  <c r="AN444" i="1"/>
  <c r="AO444" i="1" s="1"/>
  <c r="AN439" i="1"/>
  <c r="AO439" i="1" s="1"/>
  <c r="AO434" i="1"/>
  <c r="AN429" i="1"/>
  <c r="AO429" i="1" s="1"/>
  <c r="S24" i="1"/>
  <c r="S25" i="1" s="1"/>
  <c r="N24" i="1"/>
  <c r="N25" i="1" s="1"/>
  <c r="N250" i="1"/>
  <c r="N251" i="1" s="1"/>
  <c r="S250" i="1"/>
  <c r="S108" i="1"/>
  <c r="S109" i="1" s="1"/>
  <c r="D31" i="1"/>
  <c r="O31" i="1"/>
  <c r="F309" i="1"/>
  <c r="N309" i="1" s="1"/>
  <c r="N310" i="1" s="1"/>
  <c r="J32" i="1"/>
  <c r="K24" i="1"/>
  <c r="AL419" i="1"/>
  <c r="AK415" i="1"/>
  <c r="AK414" i="1"/>
  <c r="AK412" i="1"/>
  <c r="AL452" i="1"/>
  <c r="AL433" i="1"/>
  <c r="AK411" i="1"/>
  <c r="AK413" i="1"/>
  <c r="AK410" i="1"/>
  <c r="N9" i="2"/>
  <c r="N8" i="2" s="1"/>
  <c r="F27" i="1"/>
  <c r="E41" i="1" s="1"/>
  <c r="K13" i="1"/>
  <c r="E108" i="1"/>
  <c r="E105" i="1"/>
  <c r="G27" i="1"/>
  <c r="H13" i="1"/>
  <c r="AB409" i="1"/>
  <c r="G24" i="1"/>
  <c r="H39" i="1" s="1"/>
  <c r="Q165" i="1"/>
  <c r="I54" i="1"/>
  <c r="I108" i="1"/>
  <c r="H135" i="1" s="1"/>
  <c r="F194" i="1"/>
  <c r="N194" i="1" s="1"/>
  <c r="N195" i="1" s="1"/>
  <c r="F186" i="1"/>
  <c r="P231" i="1"/>
  <c r="I27" i="1"/>
  <c r="F54" i="1"/>
  <c r="D13" i="1"/>
  <c r="M14" i="1" s="1"/>
  <c r="H11" i="1"/>
  <c r="Q27" i="1"/>
  <c r="P13" i="1"/>
  <c r="H229" i="1"/>
  <c r="L251" i="1"/>
  <c r="Q74" i="1"/>
  <c r="AF433" i="1"/>
  <c r="AH433" i="1" s="1"/>
  <c r="AI433" i="1" s="1"/>
  <c r="L27" i="1"/>
  <c r="F155" i="1"/>
  <c r="E122" i="1"/>
  <c r="H9" i="1"/>
  <c r="I83" i="1"/>
  <c r="AE409" i="1"/>
  <c r="AF419" i="1"/>
  <c r="Z419" i="1"/>
  <c r="Z468" i="1" s="1"/>
  <c r="E304" i="1"/>
  <c r="D309" i="1"/>
  <c r="M309" i="1" s="1"/>
  <c r="AK409" i="1"/>
  <c r="I353" i="1"/>
  <c r="F287" i="1"/>
  <c r="E287" i="1" s="1"/>
  <c r="Z481" i="1"/>
  <c r="F83" i="1"/>
  <c r="I41" i="1"/>
  <c r="I155" i="1"/>
  <c r="I231" i="1"/>
  <c r="H231" i="1" s="1"/>
  <c r="E397" i="1"/>
  <c r="F399" i="1"/>
  <c r="AH419" i="1" l="1"/>
  <c r="AI419" i="1" s="1"/>
  <c r="AN452" i="1"/>
  <c r="AO452" i="1" s="1"/>
  <c r="AN433" i="1"/>
  <c r="AO433" i="1" s="1"/>
  <c r="AN419" i="1"/>
  <c r="AO419" i="1" s="1"/>
  <c r="S27" i="1"/>
  <c r="N27" i="1"/>
  <c r="F314" i="1"/>
  <c r="N314" i="1" s="1"/>
  <c r="N315" i="1" s="1"/>
  <c r="M250" i="1"/>
  <c r="R250" i="1"/>
  <c r="S251" i="1" s="1"/>
  <c r="F353" i="1"/>
  <c r="D314" i="1"/>
  <c r="M314" i="1" s="1"/>
  <c r="AF407" i="1"/>
  <c r="AL468" i="1"/>
  <c r="P41" i="1"/>
  <c r="AL407" i="1"/>
  <c r="Y414" i="1"/>
  <c r="Y412" i="1"/>
  <c r="Y410" i="1"/>
  <c r="Y411" i="1"/>
  <c r="Y413" i="1"/>
  <c r="Y415" i="1"/>
  <c r="Y417" i="1"/>
  <c r="Y416" i="1"/>
  <c r="Y418" i="1"/>
  <c r="E54" i="1"/>
  <c r="E72" i="1"/>
  <c r="H35" i="1"/>
  <c r="K27" i="1"/>
  <c r="H155" i="1"/>
  <c r="H32" i="1"/>
  <c r="Y409" i="1"/>
  <c r="AM409" i="1" s="1"/>
  <c r="E231" i="1"/>
  <c r="P74" i="1"/>
  <c r="H54" i="1"/>
  <c r="K54" i="1"/>
  <c r="Q85" i="1"/>
  <c r="P72" i="1"/>
  <c r="P27" i="1"/>
  <c r="P54" i="1"/>
  <c r="I74" i="1"/>
  <c r="I85" i="1" s="1"/>
  <c r="H41" i="1"/>
  <c r="E155" i="1"/>
  <c r="F165" i="1"/>
  <c r="I233" i="1"/>
  <c r="AC407" i="1"/>
  <c r="G9" i="2" s="1"/>
  <c r="G8" i="2" s="1"/>
  <c r="H72" i="1"/>
  <c r="F233" i="1"/>
  <c r="F195" i="1"/>
  <c r="M194" i="1" s="1"/>
  <c r="E229" i="1"/>
  <c r="E210" i="1"/>
  <c r="H33" i="1"/>
  <c r="H40" i="1"/>
  <c r="H24" i="1"/>
  <c r="H37" i="1"/>
  <c r="H38" i="1"/>
  <c r="H34" i="1"/>
  <c r="H31" i="1"/>
  <c r="H36" i="1"/>
  <c r="F74" i="1"/>
  <c r="AC419" i="1"/>
  <c r="Q233" i="1"/>
  <c r="P229" i="1"/>
  <c r="K41" i="1"/>
  <c r="D27" i="1"/>
  <c r="M27" i="1" s="1"/>
  <c r="M28" i="1" s="1"/>
  <c r="E13" i="1"/>
  <c r="D24" i="1"/>
  <c r="M24" i="1" s="1"/>
  <c r="AC481" i="1"/>
  <c r="E309" i="1"/>
  <c r="AF406" i="1"/>
  <c r="I165" i="1"/>
  <c r="H122" i="1"/>
  <c r="H153" i="1"/>
  <c r="H108" i="1"/>
  <c r="F289" i="1"/>
  <c r="AC433" i="1"/>
  <c r="H27" i="1"/>
  <c r="E349" i="1" l="1"/>
  <c r="E351" i="1"/>
  <c r="AG413" i="1"/>
  <c r="AM413" i="1"/>
  <c r="AM412" i="1"/>
  <c r="AG412" i="1"/>
  <c r="AM411" i="1"/>
  <c r="AG411" i="1"/>
  <c r="AG414" i="1"/>
  <c r="AM414" i="1"/>
  <c r="AG418" i="1"/>
  <c r="AM418" i="1"/>
  <c r="AG409" i="1"/>
  <c r="AM415" i="1"/>
  <c r="AG415" i="1"/>
  <c r="AM410" i="1"/>
  <c r="AG410" i="1"/>
  <c r="Z407" i="1"/>
  <c r="Z483" i="1" s="1"/>
  <c r="AG416" i="1"/>
  <c r="AM416" i="1"/>
  <c r="AH407" i="1"/>
  <c r="AI407" i="1" s="1"/>
  <c r="AN407" i="1"/>
  <c r="AO407" i="1" s="1"/>
  <c r="E330" i="1"/>
  <c r="AG417" i="1"/>
  <c r="AM417" i="1"/>
  <c r="N28" i="1"/>
  <c r="S28" i="1"/>
  <c r="Z406" i="1"/>
  <c r="AL483" i="1"/>
  <c r="J9" i="2"/>
  <c r="J8" i="2" s="1"/>
  <c r="O9" i="2"/>
  <c r="O8" i="2" s="1"/>
  <c r="E27" i="1"/>
  <c r="X466" i="1"/>
  <c r="X433" i="1"/>
  <c r="AD433" i="1"/>
  <c r="K9" i="2"/>
  <c r="K8" i="2" s="1"/>
  <c r="C10" i="2"/>
  <c r="AA433" i="1"/>
  <c r="AA481" i="1"/>
  <c r="AA452" i="1"/>
  <c r="AJ468" i="1"/>
  <c r="AJ466" i="1"/>
  <c r="AJ419" i="1"/>
  <c r="AJ433" i="1"/>
  <c r="AJ452" i="1"/>
  <c r="E74" i="1"/>
  <c r="F85" i="1"/>
  <c r="E314" i="1"/>
  <c r="AD419" i="1"/>
  <c r="AA466" i="1"/>
  <c r="E40" i="1"/>
  <c r="E24" i="1"/>
  <c r="E34" i="1"/>
  <c r="E36" i="1"/>
  <c r="E38" i="1"/>
  <c r="E37" i="1"/>
  <c r="E31" i="1"/>
  <c r="E33" i="1"/>
  <c r="E35" i="1"/>
  <c r="E32" i="1"/>
  <c r="E39" i="1"/>
  <c r="AC406" i="1"/>
  <c r="F9" i="2" s="1"/>
  <c r="F8" i="2" s="1"/>
  <c r="H74" i="1"/>
  <c r="AC468" i="1"/>
  <c r="AA468" i="1" s="1"/>
  <c r="AA419" i="1"/>
  <c r="AD466" i="1"/>
  <c r="C9" i="2" l="1"/>
  <c r="C8" i="2" s="1"/>
  <c r="X419" i="1"/>
  <c r="X481" i="1"/>
  <c r="X452" i="1"/>
  <c r="P9" i="2"/>
  <c r="P8" i="2" s="1"/>
  <c r="B9" i="2"/>
  <c r="X468" i="1"/>
  <c r="AC483" i="1"/>
  <c r="AL489" i="1"/>
  <c r="AK483" i="1"/>
  <c r="AL488" i="1" l="1"/>
  <c r="AL498" i="1"/>
  <c r="H9" i="2"/>
  <c r="H8" i="2" s="1"/>
  <c r="D9" i="2"/>
  <c r="B8" i="2"/>
  <c r="AK489" i="1"/>
  <c r="AC489" i="1"/>
  <c r="AB483" i="1"/>
  <c r="Z489" i="1"/>
  <c r="Y483" i="1"/>
  <c r="AK488" i="1" l="1"/>
  <c r="Z488" i="1"/>
  <c r="Y488" i="1" s="1"/>
  <c r="Z498" i="1"/>
  <c r="Q9" i="2"/>
  <c r="D10" i="2"/>
  <c r="D8" i="2" s="1"/>
  <c r="Y489" i="1"/>
  <c r="AB489" i="1"/>
  <c r="AC498" i="1"/>
  <c r="AK498" i="1"/>
  <c r="AB498" i="1" l="1"/>
  <c r="I9" i="2"/>
  <c r="I8" i="2" s="1"/>
  <c r="Q8" i="2"/>
  <c r="Y498" i="1"/>
  <c r="E9" i="2"/>
  <c r="E10" i="2" l="1"/>
  <c r="E8" i="2" s="1"/>
  <c r="AF481" i="1"/>
  <c r="L82" i="1"/>
  <c r="S82" i="1" l="1"/>
  <c r="S83" i="1" s="1"/>
  <c r="N82" i="1"/>
  <c r="N83" i="1" s="1"/>
  <c r="AN481" i="1"/>
  <c r="AO481" i="1" s="1"/>
  <c r="AH481" i="1"/>
  <c r="AI481" i="1" s="1"/>
  <c r="L83" i="1"/>
  <c r="AD481" i="1"/>
  <c r="L229" i="1" l="1"/>
  <c r="L68" i="1"/>
  <c r="S68" i="1" l="1"/>
  <c r="S72" i="1" s="1"/>
  <c r="S85" i="1" s="1"/>
  <c r="N68" i="1"/>
  <c r="N72" i="1" s="1"/>
  <c r="N85" i="1" s="1"/>
  <c r="N229" i="1"/>
  <c r="S229" i="1"/>
  <c r="L72" i="1"/>
  <c r="K229" i="1"/>
  <c r="L231" i="1"/>
  <c r="L349" i="1"/>
  <c r="L11" i="2"/>
  <c r="L285" i="1"/>
  <c r="S285" i="1" s="1"/>
  <c r="L153" i="1"/>
  <c r="N153" i="1" l="1"/>
  <c r="S153" i="1"/>
  <c r="N231" i="1"/>
  <c r="S231" i="1"/>
  <c r="L10" i="2"/>
  <c r="L74" i="1"/>
  <c r="K72" i="1"/>
  <c r="L233" i="1"/>
  <c r="K231" i="1"/>
  <c r="K285" i="1"/>
  <c r="L287" i="1"/>
  <c r="L351" i="1"/>
  <c r="K349" i="1"/>
  <c r="L155" i="1"/>
  <c r="K153" i="1"/>
  <c r="AF452" i="1"/>
  <c r="N351" i="1" l="1"/>
  <c r="S351" i="1"/>
  <c r="S287" i="1"/>
  <c r="N287" i="1"/>
  <c r="N233" i="1"/>
  <c r="S233" i="1"/>
  <c r="N74" i="1"/>
  <c r="S74" i="1"/>
  <c r="N155" i="1"/>
  <c r="S155" i="1"/>
  <c r="K155" i="1"/>
  <c r="L165" i="1"/>
  <c r="M11" i="2"/>
  <c r="K287" i="1"/>
  <c r="L289" i="1"/>
  <c r="K351" i="1"/>
  <c r="L353" i="1"/>
  <c r="AF468" i="1"/>
  <c r="AD452" i="1"/>
  <c r="L85" i="1"/>
  <c r="K74" i="1"/>
  <c r="AH468" i="1" l="1"/>
  <c r="AI468" i="1" s="1"/>
  <c r="AN468" i="1"/>
  <c r="AO468" i="1" s="1"/>
  <c r="N353" i="1"/>
  <c r="S353" i="1"/>
  <c r="S289" i="1"/>
  <c r="N289" i="1"/>
  <c r="S165" i="1"/>
  <c r="N165" i="1"/>
  <c r="M10" i="2"/>
  <c r="AF483" i="1"/>
  <c r="AD468" i="1"/>
  <c r="AH483" i="1" l="1"/>
  <c r="AI483" i="1" s="1"/>
  <c r="AN483" i="1"/>
  <c r="AO483" i="1" s="1"/>
  <c r="AE483" i="1"/>
  <c r="L9" i="2"/>
  <c r="L8" i="2" s="1"/>
  <c r="AF489" i="1"/>
  <c r="AH489" i="1" l="1"/>
  <c r="AI489" i="1" s="1"/>
  <c r="AN489" i="1"/>
  <c r="AO489" i="1" s="1"/>
  <c r="AF488" i="1"/>
  <c r="AF498" i="1"/>
  <c r="AE488" i="1"/>
  <c r="AE489" i="1"/>
  <c r="AH488" i="1" l="1"/>
  <c r="AI488" i="1" s="1"/>
  <c r="AN488" i="1"/>
  <c r="AO488" i="1" s="1"/>
  <c r="AN498" i="1"/>
  <c r="AO498" i="1" s="1"/>
  <c r="AH498" i="1"/>
  <c r="AI498" i="1" s="1"/>
  <c r="AE498" i="1"/>
  <c r="M9" i="2"/>
  <c r="M8" i="2" s="1"/>
</calcChain>
</file>

<file path=xl/sharedStrings.xml><?xml version="1.0" encoding="utf-8"?>
<sst xmlns="http://schemas.openxmlformats.org/spreadsheetml/2006/main" count="3859" uniqueCount="286">
  <si>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</si>
  <si>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</si>
  <si>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</si>
  <si>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</si>
  <si>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</si>
  <si>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</si>
  <si>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</si>
  <si>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</si>
  <si>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</si>
  <si>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</si>
  <si>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</si>
  <si>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</si>
  <si>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</si>
  <si>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</si>
  <si>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</si>
  <si>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</si>
  <si>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</si>
  <si>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</si>
  <si>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</si>
  <si>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</si>
  <si>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</si>
  <si>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</si>
  <si>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</si>
  <si>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</si>
  <si>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</si>
  <si>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</si>
  <si>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</si>
  <si>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</si>
  <si>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</si>
  <si>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</si>
  <si>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</si>
  <si>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</si>
  <si>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</si>
  <si>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</si>
  <si>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</si>
  <si>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</si>
  <si>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</si>
  <si>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</si>
  <si>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</si>
  <si>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</si>
  <si>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</si>
  <si>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</si>
  <si>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</si>
  <si>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</si>
  <si>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</si>
  <si>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</si>
  <si>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</si>
  <si>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</si>
  <si>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</si>
  <si>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</si>
  <si>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</si>
  <si>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</si>
  <si>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</si>
  <si>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</si>
  <si>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</si>
  <si>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</si>
  <si>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</si>
  <si>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</si>
  <si>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</si>
  <si>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</si>
  <si>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</si>
  <si>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</si>
  <si>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</si>
  <si>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</si>
  <si>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</si>
  <si>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</si>
  <si>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</si>
  <si>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</si>
  <si>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</si>
  <si>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</si>
  <si>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</si>
  <si>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</si>
  <si>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</si>
  <si>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</si>
  <si>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</si>
  <si>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</si>
  <si>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</si>
  <si>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</si>
  <si>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</si>
  <si>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</si>
  <si>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</si>
  <si>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</si>
  <si>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</si>
  <si>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</si>
  <si>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</si>
  <si>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</si>
  <si>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</si>
  <si>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</si>
  <si>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</si>
  <si>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</si>
  <si>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</si>
  <si>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</si>
  <si>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</si>
  <si>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</si>
  <si>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</si>
  <si>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</si>
  <si>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</si>
  <si>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</si>
  <si>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</si>
  <si>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</si>
  <si>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</si>
  <si>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</si>
  <si>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</si>
  <si>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</si>
  <si>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</si>
  <si>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</si>
  <si>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</si>
  <si>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</si>
  <si>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</si>
  <si>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</si>
  <si>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</si>
  <si>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</si>
  <si>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</si>
  <si>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</si>
  <si>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</si>
  <si>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</si>
  <si>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</si>
  <si>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</si>
  <si>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</si>
  <si>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</si>
  <si>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</si>
  <si>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</si>
  <si>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</si>
  <si>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</si>
  <si>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</si>
  <si>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</si>
  <si>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</si>
  <si>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</si>
  <si>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</si>
  <si>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</si>
  <si>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</si>
  <si>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</si>
  <si>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</si>
  <si>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</si>
  <si>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</si>
  <si>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</si>
  <si>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</si>
  <si>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</si>
  <si>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</si>
  <si>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</si>
  <si>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</si>
  <si>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</si>
  <si>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</si>
  <si>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</si>
  <si>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</si>
  <si>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</si>
  <si>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</si>
  <si>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</si>
  <si>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</si>
  <si>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</si>
  <si>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</si>
  <si>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</si>
  <si>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</si>
  <si>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</si>
  <si>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</si>
  <si>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</si>
  <si>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</si>
  <si>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</si>
  <si>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</si>
  <si>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</si>
  <si>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</si>
  <si>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</si>
  <si>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</si>
  <si>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</si>
  <si>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</si>
  <si>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</si>
  <si>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</si>
  <si>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</si>
  <si>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</si>
  <si>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</si>
  <si>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</si>
  <si>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</si>
  <si>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</si>
  <si>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</si>
  <si>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</si>
  <si>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</si>
  <si>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</si>
  <si>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</si>
  <si>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</si>
  <si>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</si>
  <si>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</si>
  <si>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</si>
  <si>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</si>
  <si>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</si>
  <si>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</si>
  <si>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</si>
  <si>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</si>
  <si>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US</t>
  </si>
  <si>
    <t>Programme neuf 2</t>
  </si>
  <si>
    <t>Facility Fund</t>
  </si>
  <si>
    <t>Pièces recond. MCPA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</si>
  <si>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</si>
  <si>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</si>
  <si>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</si>
  <si>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</si>
  <si>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</si>
  <si>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</si>
  <si>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</si>
  <si>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</si>
  <si>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</si>
  <si>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</si>
  <si>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</si>
  <si>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Mitsubishi</t>
  </si>
  <si>
    <t>Mois 1</t>
  </si>
  <si>
    <t>Mois 2</t>
  </si>
  <si>
    <t>Mois 3</t>
  </si>
  <si>
    <t>Quarter</t>
  </si>
  <si>
    <t>Autres marques</t>
  </si>
  <si>
    <t>Revenus d'intérêts Floor plan</t>
  </si>
  <si>
    <t>BAIIA Corpo</t>
  </si>
  <si>
    <t>BMW Sherbrooke</t>
  </si>
  <si>
    <t>NB</t>
  </si>
  <si>
    <t>$</t>
  </si>
  <si>
    <t>ÉCART réel / Budget</t>
  </si>
  <si>
    <t>ECART (réel/ Ann.Préc.)</t>
  </si>
  <si>
    <t>UNFTÉ</t>
  </si>
  <si>
    <t>RBSC neuf</t>
  </si>
  <si>
    <t>$PROFFTS</t>
  </si>
  <si>
    <t>RBSC used</t>
  </si>
  <si>
    <t>Programme 360</t>
  </si>
  <si>
    <t>$Ventes</t>
  </si>
  <si>
    <t>FORECAST</t>
  </si>
  <si>
    <t>#14</t>
  </si>
  <si>
    <t>#16-17</t>
  </si>
  <si>
    <t>#18</t>
  </si>
  <si>
    <t>#26</t>
  </si>
  <si>
    <t>#27</t>
  </si>
  <si>
    <t>#29</t>
  </si>
  <si>
    <t>#16</t>
  </si>
  <si>
    <t>#52-53</t>
  </si>
  <si>
    <t>#69</t>
  </si>
  <si>
    <t>#71</t>
  </si>
  <si>
    <t>#70</t>
  </si>
  <si>
    <t>#75</t>
  </si>
  <si>
    <t>#78</t>
  </si>
  <si>
    <t>#72-77</t>
  </si>
  <si>
    <t>#76</t>
  </si>
  <si>
    <t>#73</t>
  </si>
  <si>
    <t>#90</t>
  </si>
  <si>
    <t>Impôt exigible</t>
  </si>
  <si>
    <t>Profit Net après impôt</t>
  </si>
  <si>
    <t>Pacing</t>
  </si>
  <si>
    <t>Pertes</t>
  </si>
  <si>
    <t>Bonis cadres</t>
  </si>
  <si>
    <t>Farrah 30% + vendeur à 4 ou 5 %</t>
  </si>
  <si>
    <t>Dépréciation démos ventes</t>
  </si>
  <si>
    <t>Réparation portes de garages lavages</t>
  </si>
  <si>
    <t>Farrah a 23%, vendeur moyenne de 2.8%</t>
  </si>
  <si>
    <t>Carfax</t>
  </si>
  <si>
    <t>Laveurs</t>
  </si>
  <si>
    <t>Bonis</t>
  </si>
  <si>
    <t>-3.4K Quik Wash</t>
  </si>
  <si>
    <t>Produits lavages</t>
  </si>
  <si>
    <t>Joliquer ?</t>
  </si>
  <si>
    <t>-3.4k laveurs + 2.6k rep portes baies lavage</t>
  </si>
  <si>
    <t>reparation lift alignement, lift, compresseur</t>
  </si>
  <si>
    <t>Autres revenus</t>
  </si>
  <si>
    <t>Dépenses</t>
  </si>
  <si>
    <t>Farrah 30% + vendeur à 2.5 ou 5 %</t>
  </si>
  <si>
    <t>2 démos ventes non budgetés</t>
  </si>
  <si>
    <t>Farrah a 23%, vendeur moyenne de 2.5%</t>
  </si>
  <si>
    <t>+470$ taxi, +1.1k BT service</t>
  </si>
  <si>
    <t>+3.2k démos ventes, +1k taxis, +1.8k BT service</t>
  </si>
  <si>
    <t>Torque 1.4k, SD +670$</t>
  </si>
  <si>
    <t>-3.4k laveurs, + Reno brico</t>
  </si>
  <si>
    <t>Esthétique</t>
  </si>
  <si>
    <t>1.7k imprimerie CRM, factures pièces et service</t>
  </si>
  <si>
    <t>+1.6k défirilateur, +1k référence embauche Christopher</t>
  </si>
  <si>
    <t>Transport</t>
  </si>
  <si>
    <t>expertise Billy 871$</t>
  </si>
  <si>
    <t>Ajust claims - utilisé le 3285$ res restant</t>
  </si>
  <si>
    <t>expertise Billy 484$+ ref 1000$ Christopher (Jordan)</t>
  </si>
  <si>
    <t>2750$ Mutuelle chargé par Complexe</t>
  </si>
  <si>
    <t>LAR</t>
  </si>
  <si>
    <t>Q2 2025</t>
  </si>
  <si>
    <t>Réalisé, Avril 2025</t>
  </si>
  <si>
    <t>Réalisé, Mai 2025</t>
  </si>
  <si>
    <t>Réalisé, Juin 2025</t>
  </si>
  <si>
    <t>Farrah 30% + vendeur à 5 %, sauf Yvon à 1.5%</t>
  </si>
  <si>
    <t>Farrah a 22.6%, vendeur moyenne 3%</t>
  </si>
  <si>
    <t>Ajust claims</t>
  </si>
  <si>
    <t>2 démos ventes</t>
  </si>
  <si>
    <t>-3.4k lavages</t>
  </si>
  <si>
    <t>lavages</t>
  </si>
  <si>
    <t>1935$ expertise Billy + 1000$ référencement</t>
  </si>
  <si>
    <t>Renv 3k réserve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</si>
</sst>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dd\/mm\/yy_)"/>
    <numFmt numFmtId="167" formatCode="0.0%"/>
    <numFmt numFmtId="168" formatCode="0_)"/>
    <numFmt numFmtId="169" formatCode="_(* #,##0_);_(* \(#,##0\);_(* &quot;-&quot;??_);_(@_)"/>
    <numFmt numFmtId="170" formatCode="_-* #,##0.00\ _$_-;_-* #,##0.00\ _$\-;_-* &quot;-&quot;??\ _$_-;_-@_-"/>
    <numFmt numFmtId="171" formatCode="_-* #,##0.00\ &quot;$&quot;_-;_-* #,##0.00\ &quot;$&quot;\-;_-* &quot;-&quot;??\ &quot;$&quot;_-;_-@_-"/>
    <numFmt numFmtId="172" formatCode="0.00_)"/>
    <numFmt numFmtId="173" formatCode="#,##0\ &quot;$&quot;"/>
  </numFmts>
  <fonts count="4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 mt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b/>
      <sz val="16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sz val="14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3DBFF"/>
        <bgColor indexed="64"/>
      </patternFill>
    </fill>
  </fills>
  <borders count="11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8"/>
      </bottom>
      <diagonal/>
    </border>
  </borders>
  <cellStyleXfs count="16">
    <xf numFmtId="0" fontId="0" fillId="0" borderId="0"/>
    <xf numFmtId="9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0" fontId="3" fillId="0" borderId="0"/>
    <xf numFmtId="0" fontId="34" fillId="0" borderId="0"/>
    <xf numFmtId="170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3" fillId="0" borderId="0"/>
    <xf numFmtId="0" fontId="2" fillId="0" borderId="0"/>
    <xf numFmtId="0" fontId="34" fillId="0" borderId="0"/>
    <xf numFmtId="165" fontId="36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" fillId="0" borderId="0"/>
  </cellStyleXfs>
  <cellXfs count="517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166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9" fillId="0" borderId="0" xfId="0" applyFont="1"/>
    <xf numFmtId="0" fontId="9" fillId="0" borderId="6" xfId="0" applyFont="1" applyBorder="1"/>
    <xf numFmtId="3" fontId="9" fillId="0" borderId="7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3" fontId="9" fillId="0" borderId="8" xfId="0" applyNumberFormat="1" applyFont="1" applyBorder="1" applyAlignment="1">
      <alignment horizontal="center"/>
    </xf>
    <xf numFmtId="3" fontId="9" fillId="0" borderId="9" xfId="0" applyNumberFormat="1" applyFont="1" applyBorder="1" applyAlignment="1">
      <alignment horizontal="center"/>
    </xf>
    <xf numFmtId="3" fontId="9" fillId="0" borderId="10" xfId="0" applyNumberFormat="1" applyFont="1" applyBorder="1" applyAlignment="1">
      <alignment horizontal="center"/>
    </xf>
    <xf numFmtId="0" fontId="9" fillId="0" borderId="11" xfId="0" applyFont="1" applyBorder="1"/>
    <xf numFmtId="3" fontId="9" fillId="0" borderId="12" xfId="0" applyNumberFormat="1" applyFont="1" applyBorder="1" applyAlignment="1">
      <alignment horizontal="center"/>
    </xf>
    <xf numFmtId="3" fontId="9" fillId="0" borderId="13" xfId="0" applyNumberFormat="1" applyFont="1" applyBorder="1"/>
    <xf numFmtId="0" fontId="9" fillId="0" borderId="14" xfId="0" applyFont="1" applyBorder="1"/>
    <xf numFmtId="3" fontId="9" fillId="0" borderId="12" xfId="0" applyNumberFormat="1" applyFont="1" applyBorder="1" applyAlignment="1">
      <alignment horizontal="right"/>
    </xf>
    <xf numFmtId="3" fontId="9" fillId="0" borderId="15" xfId="0" applyNumberFormat="1" applyFont="1" applyBorder="1"/>
    <xf numFmtId="3" fontId="9" fillId="0" borderId="14" xfId="0" applyNumberFormat="1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3" fontId="9" fillId="0" borderId="17" xfId="0" applyNumberFormat="1" applyFont="1" applyBorder="1" applyAlignment="1">
      <alignment horizontal="center"/>
    </xf>
    <xf numFmtId="0" fontId="9" fillId="0" borderId="18" xfId="0" applyFont="1" applyBorder="1"/>
    <xf numFmtId="3" fontId="9" fillId="0" borderId="0" xfId="0" applyNumberFormat="1" applyFont="1"/>
    <xf numFmtId="3" fontId="9" fillId="0" borderId="9" xfId="0" applyNumberFormat="1" applyFont="1" applyBorder="1"/>
    <xf numFmtId="3" fontId="12" fillId="0" borderId="8" xfId="0" applyNumberFormat="1" applyFont="1" applyBorder="1"/>
    <xf numFmtId="3" fontId="9" fillId="0" borderId="8" xfId="0" applyNumberFormat="1" applyFont="1" applyBorder="1"/>
    <xf numFmtId="3" fontId="9" fillId="0" borderId="10" xfId="0" applyNumberFormat="1" applyFont="1" applyBorder="1"/>
    <xf numFmtId="0" fontId="10" fillId="0" borderId="6" xfId="0" applyFont="1" applyBorder="1"/>
    <xf numFmtId="3" fontId="10" fillId="0" borderId="7" xfId="0" applyNumberFormat="1" applyFont="1" applyBorder="1"/>
    <xf numFmtId="3" fontId="10" fillId="0" borderId="19" xfId="0" applyNumberFormat="1" applyFont="1" applyBorder="1"/>
    <xf numFmtId="3" fontId="10" fillId="0" borderId="20" xfId="0" applyNumberFormat="1" applyFont="1" applyBorder="1"/>
    <xf numFmtId="3" fontId="10" fillId="0" borderId="21" xfId="0" applyNumberFormat="1" applyFont="1" applyBorder="1"/>
    <xf numFmtId="0" fontId="9" fillId="0" borderId="8" xfId="0" applyFont="1" applyBorder="1"/>
    <xf numFmtId="0" fontId="9" fillId="0" borderId="9" xfId="0" applyFont="1" applyBorder="1"/>
    <xf numFmtId="167" fontId="10" fillId="0" borderId="9" xfId="0" applyNumberFormat="1" applyFont="1" applyBorder="1"/>
    <xf numFmtId="167" fontId="10" fillId="0" borderId="8" xfId="0" applyNumberFormat="1" applyFont="1" applyBorder="1"/>
    <xf numFmtId="167" fontId="10" fillId="0" borderId="10" xfId="0" applyNumberFormat="1" applyFont="1" applyBorder="1"/>
    <xf numFmtId="0" fontId="10" fillId="0" borderId="22" xfId="0" applyFont="1" applyBorder="1"/>
    <xf numFmtId="3" fontId="9" fillId="0" borderId="23" xfId="0" applyNumberFormat="1" applyFont="1" applyBorder="1"/>
    <xf numFmtId="3" fontId="9" fillId="0" borderId="12" xfId="0" applyNumberFormat="1" applyFont="1" applyBorder="1"/>
    <xf numFmtId="3" fontId="9" fillId="0" borderId="16" xfId="0" applyNumberFormat="1" applyFont="1" applyBorder="1"/>
    <xf numFmtId="3" fontId="10" fillId="0" borderId="14" xfId="0" applyNumberFormat="1" applyFont="1" applyBorder="1"/>
    <xf numFmtId="3" fontId="10" fillId="0" borderId="12" xfId="0" applyNumberFormat="1" applyFont="1" applyBorder="1"/>
    <xf numFmtId="3" fontId="9" fillId="0" borderId="14" xfId="0" applyNumberFormat="1" applyFont="1" applyBorder="1"/>
    <xf numFmtId="3" fontId="9" fillId="0" borderId="17" xfId="0" applyNumberFormat="1" applyFont="1" applyBorder="1"/>
    <xf numFmtId="0" fontId="10" fillId="0" borderId="18" xfId="0" applyFont="1" applyBorder="1"/>
    <xf numFmtId="3" fontId="9" fillId="0" borderId="7" xfId="0" applyNumberFormat="1" applyFont="1" applyBorder="1"/>
    <xf numFmtId="3" fontId="9" fillId="0" borderId="19" xfId="0" applyNumberFormat="1" applyFont="1" applyBorder="1"/>
    <xf numFmtId="3" fontId="9" fillId="0" borderId="20" xfId="0" applyNumberFormat="1" applyFont="1" applyBorder="1"/>
    <xf numFmtId="3" fontId="9" fillId="0" borderId="21" xfId="0" applyNumberFormat="1" applyFont="1" applyBorder="1"/>
    <xf numFmtId="3" fontId="10" fillId="0" borderId="9" xfId="0" applyNumberFormat="1" applyFont="1" applyBorder="1"/>
    <xf numFmtId="37" fontId="9" fillId="0" borderId="8" xfId="0" applyNumberFormat="1" applyFont="1" applyBorder="1"/>
    <xf numFmtId="37" fontId="9" fillId="0" borderId="9" xfId="0" applyNumberFormat="1" applyFont="1" applyBorder="1"/>
    <xf numFmtId="0" fontId="9" fillId="0" borderId="10" xfId="0" applyFont="1" applyBorder="1"/>
    <xf numFmtId="0" fontId="10" fillId="2" borderId="24" xfId="0" applyFont="1" applyFill="1" applyBorder="1"/>
    <xf numFmtId="37" fontId="10" fillId="2" borderId="25" xfId="0" applyNumberFormat="1" applyFont="1" applyFill="1" applyBorder="1"/>
    <xf numFmtId="3" fontId="10" fillId="2" borderId="25" xfId="0" applyNumberFormat="1" applyFont="1" applyFill="1" applyBorder="1"/>
    <xf numFmtId="37" fontId="10" fillId="2" borderId="26" xfId="0" applyNumberFormat="1" applyFont="1" applyFill="1" applyBorder="1"/>
    <xf numFmtId="37" fontId="10" fillId="2" borderId="27" xfId="0" applyNumberFormat="1" applyFont="1" applyFill="1" applyBorder="1"/>
    <xf numFmtId="168" fontId="10" fillId="2" borderId="25" xfId="0" applyNumberFormat="1" applyFont="1" applyFill="1" applyBorder="1"/>
    <xf numFmtId="37" fontId="10" fillId="2" borderId="28" xfId="0" applyNumberFormat="1" applyFont="1" applyFill="1" applyBorder="1"/>
    <xf numFmtId="0" fontId="10" fillId="2" borderId="29" xfId="0" applyFont="1" applyFill="1" applyBorder="1"/>
    <xf numFmtId="0" fontId="10" fillId="2" borderId="30" xfId="0" applyFont="1" applyFill="1" applyBorder="1"/>
    <xf numFmtId="0" fontId="10" fillId="2" borderId="31" xfId="0" applyFont="1" applyFill="1" applyBorder="1"/>
    <xf numFmtId="0" fontId="10" fillId="2" borderId="32" xfId="0" applyFont="1" applyFill="1" applyBorder="1"/>
    <xf numFmtId="167" fontId="10" fillId="2" borderId="32" xfId="0" applyNumberFormat="1" applyFont="1" applyFill="1" applyBorder="1"/>
    <xf numFmtId="167" fontId="10" fillId="2" borderId="31" xfId="0" applyNumberFormat="1" applyFont="1" applyFill="1" applyBorder="1"/>
    <xf numFmtId="167" fontId="10" fillId="2" borderId="33" xfId="0" applyNumberFormat="1" applyFont="1" applyFill="1" applyBorder="1"/>
    <xf numFmtId="0" fontId="10" fillId="0" borderId="0" xfId="0" applyFont="1"/>
    <xf numFmtId="0" fontId="10" fillId="0" borderId="8" xfId="0" applyFont="1" applyBorder="1"/>
    <xf numFmtId="0" fontId="10" fillId="0" borderId="9" xfId="0" applyFont="1" applyBorder="1"/>
    <xf numFmtId="0" fontId="10" fillId="0" borderId="18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37" fontId="9" fillId="0" borderId="0" xfId="0" applyNumberFormat="1" applyFont="1"/>
    <xf numFmtId="0" fontId="9" fillId="0" borderId="9" xfId="0" applyFont="1" applyBorder="1" applyAlignment="1">
      <alignment horizontal="right"/>
    </xf>
    <xf numFmtId="167" fontId="9" fillId="0" borderId="9" xfId="1" applyNumberFormat="1" applyFont="1" applyFill="1" applyBorder="1"/>
    <xf numFmtId="37" fontId="9" fillId="0" borderId="10" xfId="0" applyNumberFormat="1" applyFont="1" applyBorder="1"/>
    <xf numFmtId="0" fontId="9" fillId="0" borderId="22" xfId="0" applyFont="1" applyBorder="1"/>
    <xf numFmtId="0" fontId="9" fillId="0" borderId="12" xfId="0" applyFont="1" applyBorder="1" applyAlignment="1">
      <alignment horizontal="right"/>
    </xf>
    <xf numFmtId="37" fontId="9" fillId="0" borderId="12" xfId="0" applyNumberFormat="1" applyFont="1" applyBorder="1"/>
    <xf numFmtId="0" fontId="9" fillId="0" borderId="14" xfId="0" applyFont="1" applyBorder="1" applyAlignment="1">
      <alignment horizontal="right"/>
    </xf>
    <xf numFmtId="37" fontId="9" fillId="0" borderId="15" xfId="0" applyNumberFormat="1" applyFont="1" applyBorder="1"/>
    <xf numFmtId="37" fontId="9" fillId="0" borderId="16" xfId="0" applyNumberFormat="1" applyFont="1" applyBorder="1"/>
    <xf numFmtId="37" fontId="9" fillId="0" borderId="17" xfId="0" applyNumberFormat="1" applyFont="1" applyBorder="1"/>
    <xf numFmtId="0" fontId="10" fillId="2" borderId="34" xfId="0" applyFont="1" applyFill="1" applyBorder="1"/>
    <xf numFmtId="0" fontId="10" fillId="2" borderId="35" xfId="0" applyFont="1" applyFill="1" applyBorder="1" applyAlignment="1">
      <alignment horizontal="center"/>
    </xf>
    <xf numFmtId="167" fontId="10" fillId="2" borderId="35" xfId="0" applyNumberFormat="1" applyFont="1" applyFill="1" applyBorder="1"/>
    <xf numFmtId="37" fontId="10" fillId="2" borderId="36" xfId="0" applyNumberFormat="1" applyFont="1" applyFill="1" applyBorder="1"/>
    <xf numFmtId="0" fontId="10" fillId="2" borderId="37" xfId="0" applyFont="1" applyFill="1" applyBorder="1" applyAlignment="1">
      <alignment horizontal="center"/>
    </xf>
    <xf numFmtId="0" fontId="9" fillId="2" borderId="38" xfId="0" applyFont="1" applyFill="1" applyBorder="1"/>
    <xf numFmtId="37" fontId="10" fillId="2" borderId="35" xfId="0" applyNumberFormat="1" applyFont="1" applyFill="1" applyBorder="1"/>
    <xf numFmtId="0" fontId="9" fillId="2" borderId="37" xfId="0" applyFont="1" applyFill="1" applyBorder="1"/>
    <xf numFmtId="37" fontId="10" fillId="2" borderId="39" xfId="0" applyNumberFormat="1" applyFont="1" applyFill="1" applyBorder="1"/>
    <xf numFmtId="0" fontId="14" fillId="0" borderId="18" xfId="0" applyFont="1" applyBorder="1"/>
    <xf numFmtId="0" fontId="14" fillId="0" borderId="22" xfId="0" applyFont="1" applyBorder="1"/>
    <xf numFmtId="0" fontId="9" fillId="0" borderId="7" xfId="0" applyFont="1" applyBorder="1" applyAlignment="1">
      <alignment horizontal="right"/>
    </xf>
    <xf numFmtId="0" fontId="9" fillId="0" borderId="7" xfId="0" applyFont="1" applyBorder="1"/>
    <xf numFmtId="0" fontId="9" fillId="0" borderId="20" xfId="0" applyFont="1" applyBorder="1" applyAlignment="1">
      <alignment horizontal="right"/>
    </xf>
    <xf numFmtId="0" fontId="9" fillId="0" borderId="20" xfId="0" applyFont="1" applyBorder="1"/>
    <xf numFmtId="3" fontId="9" fillId="0" borderId="40" xfId="0" applyNumberFormat="1" applyFont="1" applyBorder="1"/>
    <xf numFmtId="37" fontId="9" fillId="0" borderId="19" xfId="0" applyNumberFormat="1" applyFont="1" applyBorder="1"/>
    <xf numFmtId="37" fontId="9" fillId="0" borderId="21" xfId="0" applyNumberFormat="1" applyFont="1" applyBorder="1"/>
    <xf numFmtId="0" fontId="9" fillId="0" borderId="12" xfId="0" applyFont="1" applyBorder="1"/>
    <xf numFmtId="37" fontId="10" fillId="0" borderId="0" xfId="0" applyNumberFormat="1" applyFont="1"/>
    <xf numFmtId="37" fontId="10" fillId="2" borderId="16" xfId="0" applyNumberFormat="1" applyFont="1" applyFill="1" applyBorder="1"/>
    <xf numFmtId="37" fontId="10" fillId="2" borderId="17" xfId="0" applyNumberFormat="1" applyFont="1" applyFill="1" applyBorder="1"/>
    <xf numFmtId="0" fontId="10" fillId="3" borderId="18" xfId="0" applyFont="1" applyFill="1" applyBorder="1"/>
    <xf numFmtId="0" fontId="9" fillId="3" borderId="0" xfId="0" applyFont="1" applyFill="1"/>
    <xf numFmtId="0" fontId="10" fillId="3" borderId="0" xfId="0" applyFont="1" applyFill="1"/>
    <xf numFmtId="37" fontId="10" fillId="3" borderId="8" xfId="0" applyNumberFormat="1" applyFont="1" applyFill="1" applyBorder="1"/>
    <xf numFmtId="0" fontId="9" fillId="3" borderId="9" xfId="0" applyFont="1" applyFill="1" applyBorder="1"/>
    <xf numFmtId="0" fontId="9" fillId="3" borderId="14" xfId="0" applyFont="1" applyFill="1" applyBorder="1"/>
    <xf numFmtId="0" fontId="9" fillId="3" borderId="12" xfId="0" applyFont="1" applyFill="1" applyBorder="1"/>
    <xf numFmtId="37" fontId="10" fillId="3" borderId="16" xfId="0" applyNumberFormat="1" applyFont="1" applyFill="1" applyBorder="1"/>
    <xf numFmtId="37" fontId="10" fillId="3" borderId="17" xfId="0" applyNumberFormat="1" applyFont="1" applyFill="1" applyBorder="1"/>
    <xf numFmtId="0" fontId="10" fillId="2" borderId="41" xfId="0" applyFont="1" applyFill="1" applyBorder="1"/>
    <xf numFmtId="0" fontId="9" fillId="2" borderId="42" xfId="0" applyFont="1" applyFill="1" applyBorder="1"/>
    <xf numFmtId="0" fontId="10" fillId="2" borderId="42" xfId="0" applyFont="1" applyFill="1" applyBorder="1"/>
    <xf numFmtId="37" fontId="10" fillId="2" borderId="43" xfId="0" applyNumberFormat="1" applyFont="1" applyFill="1" applyBorder="1"/>
    <xf numFmtId="0" fontId="9" fillId="2" borderId="44" xfId="0" applyFont="1" applyFill="1" applyBorder="1"/>
    <xf numFmtId="37" fontId="10" fillId="2" borderId="45" xfId="0" applyNumberFormat="1" applyFont="1" applyFill="1" applyBorder="1"/>
    <xf numFmtId="0" fontId="15" fillId="0" borderId="0" xfId="0" applyFont="1"/>
    <xf numFmtId="0" fontId="16" fillId="0" borderId="0" xfId="0" applyFont="1"/>
    <xf numFmtId="37" fontId="16" fillId="0" borderId="0" xfId="0" applyNumberFormat="1" applyFont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7" fillId="0" borderId="0" xfId="0" applyFont="1"/>
    <xf numFmtId="39" fontId="9" fillId="0" borderId="0" xfId="0" applyNumberFormat="1" applyFont="1"/>
    <xf numFmtId="3" fontId="10" fillId="0" borderId="16" xfId="0" applyNumberFormat="1" applyFont="1" applyBorder="1"/>
    <xf numFmtId="3" fontId="10" fillId="0" borderId="17" xfId="0" applyNumberFormat="1" applyFont="1" applyBorder="1"/>
    <xf numFmtId="168" fontId="9" fillId="0" borderId="0" xfId="0" applyNumberFormat="1" applyFont="1"/>
    <xf numFmtId="167" fontId="18" fillId="4" borderId="46" xfId="0" applyNumberFormat="1" applyFont="1" applyFill="1" applyBorder="1"/>
    <xf numFmtId="37" fontId="9" fillId="0" borderId="13" xfId="0" applyNumberFormat="1" applyFont="1" applyBorder="1"/>
    <xf numFmtId="0" fontId="9" fillId="2" borderId="14" xfId="0" applyFont="1" applyFill="1" applyBorder="1"/>
    <xf numFmtId="167" fontId="9" fillId="0" borderId="0" xfId="0" applyNumberFormat="1" applyFont="1"/>
    <xf numFmtId="0" fontId="10" fillId="0" borderId="0" xfId="0" applyFont="1" applyAlignment="1">
      <alignment horizontal="center"/>
    </xf>
    <xf numFmtId="167" fontId="10" fillId="0" borderId="0" xfId="0" applyNumberFormat="1" applyFont="1"/>
    <xf numFmtId="0" fontId="10" fillId="0" borderId="9" xfId="0" applyFont="1" applyBorder="1" applyAlignment="1">
      <alignment horizontal="center"/>
    </xf>
    <xf numFmtId="0" fontId="9" fillId="2" borderId="42" xfId="0" applyFont="1" applyFill="1" applyBorder="1" applyAlignment="1">
      <alignment horizontal="right"/>
    </xf>
    <xf numFmtId="0" fontId="9" fillId="2" borderId="44" xfId="0" applyFont="1" applyFill="1" applyBorder="1" applyAlignment="1">
      <alignment horizontal="right"/>
    </xf>
    <xf numFmtId="0" fontId="10" fillId="2" borderId="44" xfId="0" applyFont="1" applyFill="1" applyBorder="1"/>
    <xf numFmtId="37" fontId="7" fillId="0" borderId="0" xfId="0" applyNumberFormat="1" applyFont="1"/>
    <xf numFmtId="1" fontId="9" fillId="0" borderId="9" xfId="0" applyNumberFormat="1" applyFont="1" applyBorder="1"/>
    <xf numFmtId="167" fontId="9" fillId="0" borderId="9" xfId="0" applyNumberFormat="1" applyFont="1" applyBorder="1"/>
    <xf numFmtId="167" fontId="9" fillId="0" borderId="8" xfId="0" applyNumberFormat="1" applyFont="1" applyBorder="1"/>
    <xf numFmtId="168" fontId="9" fillId="0" borderId="12" xfId="0" applyNumberFormat="1" applyFont="1" applyBorder="1"/>
    <xf numFmtId="167" fontId="9" fillId="0" borderId="16" xfId="0" applyNumberFormat="1" applyFont="1" applyBorder="1"/>
    <xf numFmtId="37" fontId="9" fillId="0" borderId="14" xfId="0" applyNumberFormat="1" applyFont="1" applyBorder="1"/>
    <xf numFmtId="167" fontId="9" fillId="0" borderId="14" xfId="0" applyNumberFormat="1" applyFont="1" applyBorder="1"/>
    <xf numFmtId="37" fontId="9" fillId="0" borderId="7" xfId="0" applyNumberFormat="1" applyFont="1" applyBorder="1"/>
    <xf numFmtId="37" fontId="9" fillId="0" borderId="20" xfId="0" applyNumberFormat="1" applyFont="1" applyBorder="1"/>
    <xf numFmtId="3" fontId="9" fillId="0" borderId="47" xfId="0" applyNumberFormat="1" applyFont="1" applyBorder="1"/>
    <xf numFmtId="2" fontId="9" fillId="0" borderId="0" xfId="0" applyNumberFormat="1" applyFont="1"/>
    <xf numFmtId="167" fontId="10" fillId="0" borderId="14" xfId="0" applyNumberFormat="1" applyFont="1" applyBorder="1"/>
    <xf numFmtId="167" fontId="10" fillId="0" borderId="16" xfId="0" applyNumberFormat="1" applyFont="1" applyBorder="1"/>
    <xf numFmtId="167" fontId="10" fillId="0" borderId="17" xfId="0" applyNumberFormat="1" applyFont="1" applyBorder="1"/>
    <xf numFmtId="168" fontId="9" fillId="0" borderId="15" xfId="0" applyNumberFormat="1" applyFont="1" applyBorder="1"/>
    <xf numFmtId="167" fontId="9" fillId="0" borderId="13" xfId="0" applyNumberFormat="1" applyFont="1" applyBorder="1"/>
    <xf numFmtId="37" fontId="9" fillId="0" borderId="23" xfId="0" applyNumberFormat="1" applyFont="1" applyBorder="1"/>
    <xf numFmtId="167" fontId="9" fillId="0" borderId="20" xfId="0" applyNumberFormat="1" applyFont="1" applyBorder="1"/>
    <xf numFmtId="168" fontId="10" fillId="0" borderId="0" xfId="0" applyNumberFormat="1" applyFont="1"/>
    <xf numFmtId="37" fontId="10" fillId="0" borderId="9" xfId="0" applyNumberFormat="1" applyFont="1" applyBorder="1"/>
    <xf numFmtId="37" fontId="10" fillId="0" borderId="8" xfId="0" applyNumberFormat="1" applyFont="1" applyBorder="1"/>
    <xf numFmtId="37" fontId="10" fillId="0" borderId="10" xfId="0" applyNumberFormat="1" applyFont="1" applyBorder="1"/>
    <xf numFmtId="0" fontId="10" fillId="0" borderId="12" xfId="0" applyFont="1" applyBorder="1"/>
    <xf numFmtId="168" fontId="10" fillId="0" borderId="12" xfId="0" applyNumberFormat="1" applyFont="1" applyBorder="1"/>
    <xf numFmtId="0" fontId="10" fillId="0" borderId="14" xfId="0" applyFont="1" applyBorder="1"/>
    <xf numFmtId="37" fontId="10" fillId="0" borderId="14" xfId="0" applyNumberFormat="1" applyFont="1" applyBorder="1"/>
    <xf numFmtId="37" fontId="10" fillId="0" borderId="16" xfId="0" applyNumberFormat="1" applyFont="1" applyBorder="1"/>
    <xf numFmtId="37" fontId="10" fillId="0" borderId="17" xfId="0" applyNumberFormat="1" applyFont="1" applyBorder="1"/>
    <xf numFmtId="37" fontId="9" fillId="0" borderId="44" xfId="0" applyNumberFormat="1" applyFont="1" applyBorder="1"/>
    <xf numFmtId="0" fontId="10" fillId="3" borderId="24" xfId="0" applyFont="1" applyFill="1" applyBorder="1"/>
    <xf numFmtId="37" fontId="10" fillId="3" borderId="25" xfId="0" applyNumberFormat="1" applyFont="1" applyFill="1" applyBorder="1"/>
    <xf numFmtId="37" fontId="10" fillId="3" borderId="26" xfId="0" applyNumberFormat="1" applyFont="1" applyFill="1" applyBorder="1"/>
    <xf numFmtId="37" fontId="10" fillId="3" borderId="27" xfId="0" applyNumberFormat="1" applyFont="1" applyFill="1" applyBorder="1"/>
    <xf numFmtId="167" fontId="10" fillId="3" borderId="27" xfId="0" applyNumberFormat="1" applyFont="1" applyFill="1" applyBorder="1"/>
    <xf numFmtId="37" fontId="10" fillId="3" borderId="28" xfId="0" applyNumberFormat="1" applyFont="1" applyFill="1" applyBorder="1"/>
    <xf numFmtId="0" fontId="10" fillId="3" borderId="22" xfId="0" applyFont="1" applyFill="1" applyBorder="1"/>
    <xf numFmtId="37" fontId="10" fillId="3" borderId="12" xfId="0" applyNumberFormat="1" applyFont="1" applyFill="1" applyBorder="1"/>
    <xf numFmtId="167" fontId="10" fillId="3" borderId="16" xfId="0" applyNumberFormat="1" applyFont="1" applyFill="1" applyBorder="1"/>
    <xf numFmtId="37" fontId="10" fillId="3" borderId="14" xfId="0" applyNumberFormat="1" applyFont="1" applyFill="1" applyBorder="1"/>
    <xf numFmtId="37" fontId="10" fillId="0" borderId="7" xfId="0" applyNumberFormat="1" applyFont="1" applyBorder="1"/>
    <xf numFmtId="168" fontId="10" fillId="0" borderId="7" xfId="0" applyNumberFormat="1" applyFont="1" applyBorder="1"/>
    <xf numFmtId="37" fontId="10" fillId="0" borderId="19" xfId="0" applyNumberFormat="1" applyFont="1" applyBorder="1"/>
    <xf numFmtId="37" fontId="10" fillId="0" borderId="20" xfId="0" applyNumberFormat="1" applyFont="1" applyBorder="1"/>
    <xf numFmtId="37" fontId="10" fillId="0" borderId="21" xfId="0" applyNumberFormat="1" applyFont="1" applyBorder="1"/>
    <xf numFmtId="0" fontId="10" fillId="3" borderId="6" xfId="0" applyFont="1" applyFill="1" applyBorder="1"/>
    <xf numFmtId="37" fontId="10" fillId="3" borderId="7" xfId="0" applyNumberFormat="1" applyFont="1" applyFill="1" applyBorder="1"/>
    <xf numFmtId="168" fontId="10" fillId="3" borderId="7" xfId="0" applyNumberFormat="1" applyFont="1" applyFill="1" applyBorder="1"/>
    <xf numFmtId="37" fontId="10" fillId="3" borderId="19" xfId="0" applyNumberFormat="1" applyFont="1" applyFill="1" applyBorder="1"/>
    <xf numFmtId="37" fontId="10" fillId="3" borderId="20" xfId="0" applyNumberFormat="1" applyFont="1" applyFill="1" applyBorder="1"/>
    <xf numFmtId="37" fontId="10" fillId="3" borderId="21" xfId="0" applyNumberFormat="1" applyFont="1" applyFill="1" applyBorder="1"/>
    <xf numFmtId="167" fontId="10" fillId="2" borderId="27" xfId="0" applyNumberFormat="1" applyFont="1" applyFill="1" applyBorder="1"/>
    <xf numFmtId="0" fontId="9" fillId="0" borderId="15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1" fontId="9" fillId="0" borderId="20" xfId="0" applyNumberFormat="1" applyFont="1" applyBorder="1"/>
    <xf numFmtId="2" fontId="9" fillId="0" borderId="12" xfId="0" applyNumberFormat="1" applyFont="1" applyBorder="1"/>
    <xf numFmtId="0" fontId="14" fillId="0" borderId="6" xfId="0" applyFont="1" applyBorder="1"/>
    <xf numFmtId="0" fontId="14" fillId="0" borderId="48" xfId="0" applyFont="1" applyBorder="1"/>
    <xf numFmtId="167" fontId="10" fillId="0" borderId="7" xfId="0" applyNumberFormat="1" applyFont="1" applyBorder="1"/>
    <xf numFmtId="167" fontId="10" fillId="0" borderId="20" xfId="0" applyNumberFormat="1" applyFont="1" applyBorder="1"/>
    <xf numFmtId="0" fontId="9" fillId="0" borderId="16" xfId="0" applyFont="1" applyBorder="1"/>
    <xf numFmtId="0" fontId="12" fillId="0" borderId="12" xfId="0" applyFont="1" applyBorder="1"/>
    <xf numFmtId="167" fontId="9" fillId="0" borderId="15" xfId="0" applyNumberFormat="1" applyFont="1" applyBorder="1"/>
    <xf numFmtId="167" fontId="9" fillId="0" borderId="12" xfId="0" applyNumberFormat="1" applyFont="1" applyBorder="1"/>
    <xf numFmtId="167" fontId="10" fillId="2" borderId="25" xfId="0" applyNumberFormat="1" applyFont="1" applyFill="1" applyBorder="1"/>
    <xf numFmtId="167" fontId="10" fillId="2" borderId="49" xfId="0" applyNumberFormat="1" applyFont="1" applyFill="1" applyBorder="1"/>
    <xf numFmtId="37" fontId="10" fillId="2" borderId="50" xfId="0" applyNumberFormat="1" applyFont="1" applyFill="1" applyBorder="1"/>
    <xf numFmtId="37" fontId="10" fillId="2" borderId="51" xfId="0" applyNumberFormat="1" applyFont="1" applyFill="1" applyBorder="1"/>
    <xf numFmtId="0" fontId="10" fillId="2" borderId="52" xfId="0" applyFont="1" applyFill="1" applyBorder="1"/>
    <xf numFmtId="37" fontId="10" fillId="2" borderId="53" xfId="0" applyNumberFormat="1" applyFont="1" applyFill="1" applyBorder="1"/>
    <xf numFmtId="168" fontId="10" fillId="2" borderId="53" xfId="0" applyNumberFormat="1" applyFont="1" applyFill="1" applyBorder="1"/>
    <xf numFmtId="37" fontId="10" fillId="2" borderId="54" xfId="0" applyNumberFormat="1" applyFont="1" applyFill="1" applyBorder="1"/>
    <xf numFmtId="37" fontId="10" fillId="2" borderId="55" xfId="0" applyNumberFormat="1" applyFont="1" applyFill="1" applyBorder="1"/>
    <xf numFmtId="0" fontId="9" fillId="2" borderId="32" xfId="0" applyFont="1" applyFill="1" applyBorder="1"/>
    <xf numFmtId="0" fontId="12" fillId="0" borderId="56" xfId="0" applyFont="1" applyBorder="1"/>
    <xf numFmtId="0" fontId="14" fillId="0" borderId="11" xfId="0" applyFont="1" applyBorder="1"/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44" xfId="0" applyFont="1" applyBorder="1" applyAlignment="1">
      <alignment horizontal="center"/>
    </xf>
    <xf numFmtId="37" fontId="9" fillId="4" borderId="0" xfId="0" applyNumberFormat="1" applyFont="1" applyFill="1"/>
    <xf numFmtId="167" fontId="10" fillId="2" borderId="0" xfId="0" applyNumberFormat="1" applyFont="1" applyFill="1"/>
    <xf numFmtId="37" fontId="9" fillId="4" borderId="5" xfId="0" applyNumberFormat="1" applyFont="1" applyFill="1" applyBorder="1"/>
    <xf numFmtId="3" fontId="9" fillId="4" borderId="1" xfId="0" applyNumberFormat="1" applyFont="1" applyFill="1" applyBorder="1"/>
    <xf numFmtId="3" fontId="9" fillId="4" borderId="3" xfId="0" applyNumberFormat="1" applyFont="1" applyFill="1" applyBorder="1"/>
    <xf numFmtId="0" fontId="19" fillId="0" borderId="0" xfId="0" applyFont="1"/>
    <xf numFmtId="37" fontId="18" fillId="0" borderId="0" xfId="0" applyNumberFormat="1" applyFont="1"/>
    <xf numFmtId="167" fontId="9" fillId="0" borderId="0" xfId="1" applyNumberFormat="1" applyFont="1" applyFill="1" applyBorder="1"/>
    <xf numFmtId="167" fontId="10" fillId="0" borderId="26" xfId="0" applyNumberFormat="1" applyFont="1" applyBorder="1"/>
    <xf numFmtId="0" fontId="12" fillId="0" borderId="0" xfId="0" applyFont="1"/>
    <xf numFmtId="167" fontId="9" fillId="0" borderId="8" xfId="1" applyNumberFormat="1" applyFont="1" applyFill="1" applyBorder="1"/>
    <xf numFmtId="0" fontId="10" fillId="0" borderId="10" xfId="0" applyFont="1" applyBorder="1"/>
    <xf numFmtId="0" fontId="20" fillId="0" borderId="0" xfId="0" applyFont="1"/>
    <xf numFmtId="0" fontId="10" fillId="2" borderId="37" xfId="0" applyFont="1" applyFill="1" applyBorder="1"/>
    <xf numFmtId="0" fontId="10" fillId="2" borderId="57" xfId="0" applyFont="1" applyFill="1" applyBorder="1"/>
    <xf numFmtId="0" fontId="10" fillId="2" borderId="58" xfId="0" applyFont="1" applyFill="1" applyBorder="1"/>
    <xf numFmtId="37" fontId="10" fillId="2" borderId="59" xfId="0" applyNumberFormat="1" applyFont="1" applyFill="1" applyBorder="1"/>
    <xf numFmtId="0" fontId="10" fillId="2" borderId="60" xfId="0" applyFont="1" applyFill="1" applyBorder="1"/>
    <xf numFmtId="0" fontId="9" fillId="2" borderId="60" xfId="0" applyFont="1" applyFill="1" applyBorder="1"/>
    <xf numFmtId="0" fontId="9" fillId="2" borderId="58" xfId="0" applyFont="1" applyFill="1" applyBorder="1"/>
    <xf numFmtId="37" fontId="10" fillId="2" borderId="61" xfId="0" applyNumberFormat="1" applyFont="1" applyFill="1" applyBorder="1"/>
    <xf numFmtId="0" fontId="5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9" fillId="0" borderId="62" xfId="0" applyFont="1" applyBorder="1" applyAlignment="1">
      <alignment horizontal="left"/>
    </xf>
    <xf numFmtId="0" fontId="10" fillId="0" borderId="6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67" xfId="0" applyFont="1" applyBorder="1" applyAlignment="1">
      <alignment horizontal="center"/>
    </xf>
    <xf numFmtId="0" fontId="9" fillId="0" borderId="68" xfId="0" applyFont="1" applyBorder="1" applyAlignment="1">
      <alignment horizontal="center"/>
    </xf>
    <xf numFmtId="0" fontId="9" fillId="0" borderId="69" xfId="0" applyFont="1" applyBorder="1" applyAlignment="1">
      <alignment horizontal="center"/>
    </xf>
    <xf numFmtId="0" fontId="14" fillId="0" borderId="12" xfId="0" applyFont="1" applyBorder="1"/>
    <xf numFmtId="37" fontId="14" fillId="0" borderId="67" xfId="0" applyNumberFormat="1" applyFont="1" applyBorder="1"/>
    <xf numFmtId="37" fontId="14" fillId="0" borderId="68" xfId="0" applyNumberFormat="1" applyFont="1" applyBorder="1"/>
    <xf numFmtId="37" fontId="14" fillId="0" borderId="12" xfId="0" applyNumberFormat="1" applyFont="1" applyBorder="1"/>
    <xf numFmtId="167" fontId="14" fillId="0" borderId="12" xfId="0" applyNumberFormat="1" applyFont="1" applyBorder="1"/>
    <xf numFmtId="37" fontId="14" fillId="0" borderId="69" xfId="0" applyNumberFormat="1" applyFont="1" applyBorder="1"/>
    <xf numFmtId="167" fontId="14" fillId="0" borderId="17" xfId="0" applyNumberFormat="1" applyFont="1" applyBorder="1"/>
    <xf numFmtId="0" fontId="21" fillId="2" borderId="22" xfId="0" applyFont="1" applyFill="1" applyBorder="1"/>
    <xf numFmtId="0" fontId="21" fillId="2" borderId="12" xfId="0" applyFont="1" applyFill="1" applyBorder="1"/>
    <xf numFmtId="37" fontId="21" fillId="2" borderId="67" xfId="0" applyNumberFormat="1" applyFont="1" applyFill="1" applyBorder="1"/>
    <xf numFmtId="37" fontId="21" fillId="2" borderId="68" xfId="0" applyNumberFormat="1" applyFont="1" applyFill="1" applyBorder="1"/>
    <xf numFmtId="37" fontId="21" fillId="2" borderId="12" xfId="0" applyNumberFormat="1" applyFont="1" applyFill="1" applyBorder="1"/>
    <xf numFmtId="167" fontId="21" fillId="2" borderId="12" xfId="0" applyNumberFormat="1" applyFont="1" applyFill="1" applyBorder="1"/>
    <xf numFmtId="37" fontId="21" fillId="2" borderId="69" xfId="0" applyNumberFormat="1" applyFont="1" applyFill="1" applyBorder="1"/>
    <xf numFmtId="167" fontId="21" fillId="2" borderId="17" xfId="0" applyNumberFormat="1" applyFont="1" applyFill="1" applyBorder="1"/>
    <xf numFmtId="0" fontId="21" fillId="0" borderId="18" xfId="0" applyFont="1" applyBorder="1"/>
    <xf numFmtId="0" fontId="14" fillId="0" borderId="0" xfId="0" applyFont="1"/>
    <xf numFmtId="37" fontId="14" fillId="0" borderId="70" xfId="0" applyNumberFormat="1" applyFont="1" applyBorder="1"/>
    <xf numFmtId="37" fontId="14" fillId="0" borderId="71" xfId="0" applyNumberFormat="1" applyFont="1" applyBorder="1"/>
    <xf numFmtId="37" fontId="14" fillId="0" borderId="0" xfId="0" applyNumberFormat="1" applyFont="1"/>
    <xf numFmtId="167" fontId="14" fillId="0" borderId="0" xfId="0" applyNumberFormat="1" applyFont="1"/>
    <xf numFmtId="37" fontId="14" fillId="0" borderId="72" xfId="0" applyNumberFormat="1" applyFont="1" applyBorder="1"/>
    <xf numFmtId="167" fontId="14" fillId="0" borderId="21" xfId="0" applyNumberFormat="1" applyFont="1" applyBorder="1"/>
    <xf numFmtId="0" fontId="14" fillId="0" borderId="0" xfId="0" applyFont="1" applyAlignment="1">
      <alignment horizontal="right"/>
    </xf>
    <xf numFmtId="168" fontId="14" fillId="0" borderId="0" xfId="0" applyNumberFormat="1" applyFont="1"/>
    <xf numFmtId="0" fontId="14" fillId="0" borderId="71" xfId="0" applyFont="1" applyBorder="1"/>
    <xf numFmtId="167" fontId="14" fillId="0" borderId="10" xfId="0" applyNumberFormat="1" applyFont="1" applyBorder="1"/>
    <xf numFmtId="0" fontId="14" fillId="0" borderId="12" xfId="0" applyFont="1" applyBorder="1" applyAlignment="1">
      <alignment horizontal="right"/>
    </xf>
    <xf numFmtId="168" fontId="14" fillId="0" borderId="12" xfId="0" applyNumberFormat="1" applyFont="1" applyBorder="1"/>
    <xf numFmtId="0" fontId="14" fillId="0" borderId="68" xfId="0" applyFont="1" applyBorder="1"/>
    <xf numFmtId="167" fontId="14" fillId="0" borderId="67" xfId="0" applyNumberFormat="1" applyFont="1" applyBorder="1"/>
    <xf numFmtId="167" fontId="14" fillId="0" borderId="73" xfId="0" applyNumberFormat="1" applyFont="1" applyBorder="1"/>
    <xf numFmtId="167" fontId="22" fillId="0" borderId="10" xfId="0" applyNumberFormat="1" applyFont="1" applyBorder="1"/>
    <xf numFmtId="0" fontId="21" fillId="2" borderId="34" xfId="0" applyFont="1" applyFill="1" applyBorder="1"/>
    <xf numFmtId="0" fontId="21" fillId="2" borderId="35" xfId="0" applyFont="1" applyFill="1" applyBorder="1"/>
    <xf numFmtId="167" fontId="21" fillId="2" borderId="35" xfId="0" applyNumberFormat="1" applyFont="1" applyFill="1" applyBorder="1"/>
    <xf numFmtId="37" fontId="21" fillId="2" borderId="74" xfId="0" applyNumberFormat="1" applyFont="1" applyFill="1" applyBorder="1"/>
    <xf numFmtId="167" fontId="21" fillId="2" borderId="38" xfId="0" applyNumberFormat="1" applyFont="1" applyFill="1" applyBorder="1"/>
    <xf numFmtId="0" fontId="21" fillId="2" borderId="38" xfId="0" applyFont="1" applyFill="1" applyBorder="1"/>
    <xf numFmtId="37" fontId="21" fillId="2" borderId="35" xfId="0" applyNumberFormat="1" applyFont="1" applyFill="1" applyBorder="1"/>
    <xf numFmtId="0" fontId="21" fillId="2" borderId="75" xfId="0" applyFont="1" applyFill="1" applyBorder="1"/>
    <xf numFmtId="165" fontId="7" fillId="0" borderId="0" xfId="0" applyNumberFormat="1" applyFont="1"/>
    <xf numFmtId="165" fontId="20" fillId="0" borderId="0" xfId="0" applyNumberFormat="1" applyFont="1"/>
    <xf numFmtId="167" fontId="14" fillId="0" borderId="70" xfId="0" applyNumberFormat="1" applyFont="1" applyBorder="1"/>
    <xf numFmtId="168" fontId="21" fillId="2" borderId="35" xfId="0" applyNumberFormat="1" applyFont="1" applyFill="1" applyBorder="1"/>
    <xf numFmtId="37" fontId="21" fillId="2" borderId="38" xfId="0" applyNumberFormat="1" applyFont="1" applyFill="1" applyBorder="1"/>
    <xf numFmtId="37" fontId="21" fillId="2" borderId="75" xfId="0" applyNumberFormat="1" applyFont="1" applyFill="1" applyBorder="1"/>
    <xf numFmtId="37" fontId="20" fillId="0" borderId="0" xfId="0" applyNumberFormat="1" applyFont="1"/>
    <xf numFmtId="0" fontId="14" fillId="0" borderId="7" xfId="0" applyFont="1" applyBorder="1" applyAlignment="1">
      <alignment horizontal="right"/>
    </xf>
    <xf numFmtId="0" fontId="14" fillId="0" borderId="7" xfId="0" applyFont="1" applyBorder="1"/>
    <xf numFmtId="37" fontId="14" fillId="0" borderId="76" xfId="0" applyNumberFormat="1" applyFont="1" applyBorder="1"/>
    <xf numFmtId="0" fontId="14" fillId="0" borderId="77" xfId="0" applyFont="1" applyBorder="1"/>
    <xf numFmtId="168" fontId="14" fillId="0" borderId="7" xfId="0" applyNumberFormat="1" applyFont="1" applyBorder="1"/>
    <xf numFmtId="37" fontId="14" fillId="0" borderId="7" xfId="0" applyNumberFormat="1" applyFont="1" applyBorder="1"/>
    <xf numFmtId="167" fontId="14" fillId="0" borderId="7" xfId="0" applyNumberFormat="1" applyFont="1" applyBorder="1"/>
    <xf numFmtId="37" fontId="14" fillId="0" borderId="78" xfId="0" applyNumberFormat="1" applyFont="1" applyBorder="1"/>
    <xf numFmtId="0" fontId="14" fillId="0" borderId="47" xfId="0" applyFont="1" applyBorder="1" applyAlignment="1">
      <alignment horizontal="right"/>
    </xf>
    <xf numFmtId="0" fontId="14" fillId="0" borderId="47" xfId="0" applyFont="1" applyBorder="1"/>
    <xf numFmtId="37" fontId="14" fillId="0" borderId="79" xfId="0" applyNumberFormat="1" applyFont="1" applyBorder="1"/>
    <xf numFmtId="0" fontId="14" fillId="0" borderId="80" xfId="0" applyFont="1" applyBorder="1"/>
    <xf numFmtId="168" fontId="14" fillId="0" borderId="47" xfId="0" applyNumberFormat="1" applyFont="1" applyBorder="1"/>
    <xf numFmtId="37" fontId="14" fillId="0" borderId="80" xfId="0" applyNumberFormat="1" applyFont="1" applyBorder="1"/>
    <xf numFmtId="37" fontId="14" fillId="0" borderId="47" xfId="0" applyNumberFormat="1" applyFont="1" applyBorder="1"/>
    <xf numFmtId="167" fontId="14" fillId="0" borderId="47" xfId="0" applyNumberFormat="1" applyFont="1" applyBorder="1"/>
    <xf numFmtId="37" fontId="14" fillId="0" borderId="81" xfId="0" applyNumberFormat="1" applyFont="1" applyBorder="1"/>
    <xf numFmtId="167" fontId="14" fillId="0" borderId="82" xfId="0" applyNumberFormat="1" applyFont="1" applyBorder="1"/>
    <xf numFmtId="169" fontId="20" fillId="0" borderId="0" xfId="0" applyNumberFormat="1" applyFont="1"/>
    <xf numFmtId="0" fontId="14" fillId="2" borderId="35" xfId="0" applyFont="1" applyFill="1" applyBorder="1"/>
    <xf numFmtId="167" fontId="21" fillId="2" borderId="39" xfId="0" applyNumberFormat="1" applyFont="1" applyFill="1" applyBorder="1"/>
    <xf numFmtId="167" fontId="21" fillId="0" borderId="0" xfId="0" applyNumberFormat="1" applyFont="1"/>
    <xf numFmtId="0" fontId="21" fillId="0" borderId="0" xfId="0" applyFont="1"/>
    <xf numFmtId="0" fontId="20" fillId="3" borderId="0" xfId="0" applyFont="1" applyFill="1"/>
    <xf numFmtId="167" fontId="14" fillId="0" borderId="76" xfId="0" applyNumberFormat="1" applyFont="1" applyBorder="1"/>
    <xf numFmtId="0" fontId="14" fillId="0" borderId="70" xfId="0" applyFont="1" applyBorder="1"/>
    <xf numFmtId="0" fontId="14" fillId="0" borderId="72" xfId="0" applyFont="1" applyBorder="1"/>
    <xf numFmtId="167" fontId="14" fillId="0" borderId="83" xfId="0" applyNumberFormat="1" applyFont="1" applyBorder="1"/>
    <xf numFmtId="167" fontId="21" fillId="0" borderId="7" xfId="0" applyNumberFormat="1" applyFont="1" applyBorder="1"/>
    <xf numFmtId="0" fontId="21" fillId="0" borderId="7" xfId="0" applyFont="1" applyBorder="1"/>
    <xf numFmtId="167" fontId="21" fillId="0" borderId="77" xfId="0" applyNumberFormat="1" applyFont="1" applyBorder="1"/>
    <xf numFmtId="37" fontId="21" fillId="0" borderId="77" xfId="0" applyNumberFormat="1" applyFont="1" applyBorder="1"/>
    <xf numFmtId="37" fontId="14" fillId="0" borderId="84" xfId="0" applyNumberFormat="1" applyFont="1" applyBorder="1"/>
    <xf numFmtId="37" fontId="21" fillId="0" borderId="7" xfId="0" applyNumberFormat="1" applyFont="1" applyBorder="1"/>
    <xf numFmtId="167" fontId="21" fillId="0" borderId="71" xfId="0" applyNumberFormat="1" applyFont="1" applyBorder="1"/>
    <xf numFmtId="37" fontId="21" fillId="0" borderId="71" xfId="0" applyNumberFormat="1" applyFont="1" applyBorder="1"/>
    <xf numFmtId="37" fontId="14" fillId="0" borderId="85" xfId="0" applyNumberFormat="1" applyFont="1" applyBorder="1"/>
    <xf numFmtId="37" fontId="21" fillId="0" borderId="0" xfId="0" applyNumberFormat="1" applyFont="1"/>
    <xf numFmtId="167" fontId="14" fillId="2" borderId="38" xfId="0" applyNumberFormat="1" applyFont="1" applyFill="1" applyBorder="1"/>
    <xf numFmtId="167" fontId="14" fillId="2" borderId="35" xfId="0" applyNumberFormat="1" applyFont="1" applyFill="1" applyBorder="1"/>
    <xf numFmtId="37" fontId="14" fillId="2" borderId="75" xfId="0" applyNumberFormat="1" applyFont="1" applyFill="1" applyBorder="1"/>
    <xf numFmtId="0" fontId="21" fillId="3" borderId="6" xfId="0" applyFont="1" applyFill="1" applyBorder="1"/>
    <xf numFmtId="0" fontId="21" fillId="3" borderId="7" xfId="0" applyFont="1" applyFill="1" applyBorder="1"/>
    <xf numFmtId="37" fontId="21" fillId="3" borderId="7" xfId="0" applyNumberFormat="1" applyFont="1" applyFill="1" applyBorder="1"/>
    <xf numFmtId="37" fontId="14" fillId="3" borderId="76" xfId="0" applyNumberFormat="1" applyFont="1" applyFill="1" applyBorder="1"/>
    <xf numFmtId="0" fontId="14" fillId="3" borderId="7" xfId="0" applyFont="1" applyFill="1" applyBorder="1"/>
    <xf numFmtId="37" fontId="14" fillId="3" borderId="7" xfId="0" applyNumberFormat="1" applyFont="1" applyFill="1" applyBorder="1"/>
    <xf numFmtId="37" fontId="14" fillId="3" borderId="77" xfId="0" applyNumberFormat="1" applyFont="1" applyFill="1" applyBorder="1"/>
    <xf numFmtId="37" fontId="14" fillId="3" borderId="0" xfId="0" applyNumberFormat="1" applyFont="1" applyFill="1"/>
    <xf numFmtId="167" fontId="14" fillId="3" borderId="0" xfId="0" applyNumberFormat="1" applyFont="1" applyFill="1"/>
    <xf numFmtId="167" fontId="14" fillId="3" borderId="77" xfId="0" applyNumberFormat="1" applyFont="1" applyFill="1" applyBorder="1"/>
    <xf numFmtId="167" fontId="14" fillId="3" borderId="7" xfId="0" applyNumberFormat="1" applyFont="1" applyFill="1" applyBorder="1"/>
    <xf numFmtId="37" fontId="14" fillId="3" borderId="78" xfId="0" applyNumberFormat="1" applyFont="1" applyFill="1" applyBorder="1"/>
    <xf numFmtId="167" fontId="14" fillId="0" borderId="45" xfId="0" applyNumberFormat="1" applyFont="1" applyBorder="1"/>
    <xf numFmtId="0" fontId="21" fillId="2" borderId="57" xfId="0" applyFont="1" applyFill="1" applyBorder="1"/>
    <xf numFmtId="0" fontId="21" fillId="2" borderId="58" xfId="0" applyFont="1" applyFill="1" applyBorder="1"/>
    <xf numFmtId="0" fontId="21" fillId="2" borderId="58" xfId="0" applyFont="1" applyFill="1" applyBorder="1" applyAlignment="1">
      <alignment horizontal="center"/>
    </xf>
    <xf numFmtId="167" fontId="21" fillId="2" borderId="58" xfId="0" applyNumberFormat="1" applyFont="1" applyFill="1" applyBorder="1"/>
    <xf numFmtId="37" fontId="21" fillId="2" borderId="86" xfId="0" applyNumberFormat="1" applyFont="1" applyFill="1" applyBorder="1"/>
    <xf numFmtId="37" fontId="21" fillId="2" borderId="58" xfId="0" applyNumberFormat="1" applyFont="1" applyFill="1" applyBorder="1"/>
    <xf numFmtId="37" fontId="21" fillId="2" borderId="87" xfId="0" applyNumberFormat="1" applyFont="1" applyFill="1" applyBorder="1"/>
    <xf numFmtId="167" fontId="21" fillId="2" borderId="88" xfId="0" applyNumberFormat="1" applyFont="1" applyFill="1" applyBorder="1"/>
    <xf numFmtId="0" fontId="21" fillId="2" borderId="87" xfId="0" applyFont="1" applyFill="1" applyBorder="1" applyAlignment="1">
      <alignment horizontal="center"/>
    </xf>
    <xf numFmtId="37" fontId="21" fillId="2" borderId="89" xfId="0" applyNumberFormat="1" applyFont="1" applyFill="1" applyBorder="1"/>
    <xf numFmtId="167" fontId="21" fillId="2" borderId="46" xfId="0" applyNumberFormat="1" applyFont="1" applyFill="1" applyBorder="1"/>
    <xf numFmtId="39" fontId="14" fillId="0" borderId="0" xfId="0" applyNumberFormat="1" applyFont="1"/>
    <xf numFmtId="0" fontId="21" fillId="2" borderId="90" xfId="0" applyFont="1" applyFill="1" applyBorder="1"/>
    <xf numFmtId="0" fontId="21" fillId="2" borderId="91" xfId="0" applyFont="1" applyFill="1" applyBorder="1"/>
    <xf numFmtId="0" fontId="21" fillId="2" borderId="91" xfId="0" applyFont="1" applyFill="1" applyBorder="1" applyAlignment="1">
      <alignment horizontal="center"/>
    </xf>
    <xf numFmtId="167" fontId="21" fillId="2" borderId="91" xfId="0" applyNumberFormat="1" applyFont="1" applyFill="1" applyBorder="1"/>
    <xf numFmtId="37" fontId="21" fillId="2" borderId="92" xfId="0" applyNumberFormat="1" applyFont="1" applyFill="1" applyBorder="1"/>
    <xf numFmtId="37" fontId="21" fillId="2" borderId="91" xfId="0" applyNumberFormat="1" applyFont="1" applyFill="1" applyBorder="1"/>
    <xf numFmtId="37" fontId="21" fillId="2" borderId="93" xfId="0" applyNumberFormat="1" applyFont="1" applyFill="1" applyBorder="1"/>
    <xf numFmtId="37" fontId="21" fillId="2" borderId="94" xfId="0" applyNumberFormat="1" applyFont="1" applyFill="1" applyBorder="1"/>
    <xf numFmtId="37" fontId="21" fillId="2" borderId="63" xfId="0" applyNumberFormat="1" applyFont="1" applyFill="1" applyBorder="1"/>
    <xf numFmtId="167" fontId="21" fillId="2" borderId="66" xfId="0" applyNumberFormat="1" applyFont="1" applyFill="1" applyBorder="1"/>
    <xf numFmtId="0" fontId="20" fillId="0" borderId="18" xfId="0" applyFont="1" applyBorder="1"/>
    <xf numFmtId="37" fontId="20" fillId="0" borderId="70" xfId="0" applyNumberFormat="1" applyFont="1" applyBorder="1"/>
    <xf numFmtId="0" fontId="20" fillId="0" borderId="70" xfId="0" applyFont="1" applyBorder="1"/>
    <xf numFmtId="0" fontId="20" fillId="0" borderId="85" xfId="0" applyFont="1" applyBorder="1"/>
    <xf numFmtId="0" fontId="20" fillId="0" borderId="72" xfId="0" applyFont="1" applyBorder="1"/>
    <xf numFmtId="0" fontId="20" fillId="0" borderId="10" xfId="0" applyFont="1" applyBorder="1"/>
    <xf numFmtId="0" fontId="7" fillId="0" borderId="72" xfId="0" applyFont="1" applyBorder="1"/>
    <xf numFmtId="167" fontId="21" fillId="2" borderId="61" xfId="0" applyNumberFormat="1" applyFont="1" applyFill="1" applyBorder="1"/>
    <xf numFmtId="0" fontId="23" fillId="0" borderId="0" xfId="0" applyFont="1"/>
    <xf numFmtId="37" fontId="23" fillId="0" borderId="0" xfId="0" applyNumberFormat="1" applyFont="1"/>
    <xf numFmtId="37" fontId="24" fillId="0" borderId="0" xfId="0" applyNumberFormat="1" applyFont="1"/>
    <xf numFmtId="0" fontId="23" fillId="3" borderId="0" xfId="0" applyFont="1" applyFill="1"/>
    <xf numFmtId="37" fontId="20" fillId="3" borderId="0" xfId="0" applyNumberFormat="1" applyFont="1" applyFill="1"/>
    <xf numFmtId="0" fontId="25" fillId="3" borderId="0" xfId="0" applyFont="1" applyFill="1"/>
    <xf numFmtId="37" fontId="23" fillId="3" borderId="0" xfId="0" applyNumberFormat="1" applyFont="1" applyFill="1"/>
    <xf numFmtId="0" fontId="2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66" fontId="27" fillId="3" borderId="0" xfId="0" applyNumberFormat="1" applyFont="1" applyFill="1" applyAlignment="1">
      <alignment horizontal="right"/>
    </xf>
    <xf numFmtId="0" fontId="23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27" fillId="3" borderId="0" xfId="0" applyFont="1" applyFill="1" applyAlignment="1">
      <alignment horizontal="center"/>
    </xf>
    <xf numFmtId="0" fontId="27" fillId="3" borderId="0" xfId="0" applyFont="1" applyFill="1"/>
    <xf numFmtId="167" fontId="20" fillId="3" borderId="0" xfId="0" applyNumberFormat="1" applyFont="1" applyFill="1"/>
    <xf numFmtId="9" fontId="20" fillId="3" borderId="0" xfId="0" applyNumberFormat="1" applyFont="1" applyFill="1"/>
    <xf numFmtId="167" fontId="23" fillId="3" borderId="0" xfId="0" applyNumberFormat="1" applyFont="1" applyFill="1"/>
    <xf numFmtId="0" fontId="28" fillId="3" borderId="0" xfId="0" applyFont="1" applyFill="1"/>
    <xf numFmtId="0" fontId="26" fillId="3" borderId="0" xfId="0" applyFont="1" applyFill="1" applyAlignment="1">
      <alignment horizontal="center"/>
    </xf>
    <xf numFmtId="166" fontId="20" fillId="3" borderId="0" xfId="0" applyNumberFormat="1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27" fillId="3" borderId="0" xfId="0" applyFont="1" applyFill="1" applyAlignment="1">
      <alignment horizontal="left"/>
    </xf>
    <xf numFmtId="0" fontId="30" fillId="3" borderId="0" xfId="0" applyFont="1" applyFill="1"/>
    <xf numFmtId="0" fontId="32" fillId="0" borderId="96" xfId="0" applyFont="1" applyBorder="1" applyAlignment="1">
      <alignment vertical="center"/>
    </xf>
    <xf numFmtId="0" fontId="0" fillId="0" borderId="0" xfId="0" applyAlignment="1">
      <alignment vertical="center"/>
    </xf>
    <xf numFmtId="0" fontId="33" fillId="0" borderId="96" xfId="0" applyFont="1" applyBorder="1" applyAlignment="1">
      <alignment vertical="center"/>
    </xf>
    <xf numFmtId="0" fontId="33" fillId="0" borderId="97" xfId="0" applyFont="1" applyBorder="1" applyAlignment="1">
      <alignment vertical="center"/>
    </xf>
    <xf numFmtId="37" fontId="33" fillId="0" borderId="98" xfId="0" applyNumberFormat="1" applyFont="1" applyBorder="1" applyAlignment="1">
      <alignment horizontal="center" vertical="center"/>
    </xf>
    <xf numFmtId="3" fontId="0" fillId="0" borderId="98" xfId="0" applyNumberFormat="1" applyBorder="1" applyAlignment="1">
      <alignment horizontal="center" vertical="center"/>
    </xf>
    <xf numFmtId="3" fontId="0" fillId="0" borderId="99" xfId="0" applyNumberFormat="1" applyBorder="1" applyAlignment="1">
      <alignment horizontal="center" vertical="center"/>
    </xf>
    <xf numFmtId="3" fontId="0" fillId="0" borderId="100" xfId="0" applyNumberFormat="1" applyBorder="1" applyAlignment="1">
      <alignment horizontal="center" vertical="center"/>
    </xf>
    <xf numFmtId="0" fontId="33" fillId="7" borderId="95" xfId="0" applyFont="1" applyFill="1" applyBorder="1" applyAlignment="1">
      <alignment horizontal="center"/>
    </xf>
    <xf numFmtId="0" fontId="33" fillId="8" borderId="95" xfId="0" applyFont="1" applyFill="1" applyBorder="1" applyAlignment="1">
      <alignment horizontal="center"/>
    </xf>
    <xf numFmtId="0" fontId="33" fillId="5" borderId="95" xfId="0" applyFont="1" applyFill="1" applyBorder="1" applyAlignment="1">
      <alignment horizontal="center"/>
    </xf>
    <xf numFmtId="3" fontId="32" fillId="0" borderId="98" xfId="0" applyNumberFormat="1" applyFont="1" applyBorder="1" applyAlignment="1">
      <alignment horizontal="center" vertical="center"/>
    </xf>
    <xf numFmtId="0" fontId="0" fillId="0" borderId="98" xfId="0" applyBorder="1" applyAlignment="1">
      <alignment vertical="center"/>
    </xf>
    <xf numFmtId="0" fontId="0" fillId="0" borderId="99" xfId="0" applyBorder="1" applyAlignment="1">
      <alignment vertical="center"/>
    </xf>
    <xf numFmtId="0" fontId="0" fillId="0" borderId="100" xfId="0" applyBorder="1" applyAlignment="1">
      <alignment vertical="center"/>
    </xf>
    <xf numFmtId="37" fontId="33" fillId="0" borderId="100" xfId="0" applyNumberFormat="1" applyFont="1" applyBorder="1" applyAlignment="1">
      <alignment horizontal="center" vertical="center"/>
    </xf>
    <xf numFmtId="3" fontId="32" fillId="6" borderId="98" xfId="0" applyNumberFormat="1" applyFont="1" applyFill="1" applyBorder="1" applyAlignment="1">
      <alignment horizontal="center" vertical="center"/>
    </xf>
    <xf numFmtId="3" fontId="0" fillId="6" borderId="98" xfId="0" applyNumberFormat="1" applyFill="1" applyBorder="1" applyAlignment="1">
      <alignment horizontal="center" vertical="center"/>
    </xf>
    <xf numFmtId="3" fontId="0" fillId="6" borderId="99" xfId="0" applyNumberFormat="1" applyFill="1" applyBorder="1" applyAlignment="1">
      <alignment horizontal="center" vertical="center"/>
    </xf>
    <xf numFmtId="3" fontId="0" fillId="6" borderId="100" xfId="0" applyNumberFormat="1" applyFill="1" applyBorder="1" applyAlignment="1">
      <alignment horizontal="center" vertical="center"/>
    </xf>
    <xf numFmtId="0" fontId="33" fillId="6" borderId="95" xfId="0" applyFont="1" applyFill="1" applyBorder="1" applyAlignment="1">
      <alignment horizontal="center"/>
    </xf>
    <xf numFmtId="3" fontId="7" fillId="0" borderId="0" xfId="0" applyNumberFormat="1" applyFont="1"/>
    <xf numFmtId="0" fontId="13" fillId="0" borderId="0" xfId="0" applyFont="1"/>
    <xf numFmtId="0" fontId="37" fillId="0" borderId="0" xfId="0" applyFont="1" applyAlignment="1">
      <alignment horizontal="center"/>
    </xf>
    <xf numFmtId="3" fontId="37" fillId="0" borderId="0" xfId="0" applyNumberFormat="1" applyFont="1" applyAlignment="1">
      <alignment horizontal="center"/>
    </xf>
    <xf numFmtId="39" fontId="10" fillId="3" borderId="12" xfId="0" applyNumberFormat="1" applyFont="1" applyFill="1" applyBorder="1"/>
    <xf numFmtId="0" fontId="21" fillId="2" borderId="101" xfId="0" applyFont="1" applyFill="1" applyBorder="1"/>
    <xf numFmtId="0" fontId="21" fillId="2" borderId="102" xfId="0" applyFont="1" applyFill="1" applyBorder="1"/>
    <xf numFmtId="0" fontId="21" fillId="2" borderId="102" xfId="0" applyFont="1" applyFill="1" applyBorder="1" applyAlignment="1">
      <alignment horizontal="center"/>
    </xf>
    <xf numFmtId="167" fontId="21" fillId="2" borderId="102" xfId="0" applyNumberFormat="1" applyFont="1" applyFill="1" applyBorder="1"/>
    <xf numFmtId="37" fontId="21" fillId="2" borderId="103" xfId="0" applyNumberFormat="1" applyFont="1" applyFill="1" applyBorder="1"/>
    <xf numFmtId="37" fontId="21" fillId="2" borderId="102" xfId="0" applyNumberFormat="1" applyFont="1" applyFill="1" applyBorder="1"/>
    <xf numFmtId="37" fontId="21" fillId="2" borderId="104" xfId="0" applyNumberFormat="1" applyFont="1" applyFill="1" applyBorder="1"/>
    <xf numFmtId="167" fontId="21" fillId="2" borderId="105" xfId="0" applyNumberFormat="1" applyFont="1" applyFill="1" applyBorder="1"/>
    <xf numFmtId="37" fontId="21" fillId="2" borderId="106" xfId="0" applyNumberFormat="1" applyFont="1" applyFill="1" applyBorder="1"/>
    <xf numFmtId="167" fontId="21" fillId="2" borderId="107" xfId="0" applyNumberFormat="1" applyFont="1" applyFill="1" applyBorder="1"/>
    <xf numFmtId="10" fontId="9" fillId="0" borderId="0" xfId="0" applyNumberFormat="1" applyFont="1"/>
    <xf numFmtId="172" fontId="9" fillId="0" borderId="0" xfId="0" applyNumberFormat="1" applyFont="1"/>
    <xf numFmtId="0" fontId="39" fillId="0" borderId="0" xfId="0" applyFont="1" applyAlignment="1">
      <alignment horizontal="center"/>
    </xf>
    <xf numFmtId="0" fontId="39" fillId="0" borderId="0" xfId="0" applyFont="1"/>
    <xf numFmtId="0" fontId="8" fillId="0" borderId="0" xfId="0" quotePrefix="1" applyFont="1"/>
    <xf numFmtId="3" fontId="9" fillId="0" borderId="108" xfId="0" applyNumberFormat="1" applyFont="1" applyBorder="1"/>
    <xf numFmtId="3" fontId="9" fillId="0" borderId="109" xfId="0" applyNumberFormat="1" applyFont="1" applyBorder="1"/>
    <xf numFmtId="3" fontId="9" fillId="0" borderId="110" xfId="0" applyNumberFormat="1" applyFont="1" applyBorder="1"/>
    <xf numFmtId="0" fontId="9" fillId="0" borderId="0" xfId="0" quotePrefix="1" applyFont="1"/>
    <xf numFmtId="0" fontId="9" fillId="2" borderId="111" xfId="0" applyFont="1" applyFill="1" applyBorder="1"/>
    <xf numFmtId="37" fontId="10" fillId="2" borderId="112" xfId="0" applyNumberFormat="1" applyFont="1" applyFill="1" applyBorder="1"/>
    <xf numFmtId="39" fontId="12" fillId="0" borderId="113" xfId="0" applyNumberFormat="1" applyFont="1" applyBorder="1"/>
    <xf numFmtId="2" fontId="10" fillId="0" borderId="8" xfId="0" applyNumberFormat="1" applyFont="1" applyBorder="1"/>
    <xf numFmtId="0" fontId="9" fillId="0" borderId="23" xfId="0" applyFont="1" applyBorder="1"/>
    <xf numFmtId="0" fontId="9" fillId="0" borderId="15" xfId="0" applyFont="1" applyBorder="1"/>
    <xf numFmtId="37" fontId="9" fillId="0" borderId="73" xfId="0" applyNumberFormat="1" applyFont="1" applyBorder="1"/>
    <xf numFmtId="10" fontId="9" fillId="0" borderId="8" xfId="0" applyNumberFormat="1" applyFont="1" applyBorder="1"/>
    <xf numFmtId="0" fontId="9" fillId="0" borderId="13" xfId="0" applyFont="1" applyBorder="1" applyAlignment="1">
      <alignment horizontal="center"/>
    </xf>
    <xf numFmtId="1" fontId="0" fillId="0" borderId="0" xfId="0" applyNumberFormat="1"/>
    <xf numFmtId="173" fontId="0" fillId="0" borderId="0" xfId="0" applyNumberFormat="1"/>
    <xf numFmtId="10" fontId="20" fillId="0" borderId="0" xfId="0" applyNumberFormat="1" applyFont="1"/>
    <xf numFmtId="1" fontId="20" fillId="0" borderId="0" xfId="0" applyNumberFormat="1" applyFont="1"/>
    <xf numFmtId="10" fontId="20" fillId="0" borderId="0" xfId="0" applyNumberFormat="1" applyFont="1" applyAlignment="1">
      <alignment horizontal="center"/>
    </xf>
    <xf numFmtId="173" fontId="20" fillId="0" borderId="0" xfId="0" applyNumberFormat="1" applyFont="1"/>
    <xf numFmtId="1" fontId="23" fillId="0" borderId="0" xfId="0" applyNumberFormat="1" applyFont="1"/>
    <xf numFmtId="10" fontId="23" fillId="0" borderId="0" xfId="0" applyNumberFormat="1" applyFont="1"/>
    <xf numFmtId="173" fontId="23" fillId="0" borderId="0" xfId="0" applyNumberFormat="1" applyFont="1"/>
    <xf numFmtId="3" fontId="40" fillId="0" borderId="0" xfId="0" applyNumberFormat="1" applyFont="1"/>
    <xf numFmtId="3" fontId="20" fillId="0" borderId="0" xfId="0" applyNumberFormat="1" applyFont="1"/>
    <xf numFmtId="10" fontId="20" fillId="0" borderId="0" xfId="0" quotePrefix="1" applyNumberFormat="1" applyFont="1"/>
    <xf numFmtId="1" fontId="20" fillId="0" borderId="0" xfId="0" quotePrefix="1" applyNumberFormat="1" applyFont="1"/>
    <xf numFmtId="0" fontId="20" fillId="0" borderId="0" xfId="0" quotePrefix="1" applyFont="1"/>
    <xf numFmtId="0" fontId="20" fillId="9" borderId="0" xfId="0" applyFont="1" applyFill="1"/>
    <xf numFmtId="167" fontId="21" fillId="2" borderId="86" xfId="0" applyNumberFormat="1" applyFont="1" applyFill="1" applyBorder="1"/>
    <xf numFmtId="10" fontId="21" fillId="0" borderId="0" xfId="0" applyNumberFormat="1" applyFont="1"/>
    <xf numFmtId="10" fontId="8" fillId="0" borderId="0" xfId="0" applyNumberFormat="1" applyFont="1"/>
    <xf numFmtId="37" fontId="8" fillId="0" borderId="0" xfId="0" applyNumberFormat="1" applyFont="1"/>
    <xf numFmtId="1" fontId="9" fillId="0" borderId="0" xfId="0" applyNumberFormat="1" applyFont="1"/>
    <xf numFmtId="1" fontId="9" fillId="0" borderId="12" xfId="0" applyNumberFormat="1" applyFont="1" applyBorder="1"/>
    <xf numFmtId="1" fontId="9" fillId="0" borderId="7" xfId="0" applyNumberFormat="1" applyFont="1" applyBorder="1"/>
    <xf numFmtId="0" fontId="20" fillId="10" borderId="0" xfId="0" applyFont="1" applyFill="1"/>
    <xf numFmtId="37" fontId="20" fillId="9" borderId="0" xfId="0" applyNumberFormat="1" applyFont="1" applyFill="1"/>
    <xf numFmtId="37" fontId="20" fillId="11" borderId="0" xfId="0" applyNumberFormat="1" applyFont="1" applyFill="1"/>
    <xf numFmtId="0" fontId="8" fillId="5" borderId="0" xfId="0" applyFont="1" applyFill="1"/>
    <xf numFmtId="0" fontId="9" fillId="5" borderId="0" xfId="0" applyFont="1" applyFill="1"/>
    <xf numFmtId="0" fontId="20" fillId="5" borderId="0" xfId="0" applyFont="1" applyFill="1"/>
    <xf numFmtId="167" fontId="21" fillId="2" borderId="103" xfId="0" applyNumberFormat="1" applyFont="1" applyFill="1" applyBorder="1"/>
    <xf numFmtId="0" fontId="33" fillId="7" borderId="95" xfId="0" applyFont="1" applyFill="1" applyBorder="1" applyAlignment="1">
      <alignment horizontal="center" vertical="center"/>
    </xf>
    <xf numFmtId="0" fontId="33" fillId="8" borderId="95" xfId="0" applyFont="1" applyFill="1" applyBorder="1" applyAlignment="1">
      <alignment horizontal="center" vertical="center"/>
    </xf>
    <xf numFmtId="0" fontId="33" fillId="6" borderId="95" xfId="0" applyFont="1" applyFill="1" applyBorder="1" applyAlignment="1">
      <alignment horizontal="center" vertical="center"/>
    </xf>
    <xf numFmtId="0" fontId="33" fillId="5" borderId="95" xfId="0" applyFont="1" applyFill="1" applyBorder="1" applyAlignment="1">
      <alignment horizontal="center" vertical="center"/>
    </xf>
    <xf numFmtId="0" fontId="10" fillId="0" borderId="49" xfId="0" applyFont="1" applyBorder="1" applyAlignment="1">
      <alignment horizontal="center"/>
    </xf>
    <xf numFmtId="0" fontId="11" fillId="0" borderId="50" xfId="0" applyFont="1" applyBorder="1"/>
    <xf numFmtId="0" fontId="10" fillId="0" borderId="2" xfId="0" applyFont="1" applyBorder="1" applyAlignment="1">
      <alignment horizontal="center"/>
    </xf>
    <xf numFmtId="0" fontId="11" fillId="0" borderId="2" xfId="0" applyFont="1" applyBorder="1"/>
    <xf numFmtId="0" fontId="11" fillId="0" borderId="3" xfId="0" applyFont="1" applyBorder="1"/>
    <xf numFmtId="0" fontId="10" fillId="0" borderId="4" xfId="0" applyFont="1" applyBorder="1" applyAlignment="1">
      <alignment horizontal="center"/>
    </xf>
    <xf numFmtId="0" fontId="10" fillId="0" borderId="65" xfId="0" applyFont="1" applyBorder="1" applyAlignment="1">
      <alignment horizontal="center" vertical="center"/>
    </xf>
    <xf numFmtId="0" fontId="11" fillId="0" borderId="63" xfId="0" applyFont="1" applyBorder="1"/>
    <xf numFmtId="0" fontId="11" fillId="0" borderId="66" xfId="0" applyFont="1" applyBorder="1"/>
    <xf numFmtId="0" fontId="11" fillId="0" borderId="5" xfId="0" applyFont="1" applyBorder="1"/>
    <xf numFmtId="0" fontId="10" fillId="0" borderId="63" xfId="0" applyFont="1" applyBorder="1" applyAlignment="1">
      <alignment horizontal="center" vertical="center"/>
    </xf>
    <xf numFmtId="0" fontId="11" fillId="0" borderId="64" xfId="0" applyFont="1" applyBorder="1"/>
  </cellXfs>
  <cellStyles count="16">
    <cellStyle name="Milliers 2" xfId="6" xr:uid="{00000000-0005-0000-0000-000001000000}"/>
    <cellStyle name="Milliers 3" xfId="12" xr:uid="{2971D271-07C3-42EA-AF54-CA19A237EB8E}"/>
    <cellStyle name="Monétaire 2" xfId="3" xr:uid="{00000000-0005-0000-0000-000002000000}"/>
    <cellStyle name="Monétaire 3" xfId="8" xr:uid="{00000000-0005-0000-0000-000003000000}"/>
    <cellStyle name="Normal" xfId="0" builtinId="0"/>
    <cellStyle name="Normal 12" xfId="15" xr:uid="{38AAD80B-D2B1-4EDC-AF3A-6BEE5BDF1226}"/>
    <cellStyle name="Normal 2" xfId="2" xr:uid="{00000000-0005-0000-0000-000005000000}"/>
    <cellStyle name="Normal 3" xfId="4" xr:uid="{00000000-0005-0000-0000-000006000000}"/>
    <cellStyle name="Normal 4" xfId="5" xr:uid="{00000000-0005-0000-0000-000007000000}"/>
    <cellStyle name="Normal 5" xfId="10" xr:uid="{51C4BCB6-FF3C-47B5-9E50-8775982480A2}"/>
    <cellStyle name="Normal 6" xfId="11" xr:uid="{C658EC4B-DAA5-46C8-9908-7D394852AE7F}"/>
    <cellStyle name="Normal 7" xfId="9" xr:uid="{22EAD058-5ED6-4E84-8564-A06058AFEAAD}"/>
    <cellStyle name="Normal 8" xfId="13" xr:uid="{E59814D8-4C8E-4B6D-8DEB-9295B6A31C96}"/>
    <cellStyle name="Pourcentage" xfId="1" builtinId="5"/>
    <cellStyle name="Pourcentage 2" xfId="7" xr:uid="{00000000-0005-0000-0000-000009000000}"/>
    <cellStyle name="Pourcentage 3" xfId="14" xr:uid="{B09CCB1C-0232-46FA-AAFA-AA26EA7AA4F5}"/>
  </cellStyles>
  <dxfs count="45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3:Q13"/>
  <sheetViews>
    <sheetView workbookViewId="0">
      <selection activeCell="C4" sqref="C4"/>
    </sheetView>
  </sheetViews>
  <sheetFormatPr baseColWidth="10" defaultRowHeight="14.25"/>
  <cols>
    <col min="1" max="1" width="14.875" customWidth="1"/>
    <col min="2" max="2" width="15.5" bestFit="1" customWidth="1"/>
    <col min="3" max="3" width="12.125" customWidth="1"/>
    <col min="4" max="5" width="11.125" customWidth="1"/>
    <col min="6" max="6" width="11.5" hidden="1" customWidth="1"/>
    <col min="7" max="7" width="12.625" hidden="1" customWidth="1"/>
    <col min="8" max="9" width="11" hidden="1" customWidth="1"/>
    <col min="10" max="10" width="11.5" bestFit="1" customWidth="1"/>
    <col min="11" max="11" width="11.75" customWidth="1"/>
    <col min="12" max="12" width="11" customWidth="1"/>
    <col min="14" max="14" width="11.5" bestFit="1" customWidth="1"/>
  </cols>
  <sheetData>
    <row r="3" spans="1:17" ht="15">
      <c r="B3" t="s">
        <v>206</v>
      </c>
      <c r="C3" s="440" t="s">
        <v>274</v>
      </c>
      <c r="P3" s="441"/>
      <c r="Q3" s="442"/>
    </row>
    <row r="5" spans="1:17" s="419" customFormat="1" ht="16.5" customHeight="1"/>
    <row r="6" spans="1:17" s="419" customFormat="1" ht="16.5" customHeight="1">
      <c r="B6" s="501" t="s">
        <v>198</v>
      </c>
      <c r="C6" s="501"/>
      <c r="D6" s="501"/>
      <c r="E6" s="501"/>
      <c r="F6" s="502" t="s">
        <v>199</v>
      </c>
      <c r="G6" s="502"/>
      <c r="H6" s="502"/>
      <c r="I6" s="502"/>
      <c r="J6" s="503" t="s">
        <v>200</v>
      </c>
      <c r="K6" s="503"/>
      <c r="L6" s="503"/>
      <c r="M6" s="503"/>
      <c r="N6" s="504" t="s">
        <v>201</v>
      </c>
      <c r="O6" s="504"/>
      <c r="P6" s="504"/>
      <c r="Q6" s="504"/>
    </row>
    <row r="7" spans="1:17" s="419" customFormat="1" ht="16.5" customHeight="1">
      <c r="A7"/>
      <c r="B7" s="426" t="s">
        <v>191</v>
      </c>
      <c r="C7" s="426" t="s">
        <v>192</v>
      </c>
      <c r="D7" s="426" t="s">
        <v>193</v>
      </c>
      <c r="E7" s="426" t="s">
        <v>194</v>
      </c>
      <c r="F7" s="427" t="s">
        <v>191</v>
      </c>
      <c r="G7" s="427" t="s">
        <v>192</v>
      </c>
      <c r="H7" s="427" t="s">
        <v>193</v>
      </c>
      <c r="I7" s="427" t="s">
        <v>194</v>
      </c>
      <c r="J7" s="438" t="s">
        <v>191</v>
      </c>
      <c r="K7" s="438" t="s">
        <v>192</v>
      </c>
      <c r="L7" s="438" t="s">
        <v>193</v>
      </c>
      <c r="M7" s="438" t="s">
        <v>194</v>
      </c>
      <c r="N7" s="428" t="s">
        <v>191</v>
      </c>
      <c r="O7" s="428" t="s">
        <v>192</v>
      </c>
      <c r="P7" s="428" t="s">
        <v>193</v>
      </c>
      <c r="Q7" s="428" t="s">
        <v>194</v>
      </c>
    </row>
    <row r="8" spans="1:17" s="419" customFormat="1" ht="16.5" customHeight="1">
      <c r="A8" s="418" t="s">
        <v>197</v>
      </c>
      <c r="B8" s="429">
        <f t="shared" ref="B8:Q8" si="0">+B9-B10</f>
        <v>0</v>
      </c>
      <c r="C8" s="429">
        <f t="shared" si="0"/>
        <v>0</v>
      </c>
      <c r="D8" s="429">
        <f t="shared" si="0"/>
        <v>0</v>
      </c>
      <c r="E8" s="429">
        <f t="shared" si="0"/>
        <v>0</v>
      </c>
      <c r="F8" s="429">
        <f t="shared" si="0"/>
        <v>0</v>
      </c>
      <c r="G8" s="429">
        <f t="shared" si="0"/>
        <v>0</v>
      </c>
      <c r="H8" s="429">
        <f t="shared" si="0"/>
        <v>0</v>
      </c>
      <c r="I8" s="429">
        <f t="shared" si="0"/>
        <v>0</v>
      </c>
      <c r="J8" s="434">
        <f t="shared" si="0"/>
        <v>0</v>
      </c>
      <c r="K8" s="434">
        <f t="shared" si="0"/>
        <v>0</v>
      </c>
      <c r="L8" s="434">
        <f t="shared" si="0"/>
        <v>0</v>
      </c>
      <c r="M8" s="434">
        <f t="shared" si="0"/>
        <v>0</v>
      </c>
      <c r="N8" s="429">
        <f t="shared" si="0"/>
        <v>0</v>
      </c>
      <c r="O8" s="429">
        <f t="shared" si="0"/>
        <v>0</v>
      </c>
      <c r="P8" s="429">
        <f t="shared" si="0"/>
        <v>0</v>
      </c>
      <c r="Q8" s="429">
        <f t="shared" si="0"/>
        <v>0</v>
      </c>
    </row>
    <row r="9" spans="1:17" s="419" customFormat="1" ht="16.5" customHeight="1">
      <c r="A9" s="420" t="s">
        <v>195</v>
      </c>
      <c r="B9" s="422">
        <f>+Conso!$Z$406</f>
        <v>15185800.902607024</v>
      </c>
      <c r="C9" s="422">
        <f>+Conso!$Z$407</f>
        <v>1407169.0273006831</v>
      </c>
      <c r="D9" s="422">
        <f>+Conso!$Z$483</f>
        <v>489345.5820079121</v>
      </c>
      <c r="E9" s="422">
        <f>+Conso!$Z$498</f>
        <v>439173.12299151864</v>
      </c>
      <c r="F9" s="422">
        <f>+Conso!$AC$406</f>
        <v>0</v>
      </c>
      <c r="G9" s="422">
        <f>+Conso!$AC$407</f>
        <v>0</v>
      </c>
      <c r="H9" s="422">
        <f>+Conso!$AC$483</f>
        <v>0</v>
      </c>
      <c r="I9" s="422">
        <f>+Conso!$AC$498</f>
        <v>0</v>
      </c>
      <c r="J9" s="422">
        <f>+Conso!$AF$406</f>
        <v>14964562.33</v>
      </c>
      <c r="K9" s="422">
        <f>+Conso!$AF$407</f>
        <v>1704496.65</v>
      </c>
      <c r="L9" s="422">
        <f>+Conso!$AF$483</f>
        <v>672704.8600000001</v>
      </c>
      <c r="M9" s="422">
        <f>+Conso!$AF$498</f>
        <v>622532.40000000014</v>
      </c>
      <c r="N9" s="422">
        <f>+Conso!$AL$406</f>
        <v>14216826.58999997</v>
      </c>
      <c r="O9" s="422">
        <f>+Conso!$AL$407</f>
        <v>1370046.1699999988</v>
      </c>
      <c r="P9" s="422">
        <f>+Conso!$AL$483</f>
        <v>417861.04999999882</v>
      </c>
      <c r="Q9" s="422">
        <f>+Conso!$AL$498</f>
        <v>376253.27999999881</v>
      </c>
    </row>
    <row r="10" spans="1:17" s="419" customFormat="1" ht="16.5" customHeight="1">
      <c r="A10" s="421" t="s">
        <v>196</v>
      </c>
      <c r="B10" s="433">
        <f>+SUM(B11:B13)</f>
        <v>15185800.902607024</v>
      </c>
      <c r="C10" s="433">
        <f t="shared" ref="C10:Q10" si="1">+SUM(C11:C13)</f>
        <v>1407169.0273006833</v>
      </c>
      <c r="D10" s="433">
        <f t="shared" si="1"/>
        <v>489345.58200791222</v>
      </c>
      <c r="E10" s="433">
        <f t="shared" si="1"/>
        <v>439173.12299151876</v>
      </c>
      <c r="F10" s="433">
        <f t="shared" si="1"/>
        <v>0</v>
      </c>
      <c r="G10" s="433">
        <f t="shared" si="1"/>
        <v>0</v>
      </c>
      <c r="H10" s="433">
        <f t="shared" si="1"/>
        <v>0</v>
      </c>
      <c r="I10" s="433">
        <f t="shared" si="1"/>
        <v>0</v>
      </c>
      <c r="J10" s="433">
        <f t="shared" si="1"/>
        <v>14964562.330000002</v>
      </c>
      <c r="K10" s="433">
        <f t="shared" si="1"/>
        <v>1704496.6499999997</v>
      </c>
      <c r="L10" s="433">
        <f t="shared" si="1"/>
        <v>672704.85999999987</v>
      </c>
      <c r="M10" s="433">
        <f t="shared" si="1"/>
        <v>622532.39999999979</v>
      </c>
      <c r="N10" s="433">
        <f t="shared" si="1"/>
        <v>14216826.58999997</v>
      </c>
      <c r="O10" s="433">
        <f t="shared" si="1"/>
        <v>1370046.169999999</v>
      </c>
      <c r="P10" s="433">
        <f t="shared" si="1"/>
        <v>417861.04999999917</v>
      </c>
      <c r="Q10" s="433">
        <f t="shared" si="1"/>
        <v>376253.27999999921</v>
      </c>
    </row>
    <row r="11" spans="1:17" s="419" customFormat="1" ht="16.5" customHeight="1">
      <c r="A11" s="430" t="s">
        <v>203</v>
      </c>
      <c r="B11" s="423">
        <f>+'Mois 1'!$Z$406</f>
        <v>5499524.6424733466</v>
      </c>
      <c r="C11" s="423">
        <f>+'Mois 1'!$Z$407</f>
        <v>481039.74899517075</v>
      </c>
      <c r="D11" s="423">
        <f>+'Mois 1'!$Z$483</f>
        <v>167753.32434026626</v>
      </c>
      <c r="E11" s="423">
        <f>+'Mois 1'!$Z$498</f>
        <v>151000.86532387283</v>
      </c>
      <c r="F11" s="423">
        <f>+'Mois 1'!$AC$406</f>
        <v>0</v>
      </c>
      <c r="G11" s="423">
        <f>+'Mois 1'!$AC$407</f>
        <v>0</v>
      </c>
      <c r="H11" s="423">
        <f>+'Mois 1'!$AC$483</f>
        <v>0</v>
      </c>
      <c r="I11" s="423">
        <f>+'Mois 1'!$AC$498</f>
        <v>0</v>
      </c>
      <c r="J11" s="435">
        <f>+'Mois 1'!$AF$406</f>
        <v>4784256.5200000005</v>
      </c>
      <c r="K11" s="435">
        <f>+'Mois 1'!$AF$407</f>
        <v>587240.1399999999</v>
      </c>
      <c r="L11" s="435">
        <f>+'Mois 1'!$AF$483</f>
        <v>228206.28999999998</v>
      </c>
      <c r="M11" s="435">
        <f>+'Mois 1'!$AF$498</f>
        <v>211453.83</v>
      </c>
      <c r="N11" s="423">
        <f>+'Mois 1'!$AL$406</f>
        <v>5136322.2499999898</v>
      </c>
      <c r="O11" s="423">
        <f>+'Mois 1'!$AL$407</f>
        <v>471251.60999999964</v>
      </c>
      <c r="P11" s="423">
        <f>+'Mois 1'!$AL$483</f>
        <v>167576.76999999973</v>
      </c>
      <c r="Q11" s="423">
        <f>+'Mois 1'!$AL$498</f>
        <v>153682.17999999973</v>
      </c>
    </row>
    <row r="12" spans="1:17" s="419" customFormat="1" ht="16.5" customHeight="1">
      <c r="A12" s="431" t="s">
        <v>204</v>
      </c>
      <c r="B12" s="424">
        <f>+'Mois 2'!$Z$406</f>
        <v>5699550.7717298595</v>
      </c>
      <c r="C12" s="424">
        <f>+'Mois 2'!$Z$407</f>
        <v>542294.20025272341</v>
      </c>
      <c r="D12" s="424">
        <f>+'Mois 2'!$Z$483</f>
        <v>245489.65307618538</v>
      </c>
      <c r="E12" s="424">
        <f>+'Mois 2'!$Z$498</f>
        <v>228822.11209257881</v>
      </c>
      <c r="F12" s="424">
        <f>+'Mois 2'!$AC$406</f>
        <v>0</v>
      </c>
      <c r="G12" s="424">
        <f>+'Mois 2'!$AC$407</f>
        <v>0</v>
      </c>
      <c r="H12" s="424">
        <f>+'Mois 2'!$AC$483</f>
        <v>0</v>
      </c>
      <c r="I12" s="424">
        <f>+'Mois 2'!$AC$498</f>
        <v>0</v>
      </c>
      <c r="J12" s="436">
        <f>+'Mois 2'!$AF$406</f>
        <v>6366734.2600000007</v>
      </c>
      <c r="K12" s="436">
        <f>+'Mois 2'!$AF$407</f>
        <v>656700.21999999974</v>
      </c>
      <c r="L12" s="436">
        <f>+'Mois 2'!$AF$483</f>
        <v>337737.46999999974</v>
      </c>
      <c r="M12" s="436">
        <f>+'Mois 2'!$AF$498</f>
        <v>321069.92999999976</v>
      </c>
      <c r="N12" s="424">
        <f>+'Mois 2'!$AL$406</f>
        <v>5500461.7199999904</v>
      </c>
      <c r="O12" s="424">
        <f>+'Mois 2'!$AL$407</f>
        <v>570108.11999999976</v>
      </c>
      <c r="P12" s="424">
        <f>+'Mois 2'!$AL$483</f>
        <v>224884.23999999982</v>
      </c>
      <c r="Q12" s="424">
        <f>+'Mois 2'!$AL$498</f>
        <v>211225.48999999982</v>
      </c>
    </row>
    <row r="13" spans="1:17">
      <c r="A13" s="432" t="s">
        <v>205</v>
      </c>
      <c r="B13" s="425">
        <f>+'Mois 3'!$Z$406</f>
        <v>3986725.4884038181</v>
      </c>
      <c r="C13" s="425">
        <f>+'Mois 3'!$Z$407</f>
        <v>383835.07805278909</v>
      </c>
      <c r="D13" s="425">
        <f>+'Mois 3'!$Z$483</f>
        <v>76102.60459146052</v>
      </c>
      <c r="E13" s="425">
        <f>+'Mois 3'!$Z$498</f>
        <v>59350.145575067079</v>
      </c>
      <c r="F13" s="425">
        <f>+'Mois 3'!$AC$406</f>
        <v>0</v>
      </c>
      <c r="G13" s="425">
        <f>+'Mois 3'!$AC$407</f>
        <v>0</v>
      </c>
      <c r="H13" s="425">
        <f>+'Mois 3'!$AC$483</f>
        <v>0</v>
      </c>
      <c r="I13" s="425">
        <f>+'Mois 3'!$AC$498</f>
        <v>0</v>
      </c>
      <c r="J13" s="437">
        <f>+'Mois 3'!$AF$406</f>
        <v>3813571.5500000003</v>
      </c>
      <c r="K13" s="437">
        <f>+'Mois 3'!$AF$407</f>
        <v>460556.29000000004</v>
      </c>
      <c r="L13" s="437">
        <f>+'Mois 3'!$AF$483</f>
        <v>106761.10000000003</v>
      </c>
      <c r="M13" s="437">
        <f>+'Mois 3'!$AF$498</f>
        <v>90008.640000000029</v>
      </c>
      <c r="N13" s="425">
        <f>+'Mois 3'!$AL$406</f>
        <v>3580042.6199999894</v>
      </c>
      <c r="O13" s="425">
        <f>+'Mois 3'!$AL$407</f>
        <v>328686.43999999954</v>
      </c>
      <c r="P13" s="425">
        <f>+'Mois 3'!$AL$483</f>
        <v>25400.03999999963</v>
      </c>
      <c r="Q13" s="425">
        <f>+'Mois 3'!$AL$498</f>
        <v>11345.60999999963</v>
      </c>
    </row>
  </sheetData>
  <mergeCells count="4">
    <mergeCell ref="B6:E6"/>
    <mergeCell ref="F6:I6"/>
    <mergeCell ref="J6:M6"/>
    <mergeCell ref="N6:Q6"/>
  </mergeCells>
  <phoneticPr fontId="3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702"/>
  <sheetViews>
    <sheetView tabSelected="1" view="pageBreakPreview" topLeftCell="A82" zoomScale="60" zoomScaleNormal="70" workbookViewId="0">
      <selection activeCell="V108" sqref="V108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tr">
        <f>CONCATENATE("Réalisé"," ",Paramètre!$C$2," ",Paramètre!$C$3)</f>
        <v>Réalisé  Q2 2025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56" t="s">
        <v>2</v>
      </c>
      <c r="E2" s="456" t="s">
        <v>3</v>
      </c>
      <c r="F2" s="456" t="s">
        <v>4</v>
      </c>
      <c r="G2" s="456" t="s">
        <v>2</v>
      </c>
      <c r="H2" s="456" t="s">
        <v>3</v>
      </c>
      <c r="I2" s="456" t="s">
        <v>4</v>
      </c>
      <c r="J2" s="456"/>
      <c r="K2" s="456"/>
      <c r="L2" s="456"/>
      <c r="M2" s="457"/>
      <c r="N2" s="457"/>
      <c r="O2" s="456"/>
      <c r="P2" s="456"/>
      <c r="Q2" s="456"/>
      <c r="R2" s="10"/>
      <c r="S2" s="10"/>
      <c r="T2" s="10"/>
      <c r="U2" s="10"/>
    </row>
    <row r="3" spans="1:40" ht="21" thickTop="1">
      <c r="B3" s="11"/>
      <c r="C3" s="12"/>
      <c r="D3" s="507" t="s">
        <v>5</v>
      </c>
      <c r="E3" s="508"/>
      <c r="F3" s="509"/>
      <c r="G3" s="510" t="s">
        <v>6</v>
      </c>
      <c r="H3" s="508"/>
      <c r="I3" s="509"/>
      <c r="J3" s="510" t="s">
        <v>7</v>
      </c>
      <c r="K3" s="508"/>
      <c r="L3" s="509"/>
      <c r="M3" s="510" t="s">
        <v>213</v>
      </c>
      <c r="N3" s="509"/>
      <c r="O3" s="507" t="s">
        <v>8</v>
      </c>
      <c r="P3" s="508"/>
      <c r="Q3" s="509"/>
      <c r="R3" s="505" t="s">
        <v>214</v>
      </c>
      <c r="S3" s="506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 t="s">
        <v>10</v>
      </c>
      <c r="H4" s="16" t="s">
        <v>11</v>
      </c>
      <c r="I4" s="17" t="s">
        <v>12</v>
      </c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13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f>+SUM(START:END!F5)</f>
        <v>8475668.9916047379</v>
      </c>
      <c r="G5" s="23"/>
      <c r="H5" s="21"/>
      <c r="I5" s="24">
        <f>+SUM(START:END!I5)</f>
        <v>0</v>
      </c>
      <c r="J5" s="23"/>
      <c r="K5" s="25"/>
      <c r="L5" s="22">
        <f>+SUM(START:END!L5)</f>
        <v>8603227.3399999999</v>
      </c>
      <c r="M5" s="26"/>
      <c r="N5" s="27"/>
      <c r="O5" s="23"/>
      <c r="P5" s="25"/>
      <c r="Q5" s="22">
        <f>+SUM(START:END!Q5)</f>
        <v>7795730.7099999897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:A85" si="1">+B6&amp;C6</f>
        <v>Véhicules neufsAutos détail</v>
      </c>
      <c r="B6" s="11" t="str">
        <f t="shared" si="0"/>
        <v>Véhicules neufs</v>
      </c>
      <c r="C6" s="29" t="s">
        <v>15</v>
      </c>
      <c r="D6" s="30">
        <f>+SUM(START:END!D6)</f>
        <v>28</v>
      </c>
      <c r="E6" s="30">
        <f>IF(D6=0,0,F6/D6)</f>
        <v>4306.395348837209</v>
      </c>
      <c r="F6" s="30">
        <f>+SUM(START:END!F6)</f>
        <v>120579.06976744185</v>
      </c>
      <c r="G6" s="31">
        <f>+SUM(START:END!G6)</f>
        <v>0</v>
      </c>
      <c r="H6" s="30">
        <f>IF(G6=0,0,I6/G6)</f>
        <v>0</v>
      </c>
      <c r="I6" s="30">
        <f>+SUM(START:END!I6)</f>
        <v>0</v>
      </c>
      <c r="J6" s="31">
        <f>+SUM(START:END!J6)</f>
        <v>27</v>
      </c>
      <c r="K6" s="30">
        <f>IF(J6=0,0,L6/J6)</f>
        <v>5997.1281481481465</v>
      </c>
      <c r="L6" s="32">
        <f>+SUM(START:END!L6)</f>
        <v>161922.45999999996</v>
      </c>
      <c r="M6" s="31">
        <f t="shared" ref="M6:M12" si="2">J6-D6</f>
        <v>-1</v>
      </c>
      <c r="N6" s="33">
        <f t="shared" ref="N6:N12" si="3">L6-F6</f>
        <v>41343.390232558115</v>
      </c>
      <c r="O6" s="31">
        <f>+SUM(START:END!O6)</f>
        <v>32</v>
      </c>
      <c r="P6" s="30">
        <f>IF(O6=0,0,Q6/O6)</f>
        <v>4953.7665625000063</v>
      </c>
      <c r="Q6" s="32">
        <f>+SUM(START:END!Q6)</f>
        <v>158520.5300000002</v>
      </c>
      <c r="R6" s="31">
        <f>J6-O6</f>
        <v>-5</v>
      </c>
      <c r="S6" s="34">
        <f>L6-Q6</f>
        <v>3401.9299999997602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 t="shared" si="1"/>
        <v>Véhicules neufsCamions détail</v>
      </c>
      <c r="B7" s="11" t="str">
        <f t="shared" si="0"/>
        <v>Véhicules neufs</v>
      </c>
      <c r="C7" s="29" t="s">
        <v>16</v>
      </c>
      <c r="D7" s="30">
        <f>+SUM(START:END!D7)</f>
        <v>51</v>
      </c>
      <c r="E7" s="30">
        <f t="shared" ref="E7:E12" si="4">IF(D7=0,0,F7/D7)</f>
        <v>4000.3311258278145</v>
      </c>
      <c r="F7" s="30">
        <f>+SUM(START:END!F7)</f>
        <v>204016.88741721853</v>
      </c>
      <c r="G7" s="31">
        <f>+SUM(START:END!G7)</f>
        <v>0</v>
      </c>
      <c r="H7" s="30">
        <f t="shared" ref="H7:H12" si="5">IF(G7=0,0,I7/G7)</f>
        <v>0</v>
      </c>
      <c r="I7" s="30">
        <f>+SUM(START:END!I7)</f>
        <v>0</v>
      </c>
      <c r="J7" s="31">
        <f>+SUM(START:END!J7)</f>
        <v>45</v>
      </c>
      <c r="K7" s="30">
        <f t="shared" ref="K7:K12" si="6">IF(J7=0,0,L7/J7)</f>
        <v>4008.3437777777758</v>
      </c>
      <c r="L7" s="32">
        <f>+SUM(START:END!L7)</f>
        <v>180375.46999999991</v>
      </c>
      <c r="M7" s="31">
        <f t="shared" si="2"/>
        <v>-6</v>
      </c>
      <c r="N7" s="33">
        <f t="shared" si="3"/>
        <v>-23641.417417218618</v>
      </c>
      <c r="O7" s="31">
        <f>+SUM(START:END!O7)</f>
        <v>44</v>
      </c>
      <c r="P7" s="30">
        <f t="shared" ref="P7:P12" si="7">IF(O7=0,0,Q7/O7)</f>
        <v>4504.2815909090868</v>
      </c>
      <c r="Q7" s="32">
        <f>+SUM(START:END!Q7)</f>
        <v>198188.38999999981</v>
      </c>
      <c r="R7" s="31">
        <f t="shared" ref="R7:R12" si="8">J7-O7</f>
        <v>1</v>
      </c>
      <c r="S7" s="34">
        <f t="shared" ref="S7:S12" si="9">L7-Q7</f>
        <v>-17812.919999999896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 t="shared" si="1"/>
        <v>Véhicules neufsSprinter</v>
      </c>
      <c r="B8" s="11" t="str">
        <f t="shared" si="0"/>
        <v>Véhicules neufs</v>
      </c>
      <c r="C8" s="29" t="s">
        <v>17</v>
      </c>
      <c r="D8" s="30">
        <f>+SUM(START:END!D8)</f>
        <v>0</v>
      </c>
      <c r="E8" s="30">
        <f t="shared" si="4"/>
        <v>0</v>
      </c>
      <c r="F8" s="30">
        <f>+SUM(START:END!F8)</f>
        <v>0</v>
      </c>
      <c r="G8" s="31">
        <f>+SUM(START:END!G8)</f>
        <v>0</v>
      </c>
      <c r="H8" s="30">
        <f t="shared" si="5"/>
        <v>0</v>
      </c>
      <c r="I8" s="30">
        <f>+SUM(START:END!I8)</f>
        <v>0</v>
      </c>
      <c r="J8" s="31">
        <f>+SUM(START:END!J8)</f>
        <v>0</v>
      </c>
      <c r="K8" s="30">
        <f t="shared" si="6"/>
        <v>0</v>
      </c>
      <c r="L8" s="32">
        <f>+SUM(START:END!L8)</f>
        <v>0</v>
      </c>
      <c r="M8" s="31">
        <f t="shared" si="2"/>
        <v>0</v>
      </c>
      <c r="N8" s="33">
        <f t="shared" si="3"/>
        <v>0</v>
      </c>
      <c r="O8" s="31">
        <f>+SUM(START:END!O8)</f>
        <v>0</v>
      </c>
      <c r="P8" s="30">
        <f t="shared" si="7"/>
        <v>0</v>
      </c>
      <c r="Q8" s="32">
        <f>+SUM(START:END!Q8)</f>
        <v>0</v>
      </c>
      <c r="R8" s="31">
        <f t="shared" si="8"/>
        <v>0</v>
      </c>
      <c r="S8" s="34">
        <f t="shared" si="9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 t="shared" si="1"/>
        <v>Véhicules neufsMoto détail</v>
      </c>
      <c r="B9" s="11" t="str">
        <f t="shared" si="0"/>
        <v>Véhicules neufs</v>
      </c>
      <c r="C9" s="29" t="s">
        <v>18</v>
      </c>
      <c r="D9" s="30">
        <f>+SUM(START:END!D9)</f>
        <v>0</v>
      </c>
      <c r="E9" s="30">
        <f t="shared" si="4"/>
        <v>0</v>
      </c>
      <c r="F9" s="30">
        <f>+SUM(START:END!F9)</f>
        <v>0</v>
      </c>
      <c r="G9" s="31">
        <f>+SUM(START:END!G9)</f>
        <v>0</v>
      </c>
      <c r="H9" s="30">
        <f t="shared" si="5"/>
        <v>0</v>
      </c>
      <c r="I9" s="30">
        <f>+SUM(START:END!I9)</f>
        <v>0</v>
      </c>
      <c r="J9" s="31">
        <f>+SUM(START:END!J9)</f>
        <v>0</v>
      </c>
      <c r="K9" s="30">
        <f t="shared" si="6"/>
        <v>0</v>
      </c>
      <c r="L9" s="32">
        <f>+SUM(START:END!L9)</f>
        <v>0</v>
      </c>
      <c r="M9" s="31">
        <f t="shared" si="2"/>
        <v>0</v>
      </c>
      <c r="N9" s="33">
        <f t="shared" si="3"/>
        <v>0</v>
      </c>
      <c r="O9" s="31">
        <f>+SUM(START:END!O9)</f>
        <v>0</v>
      </c>
      <c r="P9" s="30">
        <f t="shared" si="7"/>
        <v>0</v>
      </c>
      <c r="Q9" s="32">
        <f>+SUM(START:END!Q9)</f>
        <v>0</v>
      </c>
      <c r="R9" s="31">
        <f t="shared" si="8"/>
        <v>0</v>
      </c>
      <c r="S9" s="34">
        <f t="shared" si="9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 t="shared" si="1"/>
        <v>Véhicules neufs[...]</v>
      </c>
      <c r="B10" s="11" t="str">
        <f t="shared" si="0"/>
        <v>Véhicules neufs</v>
      </c>
      <c r="C10" s="29" t="s">
        <v>19</v>
      </c>
      <c r="D10" s="30">
        <f>+SUM(START:END!D10)</f>
        <v>0</v>
      </c>
      <c r="E10" s="30">
        <f t="shared" si="4"/>
        <v>0</v>
      </c>
      <c r="F10" s="30">
        <f>+SUM(START:END!F10)</f>
        <v>0</v>
      </c>
      <c r="G10" s="31">
        <f>+SUM(START:END!G10)</f>
        <v>0</v>
      </c>
      <c r="H10" s="30">
        <f t="shared" si="5"/>
        <v>0</v>
      </c>
      <c r="I10" s="30">
        <f>+SUM(START:END!I10)</f>
        <v>0</v>
      </c>
      <c r="J10" s="31">
        <f>+SUM(START:END!J10)</f>
        <v>0</v>
      </c>
      <c r="K10" s="30">
        <f t="shared" si="6"/>
        <v>0</v>
      </c>
      <c r="L10" s="32">
        <f>+SUM(START:END!L10)</f>
        <v>0</v>
      </c>
      <c r="M10" s="31">
        <f t="shared" si="2"/>
        <v>0</v>
      </c>
      <c r="N10" s="33">
        <f t="shared" si="3"/>
        <v>0</v>
      </c>
      <c r="O10" s="31">
        <f>+SUM(START:END!O10)</f>
        <v>0</v>
      </c>
      <c r="P10" s="30">
        <f t="shared" si="7"/>
        <v>0</v>
      </c>
      <c r="Q10" s="32">
        <f>+SUM(START:END!Q10)</f>
        <v>0</v>
      </c>
      <c r="R10" s="31">
        <f t="shared" si="8"/>
        <v>0</v>
      </c>
      <c r="S10" s="34">
        <f t="shared" si="9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 t="shared" si="1"/>
        <v>Véhicules neufs[...]</v>
      </c>
      <c r="B11" s="11" t="str">
        <f t="shared" si="0"/>
        <v>Véhicules neufs</v>
      </c>
      <c r="C11" s="29" t="s">
        <v>19</v>
      </c>
      <c r="D11" s="30">
        <f>+SUM(START:END!D11)</f>
        <v>0</v>
      </c>
      <c r="E11" s="30">
        <f t="shared" si="4"/>
        <v>0</v>
      </c>
      <c r="F11" s="30">
        <f>+SUM(START:END!F11)</f>
        <v>0</v>
      </c>
      <c r="G11" s="31">
        <f>+SUM(START:END!G11)</f>
        <v>0</v>
      </c>
      <c r="H11" s="30">
        <f t="shared" si="5"/>
        <v>0</v>
      </c>
      <c r="I11" s="30">
        <f>+SUM(START:END!I11)</f>
        <v>0</v>
      </c>
      <c r="J11" s="31">
        <f>+SUM(START:END!J11)</f>
        <v>0</v>
      </c>
      <c r="K11" s="30">
        <f t="shared" si="6"/>
        <v>0</v>
      </c>
      <c r="L11" s="32">
        <f>+SUM(START:END!L11)</f>
        <v>0</v>
      </c>
      <c r="M11" s="31">
        <f t="shared" si="2"/>
        <v>0</v>
      </c>
      <c r="N11" s="33">
        <f t="shared" si="3"/>
        <v>0</v>
      </c>
      <c r="O11" s="31">
        <f>+SUM(START:END!O11)</f>
        <v>0</v>
      </c>
      <c r="P11" s="30">
        <f t="shared" si="7"/>
        <v>0</v>
      </c>
      <c r="Q11" s="32">
        <f>+SUM(START:END!Q11)</f>
        <v>0</v>
      </c>
      <c r="R11" s="31">
        <f t="shared" si="8"/>
        <v>0</v>
      </c>
      <c r="S11" s="34">
        <f t="shared" si="9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si="1"/>
        <v>Véhicules neufs[...]</v>
      </c>
      <c r="B12" s="11" t="str">
        <f t="shared" si="0"/>
        <v>Véhicules neufs</v>
      </c>
      <c r="C12" s="29" t="s">
        <v>19</v>
      </c>
      <c r="D12" s="30">
        <f>+SUM(START:END!D12)</f>
        <v>0</v>
      </c>
      <c r="E12" s="30">
        <f t="shared" si="4"/>
        <v>0</v>
      </c>
      <c r="F12" s="30">
        <f>+SUM(START:END!F12)</f>
        <v>0</v>
      </c>
      <c r="G12" s="31">
        <f>+SUM(START:END!G12)</f>
        <v>0</v>
      </c>
      <c r="H12" s="30">
        <f t="shared" si="5"/>
        <v>0</v>
      </c>
      <c r="I12" s="30">
        <f>+SUM(START:END!I12)</f>
        <v>0</v>
      </c>
      <c r="J12" s="31">
        <f>+SUM(START:END!J12)</f>
        <v>0</v>
      </c>
      <c r="K12" s="30">
        <f t="shared" si="6"/>
        <v>0</v>
      </c>
      <c r="L12" s="32">
        <f>+SUM(START:END!L12)</f>
        <v>0</v>
      </c>
      <c r="M12" s="31">
        <f t="shared" si="2"/>
        <v>0</v>
      </c>
      <c r="N12" s="33">
        <f t="shared" si="3"/>
        <v>0</v>
      </c>
      <c r="O12" s="31">
        <f>+SUM(START:END!O12)</f>
        <v>0</v>
      </c>
      <c r="P12" s="30">
        <f t="shared" si="7"/>
        <v>0</v>
      </c>
      <c r="Q12" s="32">
        <f>+SUM(START:END!Q12)</f>
        <v>0</v>
      </c>
      <c r="R12" s="31">
        <f t="shared" si="8"/>
        <v>0</v>
      </c>
      <c r="S12" s="34">
        <f t="shared" si="9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1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79</v>
      </c>
      <c r="E13" s="36">
        <f>IF(D13&lt;=0,0,F13/D13)</f>
        <v>4108.809584615954</v>
      </c>
      <c r="F13" s="37">
        <f>+SUM(F6:F12)</f>
        <v>324595.95718466036</v>
      </c>
      <c r="G13" s="38">
        <f>+SUM(G6:G12)</f>
        <v>0</v>
      </c>
      <c r="H13" s="36">
        <f>IF(G13&lt;=0,0,I13/G13)</f>
        <v>0</v>
      </c>
      <c r="I13" s="37">
        <f>+SUM(I6:I12)</f>
        <v>0</v>
      </c>
      <c r="J13" s="38">
        <f>+SUM(J6:J12)</f>
        <v>72</v>
      </c>
      <c r="K13" s="36">
        <f>IF(J13&lt;=0,0,L13/J13)</f>
        <v>4754.1379166666648</v>
      </c>
      <c r="L13" s="37">
        <f>+SUM(L6:L12)</f>
        <v>342297.92999999988</v>
      </c>
      <c r="M13" s="38">
        <f>+SUM(M6:M12)</f>
        <v>-7</v>
      </c>
      <c r="N13" s="37">
        <f>+SUM(N6:N12)</f>
        <v>17701.972815339497</v>
      </c>
      <c r="O13" s="38">
        <f>+SUM(O6:O12)</f>
        <v>76</v>
      </c>
      <c r="P13" s="36">
        <f>IF(O13&lt;=0,0,Q13/O13)</f>
        <v>4693.5384210526317</v>
      </c>
      <c r="Q13" s="37">
        <f>+SUM(Q6:Q12)</f>
        <v>356708.92000000004</v>
      </c>
      <c r="R13" s="38">
        <f>+SUM(R6:R12)</f>
        <v>-4</v>
      </c>
      <c r="S13" s="39">
        <f>+SUM(S6:S12)</f>
        <v>-14410.990000000136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1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-8.8607594936708861E-2</v>
      </c>
      <c r="N14" s="43">
        <f>IF(F13=0,0,N13/F13)</f>
        <v>5.4535407553671311E-2</v>
      </c>
      <c r="O14" s="41"/>
      <c r="P14" s="30"/>
      <c r="Q14" s="40"/>
      <c r="R14" s="42">
        <f>R13/O13</f>
        <v>-5.2631578947368418E-2</v>
      </c>
      <c r="S14" s="44">
        <f>IF(Q13=0,0,(S13/Q13))</f>
        <v>-4.0399858798036599E-2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1"/>
        <v>Véhicules neufsEx-Démos et courtoisies</v>
      </c>
      <c r="B15" s="11" t="str">
        <f t="shared" si="0"/>
        <v>Véhicules neufs</v>
      </c>
      <c r="C15" s="45" t="s">
        <v>21</v>
      </c>
      <c r="D15" s="25">
        <f>+SUM(START:END!D15)</f>
        <v>12</v>
      </c>
      <c r="E15" s="25">
        <f>IF(D15=0,0,F15/D15)</f>
        <v>750</v>
      </c>
      <c r="F15" s="22">
        <f>+SUM(START:END!F15)</f>
        <v>9000</v>
      </c>
      <c r="G15" s="46">
        <f>+SUM(START:END!G15)</f>
        <v>0</v>
      </c>
      <c r="H15" s="47">
        <f>IF(G15=0,0,I15/G15)</f>
        <v>0</v>
      </c>
      <c r="I15" s="48">
        <f>+SUM(START:END!I15)</f>
        <v>0</v>
      </c>
      <c r="J15" s="49">
        <f>+SUM(START:END!J15)</f>
        <v>21</v>
      </c>
      <c r="K15" s="50">
        <f>IF(J15=0,0,L15/J15)</f>
        <v>2815.8661904761852</v>
      </c>
      <c r="L15" s="50">
        <f>+SUM(START:END!L15)</f>
        <v>59133.189999999886</v>
      </c>
      <c r="M15" s="51">
        <f>J15-D15</f>
        <v>9</v>
      </c>
      <c r="N15" s="48">
        <f>L15-F15</f>
        <v>50133.189999999886</v>
      </c>
      <c r="O15" s="49">
        <f>+SUM(START:END!O15)</f>
        <v>11</v>
      </c>
      <c r="P15" s="50">
        <f>IF(O15=0,0,Q15/O15)</f>
        <v>1789.7654545454564</v>
      </c>
      <c r="Q15" s="50">
        <f>+SUM(START:END!Q15)</f>
        <v>19687.42000000002</v>
      </c>
      <c r="R15" s="51">
        <f>J15-O15</f>
        <v>10</v>
      </c>
      <c r="S15" s="52">
        <f>L15-Q15</f>
        <v>39445.769999999866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1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1"/>
        <v>Véhicules neufsFlottes</v>
      </c>
      <c r="B17" s="11" t="str">
        <f t="shared" si="0"/>
        <v>Véhicules neufs</v>
      </c>
      <c r="C17" s="53" t="s">
        <v>22</v>
      </c>
      <c r="D17" s="30">
        <f>+SUM(START:END!D17)</f>
        <v>1</v>
      </c>
      <c r="E17" s="30">
        <f>IF(D17=0,0,F17/D17)</f>
        <v>0</v>
      </c>
      <c r="F17" s="30">
        <f>+SUM(START:END!F17)</f>
        <v>0</v>
      </c>
      <c r="G17" s="31">
        <f>+SUM(START:END!G17)</f>
        <v>0</v>
      </c>
      <c r="H17" s="30">
        <f>IF(G17=0,0,I17/G17)</f>
        <v>0</v>
      </c>
      <c r="I17" s="30">
        <f>+SUM(START:END!I17)</f>
        <v>0</v>
      </c>
      <c r="J17" s="51">
        <f>+SUM(START:END!J17)</f>
        <v>0</v>
      </c>
      <c r="K17" s="30">
        <f>IF(J17=0,0,L17/J17)</f>
        <v>0</v>
      </c>
      <c r="L17" s="33">
        <f>+SUM(START:END!L17)</f>
        <v>0</v>
      </c>
      <c r="M17" s="51">
        <f>J17-D17</f>
        <v>-1</v>
      </c>
      <c r="N17" s="33">
        <f>L17-F17</f>
        <v>0</v>
      </c>
      <c r="O17" s="51">
        <f>+SUM(START:END!O17)</f>
        <v>0</v>
      </c>
      <c r="P17" s="30">
        <f>IF(O17=0,0,Q17/O17)</f>
        <v>0</v>
      </c>
      <c r="Q17" s="33">
        <f>+SUM(START:END!Q17)</f>
        <v>0</v>
      </c>
      <c r="R17" s="31">
        <f>J17-O17</f>
        <v>0</v>
      </c>
      <c r="S17" s="34">
        <f>L17-Q17</f>
        <v>0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1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1"/>
        <v>Véhicules neufsRachat bail</v>
      </c>
      <c r="B19" s="11" t="str">
        <f t="shared" si="0"/>
        <v>Véhicules neufs</v>
      </c>
      <c r="C19" s="45" t="s">
        <v>23</v>
      </c>
      <c r="D19" s="30"/>
      <c r="E19" s="30"/>
      <c r="F19" s="30">
        <f>+SUM(START:END!F19)</f>
        <v>10542.12540223731</v>
      </c>
      <c r="G19" s="31"/>
      <c r="H19" s="30"/>
      <c r="I19" s="30">
        <f>+SUM(START:END!I19)</f>
        <v>0</v>
      </c>
      <c r="J19" s="46"/>
      <c r="K19" s="30"/>
      <c r="L19" s="33">
        <f>+SUM(START:END!L19)</f>
        <v>7056.6399999999849</v>
      </c>
      <c r="M19" s="31"/>
      <c r="N19" s="33">
        <f>L19-F19</f>
        <v>-3485.4854022373256</v>
      </c>
      <c r="O19" s="46"/>
      <c r="P19" s="30"/>
      <c r="Q19" s="33">
        <f>+SUM(START:END!Q19)</f>
        <v>18390.399999999961</v>
      </c>
      <c r="R19" s="31">
        <f>O19-K19</f>
        <v>0</v>
      </c>
      <c r="S19" s="34">
        <f>L19-Q19</f>
        <v>-11333.759999999977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1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1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f>+SUM(START:END!F21)</f>
        <v>2275</v>
      </c>
      <c r="G21" s="41">
        <v>0</v>
      </c>
      <c r="H21" s="30">
        <f>IF(G21=0,0,I21/G21)</f>
        <v>0</v>
      </c>
      <c r="I21" s="30">
        <f>+SUM(START:END!I21)</f>
        <v>0</v>
      </c>
      <c r="J21" s="31"/>
      <c r="K21" s="30">
        <f>IF(J13=0,0,L21/(J13+J15))</f>
        <v>5.289354838709678</v>
      </c>
      <c r="L21" s="33">
        <f>+SUM(START:END!L21)</f>
        <v>491.91</v>
      </c>
      <c r="M21" s="31"/>
      <c r="N21" s="33">
        <f>L21-F21</f>
        <v>-1783.09</v>
      </c>
      <c r="O21" s="31"/>
      <c r="P21" s="30">
        <f>IF(O13=0,0,Q21/(O13+O15))</f>
        <v>-14.129999999999999</v>
      </c>
      <c r="Q21" s="33">
        <f>+SUM(START:END!Q21)</f>
        <v>-1229.31</v>
      </c>
      <c r="R21" s="31">
        <f>O21-K21</f>
        <v>-5.289354838709678</v>
      </c>
      <c r="S21" s="34">
        <f>L21-Q21</f>
        <v>1721.22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1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f>+SUM(START:END!F22)</f>
        <v>104650</v>
      </c>
      <c r="G22" s="41">
        <v>0</v>
      </c>
      <c r="H22" s="30">
        <f>IF(G22=0,0,I22/G22)</f>
        <v>0</v>
      </c>
      <c r="I22" s="30">
        <f>+SUM(START:END!I22)</f>
        <v>0</v>
      </c>
      <c r="J22" s="31"/>
      <c r="K22" s="30">
        <f>IF(J13=0,0,L22/(J13+J15))</f>
        <v>1464.190107526882</v>
      </c>
      <c r="L22" s="33">
        <f>+SUM(START:END!L22)</f>
        <v>136169.68000000002</v>
      </c>
      <c r="M22" s="31"/>
      <c r="N22" s="33">
        <f>L22-F22</f>
        <v>31519.680000000022</v>
      </c>
      <c r="O22" s="31"/>
      <c r="P22" s="30">
        <f>IF(O13=0,0,Q22/(O13+O15))</f>
        <v>1196.7452873563207</v>
      </c>
      <c r="Q22" s="33">
        <f>+SUM(START:END!Q22)</f>
        <v>104116.83999999989</v>
      </c>
      <c r="R22" s="31">
        <f>O22-K22</f>
        <v>-1464.190107526882</v>
      </c>
      <c r="S22" s="34">
        <f>L22-Q22</f>
        <v>32052.840000000127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1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f>+SUM(START:END!F23)</f>
        <v>43680</v>
      </c>
      <c r="G23" s="41">
        <v>0</v>
      </c>
      <c r="H23" s="30">
        <f>IF(G23=0,0,I23/G23)</f>
        <v>0</v>
      </c>
      <c r="I23" s="30">
        <f>+SUM(START:END!I23)</f>
        <v>0</v>
      </c>
      <c r="J23" s="31"/>
      <c r="K23" s="30">
        <f>IF(J13=0,0,L23/(J13+J15))</f>
        <v>802.8445161290324</v>
      </c>
      <c r="L23" s="33">
        <f>+SUM(START:END!L23)</f>
        <v>74664.540000000008</v>
      </c>
      <c r="M23" s="51"/>
      <c r="N23" s="33">
        <f>L23-F23</f>
        <v>30984.540000000008</v>
      </c>
      <c r="O23" s="31"/>
      <c r="P23" s="30">
        <f>IF(O13=0,0,Q23/(O13+O15))</f>
        <v>463.4148275862068</v>
      </c>
      <c r="Q23" s="33">
        <f>+SUM(START:END!Q23)</f>
        <v>40317.089999999989</v>
      </c>
      <c r="R23" s="31">
        <f>O23-K23</f>
        <v>-802.8445161290324</v>
      </c>
      <c r="S23" s="34">
        <f>L23-Q23</f>
        <v>34347.450000000019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1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91</v>
      </c>
      <c r="E24" s="36">
        <f>IF(D24&lt;=0,0,F24/D24)</f>
        <v>1655</v>
      </c>
      <c r="F24" s="37">
        <f>F21+F22+F23</f>
        <v>150605</v>
      </c>
      <c r="G24" s="38">
        <f>+G15+G13</f>
        <v>0</v>
      </c>
      <c r="H24" s="36">
        <f>IF(G24&lt;=0,0,I24/G24)</f>
        <v>0</v>
      </c>
      <c r="I24" s="37">
        <f>I21+I22+I23</f>
        <v>0</v>
      </c>
      <c r="J24" s="38">
        <f>+J15+J13</f>
        <v>93</v>
      </c>
      <c r="K24" s="36">
        <f>IF(J24&lt;=0,0,L24/J24)</f>
        <v>2272.323978494624</v>
      </c>
      <c r="L24" s="37">
        <f>L21+L22+L23</f>
        <v>211326.13000000003</v>
      </c>
      <c r="M24" s="58">
        <f>J24-D24</f>
        <v>2</v>
      </c>
      <c r="N24" s="37">
        <f>L24-F24</f>
        <v>60721.130000000034</v>
      </c>
      <c r="O24" s="38">
        <f>+O15+O13</f>
        <v>87</v>
      </c>
      <c r="P24" s="36">
        <f>IF(O24&lt;=0,0,Q24/O24)</f>
        <v>1646.0301149425272</v>
      </c>
      <c r="Q24" s="37">
        <f>Q21+Q22+Q23</f>
        <v>143204.61999999988</v>
      </c>
      <c r="R24" s="56"/>
      <c r="S24" s="39">
        <f>L24-Q24</f>
        <v>68121.510000000155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1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0.40318136848046238</v>
      </c>
      <c r="O25" s="41"/>
      <c r="P25" s="13"/>
      <c r="Q25" s="59"/>
      <c r="R25" s="60"/>
      <c r="S25" s="44">
        <f>IF(Q24=0,0,(S24/Q24))</f>
        <v>0.47569352161962519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1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1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92</v>
      </c>
      <c r="E27" s="64">
        <f>IF(D27&lt;=0,0,F27/D27)</f>
        <v>5377.6422020314958</v>
      </c>
      <c r="F27" s="65">
        <f>F13+F17+F24+F19+F15</f>
        <v>494743.08258689765</v>
      </c>
      <c r="G27" s="66">
        <f>+G13+G15+G17</f>
        <v>0</v>
      </c>
      <c r="H27" s="67">
        <f>IF(G27&lt;=0,0,I27/G27)</f>
        <v>0</v>
      </c>
      <c r="I27" s="65">
        <f>I13+I17+I24+I19+I15</f>
        <v>0</v>
      </c>
      <c r="J27" s="66">
        <f>+J13+J15+J17</f>
        <v>93</v>
      </c>
      <c r="K27" s="67">
        <f>IF(J27&lt;=0,0,L27/J27)</f>
        <v>6664.6654838709665</v>
      </c>
      <c r="L27" s="65">
        <f>L13+L17+L24+L19+L15</f>
        <v>619813.8899999999</v>
      </c>
      <c r="M27" s="66">
        <f>J27-D27</f>
        <v>1</v>
      </c>
      <c r="N27" s="65">
        <f>L27-F27</f>
        <v>125070.80741310224</v>
      </c>
      <c r="O27" s="66">
        <f>+O13+O15+O17</f>
        <v>87</v>
      </c>
      <c r="P27" s="67">
        <f>IF(O27&lt;=0,0,Q27/O27)</f>
        <v>6183.8087356321821</v>
      </c>
      <c r="Q27" s="65">
        <f>Q13+Q17+Q24+Q19+Q15</f>
        <v>537991.35999999987</v>
      </c>
      <c r="R27" s="66">
        <f>J27-O27</f>
        <v>6</v>
      </c>
      <c r="S27" s="68">
        <f>L27-Q27</f>
        <v>81822.530000000028</v>
      </c>
      <c r="T27" s="13"/>
      <c r="U27" s="13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1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1.0869565217391304E-2</v>
      </c>
      <c r="N28" s="74">
        <f>N27/F27</f>
        <v>0.25279950708787235</v>
      </c>
      <c r="O28" s="72"/>
      <c r="P28" s="70"/>
      <c r="Q28" s="71"/>
      <c r="R28" s="73">
        <f>R27/O27</f>
        <v>6.8965517241379309E-2</v>
      </c>
      <c r="S28" s="75">
        <f>IF(Q27=0,0,S27/Q27)</f>
        <v>0.15208892945790067</v>
      </c>
      <c r="T28" s="13"/>
      <c r="U28" s="13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1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1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1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0.28313336278087359</v>
      </c>
      <c r="E31" s="82">
        <f t="shared" ref="E31:E40" si="10">F31/D$24</f>
        <v>1037.9356611845849</v>
      </c>
      <c r="F31" s="30">
        <f>+SUM(START:END!F31)</f>
        <v>94452.145167797222</v>
      </c>
      <c r="G31" s="157"/>
      <c r="H31" s="82" t="e">
        <f t="shared" ref="H31:H40" si="11">I31/G$24</f>
        <v>#DIV/0!</v>
      </c>
      <c r="I31" s="30">
        <f>+SUM(START:END!I31)</f>
        <v>0</v>
      </c>
      <c r="J31" s="157">
        <f>L31/(L13+L15)</f>
        <v>0.25727175810385622</v>
      </c>
      <c r="K31" s="82">
        <f t="shared" ref="K31:K40" si="12">IF(L31=0,0,L31/J$24)</f>
        <v>1110.5041935483873</v>
      </c>
      <c r="L31" s="30">
        <f>+SUM(START:END!L31)</f>
        <v>103276.89000000001</v>
      </c>
      <c r="M31" s="41"/>
      <c r="N31" s="59">
        <f t="shared" ref="N31:N53" si="13">L31-F31</f>
        <v>8824.7448322027922</v>
      </c>
      <c r="O31" s="157">
        <f>Q31/(Q13+Q15+Q17)</f>
        <v>0.28935828653381696</v>
      </c>
      <c r="P31" s="82">
        <f t="shared" ref="P31:P40" si="14">IF(Q31=0,0,Q31/O$24)</f>
        <v>1251.8781609195403</v>
      </c>
      <c r="Q31" s="33">
        <f>+SUM(START:END!Q31)</f>
        <v>108913.40000000001</v>
      </c>
      <c r="R31" s="41"/>
      <c r="S31" s="85">
        <f t="shared" ref="S31:S53" si="15">L31-Q31</f>
        <v>-5636.5099999999948</v>
      </c>
      <c r="T31" s="13"/>
      <c r="U31" s="13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1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0.27500000000000002</v>
      </c>
      <c r="E32" s="88">
        <f t="shared" si="10"/>
        <v>455.125</v>
      </c>
      <c r="F32" s="22">
        <f>+SUM(START:END!F32)</f>
        <v>41416.375</v>
      </c>
      <c r="G32" s="162"/>
      <c r="H32" s="90" t="e">
        <f t="shared" si="11"/>
        <v>#DIV/0!</v>
      </c>
      <c r="I32" s="22">
        <f>+SUM(START:END!I32)</f>
        <v>0</v>
      </c>
      <c r="J32" s="162">
        <f>L32/L24</f>
        <v>0.34098760053950727</v>
      </c>
      <c r="K32" s="88">
        <f t="shared" si="12"/>
        <v>774.83430107526874</v>
      </c>
      <c r="L32" s="22">
        <f>+SUM(START:END!L32)</f>
        <v>72059.59</v>
      </c>
      <c r="M32" s="23"/>
      <c r="N32" s="91">
        <f t="shared" si="13"/>
        <v>30643.214999999997</v>
      </c>
      <c r="O32" s="162">
        <f>Q32/Q24</f>
        <v>0.38286222888619126</v>
      </c>
      <c r="P32" s="88">
        <f t="shared" si="14"/>
        <v>630.20275862068968</v>
      </c>
      <c r="Q32" s="22">
        <f>+SUM(START:END!Q32)</f>
        <v>54827.64</v>
      </c>
      <c r="R32" s="23"/>
      <c r="S32" s="92">
        <f t="shared" si="15"/>
        <v>17231.949999999997</v>
      </c>
      <c r="T32" s="13"/>
      <c r="U32" s="13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1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0"/>
        <v>130</v>
      </c>
      <c r="F33" s="30">
        <f>+SUM(START:END!F33)</f>
        <v>11830</v>
      </c>
      <c r="G33" s="83"/>
      <c r="H33" s="82" t="e">
        <f t="shared" si="11"/>
        <v>#DIV/0!</v>
      </c>
      <c r="I33" s="30">
        <f>+SUM(START:END!I33)</f>
        <v>0</v>
      </c>
      <c r="J33" s="41"/>
      <c r="K33" s="82">
        <f t="shared" si="12"/>
        <v>122.49</v>
      </c>
      <c r="L33" s="30">
        <f>+SUM(START:END!L33)</f>
        <v>11391.57</v>
      </c>
      <c r="M33" s="41"/>
      <c r="N33" s="59">
        <f t="shared" si="13"/>
        <v>-438.43000000000029</v>
      </c>
      <c r="O33" s="41"/>
      <c r="P33" s="82">
        <f t="shared" si="14"/>
        <v>84.095402298850573</v>
      </c>
      <c r="Q33" s="33">
        <f>+SUM(START:END!Q33)</f>
        <v>7316.3</v>
      </c>
      <c r="R33" s="41"/>
      <c r="S33" s="85">
        <f t="shared" si="15"/>
        <v>4075.2699999999995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1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0"/>
        <v>37</v>
      </c>
      <c r="F34" s="30">
        <f>+SUM(START:END!F34)</f>
        <v>3367</v>
      </c>
      <c r="G34" s="83"/>
      <c r="H34" s="82" t="e">
        <f t="shared" si="11"/>
        <v>#DIV/0!</v>
      </c>
      <c r="I34" s="30">
        <f>+SUM(START:END!I34)</f>
        <v>0</v>
      </c>
      <c r="J34" s="41"/>
      <c r="K34" s="82">
        <f t="shared" si="12"/>
        <v>37.781290322580645</v>
      </c>
      <c r="L34" s="30">
        <f>+SUM(START:END!L34)</f>
        <v>3513.66</v>
      </c>
      <c r="M34" s="41"/>
      <c r="N34" s="59">
        <f t="shared" si="13"/>
        <v>146.65999999999985</v>
      </c>
      <c r="O34" s="41"/>
      <c r="P34" s="82">
        <f t="shared" si="14"/>
        <v>26.244022988505748</v>
      </c>
      <c r="Q34" s="33">
        <f>+SUM(START:END!Q34)</f>
        <v>2283.23</v>
      </c>
      <c r="R34" s="41"/>
      <c r="S34" s="85">
        <f t="shared" si="15"/>
        <v>1230.4299999999998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1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0"/>
        <v>59.945054945054942</v>
      </c>
      <c r="F35" s="22">
        <f>+SUM(START:END!F35)</f>
        <v>5455</v>
      </c>
      <c r="G35" s="89"/>
      <c r="H35" s="90" t="e">
        <f t="shared" si="11"/>
        <v>#DIV/0!</v>
      </c>
      <c r="I35" s="22">
        <f>+SUM(START:END!I35)</f>
        <v>0</v>
      </c>
      <c r="J35" s="23"/>
      <c r="K35" s="88">
        <f t="shared" si="12"/>
        <v>52.236774193548385</v>
      </c>
      <c r="L35" s="22">
        <f>+SUM(START:END!L35)</f>
        <v>4858.0199999999995</v>
      </c>
      <c r="M35" s="23"/>
      <c r="N35" s="91">
        <f t="shared" si="13"/>
        <v>-596.98000000000047</v>
      </c>
      <c r="O35" s="23"/>
      <c r="P35" s="88">
        <f t="shared" si="14"/>
        <v>43.203563218390805</v>
      </c>
      <c r="Q35" s="33">
        <f>+SUM(START:END!Q35)</f>
        <v>3758.71</v>
      </c>
      <c r="R35" s="23"/>
      <c r="S35" s="92">
        <f t="shared" si="15"/>
        <v>1099.3099999999995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1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0"/>
        <v>513.97058823529414</v>
      </c>
      <c r="F36" s="30">
        <f>+SUM(START:END!F36)</f>
        <v>46771.323529411762</v>
      </c>
      <c r="G36" s="83"/>
      <c r="H36" s="82" t="e">
        <f t="shared" si="11"/>
        <v>#DIV/0!</v>
      </c>
      <c r="I36" s="30">
        <f>+SUM(START:END!I36)</f>
        <v>0</v>
      </c>
      <c r="J36" s="41"/>
      <c r="K36" s="82">
        <f t="shared" si="12"/>
        <v>494.38526881720429</v>
      </c>
      <c r="L36" s="459">
        <f>+SUM(START:END!L36)</f>
        <v>45977.83</v>
      </c>
      <c r="M36" s="13"/>
      <c r="N36" s="59">
        <f t="shared" si="13"/>
        <v>-793.49352941176039</v>
      </c>
      <c r="O36" s="41"/>
      <c r="P36" s="82">
        <f t="shared" si="14"/>
        <v>499.42517241379306</v>
      </c>
      <c r="Q36" s="55">
        <f>+SUM(START:END!Q36)</f>
        <v>43449.99</v>
      </c>
      <c r="R36" s="41"/>
      <c r="S36" s="85">
        <f t="shared" si="15"/>
        <v>2527.8400000000038</v>
      </c>
      <c r="T36" s="13"/>
      <c r="U36" s="13"/>
      <c r="V36" s="11"/>
      <c r="W36" s="11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 t="shared" si="1"/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 t="shared" si="10"/>
        <v>953.19446347149176</v>
      </c>
      <c r="F37" s="30">
        <f>+SUM(START:END!F37)</f>
        <v>86740.696175905745</v>
      </c>
      <c r="G37" s="83"/>
      <c r="H37" s="82" t="e">
        <f t="shared" si="11"/>
        <v>#DIV/0!</v>
      </c>
      <c r="I37" s="30">
        <f>+SUM(START:END!I37)</f>
        <v>0</v>
      </c>
      <c r="J37" s="41"/>
      <c r="K37" s="82">
        <f t="shared" si="12"/>
        <v>800.39150537634407</v>
      </c>
      <c r="L37" s="460">
        <f>+SUM(START:END!L37)</f>
        <v>74436.41</v>
      </c>
      <c r="M37" s="13"/>
      <c r="N37" s="59">
        <f t="shared" si="13"/>
        <v>-12304.286175905741</v>
      </c>
      <c r="O37" s="41"/>
      <c r="P37" s="82">
        <f t="shared" si="14"/>
        <v>1186.3266666666668</v>
      </c>
      <c r="Q37" s="33">
        <f>+SUM(START:END!Q37)</f>
        <v>103210.42000000001</v>
      </c>
      <c r="R37" s="41"/>
      <c r="S37" s="85">
        <f>L37-Q37</f>
        <v>-28774.010000000009</v>
      </c>
      <c r="T37" s="13"/>
      <c r="U37" s="13"/>
      <c r="V37" s="458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 t="shared" si="1"/>
        <v>Véhicules neufs[...]</v>
      </c>
      <c r="B38" s="11" t="str">
        <f t="shared" si="0"/>
        <v>Véhicules neufs</v>
      </c>
      <c r="C38" s="29" t="s">
        <v>19</v>
      </c>
      <c r="D38" s="81"/>
      <c r="E38" s="82">
        <f t="shared" si="10"/>
        <v>0</v>
      </c>
      <c r="F38" s="30">
        <f>+SUM(START:END!F38)</f>
        <v>0</v>
      </c>
      <c r="G38" s="83"/>
      <c r="H38" s="82" t="e">
        <f t="shared" si="11"/>
        <v>#DIV/0!</v>
      </c>
      <c r="I38" s="30">
        <f>+SUM(START:END!I38)</f>
        <v>0</v>
      </c>
      <c r="J38" s="41"/>
      <c r="K38" s="82">
        <f t="shared" si="12"/>
        <v>0</v>
      </c>
      <c r="L38" s="460">
        <f>+SUM(START:END!L38)</f>
        <v>0</v>
      </c>
      <c r="M38" s="13"/>
      <c r="N38" s="59">
        <f t="shared" si="13"/>
        <v>0</v>
      </c>
      <c r="O38" s="41"/>
      <c r="P38" s="82">
        <f t="shared" si="14"/>
        <v>0</v>
      </c>
      <c r="Q38" s="33">
        <f>+SUM(START:END!Q38)</f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 t="shared" si="1"/>
        <v>Véhicules neufs[...]</v>
      </c>
      <c r="B39" s="11" t="str">
        <f t="shared" si="0"/>
        <v>Véhicules neufs</v>
      </c>
      <c r="C39" s="29" t="s">
        <v>19</v>
      </c>
      <c r="D39" s="81"/>
      <c r="E39" s="82">
        <f t="shared" si="10"/>
        <v>0</v>
      </c>
      <c r="F39" s="30">
        <f>+SUM(START:END!F39)</f>
        <v>0</v>
      </c>
      <c r="G39" s="83"/>
      <c r="H39" s="82" t="e">
        <f t="shared" si="11"/>
        <v>#DIV/0!</v>
      </c>
      <c r="I39" s="30">
        <f>+SUM(START:END!I39)</f>
        <v>0</v>
      </c>
      <c r="J39" s="41"/>
      <c r="K39" s="82">
        <f t="shared" si="12"/>
        <v>0</v>
      </c>
      <c r="L39" s="460">
        <f>+SUM(START:END!L39)</f>
        <v>0</v>
      </c>
      <c r="M39" s="13"/>
      <c r="N39" s="59">
        <f t="shared" si="13"/>
        <v>0</v>
      </c>
      <c r="O39" s="41"/>
      <c r="P39" s="82">
        <f t="shared" si="14"/>
        <v>0</v>
      </c>
      <c r="Q39" s="33">
        <f>+SUM(START:END!Q39)</f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si="1"/>
        <v>Véhicules neufs[...]</v>
      </c>
      <c r="B40" s="11" t="str">
        <f t="shared" si="0"/>
        <v>Véhicules neufs</v>
      </c>
      <c r="C40" s="29" t="s">
        <v>19</v>
      </c>
      <c r="D40" s="81"/>
      <c r="E40" s="82">
        <f t="shared" si="10"/>
        <v>0</v>
      </c>
      <c r="F40" s="30">
        <f>+SUM(START:END!F40)</f>
        <v>0</v>
      </c>
      <c r="G40" s="83"/>
      <c r="H40" s="82" t="e">
        <f t="shared" si="11"/>
        <v>#DIV/0!</v>
      </c>
      <c r="I40" s="30">
        <f>+SUM(START:END!I40)</f>
        <v>0</v>
      </c>
      <c r="J40" s="41"/>
      <c r="K40" s="82">
        <f t="shared" si="12"/>
        <v>0</v>
      </c>
      <c r="L40" s="461">
        <f>+SUM(START:END!L40)</f>
        <v>0</v>
      </c>
      <c r="M40" s="13"/>
      <c r="N40" s="59">
        <f t="shared" si="13"/>
        <v>0</v>
      </c>
      <c r="O40" s="41"/>
      <c r="P40" s="82">
        <f t="shared" si="14"/>
        <v>0</v>
      </c>
      <c r="Q40" s="33">
        <f>+SUM(START:END!Q40)</f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0.58622859031520236</v>
      </c>
      <c r="F41" s="96">
        <f>SUM(F31:F40)</f>
        <v>290032.53987311473</v>
      </c>
      <c r="G41" s="97" t="s">
        <v>38</v>
      </c>
      <c r="H41" s="95" t="e">
        <f>I41/I$27</f>
        <v>#DIV/0!</v>
      </c>
      <c r="I41" s="96">
        <f>SUM(I31:I40)</f>
        <v>0</v>
      </c>
      <c r="J41" s="97" t="s">
        <v>38</v>
      </c>
      <c r="K41" s="95">
        <f>L41/L$27</f>
        <v>0.50904630420592867</v>
      </c>
      <c r="L41" s="96">
        <f>SUM(L31:L40)</f>
        <v>315513.96999999997</v>
      </c>
      <c r="M41" s="98"/>
      <c r="N41" s="96">
        <f t="shared" si="13"/>
        <v>25481.430126885243</v>
      </c>
      <c r="O41" s="97" t="s">
        <v>38</v>
      </c>
      <c r="P41" s="95">
        <f>Q41/Q$27</f>
        <v>0.60179347489892787</v>
      </c>
      <c r="Q41" s="99">
        <f>SUM(Q31:Q40)</f>
        <v>323759.69</v>
      </c>
      <c r="R41" s="100"/>
      <c r="S41" s="101">
        <f t="shared" si="15"/>
        <v>-8245.7200000000303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f>+SUM(START:END!F42)</f>
        <v>37528.609770114941</v>
      </c>
      <c r="G42" s="41"/>
      <c r="H42" s="13"/>
      <c r="I42" s="30">
        <f>+SUM(START:END!I42)</f>
        <v>0</v>
      </c>
      <c r="J42" s="41"/>
      <c r="K42" s="13"/>
      <c r="L42" s="33">
        <f>+SUM(START:END!L42)</f>
        <v>41662.89</v>
      </c>
      <c r="M42" s="41"/>
      <c r="N42" s="59">
        <f t="shared" si="13"/>
        <v>4134.2802298850584</v>
      </c>
      <c r="O42" s="41"/>
      <c r="P42" s="13"/>
      <c r="Q42" s="33">
        <f>+SUM(START:END!Q42)</f>
        <v>35064.100000000006</v>
      </c>
      <c r="R42" s="41"/>
      <c r="S42" s="85">
        <f t="shared" si="15"/>
        <v>6598.7899999999936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f>+SUM(START:END!F43)</f>
        <v>27593.739080459774</v>
      </c>
      <c r="G43" s="83"/>
      <c r="H43" s="13"/>
      <c r="I43" s="22">
        <f>+SUM(START:END!I43)</f>
        <v>0</v>
      </c>
      <c r="J43" s="41"/>
      <c r="K43" s="13"/>
      <c r="L43" s="33">
        <f>+SUM(START:END!L43)</f>
        <v>28011.770000000004</v>
      </c>
      <c r="M43" s="41"/>
      <c r="N43" s="59">
        <f t="shared" si="13"/>
        <v>418.03091954022966</v>
      </c>
      <c r="O43" s="41"/>
      <c r="P43" s="13"/>
      <c r="Q43" s="33">
        <f>+SUM(START:END!Q43)</f>
        <v>26614.340000000004</v>
      </c>
      <c r="R43" s="41"/>
      <c r="S43" s="85">
        <f t="shared" si="15"/>
        <v>1397.4300000000003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f>+SUM(START:END!F44)</f>
        <v>1026</v>
      </c>
      <c r="G44" s="106"/>
      <c r="H44" s="105"/>
      <c r="I44" s="30">
        <f>+SUM(START:END!I44)</f>
        <v>0</v>
      </c>
      <c r="J44" s="107"/>
      <c r="K44" s="105"/>
      <c r="L44" s="108">
        <f>+SUM(START:END!L44)</f>
        <v>1026</v>
      </c>
      <c r="M44" s="107"/>
      <c r="N44" s="109">
        <f t="shared" si="13"/>
        <v>0</v>
      </c>
      <c r="O44" s="107"/>
      <c r="P44" s="105"/>
      <c r="Q44" s="108">
        <f>+SUM(START:END!Q44)</f>
        <v>1026</v>
      </c>
      <c r="R44" s="107"/>
      <c r="S44" s="110">
        <f t="shared" si="15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>
      <c r="A45" t="str">
        <f t="shared" si="1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f>+SUM(START:END!F45)</f>
        <v>0</v>
      </c>
      <c r="G45" s="83"/>
      <c r="H45" s="13"/>
      <c r="I45" s="30">
        <f>+SUM(START:END!I45)</f>
        <v>0</v>
      </c>
      <c r="J45" s="41"/>
      <c r="K45" s="13"/>
      <c r="L45" s="33">
        <f>+SUM(START:END!L45)</f>
        <v>0</v>
      </c>
      <c r="M45" s="41"/>
      <c r="N45" s="59">
        <f t="shared" si="13"/>
        <v>0</v>
      </c>
      <c r="O45" s="41"/>
      <c r="P45" s="13"/>
      <c r="Q45" s="33">
        <f>+SUM(START:END!Q45)</f>
        <v>0</v>
      </c>
      <c r="R45" s="41"/>
      <c r="S45" s="85">
        <f t="shared" si="15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 t="shared" si="1"/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f>+SUM(START:END!F46)</f>
        <v>0</v>
      </c>
      <c r="G46" s="83"/>
      <c r="H46" s="13"/>
      <c r="I46" s="30">
        <f>+SUM(START:END!I46)</f>
        <v>0</v>
      </c>
      <c r="J46" s="41"/>
      <c r="K46" s="13"/>
      <c r="L46" s="33">
        <f>+SUM(START:END!L46)</f>
        <v>0</v>
      </c>
      <c r="M46" s="41"/>
      <c r="N46" s="59">
        <f t="shared" si="13"/>
        <v>0</v>
      </c>
      <c r="O46" s="41"/>
      <c r="P46" s="13"/>
      <c r="Q46" s="33">
        <f>+SUM(START:END!Q46)</f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 t="shared" si="1"/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f>+SUM(START:END!F47)</f>
        <v>0</v>
      </c>
      <c r="G47" s="83"/>
      <c r="H47" s="13"/>
      <c r="I47" s="30">
        <f>+SUM(START:END!I47)</f>
        <v>0</v>
      </c>
      <c r="J47" s="41"/>
      <c r="K47" s="13"/>
      <c r="L47" s="33">
        <f>+SUM(START:END!L47)</f>
        <v>0</v>
      </c>
      <c r="M47" s="41"/>
      <c r="N47" s="59">
        <f t="shared" si="13"/>
        <v>0</v>
      </c>
      <c r="O47" s="41"/>
      <c r="P47" s="13"/>
      <c r="Q47" s="33">
        <f>+SUM(START:END!Q47)</f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 t="shared" si="1"/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f>+SUM(START:END!F48)</f>
        <v>0</v>
      </c>
      <c r="G48" s="83"/>
      <c r="H48" s="13"/>
      <c r="I48" s="30">
        <f>+SUM(START:END!I48)</f>
        <v>0</v>
      </c>
      <c r="J48" s="41"/>
      <c r="K48" s="13"/>
      <c r="L48" s="33">
        <f>+SUM(START:END!L48)</f>
        <v>0</v>
      </c>
      <c r="M48" s="41"/>
      <c r="N48" s="59">
        <f t="shared" si="13"/>
        <v>0</v>
      </c>
      <c r="O48" s="41"/>
      <c r="P48" s="13"/>
      <c r="Q48" s="33">
        <f>+SUM(START:END!Q48)</f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si="1"/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f>+SUM(START:END!F49)</f>
        <v>25757.368880392602</v>
      </c>
      <c r="G49" s="83"/>
      <c r="H49" s="13"/>
      <c r="I49" s="22">
        <f>+SUM(START:END!I49)</f>
        <v>0</v>
      </c>
      <c r="J49" s="41"/>
      <c r="K49" s="13"/>
      <c r="L49" s="22">
        <f>+SUM(START:END!L49)</f>
        <v>28615.34</v>
      </c>
      <c r="M49" s="41"/>
      <c r="N49" s="59">
        <f t="shared" si="13"/>
        <v>2857.9711196073986</v>
      </c>
      <c r="O49" s="41"/>
      <c r="P49" s="13"/>
      <c r="Q49" s="22">
        <f>+SUM(START:END!Q49)</f>
        <v>24625.989999999998</v>
      </c>
      <c r="R49" s="41"/>
      <c r="S49" s="85">
        <f t="shared" si="15"/>
        <v>3989.3500000000022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f>+SUM(START:END!F50)</f>
        <v>29739.465919470269</v>
      </c>
      <c r="G50" s="106"/>
      <c r="H50" s="105"/>
      <c r="I50" s="30">
        <f>+SUM(START:END!I50)</f>
        <v>0</v>
      </c>
      <c r="J50" s="107"/>
      <c r="K50" s="105"/>
      <c r="L50" s="33">
        <f>+SUM(START:END!L50)</f>
        <v>37522.080000000002</v>
      </c>
      <c r="M50" s="107"/>
      <c r="N50" s="109">
        <f t="shared" si="13"/>
        <v>7782.6140805297327</v>
      </c>
      <c r="O50" s="107"/>
      <c r="P50" s="105"/>
      <c r="Q50" s="33">
        <f>+SUM(START:END!Q50)</f>
        <v>33038.46</v>
      </c>
      <c r="R50" s="107"/>
      <c r="S50" s="110">
        <f t="shared" si="15"/>
        <v>4483.6200000000026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f>+SUM(START:END!F51)</f>
        <v>15476.304541630865</v>
      </c>
      <c r="G51" s="83"/>
      <c r="H51" s="13"/>
      <c r="I51" s="30">
        <f>+SUM(START:END!I51)</f>
        <v>0</v>
      </c>
      <c r="J51" s="41"/>
      <c r="K51" s="13"/>
      <c r="L51" s="33">
        <f>+SUM(START:END!L51)</f>
        <v>14434.630000000001</v>
      </c>
      <c r="M51" s="41"/>
      <c r="N51" s="59">
        <f t="shared" si="13"/>
        <v>-1041.674541630864</v>
      </c>
      <c r="O51" s="41"/>
      <c r="P51" s="13"/>
      <c r="Q51" s="33">
        <f>+SUM(START:END!Q51)</f>
        <v>13583.68</v>
      </c>
      <c r="R51" s="41"/>
      <c r="S51" s="85">
        <f t="shared" si="15"/>
        <v>850.95000000000073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f>+SUM(START:END!F52)</f>
        <v>3316.3509732066136</v>
      </c>
      <c r="G52" s="83"/>
      <c r="H52" s="13"/>
      <c r="I52" s="30">
        <f>+SUM(START:END!I52)</f>
        <v>0</v>
      </c>
      <c r="J52" s="41"/>
      <c r="K52" s="13"/>
      <c r="L52" s="33">
        <f>+SUM(START:END!L52)</f>
        <v>6957.4500000000007</v>
      </c>
      <c r="M52" s="41"/>
      <c r="N52" s="59">
        <f t="shared" si="13"/>
        <v>3641.0990267933871</v>
      </c>
      <c r="O52" s="41"/>
      <c r="P52" s="13"/>
      <c r="Q52" s="33">
        <f>+SUM(START:END!Q52)</f>
        <v>4150.57</v>
      </c>
      <c r="R52" s="41"/>
      <c r="S52" s="85">
        <f t="shared" si="15"/>
        <v>2806.880000000001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"/>
        <v>Véhicules neufs[...]</v>
      </c>
      <c r="B53" s="11" t="str">
        <f t="shared" si="0"/>
        <v>Véhicules neufs</v>
      </c>
      <c r="C53" s="29" t="s">
        <v>19</v>
      </c>
      <c r="D53" s="87"/>
      <c r="E53" s="111"/>
      <c r="F53" s="30">
        <f>+SUM(START:END!F53)</f>
        <v>0</v>
      </c>
      <c r="G53" s="89"/>
      <c r="H53" s="111"/>
      <c r="I53" s="30">
        <f>+SUM(START:END!I53)</f>
        <v>0</v>
      </c>
      <c r="J53" s="23"/>
      <c r="K53" s="111"/>
      <c r="L53" s="33">
        <f>+SUM(START:END!L53)</f>
        <v>0</v>
      </c>
      <c r="M53" s="23"/>
      <c r="N53" s="91">
        <f t="shared" si="13"/>
        <v>0</v>
      </c>
      <c r="O53" s="23"/>
      <c r="P53" s="111"/>
      <c r="Q53" s="33">
        <f>+SUM(START:END!Q53)</f>
        <v>0</v>
      </c>
      <c r="R53" s="23"/>
      <c r="S53" s="92">
        <f t="shared" si="15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0.28386013692391199</v>
      </c>
      <c r="F54" s="96">
        <f>+SUM(F42:F53)</f>
        <v>140437.83916527507</v>
      </c>
      <c r="G54" s="97" t="s">
        <v>38</v>
      </c>
      <c r="H54" s="95" t="e">
        <f>I54/I$27</f>
        <v>#DIV/0!</v>
      </c>
      <c r="I54" s="96">
        <f>+SUM(I42:I53)</f>
        <v>0</v>
      </c>
      <c r="J54" s="97" t="s">
        <v>38</v>
      </c>
      <c r="K54" s="95">
        <f>L54/L$27</f>
        <v>0.25528656674667305</v>
      </c>
      <c r="L54" s="96">
        <f>+SUM(L42:L53)</f>
        <v>158230.16000000003</v>
      </c>
      <c r="M54" s="100"/>
      <c r="N54" s="96">
        <f>+SUM(N42:N53)</f>
        <v>17792.320834724942</v>
      </c>
      <c r="O54" s="97" t="s">
        <v>38</v>
      </c>
      <c r="P54" s="95">
        <f>Q54/Q$27</f>
        <v>0.25670140873637831</v>
      </c>
      <c r="Q54" s="96">
        <f>+SUM(Q42:Q53)</f>
        <v>138103.14000000001</v>
      </c>
      <c r="R54" s="100"/>
      <c r="S54" s="101">
        <f>+SUM(S42:S53)</f>
        <v>20127.02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>
      <c r="A55" t="str">
        <f t="shared" si="1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f>+SUM(START:END!F55)</f>
        <v>0</v>
      </c>
      <c r="G55" s="83"/>
      <c r="H55" s="13"/>
      <c r="I55" s="30">
        <f>+SUM(START:END!I55)</f>
        <v>0</v>
      </c>
      <c r="J55" s="41"/>
      <c r="K55" s="13"/>
      <c r="L55" s="33">
        <f>+SUM(START:END!L55)</f>
        <v>0</v>
      </c>
      <c r="M55" s="41"/>
      <c r="N55" s="59">
        <f t="shared" ref="N55:N71" si="16">L55-F55</f>
        <v>0</v>
      </c>
      <c r="O55" s="41"/>
      <c r="P55" s="13"/>
      <c r="Q55" s="33">
        <f>+SUM(START:END!Q55)</f>
        <v>0</v>
      </c>
      <c r="R55" s="41"/>
      <c r="S55" s="85">
        <f t="shared" ref="S55:S71" si="17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>
      <c r="A56" t="str">
        <f t="shared" si="1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f>+SUM(START:END!F56)</f>
        <v>0</v>
      </c>
      <c r="G56" s="83"/>
      <c r="H56" s="13"/>
      <c r="I56" s="30">
        <f>+SUM(START:END!I56)</f>
        <v>0</v>
      </c>
      <c r="J56" s="41"/>
      <c r="K56" s="13"/>
      <c r="L56" s="33">
        <f>+SUM(START:END!L56)</f>
        <v>0</v>
      </c>
      <c r="M56" s="41"/>
      <c r="N56" s="59">
        <f t="shared" si="16"/>
        <v>0</v>
      </c>
      <c r="O56" s="41"/>
      <c r="P56" s="13"/>
      <c r="Q56" s="33">
        <f>+SUM(START:END!Q56)</f>
        <v>0</v>
      </c>
      <c r="R56" s="41"/>
      <c r="S56" s="85">
        <f t="shared" si="17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f>+SUM(START:END!F57)</f>
        <v>19862.799999999996</v>
      </c>
      <c r="G57" s="89"/>
      <c r="H57" s="111"/>
      <c r="I57" s="22">
        <f>+SUM(START:END!I57)</f>
        <v>0</v>
      </c>
      <c r="J57" s="23"/>
      <c r="K57" s="111"/>
      <c r="L57" s="22">
        <f>+SUM(START:END!L57)</f>
        <v>27833.32</v>
      </c>
      <c r="M57" s="23"/>
      <c r="N57" s="91">
        <f t="shared" si="16"/>
        <v>7970.5200000000041</v>
      </c>
      <c r="O57" s="23"/>
      <c r="P57" s="111"/>
      <c r="Q57" s="22">
        <f>+SUM(START:END!Q57)</f>
        <v>20751.53</v>
      </c>
      <c r="R57" s="23"/>
      <c r="S57" s="92">
        <f t="shared" si="17"/>
        <v>7081.7900000000009</v>
      </c>
      <c r="T57" s="112"/>
      <c r="U57" s="13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f>+SUM(START:END!F58)</f>
        <v>14634.900000000001</v>
      </c>
      <c r="G58" s="83"/>
      <c r="H58" s="13"/>
      <c r="I58" s="30">
        <f>+SUM(START:END!I58)</f>
        <v>0</v>
      </c>
      <c r="J58" s="41"/>
      <c r="K58" s="13"/>
      <c r="L58" s="33">
        <f>+SUM(START:END!L58)</f>
        <v>15279.84</v>
      </c>
      <c r="M58" s="41"/>
      <c r="N58" s="59">
        <f t="shared" si="16"/>
        <v>644.93999999999869</v>
      </c>
      <c r="O58" s="41"/>
      <c r="P58" s="13"/>
      <c r="Q58" s="33">
        <f>+SUM(START:END!Q58)</f>
        <v>14266.7</v>
      </c>
      <c r="R58" s="41"/>
      <c r="S58" s="85">
        <f t="shared" si="17"/>
        <v>1013.1399999999994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f>+SUM(START:END!F59)</f>
        <v>2475</v>
      </c>
      <c r="G59" s="83"/>
      <c r="H59" s="13"/>
      <c r="I59" s="30">
        <f>+SUM(START:END!I59)</f>
        <v>0</v>
      </c>
      <c r="J59" s="41"/>
      <c r="K59" s="13"/>
      <c r="L59" s="33">
        <f>+SUM(START:END!L59)</f>
        <v>2750.8600000000006</v>
      </c>
      <c r="M59" s="41"/>
      <c r="N59" s="59">
        <f t="shared" si="16"/>
        <v>275.86000000000058</v>
      </c>
      <c r="O59" s="41"/>
      <c r="P59" s="13"/>
      <c r="Q59" s="33">
        <f>+SUM(START:END!Q59)</f>
        <v>4031.37</v>
      </c>
      <c r="R59" s="41"/>
      <c r="S59" s="85">
        <f t="shared" si="17"/>
        <v>-1280.5099999999993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f>+SUM(START:END!F60)</f>
        <v>9944.1</v>
      </c>
      <c r="G60" s="89"/>
      <c r="H60" s="111"/>
      <c r="I60" s="22">
        <f>+SUM(START:END!I60)</f>
        <v>0</v>
      </c>
      <c r="J60" s="23"/>
      <c r="K60" s="111"/>
      <c r="L60" s="22">
        <f>+SUM(START:END!L60)</f>
        <v>10516.29</v>
      </c>
      <c r="M60" s="23"/>
      <c r="N60" s="91">
        <f t="shared" si="16"/>
        <v>572.19000000000051</v>
      </c>
      <c r="O60" s="23"/>
      <c r="P60" s="111"/>
      <c r="Q60" s="22">
        <f>+SUM(START:END!Q60)</f>
        <v>10283.67</v>
      </c>
      <c r="R60" s="23"/>
      <c r="S60" s="92">
        <f t="shared" si="17"/>
        <v>232.6200000000008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f>+SUM(START:END!F61)</f>
        <v>120</v>
      </c>
      <c r="G61" s="83"/>
      <c r="H61" s="13"/>
      <c r="I61" s="30">
        <f>+SUM(START:END!I61)</f>
        <v>0</v>
      </c>
      <c r="J61" s="41"/>
      <c r="K61" s="13"/>
      <c r="L61" s="33">
        <f>+SUM(START:END!L61)</f>
        <v>138.66</v>
      </c>
      <c r="M61" s="41"/>
      <c r="N61" s="59">
        <f t="shared" si="16"/>
        <v>18.659999999999997</v>
      </c>
      <c r="O61" s="41"/>
      <c r="P61" s="13"/>
      <c r="Q61" s="33">
        <f>+SUM(START:END!Q61)</f>
        <v>35.07</v>
      </c>
      <c r="R61" s="41"/>
      <c r="S61" s="85">
        <f t="shared" si="17"/>
        <v>103.59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f>+SUM(START:END!F62)</f>
        <v>90</v>
      </c>
      <c r="G62" s="83"/>
      <c r="H62" s="13"/>
      <c r="I62" s="30">
        <f>+SUM(START:END!I62)</f>
        <v>0</v>
      </c>
      <c r="J62" s="41"/>
      <c r="K62" s="13"/>
      <c r="L62" s="33">
        <f>+SUM(START:END!L62)</f>
        <v>297</v>
      </c>
      <c r="M62" s="41"/>
      <c r="N62" s="59">
        <f t="shared" si="16"/>
        <v>207</v>
      </c>
      <c r="O62" s="41"/>
      <c r="P62" s="13"/>
      <c r="Q62" s="33">
        <f>+SUM(START:END!Q62)</f>
        <v>78.08</v>
      </c>
      <c r="R62" s="41"/>
      <c r="S62" s="85">
        <f t="shared" si="17"/>
        <v>218.92000000000002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f>+SUM(START:END!F63)</f>
        <v>2126.25</v>
      </c>
      <c r="G63" s="83"/>
      <c r="H63" s="13"/>
      <c r="I63" s="30">
        <f>+SUM(START:END!I63)</f>
        <v>0</v>
      </c>
      <c r="J63" s="41"/>
      <c r="K63" s="13"/>
      <c r="L63" s="32">
        <f>+SUM(START:END!L63)</f>
        <v>1630.6200000000001</v>
      </c>
      <c r="M63" s="41"/>
      <c r="N63" s="59">
        <f t="shared" si="16"/>
        <v>-495.62999999999988</v>
      </c>
      <c r="O63" s="41"/>
      <c r="P63" s="13"/>
      <c r="Q63" s="32">
        <f>+SUM(START:END!Q63)</f>
        <v>1834.28</v>
      </c>
      <c r="R63" s="41"/>
      <c r="S63" s="85">
        <f t="shared" si="17"/>
        <v>-203.65999999999985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f>+SUM(START:END!F64)</f>
        <v>631.20000000000005</v>
      </c>
      <c r="G64" s="83"/>
      <c r="H64" s="13"/>
      <c r="I64" s="30">
        <f>+SUM(START:END!I64)</f>
        <v>0</v>
      </c>
      <c r="J64" s="41"/>
      <c r="K64" s="13"/>
      <c r="L64" s="33">
        <f>+SUM(START:END!L64)</f>
        <v>559.82999999999993</v>
      </c>
      <c r="M64" s="41"/>
      <c r="N64" s="59">
        <f t="shared" si="16"/>
        <v>-71.370000000000118</v>
      </c>
      <c r="O64" s="41"/>
      <c r="P64" s="13"/>
      <c r="Q64" s="33">
        <f>+SUM(START:END!Q64)</f>
        <v>823</v>
      </c>
      <c r="R64" s="41"/>
      <c r="S64" s="85">
        <f t="shared" si="17"/>
        <v>-263.17000000000007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f>+SUM(START:END!F65)</f>
        <v>607.5</v>
      </c>
      <c r="G65" s="83"/>
      <c r="H65" s="13"/>
      <c r="I65" s="30">
        <f>+SUM(START:END!I65)</f>
        <v>0</v>
      </c>
      <c r="J65" s="41"/>
      <c r="K65" s="13"/>
      <c r="L65" s="33">
        <f>+SUM(START:END!L65)</f>
        <v>731.84</v>
      </c>
      <c r="M65" s="41"/>
      <c r="N65" s="59">
        <f t="shared" si="16"/>
        <v>124.34000000000003</v>
      </c>
      <c r="O65" s="41"/>
      <c r="P65" s="13"/>
      <c r="Q65" s="33">
        <f>+SUM(START:END!Q65)</f>
        <v>653.57999999999993</v>
      </c>
      <c r="R65" s="41"/>
      <c r="S65" s="85">
        <f t="shared" si="17"/>
        <v>78.260000000000105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f>+SUM(START:END!F66)</f>
        <v>2350.3500000000004</v>
      </c>
      <c r="G66" s="83"/>
      <c r="H66" s="13"/>
      <c r="I66" s="30">
        <f>+SUM(START:END!I66)</f>
        <v>0</v>
      </c>
      <c r="J66" s="41"/>
      <c r="K66" s="13"/>
      <c r="L66" s="33">
        <f>+SUM(START:END!L66)</f>
        <v>3376.37</v>
      </c>
      <c r="M66" s="41"/>
      <c r="N66" s="59">
        <f t="shared" si="16"/>
        <v>1026.0199999999995</v>
      </c>
      <c r="O66" s="41"/>
      <c r="P66" s="13"/>
      <c r="Q66" s="33">
        <f>+SUM(START:END!Q66)</f>
        <v>2134.3500000000004</v>
      </c>
      <c r="R66" s="41"/>
      <c r="S66" s="85">
        <f t="shared" si="17"/>
        <v>1242.0199999999995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 t="shared" si="1"/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f>+SUM(START:END!F67)</f>
        <v>1674.5505299999995</v>
      </c>
      <c r="G67" s="83"/>
      <c r="H67" s="13"/>
      <c r="I67" s="30">
        <f>+SUM(START:END!I67)</f>
        <v>0</v>
      </c>
      <c r="J67" s="41"/>
      <c r="K67" s="13"/>
      <c r="L67" s="59">
        <f>+SUM(START:END!L67)</f>
        <v>1139.08</v>
      </c>
      <c r="M67" s="41"/>
      <c r="N67" s="59">
        <f t="shared" si="16"/>
        <v>-535.4705299999996</v>
      </c>
      <c r="O67" s="41"/>
      <c r="P67" s="13"/>
      <c r="Q67" s="33">
        <f>+SUM(START:END!Q67)</f>
        <v>-688.71</v>
      </c>
      <c r="R67" s="41"/>
      <c r="S67" s="85">
        <f>L67-Q67</f>
        <v>1827.79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 t="shared" si="1"/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f>+SUM(START:END!F68)</f>
        <v>11275.457170185717</v>
      </c>
      <c r="G68" s="83"/>
      <c r="H68" s="13"/>
      <c r="I68" s="30">
        <f>+SUM(START:END!I68)</f>
        <v>0</v>
      </c>
      <c r="J68" s="41"/>
      <c r="K68" s="13"/>
      <c r="L68" s="32">
        <f>+SUM(START:END!L68)</f>
        <v>11498.539999999999</v>
      </c>
      <c r="M68" s="41"/>
      <c r="N68" s="59">
        <f t="shared" si="16"/>
        <v>223.08282981428238</v>
      </c>
      <c r="O68" s="41"/>
      <c r="P68" s="13"/>
      <c r="Q68" s="33">
        <f>+SUM(START:END!Q68)</f>
        <v>10958.76</v>
      </c>
      <c r="R68" s="41"/>
      <c r="S68" s="85">
        <f>L68-Q68</f>
        <v>539.77999999999884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 t="shared" si="1"/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f>+SUM(START:END!F69)</f>
        <v>0</v>
      </c>
      <c r="G69" s="83"/>
      <c r="H69" s="13"/>
      <c r="I69" s="30">
        <f>+SUM(START:END!I69)</f>
        <v>0</v>
      </c>
      <c r="J69" s="41"/>
      <c r="K69" s="13"/>
      <c r="L69" s="33">
        <f>+SUM(START:END!L69)</f>
        <v>0</v>
      </c>
      <c r="M69" s="41"/>
      <c r="N69" s="59">
        <f t="shared" si="16"/>
        <v>0</v>
      </c>
      <c r="O69" s="41"/>
      <c r="P69" s="13"/>
      <c r="Q69" s="33">
        <f>+SUM(START:END!Q69)</f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si="1"/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f>+SUM(START:END!F70)</f>
        <v>0</v>
      </c>
      <c r="G70" s="83"/>
      <c r="H70" s="13"/>
      <c r="I70" s="30">
        <f>+SUM(START:END!I70)</f>
        <v>0</v>
      </c>
      <c r="J70" s="41"/>
      <c r="K70" s="13"/>
      <c r="L70" s="33">
        <f>+SUM(START:END!L70)</f>
        <v>0</v>
      </c>
      <c r="M70" s="41"/>
      <c r="N70" s="59">
        <f t="shared" si="16"/>
        <v>0</v>
      </c>
      <c r="O70" s="41"/>
      <c r="P70" s="13"/>
      <c r="Q70" s="33">
        <f>+SUM(START:END!Q70)</f>
        <v>0</v>
      </c>
      <c r="R70" s="41"/>
      <c r="S70" s="85">
        <f t="shared" si="17"/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f>+SUM(START:END!F71)</f>
        <v>0</v>
      </c>
      <c r="G71" s="83"/>
      <c r="H71" s="13"/>
      <c r="I71" s="30">
        <f>+SUM(START:END!I71)</f>
        <v>0</v>
      </c>
      <c r="J71" s="41"/>
      <c r="K71" s="13"/>
      <c r="L71" s="33">
        <f>+SUM(START:END!L71)</f>
        <v>0</v>
      </c>
      <c r="M71" s="41"/>
      <c r="N71" s="59">
        <f t="shared" si="16"/>
        <v>0</v>
      </c>
      <c r="O71" s="41"/>
      <c r="P71" s="13"/>
      <c r="Q71" s="33">
        <f>+SUM(START:END!Q71)</f>
        <v>0</v>
      </c>
      <c r="R71" s="41"/>
      <c r="S71" s="85">
        <f t="shared" si="17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0.13298237007412803</v>
      </c>
      <c r="F72" s="96">
        <f>+SUM(F55:F71)</f>
        <v>65792.107700185705</v>
      </c>
      <c r="G72" s="97" t="s">
        <v>38</v>
      </c>
      <c r="H72" s="95" t="e">
        <f>I72/I$27</f>
        <v>#DIV/0!</v>
      </c>
      <c r="I72" s="96">
        <f>+SUM(I55:I71)</f>
        <v>0</v>
      </c>
      <c r="J72" s="97" t="s">
        <v>38</v>
      </c>
      <c r="K72" s="95">
        <f>L72/L$27</f>
        <v>0.12221773539150603</v>
      </c>
      <c r="L72" s="96">
        <f>+SUM(L55:L71)</f>
        <v>75752.250000000015</v>
      </c>
      <c r="M72" s="100"/>
      <c r="N72" s="96">
        <f>+SUM(N55:N71)</f>
        <v>9960.1422998142862</v>
      </c>
      <c r="O72" s="97" t="s">
        <v>38</v>
      </c>
      <c r="P72" s="95">
        <f>Q72/Q$27</f>
        <v>0.12112030944140073</v>
      </c>
      <c r="Q72" s="96">
        <f>+SUM(Q55:Q71)</f>
        <v>65161.68</v>
      </c>
      <c r="R72" s="100"/>
      <c r="S72" s="101">
        <f>+SUM(S55:S71)</f>
        <v>10590.57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1.0030710973132424</v>
      </c>
      <c r="F74" s="96">
        <f>F41+F54+F72</f>
        <v>496262.48673857551</v>
      </c>
      <c r="G74" s="97" t="s">
        <v>38</v>
      </c>
      <c r="H74" s="95" t="e">
        <f>I74/I$27</f>
        <v>#DIV/0!</v>
      </c>
      <c r="I74" s="96">
        <f>I41+I54+I72</f>
        <v>0</v>
      </c>
      <c r="J74" s="97" t="s">
        <v>38</v>
      </c>
      <c r="K74" s="95">
        <f>L74/L$27</f>
        <v>0.88655060634410776</v>
      </c>
      <c r="L74" s="96">
        <f>L41+L54+L72</f>
        <v>549496.38</v>
      </c>
      <c r="M74" s="100"/>
      <c r="N74" s="113">
        <f t="shared" ref="N74:N82" si="18">L74-F74</f>
        <v>53233.893261424499</v>
      </c>
      <c r="O74" s="97" t="s">
        <v>38</v>
      </c>
      <c r="P74" s="95">
        <f>Q74/Q$27</f>
        <v>0.97961519307670697</v>
      </c>
      <c r="Q74" s="96">
        <f>Q41+Q54+Q72</f>
        <v>527024.51</v>
      </c>
      <c r="R74" s="100"/>
      <c r="S74" s="114">
        <f>L74-Q74</f>
        <v>22471.869999999995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1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f>+SUM(START:END!F75)</f>
        <v>145631.92088727272</v>
      </c>
      <c r="G75" s="83"/>
      <c r="H75" s="13"/>
      <c r="I75" s="30">
        <f>+SUM(START:END!I75)</f>
        <v>0</v>
      </c>
      <c r="J75" s="41"/>
      <c r="K75" s="13"/>
      <c r="L75" s="32">
        <f>+SUM(START:END!L75)</f>
        <v>147274.36000000002</v>
      </c>
      <c r="M75" s="41"/>
      <c r="N75" s="59">
        <f t="shared" si="18"/>
        <v>1642.4391127272975</v>
      </c>
      <c r="O75" s="41"/>
      <c r="P75" s="13"/>
      <c r="Q75" s="32">
        <f>+SUM(START:END!Q75)</f>
        <v>141600.53999999998</v>
      </c>
      <c r="R75" s="41"/>
      <c r="S75" s="85">
        <f>L75-Q75</f>
        <v>5673.8200000000361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1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f>+SUM(START:END!F76)</f>
        <v>0</v>
      </c>
      <c r="G76" s="83"/>
      <c r="H76" s="13"/>
      <c r="I76" s="30">
        <f>+SUM(START:END!I76)</f>
        <v>0</v>
      </c>
      <c r="J76" s="41"/>
      <c r="K76" s="13"/>
      <c r="L76" s="32">
        <f>+SUM(START:END!L76)</f>
        <v>0</v>
      </c>
      <c r="M76" s="41"/>
      <c r="N76" s="59">
        <f t="shared" si="18"/>
        <v>0</v>
      </c>
      <c r="O76" s="41"/>
      <c r="P76" s="13"/>
      <c r="Q76" s="32">
        <f>+SUM(START:END!Q76)</f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f>+SUM(START:END!F77)</f>
        <v>0</v>
      </c>
      <c r="G77" s="83"/>
      <c r="H77" s="13"/>
      <c r="I77" s="30">
        <f>+SUM(START:END!I77)</f>
        <v>0</v>
      </c>
      <c r="J77" s="41"/>
      <c r="K77" s="13"/>
      <c r="L77" s="32">
        <f>+SUM(START:END!L77)</f>
        <v>0</v>
      </c>
      <c r="M77" s="41"/>
      <c r="N77" s="59">
        <f t="shared" si="18"/>
        <v>0</v>
      </c>
      <c r="O77" s="41"/>
      <c r="P77" s="13"/>
      <c r="Q77" s="32">
        <f>+SUM(START:END!Q77)</f>
        <v>0</v>
      </c>
      <c r="R77" s="41"/>
      <c r="S77" s="85">
        <f t="shared" ref="S77:S82" si="19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f>+SUM(START:END!F78)</f>
        <v>157439.91447272728</v>
      </c>
      <c r="G78" s="83"/>
      <c r="H78" s="13"/>
      <c r="I78" s="30">
        <f>+SUM(START:END!I78)</f>
        <v>0</v>
      </c>
      <c r="J78" s="41"/>
      <c r="K78" s="13"/>
      <c r="L78" s="33">
        <f>+SUM(START:END!L78)</f>
        <v>160254.79999999999</v>
      </c>
      <c r="M78" s="41"/>
      <c r="N78" s="59">
        <f t="shared" si="18"/>
        <v>2814.8855272727087</v>
      </c>
      <c r="O78" s="41"/>
      <c r="P78" s="13"/>
      <c r="Q78" s="32">
        <f>+SUM(START:END!Q78)</f>
        <v>142495.09999999998</v>
      </c>
      <c r="R78" s="41"/>
      <c r="S78" s="85">
        <f t="shared" si="19"/>
        <v>17759.700000000012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 t="shared" si="1"/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f>+SUM(START:END!F79)</f>
        <v>0</v>
      </c>
      <c r="G79" s="83"/>
      <c r="H79" s="13"/>
      <c r="I79" s="30">
        <f>+SUM(START:END!I79)</f>
        <v>0</v>
      </c>
      <c r="J79" s="41"/>
      <c r="K79" s="13"/>
      <c r="L79" s="33">
        <f>+SUM(START:END!L79)</f>
        <v>0</v>
      </c>
      <c r="M79" s="41"/>
      <c r="N79" s="59">
        <f t="shared" si="18"/>
        <v>0</v>
      </c>
      <c r="O79" s="41"/>
      <c r="P79" s="13"/>
      <c r="Q79" s="32">
        <f>+SUM(START:END!Q79)</f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 t="shared" si="1"/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f>+SUM(START:END!F80)</f>
        <v>0</v>
      </c>
      <c r="G80" s="83"/>
      <c r="H80" s="13"/>
      <c r="I80" s="30">
        <f>+SUM(START:END!I80)</f>
        <v>0</v>
      </c>
      <c r="J80" s="41"/>
      <c r="K80" s="13"/>
      <c r="L80" s="33">
        <f>+SUM(START:END!L80)</f>
        <v>0</v>
      </c>
      <c r="M80" s="41"/>
      <c r="N80" s="59">
        <f t="shared" si="18"/>
        <v>0</v>
      </c>
      <c r="O80" s="41"/>
      <c r="P80" s="13"/>
      <c r="Q80" s="32">
        <f>+SUM(START:END!Q80)</f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 t="shared" si="1"/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f>+SUM(START:END!F81)</f>
        <v>0</v>
      </c>
      <c r="G81" s="83"/>
      <c r="H81" s="13"/>
      <c r="I81" s="30">
        <f>+SUM(START:END!I81)</f>
        <v>0</v>
      </c>
      <c r="J81" s="41"/>
      <c r="K81" s="13"/>
      <c r="L81" s="33">
        <f>+SUM(START:END!L81)</f>
        <v>0</v>
      </c>
      <c r="M81" s="41"/>
      <c r="N81" s="59">
        <f t="shared" si="18"/>
        <v>0</v>
      </c>
      <c r="O81" s="41"/>
      <c r="P81" s="13"/>
      <c r="Q81" s="32">
        <f>+SUM(START:END!Q81)</f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si="1"/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f>+SUM(START:END!F82)</f>
        <v>53332.825000000004</v>
      </c>
      <c r="G82" s="83"/>
      <c r="H82" s="13"/>
      <c r="I82" s="30">
        <f>+SUM(START:END!I82)</f>
        <v>0</v>
      </c>
      <c r="J82" s="41"/>
      <c r="K82" s="13"/>
      <c r="L82" s="32">
        <f>+SUM(START:END!L82)</f>
        <v>55335</v>
      </c>
      <c r="M82" s="41"/>
      <c r="N82" s="59">
        <f t="shared" si="18"/>
        <v>2002.1749999999956</v>
      </c>
      <c r="O82" s="41"/>
      <c r="P82" s="13"/>
      <c r="Q82" s="32">
        <f>+SUM(START:END!Q82)</f>
        <v>52360</v>
      </c>
      <c r="R82" s="41"/>
      <c r="S82" s="85">
        <f t="shared" si="19"/>
        <v>2975</v>
      </c>
      <c r="T82" s="13"/>
      <c r="U82" s="13"/>
      <c r="V82" s="11"/>
      <c r="W82" s="489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1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356404.66036000004</v>
      </c>
      <c r="G83" s="97"/>
      <c r="H83" s="95"/>
      <c r="I83" s="96">
        <f>+SUM(I75:I82)</f>
        <v>0</v>
      </c>
      <c r="J83" s="97"/>
      <c r="K83" s="95"/>
      <c r="L83" s="96">
        <f>+SUM(L75:L82)</f>
        <v>362864.16000000003</v>
      </c>
      <c r="M83" s="100"/>
      <c r="N83" s="96">
        <f>+SUM(N75:N82)</f>
        <v>6459.4996400000018</v>
      </c>
      <c r="O83" s="97"/>
      <c r="P83" s="95"/>
      <c r="Q83" s="96">
        <f>+SUM(Q75:Q82)</f>
        <v>336455.63999999996</v>
      </c>
      <c r="R83" s="100"/>
      <c r="S83" s="101">
        <f>+SUM(S75:S82)</f>
        <v>26408.520000000048</v>
      </c>
      <c r="T83" s="13"/>
      <c r="U83" s="13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1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1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354885.25620832219</v>
      </c>
      <c r="G85" s="128"/>
      <c r="H85" s="126"/>
      <c r="I85" s="127">
        <f>I27-I74+I83</f>
        <v>0</v>
      </c>
      <c r="J85" s="128"/>
      <c r="K85" s="125"/>
      <c r="L85" s="127">
        <f>L27-L74+L83</f>
        <v>433181.66999999993</v>
      </c>
      <c r="M85" s="128"/>
      <c r="N85" s="127">
        <f>N27-N41-N54-N72+N83</f>
        <v>78296.413791677769</v>
      </c>
      <c r="O85" s="128"/>
      <c r="P85" s="125"/>
      <c r="Q85" s="127">
        <f>Q27-Q74+Q83</f>
        <v>347422.48999999982</v>
      </c>
      <c r="R85" s="128"/>
      <c r="S85" s="129">
        <f>S27-S41-S54-S72+S83</f>
        <v>85759.180000000109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  Q2 2025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507" t="s">
        <v>5</v>
      </c>
      <c r="E91" s="508"/>
      <c r="F91" s="509"/>
      <c r="G91" s="510" t="s">
        <v>71</v>
      </c>
      <c r="H91" s="508"/>
      <c r="I91" s="509"/>
      <c r="J91" s="510" t="s">
        <v>7</v>
      </c>
      <c r="K91" s="508"/>
      <c r="L91" s="509"/>
      <c r="M91" s="510" t="s">
        <v>213</v>
      </c>
      <c r="N91" s="509"/>
      <c r="O91" s="507" t="s">
        <v>8</v>
      </c>
      <c r="P91" s="508"/>
      <c r="Q91" s="509"/>
      <c r="R91" s="505" t="s">
        <v>214</v>
      </c>
      <c r="S91" s="506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 t="s">
        <v>10</v>
      </c>
      <c r="H92" s="80" t="s">
        <v>11</v>
      </c>
      <c r="I92" s="134" t="s">
        <v>12</v>
      </c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13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58" si="20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f>+SUM(START:END!F93)</f>
        <v>5215176.4705882352</v>
      </c>
      <c r="G93" s="46"/>
      <c r="H93" s="25"/>
      <c r="I93" s="22">
        <f>+SUM(START:END!I93)</f>
        <v>0</v>
      </c>
      <c r="J93" s="23"/>
      <c r="K93" s="25"/>
      <c r="L93" s="22">
        <f>+SUM(START:END!L93)</f>
        <v>4642482.41</v>
      </c>
      <c r="M93" s="137"/>
      <c r="N93" s="138"/>
      <c r="O93" s="23"/>
      <c r="P93" s="25"/>
      <c r="Q93" s="22">
        <f>+SUM(START:END!Q93)</f>
        <v>4968976.4999999795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0"/>
        <v>Véhicules usagésCertifié</v>
      </c>
      <c r="B94" s="11" t="s">
        <v>70</v>
      </c>
      <c r="C94" s="29" t="s">
        <v>72</v>
      </c>
      <c r="D94" s="30">
        <f>+SUM(START:END!D94)</f>
        <v>23</v>
      </c>
      <c r="E94" s="30">
        <f>IF(D94=0,0,F94/D94)</f>
        <v>2300</v>
      </c>
      <c r="F94" s="30">
        <f>+SUM(START:END!F94)</f>
        <v>52900</v>
      </c>
      <c r="G94" s="31">
        <f>+SUM(START:END!G94)</f>
        <v>0</v>
      </c>
      <c r="H94" s="30">
        <f t="shared" ref="H94:H100" si="21">IF(G94=0,0,I94/G94)</f>
        <v>0</v>
      </c>
      <c r="I94" s="30">
        <f>+SUM(START:END!I94)</f>
        <v>0</v>
      </c>
      <c r="J94" s="31">
        <f>+SUM(START:END!J94)</f>
        <v>14</v>
      </c>
      <c r="K94" s="30">
        <f>IF(J94=0,0,L94/J94)</f>
        <v>2570.5035714285727</v>
      </c>
      <c r="L94" s="33">
        <f>+SUM(START:END!L94)</f>
        <v>35987.050000000017</v>
      </c>
      <c r="M94" s="31">
        <f>J94-D94</f>
        <v>-9</v>
      </c>
      <c r="N94" s="33">
        <f>L94-F94</f>
        <v>-16912.949999999983</v>
      </c>
      <c r="O94" s="31">
        <f>+SUM(START:END!O94)</f>
        <v>22</v>
      </c>
      <c r="P94" s="30">
        <f>IF(O94=0,0,Q94/O94)</f>
        <v>2080.9290909090819</v>
      </c>
      <c r="Q94" s="33">
        <f>+SUM(START:END!Q94)</f>
        <v>45780.439999999799</v>
      </c>
      <c r="R94" s="31">
        <f>J94-O94</f>
        <v>-8</v>
      </c>
      <c r="S94" s="34">
        <f>L94-Q94</f>
        <v>-9793.3899999997811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0"/>
        <v>Véhicules usagésNon Certifié</v>
      </c>
      <c r="B95" s="11" t="s">
        <v>70</v>
      </c>
      <c r="C95" s="29" t="s">
        <v>73</v>
      </c>
      <c r="D95" s="30">
        <f>+SUM(START:END!D95)</f>
        <v>23</v>
      </c>
      <c r="E95" s="30">
        <f>IF(D95=0,0,F95/D95)</f>
        <v>1600</v>
      </c>
      <c r="F95" s="30">
        <f>+SUM(START:END!F95)</f>
        <v>36800</v>
      </c>
      <c r="G95" s="31">
        <f>+SUM(START:END!G95)</f>
        <v>0</v>
      </c>
      <c r="H95" s="30">
        <f t="shared" si="21"/>
        <v>0</v>
      </c>
      <c r="I95" s="30">
        <f>+SUM(START:END!I95)</f>
        <v>0</v>
      </c>
      <c r="J95" s="31">
        <f>+SUM(START:END!J95)</f>
        <v>29</v>
      </c>
      <c r="K95" s="30">
        <f>IF(J95=0,0,L95/J95)</f>
        <v>1877.6982758620684</v>
      </c>
      <c r="L95" s="32">
        <f>+SUM(START:END!L95)</f>
        <v>54453.249999999985</v>
      </c>
      <c r="M95" s="31">
        <f>J95-D95</f>
        <v>6</v>
      </c>
      <c r="N95" s="33">
        <f>L95-F95</f>
        <v>17653.249999999985</v>
      </c>
      <c r="O95" s="31">
        <f>+SUM(START:END!O95)</f>
        <v>27</v>
      </c>
      <c r="P95" s="30">
        <f>IF(O95=0,0,Q95/O95)</f>
        <v>1804.5996296296255</v>
      </c>
      <c r="Q95" s="32">
        <f>+SUM(START:END!Q95)</f>
        <v>48724.189999999886</v>
      </c>
      <c r="R95" s="31">
        <f>J95-O95</f>
        <v>2</v>
      </c>
      <c r="S95" s="34">
        <f>L95-Q95</f>
        <v>5729.0600000000995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>+B96&amp;C96</f>
        <v>Véhicules usagésAutres marques</v>
      </c>
      <c r="B96" s="11" t="s">
        <v>70</v>
      </c>
      <c r="C96" s="29" t="s">
        <v>207</v>
      </c>
      <c r="D96" s="30">
        <f>+SUM(START:END!D96)</f>
        <v>23</v>
      </c>
      <c r="E96" s="25">
        <f>IF(D96=0,0,F96/D96)</f>
        <v>1500</v>
      </c>
      <c r="F96" s="30">
        <f>+SUM(START:END!F96)</f>
        <v>34500</v>
      </c>
      <c r="G96" s="31">
        <f>+SUM(START:END!G96)</f>
        <v>0</v>
      </c>
      <c r="H96" s="30">
        <f t="shared" si="21"/>
        <v>0</v>
      </c>
      <c r="I96" s="30">
        <f>+SUM(START:END!I96)</f>
        <v>0</v>
      </c>
      <c r="J96" s="31">
        <f>+SUM(START:END!J96)</f>
        <v>19</v>
      </c>
      <c r="K96" s="30">
        <f>IF(J96=0,0,L96/J96)</f>
        <v>1441.9768421052629</v>
      </c>
      <c r="L96" s="32">
        <f>+SUM(START:END!L96)</f>
        <v>27397.559999999994</v>
      </c>
      <c r="M96" s="31">
        <f>J96-D96</f>
        <v>-4</v>
      </c>
      <c r="N96" s="33">
        <f>L96-F96</f>
        <v>-7102.440000000006</v>
      </c>
      <c r="O96" s="31">
        <f>+SUM(START:END!O96)</f>
        <v>22</v>
      </c>
      <c r="P96" s="30">
        <f>IF(O96=0,0,Q96/O96)</f>
        <v>922.37636363636329</v>
      </c>
      <c r="Q96" s="32">
        <f>+SUM(START:END!Q96)</f>
        <v>20292.279999999992</v>
      </c>
      <c r="R96" s="31">
        <f>J96-O96</f>
        <v>-3</v>
      </c>
      <c r="S96" s="34">
        <f>L96-Q96</f>
        <v>7105.2800000000025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0"/>
        <v>Véhicules usagésTotal Usagés</v>
      </c>
      <c r="B97" s="11" t="s">
        <v>70</v>
      </c>
      <c r="C97" s="35" t="s">
        <v>74</v>
      </c>
      <c r="D97" s="36">
        <f>+D95+D94+D96</f>
        <v>69</v>
      </c>
      <c r="E97" s="30">
        <f>IF(D97=0,0,F97/D97)</f>
        <v>1800</v>
      </c>
      <c r="F97" s="37">
        <f>+F94+F95+F96</f>
        <v>124200</v>
      </c>
      <c r="G97" s="38">
        <f>+G95+G94+G96</f>
        <v>0</v>
      </c>
      <c r="H97" s="36">
        <f t="shared" si="21"/>
        <v>0</v>
      </c>
      <c r="I97" s="37">
        <f>+I94+I95+I96</f>
        <v>0</v>
      </c>
      <c r="J97" s="38">
        <f>+J95+J94+J96</f>
        <v>62</v>
      </c>
      <c r="K97" s="36">
        <f>IF(J97=0,0,L97/J97)</f>
        <v>1900.6106451612902</v>
      </c>
      <c r="L97" s="37">
        <f>+L94+L95+L96</f>
        <v>117837.86</v>
      </c>
      <c r="M97" s="38">
        <f>J97-D97</f>
        <v>-7</v>
      </c>
      <c r="N97" s="37">
        <f>L97-F97</f>
        <v>-6362.1399999999994</v>
      </c>
      <c r="O97" s="38">
        <f>+O95+O94+O96</f>
        <v>71</v>
      </c>
      <c r="P97" s="36">
        <f>IF(O97&lt;=0,0,Q97/O97)</f>
        <v>1616.8578873239392</v>
      </c>
      <c r="Q97" s="37">
        <f>+Q94+Q95+Q96</f>
        <v>114796.90999999968</v>
      </c>
      <c r="R97" s="38">
        <f>J97-O97</f>
        <v>-9</v>
      </c>
      <c r="S97" s="39">
        <f>L97-Q97</f>
        <v>3040.9500000003172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0"/>
        <v>Véhicules usagés</v>
      </c>
      <c r="B98" s="11" t="s">
        <v>70</v>
      </c>
      <c r="C98" s="29"/>
      <c r="D98" s="13"/>
      <c r="E98" s="30"/>
      <c r="F98" s="40"/>
      <c r="G98" s="41"/>
      <c r="H98" s="13">
        <f t="shared" si="21"/>
        <v>0</v>
      </c>
      <c r="I98" s="40"/>
      <c r="J98" s="41"/>
      <c r="K98" s="13"/>
      <c r="L98" s="40"/>
      <c r="M98" s="42">
        <f>M97/D97</f>
        <v>-0.10144927536231885</v>
      </c>
      <c r="N98" s="43">
        <f>N97/F97</f>
        <v>-5.1224959742351042E-2</v>
      </c>
      <c r="O98" s="41"/>
      <c r="P98" s="13"/>
      <c r="Q98" s="40"/>
      <c r="R98" s="42">
        <f>R97/O97</f>
        <v>-0.12676056338028169</v>
      </c>
      <c r="S98" s="44">
        <f>IF(Q97=0,0,(S97/Q97))</f>
        <v>2.6489824508345441E-2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0"/>
        <v>Véhicules usagésUS</v>
      </c>
      <c r="B99" s="11" t="s">
        <v>70</v>
      </c>
      <c r="C99" s="29" t="s">
        <v>187</v>
      </c>
      <c r="D99" s="30">
        <f>+SUM(START:END!D99)</f>
        <v>0</v>
      </c>
      <c r="E99" s="30">
        <f>IF(D99=0,0,F99/D99)</f>
        <v>0</v>
      </c>
      <c r="F99" s="30">
        <f>+SUM(START:END!F99)</f>
        <v>0</v>
      </c>
      <c r="G99" s="41">
        <f>+SUM(START:END!G99)</f>
        <v>0</v>
      </c>
      <c r="H99" s="30">
        <f t="shared" si="21"/>
        <v>0</v>
      </c>
      <c r="I99" s="30">
        <f>+SUM(START:END!I99)</f>
        <v>0</v>
      </c>
      <c r="J99" s="31">
        <f>+SUM(START:END!J99)</f>
        <v>0</v>
      </c>
      <c r="K99" s="30">
        <f>IF(J99=0,0,L99/J99)</f>
        <v>0</v>
      </c>
      <c r="L99" s="33">
        <f>+SUM(START:END!L99)</f>
        <v>0</v>
      </c>
      <c r="M99" s="31"/>
      <c r="N99" s="33"/>
      <c r="O99" s="31">
        <f>+SUM(START:END!O99)</f>
        <v>0</v>
      </c>
      <c r="P99" s="30">
        <f>IF(O99=0,0,Q99/O99)</f>
        <v>0</v>
      </c>
      <c r="Q99" s="33">
        <f>+SUM(START:END!Q99)</f>
        <v>0</v>
      </c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0"/>
        <v>Véhicules usagésVentes au Gros</v>
      </c>
      <c r="B100" s="11" t="s">
        <v>70</v>
      </c>
      <c r="C100" s="29" t="s">
        <v>75</v>
      </c>
      <c r="D100" s="30">
        <f>+SUM(START:END!D100)</f>
        <v>67</v>
      </c>
      <c r="E100" s="30">
        <f>IF(D100=0,0,F100/D100)</f>
        <v>350</v>
      </c>
      <c r="F100" s="30">
        <f>+SUM(START:END!F100)</f>
        <v>23450</v>
      </c>
      <c r="G100" s="31">
        <f>+SUM(START:END!G100)</f>
        <v>0</v>
      </c>
      <c r="H100" s="30">
        <f t="shared" si="21"/>
        <v>0</v>
      </c>
      <c r="I100" s="30">
        <f>+SUM(START:END!I100)</f>
        <v>0</v>
      </c>
      <c r="J100" s="31">
        <f>+SUM(START:END!J100)</f>
        <v>60</v>
      </c>
      <c r="K100" s="30">
        <f>IF(J100=0,0,L100/J100)</f>
        <v>404.78349999999921</v>
      </c>
      <c r="L100" s="33">
        <f>+SUM(START:END!L100)</f>
        <v>24287.009999999951</v>
      </c>
      <c r="M100" s="31">
        <f>J100-D100</f>
        <v>-7</v>
      </c>
      <c r="N100" s="33">
        <f>L100-F100</f>
        <v>837.00999999995111</v>
      </c>
      <c r="O100" s="31">
        <f>+SUM(START:END!O100)</f>
        <v>64</v>
      </c>
      <c r="P100" s="30">
        <f>IF(O100=0,0,Q100/O100)</f>
        <v>157.34718750000016</v>
      </c>
      <c r="Q100" s="33">
        <f>+SUM(START:END!Q100)</f>
        <v>10070.22000000001</v>
      </c>
      <c r="R100" s="31">
        <f>J100-O100</f>
        <v>-4</v>
      </c>
      <c r="S100" s="34">
        <f>L100-Q100</f>
        <v>14216.789999999941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0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0"/>
        <v>Véhicules usagésRev. Finances</v>
      </c>
      <c r="B102" s="11" t="s">
        <v>70</v>
      </c>
      <c r="C102" s="29" t="s">
        <v>24</v>
      </c>
      <c r="D102" s="30">
        <f>+SUM(START:END!D102)</f>
        <v>0</v>
      </c>
      <c r="E102" s="30">
        <f>IF(D102=0,0,F102/D102)</f>
        <v>0</v>
      </c>
      <c r="F102" s="33">
        <f>+SUM(START:END!F102)</f>
        <v>26220</v>
      </c>
      <c r="G102" s="31">
        <f>+SUM(START:END!G102)</f>
        <v>0</v>
      </c>
      <c r="H102" s="30">
        <f>IF(G102=0,0,I102/G102)</f>
        <v>0</v>
      </c>
      <c r="I102" s="30">
        <f>+SUM(START:END!I102)</f>
        <v>0</v>
      </c>
      <c r="J102" s="31">
        <f>+SUM(START:END!J102)</f>
        <v>0</v>
      </c>
      <c r="K102" s="30">
        <f>IF(J102=0,0,L102/J102)</f>
        <v>0</v>
      </c>
      <c r="L102" s="33">
        <f>+SUM(START:END!L102)</f>
        <v>34930.130000000005</v>
      </c>
      <c r="M102" s="31"/>
      <c r="N102" s="33">
        <f>L102-F102</f>
        <v>8710.1300000000047</v>
      </c>
      <c r="O102" s="31">
        <f>+SUM(START:END!O102)</f>
        <v>0</v>
      </c>
      <c r="P102" s="30">
        <f>IF(O102=0,0,Q102/O102)</f>
        <v>0</v>
      </c>
      <c r="Q102" s="33">
        <f>+SUM(START:END!Q102)</f>
        <v>28470.75</v>
      </c>
      <c r="R102" s="31">
        <f>O102-K102</f>
        <v>0</v>
      </c>
      <c r="S102" s="34">
        <f>L102-Q102</f>
        <v>6459.3800000000047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0"/>
        <v>Véhicules usagésRev. Protections</v>
      </c>
      <c r="B103" s="11" t="s">
        <v>70</v>
      </c>
      <c r="C103" s="29" t="s">
        <v>25</v>
      </c>
      <c r="D103" s="30">
        <f>+SUM(START:END!D103)</f>
        <v>0</v>
      </c>
      <c r="E103" s="30">
        <f>IF(D103=0,0,F103/D103)</f>
        <v>0</v>
      </c>
      <c r="F103" s="33">
        <f>+SUM(START:END!F103)</f>
        <v>58650</v>
      </c>
      <c r="G103" s="31">
        <f>+SUM(START:END!G103)</f>
        <v>0</v>
      </c>
      <c r="H103" s="30">
        <f>IF(G103=0,0,I103/G103)</f>
        <v>0</v>
      </c>
      <c r="I103" s="30">
        <f>+SUM(START:END!I103)</f>
        <v>0</v>
      </c>
      <c r="J103" s="31">
        <f>+SUM(START:END!J103)</f>
        <v>0</v>
      </c>
      <c r="K103" s="30">
        <f>IF(J103=0,0,L103/J103)</f>
        <v>0</v>
      </c>
      <c r="L103" s="33">
        <f>+SUM(START:END!L103)</f>
        <v>86875.39</v>
      </c>
      <c r="M103" s="31"/>
      <c r="N103" s="33">
        <f>L103-F103</f>
        <v>28225.39</v>
      </c>
      <c r="O103" s="31">
        <f>+SUM(START:END!O103)</f>
        <v>0</v>
      </c>
      <c r="P103" s="30">
        <f>IF(O103=0,0,Q103/O103)</f>
        <v>0</v>
      </c>
      <c r="Q103" s="33">
        <f>+SUM(START:END!Q103)</f>
        <v>56115.630000000005</v>
      </c>
      <c r="R103" s="31">
        <f>O103-K103</f>
        <v>0</v>
      </c>
      <c r="S103" s="34">
        <f>L103-Q103</f>
        <v>30759.759999999995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0"/>
        <v>Véhicules usagésRev. Autres</v>
      </c>
      <c r="B104" s="11" t="s">
        <v>70</v>
      </c>
      <c r="C104" s="29" t="s">
        <v>26</v>
      </c>
      <c r="D104" s="30">
        <f>+SUM(START:END!D104)</f>
        <v>0</v>
      </c>
      <c r="E104" s="25">
        <f>IF(D104=0,0,F104/D104)</f>
        <v>0</v>
      </c>
      <c r="F104" s="33">
        <f>+SUM(START:END!F104)</f>
        <v>15180</v>
      </c>
      <c r="G104" s="31">
        <f>+SUM(START:END!G104)</f>
        <v>0</v>
      </c>
      <c r="H104" s="47">
        <f>IF(G104=0,0,I104/G104)</f>
        <v>0</v>
      </c>
      <c r="I104" s="30">
        <f>+SUM(START:END!I104)</f>
        <v>0</v>
      </c>
      <c r="J104" s="31">
        <f>+SUM(START:END!J104)</f>
        <v>0</v>
      </c>
      <c r="K104" s="47">
        <f>IF(J104=0,0,L104/J104)</f>
        <v>0</v>
      </c>
      <c r="L104" s="33">
        <f>+SUM(START:END!L104)</f>
        <v>23749.930000000004</v>
      </c>
      <c r="M104" s="51"/>
      <c r="N104" s="33">
        <f>L104-F104</f>
        <v>8569.9300000000039</v>
      </c>
      <c r="O104" s="31">
        <f>+SUM(START:END!O104)</f>
        <v>0</v>
      </c>
      <c r="P104" s="47">
        <f>IF(O104=0,0,Q104/O104)</f>
        <v>0</v>
      </c>
      <c r="Q104" s="33">
        <f>+SUM(START:END!Q104)</f>
        <v>9275</v>
      </c>
      <c r="R104" s="31">
        <f>O104-K104</f>
        <v>0</v>
      </c>
      <c r="S104" s="34">
        <f>L104-Q104</f>
        <v>14474.930000000004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0"/>
        <v>Véhicules usagésTotal F&amp;I</v>
      </c>
      <c r="B105" s="11" t="s">
        <v>70</v>
      </c>
      <c r="C105" s="35" t="s">
        <v>27</v>
      </c>
      <c r="D105" s="36">
        <f>D97</f>
        <v>69</v>
      </c>
      <c r="E105" s="30">
        <f>IF(D105=0,0,F105/D105)</f>
        <v>1450</v>
      </c>
      <c r="F105" s="37">
        <f>F102+F103+F104</f>
        <v>100050</v>
      </c>
      <c r="G105" s="38">
        <f>G97</f>
        <v>0</v>
      </c>
      <c r="H105" s="36">
        <f>IF(G105=0,0,I105/G105)</f>
        <v>0</v>
      </c>
      <c r="I105" s="37">
        <f>I102+I103+I104</f>
        <v>0</v>
      </c>
      <c r="J105" s="38">
        <f>J97</f>
        <v>62</v>
      </c>
      <c r="K105" s="36">
        <f>IF(J105&lt;=0,0,L105/J105)</f>
        <v>2347.668548387097</v>
      </c>
      <c r="L105" s="37">
        <f>L102+L103+L104</f>
        <v>145555.45000000001</v>
      </c>
      <c r="M105" s="31">
        <f>J105-D105</f>
        <v>-7</v>
      </c>
      <c r="N105" s="37">
        <f>L105-F105</f>
        <v>45505.450000000012</v>
      </c>
      <c r="O105" s="38">
        <f>O97</f>
        <v>71</v>
      </c>
      <c r="P105" s="36">
        <f>IF(O105&lt;=0,0,Q105/O105)</f>
        <v>1321.9912676056338</v>
      </c>
      <c r="Q105" s="37">
        <f>Q102+Q103+Q104</f>
        <v>93861.38</v>
      </c>
      <c r="R105" s="56"/>
      <c r="S105" s="39">
        <f>L105-Q105</f>
        <v>51694.070000000007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0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0.45482708645677172</v>
      </c>
      <c r="O106" s="41"/>
      <c r="P106" s="13"/>
      <c r="Q106" s="59"/>
      <c r="R106" s="60"/>
      <c r="S106" s="44">
        <f>IF(Q105=0,0,(S105/Q105))</f>
        <v>0.55074909403633321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0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0"/>
        <v>Véhicules usagésTotal Dépt. Usagés</v>
      </c>
      <c r="B108" s="11" t="s">
        <v>70</v>
      </c>
      <c r="C108" s="62" t="s">
        <v>76</v>
      </c>
      <c r="D108" s="63">
        <f>D97+D100</f>
        <v>136</v>
      </c>
      <c r="E108" s="67">
        <f>IF(D108&lt;=0,0,F108/D108)</f>
        <v>1821.3235294117646</v>
      </c>
      <c r="F108" s="65">
        <f>F97+F105+F100</f>
        <v>247700</v>
      </c>
      <c r="G108" s="66">
        <f>G97+G100</f>
        <v>0</v>
      </c>
      <c r="H108" s="67">
        <f>IF(G108&lt;=0,0,I108/G108)</f>
        <v>0</v>
      </c>
      <c r="I108" s="65">
        <f>I97+I105+I100</f>
        <v>0</v>
      </c>
      <c r="J108" s="66">
        <f>J97+J100+J99</f>
        <v>122</v>
      </c>
      <c r="K108" s="67">
        <f>IF(J108&lt;=0,0,L108/J108)</f>
        <v>2358.0354098360654</v>
      </c>
      <c r="L108" s="65">
        <f>L97+L105+L100+L99</f>
        <v>287680.31999999995</v>
      </c>
      <c r="M108" s="66">
        <f>J108-D108</f>
        <v>-14</v>
      </c>
      <c r="N108" s="65">
        <f>L108-F108</f>
        <v>39980.319999999949</v>
      </c>
      <c r="O108" s="66">
        <f>O97+O100+O99</f>
        <v>135</v>
      </c>
      <c r="P108" s="67">
        <f>IF(O108&lt;=0,0,Q108/O108)</f>
        <v>1620.2111851851828</v>
      </c>
      <c r="Q108" s="65">
        <f>Q97+Q105+Q100+Q99</f>
        <v>218728.50999999969</v>
      </c>
      <c r="R108" s="66">
        <f>J108-O108</f>
        <v>-13</v>
      </c>
      <c r="S108" s="68">
        <f>L108-Q108</f>
        <v>68951.81000000026</v>
      </c>
      <c r="T108" s="13"/>
      <c r="U108" s="13"/>
      <c r="V108" s="454">
        <f>(L108+L27)/(F27+F108)</f>
        <v>1.2223081220421825</v>
      </c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0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-0.10294117647058823</v>
      </c>
      <c r="N109" s="74">
        <f>N108/F108</f>
        <v>0.16140621719822346</v>
      </c>
      <c r="O109" s="72"/>
      <c r="P109" s="70"/>
      <c r="Q109" s="71"/>
      <c r="R109" s="73">
        <f>O108/R108</f>
        <v>-10.384615384615385</v>
      </c>
      <c r="S109" s="145">
        <f>IF(Q108=0,0,(S108/Q108))</f>
        <v>0.31523924338898646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0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0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0"/>
        <v>Véhicules usagésComm. vendeurs</v>
      </c>
      <c r="B112" s="11" t="s">
        <v>70</v>
      </c>
      <c r="C112" s="29" t="s">
        <v>30</v>
      </c>
      <c r="D112" s="148">
        <f>F112/(F97+F105)</f>
        <v>0.1863659623179863</v>
      </c>
      <c r="E112" s="82">
        <f>F112/D$97</f>
        <v>605.68937753345551</v>
      </c>
      <c r="F112" s="30">
        <f>+SUM(START:END!F112)</f>
        <v>41792.567049808429</v>
      </c>
      <c r="G112" s="157" t="e">
        <f>I112/I97</f>
        <v>#DIV/0!</v>
      </c>
      <c r="H112" s="82" t="e">
        <f>I112/G$97</f>
        <v>#DIV/0!</v>
      </c>
      <c r="I112" s="30">
        <f>+SUM(START:END!I112)</f>
        <v>0</v>
      </c>
      <c r="J112" s="157">
        <f>L112/L97</f>
        <v>0.3365642417470921</v>
      </c>
      <c r="K112" s="82">
        <f>IF($J$97=0,0,L112/(J$94+J$95))</f>
        <v>922.32581395348825</v>
      </c>
      <c r="L112" s="33">
        <f>+SUM(START:END!L112)</f>
        <v>39660.009999999995</v>
      </c>
      <c r="M112" s="41"/>
      <c r="N112" s="59">
        <f t="shared" ref="N112:N153" si="22">L112-F112</f>
        <v>-2132.5570498084344</v>
      </c>
      <c r="O112" s="157">
        <f>Q112/Q97</f>
        <v>0.39505235811660888</v>
      </c>
      <c r="P112" s="82">
        <f>IF($J$97=0,0,Q112/(O$94+O$95))</f>
        <v>925.5263265306121</v>
      </c>
      <c r="Q112" s="33">
        <f>+SUM(START:END!Q112)</f>
        <v>45350.789999999994</v>
      </c>
      <c r="R112" s="41"/>
      <c r="S112" s="85">
        <f t="shared" ref="S112:S148" si="23">L112-Q112</f>
        <v>-5690.7799999999988</v>
      </c>
      <c r="T112" s="13"/>
      <c r="U112" s="13"/>
      <c r="V112" s="1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0"/>
        <v>Véhicules usagésComm. F&amp;I</v>
      </c>
      <c r="B113" s="11" t="s">
        <v>70</v>
      </c>
      <c r="C113" s="86" t="s">
        <v>31</v>
      </c>
      <c r="D113" s="218">
        <f>F113/(F105+F19)</f>
        <v>0.24878579645638482</v>
      </c>
      <c r="E113" s="88">
        <f>F113/D$97</f>
        <v>398.75</v>
      </c>
      <c r="F113" s="22">
        <f>+SUM(START:END!F113)</f>
        <v>27513.75</v>
      </c>
      <c r="G113" s="162" t="e">
        <f>I113/I98</f>
        <v>#DIV/0!</v>
      </c>
      <c r="H113" s="88" t="e">
        <f>I113/G$97</f>
        <v>#DIV/0!</v>
      </c>
      <c r="I113" s="22">
        <f>+SUM(START:END!I113)</f>
        <v>0</v>
      </c>
      <c r="J113" s="162">
        <f>L113/L105</f>
        <v>0.25734378204320069</v>
      </c>
      <c r="K113" s="88">
        <f>IF($J$97=0,0,L113/(J$94+J$95))</f>
        <v>871.11139534883728</v>
      </c>
      <c r="L113" s="33">
        <f>+SUM(START:END!L113)</f>
        <v>37457.79</v>
      </c>
      <c r="M113" s="23"/>
      <c r="N113" s="91">
        <f t="shared" si="22"/>
        <v>9944.0400000000009</v>
      </c>
      <c r="O113" s="162">
        <f>Q113/(Q105+Q19)</f>
        <v>0.27627080835600121</v>
      </c>
      <c r="P113" s="88">
        <f>IF($J$97=0,0,Q113/(O$94+O$95))</f>
        <v>632.89571428571423</v>
      </c>
      <c r="Q113" s="33">
        <f>+SUM(START:END!Q113)</f>
        <v>31011.89</v>
      </c>
      <c r="R113" s="23"/>
      <c r="S113" s="92">
        <f t="shared" si="23"/>
        <v>6445.9000000000015</v>
      </c>
      <c r="T113" s="13"/>
      <c r="U113" s="13"/>
      <c r="V113" s="11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0"/>
        <v>Véhicules usagésFrais de livraison</v>
      </c>
      <c r="B114" s="11" t="s">
        <v>70</v>
      </c>
      <c r="C114" s="29" t="s">
        <v>32</v>
      </c>
      <c r="D114" s="81"/>
      <c r="E114" s="82">
        <f>F114/D$97</f>
        <v>90</v>
      </c>
      <c r="F114" s="30">
        <f>+SUM(START:END!F114)</f>
        <v>6210</v>
      </c>
      <c r="G114" s="83"/>
      <c r="H114" s="82" t="e">
        <f>I114/G$97</f>
        <v>#DIV/0!</v>
      </c>
      <c r="I114" s="30">
        <f>+SUM(START:END!I114)</f>
        <v>0</v>
      </c>
      <c r="J114" s="41"/>
      <c r="K114" s="82">
        <f>IF($J$97=0,0,L114/(J$94+J$95))</f>
        <v>120.47302325581396</v>
      </c>
      <c r="L114" s="108">
        <f>+SUM(START:END!L114)</f>
        <v>5180.34</v>
      </c>
      <c r="M114" s="41"/>
      <c r="N114" s="59">
        <f t="shared" si="22"/>
        <v>-1029.6599999999999</v>
      </c>
      <c r="O114" s="41"/>
      <c r="P114" s="82">
        <f>IF($J$97=0,0,Q114/(O$94+O$95))</f>
        <v>132.90591836734691</v>
      </c>
      <c r="Q114" s="108">
        <f>+SUM(START:END!Q114)</f>
        <v>6512.3899999999994</v>
      </c>
      <c r="R114" s="41"/>
      <c r="S114" s="85">
        <f t="shared" si="23"/>
        <v>-1332.0499999999993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0"/>
        <v>Véhicules usagésService gratuit 1</v>
      </c>
      <c r="B115" s="11" t="s">
        <v>70</v>
      </c>
      <c r="C115" s="29" t="s">
        <v>33</v>
      </c>
      <c r="D115" s="81"/>
      <c r="E115" s="82">
        <f t="shared" ref="E115:E121" si="24">F115/D$97</f>
        <v>94</v>
      </c>
      <c r="F115" s="30">
        <f>+SUM(START:END!F115)</f>
        <v>6486</v>
      </c>
      <c r="G115" s="83"/>
      <c r="H115" s="82" t="e">
        <f t="shared" ref="H115:H121" si="25">I115/G$97</f>
        <v>#DIV/0!</v>
      </c>
      <c r="I115" s="30">
        <f>+SUM(START:END!I115)</f>
        <v>0</v>
      </c>
      <c r="J115" s="41"/>
      <c r="K115" s="82">
        <f t="shared" ref="K115:K121" si="26">IF($J$97=0,0,L115/(J$94+J$95))</f>
        <v>92.303720930232558</v>
      </c>
      <c r="L115" s="33">
        <f>+SUM(START:END!L115)</f>
        <v>3969.06</v>
      </c>
      <c r="M115" s="41"/>
      <c r="N115" s="59">
        <f t="shared" si="22"/>
        <v>-2516.94</v>
      </c>
      <c r="O115" s="41"/>
      <c r="P115" s="82">
        <f t="shared" ref="P115:P121" si="27">IF($J$97=0,0,Q115/(O$94+O$95))</f>
        <v>115.17673469387755</v>
      </c>
      <c r="Q115" s="33">
        <f>+SUM(START:END!Q115)</f>
        <v>5643.66</v>
      </c>
      <c r="R115" s="41"/>
      <c r="S115" s="85">
        <f t="shared" si="23"/>
        <v>-1674.6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0"/>
        <v>Véhicules usagésEntretien stock</v>
      </c>
      <c r="B116" s="11" t="s">
        <v>70</v>
      </c>
      <c r="C116" s="86" t="s">
        <v>34</v>
      </c>
      <c r="D116" s="87"/>
      <c r="E116" s="88">
        <f t="shared" si="24"/>
        <v>83.913043478260875</v>
      </c>
      <c r="F116" s="22">
        <f>+SUM(START:END!F116)</f>
        <v>5790</v>
      </c>
      <c r="G116" s="89"/>
      <c r="H116" s="88" t="e">
        <f t="shared" si="25"/>
        <v>#DIV/0!</v>
      </c>
      <c r="I116" s="22">
        <f>+SUM(START:END!I116)</f>
        <v>0</v>
      </c>
      <c r="J116" s="23"/>
      <c r="K116" s="88">
        <f t="shared" si="26"/>
        <v>188.72000000000003</v>
      </c>
      <c r="L116" s="48">
        <f>+SUM(START:END!L116)</f>
        <v>8114.9600000000009</v>
      </c>
      <c r="M116" s="23"/>
      <c r="N116" s="91">
        <f t="shared" si="22"/>
        <v>2324.9600000000009</v>
      </c>
      <c r="O116" s="23"/>
      <c r="P116" s="88">
        <f t="shared" si="27"/>
        <v>114.98795918367347</v>
      </c>
      <c r="Q116" s="48">
        <f>+SUM(START:END!Q116)</f>
        <v>5634.41</v>
      </c>
      <c r="R116" s="23"/>
      <c r="S116" s="92">
        <f t="shared" si="23"/>
        <v>2480.5500000000011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0"/>
        <v>Véhicules usagésPublicité 1</v>
      </c>
      <c r="B117" s="11" t="s">
        <v>70</v>
      </c>
      <c r="C117" s="29" t="s">
        <v>35</v>
      </c>
      <c r="D117" s="81"/>
      <c r="E117" s="82">
        <f t="shared" si="24"/>
        <v>275</v>
      </c>
      <c r="F117" s="30">
        <f>+SUM(START:END!F117)</f>
        <v>18975</v>
      </c>
      <c r="G117" s="83"/>
      <c r="H117" s="82" t="e">
        <f t="shared" si="25"/>
        <v>#DIV/0!</v>
      </c>
      <c r="I117" s="30">
        <f>+SUM(START:END!I117)</f>
        <v>0</v>
      </c>
      <c r="J117" s="41"/>
      <c r="K117" s="82">
        <f t="shared" si="26"/>
        <v>429.83162790697679</v>
      </c>
      <c r="L117" s="33">
        <f>+SUM(START:END!L117)</f>
        <v>18482.760000000002</v>
      </c>
      <c r="M117" s="41"/>
      <c r="N117" s="59">
        <f t="shared" si="22"/>
        <v>-492.23999999999796</v>
      </c>
      <c r="O117" s="41"/>
      <c r="P117" s="82">
        <f t="shared" si="27"/>
        <v>322.15877551020407</v>
      </c>
      <c r="Q117" s="33">
        <f>+SUM(START:END!Q117)</f>
        <v>15785.779999999999</v>
      </c>
      <c r="R117" s="41"/>
      <c r="S117" s="85">
        <f t="shared" si="23"/>
        <v>2696.9800000000032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 t="shared" si="20"/>
        <v>Véhicules usagésIntérêt de gros</v>
      </c>
      <c r="B118" s="11" t="s">
        <v>70</v>
      </c>
      <c r="C118" s="29" t="s">
        <v>36</v>
      </c>
      <c r="D118" s="81"/>
      <c r="E118" s="82">
        <f t="shared" si="24"/>
        <v>223.57925271244159</v>
      </c>
      <c r="F118" s="30">
        <f>+SUM(START:END!F118)</f>
        <v>15426.96843715847</v>
      </c>
      <c r="G118" s="83"/>
      <c r="H118" s="82" t="e">
        <f t="shared" si="25"/>
        <v>#DIV/0!</v>
      </c>
      <c r="I118" s="30">
        <f>+SUM(START:END!I118)</f>
        <v>0</v>
      </c>
      <c r="J118" s="41"/>
      <c r="K118" s="82">
        <f t="shared" si="26"/>
        <v>331.94883720930233</v>
      </c>
      <c r="L118" s="33">
        <f>+SUM(START:END!L118)</f>
        <v>14273.8</v>
      </c>
      <c r="M118" s="41"/>
      <c r="N118" s="59">
        <f t="shared" si="22"/>
        <v>-1153.1684371584706</v>
      </c>
      <c r="O118" s="41"/>
      <c r="P118" s="82">
        <f t="shared" si="27"/>
        <v>536.22326530612247</v>
      </c>
      <c r="Q118" s="33">
        <f>+SUM(START:END!Q118)</f>
        <v>26274.94</v>
      </c>
      <c r="R118" s="41"/>
      <c r="S118" s="85">
        <f>L118-Q118</f>
        <v>-12001.14</v>
      </c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 t="shared" si="20"/>
        <v>Véhicules usagés[...]</v>
      </c>
      <c r="B119" s="11" t="s">
        <v>70</v>
      </c>
      <c r="C119" s="29" t="s">
        <v>19</v>
      </c>
      <c r="D119" s="81"/>
      <c r="E119" s="82">
        <f t="shared" si="24"/>
        <v>0</v>
      </c>
      <c r="F119" s="30">
        <f>+SUM(START:END!F119)</f>
        <v>0</v>
      </c>
      <c r="G119" s="83"/>
      <c r="H119" s="82" t="e">
        <f t="shared" si="25"/>
        <v>#DIV/0!</v>
      </c>
      <c r="I119" s="30">
        <f>+SUM(START:END!I119)</f>
        <v>0</v>
      </c>
      <c r="J119" s="41"/>
      <c r="K119" s="82">
        <f t="shared" si="26"/>
        <v>0</v>
      </c>
      <c r="L119" s="33">
        <f>+SUM(START:END!L119)</f>
        <v>0</v>
      </c>
      <c r="M119" s="41"/>
      <c r="N119" s="59">
        <f t="shared" si="22"/>
        <v>0</v>
      </c>
      <c r="O119" s="41"/>
      <c r="P119" s="82">
        <f t="shared" si="27"/>
        <v>0</v>
      </c>
      <c r="Q119" s="33">
        <f>+SUM(START:END!Q119)</f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 t="shared" si="20"/>
        <v>Véhicules usagés[...]</v>
      </c>
      <c r="B120" s="11" t="s">
        <v>70</v>
      </c>
      <c r="C120" s="29" t="s">
        <v>19</v>
      </c>
      <c r="D120" s="81"/>
      <c r="E120" s="82">
        <f t="shared" si="24"/>
        <v>0</v>
      </c>
      <c r="F120" s="30">
        <f>+SUM(START:END!F120)</f>
        <v>0</v>
      </c>
      <c r="G120" s="83"/>
      <c r="H120" s="82" t="e">
        <f t="shared" si="25"/>
        <v>#DIV/0!</v>
      </c>
      <c r="I120" s="30">
        <f>+SUM(START:END!I120)</f>
        <v>0</v>
      </c>
      <c r="J120" s="41"/>
      <c r="K120" s="82">
        <f t="shared" si="26"/>
        <v>0</v>
      </c>
      <c r="L120" s="33">
        <f>+SUM(START:END!L120)</f>
        <v>0</v>
      </c>
      <c r="M120" s="41"/>
      <c r="N120" s="59">
        <f t="shared" si="22"/>
        <v>0</v>
      </c>
      <c r="O120" s="41"/>
      <c r="P120" s="82">
        <f t="shared" si="27"/>
        <v>0</v>
      </c>
      <c r="Q120" s="33">
        <f>+SUM(START:END!Q120)</f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 t="shared" si="20"/>
        <v>Véhicules usagés[...]</v>
      </c>
      <c r="B121" s="11" t="s">
        <v>70</v>
      </c>
      <c r="C121" s="29" t="s">
        <v>19</v>
      </c>
      <c r="D121" s="81"/>
      <c r="E121" s="82">
        <f t="shared" si="24"/>
        <v>0</v>
      </c>
      <c r="F121" s="30">
        <f>+SUM(START:END!F121)</f>
        <v>0</v>
      </c>
      <c r="G121" s="83"/>
      <c r="H121" s="82" t="e">
        <f t="shared" si="25"/>
        <v>#DIV/0!</v>
      </c>
      <c r="I121" s="30">
        <f>+SUM(START:END!I121)</f>
        <v>0</v>
      </c>
      <c r="J121" s="41"/>
      <c r="K121" s="82">
        <f t="shared" si="26"/>
        <v>0</v>
      </c>
      <c r="L121" s="33">
        <f>+SUM(START:END!L121)</f>
        <v>0</v>
      </c>
      <c r="M121" s="41"/>
      <c r="N121" s="59">
        <f t="shared" si="22"/>
        <v>0</v>
      </c>
      <c r="O121" s="41"/>
      <c r="P121" s="82">
        <f t="shared" si="27"/>
        <v>0</v>
      </c>
      <c r="Q121" s="33">
        <f>+SUM(START:END!Q121)</f>
        <v>0</v>
      </c>
      <c r="R121" s="41"/>
      <c r="S121" s="85">
        <f t="shared" si="23"/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si="20"/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0.49331564589005611</v>
      </c>
      <c r="F122" s="96">
        <f>SUM(F112:F121)</f>
        <v>122194.2854869669</v>
      </c>
      <c r="G122" s="97" t="s">
        <v>38</v>
      </c>
      <c r="H122" s="95" t="e">
        <f>I122/I$108</f>
        <v>#DIV/0!</v>
      </c>
      <c r="I122" s="96">
        <f>SUM(I112:I121)</f>
        <v>0</v>
      </c>
      <c r="J122" s="97" t="s">
        <v>38</v>
      </c>
      <c r="K122" s="95">
        <f>L122/L$108</f>
        <v>0.44194444722530901</v>
      </c>
      <c r="L122" s="96">
        <f>SUM(L112:L121)</f>
        <v>127138.71999999999</v>
      </c>
      <c r="M122" s="100"/>
      <c r="N122" s="96">
        <f t="shared" si="22"/>
        <v>4944.4345130330912</v>
      </c>
      <c r="O122" s="97" t="s">
        <v>38</v>
      </c>
      <c r="P122" s="95">
        <f>Q122/Q$108</f>
        <v>0.62275311069416683</v>
      </c>
      <c r="Q122" s="96">
        <f>SUM(Q112:Q121)</f>
        <v>136213.85999999999</v>
      </c>
      <c r="R122" s="100"/>
      <c r="S122" s="101">
        <f t="shared" si="23"/>
        <v>-9075.14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20"/>
        <v>Véhicules usagésSalaires cadres</v>
      </c>
      <c r="B123" s="11" t="s">
        <v>70</v>
      </c>
      <c r="C123" s="102" t="s">
        <v>40</v>
      </c>
      <c r="D123" s="13"/>
      <c r="E123" s="13"/>
      <c r="F123" s="30">
        <f>+SUM(START:END!F123)</f>
        <v>15011.632183908046</v>
      </c>
      <c r="G123" s="41"/>
      <c r="H123" s="13"/>
      <c r="I123" s="30">
        <f>+SUM(START:END!I123)</f>
        <v>0</v>
      </c>
      <c r="J123" s="41"/>
      <c r="K123" s="13"/>
      <c r="L123" s="33">
        <f>+SUM(START:END!L123)</f>
        <v>14171.61</v>
      </c>
      <c r="M123" s="41"/>
      <c r="N123" s="59">
        <f t="shared" si="22"/>
        <v>-840.02218390804592</v>
      </c>
      <c r="O123" s="41"/>
      <c r="P123" s="13"/>
      <c r="Q123" s="33">
        <f>+SUM(START:END!Q123)</f>
        <v>11503.81</v>
      </c>
      <c r="R123" s="41"/>
      <c r="S123" s="85">
        <f t="shared" si="23"/>
        <v>2667.8000000000011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20"/>
        <v>Véhicules usagésSalaires commis</v>
      </c>
      <c r="B124" s="11" t="s">
        <v>70</v>
      </c>
      <c r="C124" s="103" t="s">
        <v>41</v>
      </c>
      <c r="D124" s="81"/>
      <c r="E124" s="13"/>
      <c r="F124" s="22">
        <f>+SUM(START:END!F124)</f>
        <v>7790.5400383141759</v>
      </c>
      <c r="G124" s="83"/>
      <c r="H124" s="13"/>
      <c r="I124" s="22">
        <f>+SUM(START:END!I124)</f>
        <v>0</v>
      </c>
      <c r="J124" s="41"/>
      <c r="K124" s="13"/>
      <c r="L124" s="22">
        <f>+SUM(START:END!L124)</f>
        <v>8864.36</v>
      </c>
      <c r="M124" s="41"/>
      <c r="N124" s="59">
        <f t="shared" si="22"/>
        <v>1073.8199616858246</v>
      </c>
      <c r="O124" s="41"/>
      <c r="P124" s="13"/>
      <c r="Q124" s="22">
        <f>+SUM(START:END!Q124)</f>
        <v>8431.7400000000016</v>
      </c>
      <c r="R124" s="41"/>
      <c r="S124" s="85">
        <f t="shared" si="23"/>
        <v>432.61999999999898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20"/>
        <v>Véhicules usagésSalaires autres</v>
      </c>
      <c r="B125" s="11" t="s">
        <v>70</v>
      </c>
      <c r="C125" s="102" t="s">
        <v>42</v>
      </c>
      <c r="D125" s="104"/>
      <c r="E125" s="105"/>
      <c r="F125" s="30">
        <f>+SUM(START:END!F125)</f>
        <v>8427</v>
      </c>
      <c r="G125" s="106"/>
      <c r="H125" s="105"/>
      <c r="I125" s="30">
        <f>+SUM(START:END!I125)</f>
        <v>0</v>
      </c>
      <c r="J125" s="107"/>
      <c r="K125" s="105"/>
      <c r="L125" s="33">
        <f>+SUM(START:END!L125)</f>
        <v>8427</v>
      </c>
      <c r="M125" s="107"/>
      <c r="N125" s="109">
        <f t="shared" si="22"/>
        <v>0</v>
      </c>
      <c r="O125" s="107"/>
      <c r="P125" s="105"/>
      <c r="Q125" s="33">
        <f>+SUM(START:END!Q125)</f>
        <v>8427</v>
      </c>
      <c r="R125" s="107"/>
      <c r="S125" s="110">
        <f t="shared" si="23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>
      <c r="A126" t="str">
        <f t="shared" si="20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f>+SUM(START:END!F126)</f>
        <v>0</v>
      </c>
      <c r="G126" s="83"/>
      <c r="H126" s="13"/>
      <c r="I126" s="30">
        <f>+SUM(START:END!I126)</f>
        <v>0</v>
      </c>
      <c r="J126" s="41"/>
      <c r="K126" s="13"/>
      <c r="L126" s="33">
        <f>+SUM(START:END!L126)</f>
        <v>0</v>
      </c>
      <c r="M126" s="41"/>
      <c r="N126" s="59">
        <f t="shared" si="22"/>
        <v>0</v>
      </c>
      <c r="O126" s="41"/>
      <c r="P126" s="13"/>
      <c r="Q126" s="33">
        <f>+SUM(START:END!Q126)</f>
        <v>0</v>
      </c>
      <c r="R126" s="41"/>
      <c r="S126" s="85">
        <f t="shared" si="23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 t="shared" si="20"/>
        <v>Véhicules usagés[...]</v>
      </c>
      <c r="B127" s="11" t="s">
        <v>70</v>
      </c>
      <c r="C127" s="102" t="s">
        <v>19</v>
      </c>
      <c r="D127" s="81"/>
      <c r="E127" s="13"/>
      <c r="F127" s="30">
        <f>+SUM(START:END!F127)</f>
        <v>0</v>
      </c>
      <c r="G127" s="83"/>
      <c r="H127" s="13"/>
      <c r="I127" s="30">
        <f>+SUM(START:END!I127)</f>
        <v>0</v>
      </c>
      <c r="J127" s="41"/>
      <c r="K127" s="13"/>
      <c r="L127" s="33">
        <f>+SUM(START:END!L127)</f>
        <v>0</v>
      </c>
      <c r="M127" s="41"/>
      <c r="N127" s="59">
        <f t="shared" si="22"/>
        <v>0</v>
      </c>
      <c r="O127" s="41"/>
      <c r="P127" s="13"/>
      <c r="Q127" s="33">
        <f>+SUM(START:END!Q127)</f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 t="shared" si="20"/>
        <v>Véhicules usagés[...]</v>
      </c>
      <c r="B128" s="11" t="s">
        <v>70</v>
      </c>
      <c r="C128" s="102" t="s">
        <v>19</v>
      </c>
      <c r="D128" s="81"/>
      <c r="E128" s="13"/>
      <c r="F128" s="30">
        <f>+SUM(START:END!F128)</f>
        <v>0</v>
      </c>
      <c r="G128" s="83"/>
      <c r="H128" s="13"/>
      <c r="I128" s="30">
        <f>+SUM(START:END!I128)</f>
        <v>0</v>
      </c>
      <c r="J128" s="41"/>
      <c r="K128" s="13"/>
      <c r="L128" s="33">
        <f>+SUM(START:END!L128)</f>
        <v>0</v>
      </c>
      <c r="M128" s="41"/>
      <c r="N128" s="59">
        <f t="shared" si="22"/>
        <v>0</v>
      </c>
      <c r="O128" s="41"/>
      <c r="P128" s="13"/>
      <c r="Q128" s="33">
        <f>+SUM(START:END!Q128)</f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 t="shared" si="20"/>
        <v>Véhicules usagés[...]</v>
      </c>
      <c r="B129" s="11" t="s">
        <v>70</v>
      </c>
      <c r="C129" s="102" t="s">
        <v>19</v>
      </c>
      <c r="D129" s="81"/>
      <c r="E129" s="13"/>
      <c r="F129" s="30">
        <f>+SUM(START:END!F129)</f>
        <v>0</v>
      </c>
      <c r="G129" s="83"/>
      <c r="H129" s="13"/>
      <c r="I129" s="30">
        <f>+SUM(START:END!I129)</f>
        <v>0</v>
      </c>
      <c r="J129" s="41"/>
      <c r="K129" s="13"/>
      <c r="L129" s="33">
        <f>+SUM(START:END!L129)</f>
        <v>0</v>
      </c>
      <c r="M129" s="41"/>
      <c r="N129" s="59">
        <f t="shared" si="22"/>
        <v>0</v>
      </c>
      <c r="O129" s="41"/>
      <c r="P129" s="13"/>
      <c r="Q129" s="33">
        <f>+SUM(START:END!Q129)</f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si="20"/>
        <v>Véhicules usagésSalaires en absences</v>
      </c>
      <c r="B130" s="11" t="s">
        <v>70</v>
      </c>
      <c r="C130" s="103" t="s">
        <v>44</v>
      </c>
      <c r="D130" s="81"/>
      <c r="E130" s="13"/>
      <c r="F130" s="30">
        <f>+SUM(START:END!F130)</f>
        <v>12206.346686502831</v>
      </c>
      <c r="G130" s="83"/>
      <c r="H130" s="13"/>
      <c r="I130" s="30">
        <f>+SUM(START:END!I130)</f>
        <v>0</v>
      </c>
      <c r="J130" s="41"/>
      <c r="K130" s="13"/>
      <c r="L130" s="33">
        <f>+SUM(START:END!L130)</f>
        <v>13703.810000000001</v>
      </c>
      <c r="M130" s="41"/>
      <c r="N130" s="59">
        <f t="shared" si="22"/>
        <v>1497.46331349717</v>
      </c>
      <c r="O130" s="41"/>
      <c r="P130" s="13"/>
      <c r="Q130" s="33">
        <f>+SUM(START:END!Q130)</f>
        <v>11958.82</v>
      </c>
      <c r="R130" s="41"/>
      <c r="S130" s="85">
        <f>L130-Q130</f>
        <v>1744.9900000000016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20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f>+SUM(START:END!F131)</f>
        <v>14099.53364439006</v>
      </c>
      <c r="G131" s="106"/>
      <c r="H131" s="105"/>
      <c r="I131" s="54">
        <f>+SUM(START:END!I131)</f>
        <v>0</v>
      </c>
      <c r="J131" s="107"/>
      <c r="K131" s="105"/>
      <c r="L131" s="55">
        <f>+SUM(START:END!L131)</f>
        <v>16441.62</v>
      </c>
      <c r="M131" s="107"/>
      <c r="N131" s="109">
        <f t="shared" si="22"/>
        <v>2342.0863556099393</v>
      </c>
      <c r="O131" s="107"/>
      <c r="P131" s="105"/>
      <c r="Q131" s="55">
        <f>+SUM(START:END!Q131)</f>
        <v>14068.09</v>
      </c>
      <c r="R131" s="107"/>
      <c r="S131" s="110">
        <f t="shared" si="23"/>
        <v>2373.5299999999988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20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f>+SUM(START:END!F132)</f>
        <v>7334.1784068965535</v>
      </c>
      <c r="G132" s="83"/>
      <c r="H132" s="13"/>
      <c r="I132" s="30">
        <f>+SUM(START:END!I132)</f>
        <v>0</v>
      </c>
      <c r="J132" s="41"/>
      <c r="K132" s="13"/>
      <c r="L132" s="33">
        <f>+SUM(START:END!L132)</f>
        <v>7150.8899999999994</v>
      </c>
      <c r="M132" s="41"/>
      <c r="N132" s="59">
        <f t="shared" si="22"/>
        <v>-183.28840689655408</v>
      </c>
      <c r="O132" s="41"/>
      <c r="P132" s="13"/>
      <c r="Q132" s="33">
        <f>+SUM(START:END!Q132)</f>
        <v>6743.23</v>
      </c>
      <c r="R132" s="41"/>
      <c r="S132" s="85">
        <f t="shared" si="23"/>
        <v>407.65999999999985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20"/>
        <v>Véhicules usagésCsst</v>
      </c>
      <c r="B133" s="11" t="s">
        <v>70</v>
      </c>
      <c r="C133" s="102" t="s">
        <v>47</v>
      </c>
      <c r="D133" s="81"/>
      <c r="E133" s="13"/>
      <c r="F133" s="30">
        <f>+SUM(START:END!F133)</f>
        <v>1571.6096586206895</v>
      </c>
      <c r="G133" s="83"/>
      <c r="H133" s="13"/>
      <c r="I133" s="30">
        <f>+SUM(START:END!I133)</f>
        <v>0</v>
      </c>
      <c r="J133" s="41"/>
      <c r="K133" s="13"/>
      <c r="L133" s="33">
        <f>+SUM(START:END!L133)</f>
        <v>3103.18</v>
      </c>
      <c r="M133" s="41"/>
      <c r="N133" s="59">
        <f t="shared" si="22"/>
        <v>1531.5703413793103</v>
      </c>
      <c r="O133" s="41"/>
      <c r="P133" s="13"/>
      <c r="Q133" s="33">
        <f>+SUM(START:END!Q133)</f>
        <v>2099.7400000000002</v>
      </c>
      <c r="R133" s="41"/>
      <c r="S133" s="85">
        <f t="shared" si="23"/>
        <v>1003.4399999999996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20"/>
        <v>Véhicules usagés[...]</v>
      </c>
      <c r="B134" s="11" t="s">
        <v>70</v>
      </c>
      <c r="C134" s="29" t="s">
        <v>19</v>
      </c>
      <c r="D134" s="87"/>
      <c r="E134" s="111"/>
      <c r="F134" s="30">
        <f>+SUM(START:END!F134)</f>
        <v>0</v>
      </c>
      <c r="G134" s="89"/>
      <c r="H134" s="111"/>
      <c r="I134" s="30">
        <f>+SUM(START:END!I134)</f>
        <v>0</v>
      </c>
      <c r="J134" s="23"/>
      <c r="K134" s="111"/>
      <c r="L134" s="33">
        <f>+SUM(START:END!L134)</f>
        <v>0</v>
      </c>
      <c r="M134" s="41"/>
      <c r="N134" s="59">
        <f t="shared" si="22"/>
        <v>0</v>
      </c>
      <c r="O134" s="23"/>
      <c r="P134" s="111"/>
      <c r="Q134" s="33">
        <f>+SUM(START:END!Q134)</f>
        <v>0</v>
      </c>
      <c r="R134" s="23"/>
      <c r="S134" s="92">
        <f t="shared" si="23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20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0.26823108848862476</v>
      </c>
      <c r="F135" s="96">
        <f>+SUM(F123:F134)</f>
        <v>66440.840618632355</v>
      </c>
      <c r="G135" s="97" t="s">
        <v>38</v>
      </c>
      <c r="H135" s="95" t="e">
        <f>I135/I$108</f>
        <v>#DIV/0!</v>
      </c>
      <c r="I135" s="96">
        <f>+SUM(I123:I134)</f>
        <v>0</v>
      </c>
      <c r="J135" s="97" t="s">
        <v>38</v>
      </c>
      <c r="K135" s="95">
        <f>L135/L$108</f>
        <v>0.24979974299249946</v>
      </c>
      <c r="L135" s="96">
        <f>SUM(L123:L134)</f>
        <v>71862.469999999987</v>
      </c>
      <c r="M135" s="463"/>
      <c r="N135" s="464">
        <f t="shared" si="22"/>
        <v>5421.6293813676311</v>
      </c>
      <c r="O135" s="97" t="s">
        <v>38</v>
      </c>
      <c r="P135" s="95">
        <f>Q135/Q$108</f>
        <v>0.28909093743655134</v>
      </c>
      <c r="Q135" s="96">
        <f>SUM(Q123:Q134)</f>
        <v>63232.43</v>
      </c>
      <c r="R135" s="147"/>
      <c r="S135" s="114">
        <f t="shared" si="23"/>
        <v>8630.0399999999863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>
      <c r="A136" t="str">
        <f t="shared" si="20"/>
        <v>Véhicules usagésPublicité 2</v>
      </c>
      <c r="B136" s="11" t="s">
        <v>70</v>
      </c>
      <c r="C136" s="29" t="s">
        <v>49</v>
      </c>
      <c r="D136" s="81"/>
      <c r="E136" s="13"/>
      <c r="F136" s="30">
        <f>+SUM(START:END!F136)</f>
        <v>0</v>
      </c>
      <c r="G136" s="83"/>
      <c r="H136" s="13"/>
      <c r="I136" s="30">
        <f>+SUM(START:END!I136)</f>
        <v>0</v>
      </c>
      <c r="J136" s="41"/>
      <c r="K136" s="13"/>
      <c r="L136" s="33">
        <f>+SUM(START:END!L136)</f>
        <v>0</v>
      </c>
      <c r="M136" s="41"/>
      <c r="N136" s="59">
        <f t="shared" si="22"/>
        <v>0</v>
      </c>
      <c r="O136" s="41"/>
      <c r="P136" s="13"/>
      <c r="Q136" s="33">
        <f>+SUM(START:END!Q136)</f>
        <v>0</v>
      </c>
      <c r="R136" s="41"/>
      <c r="S136" s="85">
        <f t="shared" si="23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>
      <c r="A137" t="str">
        <f t="shared" si="20"/>
        <v>Véhicules usagésService gratuit 2</v>
      </c>
      <c r="B137" s="11" t="s">
        <v>70</v>
      </c>
      <c r="C137" s="29" t="s">
        <v>50</v>
      </c>
      <c r="D137" s="81"/>
      <c r="E137" s="13"/>
      <c r="F137" s="30">
        <f>+SUM(START:END!F137)</f>
        <v>0</v>
      </c>
      <c r="G137" s="83"/>
      <c r="H137" s="13"/>
      <c r="I137" s="30">
        <f>+SUM(START:END!I137)</f>
        <v>0</v>
      </c>
      <c r="J137" s="41"/>
      <c r="K137" s="13"/>
      <c r="L137" s="33">
        <f>+SUM(START:END!L137)</f>
        <v>0</v>
      </c>
      <c r="M137" s="41"/>
      <c r="N137" s="59">
        <f t="shared" si="22"/>
        <v>0</v>
      </c>
      <c r="O137" s="41"/>
      <c r="P137" s="13"/>
      <c r="Q137" s="33">
        <f>+SUM(START:END!Q137)</f>
        <v>0</v>
      </c>
      <c r="R137" s="41"/>
      <c r="S137" s="85">
        <f t="shared" si="23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20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f>+SUM(START:END!F138)</f>
        <v>2830.9000000000005</v>
      </c>
      <c r="G138" s="89"/>
      <c r="H138" s="111"/>
      <c r="I138" s="22">
        <f>+SUM(START:END!I138)</f>
        <v>0</v>
      </c>
      <c r="J138" s="23"/>
      <c r="K138" s="111"/>
      <c r="L138" s="22">
        <f>+SUM(START:END!L138)</f>
        <v>2606.04</v>
      </c>
      <c r="M138" s="23"/>
      <c r="N138" s="91">
        <f t="shared" si="22"/>
        <v>-224.86000000000058</v>
      </c>
      <c r="O138" s="23"/>
      <c r="P138" s="111"/>
      <c r="Q138" s="22">
        <f>+SUM(START:END!Q138)</f>
        <v>3433.66</v>
      </c>
      <c r="R138" s="23"/>
      <c r="S138" s="92">
        <f t="shared" si="23"/>
        <v>-827.61999999999989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20"/>
        <v>Véhicules usagésInformatique</v>
      </c>
      <c r="B139" s="11" t="s">
        <v>70</v>
      </c>
      <c r="C139" s="29" t="s">
        <v>52</v>
      </c>
      <c r="D139" s="81"/>
      <c r="E139" s="13"/>
      <c r="F139" s="30">
        <f>+SUM(START:END!F139)</f>
        <v>4276.2000000000007</v>
      </c>
      <c r="G139" s="83"/>
      <c r="H139" s="13"/>
      <c r="I139" s="30">
        <f>+SUM(START:END!I139)</f>
        <v>0</v>
      </c>
      <c r="J139" s="41"/>
      <c r="K139" s="13"/>
      <c r="L139" s="33">
        <f>+SUM(START:END!L139)</f>
        <v>4789.3599999999997</v>
      </c>
      <c r="M139" s="41"/>
      <c r="N139" s="59">
        <f t="shared" si="22"/>
        <v>513.15999999999894</v>
      </c>
      <c r="O139" s="41"/>
      <c r="P139" s="13"/>
      <c r="Q139" s="33">
        <f>+SUM(START:END!Q139)</f>
        <v>4732.82</v>
      </c>
      <c r="R139" s="41"/>
      <c r="S139" s="85">
        <f t="shared" si="23"/>
        <v>56.539999999999964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20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f>+SUM(START:END!F140)</f>
        <v>550</v>
      </c>
      <c r="G140" s="83"/>
      <c r="H140" s="13"/>
      <c r="I140" s="30">
        <f>+SUM(START:END!I140)</f>
        <v>0</v>
      </c>
      <c r="J140" s="41"/>
      <c r="K140" s="13"/>
      <c r="L140" s="33">
        <f>+SUM(START:END!L140)</f>
        <v>452.76</v>
      </c>
      <c r="M140" s="41"/>
      <c r="N140" s="59">
        <f t="shared" si="22"/>
        <v>-97.240000000000009</v>
      </c>
      <c r="O140" s="41"/>
      <c r="P140" s="13"/>
      <c r="Q140" s="33">
        <f>+SUM(START:END!Q140)</f>
        <v>658.35</v>
      </c>
      <c r="R140" s="41"/>
      <c r="S140" s="85">
        <f t="shared" si="23"/>
        <v>-205.59000000000003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20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f>+SUM(START:END!F141)</f>
        <v>2209.8000000000002</v>
      </c>
      <c r="G141" s="89"/>
      <c r="H141" s="111"/>
      <c r="I141" s="22">
        <f>+SUM(START:END!I141)</f>
        <v>0</v>
      </c>
      <c r="J141" s="23"/>
      <c r="K141" s="111"/>
      <c r="L141" s="22">
        <f>+SUM(START:END!L141)</f>
        <v>2343.6099999999997</v>
      </c>
      <c r="M141" s="23"/>
      <c r="N141" s="91">
        <f t="shared" si="22"/>
        <v>133.80999999999949</v>
      </c>
      <c r="O141" s="23"/>
      <c r="P141" s="111"/>
      <c r="Q141" s="22">
        <f>+SUM(START:END!Q141)</f>
        <v>2661.83</v>
      </c>
      <c r="R141" s="23"/>
      <c r="S141" s="92">
        <f t="shared" si="23"/>
        <v>-318.22000000000025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20"/>
        <v>Véhicules usagésFournitures autres</v>
      </c>
      <c r="B142" s="11" t="s">
        <v>70</v>
      </c>
      <c r="C142" s="29" t="s">
        <v>55</v>
      </c>
      <c r="D142" s="81"/>
      <c r="E142" s="13"/>
      <c r="F142" s="30">
        <f>+SUM(START:END!F142)</f>
        <v>52.5</v>
      </c>
      <c r="G142" s="83"/>
      <c r="H142" s="13"/>
      <c r="I142" s="30">
        <f>+SUM(START:END!I142)</f>
        <v>0</v>
      </c>
      <c r="J142" s="41"/>
      <c r="K142" s="13"/>
      <c r="L142" s="33">
        <f>+SUM(START:END!L142)</f>
        <v>30.81</v>
      </c>
      <c r="M142" s="41"/>
      <c r="N142" s="59">
        <f t="shared" si="22"/>
        <v>-21.69</v>
      </c>
      <c r="O142" s="41"/>
      <c r="P142" s="13"/>
      <c r="Q142" s="33">
        <f>+SUM(START:END!Q142)</f>
        <v>0</v>
      </c>
      <c r="R142" s="41"/>
      <c r="S142" s="85">
        <f t="shared" si="23"/>
        <v>30.81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20"/>
        <v>Véhicules usagésUniformes</v>
      </c>
      <c r="B143" s="11" t="s">
        <v>70</v>
      </c>
      <c r="C143" s="29" t="s">
        <v>56</v>
      </c>
      <c r="D143" s="81"/>
      <c r="E143" s="13"/>
      <c r="F143" s="30">
        <f>+SUM(START:END!F143)</f>
        <v>30</v>
      </c>
      <c r="G143" s="83"/>
      <c r="H143" s="13"/>
      <c r="I143" s="30">
        <f>+SUM(START:END!I143)</f>
        <v>0</v>
      </c>
      <c r="J143" s="41"/>
      <c r="K143" s="13"/>
      <c r="L143" s="33">
        <f>+SUM(START:END!L143)</f>
        <v>66</v>
      </c>
      <c r="M143" s="41"/>
      <c r="N143" s="59">
        <f t="shared" si="22"/>
        <v>36</v>
      </c>
      <c r="O143" s="41"/>
      <c r="P143" s="13"/>
      <c r="Q143" s="33">
        <f>+SUM(START:END!Q143)</f>
        <v>17.350000000000001</v>
      </c>
      <c r="R143" s="41"/>
      <c r="S143" s="85">
        <f t="shared" si="23"/>
        <v>48.65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20"/>
        <v>Véhicules usagésPapeterie</v>
      </c>
      <c r="B144" s="11" t="s">
        <v>70</v>
      </c>
      <c r="C144" s="29" t="s">
        <v>57</v>
      </c>
      <c r="D144" s="81"/>
      <c r="E144" s="13"/>
      <c r="F144" s="30">
        <f>+SUM(START:END!F144)</f>
        <v>472.5</v>
      </c>
      <c r="G144" s="83"/>
      <c r="H144" s="13"/>
      <c r="I144" s="30">
        <f>+SUM(START:END!I144)</f>
        <v>0</v>
      </c>
      <c r="J144" s="41"/>
      <c r="K144" s="13"/>
      <c r="L144" s="32">
        <f>+SUM(START:END!L144)</f>
        <v>405.04</v>
      </c>
      <c r="M144" s="41"/>
      <c r="N144" s="59">
        <f t="shared" si="22"/>
        <v>-67.45999999999998</v>
      </c>
      <c r="O144" s="41"/>
      <c r="P144" s="13"/>
      <c r="Q144" s="32">
        <f>+SUM(START:END!Q144)</f>
        <v>510.02</v>
      </c>
      <c r="R144" s="41"/>
      <c r="S144" s="85">
        <f t="shared" si="23"/>
        <v>-104.97999999999996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20"/>
        <v>Véhicules usagésTéléphone</v>
      </c>
      <c r="B145" s="11" t="s">
        <v>70</v>
      </c>
      <c r="C145" s="29" t="s">
        <v>58</v>
      </c>
      <c r="D145" s="81"/>
      <c r="E145" s="13"/>
      <c r="F145" s="30">
        <f>+SUM(START:END!F145)</f>
        <v>189.60000000000002</v>
      </c>
      <c r="G145" s="83"/>
      <c r="H145" s="13"/>
      <c r="I145" s="30">
        <f>+SUM(START:END!I145)</f>
        <v>0</v>
      </c>
      <c r="J145" s="41"/>
      <c r="K145" s="13"/>
      <c r="L145" s="33">
        <f>+SUM(START:END!L145)</f>
        <v>188.32999999999998</v>
      </c>
      <c r="M145" s="41"/>
      <c r="N145" s="59">
        <f t="shared" si="22"/>
        <v>-1.2700000000000387</v>
      </c>
      <c r="O145" s="41"/>
      <c r="P145" s="13"/>
      <c r="Q145" s="33">
        <f>+SUM(START:END!Q145)</f>
        <v>273.39</v>
      </c>
      <c r="R145" s="41"/>
      <c r="S145" s="85">
        <f t="shared" si="23"/>
        <v>-85.06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20"/>
        <v>Véhicules usagésFrais postaux</v>
      </c>
      <c r="B146" s="11" t="s">
        <v>70</v>
      </c>
      <c r="C146" s="29" t="s">
        <v>59</v>
      </c>
      <c r="D146" s="81"/>
      <c r="E146" s="13"/>
      <c r="F146" s="30">
        <f>+SUM(START:END!F146)</f>
        <v>135</v>
      </c>
      <c r="G146" s="83"/>
      <c r="H146" s="13"/>
      <c r="I146" s="30">
        <f>+SUM(START:END!I146)</f>
        <v>0</v>
      </c>
      <c r="J146" s="41"/>
      <c r="K146" s="13"/>
      <c r="L146" s="33">
        <f>+SUM(START:END!L146)</f>
        <v>352.03999999999996</v>
      </c>
      <c r="M146" s="41"/>
      <c r="N146" s="59">
        <f t="shared" si="22"/>
        <v>217.03999999999996</v>
      </c>
      <c r="O146" s="41"/>
      <c r="P146" s="13"/>
      <c r="Q146" s="33">
        <f>+SUM(START:END!Q146)</f>
        <v>716.81999999999994</v>
      </c>
      <c r="R146" s="41"/>
      <c r="S146" s="85">
        <f t="shared" si="23"/>
        <v>-364.78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20"/>
        <v>Véhicules usagésDivers</v>
      </c>
      <c r="B147" s="11" t="s">
        <v>70</v>
      </c>
      <c r="C147" s="29" t="s">
        <v>60</v>
      </c>
      <c r="D147" s="81"/>
      <c r="E147" s="13"/>
      <c r="F147" s="30">
        <f>+SUM(START:END!F147)</f>
        <v>522.30000000000007</v>
      </c>
      <c r="G147" s="83"/>
      <c r="H147" s="13"/>
      <c r="I147" s="30">
        <f>+SUM(START:END!I147)</f>
        <v>0</v>
      </c>
      <c r="J147" s="41"/>
      <c r="K147" s="13"/>
      <c r="L147" s="33">
        <f>+SUM(START:END!L147)</f>
        <v>750.31000000000006</v>
      </c>
      <c r="M147" s="41"/>
      <c r="N147" s="59">
        <f t="shared" si="22"/>
        <v>228.01</v>
      </c>
      <c r="O147" s="41"/>
      <c r="P147" s="13"/>
      <c r="Q147" s="33">
        <f>+SUM(START:END!Q147)</f>
        <v>474.29999999999995</v>
      </c>
      <c r="R147" s="41"/>
      <c r="S147" s="85">
        <f t="shared" si="23"/>
        <v>276.0100000000001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20"/>
        <v>Véhicules usagésFormation</v>
      </c>
      <c r="B148" s="11" t="s">
        <v>70</v>
      </c>
      <c r="C148" s="29" t="s">
        <v>61</v>
      </c>
      <c r="D148" s="81"/>
      <c r="E148" s="13"/>
      <c r="F148" s="30">
        <f>+SUM(START:END!F148)</f>
        <v>372.12233999999995</v>
      </c>
      <c r="G148" s="83"/>
      <c r="H148" s="13"/>
      <c r="I148" s="30">
        <f>+SUM(START:END!I148)</f>
        <v>0</v>
      </c>
      <c r="J148" s="41"/>
      <c r="K148" s="13"/>
      <c r="L148" s="59">
        <f>+SUM(START:END!L148)</f>
        <v>253.12</v>
      </c>
      <c r="M148" s="41"/>
      <c r="N148" s="59">
        <f t="shared" si="22"/>
        <v>-119.00233999999995</v>
      </c>
      <c r="O148" s="41"/>
      <c r="P148" s="13"/>
      <c r="Q148" s="33">
        <f>+SUM(START:END!Q148)</f>
        <v>-144.14000000000001</v>
      </c>
      <c r="R148" s="41"/>
      <c r="S148" s="85">
        <f t="shared" si="23"/>
        <v>397.26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 t="shared" si="20"/>
        <v>Véhicules usagésFrais bancaires</v>
      </c>
      <c r="B149" s="11" t="s">
        <v>70</v>
      </c>
      <c r="C149" s="29" t="s">
        <v>62</v>
      </c>
      <c r="D149" s="81"/>
      <c r="E149" s="13"/>
      <c r="F149" s="30">
        <f>+SUM(START:END!F149)</f>
        <v>2505.6571489301591</v>
      </c>
      <c r="G149" s="83"/>
      <c r="H149" s="13"/>
      <c r="I149" s="30">
        <f>+SUM(START:END!I149)</f>
        <v>0</v>
      </c>
      <c r="J149" s="41"/>
      <c r="K149" s="13"/>
      <c r="L149" s="33">
        <f>+SUM(START:END!L149)</f>
        <v>2555.23</v>
      </c>
      <c r="M149" s="41"/>
      <c r="N149" s="59">
        <f t="shared" si="22"/>
        <v>49.572851069840908</v>
      </c>
      <c r="O149" s="41"/>
      <c r="P149" s="13"/>
      <c r="Q149" s="33">
        <f>+SUM(START:END!Q149)</f>
        <v>2435.3000000000002</v>
      </c>
      <c r="R149" s="41"/>
      <c r="S149" s="85">
        <f>L149-Q149</f>
        <v>119.92999999999984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 t="shared" si="20"/>
        <v>Véhicules usagés[...]</v>
      </c>
      <c r="B150" s="11" t="s">
        <v>70</v>
      </c>
      <c r="C150" s="29" t="s">
        <v>19</v>
      </c>
      <c r="D150" s="81"/>
      <c r="E150" s="13"/>
      <c r="F150" s="30">
        <f>+SUM(START:END!F150)</f>
        <v>0</v>
      </c>
      <c r="G150" s="83"/>
      <c r="H150" s="13"/>
      <c r="I150" s="30">
        <f>+SUM(START:END!I150)</f>
        <v>0</v>
      </c>
      <c r="J150" s="41"/>
      <c r="K150" s="13"/>
      <c r="L150" s="33">
        <f>+SUM(START:END!L150)</f>
        <v>0</v>
      </c>
      <c r="M150" s="41"/>
      <c r="N150" s="59">
        <f t="shared" si="22"/>
        <v>0</v>
      </c>
      <c r="O150" s="41"/>
      <c r="P150" s="13"/>
      <c r="Q150" s="33">
        <f>+SUM(START:END!Q150)</f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 t="shared" si="20"/>
        <v>Véhicules usagés[...]</v>
      </c>
      <c r="B151" s="11" t="s">
        <v>70</v>
      </c>
      <c r="C151" s="29" t="s">
        <v>19</v>
      </c>
      <c r="D151" s="81"/>
      <c r="E151" s="13"/>
      <c r="F151" s="30">
        <f>+SUM(START:END!F151)</f>
        <v>0</v>
      </c>
      <c r="G151" s="83"/>
      <c r="H151" s="13"/>
      <c r="I151" s="30">
        <f>+SUM(START:END!I151)</f>
        <v>0</v>
      </c>
      <c r="J151" s="41"/>
      <c r="K151" s="13"/>
      <c r="L151" s="33">
        <f>+SUM(START:END!L151)</f>
        <v>0</v>
      </c>
      <c r="M151" s="41"/>
      <c r="N151" s="59">
        <f t="shared" si="22"/>
        <v>0</v>
      </c>
      <c r="O151" s="41"/>
      <c r="P151" s="13"/>
      <c r="Q151" s="33">
        <f>+SUM(START:END!Q151)</f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 t="shared" si="20"/>
        <v>Véhicules usagés[...]</v>
      </c>
      <c r="B152" s="11" t="s">
        <v>70</v>
      </c>
      <c r="C152" s="29" t="s">
        <v>19</v>
      </c>
      <c r="D152" s="81"/>
      <c r="E152" s="13"/>
      <c r="F152" s="30">
        <f>+SUM(START:END!F152)</f>
        <v>0</v>
      </c>
      <c r="G152" s="83"/>
      <c r="H152" s="13"/>
      <c r="I152" s="30">
        <f>+SUM(START:END!I152)</f>
        <v>0</v>
      </c>
      <c r="J152" s="41"/>
      <c r="K152" s="13"/>
      <c r="L152" s="33">
        <f>+SUM(START:END!L152)</f>
        <v>0</v>
      </c>
      <c r="M152" s="41"/>
      <c r="N152" s="59">
        <f t="shared" si="22"/>
        <v>0</v>
      </c>
      <c r="O152" s="41"/>
      <c r="P152" s="13"/>
      <c r="Q152" s="33">
        <f>+SUM(START:END!Q152)</f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si="20"/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5.7111746019096327E-2</v>
      </c>
      <c r="F153" s="96">
        <f>+SUM(F136:F152)</f>
        <v>14146.57948893016</v>
      </c>
      <c r="G153" s="97" t="s">
        <v>38</v>
      </c>
      <c r="H153" s="95" t="e">
        <f>I153/I$108</f>
        <v>#DIV/0!</v>
      </c>
      <c r="I153" s="96">
        <f>+SUM(I136:I152)</f>
        <v>0</v>
      </c>
      <c r="J153" s="97" t="s">
        <v>38</v>
      </c>
      <c r="K153" s="95">
        <f>L153/L$108</f>
        <v>5.1420444749227211E-2</v>
      </c>
      <c r="L153" s="96">
        <f>+SUM(L136:L152)</f>
        <v>14792.650000000001</v>
      </c>
      <c r="M153" s="100"/>
      <c r="N153" s="96">
        <f t="shared" si="22"/>
        <v>646.07051106984181</v>
      </c>
      <c r="O153" s="97" t="s">
        <v>38</v>
      </c>
      <c r="P153" s="95">
        <f>Q153/Q$108</f>
        <v>7.20971399658875E-2</v>
      </c>
      <c r="Q153" s="96">
        <f>+SUM(Q136:Q152)</f>
        <v>15769.7</v>
      </c>
      <c r="R153" s="100"/>
      <c r="S153" s="101">
        <f>L153-Q153</f>
        <v>-977.04999999999927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20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20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0.81865848039777711</v>
      </c>
      <c r="F155" s="96">
        <f>F122+F135+F153</f>
        <v>202781.7055945294</v>
      </c>
      <c r="G155" s="97" t="s">
        <v>38</v>
      </c>
      <c r="H155" s="95" t="e">
        <f>I155/I$108</f>
        <v>#DIV/0!</v>
      </c>
      <c r="I155" s="96">
        <f>I122+I135+I153</f>
        <v>0</v>
      </c>
      <c r="J155" s="97" t="s">
        <v>38</v>
      </c>
      <c r="K155" s="95">
        <f>L155/L$108</f>
        <v>0.74316463496703566</v>
      </c>
      <c r="L155" s="96">
        <f>L122+L135+L153</f>
        <v>213793.83999999997</v>
      </c>
      <c r="M155" s="100"/>
      <c r="N155" s="113">
        <f t="shared" ref="N155:N162" si="28">L155-F155</f>
        <v>11012.13440547057</v>
      </c>
      <c r="O155" s="97" t="s">
        <v>38</v>
      </c>
      <c r="P155" s="95">
        <f>Q155/Q$108</f>
        <v>0.98394118809660569</v>
      </c>
      <c r="Q155" s="96">
        <f>Q122+Q135+Q153</f>
        <v>215215.99</v>
      </c>
      <c r="R155" s="100"/>
      <c r="S155" s="114">
        <f t="shared" ref="S155:S162" si="29">L155-Q155</f>
        <v>-1422.1500000000233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20"/>
        <v>Véhicules usagésRBSC used</v>
      </c>
      <c r="B156" s="11" t="s">
        <v>70</v>
      </c>
      <c r="C156" s="29" t="s">
        <v>218</v>
      </c>
      <c r="D156" s="149"/>
      <c r="E156" s="150"/>
      <c r="F156" s="30">
        <f>+SUM(START:END!F156)</f>
        <v>8625</v>
      </c>
      <c r="G156" s="151"/>
      <c r="H156" s="150"/>
      <c r="I156" s="30">
        <f>+SUM(START:END!I156)</f>
        <v>0</v>
      </c>
      <c r="J156" s="151"/>
      <c r="K156" s="150"/>
      <c r="L156" s="32">
        <f>+SUM(START:END!L156)</f>
        <v>4400</v>
      </c>
      <c r="M156" s="41"/>
      <c r="N156" s="59">
        <f t="shared" si="28"/>
        <v>-4225</v>
      </c>
      <c r="O156" s="151"/>
      <c r="P156" s="150"/>
      <c r="Q156" s="33">
        <f>+SUM(START:END!Q156)</f>
        <v>8250</v>
      </c>
      <c r="R156" s="41"/>
      <c r="S156" s="85">
        <f t="shared" si="29"/>
        <v>-3850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20"/>
        <v>Véhicules usagésProgramme 360</v>
      </c>
      <c r="B157" s="11" t="s">
        <v>70</v>
      </c>
      <c r="C157" s="29" t="s">
        <v>219</v>
      </c>
      <c r="D157" s="149"/>
      <c r="E157" s="150"/>
      <c r="F157" s="30">
        <f>+SUM(START:END!F157)</f>
        <v>3082</v>
      </c>
      <c r="G157" s="151"/>
      <c r="H157" s="150"/>
      <c r="I157" s="30">
        <f>+SUM(START:END!I157)</f>
        <v>0</v>
      </c>
      <c r="J157" s="151"/>
      <c r="K157" s="150"/>
      <c r="L157" s="33">
        <f>+SUM(START:END!L157)</f>
        <v>-2050</v>
      </c>
      <c r="M157" s="41"/>
      <c r="N157" s="59">
        <f t="shared" si="28"/>
        <v>-5132</v>
      </c>
      <c r="O157" s="151"/>
      <c r="P157" s="150"/>
      <c r="Q157" s="33">
        <f>+SUM(START:END!Q157)</f>
        <v>0</v>
      </c>
      <c r="R157" s="41"/>
      <c r="S157" s="85">
        <f t="shared" si="29"/>
        <v>-2050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20"/>
        <v>Véhicules usagésProgramme used 3</v>
      </c>
      <c r="B158" s="11" t="s">
        <v>70</v>
      </c>
      <c r="C158" s="29" t="s">
        <v>77</v>
      </c>
      <c r="D158" s="81"/>
      <c r="E158" s="13"/>
      <c r="F158" s="30">
        <f>+SUM(START:END!F158)</f>
        <v>0</v>
      </c>
      <c r="G158" s="83"/>
      <c r="H158" s="13"/>
      <c r="I158" s="30">
        <f>+SUM(START:END!I158)</f>
        <v>0</v>
      </c>
      <c r="J158" s="41"/>
      <c r="K158" s="13"/>
      <c r="L158" s="33">
        <f>+SUM(START:END!L158)</f>
        <v>0</v>
      </c>
      <c r="M158" s="41"/>
      <c r="N158" s="59">
        <f t="shared" si="28"/>
        <v>0</v>
      </c>
      <c r="O158" s="41"/>
      <c r="P158" s="13"/>
      <c r="Q158" s="33">
        <f>+SUM(START:END!Q158)</f>
        <v>0</v>
      </c>
      <c r="R158" s="41"/>
      <c r="S158" s="85">
        <f t="shared" si="29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f>+SUM(START:END!F159)</f>
        <v>34075.649999999994</v>
      </c>
      <c r="G159" s="83"/>
      <c r="H159" s="13"/>
      <c r="I159" s="30">
        <f>+SUM(START:END!I159)</f>
        <v>0</v>
      </c>
      <c r="J159" s="41"/>
      <c r="K159" s="13"/>
      <c r="L159" s="32">
        <f>+SUM(START:END!L159)</f>
        <v>35105</v>
      </c>
      <c r="M159" s="41"/>
      <c r="N159" s="59">
        <f t="shared" si="28"/>
        <v>1029.3500000000058</v>
      </c>
      <c r="O159" s="41"/>
      <c r="P159" s="13"/>
      <c r="Q159" s="33">
        <f>+SUM(START:END!Q159)</f>
        <v>33320</v>
      </c>
      <c r="R159" s="41"/>
      <c r="S159" s="85">
        <f t="shared" si="29"/>
        <v>1785</v>
      </c>
      <c r="T159" s="112"/>
      <c r="U159" s="13"/>
      <c r="V159" s="13"/>
      <c r="W159" s="454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f>+SUM(START:END!F160)</f>
        <v>0</v>
      </c>
      <c r="G160" s="83"/>
      <c r="H160" s="13"/>
      <c r="I160" s="30">
        <f>+SUM(START:END!I160)</f>
        <v>0</v>
      </c>
      <c r="J160" s="41"/>
      <c r="K160" s="13"/>
      <c r="L160" s="32">
        <f>+SUM(START:END!L160)</f>
        <v>0</v>
      </c>
      <c r="M160" s="41"/>
      <c r="N160" s="59">
        <f t="shared" si="28"/>
        <v>0</v>
      </c>
      <c r="O160" s="41"/>
      <c r="P160" s="13"/>
      <c r="Q160" s="33">
        <f>+SUM(START:END!Q160)</f>
        <v>0</v>
      </c>
      <c r="R160" s="41"/>
      <c r="S160" s="85">
        <f t="shared" si="29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f>+SUM(START:END!F161)</f>
        <v>0</v>
      </c>
      <c r="G161" s="83"/>
      <c r="H161" s="13"/>
      <c r="I161" s="30">
        <f>+SUM(START:END!I161)</f>
        <v>0</v>
      </c>
      <c r="J161" s="41"/>
      <c r="K161" s="13"/>
      <c r="L161" s="32">
        <f>+SUM(START:END!L161)</f>
        <v>0</v>
      </c>
      <c r="M161" s="41"/>
      <c r="N161" s="59">
        <f t="shared" si="28"/>
        <v>0</v>
      </c>
      <c r="O161" s="41"/>
      <c r="P161" s="13"/>
      <c r="Q161" s="33">
        <f>+SUM(START:END!Q161)</f>
        <v>0</v>
      </c>
      <c r="R161" s="41"/>
      <c r="S161" s="85">
        <f t="shared" si="29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f>+SUM(START:END!F162)</f>
        <v>0</v>
      </c>
      <c r="G162" s="83"/>
      <c r="H162" s="13"/>
      <c r="I162" s="30">
        <f>+SUM(START:END!I162)</f>
        <v>0</v>
      </c>
      <c r="J162" s="41"/>
      <c r="K162" s="13"/>
      <c r="L162" s="32">
        <f>+SUM(START:END!L162)</f>
        <v>0</v>
      </c>
      <c r="M162" s="41"/>
      <c r="N162" s="59">
        <f t="shared" si="28"/>
        <v>0</v>
      </c>
      <c r="O162" s="41"/>
      <c r="P162" s="13"/>
      <c r="Q162" s="33">
        <f>+SUM(START:END!Q162)</f>
        <v>0</v>
      </c>
      <c r="R162" s="41"/>
      <c r="S162" s="85">
        <f t="shared" si="29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45782.649999999994</v>
      </c>
      <c r="G163" s="97"/>
      <c r="H163" s="95"/>
      <c r="I163" s="96">
        <f>+SUM(I156:I162)</f>
        <v>0</v>
      </c>
      <c r="J163" s="97"/>
      <c r="K163" s="95"/>
      <c r="L163" s="96">
        <f>+SUM(L156:L162)</f>
        <v>37455</v>
      </c>
      <c r="M163" s="100"/>
      <c r="N163" s="96">
        <f>SUM(N156:N159)</f>
        <v>-8327.6499999999942</v>
      </c>
      <c r="O163" s="97"/>
      <c r="P163" s="95"/>
      <c r="Q163" s="96">
        <f>+SUM(Q156:Q162)</f>
        <v>41570</v>
      </c>
      <c r="R163" s="100"/>
      <c r="S163" s="101">
        <f>+SUM(S156:S162)</f>
        <v>-4115</v>
      </c>
      <c r="T163" s="11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90700.944405470596</v>
      </c>
      <c r="G165" s="153"/>
      <c r="H165" s="125"/>
      <c r="I165" s="127">
        <f>I108-I155+I163</f>
        <v>0</v>
      </c>
      <c r="J165" s="154"/>
      <c r="K165" s="126"/>
      <c r="L165" s="127">
        <f>L108-L155+L163</f>
        <v>111341.47999999998</v>
      </c>
      <c r="M165" s="154"/>
      <c r="N165" s="127">
        <f>L165-F165</f>
        <v>20640.535594529385</v>
      </c>
      <c r="O165" s="154"/>
      <c r="P165" s="126"/>
      <c r="Q165" s="127">
        <f>Q108-Q155+Q163</f>
        <v>45082.519999999698</v>
      </c>
      <c r="R165" s="154"/>
      <c r="S165" s="129">
        <f>L165-Q165</f>
        <v>66258.960000000283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  Q2 2025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507" t="s">
        <v>5</v>
      </c>
      <c r="E170" s="508"/>
      <c r="F170" s="509"/>
      <c r="G170" s="510" t="s">
        <v>71</v>
      </c>
      <c r="H170" s="508"/>
      <c r="I170" s="509"/>
      <c r="J170" s="510" t="s">
        <v>7</v>
      </c>
      <c r="K170" s="508"/>
      <c r="L170" s="509"/>
      <c r="M170" s="510" t="s">
        <v>213</v>
      </c>
      <c r="N170" s="509"/>
      <c r="O170" s="507" t="s">
        <v>8</v>
      </c>
      <c r="P170" s="508"/>
      <c r="Q170" s="509"/>
      <c r="R170" s="505" t="s">
        <v>214</v>
      </c>
      <c r="S170" s="506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28" si="30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 t="s">
        <v>39</v>
      </c>
      <c r="H171" s="80" t="s">
        <v>79</v>
      </c>
      <c r="I171" s="134" t="s">
        <v>12</v>
      </c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30"/>
        <v>ServiceM/O Client</v>
      </c>
      <c r="B172" s="11" t="s">
        <v>78</v>
      </c>
      <c r="C172" s="29" t="s">
        <v>81</v>
      </c>
      <c r="D172" s="13">
        <f>+SUM(START:END!D172)</f>
        <v>785.87080753289251</v>
      </c>
      <c r="E172" s="82">
        <f>+SUM(START:END!E172)</f>
        <v>267196.07456118346</v>
      </c>
      <c r="F172" s="82">
        <f>+SUM(START:END!F172)</f>
        <v>209481.72245596783</v>
      </c>
      <c r="G172" s="156">
        <f>+SUM(START:END!G172)</f>
        <v>0</v>
      </c>
      <c r="H172" s="82">
        <f>+SUM(START:END!H172)</f>
        <v>0</v>
      </c>
      <c r="I172" s="82">
        <f>+SUM(START:END!I172)</f>
        <v>0</v>
      </c>
      <c r="J172" s="60">
        <f>+SUM(START:END!J172)</f>
        <v>804</v>
      </c>
      <c r="K172" s="30">
        <f>+SUM(START:END!K172)</f>
        <v>259162.84</v>
      </c>
      <c r="L172" s="33">
        <f>+SUM(START:END!L172)</f>
        <v>206730.99</v>
      </c>
      <c r="M172" s="157">
        <f>(K172-E172)/E172</f>
        <v>-3.0064942287705593E-2</v>
      </c>
      <c r="N172" s="59">
        <f>L172-F172</f>
        <v>-2750.7324559678382</v>
      </c>
      <c r="O172" s="60">
        <f>+SUM(START:END!O172)</f>
        <v>732</v>
      </c>
      <c r="P172" s="30">
        <f>+SUM(START:END!P172)</f>
        <v>238899.05999999991</v>
      </c>
      <c r="Q172" s="33">
        <f>+SUM(START:END!Q172)</f>
        <v>189283.03999999992</v>
      </c>
      <c r="R172" s="157">
        <f>IF(O172=0,0,J172/O172)</f>
        <v>1.098360655737705</v>
      </c>
      <c r="S172" s="85">
        <f>L172-Q172</f>
        <v>17447.95000000007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30"/>
        <v>Service% profit / ventes</v>
      </c>
      <c r="B173" s="11" t="s">
        <v>78</v>
      </c>
      <c r="C173" s="29" t="s">
        <v>82</v>
      </c>
      <c r="D173" s="13"/>
      <c r="E173" s="144"/>
      <c r="F173" s="158">
        <f>F172/E172</f>
        <v>0.78400000000000003</v>
      </c>
      <c r="G173" s="41"/>
      <c r="H173" s="144"/>
      <c r="I173" s="158" t="e">
        <f>I172/H172</f>
        <v>#DIV/0!</v>
      </c>
      <c r="J173" s="60"/>
      <c r="K173" s="13"/>
      <c r="L173" s="158">
        <f>L172/K172</f>
        <v>0.79768762373494595</v>
      </c>
      <c r="M173" s="157"/>
      <c r="N173" s="59"/>
      <c r="O173" s="60"/>
      <c r="P173" s="13"/>
      <c r="Q173" s="158">
        <f>Q172/P172</f>
        <v>0.79231387515714791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30"/>
        <v>Service</v>
      </c>
      <c r="B174" s="11" t="s">
        <v>78</v>
      </c>
      <c r="C174" s="86"/>
      <c r="D174" s="111"/>
      <c r="E174" s="159">
        <f>IFERROR(E172/D172,0)</f>
        <v>340</v>
      </c>
      <c r="F174" s="160"/>
      <c r="G174" s="23"/>
      <c r="H174" s="159">
        <f>IFERROR(H172/G172,0)</f>
        <v>0</v>
      </c>
      <c r="I174" s="160"/>
      <c r="J174" s="161"/>
      <c r="K174" s="465">
        <f>IFERROR(K172/J172,0)</f>
        <v>322.34184079601988</v>
      </c>
      <c r="L174" s="160"/>
      <c r="M174" s="162"/>
      <c r="N174" s="91"/>
      <c r="O174" s="161"/>
      <c r="P174" s="465">
        <f>IFERROR(P172/O172,0)</f>
        <v>326.36483606557363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30"/>
        <v>ServiceM/O Garantie</v>
      </c>
      <c r="B175" s="11" t="s">
        <v>78</v>
      </c>
      <c r="C175" s="14" t="s">
        <v>83</v>
      </c>
      <c r="D175" s="163">
        <f>+SUM(START:END!D175)</f>
        <v>508.46229182174295</v>
      </c>
      <c r="E175" s="82">
        <f>+SUM(START:END!E175)</f>
        <v>74235.494605974469</v>
      </c>
      <c r="F175" s="82">
        <f>+SUM(START:END!F175)</f>
        <v>47510.716547823664</v>
      </c>
      <c r="G175" s="164">
        <f>+SUM(START:END!G175)</f>
        <v>0</v>
      </c>
      <c r="H175" s="82">
        <f>+SUM(START:END!H175)</f>
        <v>0</v>
      </c>
      <c r="I175" s="82">
        <f>+SUM(START:END!I175)</f>
        <v>0</v>
      </c>
      <c r="J175" s="164">
        <f>+SUM(START:END!J175)</f>
        <v>605</v>
      </c>
      <c r="K175" s="165">
        <f>+SUM(START:END!K175)</f>
        <v>112031.19</v>
      </c>
      <c r="L175" s="33">
        <f>+SUM(START:END!L175)</f>
        <v>76090.36</v>
      </c>
      <c r="M175" s="157">
        <f>(K175-E175)/E175</f>
        <v>0.5091323981154392</v>
      </c>
      <c r="N175" s="109">
        <f>L175-F175</f>
        <v>28579.643452176337</v>
      </c>
      <c r="O175" s="164">
        <f>+SUM(START:END!O175)</f>
        <v>527</v>
      </c>
      <c r="P175" s="165">
        <f>+SUM(START:END!P175)</f>
        <v>73404.53</v>
      </c>
      <c r="Q175" s="33">
        <f>+SUM(START:END!Q175)</f>
        <v>48768.399999999994</v>
      </c>
      <c r="R175" s="157">
        <f>IF(O175=0,0,J175/O175)</f>
        <v>1.1480075901328273</v>
      </c>
      <c r="S175" s="85">
        <f>L175-Q175</f>
        <v>27321.960000000006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30"/>
        <v>Service% profit / ventes</v>
      </c>
      <c r="B176" s="11" t="s">
        <v>78</v>
      </c>
      <c r="C176" s="29" t="s">
        <v>82</v>
      </c>
      <c r="D176" s="13"/>
      <c r="E176" s="13"/>
      <c r="F176" s="158">
        <f>F175/E175</f>
        <v>0.64</v>
      </c>
      <c r="G176" s="41"/>
      <c r="H176" s="13"/>
      <c r="I176" s="158" t="e">
        <f>I175/H175</f>
        <v>#DIV/0!</v>
      </c>
      <c r="J176" s="41"/>
      <c r="K176" s="13"/>
      <c r="L176" s="158">
        <f>L175/K175</f>
        <v>0.67918907225746683</v>
      </c>
      <c r="M176" s="42"/>
      <c r="N176" s="43"/>
      <c r="O176" s="41"/>
      <c r="P176" s="13"/>
      <c r="Q176" s="158">
        <f>Q175/P175</f>
        <v>0.66437861532523934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30"/>
        <v>Service</v>
      </c>
      <c r="B177" s="11" t="s">
        <v>78</v>
      </c>
      <c r="C177" s="86"/>
      <c r="D177" s="111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/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30"/>
        <v>ServiceM/O Interne</v>
      </c>
      <c r="B178" s="11" t="s">
        <v>78</v>
      </c>
      <c r="C178" s="29" t="s">
        <v>84</v>
      </c>
      <c r="D178" s="13">
        <f>+SUM(START:END!D178)</f>
        <v>606.72659684060682</v>
      </c>
      <c r="E178" s="82">
        <f>+SUM(START:END!E178)</f>
        <v>145614.38324174567</v>
      </c>
      <c r="F178" s="82">
        <f>+SUM(START:END!F178)</f>
        <v>98289.708688178333</v>
      </c>
      <c r="G178" s="41">
        <f>+SUM(START:END!G178)</f>
        <v>0</v>
      </c>
      <c r="H178" s="82">
        <f>+SUM(START:END!H178)</f>
        <v>0</v>
      </c>
      <c r="I178" s="82">
        <f>+SUM(START:END!I178)</f>
        <v>0</v>
      </c>
      <c r="J178" s="60">
        <f>+SUM(START:END!J178)</f>
        <v>460</v>
      </c>
      <c r="K178" s="165">
        <f>+SUM(START:END!K178)</f>
        <v>204248.86</v>
      </c>
      <c r="L178" s="33">
        <f>+SUM(START:END!L178)</f>
        <v>160666.46999999997</v>
      </c>
      <c r="M178" s="157">
        <f>(K178-E178)/E178</f>
        <v>0.40266954028099472</v>
      </c>
      <c r="N178" s="59">
        <f>L178-F178</f>
        <v>62376.76131182164</v>
      </c>
      <c r="O178" s="60">
        <f>+SUM(START:END!O178)</f>
        <v>583</v>
      </c>
      <c r="P178" s="165">
        <f>+SUM(START:END!P178)</f>
        <v>136913.1099999999</v>
      </c>
      <c r="Q178" s="33">
        <f>+SUM(START:END!Q178)</f>
        <v>82414.33</v>
      </c>
      <c r="R178" s="157">
        <f>IF(O178=0,0,J178/O178)</f>
        <v>0.78902229845626071</v>
      </c>
      <c r="S178" s="85">
        <f>L178-Q178</f>
        <v>78252.13999999997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30"/>
        <v>Service% profit / ventes</v>
      </c>
      <c r="B179" s="11" t="s">
        <v>78</v>
      </c>
      <c r="C179" s="29" t="s">
        <v>82</v>
      </c>
      <c r="D179" s="13"/>
      <c r="E179" s="144"/>
      <c r="F179" s="158">
        <f>F178/E178</f>
        <v>0.67500000000000004</v>
      </c>
      <c r="G179" s="41"/>
      <c r="H179" s="144"/>
      <c r="I179" s="158" t="e">
        <f>I178/H178</f>
        <v>#DIV/0!</v>
      </c>
      <c r="J179" s="60"/>
      <c r="K179" s="144"/>
      <c r="L179" s="158">
        <f>L178/K178</f>
        <v>0.78662113462958849</v>
      </c>
      <c r="M179" s="157"/>
      <c r="N179" s="59">
        <f>L179-F179</f>
        <v>0.11162113462958845</v>
      </c>
      <c r="O179" s="60"/>
      <c r="P179" s="144"/>
      <c r="Q179" s="158">
        <f>Q178/P178</f>
        <v>0.60194622706328171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30"/>
        <v>Service</v>
      </c>
      <c r="B180" s="11" t="s">
        <v>78</v>
      </c>
      <c r="C180" s="29"/>
      <c r="D180" s="13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/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30"/>
        <v>ServiceM/O Esthétique</v>
      </c>
      <c r="B181" s="11" t="s">
        <v>78</v>
      </c>
      <c r="C181" s="14" t="s">
        <v>85</v>
      </c>
      <c r="D181" s="105">
        <f>+SUM(START:END!D181)</f>
        <v>285.20927378371391</v>
      </c>
      <c r="E181" s="82">
        <f>+SUM(START:END!E181)</f>
        <v>57041.854756742781</v>
      </c>
      <c r="F181" s="82">
        <f>+SUM(START:END!F181)</f>
        <v>22816.741902697115</v>
      </c>
      <c r="G181" s="107">
        <f>+SUM(START:END!G181)</f>
        <v>0</v>
      </c>
      <c r="H181" s="82">
        <f>+SUM(START:END!H181)</f>
        <v>0</v>
      </c>
      <c r="I181" s="82">
        <f>+SUM(START:END!I181)</f>
        <v>0</v>
      </c>
      <c r="J181" s="164">
        <f>+SUM(START:END!J181)</f>
        <v>198</v>
      </c>
      <c r="K181" s="165">
        <f>+SUM(START:END!K181)</f>
        <v>41149.71</v>
      </c>
      <c r="L181" s="108">
        <f>+SUM(START:END!L181)</f>
        <v>29151.18</v>
      </c>
      <c r="M181" s="173">
        <f>IF(E181=0,0,(K181-E181)/E181)</f>
        <v>-0.27860497917740323</v>
      </c>
      <c r="N181" s="109">
        <f>L181-F181</f>
        <v>6334.4380973028856</v>
      </c>
      <c r="O181" s="164">
        <f>+SUM(START:END!O181)</f>
        <v>262</v>
      </c>
      <c r="P181" s="165">
        <f>+SUM(START:END!P181)</f>
        <v>54138.569999999992</v>
      </c>
      <c r="Q181" s="108">
        <f>+SUM(START:END!Q181)</f>
        <v>21633.909999999993</v>
      </c>
      <c r="R181" s="157">
        <f>IF(O181=0,0,J181/O181)</f>
        <v>0.75572519083969469</v>
      </c>
      <c r="S181" s="110">
        <f>L181-Q181</f>
        <v>7517.2700000000077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30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>
        <f>IFERROR(I181/H181,0)</f>
        <v>0</v>
      </c>
      <c r="J182" s="175"/>
      <c r="K182" s="174"/>
      <c r="L182" s="158">
        <f>IFERROR(L181/K181,0)</f>
        <v>0.70841762918863826</v>
      </c>
      <c r="M182" s="60">
        <f>J182-D182</f>
        <v>0</v>
      </c>
      <c r="N182" s="176"/>
      <c r="O182" s="175"/>
      <c r="P182" s="174"/>
      <c r="Q182" s="158">
        <f>IFERROR(Q181/P181,0)</f>
        <v>0.39960253844902066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30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/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30"/>
        <v>ServiceAjustement M/O</v>
      </c>
      <c r="B184" s="11" t="s">
        <v>78</v>
      </c>
      <c r="C184" s="29" t="s">
        <v>86</v>
      </c>
      <c r="D184" s="13"/>
      <c r="E184" s="13"/>
      <c r="F184" s="59">
        <f>+SUM(START:END!F184)</f>
        <v>-10579.596568401557</v>
      </c>
      <c r="G184" s="41"/>
      <c r="H184" s="82"/>
      <c r="I184" s="82">
        <f>+SUM(START:END!I184)</f>
        <v>0</v>
      </c>
      <c r="J184" s="60"/>
      <c r="K184" s="82"/>
      <c r="L184" s="82">
        <f>+SUM(START:END!L184)</f>
        <v>-7297.72</v>
      </c>
      <c r="M184" s="175"/>
      <c r="N184" s="59">
        <f>L184-F184</f>
        <v>3281.8765684015571</v>
      </c>
      <c r="O184" s="60"/>
      <c r="P184" s="82"/>
      <c r="Q184" s="82">
        <f>+SUM(START:END!Q184)</f>
        <v>-9587.08</v>
      </c>
      <c r="R184" s="184"/>
      <c r="S184" s="85">
        <f>L184-Q184</f>
        <v>2289.3599999999997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30"/>
        <v>ServiceSous-total M/O</v>
      </c>
      <c r="B185" s="11" t="s">
        <v>78</v>
      </c>
      <c r="C185" s="185" t="s">
        <v>87</v>
      </c>
      <c r="D185" s="186"/>
      <c r="E185" s="186">
        <f>E172+E175+E178+E181+E184</f>
        <v>544087.80716564646</v>
      </c>
      <c r="F185" s="187">
        <f>F172+F175+F178+F181+F184</f>
        <v>367519.2930262654</v>
      </c>
      <c r="G185" s="188"/>
      <c r="H185" s="186">
        <f>H172+H175+H178+H181+H184</f>
        <v>0</v>
      </c>
      <c r="I185" s="187">
        <f>I172+I175+I178+I181+I184</f>
        <v>0</v>
      </c>
      <c r="J185" s="188"/>
      <c r="K185" s="186">
        <f>K172+K175+K178+K181+K184</f>
        <v>616592.6</v>
      </c>
      <c r="L185" s="187">
        <f>L172+L175+L178+L181+L184</f>
        <v>465341.27999999997</v>
      </c>
      <c r="M185" s="189">
        <f>(K185-E185)/E185</f>
        <v>0.13325935975675995</v>
      </c>
      <c r="N185" s="187">
        <f>L185-F185</f>
        <v>97821.986973734573</v>
      </c>
      <c r="O185" s="188"/>
      <c r="P185" s="186">
        <f>P172+P175+P178+P181+P184</f>
        <v>503355.26999999984</v>
      </c>
      <c r="Q185" s="187">
        <f>Q172+Q175+Q178+Q181+Q184</f>
        <v>332512.59999999986</v>
      </c>
      <c r="R185" s="42">
        <f>IF(O185=0,0,J185/O185)</f>
        <v>0</v>
      </c>
      <c r="S185" s="190">
        <f>L185-Q185</f>
        <v>132828.68000000011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30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0.6754779066651182</v>
      </c>
      <c r="G186" s="194"/>
      <c r="H186" s="192"/>
      <c r="I186" s="43" t="e">
        <f>I185/H185</f>
        <v>#DIV/0!</v>
      </c>
      <c r="J186" s="194"/>
      <c r="K186" s="443"/>
      <c r="L186" s="43">
        <f>L185/K185</f>
        <v>0.75469812644524115</v>
      </c>
      <c r="M186" s="194"/>
      <c r="N186" s="193">
        <f>N185/F185</f>
        <v>0.2661683041677585</v>
      </c>
      <c r="O186" s="194"/>
      <c r="P186" s="443"/>
      <c r="Q186" s="43">
        <f>Q185/P185</f>
        <v>0.66059226915415026</v>
      </c>
      <c r="R186" s="194"/>
      <c r="S186" s="44">
        <f>IF(R185=0,0,S185/R185)</f>
        <v>0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30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30"/>
        <v>ServiceSous-traitement</v>
      </c>
      <c r="B188" s="11" t="s">
        <v>78</v>
      </c>
      <c r="C188" s="29" t="s">
        <v>89</v>
      </c>
      <c r="D188" s="82"/>
      <c r="E188" s="82">
        <f>+SUM(START:END!E188)</f>
        <v>19993.910763159853</v>
      </c>
      <c r="F188" s="82">
        <f>+SUM(START:END!F188)</f>
        <v>2299.2997377633833</v>
      </c>
      <c r="G188" s="60"/>
      <c r="H188" s="82">
        <f>+SUM(START:END!H188)</f>
        <v>0</v>
      </c>
      <c r="I188" s="82">
        <f>+SUM(START:END!I188)</f>
        <v>0</v>
      </c>
      <c r="J188" s="60"/>
      <c r="K188" s="30">
        <f>+SUM(START:END!K188)</f>
        <v>23266.870000000003</v>
      </c>
      <c r="L188" s="33">
        <f>+SUM(START:END!L188)</f>
        <v>2851.8199999999997</v>
      </c>
      <c r="M188" s="84">
        <f>IF(E188=0,0,(K188-E188)/E188)</f>
        <v>0.16369780157620795</v>
      </c>
      <c r="N188" s="59">
        <f>L188-F188</f>
        <v>552.52026223661642</v>
      </c>
      <c r="O188" s="60"/>
      <c r="P188" s="30">
        <f>+SUM(START:END!P188)</f>
        <v>9283.2100000000009</v>
      </c>
      <c r="Q188" s="33">
        <f>+SUM(START:END!Q188)</f>
        <v>1298.69</v>
      </c>
      <c r="R188" s="157">
        <f>IF(O188=0,0,J188/O188)</f>
        <v>0</v>
      </c>
      <c r="S188" s="85">
        <f>L188-Q188</f>
        <v>1553.1299999999997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30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0.115</v>
      </c>
      <c r="G189" s="41"/>
      <c r="H189" s="144"/>
      <c r="I189" s="158">
        <f>IFERROR(I188/H188,0)</f>
        <v>0</v>
      </c>
      <c r="J189" s="175"/>
      <c r="K189" s="174"/>
      <c r="L189" s="158">
        <f>IFERROR(L188/K188,0)</f>
        <v>0.12256998900152875</v>
      </c>
      <c r="M189" s="175"/>
      <c r="N189" s="176"/>
      <c r="O189" s="175"/>
      <c r="P189" s="174"/>
      <c r="Q189" s="158">
        <f>IFERROR(Q188/P188,0)</f>
        <v>0.13989665212787386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30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30"/>
        <v>ServiceM.O. Recond. MCPA</v>
      </c>
      <c r="B191" s="11" t="s">
        <v>78</v>
      </c>
      <c r="C191" s="29" t="s">
        <v>90</v>
      </c>
      <c r="D191" s="13"/>
      <c r="E191" s="82">
        <f>+SUM(START:END!E191)</f>
        <v>0</v>
      </c>
      <c r="F191" s="82">
        <f>+SUM(START:END!F191)</f>
        <v>0</v>
      </c>
      <c r="G191" s="41"/>
      <c r="H191" s="82">
        <f>+SUM(START:END!H191)</f>
        <v>0</v>
      </c>
      <c r="I191" s="82">
        <f>+SUM(START:END!I191)</f>
        <v>0</v>
      </c>
      <c r="J191" s="175"/>
      <c r="K191" s="30">
        <f>+SUM(START:END!K191)</f>
        <v>0</v>
      </c>
      <c r="L191" s="158">
        <f>+SUM(START:END!L191)</f>
        <v>0</v>
      </c>
      <c r="M191" s="175"/>
      <c r="N191" s="176"/>
      <c r="O191" s="175"/>
      <c r="P191" s="30">
        <f>+SUM(START:END!P191)</f>
        <v>0</v>
      </c>
      <c r="Q191" s="158">
        <f>+SUM(START:END!Q191)</f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30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>
        <f>IF(I191=0,0,I191/H191)</f>
        <v>0</v>
      </c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30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30"/>
        <v>ServiceTotal Mécanique</v>
      </c>
      <c r="B194" s="11" t="s">
        <v>78</v>
      </c>
      <c r="C194" s="62" t="s">
        <v>91</v>
      </c>
      <c r="D194" s="63"/>
      <c r="E194" s="63">
        <f>E185+E188+E191</f>
        <v>564081.71792880632</v>
      </c>
      <c r="F194" s="65">
        <f>F185+F188+F191</f>
        <v>369818.59276402876</v>
      </c>
      <c r="G194" s="66"/>
      <c r="H194" s="63">
        <f>H185+H188+H191</f>
        <v>0</v>
      </c>
      <c r="I194" s="65">
        <f>I185+I188+I191</f>
        <v>0</v>
      </c>
      <c r="J194" s="66"/>
      <c r="K194" s="63">
        <f>K185+K188+K191</f>
        <v>639859.47</v>
      </c>
      <c r="L194" s="65">
        <f>L185+L188+L191</f>
        <v>468193.1</v>
      </c>
      <c r="M194" s="206">
        <f>L195-F195</f>
        <v>7.6100653572777399E-2</v>
      </c>
      <c r="N194" s="65">
        <f>L194-F194</f>
        <v>98374.507235971221</v>
      </c>
      <c r="O194" s="66"/>
      <c r="P194" s="63">
        <f>P185+P188+P191</f>
        <v>512638.47999999986</v>
      </c>
      <c r="Q194" s="65">
        <f>Q185+Q188+Q191</f>
        <v>333811.28999999986</v>
      </c>
      <c r="R194" s="206">
        <f>L195-Q195</f>
        <v>8.0549231805785659E-2</v>
      </c>
      <c r="S194" s="68">
        <f>L194-Q194</f>
        <v>134381.81000000011</v>
      </c>
      <c r="T194" s="11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30"/>
        <v>Service</v>
      </c>
      <c r="B195" s="11" t="s">
        <v>78</v>
      </c>
      <c r="C195" s="69"/>
      <c r="D195" s="70"/>
      <c r="E195" s="70"/>
      <c r="F195" s="74">
        <f>F194/E194</f>
        <v>0.65561173321115185</v>
      </c>
      <c r="G195" s="72"/>
      <c r="H195" s="70"/>
      <c r="I195" s="74" t="e">
        <f>I194/H194</f>
        <v>#DIV/0!</v>
      </c>
      <c r="J195" s="72"/>
      <c r="K195" s="70"/>
      <c r="L195" s="74">
        <f>L194/K194</f>
        <v>0.73171238678392925</v>
      </c>
      <c r="M195" s="73"/>
      <c r="N195" s="74">
        <f>N194/F194</f>
        <v>0.26600746733883479</v>
      </c>
      <c r="O195" s="72"/>
      <c r="P195" s="70"/>
      <c r="Q195" s="74">
        <f>Q194/P194</f>
        <v>0.65116315497814359</v>
      </c>
      <c r="R195" s="73"/>
      <c r="S195" s="75">
        <f>L194/S194</f>
        <v>3.4840511524588007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30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30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30"/>
        <v>ServiceSalaires cadres</v>
      </c>
      <c r="B198" s="11" t="s">
        <v>78</v>
      </c>
      <c r="C198" s="102" t="s">
        <v>40</v>
      </c>
      <c r="D198" s="13"/>
      <c r="E198" s="13"/>
      <c r="F198" s="30">
        <f>+SUM(START:END!F198)</f>
        <v>31012.490613026821</v>
      </c>
      <c r="G198" s="41"/>
      <c r="H198" s="13"/>
      <c r="I198" s="30">
        <f>+SUM(START:END!I198)</f>
        <v>0</v>
      </c>
      <c r="J198" s="41"/>
      <c r="K198" s="13"/>
      <c r="L198" s="33">
        <f>+SUM(START:END!L198)</f>
        <v>36507.94</v>
      </c>
      <c r="M198" s="41"/>
      <c r="N198" s="59">
        <f t="shared" ref="N198:N229" si="31">L198-F198</f>
        <v>5495.4493869731814</v>
      </c>
      <c r="O198" s="41"/>
      <c r="P198" s="13"/>
      <c r="Q198" s="33">
        <f>+SUM(START:END!Q198)</f>
        <v>24459.699999999997</v>
      </c>
      <c r="R198" s="41"/>
      <c r="S198" s="85">
        <f t="shared" ref="S198:S228" si="32">L198-Q198</f>
        <v>12048.240000000005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30"/>
        <v>ServiceSalaires commis</v>
      </c>
      <c r="B199" s="11" t="s">
        <v>78</v>
      </c>
      <c r="C199" s="103" t="s">
        <v>41</v>
      </c>
      <c r="D199" s="81"/>
      <c r="E199" s="13"/>
      <c r="F199" s="22">
        <f>+SUM(START:END!F199)</f>
        <v>16755.946360153255</v>
      </c>
      <c r="G199" s="83"/>
      <c r="H199" s="13"/>
      <c r="I199" s="22">
        <f>+SUM(START:END!I199)</f>
        <v>0</v>
      </c>
      <c r="J199" s="41"/>
      <c r="K199" s="13"/>
      <c r="L199" s="33">
        <f>+SUM(START:END!L199)</f>
        <v>15732.939999999999</v>
      </c>
      <c r="M199" s="41"/>
      <c r="N199" s="59">
        <f t="shared" si="31"/>
        <v>-1023.0063601532565</v>
      </c>
      <c r="O199" s="41"/>
      <c r="P199" s="13"/>
      <c r="Q199" s="33">
        <f>+SUM(START:END!Q199)</f>
        <v>15312.380000000001</v>
      </c>
      <c r="R199" s="41"/>
      <c r="S199" s="85">
        <f t="shared" si="32"/>
        <v>420.55999999999767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30"/>
        <v>ServiceSalaires autres</v>
      </c>
      <c r="B200" s="11" t="s">
        <v>78</v>
      </c>
      <c r="C200" s="102" t="s">
        <v>42</v>
      </c>
      <c r="D200" s="104"/>
      <c r="E200" s="105"/>
      <c r="F200" s="30">
        <f>+SUM(START:END!F200)</f>
        <v>17381.841308028157</v>
      </c>
      <c r="G200" s="106"/>
      <c r="H200" s="105"/>
      <c r="I200" s="30">
        <f>+SUM(START:END!I200)</f>
        <v>0</v>
      </c>
      <c r="J200" s="107"/>
      <c r="K200" s="105"/>
      <c r="L200" s="108">
        <f>+SUM(START:END!L200)</f>
        <v>31190.47</v>
      </c>
      <c r="M200" s="107"/>
      <c r="N200" s="109">
        <f t="shared" si="31"/>
        <v>13808.628691971844</v>
      </c>
      <c r="O200" s="107"/>
      <c r="P200" s="105"/>
      <c r="Q200" s="108">
        <f>+SUM(START:END!Q200)</f>
        <v>20019.439999999999</v>
      </c>
      <c r="R200" s="107"/>
      <c r="S200" s="110">
        <f t="shared" si="32"/>
        <v>11171.030000000002</v>
      </c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30"/>
        <v>ServiceSalaires spécialistes</v>
      </c>
      <c r="B201" s="11" t="s">
        <v>78</v>
      </c>
      <c r="C201" s="102" t="s">
        <v>43</v>
      </c>
      <c r="D201" s="81"/>
      <c r="E201" s="13"/>
      <c r="F201" s="30">
        <f>+SUM(START:END!F201)</f>
        <v>42970.374111111109</v>
      </c>
      <c r="G201" s="83"/>
      <c r="H201" s="13"/>
      <c r="I201" s="30">
        <f>+SUM(START:END!I201)</f>
        <v>0</v>
      </c>
      <c r="J201" s="41"/>
      <c r="K201" s="13"/>
      <c r="L201" s="33">
        <f>+SUM(START:END!L201)</f>
        <v>45118.130000000005</v>
      </c>
      <c r="M201" s="41"/>
      <c r="N201" s="59">
        <f t="shared" si="31"/>
        <v>2147.7558888888962</v>
      </c>
      <c r="O201" s="41"/>
      <c r="P201" s="13"/>
      <c r="Q201" s="33">
        <f>+SUM(START:END!Q201)</f>
        <v>44000.47</v>
      </c>
      <c r="R201" s="41"/>
      <c r="S201" s="85">
        <f t="shared" si="32"/>
        <v>1117.6600000000035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30"/>
        <v>Service[...]</v>
      </c>
      <c r="B202" s="11" t="s">
        <v>78</v>
      </c>
      <c r="C202" s="29" t="s">
        <v>19</v>
      </c>
      <c r="D202" s="81"/>
      <c r="E202" s="13"/>
      <c r="F202" s="30">
        <f>+SUM(START:END!F202)</f>
        <v>0</v>
      </c>
      <c r="G202" s="83"/>
      <c r="H202" s="13"/>
      <c r="I202" s="30">
        <f>+SUM(START:END!I202)</f>
        <v>0</v>
      </c>
      <c r="J202" s="41"/>
      <c r="K202" s="13"/>
      <c r="L202" s="33">
        <f>+SUM(START:END!L202)</f>
        <v>0</v>
      </c>
      <c r="M202" s="41"/>
      <c r="N202" s="59">
        <f t="shared" si="31"/>
        <v>0</v>
      </c>
      <c r="O202" s="41"/>
      <c r="P202" s="13"/>
      <c r="Q202" s="33">
        <f>+SUM(START:END!Q202)</f>
        <v>0</v>
      </c>
      <c r="R202" s="41"/>
      <c r="S202" s="85">
        <f t="shared" si="32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30"/>
        <v>Service[...]</v>
      </c>
      <c r="B203" s="11" t="s">
        <v>78</v>
      </c>
      <c r="C203" s="29" t="s">
        <v>19</v>
      </c>
      <c r="D203" s="81"/>
      <c r="E203" s="13"/>
      <c r="F203" s="30">
        <f>+SUM(START:END!F203)</f>
        <v>0</v>
      </c>
      <c r="G203" s="83"/>
      <c r="H203" s="13"/>
      <c r="I203" s="30">
        <f>+SUM(START:END!I203)</f>
        <v>0</v>
      </c>
      <c r="J203" s="41"/>
      <c r="K203" s="13"/>
      <c r="L203" s="33">
        <f>+SUM(START:END!L203)</f>
        <v>0</v>
      </c>
      <c r="M203" s="41"/>
      <c r="N203" s="59">
        <f t="shared" si="31"/>
        <v>0</v>
      </c>
      <c r="O203" s="41"/>
      <c r="P203" s="13"/>
      <c r="Q203" s="33">
        <f>+SUM(START:END!Q203)</f>
        <v>0</v>
      </c>
      <c r="R203" s="41"/>
      <c r="S203" s="85">
        <f t="shared" si="32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30"/>
        <v>Service[...]</v>
      </c>
      <c r="B204" s="11" t="s">
        <v>78</v>
      </c>
      <c r="C204" s="29" t="s">
        <v>19</v>
      </c>
      <c r="D204" s="81"/>
      <c r="E204" s="13"/>
      <c r="F204" s="30">
        <f>+SUM(START:END!F204)</f>
        <v>0</v>
      </c>
      <c r="G204" s="83"/>
      <c r="H204" s="13"/>
      <c r="I204" s="30">
        <f>+SUM(START:END!I204)</f>
        <v>0</v>
      </c>
      <c r="J204" s="41"/>
      <c r="K204" s="13"/>
      <c r="L204" s="33">
        <f>+SUM(START:END!L204)</f>
        <v>0</v>
      </c>
      <c r="M204" s="41"/>
      <c r="N204" s="59">
        <f t="shared" si="31"/>
        <v>0</v>
      </c>
      <c r="O204" s="41"/>
      <c r="P204" s="13"/>
      <c r="Q204" s="33">
        <f>+SUM(START:END!Q204)</f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30"/>
        <v>ServiceSalaires en absences</v>
      </c>
      <c r="B205" s="11" t="s">
        <v>78</v>
      </c>
      <c r="C205" s="103" t="s">
        <v>44</v>
      </c>
      <c r="D205" s="81"/>
      <c r="E205" s="13"/>
      <c r="F205" s="30">
        <f>+SUM(START:END!F205)</f>
        <v>31532.113143666509</v>
      </c>
      <c r="G205" s="83"/>
      <c r="H205" s="13"/>
      <c r="I205" s="30">
        <f>+SUM(START:END!I205)</f>
        <v>0</v>
      </c>
      <c r="J205" s="41"/>
      <c r="K205" s="13"/>
      <c r="L205" s="33">
        <f>+SUM(START:END!L205)</f>
        <v>33736.950000000004</v>
      </c>
      <c r="M205" s="41"/>
      <c r="N205" s="59">
        <f t="shared" si="31"/>
        <v>2204.8368563334952</v>
      </c>
      <c r="O205" s="41"/>
      <c r="P205" s="13"/>
      <c r="Q205" s="33">
        <f>+SUM(START:END!Q205)</f>
        <v>18492.150000000001</v>
      </c>
      <c r="R205" s="41"/>
      <c r="S205" s="85">
        <f>L205-Q205</f>
        <v>15244.800000000003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30"/>
        <v>ServiceDéduction à la source</v>
      </c>
      <c r="B206" s="11" t="s">
        <v>78</v>
      </c>
      <c r="C206" s="102" t="s">
        <v>45</v>
      </c>
      <c r="D206" s="104"/>
      <c r="E206" s="105"/>
      <c r="F206" s="55">
        <f>+SUM(START:END!F206)</f>
        <v>36412.108928194961</v>
      </c>
      <c r="G206" s="106"/>
      <c r="H206" s="105"/>
      <c r="I206" s="55">
        <f>+SUM(START:END!I206)</f>
        <v>0</v>
      </c>
      <c r="J206" s="107"/>
      <c r="K206" s="105"/>
      <c r="L206" s="108">
        <f>+SUM(START:END!L206)</f>
        <v>44367.229999999996</v>
      </c>
      <c r="M206" s="107"/>
      <c r="N206" s="109">
        <f t="shared" si="31"/>
        <v>7955.1210718050352</v>
      </c>
      <c r="O206" s="107"/>
      <c r="P206" s="105"/>
      <c r="Q206" s="108">
        <f>+SUM(START:END!Q206)</f>
        <v>31278.23</v>
      </c>
      <c r="R206" s="107"/>
      <c r="S206" s="110">
        <f t="shared" si="32"/>
        <v>13088.999999999996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30"/>
        <v>ServiceBénéfices marginaux</v>
      </c>
      <c r="B207" s="11" t="s">
        <v>78</v>
      </c>
      <c r="C207" s="102" t="s">
        <v>46</v>
      </c>
      <c r="D207" s="81"/>
      <c r="E207" s="13"/>
      <c r="F207" s="30">
        <f>+SUM(START:END!F207)</f>
        <v>18946.057266898373</v>
      </c>
      <c r="G207" s="83"/>
      <c r="H207" s="13"/>
      <c r="I207" s="30">
        <f>+SUM(START:END!I207)</f>
        <v>0</v>
      </c>
      <c r="J207" s="41"/>
      <c r="K207" s="13"/>
      <c r="L207" s="33">
        <f>+SUM(START:END!L207)</f>
        <v>18558.46</v>
      </c>
      <c r="M207" s="41"/>
      <c r="N207" s="59">
        <f t="shared" si="31"/>
        <v>-387.59726689837407</v>
      </c>
      <c r="O207" s="41"/>
      <c r="P207" s="13"/>
      <c r="Q207" s="33">
        <f>+SUM(START:END!Q207)</f>
        <v>12203.650000000001</v>
      </c>
      <c r="R207" s="41"/>
      <c r="S207" s="85">
        <f t="shared" si="32"/>
        <v>6354.8099999999977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30"/>
        <v>ServiceCsst</v>
      </c>
      <c r="B208" s="11" t="s">
        <v>78</v>
      </c>
      <c r="C208" s="102" t="s">
        <v>47</v>
      </c>
      <c r="D208" s="81"/>
      <c r="E208" s="13"/>
      <c r="F208" s="30">
        <f>+SUM(START:END!F208)</f>
        <v>4059.869414335365</v>
      </c>
      <c r="G208" s="83"/>
      <c r="H208" s="13"/>
      <c r="I208" s="30">
        <f>+SUM(START:END!I208)</f>
        <v>0</v>
      </c>
      <c r="J208" s="41"/>
      <c r="K208" s="13"/>
      <c r="L208" s="33">
        <f>+SUM(START:END!L208)</f>
        <v>7650.09</v>
      </c>
      <c r="M208" s="467"/>
      <c r="N208" s="146">
        <f t="shared" si="31"/>
        <v>3590.2205856646351</v>
      </c>
      <c r="O208" s="467"/>
      <c r="P208" s="468"/>
      <c r="Q208" s="22">
        <f>+SUM(START:END!Q208)</f>
        <v>3827.13</v>
      </c>
      <c r="R208" s="467"/>
      <c r="S208" s="469">
        <f t="shared" si="32"/>
        <v>3822.96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30"/>
        <v>Service[...]</v>
      </c>
      <c r="B209" s="11" t="s">
        <v>78</v>
      </c>
      <c r="C209" s="29" t="s">
        <v>19</v>
      </c>
      <c r="D209" s="87"/>
      <c r="E209" s="111"/>
      <c r="F209" s="30">
        <f>+SUM(START:END!F209)</f>
        <v>0</v>
      </c>
      <c r="G209" s="89"/>
      <c r="H209" s="111"/>
      <c r="I209" s="30">
        <f>+SUM(START:END!I209)</f>
        <v>0</v>
      </c>
      <c r="J209" s="23"/>
      <c r="K209" s="111"/>
      <c r="L209" s="33">
        <f>+SUM(START:END!L209)</f>
        <v>0</v>
      </c>
      <c r="M209" s="23"/>
      <c r="N209" s="91">
        <f t="shared" si="31"/>
        <v>0</v>
      </c>
      <c r="O209" s="23"/>
      <c r="P209" s="111"/>
      <c r="Q209" s="33">
        <f>+SUM(START:END!Q209)</f>
        <v>0</v>
      </c>
      <c r="R209" s="23"/>
      <c r="S209" s="92">
        <f t="shared" si="32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30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0.53829311192159623</v>
      </c>
      <c r="F210" s="96">
        <f>+SUM(F198:F209)</f>
        <v>199070.80114541456</v>
      </c>
      <c r="G210" s="97" t="s">
        <v>92</v>
      </c>
      <c r="H210" s="95" t="e">
        <f>I210/I$194</f>
        <v>#DIV/0!</v>
      </c>
      <c r="I210" s="96">
        <f>+SUM(I198:I209)</f>
        <v>0</v>
      </c>
      <c r="J210" s="97" t="s">
        <v>92</v>
      </c>
      <c r="K210" s="95">
        <f>L210/L$194</f>
        <v>0.49736360916040845</v>
      </c>
      <c r="L210" s="96">
        <f>+SUM(L198:L209)</f>
        <v>232862.21000000002</v>
      </c>
      <c r="M210" s="147"/>
      <c r="N210" s="113">
        <f t="shared" si="31"/>
        <v>33791.408854585461</v>
      </c>
      <c r="O210" s="97" t="s">
        <v>92</v>
      </c>
      <c r="P210" s="95">
        <f>Q210/Q$194</f>
        <v>0.50805097095427809</v>
      </c>
      <c r="Q210" s="96">
        <f>+SUM(Q198:Q209)</f>
        <v>169593.15000000002</v>
      </c>
      <c r="R210" s="147"/>
      <c r="S210" s="114">
        <f t="shared" si="32"/>
        <v>63269.06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30"/>
        <v>ServicePublicité 2</v>
      </c>
      <c r="B211" s="11" t="s">
        <v>78</v>
      </c>
      <c r="C211" s="29" t="s">
        <v>49</v>
      </c>
      <c r="D211" s="81"/>
      <c r="E211" s="13"/>
      <c r="F211" s="30">
        <f>+SUM(START:END!F211)</f>
        <v>16272.767834930008</v>
      </c>
      <c r="G211" s="83"/>
      <c r="H211" s="13"/>
      <c r="I211" s="30">
        <f>+SUM(START:END!I211)</f>
        <v>0</v>
      </c>
      <c r="J211" s="41"/>
      <c r="K211" s="13"/>
      <c r="L211" s="33">
        <f>+SUM(START:END!L211)</f>
        <v>19776.23</v>
      </c>
      <c r="M211" s="41"/>
      <c r="N211" s="59">
        <f t="shared" si="31"/>
        <v>3503.4621650699919</v>
      </c>
      <c r="O211" s="41"/>
      <c r="P211" s="13"/>
      <c r="Q211" s="33">
        <f>+SUM(START:END!Q211)</f>
        <v>18609.41</v>
      </c>
      <c r="R211" s="41"/>
      <c r="S211" s="85">
        <f t="shared" si="32"/>
        <v>1166.8199999999997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30"/>
        <v>ServiceService gratuit 2</v>
      </c>
      <c r="B212" s="11" t="s">
        <v>78</v>
      </c>
      <c r="C212" s="29" t="s">
        <v>50</v>
      </c>
      <c r="D212" s="81"/>
      <c r="E212" s="13"/>
      <c r="F212" s="30">
        <f>+SUM(START:END!F212)</f>
        <v>8275</v>
      </c>
      <c r="G212" s="83"/>
      <c r="H212" s="13"/>
      <c r="I212" s="30">
        <f>+SUM(START:END!I212)</f>
        <v>0</v>
      </c>
      <c r="J212" s="41"/>
      <c r="K212" s="13"/>
      <c r="L212" s="33">
        <f>+SUM(START:END!L212)</f>
        <v>12806.560000000001</v>
      </c>
      <c r="M212" s="41"/>
      <c r="N212" s="59">
        <f t="shared" si="31"/>
        <v>4531.5600000000013</v>
      </c>
      <c r="O212" s="41"/>
      <c r="P212" s="13"/>
      <c r="Q212" s="33">
        <f>+SUM(START:END!Q212)</f>
        <v>9217.4399999999896</v>
      </c>
      <c r="R212" s="41"/>
      <c r="S212" s="85">
        <f t="shared" si="32"/>
        <v>3589.1200000000117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30"/>
        <v>ServiceFrais véhicules de cie</v>
      </c>
      <c r="B213" s="11" t="s">
        <v>78</v>
      </c>
      <c r="C213" s="86" t="s">
        <v>51</v>
      </c>
      <c r="D213" s="87"/>
      <c r="E213" s="111"/>
      <c r="F213" s="22">
        <f>+SUM(START:END!F213)</f>
        <v>18478.5</v>
      </c>
      <c r="G213" s="89"/>
      <c r="H213" s="111"/>
      <c r="I213" s="22">
        <f>+SUM(START:END!I213)</f>
        <v>0</v>
      </c>
      <c r="J213" s="23"/>
      <c r="K213" s="111"/>
      <c r="L213" s="33">
        <f>+SUM(START:END!L213)</f>
        <v>18897.870000000003</v>
      </c>
      <c r="M213" s="23"/>
      <c r="N213" s="91">
        <f t="shared" si="31"/>
        <v>419.37000000000262</v>
      </c>
      <c r="O213" s="23"/>
      <c r="P213" s="111"/>
      <c r="Q213" s="33">
        <f>+SUM(START:END!Q213)</f>
        <v>15570.479999999989</v>
      </c>
      <c r="R213" s="23"/>
      <c r="S213" s="92">
        <f t="shared" si="32"/>
        <v>3327.390000000014</v>
      </c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30"/>
        <v>ServiceInformatique</v>
      </c>
      <c r="B214" s="11" t="s">
        <v>78</v>
      </c>
      <c r="C214" s="29" t="s">
        <v>52</v>
      </c>
      <c r="D214" s="81"/>
      <c r="E214" s="13"/>
      <c r="F214" s="30">
        <f>+SUM(START:END!F214)</f>
        <v>18100.5</v>
      </c>
      <c r="G214" s="83"/>
      <c r="H214" s="13"/>
      <c r="I214" s="30">
        <f>+SUM(START:END!I214)</f>
        <v>0</v>
      </c>
      <c r="J214" s="41"/>
      <c r="K214" s="13"/>
      <c r="L214" s="108">
        <f>+SUM(START:END!L214)</f>
        <v>18248.79</v>
      </c>
      <c r="M214" s="41"/>
      <c r="N214" s="59">
        <f t="shared" si="31"/>
        <v>148.29000000000087</v>
      </c>
      <c r="O214" s="41"/>
      <c r="P214" s="13"/>
      <c r="Q214" s="108">
        <f>+SUM(START:END!Q214)</f>
        <v>16539.650000000001</v>
      </c>
      <c r="R214" s="41"/>
      <c r="S214" s="85">
        <f t="shared" si="32"/>
        <v>1709.1399999999994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30"/>
        <v>ServiceFrais de déplacement</v>
      </c>
      <c r="B215" s="11" t="s">
        <v>78</v>
      </c>
      <c r="C215" s="29" t="s">
        <v>53</v>
      </c>
      <c r="D215" s="81"/>
      <c r="E215" s="13"/>
      <c r="F215" s="30">
        <f>+SUM(START:END!F215)</f>
        <v>1375</v>
      </c>
      <c r="G215" s="83"/>
      <c r="H215" s="13"/>
      <c r="I215" s="30">
        <f>+SUM(START:END!I215)</f>
        <v>0</v>
      </c>
      <c r="J215" s="41"/>
      <c r="K215" s="13"/>
      <c r="L215" s="33">
        <f>+SUM(START:END!L215)</f>
        <v>1447.0900000000001</v>
      </c>
      <c r="M215" s="41"/>
      <c r="N215" s="59">
        <f t="shared" si="31"/>
        <v>72.090000000000146</v>
      </c>
      <c r="O215" s="41"/>
      <c r="P215" s="13"/>
      <c r="Q215" s="33">
        <f>+SUM(START:END!Q215)</f>
        <v>1544.78</v>
      </c>
      <c r="R215" s="41"/>
      <c r="S215" s="85">
        <f t="shared" si="32"/>
        <v>-97.689999999999827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30"/>
        <v>ServiceServices extérieurs</v>
      </c>
      <c r="B216" s="11" t="s">
        <v>78</v>
      </c>
      <c r="C216" s="86" t="s">
        <v>54</v>
      </c>
      <c r="D216" s="87"/>
      <c r="E216" s="111"/>
      <c r="F216" s="22">
        <f>+SUM(START:END!F216)</f>
        <v>16924.5</v>
      </c>
      <c r="G216" s="89"/>
      <c r="H216" s="111"/>
      <c r="I216" s="22">
        <f>+SUM(START:END!I216)</f>
        <v>0</v>
      </c>
      <c r="J216" s="23"/>
      <c r="K216" s="111"/>
      <c r="L216" s="33">
        <f>+SUM(START:END!L216)</f>
        <v>6401.91</v>
      </c>
      <c r="M216" s="23"/>
      <c r="N216" s="91">
        <f t="shared" si="31"/>
        <v>-10522.59</v>
      </c>
      <c r="O216" s="23"/>
      <c r="P216" s="111"/>
      <c r="Q216" s="33">
        <f>+SUM(START:END!Q216)</f>
        <v>19094.2</v>
      </c>
      <c r="R216" s="23"/>
      <c r="S216" s="92">
        <f t="shared" si="32"/>
        <v>-12692.29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>
      <c r="A217" t="str">
        <f t="shared" si="30"/>
        <v>ServiceFournitures d'atelier</v>
      </c>
      <c r="B217" s="11" t="s">
        <v>78</v>
      </c>
      <c r="C217" s="29" t="s">
        <v>93</v>
      </c>
      <c r="D217" s="81"/>
      <c r="E217" s="13"/>
      <c r="F217" s="30">
        <f>+SUM(START:END!F217)</f>
        <v>0</v>
      </c>
      <c r="G217" s="83"/>
      <c r="H217" s="13"/>
      <c r="I217" s="30">
        <f>+SUM(START:END!I217)</f>
        <v>0</v>
      </c>
      <c r="J217" s="41"/>
      <c r="K217" s="13"/>
      <c r="L217" s="108">
        <f>+SUM(START:END!L217)</f>
        <v>0</v>
      </c>
      <c r="M217" s="41"/>
      <c r="N217" s="59">
        <f t="shared" si="31"/>
        <v>0</v>
      </c>
      <c r="O217" s="41"/>
      <c r="P217" s="13"/>
      <c r="Q217" s="108">
        <f>+SUM(START:END!Q217)</f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si="30"/>
        <v>ServiceFournitures autres</v>
      </c>
      <c r="B218" s="11" t="s">
        <v>78</v>
      </c>
      <c r="C218" s="29" t="s">
        <v>55</v>
      </c>
      <c r="D218" s="81"/>
      <c r="E218" s="13"/>
      <c r="F218" s="30">
        <f>+SUM(START:END!F218)</f>
        <v>3300</v>
      </c>
      <c r="G218" s="83"/>
      <c r="H218" s="13"/>
      <c r="I218" s="30">
        <f>+SUM(START:END!I218)</f>
        <v>0</v>
      </c>
      <c r="J218" s="41"/>
      <c r="K218" s="13"/>
      <c r="L218" s="33">
        <f>+SUM(START:END!L218)</f>
        <v>8559.130000000001</v>
      </c>
      <c r="M218" s="41"/>
      <c r="N218" s="59">
        <f t="shared" si="31"/>
        <v>5259.130000000001</v>
      </c>
      <c r="O218" s="41"/>
      <c r="P218" s="13"/>
      <c r="Q218" s="33">
        <f>+SUM(START:END!Q218)</f>
        <v>1400.65</v>
      </c>
      <c r="R218" s="41"/>
      <c r="S218" s="85">
        <f t="shared" si="32"/>
        <v>7158.4800000000014</v>
      </c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30"/>
        <v>ServiceUniformes</v>
      </c>
      <c r="B219" s="11" t="s">
        <v>78</v>
      </c>
      <c r="C219" s="29" t="s">
        <v>56</v>
      </c>
      <c r="D219" s="81"/>
      <c r="E219" s="13"/>
      <c r="F219" s="30">
        <f>+SUM(START:END!F219)</f>
        <v>3000</v>
      </c>
      <c r="G219" s="83"/>
      <c r="H219" s="13"/>
      <c r="I219" s="30">
        <f>+SUM(START:END!I219)</f>
        <v>0</v>
      </c>
      <c r="J219" s="41"/>
      <c r="K219" s="13"/>
      <c r="L219" s="33">
        <f>+SUM(START:END!L219)</f>
        <v>2987.61</v>
      </c>
      <c r="M219" s="41"/>
      <c r="N219" s="59">
        <f t="shared" si="31"/>
        <v>-12.389999999999873</v>
      </c>
      <c r="O219" s="41"/>
      <c r="P219" s="13"/>
      <c r="Q219" s="33">
        <f>+SUM(START:END!Q219)</f>
        <v>2938.06</v>
      </c>
      <c r="R219" s="41"/>
      <c r="S219" s="85">
        <f t="shared" si="32"/>
        <v>49.550000000000182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30"/>
        <v>ServicePapeterie</v>
      </c>
      <c r="B220" s="11" t="s">
        <v>78</v>
      </c>
      <c r="C220" s="29" t="s">
        <v>57</v>
      </c>
      <c r="D220" s="81"/>
      <c r="E220" s="13"/>
      <c r="F220" s="30">
        <f>+SUM(START:END!F220)</f>
        <v>1181.25</v>
      </c>
      <c r="G220" s="83"/>
      <c r="H220" s="13"/>
      <c r="I220" s="30">
        <f>+SUM(START:END!I220)</f>
        <v>0</v>
      </c>
      <c r="J220" s="41"/>
      <c r="K220" s="13"/>
      <c r="L220" s="32">
        <f>+SUM(START:END!L220)</f>
        <v>2200.88</v>
      </c>
      <c r="M220" s="41"/>
      <c r="N220" s="59">
        <f t="shared" si="31"/>
        <v>1019.6300000000001</v>
      </c>
      <c r="O220" s="41"/>
      <c r="P220" s="13"/>
      <c r="Q220" s="32">
        <f>+SUM(START:END!Q220)</f>
        <v>1059.6100000000001</v>
      </c>
      <c r="R220" s="41"/>
      <c r="S220" s="85">
        <f t="shared" si="32"/>
        <v>1141.27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30"/>
        <v>ServiceTéléphone</v>
      </c>
      <c r="B221" s="11" t="s">
        <v>78</v>
      </c>
      <c r="C221" s="29" t="s">
        <v>58</v>
      </c>
      <c r="D221" s="81"/>
      <c r="E221" s="13"/>
      <c r="F221" s="30">
        <f>+SUM(START:END!F221)</f>
        <v>360</v>
      </c>
      <c r="G221" s="83"/>
      <c r="H221" s="13"/>
      <c r="I221" s="30">
        <f>+SUM(START:END!I221)</f>
        <v>0</v>
      </c>
      <c r="J221" s="41"/>
      <c r="K221" s="13"/>
      <c r="L221" s="33">
        <f>+SUM(START:END!L221)</f>
        <v>343.61</v>
      </c>
      <c r="M221" s="41"/>
      <c r="N221" s="59">
        <f t="shared" si="31"/>
        <v>-16.389999999999986</v>
      </c>
      <c r="O221" s="41"/>
      <c r="P221" s="13"/>
      <c r="Q221" s="33">
        <f>+SUM(START:END!Q221)</f>
        <v>387.01</v>
      </c>
      <c r="R221" s="41"/>
      <c r="S221" s="85">
        <f t="shared" si="32"/>
        <v>-43.399999999999977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30"/>
        <v>ServiceFrais postaux</v>
      </c>
      <c r="B222" s="11" t="s">
        <v>78</v>
      </c>
      <c r="C222" s="29" t="s">
        <v>59</v>
      </c>
      <c r="D222" s="81"/>
      <c r="E222" s="13"/>
      <c r="F222" s="30">
        <f>+SUM(START:END!F222)</f>
        <v>337.5</v>
      </c>
      <c r="G222" s="83"/>
      <c r="H222" s="13"/>
      <c r="I222" s="30">
        <f>+SUM(START:END!I222)</f>
        <v>0</v>
      </c>
      <c r="J222" s="41"/>
      <c r="K222" s="13"/>
      <c r="L222" s="33">
        <f>+SUM(START:END!L222)</f>
        <v>295.78000000000003</v>
      </c>
      <c r="M222" s="41"/>
      <c r="N222" s="59">
        <f t="shared" si="31"/>
        <v>-41.71999999999997</v>
      </c>
      <c r="O222" s="41"/>
      <c r="P222" s="13"/>
      <c r="Q222" s="33">
        <f>+SUM(START:END!Q222)</f>
        <v>486.49</v>
      </c>
      <c r="R222" s="41"/>
      <c r="S222" s="85">
        <f t="shared" si="32"/>
        <v>-190.70999999999998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30"/>
        <v>ServiceDivers</v>
      </c>
      <c r="B223" s="11" t="s">
        <v>78</v>
      </c>
      <c r="C223" s="29" t="s">
        <v>60</v>
      </c>
      <c r="D223" s="81"/>
      <c r="E223" s="13"/>
      <c r="F223" s="30">
        <f>+SUM(START:END!F223)</f>
        <v>1305.75</v>
      </c>
      <c r="G223" s="83"/>
      <c r="H223" s="13"/>
      <c r="I223" s="30">
        <f>+SUM(START:END!I223)</f>
        <v>0</v>
      </c>
      <c r="J223" s="41"/>
      <c r="K223" s="13"/>
      <c r="L223" s="33">
        <f>+SUM(START:END!L223)</f>
        <v>3875.77</v>
      </c>
      <c r="M223" s="41"/>
      <c r="N223" s="59">
        <f t="shared" si="31"/>
        <v>2570.02</v>
      </c>
      <c r="O223" s="41"/>
      <c r="P223" s="13"/>
      <c r="Q223" s="33">
        <f>+SUM(START:END!Q223)</f>
        <v>1067.21</v>
      </c>
      <c r="R223" s="41"/>
      <c r="S223" s="85">
        <f t="shared" si="32"/>
        <v>2808.56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30"/>
        <v>ServiceFormation</v>
      </c>
      <c r="B224" s="11" t="s">
        <v>78</v>
      </c>
      <c r="C224" s="29" t="s">
        <v>61</v>
      </c>
      <c r="D224" s="81"/>
      <c r="E224" s="13"/>
      <c r="F224" s="30">
        <f>+SUM(START:END!F224)</f>
        <v>4931.1458500000008</v>
      </c>
      <c r="G224" s="83"/>
      <c r="H224" s="13"/>
      <c r="I224" s="30">
        <f>+SUM(START:END!I224)</f>
        <v>0</v>
      </c>
      <c r="J224" s="41"/>
      <c r="K224" s="13"/>
      <c r="L224" s="33">
        <f>+SUM(START:END!L224)</f>
        <v>4736.12</v>
      </c>
      <c r="M224" s="41"/>
      <c r="N224" s="59">
        <f t="shared" si="31"/>
        <v>-195.0258500000009</v>
      </c>
      <c r="O224" s="41"/>
      <c r="P224" s="13"/>
      <c r="Q224" s="33">
        <f>+SUM(START:END!Q224)</f>
        <v>4763.41</v>
      </c>
      <c r="R224" s="41"/>
      <c r="S224" s="85">
        <f t="shared" si="32"/>
        <v>-27.289999999999964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30"/>
        <v>ServiceFrais bancaires</v>
      </c>
      <c r="B225" s="11" t="s">
        <v>78</v>
      </c>
      <c r="C225" s="29" t="s">
        <v>62</v>
      </c>
      <c r="D225" s="81"/>
      <c r="E225" s="13"/>
      <c r="F225" s="30">
        <f>+SUM(START:END!F225)</f>
        <v>6264.1428723253966</v>
      </c>
      <c r="G225" s="83"/>
      <c r="H225" s="13"/>
      <c r="I225" s="30">
        <f>+SUM(START:END!I225)</f>
        <v>0</v>
      </c>
      <c r="J225" s="41"/>
      <c r="K225" s="13"/>
      <c r="L225" s="33">
        <f>+SUM(START:END!L225)</f>
        <v>6388.09</v>
      </c>
      <c r="M225" s="41"/>
      <c r="N225" s="59">
        <f t="shared" si="31"/>
        <v>123.94712767460351</v>
      </c>
      <c r="O225" s="41"/>
      <c r="P225" s="13"/>
      <c r="Q225" s="33">
        <f>+SUM(START:END!Q225)</f>
        <v>5479.3899999999994</v>
      </c>
      <c r="R225" s="41"/>
      <c r="S225" s="85">
        <f t="shared" si="32"/>
        <v>908.70000000000073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30"/>
        <v>Service[...]</v>
      </c>
      <c r="B226" s="11" t="s">
        <v>78</v>
      </c>
      <c r="C226" s="29" t="s">
        <v>19</v>
      </c>
      <c r="D226" s="81"/>
      <c r="E226" s="13"/>
      <c r="F226" s="30">
        <f>+SUM(START:END!F226)</f>
        <v>0</v>
      </c>
      <c r="G226" s="83"/>
      <c r="H226" s="13"/>
      <c r="I226" s="30">
        <f>+SUM(START:END!I226)</f>
        <v>0</v>
      </c>
      <c r="J226" s="41"/>
      <c r="K226" s="13"/>
      <c r="L226" s="33">
        <f>+SUM(START:END!L226)</f>
        <v>0</v>
      </c>
      <c r="M226" s="41"/>
      <c r="N226" s="59">
        <f t="shared" si="31"/>
        <v>0</v>
      </c>
      <c r="O226" s="41"/>
      <c r="P226" s="13"/>
      <c r="Q226" s="33">
        <f>+SUM(START:END!Q226)</f>
        <v>0</v>
      </c>
      <c r="R226" s="41"/>
      <c r="S226" s="85">
        <f t="shared" si="32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B227" s="11" t="s">
        <v>78</v>
      </c>
      <c r="C227" s="29" t="s">
        <v>19</v>
      </c>
      <c r="D227" s="81"/>
      <c r="E227" s="13"/>
      <c r="F227" s="30">
        <f>+SUM(START:END!F227)</f>
        <v>0</v>
      </c>
      <c r="G227" s="83"/>
      <c r="H227" s="13"/>
      <c r="I227" s="30">
        <f>+SUM(START:END!I227)</f>
        <v>0</v>
      </c>
      <c r="J227" s="41"/>
      <c r="K227" s="13"/>
      <c r="L227" s="33">
        <f>+SUM(START:END!L227)</f>
        <v>0</v>
      </c>
      <c r="M227" s="41"/>
      <c r="N227" s="59">
        <f t="shared" si="31"/>
        <v>0</v>
      </c>
      <c r="O227" s="41"/>
      <c r="P227" s="13"/>
      <c r="Q227" s="33">
        <f>+SUM(START:END!Q227)</f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si="30"/>
        <v>Service[...]</v>
      </c>
      <c r="B228" s="11" t="s">
        <v>78</v>
      </c>
      <c r="C228" s="29" t="s">
        <v>19</v>
      </c>
      <c r="D228" s="81"/>
      <c r="E228" s="13"/>
      <c r="F228" s="30">
        <f>+SUM(START:END!F228)</f>
        <v>0</v>
      </c>
      <c r="G228" s="83"/>
      <c r="H228" s="13"/>
      <c r="I228" s="30">
        <f>+SUM(START:END!I228)</f>
        <v>0</v>
      </c>
      <c r="J228" s="41"/>
      <c r="K228" s="13"/>
      <c r="L228" s="33">
        <f>+SUM(START:END!L228)</f>
        <v>0</v>
      </c>
      <c r="M228" s="41"/>
      <c r="N228" s="59">
        <f t="shared" si="31"/>
        <v>0</v>
      </c>
      <c r="O228" s="41"/>
      <c r="P228" s="13"/>
      <c r="Q228" s="33">
        <f>+SUM(START:END!Q228)</f>
        <v>0</v>
      </c>
      <c r="R228" s="41"/>
      <c r="S228" s="85">
        <f t="shared" si="32"/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0.27068962598408453</v>
      </c>
      <c r="F229" s="96">
        <f>+SUM(F211:F228)</f>
        <v>100106.0565572554</v>
      </c>
      <c r="G229" s="97" t="s">
        <v>92</v>
      </c>
      <c r="H229" s="95" t="e">
        <f>I229/I$194</f>
        <v>#DIV/0!</v>
      </c>
      <c r="I229" s="96">
        <f>+SUM(I211:I228)</f>
        <v>0</v>
      </c>
      <c r="J229" s="97" t="s">
        <v>92</v>
      </c>
      <c r="K229" s="95">
        <f>L229/L$194</f>
        <v>0.22846436651885732</v>
      </c>
      <c r="L229" s="96">
        <f>+SUM(L211:L228)</f>
        <v>106965.44000000002</v>
      </c>
      <c r="M229" s="100"/>
      <c r="N229" s="96">
        <f t="shared" si="31"/>
        <v>6859.3834427446127</v>
      </c>
      <c r="O229" s="97" t="s">
        <v>92</v>
      </c>
      <c r="P229" s="95">
        <f>Q229/Q$194</f>
        <v>0.29405173803438467</v>
      </c>
      <c r="Q229" s="96">
        <f>+SUM(Q211:Q228)</f>
        <v>98157.789999999979</v>
      </c>
      <c r="R229" s="100"/>
      <c r="S229" s="101">
        <f>L229-Q229</f>
        <v>8807.6500000000378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0.80898273790568076</v>
      </c>
      <c r="F231" s="96">
        <f>F210+F229</f>
        <v>299176.85770266998</v>
      </c>
      <c r="G231" s="97" t="s">
        <v>38</v>
      </c>
      <c r="H231" s="95" t="e">
        <f>I231/I$194</f>
        <v>#DIV/0!</v>
      </c>
      <c r="I231" s="96">
        <f>I210+I229</f>
        <v>0</v>
      </c>
      <c r="J231" s="97" t="s">
        <v>38</v>
      </c>
      <c r="K231" s="95">
        <f>L231/L$194</f>
        <v>0.72582797567926571</v>
      </c>
      <c r="L231" s="96">
        <f>L210+L229</f>
        <v>339827.65</v>
      </c>
      <c r="M231" s="100"/>
      <c r="N231" s="113">
        <f>L231-F231</f>
        <v>40650.792297330045</v>
      </c>
      <c r="O231" s="97" t="s">
        <v>38</v>
      </c>
      <c r="P231" s="95">
        <f>Q231/Q$194</f>
        <v>0.80210270898866276</v>
      </c>
      <c r="Q231" s="96">
        <f>Q210+Q229</f>
        <v>267750.94</v>
      </c>
      <c r="R231" s="100"/>
      <c r="S231" s="114">
        <f>L231-Q231</f>
        <v>72076.710000000021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>
        <f>L232-F232</f>
        <v>0</v>
      </c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70641.735061358777</v>
      </c>
      <c r="G233" s="153"/>
      <c r="H233" s="125"/>
      <c r="I233" s="127">
        <f>I194-I231</f>
        <v>0</v>
      </c>
      <c r="J233" s="154"/>
      <c r="K233" s="126"/>
      <c r="L233" s="127">
        <f>L194-L231</f>
        <v>128365.44999999995</v>
      </c>
      <c r="M233" s="154"/>
      <c r="N233" s="127">
        <f>L233-F233</f>
        <v>57723.714938641177</v>
      </c>
      <c r="O233" s="154"/>
      <c r="P233" s="126"/>
      <c r="Q233" s="127">
        <f>Q194-Q231</f>
        <v>66060.34999999986</v>
      </c>
      <c r="R233" s="154"/>
      <c r="S233" s="129">
        <f>L233-Q233</f>
        <v>62305.100000000093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  Q2 2025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507" t="s">
        <v>5</v>
      </c>
      <c r="E238" s="508"/>
      <c r="F238" s="509"/>
      <c r="G238" s="510" t="s">
        <v>71</v>
      </c>
      <c r="H238" s="508"/>
      <c r="I238" s="509"/>
      <c r="J238" s="510" t="s">
        <v>7</v>
      </c>
      <c r="K238" s="508"/>
      <c r="L238" s="509"/>
      <c r="M238" s="510" t="s">
        <v>213</v>
      </c>
      <c r="N238" s="509"/>
      <c r="O238" s="507" t="s">
        <v>8</v>
      </c>
      <c r="P238" s="508"/>
      <c r="Q238" s="509"/>
      <c r="R238" s="505" t="s">
        <v>214</v>
      </c>
      <c r="S238" s="506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84" si="33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 t="s">
        <v>39</v>
      </c>
      <c r="H239" s="80" t="s">
        <v>79</v>
      </c>
      <c r="I239" s="134" t="s">
        <v>12</v>
      </c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33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33"/>
        <v>CarrosserieM/O Sous-traitement</v>
      </c>
      <c r="B241" s="11" t="s">
        <v>94</v>
      </c>
      <c r="C241" s="29" t="s">
        <v>95</v>
      </c>
      <c r="D241" s="80">
        <f>+SUM(START:END!D241)</f>
        <v>0</v>
      </c>
      <c r="E241" s="82">
        <f>+SUM(START:END!E241)</f>
        <v>0</v>
      </c>
      <c r="F241" s="82">
        <f>+SUM(START:END!F241)</f>
        <v>0</v>
      </c>
      <c r="G241" s="156">
        <f>+SUM(START:END!G241)</f>
        <v>0</v>
      </c>
      <c r="H241" s="82">
        <f>+SUM(START:END!H241)</f>
        <v>0</v>
      </c>
      <c r="I241" s="82">
        <f>+SUM(START:END!I241)</f>
        <v>0</v>
      </c>
      <c r="J241" s="60">
        <f>+SUM(START:END!J241)</f>
        <v>1</v>
      </c>
      <c r="K241" s="30">
        <f>+SUM(START:END!K241)</f>
        <v>4637.87</v>
      </c>
      <c r="L241" s="33">
        <f>+SUM(START:END!L241)</f>
        <v>0</v>
      </c>
      <c r="M241" s="157">
        <f>IFERROR((K241-E241)/E241,0)</f>
        <v>0</v>
      </c>
      <c r="N241" s="59">
        <f>L241-F241</f>
        <v>0</v>
      </c>
      <c r="O241" s="60">
        <f>+SUM(START:END!O241)</f>
        <v>22</v>
      </c>
      <c r="P241" s="30">
        <f>+SUM(START:END!P241)</f>
        <v>8453.15</v>
      </c>
      <c r="Q241" s="33">
        <f>+SUM(START:END!Q241)</f>
        <v>1029.5299999999979</v>
      </c>
      <c r="R241" s="157">
        <f>IF(O241=0,0,J241/O241)</f>
        <v>4.5454545454545456E-2</v>
      </c>
      <c r="S241" s="85">
        <f>L241-Q241</f>
        <v>-1029.5299999999979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33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</v>
      </c>
      <c r="G242" s="41"/>
      <c r="H242" s="144"/>
      <c r="I242" s="158">
        <f>IFERROR(I241/H241,0)</f>
        <v>0</v>
      </c>
      <c r="J242" s="60"/>
      <c r="K242" s="13"/>
      <c r="L242" s="158">
        <f>IFERROR(L241/K241,0)</f>
        <v>0</v>
      </c>
      <c r="M242" s="157"/>
      <c r="N242" s="470">
        <f>IFERROR(N241/M241,0)</f>
        <v>0</v>
      </c>
      <c r="O242" s="60"/>
      <c r="P242" s="13"/>
      <c r="Q242" s="158">
        <f>IFERROR(Q241/P241,0)</f>
        <v>0.12179246789658268</v>
      </c>
      <c r="R242" s="60"/>
      <c r="S242" s="85">
        <f>IFERROR(S241/R241,0)</f>
        <v>-22649.659999999953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33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33"/>
        <v>CarrosserieM/O Carrosserie</v>
      </c>
      <c r="B244" s="11" t="s">
        <v>94</v>
      </c>
      <c r="C244" s="14" t="s">
        <v>96</v>
      </c>
      <c r="D244" s="105">
        <f>+SUM(START:END!D244)</f>
        <v>0</v>
      </c>
      <c r="E244" s="82">
        <f>+SUM(START:END!E244)</f>
        <v>0</v>
      </c>
      <c r="F244" s="82">
        <f>+SUM(START:END!F244)</f>
        <v>0</v>
      </c>
      <c r="G244" s="209">
        <f>+SUM(START:END!G244)</f>
        <v>0</v>
      </c>
      <c r="H244" s="82">
        <f>+SUM(START:END!H244)</f>
        <v>0</v>
      </c>
      <c r="I244" s="82">
        <f>+SUM(START:END!I244)</f>
        <v>0</v>
      </c>
      <c r="J244" s="164">
        <f>+SUM(START:END!J244)</f>
        <v>0</v>
      </c>
      <c r="K244" s="165">
        <f>+SUM(START:END!K244)</f>
        <v>0</v>
      </c>
      <c r="L244" s="108">
        <f>+SUM(START:END!L244)</f>
        <v>0</v>
      </c>
      <c r="M244" s="173">
        <f>IFERROR((K244-E244)/E244,0)</f>
        <v>0</v>
      </c>
      <c r="N244" s="109">
        <f>L244-F244</f>
        <v>0</v>
      </c>
      <c r="O244" s="164">
        <f>+SUM(START:END!O244)</f>
        <v>0</v>
      </c>
      <c r="P244" s="165">
        <f>+SUM(START:END!P244)</f>
        <v>0</v>
      </c>
      <c r="Q244" s="108">
        <f>+SUM(START:END!Q244)</f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33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 t="e">
        <f>I244/H244</f>
        <v>#DIV/0!</v>
      </c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33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33"/>
        <v>CarrosserieM/O Esthétique Carr.</v>
      </c>
      <c r="B247" s="11" t="s">
        <v>94</v>
      </c>
      <c r="C247" s="14" t="s">
        <v>97</v>
      </c>
      <c r="D247" s="163">
        <f>+SUM(START:END!D247)</f>
        <v>0</v>
      </c>
      <c r="E247" s="82">
        <f>+SUM(START:END!E247)</f>
        <v>0</v>
      </c>
      <c r="F247" s="82">
        <f>+SUM(START:END!F247)</f>
        <v>0</v>
      </c>
      <c r="G247" s="164">
        <f>+SUM(START:END!G247)</f>
        <v>0</v>
      </c>
      <c r="H247" s="82">
        <f>+SUM(START:END!H247)</f>
        <v>0</v>
      </c>
      <c r="I247" s="82">
        <f>+SUM(START:END!I247)</f>
        <v>0</v>
      </c>
      <c r="J247" s="164">
        <f>+SUM(START:END!J247)</f>
        <v>0</v>
      </c>
      <c r="K247" s="30">
        <f>+SUM(START:END!K247)</f>
        <v>0</v>
      </c>
      <c r="L247" s="33">
        <f>+SUM(START:END!L247)</f>
        <v>0</v>
      </c>
      <c r="M247" s="157">
        <f>IFERROR((K247-E247)/E247,0)</f>
        <v>0</v>
      </c>
      <c r="N247" s="109">
        <f>L247-F247</f>
        <v>0</v>
      </c>
      <c r="O247" s="164">
        <f>+SUM(START:END!O247)</f>
        <v>0</v>
      </c>
      <c r="P247" s="30">
        <f>+SUM(START:END!P247)</f>
        <v>0</v>
      </c>
      <c r="Q247" s="33">
        <f>+SUM(START:END!Q247)</f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33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 t="e">
        <f>I247/H247</f>
        <v>#DIV/0!</v>
      </c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33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33"/>
        <v>CarrosserieTotal Mécanique</v>
      </c>
      <c r="B250" s="11" t="s">
        <v>94</v>
      </c>
      <c r="C250" s="62" t="s">
        <v>91</v>
      </c>
      <c r="D250" s="63"/>
      <c r="E250" s="63">
        <f>E244+E247+E241</f>
        <v>0</v>
      </c>
      <c r="F250" s="65">
        <f>F244+F247+F241</f>
        <v>0</v>
      </c>
      <c r="G250" s="66"/>
      <c r="H250" s="63">
        <f>H244+H247+H241</f>
        <v>0</v>
      </c>
      <c r="I250" s="65">
        <f>I244+I247+I241</f>
        <v>0</v>
      </c>
      <c r="J250" s="66"/>
      <c r="K250" s="63">
        <f>K244+K247+K241</f>
        <v>4637.87</v>
      </c>
      <c r="L250" s="65">
        <f>L244+L247+L241</f>
        <v>0</v>
      </c>
      <c r="M250" s="206" t="e">
        <f>L251-F251</f>
        <v>#DIV/0!</v>
      </c>
      <c r="N250" s="65">
        <f>L250-F250</f>
        <v>0</v>
      </c>
      <c r="O250" s="66"/>
      <c r="P250" s="63">
        <f>P244+P247+P241</f>
        <v>8453.15</v>
      </c>
      <c r="Q250" s="65">
        <f>Q244+Q247+Q241</f>
        <v>1029.5299999999979</v>
      </c>
      <c r="R250" s="206">
        <f>L251-Q251</f>
        <v>-0.12179246789658268</v>
      </c>
      <c r="S250" s="68">
        <f>L250-Q250</f>
        <v>-1029.5299999999979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33"/>
        <v>Carrosserie</v>
      </c>
      <c r="B251" s="11" t="s">
        <v>94</v>
      </c>
      <c r="C251" s="69"/>
      <c r="D251" s="70"/>
      <c r="E251" s="70"/>
      <c r="F251" s="74" t="e">
        <f>F250/E250</f>
        <v>#DIV/0!</v>
      </c>
      <c r="G251" s="72"/>
      <c r="H251" s="70"/>
      <c r="I251" s="74" t="e">
        <f>I250/H250</f>
        <v>#DIV/0!</v>
      </c>
      <c r="J251" s="72"/>
      <c r="K251" s="70"/>
      <c r="L251" s="74">
        <f>IF(K250=0,0,L250/K250)</f>
        <v>0</v>
      </c>
      <c r="M251" s="73"/>
      <c r="N251" s="74" t="e">
        <f>N250/F250</f>
        <v>#DIV/0!</v>
      </c>
      <c r="O251" s="72"/>
      <c r="P251" s="70"/>
      <c r="Q251" s="74">
        <f>IF(P250=0,0,Q250/P250)</f>
        <v>0.12179246789658268</v>
      </c>
      <c r="R251" s="73"/>
      <c r="S251" s="75">
        <f>IF(R250=0,0,S250/R250)</f>
        <v>8453.15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33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33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33"/>
        <v>CarrosserieSalaires cadres</v>
      </c>
      <c r="B254" s="11" t="s">
        <v>94</v>
      </c>
      <c r="C254" s="102" t="s">
        <v>40</v>
      </c>
      <c r="D254" s="13"/>
      <c r="E254" s="13"/>
      <c r="F254" s="30">
        <f>+SUM(START:END!F254)</f>
        <v>0</v>
      </c>
      <c r="G254" s="41"/>
      <c r="H254" s="13"/>
      <c r="I254" s="30">
        <f>+SUM(START:END!I254)</f>
        <v>0</v>
      </c>
      <c r="J254" s="41"/>
      <c r="K254" s="13"/>
      <c r="L254" s="33">
        <f>+SUM(START:END!L254)</f>
        <v>0</v>
      </c>
      <c r="M254" s="41"/>
      <c r="N254" s="59">
        <f t="shared" ref="N254:N284" si="34">L254-F254</f>
        <v>0</v>
      </c>
      <c r="O254" s="41"/>
      <c r="P254" s="13"/>
      <c r="Q254" s="33">
        <f>+SUM(START:END!Q254)</f>
        <v>912.81</v>
      </c>
      <c r="R254" s="41"/>
      <c r="S254" s="85">
        <f t="shared" ref="S254:S284" si="35">L254-Q254</f>
        <v>-912.81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33"/>
        <v>CarrosserieSalaires commis</v>
      </c>
      <c r="B255" s="11" t="s">
        <v>94</v>
      </c>
      <c r="C255" s="103" t="s">
        <v>41</v>
      </c>
      <c r="D255" s="81"/>
      <c r="E255" s="13"/>
      <c r="F255" s="22">
        <f>+SUM(START:END!F255)</f>
        <v>0</v>
      </c>
      <c r="G255" s="83"/>
      <c r="H255" s="13"/>
      <c r="I255" s="22">
        <f>+SUM(START:END!I255)</f>
        <v>0</v>
      </c>
      <c r="J255" s="41"/>
      <c r="K255" s="13"/>
      <c r="L255" s="33">
        <f>+SUM(START:END!L255)</f>
        <v>0</v>
      </c>
      <c r="M255" s="41"/>
      <c r="N255" s="59">
        <f t="shared" si="34"/>
        <v>0</v>
      </c>
      <c r="O255" s="41"/>
      <c r="P255" s="13"/>
      <c r="Q255" s="33">
        <f>+SUM(START:END!Q255)</f>
        <v>1036.27</v>
      </c>
      <c r="R255" s="41"/>
      <c r="S255" s="85">
        <f>L255-Q255</f>
        <v>-1036.27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33"/>
        <v>CarrosserieSalaires autres</v>
      </c>
      <c r="B256" s="11" t="s">
        <v>94</v>
      </c>
      <c r="C256" s="102" t="s">
        <v>42</v>
      </c>
      <c r="D256" s="104"/>
      <c r="E256" s="105"/>
      <c r="F256" s="30">
        <f>+SUM(START:END!F256)</f>
        <v>0</v>
      </c>
      <c r="G256" s="106"/>
      <c r="H256" s="105"/>
      <c r="I256" s="30">
        <f>+SUM(START:END!I256)</f>
        <v>0</v>
      </c>
      <c r="J256" s="107"/>
      <c r="K256" s="105"/>
      <c r="L256" s="108">
        <f>+SUM(START:END!L256)</f>
        <v>0</v>
      </c>
      <c r="M256" s="107"/>
      <c r="N256" s="109">
        <f t="shared" si="34"/>
        <v>0</v>
      </c>
      <c r="O256" s="107"/>
      <c r="P256" s="105"/>
      <c r="Q256" s="108">
        <f>+SUM(START:END!Q256)</f>
        <v>57</v>
      </c>
      <c r="R256" s="107"/>
      <c r="S256" s="110">
        <f t="shared" si="35"/>
        <v>-57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33"/>
        <v>CarrosserieSalaires spécialistes</v>
      </c>
      <c r="B257" s="11" t="s">
        <v>94</v>
      </c>
      <c r="C257" s="102" t="s">
        <v>43</v>
      </c>
      <c r="D257" s="81"/>
      <c r="E257" s="13"/>
      <c r="F257" s="30">
        <f>+SUM(START:END!F257)</f>
        <v>0</v>
      </c>
      <c r="G257" s="83"/>
      <c r="H257" s="13"/>
      <c r="I257" s="30">
        <f>+SUM(START:END!I257)</f>
        <v>0</v>
      </c>
      <c r="J257" s="41"/>
      <c r="K257" s="13"/>
      <c r="L257" s="33">
        <f>+SUM(START:END!L257)</f>
        <v>0</v>
      </c>
      <c r="M257" s="41"/>
      <c r="N257" s="59">
        <f t="shared" si="34"/>
        <v>0</v>
      </c>
      <c r="O257" s="41"/>
      <c r="P257" s="13"/>
      <c r="Q257" s="33">
        <f>+SUM(START:END!Q257)</f>
        <v>0</v>
      </c>
      <c r="R257" s="41"/>
      <c r="S257" s="85">
        <f t="shared" si="35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33"/>
        <v>Carrosserie[...]</v>
      </c>
      <c r="B258" s="11" t="s">
        <v>94</v>
      </c>
      <c r="C258" s="29" t="s">
        <v>19</v>
      </c>
      <c r="D258" s="81"/>
      <c r="E258" s="13"/>
      <c r="F258" s="30">
        <f>+SUM(START:END!F258)</f>
        <v>0</v>
      </c>
      <c r="G258" s="83"/>
      <c r="H258" s="13"/>
      <c r="I258" s="30">
        <f>+SUM(START:END!I258)</f>
        <v>0</v>
      </c>
      <c r="J258" s="41"/>
      <c r="K258" s="13"/>
      <c r="L258" s="33">
        <f>+SUM(START:END!L258)</f>
        <v>0</v>
      </c>
      <c r="M258" s="41"/>
      <c r="N258" s="59">
        <f t="shared" si="34"/>
        <v>0</v>
      </c>
      <c r="O258" s="41"/>
      <c r="P258" s="13"/>
      <c r="Q258" s="33">
        <f>+SUM(START:END!Q258)</f>
        <v>0</v>
      </c>
      <c r="R258" s="41"/>
      <c r="S258" s="85">
        <f t="shared" si="35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33"/>
        <v>Carrosserie[...]</v>
      </c>
      <c r="B259" s="11" t="s">
        <v>94</v>
      </c>
      <c r="C259" s="29" t="s">
        <v>19</v>
      </c>
      <c r="D259" s="81"/>
      <c r="E259" s="13"/>
      <c r="F259" s="30">
        <f>+SUM(START:END!F259)</f>
        <v>0</v>
      </c>
      <c r="G259" s="83"/>
      <c r="H259" s="13"/>
      <c r="I259" s="30">
        <f>+SUM(START:END!I259)</f>
        <v>0</v>
      </c>
      <c r="J259" s="41"/>
      <c r="K259" s="13"/>
      <c r="L259" s="33">
        <f>+SUM(START:END!L259)</f>
        <v>0</v>
      </c>
      <c r="M259" s="41"/>
      <c r="N259" s="59">
        <f t="shared" si="34"/>
        <v>0</v>
      </c>
      <c r="O259" s="41"/>
      <c r="P259" s="13"/>
      <c r="Q259" s="33">
        <f>+SUM(START:END!Q259)</f>
        <v>0</v>
      </c>
      <c r="R259" s="41"/>
      <c r="S259" s="85">
        <f t="shared" si="35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33"/>
        <v>Carrosserie[...]</v>
      </c>
      <c r="B260" s="11" t="s">
        <v>94</v>
      </c>
      <c r="C260" s="29" t="s">
        <v>19</v>
      </c>
      <c r="D260" s="81"/>
      <c r="E260" s="13"/>
      <c r="F260" s="30">
        <f>+SUM(START:END!F260)</f>
        <v>0</v>
      </c>
      <c r="G260" s="83"/>
      <c r="H260" s="13"/>
      <c r="I260" s="30">
        <f>+SUM(START:END!I260)</f>
        <v>0</v>
      </c>
      <c r="J260" s="41"/>
      <c r="K260" s="13"/>
      <c r="L260" s="33">
        <f>+SUM(START:END!L260)</f>
        <v>0</v>
      </c>
      <c r="M260" s="41"/>
      <c r="N260" s="59">
        <f t="shared" si="34"/>
        <v>0</v>
      </c>
      <c r="O260" s="41"/>
      <c r="P260" s="13"/>
      <c r="Q260" s="33">
        <f>+SUM(START:END!Q260)</f>
        <v>0</v>
      </c>
      <c r="R260" s="41"/>
      <c r="S260" s="85">
        <f t="shared" si="35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33"/>
        <v>CarrosserieSalaires en absences</v>
      </c>
      <c r="B261" s="11" t="s">
        <v>94</v>
      </c>
      <c r="C261" s="103" t="s">
        <v>44</v>
      </c>
      <c r="D261" s="81"/>
      <c r="E261" s="13"/>
      <c r="F261" s="22">
        <f>+SUM(START:END!F261)</f>
        <v>0</v>
      </c>
      <c r="G261" s="83"/>
      <c r="H261" s="13"/>
      <c r="I261" s="22">
        <f>+SUM(START:END!I261)</f>
        <v>0</v>
      </c>
      <c r="J261" s="41"/>
      <c r="K261" s="13"/>
      <c r="L261" s="33">
        <f>+SUM(START:END!L261)</f>
        <v>0</v>
      </c>
      <c r="M261" s="41"/>
      <c r="N261" s="59">
        <f t="shared" si="34"/>
        <v>0</v>
      </c>
      <c r="O261" s="41"/>
      <c r="P261" s="13"/>
      <c r="Q261" s="33">
        <f>+SUM(START:END!Q261)</f>
        <v>228.62</v>
      </c>
      <c r="R261" s="41"/>
      <c r="S261" s="85">
        <f t="shared" si="35"/>
        <v>-228.62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33"/>
        <v>CarrosserieDéduction à la source</v>
      </c>
      <c r="B262" s="11" t="s">
        <v>94</v>
      </c>
      <c r="C262" s="102" t="s">
        <v>45</v>
      </c>
      <c r="D262" s="104"/>
      <c r="E262" s="105"/>
      <c r="F262" s="30">
        <f>+SUM(START:END!F262)</f>
        <v>0</v>
      </c>
      <c r="G262" s="106"/>
      <c r="H262" s="105"/>
      <c r="I262" s="30">
        <f>+SUM(START:END!I262)</f>
        <v>0</v>
      </c>
      <c r="J262" s="107"/>
      <c r="K262" s="105"/>
      <c r="L262" s="108">
        <f>+SUM(START:END!L262)</f>
        <v>0</v>
      </c>
      <c r="M262" s="107"/>
      <c r="N262" s="109">
        <f t="shared" si="34"/>
        <v>0</v>
      </c>
      <c r="O262" s="107"/>
      <c r="P262" s="105"/>
      <c r="Q262" s="108">
        <f>+SUM(START:END!Q262)</f>
        <v>653.80999999999995</v>
      </c>
      <c r="R262" s="107"/>
      <c r="S262" s="110">
        <f t="shared" si="35"/>
        <v>-653.80999999999995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33"/>
        <v>CarrosserieBénéfices marginaux</v>
      </c>
      <c r="B263" s="11" t="s">
        <v>94</v>
      </c>
      <c r="C263" s="102" t="s">
        <v>46</v>
      </c>
      <c r="D263" s="81"/>
      <c r="E263" s="13"/>
      <c r="F263" s="30">
        <f>+SUM(START:END!F263)</f>
        <v>0</v>
      </c>
      <c r="G263" s="83"/>
      <c r="H263" s="13"/>
      <c r="I263" s="30">
        <f>+SUM(START:END!I263)</f>
        <v>0</v>
      </c>
      <c r="J263" s="41"/>
      <c r="K263" s="13"/>
      <c r="L263" s="33">
        <f>+SUM(START:END!L263)</f>
        <v>0</v>
      </c>
      <c r="M263" s="41"/>
      <c r="N263" s="59">
        <f t="shared" si="34"/>
        <v>0</v>
      </c>
      <c r="O263" s="41"/>
      <c r="P263" s="13"/>
      <c r="Q263" s="33">
        <f>+SUM(START:END!Q263)</f>
        <v>100.3</v>
      </c>
      <c r="R263" s="41"/>
      <c r="S263" s="85">
        <f t="shared" si="35"/>
        <v>-100.3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33"/>
        <v>CarrosserieCsst</v>
      </c>
      <c r="B264" s="11" t="s">
        <v>94</v>
      </c>
      <c r="C264" s="102" t="s">
        <v>47</v>
      </c>
      <c r="D264" s="81"/>
      <c r="E264" s="13"/>
      <c r="F264" s="30">
        <f>+SUM(START:END!F264)</f>
        <v>0</v>
      </c>
      <c r="G264" s="83"/>
      <c r="H264" s="13"/>
      <c r="I264" s="30">
        <f>+SUM(START:END!I264)</f>
        <v>0</v>
      </c>
      <c r="J264" s="41"/>
      <c r="K264" s="13"/>
      <c r="L264" s="33">
        <f>+SUM(START:END!L264)</f>
        <v>0</v>
      </c>
      <c r="M264" s="467"/>
      <c r="N264" s="146">
        <f t="shared" si="34"/>
        <v>0</v>
      </c>
      <c r="O264" s="41"/>
      <c r="P264" s="13"/>
      <c r="Q264" s="33">
        <f>+SUM(START:END!Q264)</f>
        <v>23.75</v>
      </c>
      <c r="R264" s="41"/>
      <c r="S264" s="85">
        <f t="shared" si="35"/>
        <v>-23.75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33"/>
        <v>Carrosserie[...]</v>
      </c>
      <c r="B265" s="11" t="s">
        <v>94</v>
      </c>
      <c r="C265" s="29" t="s">
        <v>19</v>
      </c>
      <c r="D265" s="81"/>
      <c r="E265" s="13"/>
      <c r="F265" s="30">
        <f>+SUM(START:END!F265)</f>
        <v>0</v>
      </c>
      <c r="G265" s="83"/>
      <c r="H265" s="13"/>
      <c r="I265" s="30">
        <f>+SUM(START:END!I265)</f>
        <v>0</v>
      </c>
      <c r="J265" s="41"/>
      <c r="K265" s="13"/>
      <c r="L265" s="33">
        <f>+SUM(START:END!L265)</f>
        <v>0</v>
      </c>
      <c r="M265" s="41"/>
      <c r="N265" s="59">
        <f>L265-F265</f>
        <v>0</v>
      </c>
      <c r="O265" s="41"/>
      <c r="P265" s="13"/>
      <c r="Q265" s="33">
        <f>+SUM(START:END!Q265)</f>
        <v>0</v>
      </c>
      <c r="R265" s="41"/>
      <c r="S265" s="85">
        <f>L265-Q265</f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33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0</v>
      </c>
      <c r="G266" s="97" t="s">
        <v>38</v>
      </c>
      <c r="H266" s="95" t="e">
        <f>I266/I$244</f>
        <v>#DIV/0!</v>
      </c>
      <c r="I266" s="96">
        <f>+SUM(I254:I265)</f>
        <v>0</v>
      </c>
      <c r="J266" s="97" t="s">
        <v>38</v>
      </c>
      <c r="K266" s="95">
        <f>IF(L244=0,0,L266/L$244)</f>
        <v>0</v>
      </c>
      <c r="L266" s="96">
        <f>+SUM(L254:L265)</f>
        <v>0</v>
      </c>
      <c r="M266" s="147"/>
      <c r="N266" s="113">
        <f>L266-F266</f>
        <v>0</v>
      </c>
      <c r="O266" s="97" t="s">
        <v>38</v>
      </c>
      <c r="P266" s="95">
        <f>IF(Q244=0,0,Q266/Q$244)</f>
        <v>0</v>
      </c>
      <c r="Q266" s="96">
        <f>+SUM(Q254:Q265)</f>
        <v>3012.56</v>
      </c>
      <c r="R266" s="147"/>
      <c r="S266" s="114">
        <f t="shared" si="35"/>
        <v>-3012.56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33"/>
        <v>CarrosseriePublicité 2</v>
      </c>
      <c r="B267" s="11" t="s">
        <v>94</v>
      </c>
      <c r="C267" s="211" t="s">
        <v>49</v>
      </c>
      <c r="D267" s="81"/>
      <c r="E267" s="13"/>
      <c r="F267" s="30">
        <f>+SUM(START:END!F267)</f>
        <v>0</v>
      </c>
      <c r="G267" s="83"/>
      <c r="H267" s="13"/>
      <c r="I267" s="30">
        <f>+SUM(START:END!I267)</f>
        <v>0</v>
      </c>
      <c r="J267" s="41"/>
      <c r="K267" s="13"/>
      <c r="L267" s="33">
        <f>+SUM(START:END!L267)</f>
        <v>0</v>
      </c>
      <c r="M267" s="41"/>
      <c r="N267" s="59">
        <f t="shared" si="34"/>
        <v>0</v>
      </c>
      <c r="O267" s="41"/>
      <c r="P267" s="13"/>
      <c r="Q267" s="33">
        <f>+SUM(START:END!Q267)</f>
        <v>50</v>
      </c>
      <c r="R267" s="41"/>
      <c r="S267" s="85">
        <f t="shared" si="35"/>
        <v>-50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33"/>
        <v>CarrosserieService gratuit 2</v>
      </c>
      <c r="B268" s="11" t="s">
        <v>94</v>
      </c>
      <c r="C268" s="102" t="s">
        <v>50</v>
      </c>
      <c r="D268" s="81"/>
      <c r="E268" s="13"/>
      <c r="F268" s="30">
        <f>+SUM(START:END!F268)</f>
        <v>0</v>
      </c>
      <c r="G268" s="83"/>
      <c r="H268" s="13"/>
      <c r="I268" s="30">
        <f>+SUM(START:END!I268)</f>
        <v>0</v>
      </c>
      <c r="J268" s="41"/>
      <c r="K268" s="13"/>
      <c r="L268" s="33">
        <f>+SUM(START:END!L268)</f>
        <v>0</v>
      </c>
      <c r="M268" s="41"/>
      <c r="N268" s="59">
        <f t="shared" si="34"/>
        <v>0</v>
      </c>
      <c r="O268" s="41"/>
      <c r="P268" s="13"/>
      <c r="Q268" s="33">
        <f>+SUM(START:END!Q268)</f>
        <v>71.990000000000009</v>
      </c>
      <c r="R268" s="41"/>
      <c r="S268" s="85">
        <f t="shared" si="35"/>
        <v>-71.990000000000009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33"/>
        <v>CarrosserieFrais véhicules de cie</v>
      </c>
      <c r="B269" s="11" t="s">
        <v>94</v>
      </c>
      <c r="C269" s="103" t="s">
        <v>51</v>
      </c>
      <c r="D269" s="87"/>
      <c r="E269" s="111"/>
      <c r="F269" s="22">
        <f>+SUM(START:END!F269)</f>
        <v>0</v>
      </c>
      <c r="G269" s="89"/>
      <c r="H269" s="111"/>
      <c r="I269" s="22">
        <f>+SUM(START:END!I269)</f>
        <v>0</v>
      </c>
      <c r="J269" s="23"/>
      <c r="K269" s="111"/>
      <c r="L269" s="33">
        <f>+SUM(START:END!L269)</f>
        <v>0</v>
      </c>
      <c r="M269" s="23"/>
      <c r="N269" s="91">
        <f t="shared" si="34"/>
        <v>0</v>
      </c>
      <c r="O269" s="23"/>
      <c r="P269" s="111"/>
      <c r="Q269" s="33">
        <f>+SUM(START:END!Q269)</f>
        <v>509.35</v>
      </c>
      <c r="R269" s="23"/>
      <c r="S269" s="92">
        <f t="shared" si="35"/>
        <v>-509.35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33"/>
        <v>CarrosserieInformatique</v>
      </c>
      <c r="B270" s="11" t="s">
        <v>94</v>
      </c>
      <c r="C270" s="102" t="s">
        <v>52</v>
      </c>
      <c r="D270" s="81"/>
      <c r="E270" s="13"/>
      <c r="F270" s="30">
        <f>+SUM(START:END!F270)</f>
        <v>0</v>
      </c>
      <c r="G270" s="83"/>
      <c r="H270" s="13"/>
      <c r="I270" s="30">
        <f>+SUM(START:END!I270)</f>
        <v>0</v>
      </c>
      <c r="J270" s="41"/>
      <c r="K270" s="13"/>
      <c r="L270" s="108">
        <f>+SUM(START:END!L270)</f>
        <v>0</v>
      </c>
      <c r="M270" s="41"/>
      <c r="N270" s="59">
        <f t="shared" si="34"/>
        <v>0</v>
      </c>
      <c r="O270" s="41"/>
      <c r="P270" s="13"/>
      <c r="Q270" s="108">
        <f>+SUM(START:END!Q270)</f>
        <v>640.9</v>
      </c>
      <c r="R270" s="41"/>
      <c r="S270" s="85">
        <f t="shared" si="35"/>
        <v>-640.9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33"/>
        <v>CarrosserieFrais de déplacement</v>
      </c>
      <c r="B271" s="11" t="s">
        <v>94</v>
      </c>
      <c r="C271" s="102" t="s">
        <v>53</v>
      </c>
      <c r="D271" s="81"/>
      <c r="E271" s="13"/>
      <c r="F271" s="30">
        <f>+SUM(START:END!F271)</f>
        <v>0</v>
      </c>
      <c r="G271" s="83"/>
      <c r="H271" s="13"/>
      <c r="I271" s="30">
        <f>+SUM(START:END!I271)</f>
        <v>0</v>
      </c>
      <c r="J271" s="41"/>
      <c r="K271" s="13"/>
      <c r="L271" s="33">
        <f>+SUM(START:END!L271)</f>
        <v>0</v>
      </c>
      <c r="M271" s="41"/>
      <c r="N271" s="59">
        <f t="shared" si="34"/>
        <v>0</v>
      </c>
      <c r="O271" s="41"/>
      <c r="P271" s="13"/>
      <c r="Q271" s="33">
        <f>+SUM(START:END!Q271)</f>
        <v>104.33999999999999</v>
      </c>
      <c r="R271" s="41"/>
      <c r="S271" s="85">
        <f t="shared" si="35"/>
        <v>-104.33999999999999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33"/>
        <v>CarrosserieServices extérieurs</v>
      </c>
      <c r="B272" s="11" t="s">
        <v>94</v>
      </c>
      <c r="C272" s="102" t="s">
        <v>54</v>
      </c>
      <c r="D272" s="87"/>
      <c r="E272" s="111"/>
      <c r="F272" s="22">
        <f>+SUM(START:END!F272)</f>
        <v>0</v>
      </c>
      <c r="G272" s="89"/>
      <c r="H272" s="111"/>
      <c r="I272" s="22">
        <f>+SUM(START:END!I272)</f>
        <v>0</v>
      </c>
      <c r="J272" s="23"/>
      <c r="K272" s="111"/>
      <c r="L272" s="33">
        <f>+SUM(START:END!L272)</f>
        <v>0</v>
      </c>
      <c r="M272" s="23"/>
      <c r="N272" s="91">
        <f t="shared" si="34"/>
        <v>0</v>
      </c>
      <c r="O272" s="23"/>
      <c r="P272" s="111"/>
      <c r="Q272" s="22">
        <f>+SUM(START:END!Q272)</f>
        <v>524.18000000000006</v>
      </c>
      <c r="R272" s="23"/>
      <c r="S272" s="92">
        <f t="shared" si="35"/>
        <v>-524.18000000000006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 t="shared" si="33"/>
        <v>CarrosserieFournitures d'atelier</v>
      </c>
      <c r="B273" s="11" t="s">
        <v>94</v>
      </c>
      <c r="C273" s="212" t="s">
        <v>93</v>
      </c>
      <c r="D273" s="81"/>
      <c r="E273" s="13"/>
      <c r="F273" s="30">
        <f>+SUM(START:END!F273)</f>
        <v>0</v>
      </c>
      <c r="G273" s="83"/>
      <c r="H273" s="13"/>
      <c r="I273" s="30">
        <f>+SUM(START:END!I273)</f>
        <v>0</v>
      </c>
      <c r="J273" s="41"/>
      <c r="K273" s="13"/>
      <c r="L273" s="55">
        <f>+SUM(START:END!L273)</f>
        <v>0</v>
      </c>
      <c r="M273" s="41"/>
      <c r="N273" s="59">
        <f t="shared" si="34"/>
        <v>0</v>
      </c>
      <c r="O273" s="41"/>
      <c r="P273" s="13"/>
      <c r="Q273" s="33">
        <f>+SUM(START:END!Q273)</f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si="33"/>
        <v>CarrosserieFournitures autres</v>
      </c>
      <c r="B274" s="11" t="s">
        <v>94</v>
      </c>
      <c r="C274" s="102" t="s">
        <v>55</v>
      </c>
      <c r="D274" s="81"/>
      <c r="E274" s="13"/>
      <c r="F274" s="30">
        <f>+SUM(START:END!F274)</f>
        <v>0</v>
      </c>
      <c r="G274" s="83"/>
      <c r="H274" s="13"/>
      <c r="I274" s="30">
        <f>+SUM(START:END!I274)</f>
        <v>0</v>
      </c>
      <c r="J274" s="41"/>
      <c r="K274" s="13"/>
      <c r="L274" s="33">
        <f>+SUM(START:END!L274)</f>
        <v>0</v>
      </c>
      <c r="M274" s="41"/>
      <c r="N274" s="59">
        <f t="shared" si="34"/>
        <v>0</v>
      </c>
      <c r="O274" s="41"/>
      <c r="P274" s="13"/>
      <c r="Q274" s="33">
        <f>+SUM(START:END!Q274)</f>
        <v>0</v>
      </c>
      <c r="R274" s="41"/>
      <c r="S274" s="85">
        <f t="shared" si="35"/>
        <v>0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33"/>
        <v>CarrosserieUniformes</v>
      </c>
      <c r="B275" s="11" t="s">
        <v>94</v>
      </c>
      <c r="C275" s="102" t="s">
        <v>56</v>
      </c>
      <c r="D275" s="81"/>
      <c r="E275" s="13"/>
      <c r="F275" s="30">
        <f>+SUM(START:END!F275)</f>
        <v>0</v>
      </c>
      <c r="G275" s="83"/>
      <c r="H275" s="13"/>
      <c r="I275" s="30">
        <f>+SUM(START:END!I275)</f>
        <v>0</v>
      </c>
      <c r="J275" s="41"/>
      <c r="K275" s="13"/>
      <c r="L275" s="33">
        <f>+SUM(START:END!L275)</f>
        <v>0</v>
      </c>
      <c r="M275" s="41"/>
      <c r="N275" s="59">
        <f t="shared" si="34"/>
        <v>0</v>
      </c>
      <c r="O275" s="41"/>
      <c r="P275" s="13"/>
      <c r="Q275" s="33">
        <f>+SUM(START:END!Q275)</f>
        <v>4.33</v>
      </c>
      <c r="R275" s="41"/>
      <c r="S275" s="85">
        <f t="shared" si="35"/>
        <v>-4.33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33"/>
        <v>CarrosseriePapeterie</v>
      </c>
      <c r="B276" s="11" t="s">
        <v>94</v>
      </c>
      <c r="C276" s="102" t="s">
        <v>57</v>
      </c>
      <c r="D276" s="81"/>
      <c r="E276" s="13"/>
      <c r="F276" s="30">
        <f>+SUM(START:END!F276)</f>
        <v>0</v>
      </c>
      <c r="G276" s="83"/>
      <c r="H276" s="13"/>
      <c r="I276" s="30">
        <f>+SUM(START:END!I276)</f>
        <v>0</v>
      </c>
      <c r="J276" s="41"/>
      <c r="K276" s="13"/>
      <c r="L276" s="32">
        <f>+SUM(START:END!L276)</f>
        <v>0</v>
      </c>
      <c r="M276" s="41"/>
      <c r="N276" s="59">
        <f t="shared" si="34"/>
        <v>0</v>
      </c>
      <c r="O276" s="41"/>
      <c r="P276" s="13"/>
      <c r="Q276" s="32">
        <f>+SUM(START:END!Q276)</f>
        <v>89.1</v>
      </c>
      <c r="R276" s="41"/>
      <c r="S276" s="85">
        <f t="shared" si="35"/>
        <v>-89.1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33"/>
        <v>CarrosserieTéléphone</v>
      </c>
      <c r="B277" s="11" t="s">
        <v>94</v>
      </c>
      <c r="C277" s="102" t="s">
        <v>58</v>
      </c>
      <c r="D277" s="81"/>
      <c r="E277" s="13"/>
      <c r="F277" s="30">
        <f>+SUM(START:END!F277)</f>
        <v>0</v>
      </c>
      <c r="G277" s="83"/>
      <c r="H277" s="13"/>
      <c r="I277" s="30">
        <f>+SUM(START:END!I277)</f>
        <v>0</v>
      </c>
      <c r="J277" s="41"/>
      <c r="K277" s="13"/>
      <c r="L277" s="33">
        <f>+SUM(START:END!L277)</f>
        <v>0</v>
      </c>
      <c r="M277" s="41"/>
      <c r="N277" s="59">
        <f t="shared" si="34"/>
        <v>0</v>
      </c>
      <c r="O277" s="41"/>
      <c r="P277" s="13"/>
      <c r="Q277" s="33">
        <f>+SUM(START:END!Q277)</f>
        <v>32.33</v>
      </c>
      <c r="R277" s="41"/>
      <c r="S277" s="85">
        <f t="shared" si="35"/>
        <v>-32.33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33"/>
        <v>CarrosserieFrais postaux</v>
      </c>
      <c r="B278" s="11" t="s">
        <v>94</v>
      </c>
      <c r="C278" s="102" t="s">
        <v>59</v>
      </c>
      <c r="D278" s="81"/>
      <c r="E278" s="13"/>
      <c r="F278" s="30">
        <f>+SUM(START:END!F278)</f>
        <v>0</v>
      </c>
      <c r="G278" s="83"/>
      <c r="H278" s="13"/>
      <c r="I278" s="30">
        <f>+SUM(START:END!I278)</f>
        <v>0</v>
      </c>
      <c r="J278" s="41"/>
      <c r="K278" s="13"/>
      <c r="L278" s="33">
        <f>+SUM(START:END!L278)</f>
        <v>0</v>
      </c>
      <c r="M278" s="41"/>
      <c r="N278" s="59">
        <f t="shared" si="34"/>
        <v>0</v>
      </c>
      <c r="O278" s="41"/>
      <c r="P278" s="13"/>
      <c r="Q278" s="33">
        <f>+SUM(START:END!Q278)</f>
        <v>19.669999999999998</v>
      </c>
      <c r="R278" s="41"/>
      <c r="S278" s="85">
        <f t="shared" si="35"/>
        <v>-19.669999999999998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33"/>
        <v>CarrosserieDivers</v>
      </c>
      <c r="B279" s="11" t="s">
        <v>94</v>
      </c>
      <c r="C279" s="102" t="s">
        <v>60</v>
      </c>
      <c r="D279" s="81"/>
      <c r="E279" s="13"/>
      <c r="F279" s="30">
        <f>+SUM(START:END!F279)</f>
        <v>0</v>
      </c>
      <c r="G279" s="83"/>
      <c r="H279" s="13"/>
      <c r="I279" s="30">
        <f>+SUM(START:END!I279)</f>
        <v>0</v>
      </c>
      <c r="J279" s="41"/>
      <c r="K279" s="13"/>
      <c r="L279" s="33">
        <f>+SUM(START:END!L279)</f>
        <v>0</v>
      </c>
      <c r="M279" s="41"/>
      <c r="N279" s="59">
        <f t="shared" si="34"/>
        <v>0</v>
      </c>
      <c r="O279" s="41"/>
      <c r="P279" s="13"/>
      <c r="Q279" s="33">
        <f>+SUM(START:END!Q279)</f>
        <v>118.54</v>
      </c>
      <c r="R279" s="41"/>
      <c r="S279" s="85">
        <f t="shared" si="35"/>
        <v>-118.54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33"/>
        <v>CarrosserieFormation</v>
      </c>
      <c r="B280" s="11" t="s">
        <v>94</v>
      </c>
      <c r="C280" s="102" t="s">
        <v>61</v>
      </c>
      <c r="D280" s="81"/>
      <c r="E280" s="13"/>
      <c r="F280" s="30">
        <f>+SUM(START:END!F280)</f>
        <v>0</v>
      </c>
      <c r="G280" s="83"/>
      <c r="H280" s="13"/>
      <c r="I280" s="30">
        <f>+SUM(START:END!I280)</f>
        <v>0</v>
      </c>
      <c r="J280" s="41"/>
      <c r="K280" s="13"/>
      <c r="L280" s="33">
        <f>+SUM(START:END!L280)</f>
        <v>0</v>
      </c>
      <c r="M280" s="41"/>
      <c r="N280" s="59">
        <f t="shared" si="34"/>
        <v>0</v>
      </c>
      <c r="O280" s="41"/>
      <c r="P280" s="13"/>
      <c r="Q280" s="33">
        <f>+SUM(START:END!Q280)</f>
        <v>-36.07</v>
      </c>
      <c r="R280" s="41"/>
      <c r="S280" s="85">
        <f t="shared" si="35"/>
        <v>36.07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33"/>
        <v>CarrosserieFrais bancaires</v>
      </c>
      <c r="B281" s="11" t="s">
        <v>94</v>
      </c>
      <c r="C281" s="102" t="s">
        <v>62</v>
      </c>
      <c r="D281" s="81"/>
      <c r="E281" s="13"/>
      <c r="F281" s="30">
        <f>+SUM(START:END!F281)</f>
        <v>0</v>
      </c>
      <c r="G281" s="83"/>
      <c r="H281" s="13"/>
      <c r="I281" s="30">
        <f>+SUM(START:END!I281)</f>
        <v>0</v>
      </c>
      <c r="J281" s="41"/>
      <c r="K281" s="13"/>
      <c r="L281" s="33">
        <f>+SUM(START:END!L281)</f>
        <v>0</v>
      </c>
      <c r="M281" s="41"/>
      <c r="N281" s="59">
        <f t="shared" si="34"/>
        <v>0</v>
      </c>
      <c r="O281" s="41"/>
      <c r="P281" s="13"/>
      <c r="Q281" s="33">
        <f>+SUM(START:END!Q281)</f>
        <v>608.76</v>
      </c>
      <c r="R281" s="41"/>
      <c r="S281" s="85">
        <f t="shared" si="35"/>
        <v>-608.76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33"/>
        <v>Carrosserie[...]</v>
      </c>
      <c r="B282" s="11" t="s">
        <v>94</v>
      </c>
      <c r="C282" s="102" t="s">
        <v>19</v>
      </c>
      <c r="D282" s="81"/>
      <c r="E282" s="13"/>
      <c r="F282" s="30">
        <f>+SUM(START:END!F282)</f>
        <v>0</v>
      </c>
      <c r="G282" s="83"/>
      <c r="H282" s="13"/>
      <c r="I282" s="30">
        <f>+SUM(START:END!I282)</f>
        <v>0</v>
      </c>
      <c r="J282" s="41"/>
      <c r="K282" s="13"/>
      <c r="L282" s="33">
        <f>+SUM(START:END!L282)</f>
        <v>0</v>
      </c>
      <c r="M282" s="41"/>
      <c r="N282" s="59">
        <f t="shared" si="34"/>
        <v>0</v>
      </c>
      <c r="O282" s="41"/>
      <c r="P282" s="13"/>
      <c r="Q282" s="33">
        <f>+SUM(START:END!Q282)</f>
        <v>0</v>
      </c>
      <c r="R282" s="41"/>
      <c r="S282" s="85">
        <f t="shared" si="35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 t="shared" si="33"/>
        <v>Carrosserie[...]</v>
      </c>
      <c r="B283" s="11" t="s">
        <v>94</v>
      </c>
      <c r="C283" s="102" t="s">
        <v>19</v>
      </c>
      <c r="D283" s="81"/>
      <c r="E283" s="13"/>
      <c r="F283" s="30">
        <f>+SUM(START:END!F283)</f>
        <v>0</v>
      </c>
      <c r="G283" s="83"/>
      <c r="H283" s="13"/>
      <c r="I283" s="30">
        <f>+SUM(START:END!I283)</f>
        <v>0</v>
      </c>
      <c r="J283" s="41"/>
      <c r="K283" s="13"/>
      <c r="L283" s="33">
        <f>+SUM(START:END!L283)</f>
        <v>0</v>
      </c>
      <c r="M283" s="41"/>
      <c r="N283" s="59">
        <f t="shared" si="34"/>
        <v>0</v>
      </c>
      <c r="O283" s="41"/>
      <c r="P283" s="13"/>
      <c r="Q283" s="33">
        <f>+SUM(START:END!Q283)</f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si="33"/>
        <v>Carrosserie[...]</v>
      </c>
      <c r="B284" s="11" t="s">
        <v>94</v>
      </c>
      <c r="C284" s="102" t="s">
        <v>19</v>
      </c>
      <c r="D284" s="81"/>
      <c r="E284" s="13"/>
      <c r="F284" s="30">
        <f>+SUM(START:END!F284)</f>
        <v>0</v>
      </c>
      <c r="G284" s="83"/>
      <c r="H284" s="13"/>
      <c r="I284" s="30">
        <f>+SUM(START:END!I284)</f>
        <v>0</v>
      </c>
      <c r="J284" s="41"/>
      <c r="K284" s="13"/>
      <c r="L284" s="33">
        <f>+SUM(START:END!L284)</f>
        <v>0</v>
      </c>
      <c r="M284" s="41"/>
      <c r="N284" s="59">
        <f t="shared" si="34"/>
        <v>0</v>
      </c>
      <c r="O284" s="41"/>
      <c r="P284" s="13"/>
      <c r="Q284" s="33">
        <f>+SUM(START:END!Q284)</f>
        <v>0</v>
      </c>
      <c r="R284" s="41"/>
      <c r="S284" s="85">
        <f t="shared" si="35"/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 t="e">
        <f>F285/F$250</f>
        <v>#DIV/0!</v>
      </c>
      <c r="F285" s="96">
        <f>+SUM(F267:F284)</f>
        <v>0</v>
      </c>
      <c r="G285" s="97" t="s">
        <v>38</v>
      </c>
      <c r="H285" s="95" t="e">
        <f>I285/I$250</f>
        <v>#DIV/0!</v>
      </c>
      <c r="I285" s="96">
        <f>+SUM(I267:I284)</f>
        <v>0</v>
      </c>
      <c r="J285" s="97" t="s">
        <v>38</v>
      </c>
      <c r="K285" s="95" t="e">
        <f>L285/L$250</f>
        <v>#DIV/0!</v>
      </c>
      <c r="L285" s="96">
        <f>+SUM(L267:L284)</f>
        <v>0</v>
      </c>
      <c r="M285" s="100"/>
      <c r="N285" s="96">
        <f>+SUM(N267:N284)</f>
        <v>0</v>
      </c>
      <c r="O285" s="97" t="s">
        <v>38</v>
      </c>
      <c r="P285" s="95">
        <f>Q285/Q$250</f>
        <v>2.6589026060435397</v>
      </c>
      <c r="Q285" s="96">
        <f>+SUM(Q267:Q284)</f>
        <v>2737.42</v>
      </c>
      <c r="R285" s="100"/>
      <c r="S285" s="101">
        <f>L285-Q285</f>
        <v>-2737.42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 t="e">
        <f>F287/F$250</f>
        <v>#DIV/0!</v>
      </c>
      <c r="F287" s="96">
        <f>F266+F285</f>
        <v>0</v>
      </c>
      <c r="G287" s="97" t="s">
        <v>38</v>
      </c>
      <c r="H287" s="95" t="e">
        <f>I287/I$250</f>
        <v>#DIV/0!</v>
      </c>
      <c r="I287" s="96">
        <f>I266+I285</f>
        <v>0</v>
      </c>
      <c r="J287" s="97" t="s">
        <v>38</v>
      </c>
      <c r="K287" s="95" t="e">
        <f>L287/L$250</f>
        <v>#DIV/0!</v>
      </c>
      <c r="L287" s="96">
        <f>L266+L285</f>
        <v>0</v>
      </c>
      <c r="M287" s="100"/>
      <c r="N287" s="113">
        <f>L287-F287</f>
        <v>0</v>
      </c>
      <c r="O287" s="97" t="s">
        <v>38</v>
      </c>
      <c r="P287" s="95">
        <f>Q287/Q$250</f>
        <v>5.5850533738696404</v>
      </c>
      <c r="Q287" s="96">
        <f>Q266+Q285</f>
        <v>5749.98</v>
      </c>
      <c r="R287" s="100"/>
      <c r="S287" s="114">
        <f>L287-Q287</f>
        <v>-5749.98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>
        <f>L288-F288</f>
        <v>0</v>
      </c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0</v>
      </c>
      <c r="G289" s="153"/>
      <c r="H289" s="125"/>
      <c r="I289" s="127">
        <f>I250-I287</f>
        <v>0</v>
      </c>
      <c r="J289" s="154"/>
      <c r="K289" s="126"/>
      <c r="L289" s="127">
        <f>L250-L287</f>
        <v>0</v>
      </c>
      <c r="M289" s="154"/>
      <c r="N289" s="127">
        <f>L289-F289</f>
        <v>0</v>
      </c>
      <c r="O289" s="154"/>
      <c r="P289" s="126"/>
      <c r="Q289" s="127">
        <f>Q250-Q287</f>
        <v>-4720.4500000000016</v>
      </c>
      <c r="R289" s="154"/>
      <c r="S289" s="129">
        <f>L289-Q289</f>
        <v>4720.4500000000016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  Q2 2025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507" t="s">
        <v>5</v>
      </c>
      <c r="E293" s="508"/>
      <c r="F293" s="509"/>
      <c r="G293" s="510" t="s">
        <v>71</v>
      </c>
      <c r="H293" s="508"/>
      <c r="I293" s="509"/>
      <c r="J293" s="510" t="s">
        <v>7</v>
      </c>
      <c r="K293" s="508"/>
      <c r="L293" s="509"/>
      <c r="M293" s="510" t="s">
        <v>213</v>
      </c>
      <c r="N293" s="509"/>
      <c r="O293" s="507" t="s">
        <v>8</v>
      </c>
      <c r="P293" s="508"/>
      <c r="Q293" s="509"/>
      <c r="R293" s="505" t="s">
        <v>214</v>
      </c>
      <c r="S293" s="506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348" si="36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 t="s">
        <v>79</v>
      </c>
      <c r="H294" s="80" t="s">
        <v>99</v>
      </c>
      <c r="I294" s="134" t="s">
        <v>12</v>
      </c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36"/>
        <v>PiècesPièces Ro Clients</v>
      </c>
      <c r="B295" s="11" t="s">
        <v>98</v>
      </c>
      <c r="C295" s="29" t="s">
        <v>100</v>
      </c>
      <c r="D295" s="82">
        <f>+SUM(START:END!D295)</f>
        <v>225095.13272238543</v>
      </c>
      <c r="E295" s="148">
        <f>IF(D295=0,0,F295/D295)</f>
        <v>0.41000000000000003</v>
      </c>
      <c r="F295" s="85">
        <f>+SUM(START:END!F295)</f>
        <v>92289.004416178039</v>
      </c>
      <c r="G295" s="82">
        <f>+SUM(START:END!G295)</f>
        <v>0</v>
      </c>
      <c r="H295" s="148">
        <f>IF(G295=0,0,I295/G295)</f>
        <v>0</v>
      </c>
      <c r="I295" s="85">
        <f>+SUM(START:END!I295)</f>
        <v>0</v>
      </c>
      <c r="J295" s="30">
        <f>+SUM(START:END!J295)</f>
        <v>190491.3</v>
      </c>
      <c r="K295" s="148">
        <f>IF(J295=0,0,L295/J295)</f>
        <v>0.40094949218153264</v>
      </c>
      <c r="L295" s="33">
        <f>+SUM(START:END!L295)</f>
        <v>76377.389999999985</v>
      </c>
      <c r="M295" s="157">
        <f t="shared" ref="M295:M301" si="37">(+J295-D295)/D295</f>
        <v>-0.15372981327438598</v>
      </c>
      <c r="N295" s="59">
        <f t="shared" ref="N295:N304" si="38">L295-F295</f>
        <v>-15911.614416178054</v>
      </c>
      <c r="O295" s="30">
        <f>+SUM(START:END!O295)</f>
        <v>211679.39999999982</v>
      </c>
      <c r="P295" s="148">
        <f>IF(O295=0,0,Q295/O295)</f>
        <v>0.40073034976478528</v>
      </c>
      <c r="Q295" s="33">
        <f>+SUM(START:END!Q295)</f>
        <v>84826.359999999811</v>
      </c>
      <c r="R295" s="157">
        <f>IF(O295=0,0,(J295-O295)/O295)</f>
        <v>-0.1000952383651874</v>
      </c>
      <c r="S295" s="85">
        <f t="shared" ref="S295:S300" si="39">L295-Q295</f>
        <v>-8448.9699999998265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36"/>
        <v>PiècesPièces Ro Carrosserie</v>
      </c>
      <c r="B296" s="11" t="s">
        <v>98</v>
      </c>
      <c r="C296" s="29" t="s">
        <v>101</v>
      </c>
      <c r="D296" s="82">
        <f>+SUM(START:END!D296)</f>
        <v>0</v>
      </c>
      <c r="E296" s="148">
        <f t="shared" ref="E296:E303" si="40">IF(D296=0,0,F296/D296)</f>
        <v>0</v>
      </c>
      <c r="F296" s="85">
        <f>+SUM(START:END!F296)</f>
        <v>0</v>
      </c>
      <c r="G296" s="82">
        <f>+SUM(START:END!G296)</f>
        <v>0</v>
      </c>
      <c r="H296" s="148">
        <f t="shared" ref="H296:H303" si="41">IF(G296=0,0,I296/G296)</f>
        <v>0</v>
      </c>
      <c r="I296" s="85">
        <f>+SUM(START:END!I296)</f>
        <v>0</v>
      </c>
      <c r="J296" s="30">
        <f>+SUM(START:END!J296)</f>
        <v>5327.3099999999995</v>
      </c>
      <c r="K296" s="148">
        <f t="shared" ref="K296:K303" si="42">IF(J296=0,0,L296/J296)</f>
        <v>0.28271679327840882</v>
      </c>
      <c r="L296" s="33">
        <f>+SUM(START:END!L296)</f>
        <v>1506.12</v>
      </c>
      <c r="M296" s="157" t="e">
        <f t="shared" si="37"/>
        <v>#DIV/0!</v>
      </c>
      <c r="N296" s="59">
        <f t="shared" si="38"/>
        <v>1506.12</v>
      </c>
      <c r="O296" s="30">
        <f>+SUM(START:END!O296)</f>
        <v>4202.83</v>
      </c>
      <c r="P296" s="148">
        <f t="shared" ref="P296:P303" si="43">IF(O296=0,0,Q296/O296)</f>
        <v>0.28074654459019277</v>
      </c>
      <c r="Q296" s="33">
        <f>+SUM(START:END!Q296)</f>
        <v>1179.9299999999998</v>
      </c>
      <c r="R296" s="157">
        <f t="shared" ref="R296:R303" si="44">IF(O296=0,0,(J296-O296)/O296)</f>
        <v>0.26755305353773517</v>
      </c>
      <c r="S296" s="85">
        <f t="shared" si="39"/>
        <v>326.19000000000005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36"/>
        <v>PiècesP/A Garantie</v>
      </c>
      <c r="B297" s="11" t="s">
        <v>98</v>
      </c>
      <c r="C297" s="29" t="s">
        <v>102</v>
      </c>
      <c r="D297" s="82">
        <f>+SUM(START:END!D297)</f>
        <v>144742.66299615719</v>
      </c>
      <c r="E297" s="148">
        <f t="shared" si="40"/>
        <v>0.28500000000000003</v>
      </c>
      <c r="F297" s="85">
        <f>+SUM(START:END!F297)</f>
        <v>41251.6589539048</v>
      </c>
      <c r="G297" s="82">
        <f>+SUM(START:END!G297)</f>
        <v>0</v>
      </c>
      <c r="H297" s="148">
        <f t="shared" si="41"/>
        <v>0</v>
      </c>
      <c r="I297" s="85">
        <f>+SUM(START:END!I297)</f>
        <v>0</v>
      </c>
      <c r="J297" s="30">
        <f>+SUM(START:END!J297)</f>
        <v>206403.41</v>
      </c>
      <c r="K297" s="148">
        <f t="shared" si="42"/>
        <v>0.27078283251231183</v>
      </c>
      <c r="L297" s="33">
        <f>+SUM(START:END!L297)</f>
        <v>55890.500000000029</v>
      </c>
      <c r="M297" s="157">
        <f t="shared" si="37"/>
        <v>0.42600257399906938</v>
      </c>
      <c r="N297" s="59">
        <f t="shared" si="38"/>
        <v>14638.841046095229</v>
      </c>
      <c r="O297" s="30">
        <f>+SUM(START:END!O297)</f>
        <v>135313.17999999991</v>
      </c>
      <c r="P297" s="148">
        <f t="shared" si="43"/>
        <v>0.28635081963190745</v>
      </c>
      <c r="Q297" s="33">
        <f>+SUM(START:END!Q297)</f>
        <v>38747.039999999797</v>
      </c>
      <c r="R297" s="157">
        <f t="shared" si="44"/>
        <v>0.52537550296283142</v>
      </c>
      <c r="S297" s="85">
        <f t="shared" si="39"/>
        <v>17143.460000000232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36"/>
        <v>PiècesVentes Internes</v>
      </c>
      <c r="B298" s="11" t="s">
        <v>98</v>
      </c>
      <c r="C298" s="29" t="s">
        <v>103</v>
      </c>
      <c r="D298" s="82">
        <f>+SUM(START:END!D298)</f>
        <v>61661.071347693556</v>
      </c>
      <c r="E298" s="148">
        <f t="shared" si="40"/>
        <v>0.34999999999999992</v>
      </c>
      <c r="F298" s="85">
        <f>+SUM(START:END!F298)</f>
        <v>21581.374971692741</v>
      </c>
      <c r="G298" s="82">
        <f>+SUM(START:END!G298)</f>
        <v>0</v>
      </c>
      <c r="H298" s="148">
        <f t="shared" si="41"/>
        <v>0</v>
      </c>
      <c r="I298" s="85">
        <f>+SUM(START:END!I298)</f>
        <v>0</v>
      </c>
      <c r="J298" s="30">
        <f>+SUM(START:END!J298)</f>
        <v>85368.41</v>
      </c>
      <c r="K298" s="148">
        <f t="shared" si="42"/>
        <v>0.32368964116820265</v>
      </c>
      <c r="L298" s="33">
        <f>+SUM(START:END!L298)</f>
        <v>27632.870000000003</v>
      </c>
      <c r="M298" s="157">
        <f t="shared" si="37"/>
        <v>0.38447821509013119</v>
      </c>
      <c r="N298" s="59">
        <f t="shared" si="38"/>
        <v>6051.4950283072612</v>
      </c>
      <c r="O298" s="30">
        <f>+SUM(START:END!O298)</f>
        <v>51049.259999999995</v>
      </c>
      <c r="P298" s="148">
        <f t="shared" si="43"/>
        <v>0.29638940897478239</v>
      </c>
      <c r="Q298" s="33">
        <f>+SUM(START:END!Q298)</f>
        <v>15130.46</v>
      </c>
      <c r="R298" s="157">
        <f t="shared" si="44"/>
        <v>0.67227517107985524</v>
      </c>
      <c r="S298" s="85">
        <f t="shared" si="39"/>
        <v>12502.410000000003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36"/>
        <v>PiècesVentes Détails</v>
      </c>
      <c r="B299" s="11" t="s">
        <v>98</v>
      </c>
      <c r="C299" s="29" t="s">
        <v>104</v>
      </c>
      <c r="D299" s="82">
        <f>+SUM(START:END!D299)</f>
        <v>79492.523112820345</v>
      </c>
      <c r="E299" s="148">
        <f t="shared" si="40"/>
        <v>0.3</v>
      </c>
      <c r="F299" s="85">
        <f>+SUM(START:END!F299)</f>
        <v>23847.756933846103</v>
      </c>
      <c r="G299" s="82">
        <f>+SUM(START:END!G299)</f>
        <v>0</v>
      </c>
      <c r="H299" s="148">
        <f t="shared" si="41"/>
        <v>0</v>
      </c>
      <c r="I299" s="85">
        <f>+SUM(START:END!I299)</f>
        <v>0</v>
      </c>
      <c r="J299" s="30">
        <f>+SUM(START:END!J299)</f>
        <v>57151.54</v>
      </c>
      <c r="K299" s="148">
        <f t="shared" si="42"/>
        <v>0.31689767239867905</v>
      </c>
      <c r="L299" s="33">
        <f>+SUM(START:END!L299)</f>
        <v>18111.190000000002</v>
      </c>
      <c r="M299" s="157">
        <f t="shared" si="37"/>
        <v>-0.28104508748719348</v>
      </c>
      <c r="N299" s="59">
        <f t="shared" si="38"/>
        <v>-5736.5669338461012</v>
      </c>
      <c r="O299" s="30">
        <f>+SUM(START:END!O299)</f>
        <v>77888.539999999804</v>
      </c>
      <c r="P299" s="148">
        <f t="shared" si="43"/>
        <v>0.26634906752649401</v>
      </c>
      <c r="Q299" s="33">
        <f>+SUM(START:END!Q299)</f>
        <v>20745.539999999979</v>
      </c>
      <c r="R299" s="157">
        <f t="shared" si="44"/>
        <v>-0.26623942366874326</v>
      </c>
      <c r="S299" s="85">
        <f t="shared" si="39"/>
        <v>-2634.3499999999767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 t="shared" si="36"/>
        <v>PiècesVentes de Gros</v>
      </c>
      <c r="B300" s="11" t="s">
        <v>98</v>
      </c>
      <c r="C300" s="29" t="s">
        <v>105</v>
      </c>
      <c r="D300" s="82">
        <f>+SUM(START:END!D300)</f>
        <v>163117.10173156037</v>
      </c>
      <c r="E300" s="148">
        <f t="shared" si="40"/>
        <v>0.20000000000000004</v>
      </c>
      <c r="F300" s="85">
        <f>+SUM(START:END!F300)</f>
        <v>32623.420346312079</v>
      </c>
      <c r="G300" s="82">
        <f>+SUM(START:END!G300)</f>
        <v>0</v>
      </c>
      <c r="H300" s="148">
        <f t="shared" si="41"/>
        <v>0</v>
      </c>
      <c r="I300" s="85">
        <f>+SUM(START:END!I300)</f>
        <v>0</v>
      </c>
      <c r="J300" s="30">
        <f>+SUM(START:END!J300)</f>
        <v>213229.32</v>
      </c>
      <c r="K300" s="148">
        <f t="shared" si="42"/>
        <v>0.18042631285416094</v>
      </c>
      <c r="L300" s="33">
        <f>+SUM(START:END!L300)</f>
        <v>38472.18</v>
      </c>
      <c r="M300" s="157">
        <f t="shared" si="37"/>
        <v>0.30721621299346435</v>
      </c>
      <c r="N300" s="59">
        <f t="shared" si="38"/>
        <v>5848.7596536879209</v>
      </c>
      <c r="O300" s="30">
        <f>+SUM(START:END!O300)</f>
        <v>175251.71</v>
      </c>
      <c r="P300" s="148">
        <f t="shared" si="43"/>
        <v>0.20580843405179841</v>
      </c>
      <c r="Q300" s="33">
        <f>+SUM(START:END!Q300)</f>
        <v>36068.279999999897</v>
      </c>
      <c r="R300" s="157">
        <f t="shared" si="44"/>
        <v>0.21670322075602011</v>
      </c>
      <c r="S300" s="85">
        <f t="shared" si="39"/>
        <v>2403.9000000001033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 t="shared" si="36"/>
        <v>Pièces[...]</v>
      </c>
      <c r="B301" s="11" t="s">
        <v>98</v>
      </c>
      <c r="C301" s="29" t="s">
        <v>19</v>
      </c>
      <c r="D301" s="82">
        <f>+SUM(START:END!D301)</f>
        <v>0</v>
      </c>
      <c r="E301" s="148">
        <f t="shared" si="40"/>
        <v>0</v>
      </c>
      <c r="F301" s="85">
        <f>+SUM(START:END!F301)</f>
        <v>0</v>
      </c>
      <c r="G301" s="82">
        <f>+SUM(START:END!G301)</f>
        <v>0</v>
      </c>
      <c r="H301" s="148">
        <f t="shared" si="41"/>
        <v>0</v>
      </c>
      <c r="I301" s="85">
        <f>+SUM(START:END!I301)</f>
        <v>0</v>
      </c>
      <c r="J301" s="30">
        <f>+SUM(START:END!J301)</f>
        <v>0</v>
      </c>
      <c r="K301" s="148">
        <f t="shared" si="42"/>
        <v>0</v>
      </c>
      <c r="L301" s="33">
        <f>+SUM(START:END!L301)</f>
        <v>0</v>
      </c>
      <c r="M301" s="157" t="e">
        <f t="shared" si="37"/>
        <v>#DIV/0!</v>
      </c>
      <c r="N301" s="59">
        <f t="shared" si="38"/>
        <v>0</v>
      </c>
      <c r="O301" s="30">
        <f>+SUM(START:END!O301)</f>
        <v>0</v>
      </c>
      <c r="P301" s="148">
        <f t="shared" si="43"/>
        <v>0</v>
      </c>
      <c r="Q301" s="33">
        <f>+SUM(START:END!Q301)</f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si="36"/>
        <v>PiècesEscomptes</v>
      </c>
      <c r="B302" s="11" t="s">
        <v>98</v>
      </c>
      <c r="C302" s="29" t="s">
        <v>106</v>
      </c>
      <c r="D302" s="82">
        <f>+SUM(START:END!D302)</f>
        <v>0</v>
      </c>
      <c r="E302" s="148">
        <f t="shared" si="40"/>
        <v>0</v>
      </c>
      <c r="F302" s="85">
        <f>+SUM(START:END!F302)</f>
        <v>17635.45519366904</v>
      </c>
      <c r="G302" s="82">
        <f>+SUM(START:END!G302)</f>
        <v>0</v>
      </c>
      <c r="H302" s="148">
        <f t="shared" si="41"/>
        <v>0</v>
      </c>
      <c r="I302" s="85">
        <f>+SUM(START:END!I302)</f>
        <v>0</v>
      </c>
      <c r="J302" s="30">
        <f>+SUM(START:END!J302)</f>
        <v>0</v>
      </c>
      <c r="K302" s="148">
        <f t="shared" si="42"/>
        <v>0</v>
      </c>
      <c r="L302" s="33">
        <f>+SUM(START:END!L302)</f>
        <v>29649.71</v>
      </c>
      <c r="M302" s="157"/>
      <c r="N302" s="59">
        <f t="shared" si="38"/>
        <v>12014.254806330959</v>
      </c>
      <c r="O302" s="30">
        <f>+SUM(START:END!O302)</f>
        <v>0</v>
      </c>
      <c r="P302" s="148">
        <f t="shared" si="43"/>
        <v>0</v>
      </c>
      <c r="Q302" s="33">
        <f>+SUM(START:END!Q302)</f>
        <v>12369.07</v>
      </c>
      <c r="R302" s="157">
        <f t="shared" si="44"/>
        <v>0</v>
      </c>
      <c r="S302" s="85">
        <f>L302-Q302</f>
        <v>17280.64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36"/>
        <v>PiècesRectif. Inventaire</v>
      </c>
      <c r="B303" s="11" t="s">
        <v>98</v>
      </c>
      <c r="C303" s="86" t="s">
        <v>107</v>
      </c>
      <c r="D303" s="82">
        <f>+SUM(START:END!D303)</f>
        <v>0</v>
      </c>
      <c r="E303" s="148">
        <f t="shared" si="40"/>
        <v>0</v>
      </c>
      <c r="F303" s="85">
        <f>+SUM(START:END!F303)</f>
        <v>0</v>
      </c>
      <c r="G303" s="82">
        <f>+SUM(START:END!G303)</f>
        <v>0</v>
      </c>
      <c r="H303" s="148">
        <f t="shared" si="41"/>
        <v>0</v>
      </c>
      <c r="I303" s="85">
        <f>+SUM(START:END!I303)</f>
        <v>0</v>
      </c>
      <c r="J303" s="30">
        <f>+SUM(START:END!J303)</f>
        <v>0</v>
      </c>
      <c r="K303" s="148">
        <f t="shared" si="42"/>
        <v>0</v>
      </c>
      <c r="L303" s="33">
        <f>+SUM(START:END!L303)</f>
        <v>0</v>
      </c>
      <c r="M303" s="157"/>
      <c r="N303" s="59">
        <f t="shared" si="38"/>
        <v>0</v>
      </c>
      <c r="O303" s="30">
        <f>+SUM(START:END!O303)</f>
        <v>0</v>
      </c>
      <c r="P303" s="148">
        <f t="shared" si="43"/>
        <v>0</v>
      </c>
      <c r="Q303" s="33">
        <f>+SUM(START:END!Q303)</f>
        <v>0</v>
      </c>
      <c r="R303" s="157">
        <f t="shared" si="44"/>
        <v>0</v>
      </c>
      <c r="S303" s="85">
        <f>L303-Q303</f>
        <v>0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36"/>
        <v>PiècesSous-total Pièces</v>
      </c>
      <c r="B304" s="11" t="s">
        <v>98</v>
      </c>
      <c r="C304" s="53" t="s">
        <v>108</v>
      </c>
      <c r="D304" s="195">
        <f>SUM(D295:D303)</f>
        <v>674108.49191061687</v>
      </c>
      <c r="E304" s="213">
        <f>IF(D304&lt;=0,0,F304/D304)</f>
        <v>0.34004714903665284</v>
      </c>
      <c r="F304" s="199">
        <f>SUM(F295:F303)</f>
        <v>229228.67081560282</v>
      </c>
      <c r="G304" s="195">
        <f>SUM(G295:G303)</f>
        <v>0</v>
      </c>
      <c r="H304" s="213">
        <f>IF(G304&lt;=0,0,I304/G304)</f>
        <v>0</v>
      </c>
      <c r="I304" s="199">
        <f>SUM(I295:I303)</f>
        <v>0</v>
      </c>
      <c r="J304" s="195">
        <f>SUM(J295:J303)</f>
        <v>757971.29</v>
      </c>
      <c r="K304" s="213">
        <f>IF(J304&lt;=0,0,L304/J304)</f>
        <v>0.32671416881766058</v>
      </c>
      <c r="L304" s="197">
        <f>SUM(L295:L303)</f>
        <v>247639.96</v>
      </c>
      <c r="M304" s="214">
        <f>(+J304-D304)/D304</f>
        <v>0.12440549124621163</v>
      </c>
      <c r="N304" s="197">
        <f t="shared" si="38"/>
        <v>18411.289184397174</v>
      </c>
      <c r="O304" s="195">
        <f>SUM(O295:O303)</f>
        <v>655384.91999999946</v>
      </c>
      <c r="P304" s="213">
        <f>IF(O304&lt;=0,0,Q304/O304)</f>
        <v>0.3189983071322417</v>
      </c>
      <c r="Q304" s="197">
        <f>SUM(Q295:Q303)</f>
        <v>209066.67999999947</v>
      </c>
      <c r="R304" s="214">
        <f>IF(O304=0,0,(J304-O304)/O304)</f>
        <v>0.15652842607364334</v>
      </c>
      <c r="S304" s="199">
        <f>L304-Q304</f>
        <v>38573.280000000523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36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8.0318439743550532E-2</v>
      </c>
      <c r="O305" s="41"/>
      <c r="P305" s="13"/>
      <c r="Q305" s="40"/>
      <c r="R305" s="41"/>
      <c r="S305" s="44">
        <f>IF(Q304=0,0,S304/Q304)</f>
        <v>0.18450228415164302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36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36"/>
        <v>PiècesVentes Pneus</v>
      </c>
      <c r="B307" s="11" t="s">
        <v>98</v>
      </c>
      <c r="C307" s="29" t="s">
        <v>109</v>
      </c>
      <c r="D307" s="82">
        <f>+SUM(START:END!D307)</f>
        <v>217774.59791843913</v>
      </c>
      <c r="E307" s="148">
        <f>IF(D307=0,0,F307/D307)</f>
        <v>0.24</v>
      </c>
      <c r="F307" s="110">
        <f>+SUM(START:END!F307)</f>
        <v>52265.903500425389</v>
      </c>
      <c r="G307" s="82">
        <f>+SUM(START:END!G307)</f>
        <v>0</v>
      </c>
      <c r="H307" s="148">
        <f>IF(G307=0,0,I307/G307)</f>
        <v>0</v>
      </c>
      <c r="I307" s="110">
        <f>+SUM(START:END!I307)</f>
        <v>0</v>
      </c>
      <c r="J307" s="30">
        <f>+SUM(START:END!J307)</f>
        <v>277695.29000000004</v>
      </c>
      <c r="K307" s="148">
        <f>IF(J307=0,0,L307/J307)</f>
        <v>0.24171375034844847</v>
      </c>
      <c r="L307" s="33">
        <f>+SUM(START:END!L307)</f>
        <v>67122.77</v>
      </c>
      <c r="M307" s="157">
        <f>(+J307-D307)/D307</f>
        <v>0.27515005264297343</v>
      </c>
      <c r="N307" s="59">
        <f>L307-F307</f>
        <v>14856.866499574615</v>
      </c>
      <c r="O307" s="30">
        <f>+SUM(START:END!O307)</f>
        <v>236549.24</v>
      </c>
      <c r="P307" s="148">
        <f>IF(O307=0,0,Q307/O307)</f>
        <v>0.23549963635478133</v>
      </c>
      <c r="Q307" s="33">
        <f>+SUM(START:END!Q307)</f>
        <v>55707.259999999893</v>
      </c>
      <c r="R307" s="157">
        <f>IF(O307=0,0,(J307-O307)/O307)</f>
        <v>0.17394285435032489</v>
      </c>
      <c r="S307" s="85">
        <f>L307-Q307</f>
        <v>11415.510000000111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36"/>
        <v>PiècesHuiles et Graisse</v>
      </c>
      <c r="B308" s="11" t="s">
        <v>98</v>
      </c>
      <c r="C308" s="86" t="s">
        <v>110</v>
      </c>
      <c r="D308" s="82">
        <f>+SUM(START:END!D308)</f>
        <v>38990.632656187641</v>
      </c>
      <c r="E308" s="148">
        <f>IF(D308=0,0,F308/D308)</f>
        <v>0.34399999999999997</v>
      </c>
      <c r="F308" s="92">
        <f>+SUM(START:END!F308)</f>
        <v>13412.777633728547</v>
      </c>
      <c r="G308" s="82">
        <f>+SUM(START:END!G308)</f>
        <v>0</v>
      </c>
      <c r="H308" s="148">
        <f>IF(G308=0,0,I308/G308)</f>
        <v>0</v>
      </c>
      <c r="I308" s="92">
        <f>+SUM(START:END!I308)</f>
        <v>0</v>
      </c>
      <c r="J308" s="30">
        <f>+SUM(START:END!J308)</f>
        <v>38688.660000000003</v>
      </c>
      <c r="K308" s="148">
        <f>IF(J308=0,0,L308/J308)</f>
        <v>0.36306788604205992</v>
      </c>
      <c r="L308" s="33">
        <f>+SUM(START:END!L308)</f>
        <v>14046.610000000002</v>
      </c>
      <c r="M308" s="157">
        <f>(+J308-D308)/D308</f>
        <v>-7.7447488182707403E-3</v>
      </c>
      <c r="N308" s="59">
        <f>L308-F308</f>
        <v>633.83236627145561</v>
      </c>
      <c r="O308" s="30">
        <f>+SUM(START:END!O308)</f>
        <v>39093.590000000004</v>
      </c>
      <c r="P308" s="148">
        <f>IF(O308=0,0,Q308/O308)</f>
        <v>0.35073627159848969</v>
      </c>
      <c r="Q308" s="33">
        <f>+SUM(START:END!Q308)</f>
        <v>13711.54</v>
      </c>
      <c r="R308" s="157">
        <f>IF(O308=0,0,(J308-O308)/O308)</f>
        <v>-1.0357964054976795E-2</v>
      </c>
      <c r="S308" s="85">
        <f>L308-Q308</f>
        <v>335.07000000000153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36"/>
        <v>PiècesSous-total Pièces et Acc.</v>
      </c>
      <c r="B309" s="11" t="s">
        <v>98</v>
      </c>
      <c r="C309" s="53" t="s">
        <v>111</v>
      </c>
      <c r="D309" s="195">
        <f>D304+D307+D308</f>
        <v>930873.72248524369</v>
      </c>
      <c r="E309" s="213">
        <f>IF(D309&lt;=0,0,F309/D309)</f>
        <v>0.31680704356162726</v>
      </c>
      <c r="F309" s="197">
        <f>F304+F307+F308</f>
        <v>294907.35194975673</v>
      </c>
      <c r="G309" s="198">
        <f>G304+G307+G308</f>
        <v>0</v>
      </c>
      <c r="H309" s="213">
        <f>IF(G309&lt;=0,0,I309/G309)</f>
        <v>0</v>
      </c>
      <c r="I309" s="197">
        <f>I304+I307+I308</f>
        <v>0</v>
      </c>
      <c r="J309" s="198">
        <f>J304+J307+J308</f>
        <v>1074355.24</v>
      </c>
      <c r="K309" s="213">
        <f>IF(J309&lt;=0,0,L309/J309)</f>
        <v>0.30605271679039792</v>
      </c>
      <c r="L309" s="197">
        <f>L304+L307+L308</f>
        <v>328809.33999999997</v>
      </c>
      <c r="M309" s="214">
        <f>(+J309-D309)/D309</f>
        <v>0.15413639256212949</v>
      </c>
      <c r="N309" s="197">
        <f>L309-F309</f>
        <v>33901.988050243235</v>
      </c>
      <c r="O309" s="198">
        <f>O304+O307+O308</f>
        <v>931027.74999999942</v>
      </c>
      <c r="P309" s="213">
        <f>IF(O309&lt;=0,0,Q309/O309)</f>
        <v>0.29911619712731391</v>
      </c>
      <c r="Q309" s="197">
        <f>Q304+Q307+Q308</f>
        <v>278485.47999999934</v>
      </c>
      <c r="R309" s="214">
        <f>IF(O309=0,0,(J309-O309)/O309)</f>
        <v>0.15394545436481422</v>
      </c>
      <c r="S309" s="199">
        <f>L309-Q309</f>
        <v>50323.860000000626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36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0.11495809726716852</v>
      </c>
      <c r="O310" s="41"/>
      <c r="P310" s="13"/>
      <c r="Q310" s="40"/>
      <c r="R310" s="41"/>
      <c r="S310" s="44">
        <f>IF(Q309=0,0,S309/Q309)</f>
        <v>0.18070550751874298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36"/>
        <v>PiècesPièces recond. MCPA</v>
      </c>
      <c r="B311" s="11" t="s">
        <v>98</v>
      </c>
      <c r="C311" s="29" t="s">
        <v>190</v>
      </c>
      <c r="D311" s="13">
        <f>+SUM(START:END!D311)</f>
        <v>0</v>
      </c>
      <c r="E311" s="13">
        <f>IF(D311=0,0,F311/D311)</f>
        <v>0</v>
      </c>
      <c r="F311" s="40">
        <f>+SUM(START:END!F311)</f>
        <v>0</v>
      </c>
      <c r="G311" s="41">
        <f>+SUM(START:END!G311)</f>
        <v>0</v>
      </c>
      <c r="H311" s="13">
        <f>IF(G311=0,0,I311/G311)</f>
        <v>0</v>
      </c>
      <c r="I311" s="40">
        <f>+SUM(START:END!I311)</f>
        <v>0</v>
      </c>
      <c r="J311" s="41">
        <f>+SUM(START:END!J311)</f>
        <v>0</v>
      </c>
      <c r="K311" s="13">
        <f>IF(J311=0,0,L311/J311)</f>
        <v>0</v>
      </c>
      <c r="L311" s="40">
        <f>+SUM(START:END!L311)</f>
        <v>0</v>
      </c>
      <c r="M311" s="41"/>
      <c r="N311" s="43"/>
      <c r="O311" s="41">
        <f>+SUM(START:END!O311)</f>
        <v>0</v>
      </c>
      <c r="P311" s="13">
        <f>IF(O311=0,0,Q311/O311)</f>
        <v>0</v>
      </c>
      <c r="Q311" s="40">
        <f>+SUM(START:END!Q311)</f>
        <v>0</v>
      </c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36"/>
        <v>PiècesAutostock</v>
      </c>
      <c r="B312" s="11" t="s">
        <v>98</v>
      </c>
      <c r="C312" s="86" t="s">
        <v>112</v>
      </c>
      <c r="D312" s="90">
        <f>+SUM(START:END!D312)</f>
        <v>0</v>
      </c>
      <c r="E312" s="217">
        <f>IF(D312=0,0,F312/D312)</f>
        <v>0</v>
      </c>
      <c r="F312" s="146">
        <f>+SUM(START:END!F312)</f>
        <v>0</v>
      </c>
      <c r="G312" s="172">
        <f>+SUM(START:END!G312)</f>
        <v>0</v>
      </c>
      <c r="H312" s="217">
        <f>IF(G312=0,0,I312/G312)</f>
        <v>0</v>
      </c>
      <c r="I312" s="146">
        <f>+SUM(START:END!I312)</f>
        <v>0</v>
      </c>
      <c r="J312" s="46">
        <f>+SUM(START:END!J312)</f>
        <v>0</v>
      </c>
      <c r="K312" s="218">
        <f>IF(J312=0,0,L312/J312)</f>
        <v>0</v>
      </c>
      <c r="L312" s="22">
        <f>+SUM(START:END!L312)</f>
        <v>0</v>
      </c>
      <c r="M312" s="218">
        <f>IF(F312=0,0,(+L312-F312)/F312)</f>
        <v>0</v>
      </c>
      <c r="N312" s="91">
        <f>L312-F312</f>
        <v>0</v>
      </c>
      <c r="O312" s="46">
        <f>+SUM(START:END!O312)</f>
        <v>0</v>
      </c>
      <c r="P312" s="218">
        <f>IF(O312=0,0,Q312/O312)</f>
        <v>0</v>
      </c>
      <c r="Q312" s="22">
        <f>+SUM(START:END!Q312)</f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36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36"/>
        <v>PiècesTotal Dépt. Pièces</v>
      </c>
      <c r="B314" s="11" t="s">
        <v>98</v>
      </c>
      <c r="C314" s="62" t="s">
        <v>113</v>
      </c>
      <c r="D314" s="63">
        <f>D309+D312+D311</f>
        <v>930873.72248524369</v>
      </c>
      <c r="E314" s="219">
        <f>IF(D314&lt;=0,0,F314/D314)</f>
        <v>0.31680704356162726</v>
      </c>
      <c r="F314" s="65">
        <f>F309+F312+F311</f>
        <v>294907.35194975673</v>
      </c>
      <c r="G314" s="66">
        <f>G309+G312+G311</f>
        <v>0</v>
      </c>
      <c r="H314" s="219">
        <f>IF(G314&lt;=0,0,I314/G314)</f>
        <v>0</v>
      </c>
      <c r="I314" s="65">
        <f>I309+I312+I311</f>
        <v>0</v>
      </c>
      <c r="J314" s="66">
        <f>J309+J312+J311</f>
        <v>1074355.24</v>
      </c>
      <c r="K314" s="219">
        <f>IF(J314&lt;=0,0,L314/J314)</f>
        <v>0.30605271679039792</v>
      </c>
      <c r="L314" s="65">
        <f>L309+L312+L311</f>
        <v>328809.33999999997</v>
      </c>
      <c r="M314" s="220">
        <f>(+J314-D314)/D314</f>
        <v>0.15413639256212949</v>
      </c>
      <c r="N314" s="221">
        <f>L314-F314</f>
        <v>33901.988050243235</v>
      </c>
      <c r="O314" s="66">
        <f>O309+O312+O311</f>
        <v>931027.74999999942</v>
      </c>
      <c r="P314" s="219">
        <f>IF(O314&lt;=0,0,Q314/O314)</f>
        <v>0.29911619712731391</v>
      </c>
      <c r="Q314" s="65">
        <f>Q309+Q312+Q311</f>
        <v>278485.47999999934</v>
      </c>
      <c r="R314" s="220">
        <f>IF(O314=0,0,(J314-O314)/O314)</f>
        <v>0.15394545436481422</v>
      </c>
      <c r="S314" s="222">
        <f>L314-Q314</f>
        <v>50323.860000000626</v>
      </c>
      <c r="T314" s="13"/>
      <c r="U314" s="13"/>
      <c r="V314" s="454">
        <f>(L314+L194)/(F194+F314)</f>
        <v>1.1989940310561662</v>
      </c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36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0.11495809726716852</v>
      </c>
      <c r="O315" s="227"/>
      <c r="P315" s="225"/>
      <c r="Q315" s="226"/>
      <c r="R315" s="228"/>
      <c r="S315" s="75">
        <f>IF(Q314=0,0,S314/Q314)</f>
        <v>0.18070550751874298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36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36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36"/>
        <v>PiècesSalaires cadres</v>
      </c>
      <c r="B318" s="11" t="s">
        <v>98</v>
      </c>
      <c r="C318" s="102" t="s">
        <v>40</v>
      </c>
      <c r="D318" s="13"/>
      <c r="E318" s="13"/>
      <c r="F318" s="30">
        <f>+SUM(START:END!F318)</f>
        <v>12773.660153256706</v>
      </c>
      <c r="G318" s="41"/>
      <c r="H318" s="13"/>
      <c r="I318" s="30">
        <f>+SUM(START:END!I318)</f>
        <v>0</v>
      </c>
      <c r="J318" s="41"/>
      <c r="K318" s="13"/>
      <c r="L318" s="33">
        <f>+SUM(START:END!L318)</f>
        <v>10489.51</v>
      </c>
      <c r="M318" s="41"/>
      <c r="N318" s="59">
        <f t="shared" ref="N318:N348" si="45">L318-F318</f>
        <v>-2284.1501532567054</v>
      </c>
      <c r="O318" s="41"/>
      <c r="P318" s="13"/>
      <c r="Q318" s="33">
        <f>+SUM(START:END!Q318)</f>
        <v>10973.66</v>
      </c>
      <c r="R318" s="41"/>
      <c r="S318" s="85">
        <f t="shared" ref="S318:S343" si="46">L318-Q318</f>
        <v>-484.14999999999964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36"/>
        <v>PiècesSalaires commis</v>
      </c>
      <c r="B319" s="11" t="s">
        <v>98</v>
      </c>
      <c r="C319" s="103" t="s">
        <v>41</v>
      </c>
      <c r="D319" s="81"/>
      <c r="E319" s="13"/>
      <c r="F319" s="22">
        <f>+SUM(START:END!F319)</f>
        <v>8428.5570881226067</v>
      </c>
      <c r="G319" s="83"/>
      <c r="H319" s="13"/>
      <c r="I319" s="22">
        <f>+SUM(START:END!I319)</f>
        <v>0</v>
      </c>
      <c r="J319" s="41"/>
      <c r="K319" s="13"/>
      <c r="L319" s="33">
        <f>+SUM(START:END!L319)</f>
        <v>8740.14</v>
      </c>
      <c r="M319" s="41"/>
      <c r="N319" s="59">
        <f t="shared" si="45"/>
        <v>311.58291187739269</v>
      </c>
      <c r="O319" s="41"/>
      <c r="P319" s="13"/>
      <c r="Q319" s="33">
        <f>+SUM(START:END!Q319)</f>
        <v>8290.56</v>
      </c>
      <c r="R319" s="41"/>
      <c r="S319" s="85">
        <f t="shared" si="46"/>
        <v>449.57999999999993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36"/>
        <v>PiècesSalaires autres</v>
      </c>
      <c r="B320" s="11" t="s">
        <v>98</v>
      </c>
      <c r="C320" s="102" t="s">
        <v>42</v>
      </c>
      <c r="D320" s="104"/>
      <c r="E320" s="105"/>
      <c r="F320" s="30">
        <f>+SUM(START:END!F320)</f>
        <v>40682.338927203062</v>
      </c>
      <c r="G320" s="106"/>
      <c r="H320" s="105"/>
      <c r="I320" s="30">
        <f>+SUM(START:END!I320)</f>
        <v>0</v>
      </c>
      <c r="J320" s="107"/>
      <c r="K320" s="105"/>
      <c r="L320" s="108">
        <f>+SUM(START:END!L320)</f>
        <v>40735.850000000006</v>
      </c>
      <c r="M320" s="107"/>
      <c r="N320" s="109">
        <f t="shared" si="45"/>
        <v>53.511072796944063</v>
      </c>
      <c r="O320" s="107"/>
      <c r="P320" s="105"/>
      <c r="Q320" s="108">
        <f>+SUM(START:END!Q320)</f>
        <v>38392.04</v>
      </c>
      <c r="R320" s="107"/>
      <c r="S320" s="110">
        <f t="shared" si="46"/>
        <v>2343.8100000000049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>
      <c r="A321" t="str">
        <f t="shared" si="36"/>
        <v>PiècesSalaires spécialistes</v>
      </c>
      <c r="B321" s="11" t="s">
        <v>98</v>
      </c>
      <c r="C321" s="102" t="s">
        <v>43</v>
      </c>
      <c r="D321" s="81"/>
      <c r="E321" s="13"/>
      <c r="F321" s="30">
        <f>+SUM(START:END!F321)</f>
        <v>0</v>
      </c>
      <c r="G321" s="83"/>
      <c r="H321" s="13"/>
      <c r="I321" s="30">
        <f>+SUM(START:END!I321)</f>
        <v>0</v>
      </c>
      <c r="J321" s="41"/>
      <c r="K321" s="13"/>
      <c r="L321" s="33">
        <f>+SUM(START:END!L321)</f>
        <v>0</v>
      </c>
      <c r="M321" s="41"/>
      <c r="N321" s="59">
        <f t="shared" si="45"/>
        <v>0</v>
      </c>
      <c r="O321" s="41"/>
      <c r="P321" s="13"/>
      <c r="Q321" s="33">
        <f>+SUM(START:END!Q321)</f>
        <v>0</v>
      </c>
      <c r="R321" s="41"/>
      <c r="S321" s="85">
        <f t="shared" si="46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 t="shared" si="36"/>
        <v>Pièces[...]</v>
      </c>
      <c r="B322" s="11" t="s">
        <v>98</v>
      </c>
      <c r="C322" s="229" t="s">
        <v>19</v>
      </c>
      <c r="D322" s="81"/>
      <c r="E322" s="13"/>
      <c r="F322" s="30">
        <f>+SUM(START:END!F322)</f>
        <v>0</v>
      </c>
      <c r="G322" s="83"/>
      <c r="H322" s="13"/>
      <c r="I322" s="30">
        <f>+SUM(START:END!I322)</f>
        <v>0</v>
      </c>
      <c r="J322" s="41"/>
      <c r="K322" s="13"/>
      <c r="L322" s="33">
        <f>+SUM(START:END!L322)</f>
        <v>0</v>
      </c>
      <c r="M322" s="41"/>
      <c r="N322" s="59">
        <f t="shared" si="45"/>
        <v>0</v>
      </c>
      <c r="O322" s="41"/>
      <c r="P322" s="13"/>
      <c r="Q322" s="33">
        <f>+SUM(START:END!Q322)</f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 t="shared" si="36"/>
        <v>Pièces[...]</v>
      </c>
      <c r="B323" s="11" t="s">
        <v>98</v>
      </c>
      <c r="C323" s="229" t="s">
        <v>19</v>
      </c>
      <c r="D323" s="81"/>
      <c r="E323" s="13"/>
      <c r="F323" s="30">
        <f>+SUM(START:END!F323)</f>
        <v>0</v>
      </c>
      <c r="G323" s="83"/>
      <c r="H323" s="13"/>
      <c r="I323" s="30">
        <f>+SUM(START:END!I323)</f>
        <v>0</v>
      </c>
      <c r="J323" s="41"/>
      <c r="K323" s="13"/>
      <c r="L323" s="33">
        <f>+SUM(START:END!L323)</f>
        <v>0</v>
      </c>
      <c r="M323" s="41"/>
      <c r="N323" s="59">
        <f t="shared" si="45"/>
        <v>0</v>
      </c>
      <c r="O323" s="41"/>
      <c r="P323" s="13"/>
      <c r="Q323" s="33">
        <f>+SUM(START:END!Q323)</f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 t="shared" si="36"/>
        <v>Pièces[...]</v>
      </c>
      <c r="B324" s="11" t="s">
        <v>98</v>
      </c>
      <c r="C324" s="229" t="s">
        <v>19</v>
      </c>
      <c r="D324" s="81"/>
      <c r="E324" s="13"/>
      <c r="F324" s="30">
        <f>+SUM(START:END!F324)</f>
        <v>0</v>
      </c>
      <c r="G324" s="83"/>
      <c r="H324" s="13"/>
      <c r="I324" s="30">
        <f>+SUM(START:END!I324)</f>
        <v>0</v>
      </c>
      <c r="J324" s="41"/>
      <c r="K324" s="13"/>
      <c r="L324" s="33">
        <f>+SUM(START:END!L324)</f>
        <v>0</v>
      </c>
      <c r="M324" s="41"/>
      <c r="N324" s="59">
        <f t="shared" si="45"/>
        <v>0</v>
      </c>
      <c r="O324" s="41"/>
      <c r="P324" s="13"/>
      <c r="Q324" s="33">
        <f>+SUM(START:END!Q324)</f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si="36"/>
        <v>PiècesSalaires en absences</v>
      </c>
      <c r="B325" s="11" t="s">
        <v>98</v>
      </c>
      <c r="C325" s="103" t="s">
        <v>44</v>
      </c>
      <c r="D325" s="81"/>
      <c r="E325" s="13"/>
      <c r="F325" s="22">
        <f>+SUM(START:END!F325)</f>
        <v>8197.2382542691157</v>
      </c>
      <c r="G325" s="83"/>
      <c r="H325" s="13"/>
      <c r="I325" s="22">
        <f>+SUM(START:END!I325)</f>
        <v>0</v>
      </c>
      <c r="J325" s="41"/>
      <c r="K325" s="13"/>
      <c r="L325" s="33">
        <f>+SUM(START:END!L325)</f>
        <v>7873.61</v>
      </c>
      <c r="M325" s="41"/>
      <c r="N325" s="59">
        <f t="shared" si="45"/>
        <v>-323.62825426911604</v>
      </c>
      <c r="O325" s="41"/>
      <c r="P325" s="13"/>
      <c r="Q325" s="33">
        <f>+SUM(START:END!Q325)</f>
        <v>8140.4</v>
      </c>
      <c r="R325" s="41"/>
      <c r="S325" s="85">
        <f t="shared" si="46"/>
        <v>-266.78999999999996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36"/>
        <v>PiècesDéduction à la source</v>
      </c>
      <c r="B326" s="11" t="s">
        <v>98</v>
      </c>
      <c r="C326" s="102" t="s">
        <v>45</v>
      </c>
      <c r="D326" s="104"/>
      <c r="E326" s="105"/>
      <c r="F326" s="30">
        <f>+SUM(START:END!F326)</f>
        <v>9464.377788436941</v>
      </c>
      <c r="G326" s="106"/>
      <c r="H326" s="105"/>
      <c r="I326" s="30">
        <f>+SUM(START:END!I326)</f>
        <v>0</v>
      </c>
      <c r="J326" s="107"/>
      <c r="K326" s="105"/>
      <c r="L326" s="108">
        <f>+SUM(START:END!L326)</f>
        <v>10458.450000000001</v>
      </c>
      <c r="M326" s="107"/>
      <c r="N326" s="109">
        <f t="shared" si="45"/>
        <v>994.07221156305968</v>
      </c>
      <c r="O326" s="107"/>
      <c r="P326" s="105"/>
      <c r="Q326" s="108">
        <f>+SUM(START:END!Q326)</f>
        <v>10799.050000000001</v>
      </c>
      <c r="R326" s="107"/>
      <c r="S326" s="110">
        <f t="shared" si="46"/>
        <v>-340.60000000000036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36"/>
        <v>PiècesBénéfices marginaux</v>
      </c>
      <c r="B327" s="11" t="s">
        <v>98</v>
      </c>
      <c r="C327" s="102" t="s">
        <v>46</v>
      </c>
      <c r="D327" s="81"/>
      <c r="E327" s="13"/>
      <c r="F327" s="30">
        <f>+SUM(START:END!F327)</f>
        <v>4925.3072475095796</v>
      </c>
      <c r="G327" s="83"/>
      <c r="H327" s="13"/>
      <c r="I327" s="30">
        <f>+SUM(START:END!I327)</f>
        <v>0</v>
      </c>
      <c r="J327" s="41"/>
      <c r="K327" s="13"/>
      <c r="L327" s="33">
        <f>+SUM(START:END!L327)</f>
        <v>5176.24</v>
      </c>
      <c r="M327" s="41"/>
      <c r="N327" s="59">
        <f t="shared" si="45"/>
        <v>250.93275249042017</v>
      </c>
      <c r="O327" s="41"/>
      <c r="P327" s="13"/>
      <c r="Q327" s="33">
        <f>+SUM(START:END!Q327)</f>
        <v>4944.16</v>
      </c>
      <c r="R327" s="41"/>
      <c r="S327" s="85">
        <f t="shared" si="46"/>
        <v>232.07999999999993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36"/>
        <v>PiècesCsst</v>
      </c>
      <c r="B328" s="11" t="s">
        <v>98</v>
      </c>
      <c r="C328" s="102" t="s">
        <v>47</v>
      </c>
      <c r="D328" s="81"/>
      <c r="E328" s="13"/>
      <c r="F328" s="30">
        <f>+SUM(START:END!F328)</f>
        <v>1055.4229816091954</v>
      </c>
      <c r="G328" s="83"/>
      <c r="H328" s="13"/>
      <c r="I328" s="30">
        <f>+SUM(START:END!I328)</f>
        <v>0</v>
      </c>
      <c r="J328" s="41"/>
      <c r="K328" s="13"/>
      <c r="L328" s="33">
        <f>+SUM(START:END!L328)</f>
        <v>1812.7800000000002</v>
      </c>
      <c r="M328" s="467"/>
      <c r="N328" s="146">
        <f t="shared" si="45"/>
        <v>757.3570183908048</v>
      </c>
      <c r="O328" s="41"/>
      <c r="P328" s="13"/>
      <c r="Q328" s="33">
        <f>+SUM(START:END!Q328)</f>
        <v>993.31999999999994</v>
      </c>
      <c r="R328" s="41"/>
      <c r="S328" s="85">
        <f t="shared" si="46"/>
        <v>819.46000000000026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36"/>
        <v>Pièces[...]</v>
      </c>
      <c r="B329" s="11" t="s">
        <v>98</v>
      </c>
      <c r="C329" s="229" t="s">
        <v>19</v>
      </c>
      <c r="D329" s="81"/>
      <c r="E329" s="13"/>
      <c r="F329" s="30">
        <f>+SUM(START:END!F329)</f>
        <v>0</v>
      </c>
      <c r="G329" s="83"/>
      <c r="H329" s="13"/>
      <c r="I329" s="30">
        <f>+SUM(START:END!I329)</f>
        <v>0</v>
      </c>
      <c r="J329" s="41"/>
      <c r="K329" s="13"/>
      <c r="L329" s="33">
        <f>+SUM(START:END!L329)</f>
        <v>0</v>
      </c>
      <c r="M329" s="41"/>
      <c r="N329" s="59">
        <f>L329-F329</f>
        <v>0</v>
      </c>
      <c r="O329" s="41"/>
      <c r="P329" s="13"/>
      <c r="Q329" s="33">
        <f>+SUM(START:END!Q329)</f>
        <v>0</v>
      </c>
      <c r="R329" s="41"/>
      <c r="S329" s="85">
        <f>L329-Q329</f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36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0.29001278494738381</v>
      </c>
      <c r="F330" s="96">
        <f>+SUM(F318:F329)</f>
        <v>85526.902440407226</v>
      </c>
      <c r="G330" s="97" t="s">
        <v>38</v>
      </c>
      <c r="H330" s="95" t="e">
        <f>I330/I$314</f>
        <v>#DIV/0!</v>
      </c>
      <c r="I330" s="96">
        <f>+SUM(I318:I329)</f>
        <v>0</v>
      </c>
      <c r="J330" s="97" t="s">
        <v>38</v>
      </c>
      <c r="K330" s="95">
        <f>L330/L$314</f>
        <v>0.25938004072512055</v>
      </c>
      <c r="L330" s="96">
        <f>+SUM(L318:L329)</f>
        <v>85286.58</v>
      </c>
      <c r="M330" s="147"/>
      <c r="N330" s="113">
        <f t="shared" si="45"/>
        <v>-240.32244040722435</v>
      </c>
      <c r="O330" s="97" t="s">
        <v>38</v>
      </c>
      <c r="P330" s="95">
        <f>Q330/Q$314</f>
        <v>0.2963644280484577</v>
      </c>
      <c r="Q330" s="96">
        <f>+SUM(Q318:Q329)</f>
        <v>82533.190000000017</v>
      </c>
      <c r="R330" s="147"/>
      <c r="S330" s="114">
        <f t="shared" si="46"/>
        <v>2753.3899999999849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36"/>
        <v>PiècesPublicité 2</v>
      </c>
      <c r="B331" s="11" t="s">
        <v>98</v>
      </c>
      <c r="C331" s="211" t="s">
        <v>49</v>
      </c>
      <c r="D331" s="81"/>
      <c r="E331" s="13"/>
      <c r="F331" s="30">
        <f>+SUM(START:END!F331)</f>
        <v>8762.2596034238504</v>
      </c>
      <c r="G331" s="83"/>
      <c r="H331" s="13"/>
      <c r="I331" s="30">
        <f>+SUM(START:END!I331)</f>
        <v>0</v>
      </c>
      <c r="J331" s="41"/>
      <c r="K331" s="13"/>
      <c r="L331" s="33">
        <f>+SUM(START:END!L331)</f>
        <v>10188.32</v>
      </c>
      <c r="M331" s="41"/>
      <c r="N331" s="59">
        <f t="shared" si="45"/>
        <v>1426.0603965761493</v>
      </c>
      <c r="O331" s="41"/>
      <c r="P331" s="13"/>
      <c r="Q331" s="33">
        <f>+SUM(START:END!Q331)</f>
        <v>9248.9699999999993</v>
      </c>
      <c r="R331" s="41"/>
      <c r="S331" s="85">
        <f t="shared" si="46"/>
        <v>939.35000000000036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36"/>
        <v>PiècesService gratuit 2</v>
      </c>
      <c r="B332" s="11" t="s">
        <v>98</v>
      </c>
      <c r="C332" s="102" t="s">
        <v>50</v>
      </c>
      <c r="D332" s="81"/>
      <c r="E332" s="13"/>
      <c r="F332" s="30">
        <f>+SUM(START:END!F332)</f>
        <v>1725</v>
      </c>
      <c r="G332" s="83"/>
      <c r="H332" s="13"/>
      <c r="I332" s="30">
        <f>+SUM(START:END!I332)</f>
        <v>0</v>
      </c>
      <c r="J332" s="41"/>
      <c r="K332" s="13"/>
      <c r="L332" s="59">
        <f>+SUM(START:END!L332)</f>
        <v>939.05</v>
      </c>
      <c r="M332" s="41"/>
      <c r="N332" s="59">
        <f t="shared" si="45"/>
        <v>-785.95</v>
      </c>
      <c r="O332" s="41"/>
      <c r="P332" s="13"/>
      <c r="Q332" s="33">
        <f>+SUM(START:END!Q332)</f>
        <v>3380.5899999999992</v>
      </c>
      <c r="R332" s="41"/>
      <c r="S332" s="85">
        <f t="shared" si="46"/>
        <v>-2441.5399999999991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36"/>
        <v>PiècesFrais véhicules de cie</v>
      </c>
      <c r="B333" s="11" t="s">
        <v>98</v>
      </c>
      <c r="C333" s="103" t="s">
        <v>51</v>
      </c>
      <c r="D333" s="87"/>
      <c r="E333" s="111"/>
      <c r="F333" s="22">
        <f>+SUM(START:END!F333)</f>
        <v>16861.8</v>
      </c>
      <c r="G333" s="89"/>
      <c r="H333" s="111"/>
      <c r="I333" s="22">
        <f>+SUM(START:END!I333)</f>
        <v>0</v>
      </c>
      <c r="J333" s="23"/>
      <c r="K333" s="111"/>
      <c r="L333" s="91">
        <f>+SUM(START:END!L333)</f>
        <v>16684.579999999998</v>
      </c>
      <c r="M333" s="23"/>
      <c r="N333" s="91">
        <f t="shared" si="45"/>
        <v>-177.22000000000116</v>
      </c>
      <c r="O333" s="23"/>
      <c r="P333" s="111"/>
      <c r="Q333" s="33">
        <f>+SUM(START:END!Q333)</f>
        <v>13661.04</v>
      </c>
      <c r="R333" s="23"/>
      <c r="S333" s="92">
        <f t="shared" si="46"/>
        <v>3023.5399999999972</v>
      </c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36"/>
        <v>PiècesInformatique</v>
      </c>
      <c r="B334" s="11" t="s">
        <v>98</v>
      </c>
      <c r="C334" s="102" t="s">
        <v>52</v>
      </c>
      <c r="D334" s="81"/>
      <c r="E334" s="13"/>
      <c r="F334" s="30">
        <f>+SUM(START:END!F334)</f>
        <v>5480.4000000000005</v>
      </c>
      <c r="G334" s="83"/>
      <c r="H334" s="13"/>
      <c r="I334" s="30">
        <f>+SUM(START:END!I334)</f>
        <v>0</v>
      </c>
      <c r="J334" s="41"/>
      <c r="K334" s="13"/>
      <c r="L334" s="108">
        <f>+SUM(START:END!L334)</f>
        <v>6019.38</v>
      </c>
      <c r="M334" s="41"/>
      <c r="N334" s="59">
        <f t="shared" si="45"/>
        <v>538.97999999999956</v>
      </c>
      <c r="O334" s="41"/>
      <c r="P334" s="13"/>
      <c r="Q334" s="108">
        <f>+SUM(START:END!Q334)</f>
        <v>5316.35</v>
      </c>
      <c r="R334" s="41"/>
      <c r="S334" s="85">
        <f t="shared" si="46"/>
        <v>703.02999999999975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36"/>
        <v>PiècesFrais de déplacement</v>
      </c>
      <c r="B335" s="11" t="s">
        <v>98</v>
      </c>
      <c r="C335" s="102" t="s">
        <v>53</v>
      </c>
      <c r="D335" s="81"/>
      <c r="E335" s="13"/>
      <c r="F335" s="30">
        <f>+SUM(START:END!F335)</f>
        <v>1100</v>
      </c>
      <c r="G335" s="83"/>
      <c r="H335" s="13"/>
      <c r="I335" s="30">
        <f>+SUM(START:END!I335)</f>
        <v>0</v>
      </c>
      <c r="J335" s="41"/>
      <c r="K335" s="13"/>
      <c r="L335" s="33">
        <f>+SUM(START:END!L335)</f>
        <v>905.5</v>
      </c>
      <c r="M335" s="41"/>
      <c r="N335" s="59">
        <f t="shared" si="45"/>
        <v>-194.5</v>
      </c>
      <c r="O335" s="41"/>
      <c r="P335" s="13"/>
      <c r="Q335" s="33">
        <f>+SUM(START:END!Q335)</f>
        <v>941.02</v>
      </c>
      <c r="R335" s="41"/>
      <c r="S335" s="85">
        <f t="shared" si="46"/>
        <v>-35.519999999999982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36"/>
        <v>PiècesServices extérieurs</v>
      </c>
      <c r="B336" s="11" t="s">
        <v>98</v>
      </c>
      <c r="C336" s="230" t="s">
        <v>54</v>
      </c>
      <c r="D336" s="87"/>
      <c r="E336" s="111"/>
      <c r="F336" s="22">
        <f>+SUM(START:END!F336)</f>
        <v>6069.6</v>
      </c>
      <c r="G336" s="89"/>
      <c r="H336" s="111"/>
      <c r="I336" s="22">
        <f>+SUM(START:END!I336)</f>
        <v>0</v>
      </c>
      <c r="J336" s="23"/>
      <c r="K336" s="111"/>
      <c r="L336" s="48">
        <f>+SUM(START:END!L336)</f>
        <v>6839.3600000000006</v>
      </c>
      <c r="M336" s="23"/>
      <c r="N336" s="91">
        <f t="shared" si="45"/>
        <v>769.76000000000022</v>
      </c>
      <c r="O336" s="23"/>
      <c r="P336" s="111"/>
      <c r="Q336" s="48">
        <f>+SUM(START:END!Q336)</f>
        <v>5738.86</v>
      </c>
      <c r="R336" s="23"/>
      <c r="S336" s="92">
        <f t="shared" si="46"/>
        <v>1100.5000000000009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>
      <c r="A337" t="str">
        <f t="shared" si="36"/>
        <v>PiècesFournitures d'atelier</v>
      </c>
      <c r="B337" s="11" t="s">
        <v>98</v>
      </c>
      <c r="C337" s="102" t="s">
        <v>93</v>
      </c>
      <c r="D337" s="81"/>
      <c r="E337" s="13"/>
      <c r="F337" s="30">
        <f>+SUM(START:END!F337)</f>
        <v>0</v>
      </c>
      <c r="G337" s="83"/>
      <c r="H337" s="13"/>
      <c r="I337" s="30">
        <f>+SUM(START:END!I337)</f>
        <v>0</v>
      </c>
      <c r="J337" s="41"/>
      <c r="K337" s="13"/>
      <c r="L337" s="33">
        <f>+SUM(START:END!L337)</f>
        <v>0</v>
      </c>
      <c r="M337" s="41"/>
      <c r="N337" s="59">
        <f t="shared" si="45"/>
        <v>0</v>
      </c>
      <c r="O337" s="41"/>
      <c r="P337" s="13"/>
      <c r="Q337" s="33">
        <f>+SUM(START:END!Q337)</f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si="36"/>
        <v>PiècesFournitures autres</v>
      </c>
      <c r="B338" s="11" t="s">
        <v>98</v>
      </c>
      <c r="C338" s="102" t="s">
        <v>55</v>
      </c>
      <c r="D338" s="81"/>
      <c r="E338" s="13"/>
      <c r="F338" s="30">
        <f>+SUM(START:END!F338)</f>
        <v>30</v>
      </c>
      <c r="G338" s="83"/>
      <c r="H338" s="13"/>
      <c r="I338" s="30">
        <f>+SUM(START:END!I338)</f>
        <v>0</v>
      </c>
      <c r="J338" s="41"/>
      <c r="K338" s="13"/>
      <c r="L338" s="33">
        <f>+SUM(START:END!L338)</f>
        <v>61.61</v>
      </c>
      <c r="M338" s="41"/>
      <c r="N338" s="59">
        <f t="shared" si="45"/>
        <v>31.61</v>
      </c>
      <c r="O338" s="41"/>
      <c r="P338" s="13"/>
      <c r="Q338" s="33">
        <f>+SUM(START:END!Q338)</f>
        <v>0</v>
      </c>
      <c r="R338" s="41"/>
      <c r="S338" s="85">
        <f t="shared" si="46"/>
        <v>61.61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36"/>
        <v>PiècesUniformes</v>
      </c>
      <c r="B339" s="11" t="s">
        <v>98</v>
      </c>
      <c r="C339" s="102" t="s">
        <v>56</v>
      </c>
      <c r="D339" s="81"/>
      <c r="E339" s="13"/>
      <c r="F339" s="30">
        <f>+SUM(START:END!F339)</f>
        <v>60</v>
      </c>
      <c r="G339" s="83"/>
      <c r="H339" s="13"/>
      <c r="I339" s="30">
        <f>+SUM(START:END!I339)</f>
        <v>0</v>
      </c>
      <c r="J339" s="41"/>
      <c r="K339" s="13"/>
      <c r="L339" s="33">
        <f>+SUM(START:END!L339)</f>
        <v>132</v>
      </c>
      <c r="M339" s="41"/>
      <c r="N339" s="59">
        <f t="shared" si="45"/>
        <v>72</v>
      </c>
      <c r="O339" s="41"/>
      <c r="P339" s="13"/>
      <c r="Q339" s="33">
        <f>+SUM(START:END!Q339)</f>
        <v>34.700000000000003</v>
      </c>
      <c r="R339" s="41"/>
      <c r="S339" s="85">
        <f t="shared" si="46"/>
        <v>97.3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36"/>
        <v>PiècesPapeterie</v>
      </c>
      <c r="B340" s="11" t="s">
        <v>98</v>
      </c>
      <c r="C340" s="102" t="s">
        <v>57</v>
      </c>
      <c r="D340" s="81"/>
      <c r="E340" s="13"/>
      <c r="F340" s="30">
        <f>+SUM(START:END!F340)</f>
        <v>945</v>
      </c>
      <c r="G340" s="83"/>
      <c r="H340" s="13"/>
      <c r="I340" s="30">
        <f>+SUM(START:END!I340)</f>
        <v>0</v>
      </c>
      <c r="J340" s="41"/>
      <c r="K340" s="13"/>
      <c r="L340" s="32">
        <f>+SUM(START:END!L340)</f>
        <v>1077.02</v>
      </c>
      <c r="M340" s="41"/>
      <c r="N340" s="59">
        <f t="shared" si="45"/>
        <v>132.01999999999998</v>
      </c>
      <c r="O340" s="41"/>
      <c r="P340" s="13"/>
      <c r="Q340" s="32">
        <f>+SUM(START:END!Q340)</f>
        <v>712.85</v>
      </c>
      <c r="R340" s="41"/>
      <c r="S340" s="85">
        <f t="shared" si="46"/>
        <v>364.16999999999996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36"/>
        <v>PiècesTéléphone</v>
      </c>
      <c r="B341" s="11" t="s">
        <v>98</v>
      </c>
      <c r="C341" s="102" t="s">
        <v>58</v>
      </c>
      <c r="D341" s="81"/>
      <c r="E341" s="13"/>
      <c r="F341" s="30">
        <f>+SUM(START:END!F341)</f>
        <v>355.20000000000005</v>
      </c>
      <c r="G341" s="83"/>
      <c r="H341" s="13"/>
      <c r="I341" s="30">
        <f>+SUM(START:END!I341)</f>
        <v>0</v>
      </c>
      <c r="J341" s="41"/>
      <c r="K341" s="13"/>
      <c r="L341" s="33">
        <f>+SUM(START:END!L341)</f>
        <v>312.18</v>
      </c>
      <c r="M341" s="41"/>
      <c r="N341" s="59">
        <f t="shared" si="45"/>
        <v>-43.020000000000039</v>
      </c>
      <c r="O341" s="41"/>
      <c r="P341" s="13"/>
      <c r="Q341" s="33">
        <f>+SUM(START:END!Q341)</f>
        <v>393.49</v>
      </c>
      <c r="R341" s="41"/>
      <c r="S341" s="85">
        <f t="shared" si="46"/>
        <v>-81.31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36"/>
        <v>PiècesFrais postaux</v>
      </c>
      <c r="B342" s="11" t="s">
        <v>98</v>
      </c>
      <c r="C342" s="102" t="s">
        <v>59</v>
      </c>
      <c r="D342" s="81"/>
      <c r="E342" s="13"/>
      <c r="F342" s="30">
        <f>+SUM(START:END!F342)</f>
        <v>1770</v>
      </c>
      <c r="G342" s="83"/>
      <c r="H342" s="13"/>
      <c r="I342" s="30">
        <f>+SUM(START:END!I342)</f>
        <v>0</v>
      </c>
      <c r="J342" s="41"/>
      <c r="K342" s="13"/>
      <c r="L342" s="33">
        <f>+SUM(START:END!L342)</f>
        <v>1977.58</v>
      </c>
      <c r="M342" s="41"/>
      <c r="N342" s="59">
        <f t="shared" si="45"/>
        <v>207.57999999999993</v>
      </c>
      <c r="O342" s="41"/>
      <c r="P342" s="13"/>
      <c r="Q342" s="33">
        <f>+SUM(START:END!Q342)</f>
        <v>545.96999999999991</v>
      </c>
      <c r="R342" s="41"/>
      <c r="S342" s="85">
        <f t="shared" si="46"/>
        <v>1431.6100000000001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36"/>
        <v>PiècesDivers</v>
      </c>
      <c r="B343" s="11" t="s">
        <v>98</v>
      </c>
      <c r="C343" s="102" t="s">
        <v>60</v>
      </c>
      <c r="D343" s="81"/>
      <c r="E343" s="13"/>
      <c r="F343" s="30">
        <f>+SUM(START:END!F343)</f>
        <v>1044.6000000000001</v>
      </c>
      <c r="G343" s="83"/>
      <c r="H343" s="13"/>
      <c r="I343" s="30">
        <f>+SUM(START:END!I343)</f>
        <v>0</v>
      </c>
      <c r="J343" s="41"/>
      <c r="K343" s="13"/>
      <c r="L343" s="33">
        <f>+SUM(START:END!L343)</f>
        <v>1500.59</v>
      </c>
      <c r="M343" s="41"/>
      <c r="N343" s="59">
        <f t="shared" si="45"/>
        <v>455.98999999999978</v>
      </c>
      <c r="O343" s="41"/>
      <c r="P343" s="13"/>
      <c r="Q343" s="33">
        <f>+SUM(START:END!Q343)</f>
        <v>948.59999999999991</v>
      </c>
      <c r="R343" s="41"/>
      <c r="S343" s="85">
        <f t="shared" si="46"/>
        <v>551.99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 t="shared" si="36"/>
        <v>PiècesFormation</v>
      </c>
      <c r="B344" s="11" t="s">
        <v>98</v>
      </c>
      <c r="C344" s="102" t="s">
        <v>61</v>
      </c>
      <c r="D344" s="81"/>
      <c r="E344" s="13"/>
      <c r="F344" s="30">
        <f>+SUM(START:END!F344)</f>
        <v>769.24467999999979</v>
      </c>
      <c r="G344" s="83"/>
      <c r="H344" s="13"/>
      <c r="I344" s="30">
        <f>+SUM(START:END!I344)</f>
        <v>0</v>
      </c>
      <c r="J344" s="41"/>
      <c r="K344" s="13"/>
      <c r="L344" s="59">
        <f>+SUM(START:END!L344)</f>
        <v>506.28999999999996</v>
      </c>
      <c r="M344" s="41"/>
      <c r="N344" s="59">
        <f t="shared" si="45"/>
        <v>-262.95467999999983</v>
      </c>
      <c r="O344" s="41"/>
      <c r="P344" s="13"/>
      <c r="Q344" s="33">
        <f>+SUM(START:END!Q344)</f>
        <v>-288.31000000000006</v>
      </c>
      <c r="R344" s="41"/>
      <c r="S344" s="85">
        <f>L344-Q344</f>
        <v>794.6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 t="shared" si="36"/>
        <v>PiècesFrais bancaires</v>
      </c>
      <c r="B345" s="11" t="s">
        <v>98</v>
      </c>
      <c r="C345" s="102" t="s">
        <v>62</v>
      </c>
      <c r="D345" s="81"/>
      <c r="E345" s="13"/>
      <c r="F345" s="30">
        <f>+SUM(START:END!F345)</f>
        <v>5011.3142978603182</v>
      </c>
      <c r="G345" s="83"/>
      <c r="H345" s="13"/>
      <c r="I345" s="30">
        <f>+SUM(START:END!I345)</f>
        <v>0</v>
      </c>
      <c r="J345" s="41"/>
      <c r="K345" s="13"/>
      <c r="L345" s="32">
        <f>+SUM(START:END!L345)</f>
        <v>5110.43</v>
      </c>
      <c r="M345" s="41"/>
      <c r="N345" s="59">
        <f t="shared" si="45"/>
        <v>99.115702139682071</v>
      </c>
      <c r="O345" s="41"/>
      <c r="P345" s="13"/>
      <c r="Q345" s="33">
        <f>+SUM(START:END!Q345)</f>
        <v>4870.5599999999995</v>
      </c>
      <c r="R345" s="41"/>
      <c r="S345" s="85">
        <f>L345-Q345</f>
        <v>239.8700000000008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 t="shared" si="36"/>
        <v>Pièces[...]</v>
      </c>
      <c r="B346" s="11" t="s">
        <v>98</v>
      </c>
      <c r="C346" s="102" t="s">
        <v>19</v>
      </c>
      <c r="D346" s="81"/>
      <c r="E346" s="13"/>
      <c r="F346" s="30">
        <f>+SUM(START:END!F346)</f>
        <v>0</v>
      </c>
      <c r="G346" s="83"/>
      <c r="H346" s="13"/>
      <c r="I346" s="30">
        <f>+SUM(START:END!I346)</f>
        <v>0</v>
      </c>
      <c r="J346" s="41"/>
      <c r="K346" s="13"/>
      <c r="L346" s="33">
        <f>+SUM(START:END!L346)</f>
        <v>0</v>
      </c>
      <c r="M346" s="41"/>
      <c r="N346" s="59">
        <f t="shared" si="45"/>
        <v>0</v>
      </c>
      <c r="O346" s="41"/>
      <c r="P346" s="13"/>
      <c r="Q346" s="33">
        <f>+SUM(START:END!Q346)</f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 t="shared" si="36"/>
        <v>Pièces[...]</v>
      </c>
      <c r="B347" s="11" t="s">
        <v>98</v>
      </c>
      <c r="C347" s="102" t="s">
        <v>19</v>
      </c>
      <c r="D347" s="81"/>
      <c r="E347" s="13"/>
      <c r="F347" s="30">
        <f>+SUM(START:END!F347)</f>
        <v>0</v>
      </c>
      <c r="G347" s="83"/>
      <c r="H347" s="13"/>
      <c r="I347" s="30">
        <f>+SUM(START:END!I347)</f>
        <v>0</v>
      </c>
      <c r="J347" s="41"/>
      <c r="K347" s="13"/>
      <c r="L347" s="33">
        <f>+SUM(START:END!L347)</f>
        <v>0</v>
      </c>
      <c r="M347" s="41"/>
      <c r="N347" s="59">
        <f t="shared" si="45"/>
        <v>0</v>
      </c>
      <c r="O347" s="41"/>
      <c r="P347" s="13"/>
      <c r="Q347" s="33">
        <f>+SUM(START:END!Q347)</f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 t="shared" si="36"/>
        <v>Pièces[...]</v>
      </c>
      <c r="B348" s="11" t="s">
        <v>98</v>
      </c>
      <c r="C348" s="102" t="s">
        <v>19</v>
      </c>
      <c r="D348" s="81"/>
      <c r="E348" s="13"/>
      <c r="F348" s="30">
        <f>+SUM(START:END!F348)</f>
        <v>0</v>
      </c>
      <c r="G348" s="83"/>
      <c r="H348" s="13"/>
      <c r="I348" s="30">
        <f>+SUM(START:END!I348)</f>
        <v>0</v>
      </c>
      <c r="J348" s="41"/>
      <c r="K348" s="13"/>
      <c r="L348" s="33">
        <f>+SUM(START:END!L348)</f>
        <v>0</v>
      </c>
      <c r="M348" s="41"/>
      <c r="N348" s="59">
        <f t="shared" si="45"/>
        <v>0</v>
      </c>
      <c r="O348" s="41"/>
      <c r="P348" s="13"/>
      <c r="Q348" s="33">
        <f>+SUM(START:END!Q348)</f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0.16949193789444761</v>
      </c>
      <c r="F349" s="96">
        <f>+SUM(F331:F348)</f>
        <v>49984.418581284168</v>
      </c>
      <c r="G349" s="97" t="s">
        <v>38</v>
      </c>
      <c r="H349" s="95" t="e">
        <f>I349/I$314</f>
        <v>#DIV/0!</v>
      </c>
      <c r="I349" s="96">
        <f>+SUM(I331:I348)</f>
        <v>0</v>
      </c>
      <c r="J349" s="97" t="s">
        <v>38</v>
      </c>
      <c r="K349" s="95">
        <f>L349/L$314</f>
        <v>0.15891850882338074</v>
      </c>
      <c r="L349" s="96">
        <f>+SUM(L331:L348)</f>
        <v>52253.889999999992</v>
      </c>
      <c r="M349" s="100"/>
      <c r="N349" s="96">
        <f>+SUM(N331:N348)</f>
        <v>2269.4714187158297</v>
      </c>
      <c r="O349" s="97" t="s">
        <v>38</v>
      </c>
      <c r="P349" s="95">
        <f>Q349/Q$314</f>
        <v>0.1634005837575449</v>
      </c>
      <c r="Q349" s="96">
        <f>+SUM(Q331:Q348)</f>
        <v>45504.689999999988</v>
      </c>
      <c r="R349" s="100"/>
      <c r="S349" s="101">
        <f>+SUM(S331:S348)</f>
        <v>6749.2000000000007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0.45950472284183141</v>
      </c>
      <c r="F351" s="96">
        <f>F330+F349</f>
        <v>135511.3210216914</v>
      </c>
      <c r="G351" s="97" t="s">
        <v>38</v>
      </c>
      <c r="H351" s="95" t="e">
        <f>I351/I$314</f>
        <v>#DIV/0!</v>
      </c>
      <c r="I351" s="96">
        <f>I330+I349</f>
        <v>0</v>
      </c>
      <c r="J351" s="97" t="s">
        <v>38</v>
      </c>
      <c r="K351" s="95">
        <f>L351/L$314</f>
        <v>0.41829854954850132</v>
      </c>
      <c r="L351" s="96">
        <f>L330+L349</f>
        <v>137540.47</v>
      </c>
      <c r="M351" s="100"/>
      <c r="N351" s="113">
        <f>L351-F351</f>
        <v>2029.1489783085999</v>
      </c>
      <c r="O351" s="97" t="s">
        <v>38</v>
      </c>
      <c r="P351" s="95">
        <f>Q351/Q$314</f>
        <v>0.4597650118060026</v>
      </c>
      <c r="Q351" s="96">
        <f>Q330+Q349</f>
        <v>128037.88</v>
      </c>
      <c r="R351" s="100"/>
      <c r="S351" s="114">
        <f>L351-Q351</f>
        <v>9502.5899999999965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>
        <f>L352-F352</f>
        <v>0</v>
      </c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159396.03092806533</v>
      </c>
      <c r="G353" s="153"/>
      <c r="H353" s="125"/>
      <c r="I353" s="127">
        <f>I314-I351</f>
        <v>0</v>
      </c>
      <c r="J353" s="154"/>
      <c r="K353" s="126"/>
      <c r="L353" s="127">
        <f>L314-L351</f>
        <v>191268.86999999997</v>
      </c>
      <c r="M353" s="154"/>
      <c r="N353" s="127">
        <f>L353-F353</f>
        <v>31872.839071934635</v>
      </c>
      <c r="O353" s="154"/>
      <c r="P353" s="126"/>
      <c r="Q353" s="127">
        <f>Q314-Q351</f>
        <v>150447.59999999934</v>
      </c>
      <c r="R353" s="154"/>
      <c r="S353" s="129">
        <f>L353-Q353</f>
        <v>40821.27000000063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  Q2 2025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507" t="s">
        <v>5</v>
      </c>
      <c r="E358" s="508"/>
      <c r="F358" s="509"/>
      <c r="G358" s="510" t="s">
        <v>71</v>
      </c>
      <c r="H358" s="508"/>
      <c r="I358" s="509"/>
      <c r="J358" s="510" t="s">
        <v>7</v>
      </c>
      <c r="K358" s="508"/>
      <c r="L358" s="509"/>
      <c r="M358" s="510"/>
      <c r="N358" s="509"/>
      <c r="O358" s="507" t="s">
        <v>8</v>
      </c>
      <c r="P358" s="508"/>
      <c r="Q358" s="509"/>
      <c r="R358" s="510" t="s">
        <v>9</v>
      </c>
      <c r="S358" s="514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47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 t="s">
        <v>79</v>
      </c>
      <c r="H359" s="231" t="s">
        <v>99</v>
      </c>
      <c r="I359" s="232" t="s">
        <v>12</v>
      </c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47"/>
        <v>BoutiqueBoutique</v>
      </c>
      <c r="B360" s="11" t="s">
        <v>114</v>
      </c>
      <c r="C360" s="62" t="s">
        <v>114</v>
      </c>
      <c r="D360" s="234">
        <f>+SUM(START:END!D360)</f>
        <v>0</v>
      </c>
      <c r="E360" s="235">
        <f>IFERROR(F360/D360,0)</f>
        <v>0</v>
      </c>
      <c r="F360" s="236">
        <f>+SUM(START:END!F360)</f>
        <v>0</v>
      </c>
      <c r="G360" s="234">
        <f>+SUM(START:END!G360)</f>
        <v>0</v>
      </c>
      <c r="H360" s="235">
        <f>IFERROR(I360/G360,0)</f>
        <v>0</v>
      </c>
      <c r="I360" s="234">
        <f>+SUM(START:END!I360)</f>
        <v>0</v>
      </c>
      <c r="J360" s="237">
        <f>+SUM(START:END!J360)</f>
        <v>0</v>
      </c>
      <c r="K360" s="219">
        <f>IFERROR(L360/J360,0)</f>
        <v>0</v>
      </c>
      <c r="L360" s="238">
        <f>+SUM(START:END!L360)</f>
        <v>0</v>
      </c>
      <c r="M360" s="220"/>
      <c r="N360" s="221"/>
      <c r="O360" s="237">
        <f>+SUM(START:END!O360)</f>
        <v>0</v>
      </c>
      <c r="P360" s="219">
        <f>IFERROR(Q360/O360,0)</f>
        <v>0</v>
      </c>
      <c r="Q360" s="238">
        <f>+SUM(START:END!Q360)</f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47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47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>
        <f>+G360</f>
        <v>0</v>
      </c>
      <c r="H362" s="174">
        <f>IF(G362&lt;=0,0,I362/G362)</f>
        <v>0</v>
      </c>
      <c r="I362" s="176">
        <f>+I360</f>
        <v>0</v>
      </c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47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47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47"/>
        <v>BoutiqueSalaires cadres</v>
      </c>
      <c r="B365" s="11" t="s">
        <v>114</v>
      </c>
      <c r="C365" s="102" t="s">
        <v>40</v>
      </c>
      <c r="D365" s="13"/>
      <c r="E365" s="13"/>
      <c r="F365" s="30">
        <f>+SUM(START:END!F364)</f>
        <v>0</v>
      </c>
      <c r="G365" s="41"/>
      <c r="H365" s="13"/>
      <c r="I365" s="30">
        <f>+SUM(START:END!I364)</f>
        <v>0</v>
      </c>
      <c r="J365" s="41"/>
      <c r="K365" s="13"/>
      <c r="L365" s="33">
        <f>+SUM(START:END!L364)</f>
        <v>0</v>
      </c>
      <c r="M365" s="41"/>
      <c r="N365" s="40"/>
      <c r="O365" s="41"/>
      <c r="P365" s="13"/>
      <c r="Q365" s="33">
        <f>+SUM(START:END!Q364)</f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47"/>
        <v>BoutiqueSalaires commis</v>
      </c>
      <c r="B366" s="11" t="s">
        <v>114</v>
      </c>
      <c r="C366" s="103" t="s">
        <v>41</v>
      </c>
      <c r="D366" s="81"/>
      <c r="E366" s="13"/>
      <c r="F366" s="22">
        <f>+SUM(START:END!F365)</f>
        <v>0</v>
      </c>
      <c r="G366" s="83"/>
      <c r="H366" s="13"/>
      <c r="I366" s="22">
        <f>+SUM(START:END!I365)</f>
        <v>0</v>
      </c>
      <c r="J366" s="41"/>
      <c r="K366" s="13"/>
      <c r="L366" s="22">
        <f>+SUM(START:END!L365)</f>
        <v>0</v>
      </c>
      <c r="M366" s="41"/>
      <c r="N366" s="59"/>
      <c r="O366" s="41"/>
      <c r="P366" s="13"/>
      <c r="Q366" s="22">
        <f>+SUM(START:END!Q365)</f>
        <v>0</v>
      </c>
      <c r="R366" s="41"/>
      <c r="S366" s="85">
        <f t="shared" ref="S366:S394" si="48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47"/>
        <v>BoutiqueSalaires autres</v>
      </c>
      <c r="B367" s="11" t="s">
        <v>114</v>
      </c>
      <c r="C367" s="102" t="s">
        <v>42</v>
      </c>
      <c r="D367" s="104"/>
      <c r="E367" s="105"/>
      <c r="F367" s="30">
        <f>+SUM(START:END!F366)</f>
        <v>0</v>
      </c>
      <c r="G367" s="106"/>
      <c r="H367" s="105"/>
      <c r="I367" s="30">
        <f>+SUM(START:END!I366)</f>
        <v>0</v>
      </c>
      <c r="J367" s="107"/>
      <c r="K367" s="105"/>
      <c r="L367" s="33">
        <f>+SUM(START:END!L366)</f>
        <v>0</v>
      </c>
      <c r="M367" s="107"/>
      <c r="N367" s="109"/>
      <c r="O367" s="107"/>
      <c r="P367" s="105"/>
      <c r="Q367" s="33">
        <f>+SUM(START:END!Q366)</f>
        <v>0</v>
      </c>
      <c r="R367" s="107"/>
      <c r="S367" s="110">
        <f t="shared" si="48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47"/>
        <v>BoutiqueSalaires spécialistes</v>
      </c>
      <c r="B368" s="11" t="s">
        <v>114</v>
      </c>
      <c r="C368" s="102" t="s">
        <v>43</v>
      </c>
      <c r="D368" s="81"/>
      <c r="E368" s="13"/>
      <c r="F368" s="30">
        <f>+SUM(START:END!F367)</f>
        <v>0</v>
      </c>
      <c r="G368" s="83"/>
      <c r="H368" s="13"/>
      <c r="I368" s="30">
        <f>+SUM(START:END!I367)</f>
        <v>0</v>
      </c>
      <c r="J368" s="41"/>
      <c r="K368" s="13"/>
      <c r="L368" s="33">
        <f>+SUM(START:END!L367)</f>
        <v>0</v>
      </c>
      <c r="M368" s="41"/>
      <c r="N368" s="59"/>
      <c r="O368" s="41"/>
      <c r="P368" s="13"/>
      <c r="Q368" s="33">
        <f>+SUM(START:END!Q367)</f>
        <v>0</v>
      </c>
      <c r="R368" s="41"/>
      <c r="S368" s="85">
        <f t="shared" si="48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47"/>
        <v>Boutique[...]</v>
      </c>
      <c r="B369" s="11" t="s">
        <v>114</v>
      </c>
      <c r="C369" s="29" t="s">
        <v>19</v>
      </c>
      <c r="D369" s="81"/>
      <c r="E369" s="13"/>
      <c r="F369" s="30">
        <f>+SUM(START:END!F368)</f>
        <v>0</v>
      </c>
      <c r="G369" s="83"/>
      <c r="H369" s="13"/>
      <c r="I369" s="30">
        <f>+SUM(START:END!I368)</f>
        <v>0</v>
      </c>
      <c r="J369" s="41"/>
      <c r="K369" s="13"/>
      <c r="L369" s="33">
        <f>+SUM(START:END!L368)</f>
        <v>0</v>
      </c>
      <c r="M369" s="41"/>
      <c r="N369" s="59"/>
      <c r="O369" s="41"/>
      <c r="P369" s="13"/>
      <c r="Q369" s="33">
        <f>+SUM(START:END!Q368)</f>
        <v>0</v>
      </c>
      <c r="R369" s="41"/>
      <c r="S369" s="85">
        <f t="shared" si="48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47"/>
        <v>Boutique[...]</v>
      </c>
      <c r="B370" s="11" t="s">
        <v>114</v>
      </c>
      <c r="C370" s="29" t="s">
        <v>19</v>
      </c>
      <c r="D370" s="81"/>
      <c r="E370" s="13"/>
      <c r="F370" s="30">
        <f>+SUM(START:END!F369)</f>
        <v>0</v>
      </c>
      <c r="G370" s="83"/>
      <c r="H370" s="13"/>
      <c r="I370" s="30">
        <f>+SUM(START:END!I369)</f>
        <v>0</v>
      </c>
      <c r="J370" s="41"/>
      <c r="K370" s="13"/>
      <c r="L370" s="33">
        <f>+SUM(START:END!L369)</f>
        <v>0</v>
      </c>
      <c r="M370" s="41"/>
      <c r="N370" s="59"/>
      <c r="O370" s="41"/>
      <c r="P370" s="13"/>
      <c r="Q370" s="33">
        <f>+SUM(START:END!Q369)</f>
        <v>0</v>
      </c>
      <c r="R370" s="41"/>
      <c r="S370" s="85">
        <f t="shared" si="48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47"/>
        <v>Boutique[...]</v>
      </c>
      <c r="B371" s="11" t="s">
        <v>114</v>
      </c>
      <c r="C371" s="29" t="s">
        <v>19</v>
      </c>
      <c r="D371" s="81"/>
      <c r="E371" s="13"/>
      <c r="F371" s="30">
        <f>+SUM(START:END!F370)</f>
        <v>0</v>
      </c>
      <c r="G371" s="83"/>
      <c r="H371" s="13"/>
      <c r="I371" s="30">
        <f>+SUM(START:END!I370)</f>
        <v>0</v>
      </c>
      <c r="J371" s="41"/>
      <c r="K371" s="13"/>
      <c r="L371" s="33">
        <f>+SUM(START:END!L370)</f>
        <v>0</v>
      </c>
      <c r="M371" s="41"/>
      <c r="N371" s="59"/>
      <c r="O371" s="41"/>
      <c r="P371" s="13"/>
      <c r="Q371" s="33">
        <f>+SUM(START:END!Q370)</f>
        <v>0</v>
      </c>
      <c r="R371" s="41"/>
      <c r="S371" s="85">
        <f t="shared" si="48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47"/>
        <v>BoutiqueSalaires en absences</v>
      </c>
      <c r="B372" s="11" t="s">
        <v>114</v>
      </c>
      <c r="C372" s="103" t="s">
        <v>44</v>
      </c>
      <c r="D372" s="81"/>
      <c r="E372" s="13"/>
      <c r="F372" s="22">
        <f>+SUM(START:END!F371)</f>
        <v>0</v>
      </c>
      <c r="G372" s="83"/>
      <c r="H372" s="13"/>
      <c r="I372" s="22">
        <f>+SUM(START:END!I371)</f>
        <v>0</v>
      </c>
      <c r="J372" s="41"/>
      <c r="K372" s="13"/>
      <c r="L372" s="22">
        <f>+SUM(START:END!L371)</f>
        <v>0</v>
      </c>
      <c r="M372" s="41"/>
      <c r="N372" s="59"/>
      <c r="O372" s="41"/>
      <c r="P372" s="13"/>
      <c r="Q372" s="22">
        <f>+SUM(START:END!Q371)</f>
        <v>0</v>
      </c>
      <c r="R372" s="41"/>
      <c r="S372" s="85">
        <f t="shared" si="48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47"/>
        <v>BoutiqueDéduction à la source</v>
      </c>
      <c r="B373" s="11" t="s">
        <v>114</v>
      </c>
      <c r="C373" s="102" t="s">
        <v>45</v>
      </c>
      <c r="D373" s="104"/>
      <c r="E373" s="105"/>
      <c r="F373" s="30">
        <f>+SUM(START:END!F372)</f>
        <v>0</v>
      </c>
      <c r="G373" s="106"/>
      <c r="H373" s="105"/>
      <c r="I373" s="30">
        <f>+SUM(START:END!I372)</f>
        <v>0</v>
      </c>
      <c r="J373" s="107"/>
      <c r="K373" s="105"/>
      <c r="L373" s="33">
        <f>+SUM(START:END!L372)</f>
        <v>0</v>
      </c>
      <c r="M373" s="107"/>
      <c r="N373" s="109"/>
      <c r="O373" s="107"/>
      <c r="P373" s="105"/>
      <c r="Q373" s="33">
        <f>+SUM(START:END!Q372)</f>
        <v>0</v>
      </c>
      <c r="R373" s="107"/>
      <c r="S373" s="110">
        <f t="shared" si="48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47"/>
        <v>BoutiqueBénéfices marginaux</v>
      </c>
      <c r="B374" s="11" t="s">
        <v>114</v>
      </c>
      <c r="C374" s="102" t="s">
        <v>46</v>
      </c>
      <c r="D374" s="81"/>
      <c r="E374" s="13"/>
      <c r="F374" s="30">
        <f>+SUM(START:END!F373)</f>
        <v>0</v>
      </c>
      <c r="G374" s="83"/>
      <c r="H374" s="13"/>
      <c r="I374" s="30">
        <f>+SUM(START:END!I373)</f>
        <v>0</v>
      </c>
      <c r="J374" s="41"/>
      <c r="K374" s="13"/>
      <c r="L374" s="33">
        <f>+SUM(START:END!L373)</f>
        <v>0</v>
      </c>
      <c r="M374" s="41"/>
      <c r="N374" s="59"/>
      <c r="O374" s="41"/>
      <c r="P374" s="13"/>
      <c r="Q374" s="33">
        <f>+SUM(START:END!Q373)</f>
        <v>0</v>
      </c>
      <c r="R374" s="41"/>
      <c r="S374" s="85">
        <f t="shared" si="48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47"/>
        <v>BoutiqueCsst</v>
      </c>
      <c r="B375" s="11" t="s">
        <v>114</v>
      </c>
      <c r="C375" s="102" t="s">
        <v>47</v>
      </c>
      <c r="D375" s="81"/>
      <c r="E375" s="13"/>
      <c r="F375" s="30">
        <f>+SUM(START:END!F374)</f>
        <v>0</v>
      </c>
      <c r="G375" s="83"/>
      <c r="H375" s="13"/>
      <c r="I375" s="30">
        <f>+SUM(START:END!I374)</f>
        <v>0</v>
      </c>
      <c r="J375" s="41"/>
      <c r="K375" s="13"/>
      <c r="L375" s="33">
        <f>+SUM(START:END!L374)</f>
        <v>0</v>
      </c>
      <c r="M375" s="41"/>
      <c r="N375" s="59"/>
      <c r="O375" s="41"/>
      <c r="P375" s="13"/>
      <c r="Q375" s="33">
        <f>+SUM(START:END!Q374)</f>
        <v>0</v>
      </c>
      <c r="R375" s="41"/>
      <c r="S375" s="85">
        <f t="shared" si="48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47"/>
        <v>Boutique[...]</v>
      </c>
      <c r="B376" s="11" t="s">
        <v>114</v>
      </c>
      <c r="C376" s="29" t="s">
        <v>19</v>
      </c>
      <c r="D376" s="87"/>
      <c r="E376" s="111"/>
      <c r="F376" s="30">
        <f>+SUM(START:END!F375)</f>
        <v>0</v>
      </c>
      <c r="G376" s="89"/>
      <c r="H376" s="111"/>
      <c r="I376" s="30">
        <f>+SUM(START:END!I375)</f>
        <v>0</v>
      </c>
      <c r="J376" s="23"/>
      <c r="K376" s="111"/>
      <c r="L376" s="33">
        <f>+SUM(START:END!L375)</f>
        <v>0</v>
      </c>
      <c r="M376" s="23"/>
      <c r="N376" s="91"/>
      <c r="O376" s="23"/>
      <c r="P376" s="111"/>
      <c r="Q376" s="33">
        <f>+SUM(START:END!Q375)</f>
        <v>0</v>
      </c>
      <c r="R376" s="23"/>
      <c r="S376" s="92">
        <f t="shared" si="48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47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 t="s">
        <v>38</v>
      </c>
      <c r="H377" s="95">
        <f>IFERROR(I377/I$360,0)</f>
        <v>0</v>
      </c>
      <c r="I377" s="96">
        <f>+SUM(I365:I376)</f>
        <v>0</v>
      </c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48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47"/>
        <v>BoutiquePublicité 2</v>
      </c>
      <c r="B378" s="11" t="s">
        <v>114</v>
      </c>
      <c r="C378" s="211" t="s">
        <v>49</v>
      </c>
      <c r="D378" s="81"/>
      <c r="E378" s="13"/>
      <c r="F378" s="30">
        <f>+SUM(START:END!F377)</f>
        <v>0</v>
      </c>
      <c r="G378" s="83"/>
      <c r="H378" s="13"/>
      <c r="I378" s="30">
        <f>+SUM(START:END!I377)</f>
        <v>0</v>
      </c>
      <c r="J378" s="41"/>
      <c r="K378" s="13"/>
      <c r="L378" s="33">
        <f>+SUM(START:END!L377)</f>
        <v>0</v>
      </c>
      <c r="M378" s="41"/>
      <c r="N378" s="59"/>
      <c r="O378" s="41"/>
      <c r="P378" s="13"/>
      <c r="Q378" s="33">
        <f>+SUM(START:END!Q377)</f>
        <v>0</v>
      </c>
      <c r="R378" s="41"/>
      <c r="S378" s="85">
        <f t="shared" si="48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47"/>
        <v>BoutiqueService gratuit 2</v>
      </c>
      <c r="B379" s="11" t="s">
        <v>114</v>
      </c>
      <c r="C379" s="102" t="s">
        <v>50</v>
      </c>
      <c r="D379" s="81"/>
      <c r="E379" s="13"/>
      <c r="F379" s="30">
        <f>+SUM(START:END!F378)</f>
        <v>0</v>
      </c>
      <c r="G379" s="83"/>
      <c r="H379" s="13"/>
      <c r="I379" s="30">
        <f>+SUM(START:END!I378)</f>
        <v>0</v>
      </c>
      <c r="J379" s="41"/>
      <c r="K379" s="13"/>
      <c r="L379" s="33">
        <f>+SUM(START:END!L378)</f>
        <v>0</v>
      </c>
      <c r="M379" s="41"/>
      <c r="N379" s="59"/>
      <c r="O379" s="41"/>
      <c r="P379" s="13"/>
      <c r="Q379" s="33">
        <f>+SUM(START:END!Q378)</f>
        <v>0</v>
      </c>
      <c r="R379" s="41"/>
      <c r="S379" s="85">
        <f t="shared" si="48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47"/>
        <v>BoutiqueFrais véhicules de cie</v>
      </c>
      <c r="B380" s="11" t="s">
        <v>114</v>
      </c>
      <c r="C380" s="103" t="s">
        <v>51</v>
      </c>
      <c r="D380" s="87"/>
      <c r="E380" s="111"/>
      <c r="F380" s="22">
        <f>+SUM(START:END!F379)</f>
        <v>0</v>
      </c>
      <c r="G380" s="89"/>
      <c r="H380" s="111"/>
      <c r="I380" s="22">
        <f>+SUM(START:END!I379)</f>
        <v>0</v>
      </c>
      <c r="J380" s="23"/>
      <c r="K380" s="111"/>
      <c r="L380" s="22">
        <f>+SUM(START:END!L379)</f>
        <v>0</v>
      </c>
      <c r="M380" s="23"/>
      <c r="N380" s="91"/>
      <c r="O380" s="23"/>
      <c r="P380" s="111"/>
      <c r="Q380" s="22">
        <f>+SUM(START:END!Q379)</f>
        <v>0</v>
      </c>
      <c r="R380" s="23"/>
      <c r="S380" s="92">
        <f t="shared" si="48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47"/>
        <v>BoutiqueInformatique</v>
      </c>
      <c r="B381" s="11" t="s">
        <v>114</v>
      </c>
      <c r="C381" s="102" t="s">
        <v>52</v>
      </c>
      <c r="D381" s="81"/>
      <c r="E381" s="13"/>
      <c r="F381" s="30">
        <f>+SUM(START:END!F380)</f>
        <v>0</v>
      </c>
      <c r="G381" s="83"/>
      <c r="H381" s="13"/>
      <c r="I381" s="30">
        <f>+SUM(START:END!I380)</f>
        <v>0</v>
      </c>
      <c r="J381" s="41"/>
      <c r="K381" s="13"/>
      <c r="L381" s="33">
        <f>+SUM(START:END!L380)</f>
        <v>0</v>
      </c>
      <c r="M381" s="41"/>
      <c r="N381" s="59"/>
      <c r="O381" s="41"/>
      <c r="P381" s="13"/>
      <c r="Q381" s="33">
        <f>+SUM(START:END!Q380)</f>
        <v>0</v>
      </c>
      <c r="R381" s="41"/>
      <c r="S381" s="85">
        <f t="shared" si="48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47"/>
        <v>BoutiqueFrais de déplacement</v>
      </c>
      <c r="B382" s="11" t="s">
        <v>114</v>
      </c>
      <c r="C382" s="102" t="s">
        <v>53</v>
      </c>
      <c r="D382" s="81"/>
      <c r="E382" s="13"/>
      <c r="F382" s="30">
        <f>+SUM(START:END!F381)</f>
        <v>0</v>
      </c>
      <c r="G382" s="83"/>
      <c r="H382" s="13"/>
      <c r="I382" s="30">
        <f>+SUM(START:END!I381)</f>
        <v>0</v>
      </c>
      <c r="J382" s="41"/>
      <c r="K382" s="13"/>
      <c r="L382" s="33">
        <f>+SUM(START:END!L381)</f>
        <v>0</v>
      </c>
      <c r="M382" s="41"/>
      <c r="N382" s="59"/>
      <c r="O382" s="41"/>
      <c r="P382" s="13"/>
      <c r="Q382" s="33">
        <f>+SUM(START:END!Q381)</f>
        <v>0</v>
      </c>
      <c r="R382" s="41"/>
      <c r="S382" s="85">
        <f t="shared" si="48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47"/>
        <v>BoutiqueServices extérieurs</v>
      </c>
      <c r="B383" s="11" t="s">
        <v>114</v>
      </c>
      <c r="C383" s="102" t="s">
        <v>54</v>
      </c>
      <c r="D383" s="87"/>
      <c r="E383" s="111"/>
      <c r="F383" s="22">
        <f>+SUM(START:END!F382)</f>
        <v>0</v>
      </c>
      <c r="G383" s="89"/>
      <c r="H383" s="111"/>
      <c r="I383" s="22">
        <f>+SUM(START:END!I382)</f>
        <v>0</v>
      </c>
      <c r="J383" s="23"/>
      <c r="K383" s="111"/>
      <c r="L383" s="22">
        <f>+SUM(START:END!L382)</f>
        <v>0</v>
      </c>
      <c r="M383" s="23"/>
      <c r="N383" s="91"/>
      <c r="O383" s="23"/>
      <c r="P383" s="111"/>
      <c r="Q383" s="22">
        <f>+SUM(START:END!Q382)</f>
        <v>0</v>
      </c>
      <c r="R383" s="23"/>
      <c r="S383" s="92">
        <f t="shared" si="48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47"/>
        <v>BoutiqueFournitures autres</v>
      </c>
      <c r="B384" s="11" t="s">
        <v>114</v>
      </c>
      <c r="C384" s="211" t="s">
        <v>55</v>
      </c>
      <c r="D384" s="81"/>
      <c r="E384" s="13"/>
      <c r="F384" s="30">
        <f>+SUM(START:END!F383)</f>
        <v>0</v>
      </c>
      <c r="G384" s="83"/>
      <c r="H384" s="13"/>
      <c r="I384" s="30">
        <f>+SUM(START:END!I383)</f>
        <v>0</v>
      </c>
      <c r="J384" s="41"/>
      <c r="K384" s="13"/>
      <c r="L384" s="33">
        <f>+SUM(START:END!L383)</f>
        <v>0</v>
      </c>
      <c r="M384" s="41"/>
      <c r="N384" s="59"/>
      <c r="O384" s="41"/>
      <c r="P384" s="13"/>
      <c r="Q384" s="33">
        <f>+SUM(START:END!Q383)</f>
        <v>0</v>
      </c>
      <c r="R384" s="41"/>
      <c r="S384" s="85">
        <f t="shared" si="48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47"/>
        <v>BoutiqueUniformes</v>
      </c>
      <c r="B385" s="11" t="s">
        <v>114</v>
      </c>
      <c r="C385" s="102" t="s">
        <v>56</v>
      </c>
      <c r="D385" s="81"/>
      <c r="E385" s="13"/>
      <c r="F385" s="30">
        <f>+SUM(START:END!F384)</f>
        <v>0</v>
      </c>
      <c r="G385" s="83"/>
      <c r="H385" s="13"/>
      <c r="I385" s="30">
        <f>+SUM(START:END!I384)</f>
        <v>0</v>
      </c>
      <c r="J385" s="41"/>
      <c r="K385" s="13"/>
      <c r="L385" s="33">
        <f>+SUM(START:END!L384)</f>
        <v>0</v>
      </c>
      <c r="M385" s="41"/>
      <c r="N385" s="59"/>
      <c r="O385" s="41"/>
      <c r="P385" s="13"/>
      <c r="Q385" s="33">
        <f>+SUM(START:END!Q384)</f>
        <v>0</v>
      </c>
      <c r="R385" s="41"/>
      <c r="S385" s="85">
        <f t="shared" si="48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47"/>
        <v>BoutiquePapeterie</v>
      </c>
      <c r="B386" s="11" t="s">
        <v>114</v>
      </c>
      <c r="C386" s="102" t="s">
        <v>57</v>
      </c>
      <c r="D386" s="81"/>
      <c r="E386" s="13"/>
      <c r="F386" s="30">
        <f>+SUM(START:END!F385)</f>
        <v>0</v>
      </c>
      <c r="G386" s="83"/>
      <c r="H386" s="13"/>
      <c r="I386" s="30">
        <f>+SUM(START:END!I385)</f>
        <v>0</v>
      </c>
      <c r="J386" s="41"/>
      <c r="K386" s="13"/>
      <c r="L386" s="33">
        <f>+SUM(START:END!L385)</f>
        <v>0</v>
      </c>
      <c r="M386" s="41"/>
      <c r="N386" s="59"/>
      <c r="O386" s="41"/>
      <c r="P386" s="13"/>
      <c r="Q386" s="33">
        <f>+SUM(START:END!Q385)</f>
        <v>0</v>
      </c>
      <c r="R386" s="41"/>
      <c r="S386" s="85">
        <f t="shared" si="48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47"/>
        <v>BoutiqueTéléphone</v>
      </c>
      <c r="B387" s="11" t="s">
        <v>114</v>
      </c>
      <c r="C387" s="102" t="s">
        <v>58</v>
      </c>
      <c r="D387" s="81"/>
      <c r="E387" s="13"/>
      <c r="F387" s="30">
        <f>+SUM(START:END!F386)</f>
        <v>0</v>
      </c>
      <c r="G387" s="83"/>
      <c r="H387" s="13"/>
      <c r="I387" s="30">
        <f>+SUM(START:END!I386)</f>
        <v>0</v>
      </c>
      <c r="J387" s="41"/>
      <c r="K387" s="13"/>
      <c r="L387" s="33">
        <f>+SUM(START:END!L386)</f>
        <v>0</v>
      </c>
      <c r="M387" s="41"/>
      <c r="N387" s="59"/>
      <c r="O387" s="41"/>
      <c r="P387" s="13"/>
      <c r="Q387" s="33">
        <f>+SUM(START:END!Q386)</f>
        <v>0</v>
      </c>
      <c r="R387" s="41"/>
      <c r="S387" s="85">
        <f t="shared" si="48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47"/>
        <v>BoutiqueFrais postaux</v>
      </c>
      <c r="B388" s="11" t="s">
        <v>114</v>
      </c>
      <c r="C388" s="102" t="s">
        <v>59</v>
      </c>
      <c r="D388" s="81"/>
      <c r="E388" s="13"/>
      <c r="F388" s="30">
        <f>+SUM(START:END!F387)</f>
        <v>0</v>
      </c>
      <c r="G388" s="83"/>
      <c r="H388" s="13"/>
      <c r="I388" s="30">
        <f>+SUM(START:END!I387)</f>
        <v>0</v>
      </c>
      <c r="J388" s="41"/>
      <c r="K388" s="13"/>
      <c r="L388" s="33">
        <f>+SUM(START:END!L387)</f>
        <v>0</v>
      </c>
      <c r="M388" s="41"/>
      <c r="N388" s="59"/>
      <c r="O388" s="41"/>
      <c r="P388" s="13"/>
      <c r="Q388" s="33">
        <f>+SUM(START:END!Q387)</f>
        <v>0</v>
      </c>
      <c r="R388" s="41"/>
      <c r="S388" s="85">
        <f t="shared" si="48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47"/>
        <v>BoutiqueDivers</v>
      </c>
      <c r="B389" s="11" t="s">
        <v>114</v>
      </c>
      <c r="C389" s="102" t="s">
        <v>60</v>
      </c>
      <c r="D389" s="81"/>
      <c r="E389" s="13"/>
      <c r="F389" s="30">
        <f>+SUM(START:END!F388)</f>
        <v>0</v>
      </c>
      <c r="G389" s="83"/>
      <c r="H389" s="13"/>
      <c r="I389" s="30">
        <f>+SUM(START:END!I388)</f>
        <v>0</v>
      </c>
      <c r="J389" s="41"/>
      <c r="K389" s="13"/>
      <c r="L389" s="33">
        <f>+SUM(START:END!L388)</f>
        <v>0</v>
      </c>
      <c r="M389" s="41"/>
      <c r="N389" s="59"/>
      <c r="O389" s="41"/>
      <c r="P389" s="13"/>
      <c r="Q389" s="33">
        <f>+SUM(START:END!Q388)</f>
        <v>0</v>
      </c>
      <c r="R389" s="41"/>
      <c r="S389" s="85">
        <f t="shared" si="48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47"/>
        <v>BoutiqueFormation</v>
      </c>
      <c r="B390" s="11" t="s">
        <v>114</v>
      </c>
      <c r="C390" s="102" t="s">
        <v>61</v>
      </c>
      <c r="D390" s="81"/>
      <c r="E390" s="13"/>
      <c r="F390" s="30">
        <f>+SUM(START:END!F389)</f>
        <v>0</v>
      </c>
      <c r="G390" s="83"/>
      <c r="H390" s="13"/>
      <c r="I390" s="30">
        <f>+SUM(START:END!I389)</f>
        <v>0</v>
      </c>
      <c r="J390" s="41"/>
      <c r="K390" s="13"/>
      <c r="L390" s="33">
        <f>+SUM(START:END!L389)</f>
        <v>0</v>
      </c>
      <c r="M390" s="41"/>
      <c r="N390" s="59"/>
      <c r="O390" s="41"/>
      <c r="P390" s="13"/>
      <c r="Q390" s="33">
        <f>+SUM(START:END!Q389)</f>
        <v>0</v>
      </c>
      <c r="R390" s="41"/>
      <c r="S390" s="85">
        <f t="shared" si="48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47"/>
        <v>BoutiqueFrais bancaires</v>
      </c>
      <c r="B391" s="11" t="s">
        <v>114</v>
      </c>
      <c r="C391" s="102" t="s">
        <v>62</v>
      </c>
      <c r="D391" s="81"/>
      <c r="E391" s="13"/>
      <c r="F391" s="30">
        <f>+SUM(START:END!F390)</f>
        <v>0</v>
      </c>
      <c r="G391" s="83"/>
      <c r="H391" s="13"/>
      <c r="I391" s="30">
        <f>+SUM(START:END!I390)</f>
        <v>0</v>
      </c>
      <c r="J391" s="41"/>
      <c r="K391" s="13"/>
      <c r="L391" s="33">
        <f>+SUM(START:END!L390)</f>
        <v>0</v>
      </c>
      <c r="M391" s="41"/>
      <c r="N391" s="59"/>
      <c r="O391" s="41"/>
      <c r="P391" s="13"/>
      <c r="Q391" s="33">
        <f>+SUM(START:END!Q390)</f>
        <v>0</v>
      </c>
      <c r="R391" s="41"/>
      <c r="S391" s="85">
        <f t="shared" si="48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47"/>
        <v>Boutique[...]</v>
      </c>
      <c r="B392" s="11" t="s">
        <v>114</v>
      </c>
      <c r="C392" s="102" t="s">
        <v>19</v>
      </c>
      <c r="D392" s="81"/>
      <c r="E392" s="13"/>
      <c r="F392" s="30">
        <f>+SUM(START:END!F391)</f>
        <v>0</v>
      </c>
      <c r="G392" s="83"/>
      <c r="H392" s="13"/>
      <c r="I392" s="30">
        <f>+SUM(START:END!I391)</f>
        <v>0</v>
      </c>
      <c r="J392" s="41"/>
      <c r="K392" s="13"/>
      <c r="L392" s="33">
        <f>+SUM(START:END!L391)</f>
        <v>0</v>
      </c>
      <c r="M392" s="41"/>
      <c r="N392" s="59"/>
      <c r="O392" s="41"/>
      <c r="P392" s="13"/>
      <c r="Q392" s="33">
        <f>+SUM(START:END!Q391)</f>
        <v>0</v>
      </c>
      <c r="R392" s="41"/>
      <c r="S392" s="85">
        <f t="shared" si="48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47"/>
        <v>Boutique[...]</v>
      </c>
      <c r="B393" s="11" t="s">
        <v>114</v>
      </c>
      <c r="C393" s="102" t="s">
        <v>19</v>
      </c>
      <c r="D393" s="81"/>
      <c r="E393" s="13"/>
      <c r="F393" s="30">
        <f>+SUM(START:END!F392)</f>
        <v>0</v>
      </c>
      <c r="G393" s="83"/>
      <c r="H393" s="13"/>
      <c r="I393" s="30">
        <f>+SUM(START:END!I392)</f>
        <v>0</v>
      </c>
      <c r="J393" s="41"/>
      <c r="K393" s="13"/>
      <c r="L393" s="33">
        <f>+SUM(START:END!L392)</f>
        <v>0</v>
      </c>
      <c r="M393" s="41"/>
      <c r="N393" s="59"/>
      <c r="O393" s="41"/>
      <c r="P393" s="13"/>
      <c r="Q393" s="33">
        <f>+SUM(START:END!Q392)</f>
        <v>0</v>
      </c>
      <c r="R393" s="41"/>
      <c r="S393" s="85">
        <f t="shared" si="48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47"/>
        <v>Boutique[...]</v>
      </c>
      <c r="B394" s="11" t="s">
        <v>114</v>
      </c>
      <c r="C394" s="102" t="s">
        <v>19</v>
      </c>
      <c r="D394" s="87"/>
      <c r="E394" s="111"/>
      <c r="F394" s="30">
        <f>+SUM(START:END!F393)</f>
        <v>0</v>
      </c>
      <c r="G394" s="89"/>
      <c r="H394" s="111"/>
      <c r="I394" s="30">
        <f>+SUM(START:END!I393)</f>
        <v>0</v>
      </c>
      <c r="J394" s="23"/>
      <c r="K394" s="111"/>
      <c r="L394" s="33">
        <f>+SUM(START:END!L393)</f>
        <v>0</v>
      </c>
      <c r="M394" s="23"/>
      <c r="N394" s="91"/>
      <c r="O394" s="23"/>
      <c r="P394" s="111"/>
      <c r="Q394" s="33">
        <f>+SUM(START:END!Q393)</f>
        <v>0</v>
      </c>
      <c r="R394" s="23"/>
      <c r="S394" s="92">
        <f t="shared" si="48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 t="s">
        <v>38</v>
      </c>
      <c r="H395" s="95">
        <f>IFERROR(I395/I$360,0)</f>
        <v>0</v>
      </c>
      <c r="I395" s="96">
        <f>+SUM(I378:I394)</f>
        <v>0</v>
      </c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 t="s">
        <v>38</v>
      </c>
      <c r="H397" s="95">
        <f>IFERROR(I397/I$360,0)</f>
        <v>0</v>
      </c>
      <c r="I397" s="96">
        <f>I377+I395</f>
        <v>0</v>
      </c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>
        <f>I362-I397</f>
        <v>0</v>
      </c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/>
      <c r="G401" s="13"/>
      <c r="H401" s="13"/>
      <c r="I401" s="13"/>
      <c r="J401" s="13"/>
      <c r="K401" s="13"/>
      <c r="L401" s="82"/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  Q2 2025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15" t="s">
        <v>117</v>
      </c>
      <c r="Y404" s="512"/>
      <c r="Z404" s="516"/>
      <c r="AA404" s="511" t="s">
        <v>71</v>
      </c>
      <c r="AB404" s="512"/>
      <c r="AC404" s="516"/>
      <c r="AD404" s="511" t="s">
        <v>7</v>
      </c>
      <c r="AE404" s="512"/>
      <c r="AF404" s="516"/>
      <c r="AG404" s="511" t="s">
        <v>213</v>
      </c>
      <c r="AH404" s="512"/>
      <c r="AI404" s="516"/>
      <c r="AJ404" s="511" t="s">
        <v>118</v>
      </c>
      <c r="AK404" s="512"/>
      <c r="AL404" s="512"/>
      <c r="AM404" s="511" t="s">
        <v>119</v>
      </c>
      <c r="AN404" s="512"/>
      <c r="AO404" s="513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49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 t="s">
        <v>121</v>
      </c>
      <c r="AB405" s="259" t="s">
        <v>122</v>
      </c>
      <c r="AC405" s="260" t="s">
        <v>123</v>
      </c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49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15185800.902607024</v>
      </c>
      <c r="AA406" s="263"/>
      <c r="AB406" s="263"/>
      <c r="AC406" s="264">
        <f>I5+I93+H194+H250+G314+G362</f>
        <v>0</v>
      </c>
      <c r="AD406" s="265"/>
      <c r="AE406" s="266"/>
      <c r="AF406" s="266">
        <f>L5+L93+K194+K250+J314+J362</f>
        <v>14964562.33</v>
      </c>
      <c r="AG406" s="265"/>
      <c r="AH406" s="266"/>
      <c r="AI406" s="267"/>
      <c r="AJ406" s="265"/>
      <c r="AK406" s="266"/>
      <c r="AL406" s="266">
        <f>Q5+Q93+P194+P250+O314+O362</f>
        <v>14216826.58999997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49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1407169.0273006831</v>
      </c>
      <c r="AA407" s="271"/>
      <c r="AB407" s="271"/>
      <c r="AC407" s="272">
        <f>I27+I108+I194+I250+I314+I362</f>
        <v>0</v>
      </c>
      <c r="AD407" s="273"/>
      <c r="AE407" s="274"/>
      <c r="AF407" s="274">
        <f>L27+L108+L194+L250+L314+L362</f>
        <v>1704496.65</v>
      </c>
      <c r="AG407" s="273"/>
      <c r="AH407" s="274">
        <f>AF407-Z407</f>
        <v>297327.62269931682</v>
      </c>
      <c r="AI407" s="275">
        <f>AH407/Z407</f>
        <v>0.21129488848235148</v>
      </c>
      <c r="AJ407" s="273"/>
      <c r="AK407" s="274"/>
      <c r="AL407" s="274">
        <f>Q27+Q108+Q194+Q250+Q314+Q362</f>
        <v>1370046.1699999988</v>
      </c>
      <c r="AM407" s="276"/>
      <c r="AN407" s="274">
        <f>AF407-AL407</f>
        <v>334450.48000000115</v>
      </c>
      <c r="AO407" s="277">
        <f>IF(AL407=0,0,AN407/AL407)</f>
        <v>0.24411621106170564</v>
      </c>
      <c r="AP407" s="246"/>
      <c r="AQ407" s="246"/>
      <c r="AR407" s="310"/>
      <c r="AS407" s="310"/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49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49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>Z409/(D$13+D$97)</f>
        <v>920.57237984868675</v>
      </c>
      <c r="Z409" s="280">
        <f>+SUM(START:END!Z409)</f>
        <v>136244.71221760564</v>
      </c>
      <c r="AA409" s="279"/>
      <c r="AB409" s="287">
        <f>IF(AC409=0,0,AC409/(G$13+G$97))</f>
        <v>0</v>
      </c>
      <c r="AC409" s="280">
        <f>+SUM(START:END!AC409)</f>
        <v>0</v>
      </c>
      <c r="AD409" s="288"/>
      <c r="AE409" s="287">
        <f>IF(AF409=0,0,AF409/(J$13+J$97))</f>
        <v>1066.6932835820896</v>
      </c>
      <c r="AF409" s="280">
        <f>+SUM(START:END!AF409)</f>
        <v>142936.90000000002</v>
      </c>
      <c r="AG409" s="281">
        <f t="shared" ref="AG409:AH424" si="50">AE409-Y409</f>
        <v>146.12090373340288</v>
      </c>
      <c r="AH409" s="282">
        <f t="shared" si="50"/>
        <v>6692.1877823943796</v>
      </c>
      <c r="AI409" s="283">
        <f t="shared" ref="AI409:AI418" si="51">IF(Z409=0,0,AH409/Z409)</f>
        <v>4.9118880824569791E-2</v>
      </c>
      <c r="AJ409" s="288"/>
      <c r="AK409" s="282">
        <f>AL409/(O$13+O$97)</f>
        <v>1049.4162585034014</v>
      </c>
      <c r="AL409" s="280">
        <f>+SUMIF($C:$C,$V409,Q:Q)</f>
        <v>154264.19</v>
      </c>
      <c r="AM409" s="284">
        <f t="shared" ref="AM409:AM414" si="52">AE409-Y409</f>
        <v>146.12090373340288</v>
      </c>
      <c r="AN409" s="282">
        <f t="shared" ref="AN409:AN414" si="53">AF409-AL409</f>
        <v>-11327.289999999979</v>
      </c>
      <c r="AO409" s="289">
        <f t="shared" ref="AO409:AO431" si="54">IF(AL409=0,0,AN409/AL409)</f>
        <v>-7.3427864237318966E-2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49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ref="Y410:Y415" si="55">Z410/(D$13+D$97)</f>
        <v>465.74408783783781</v>
      </c>
      <c r="Z410" s="264">
        <f>+SUM(START:END!Z410)</f>
        <v>68930.125</v>
      </c>
      <c r="AA410" s="263"/>
      <c r="AB410" s="291">
        <f t="shared" ref="AB410:AB415" si="56">IF(AC410=0,0,AC410/(G$13+G$97))</f>
        <v>0</v>
      </c>
      <c r="AC410" s="264">
        <f>+SUM(START:END!AC410)</f>
        <v>0</v>
      </c>
      <c r="AD410" s="292"/>
      <c r="AE410" s="291">
        <f t="shared" ref="AE410:AE415" si="57">IF(AF410=0,0,AF410/(J$13+J$97))</f>
        <v>817.293880597015</v>
      </c>
      <c r="AF410" s="264">
        <f>+SUM(START:END!AF410)</f>
        <v>109517.38</v>
      </c>
      <c r="AG410" s="265">
        <f t="shared" si="50"/>
        <v>351.54979275917719</v>
      </c>
      <c r="AH410" s="266">
        <f t="shared" si="50"/>
        <v>40587.255000000005</v>
      </c>
      <c r="AI410" s="293">
        <f t="shared" si="51"/>
        <v>0.58881737121469035</v>
      </c>
      <c r="AJ410" s="292"/>
      <c r="AK410" s="266">
        <f t="shared" ref="AK410:AK415" si="58">AL410/(O$13+O$97)</f>
        <v>583.94238095238097</v>
      </c>
      <c r="AL410" s="264">
        <f t="shared" ref="AL410:AL415" si="59">+SUMIF($C:$C,$V410,Q:Q)</f>
        <v>85839.53</v>
      </c>
      <c r="AM410" s="268">
        <f t="shared" si="52"/>
        <v>351.54979275917719</v>
      </c>
      <c r="AN410" s="266">
        <f t="shared" si="53"/>
        <v>23677.850000000006</v>
      </c>
      <c r="AO410" s="294">
        <f t="shared" si="54"/>
        <v>0.27583853266670971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49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55"/>
        <v>121.89189189189189</v>
      </c>
      <c r="Z411" s="280">
        <f>+SUM(START:END!Z411)</f>
        <v>18040</v>
      </c>
      <c r="AA411" s="279"/>
      <c r="AB411" s="287">
        <f t="shared" si="56"/>
        <v>0</v>
      </c>
      <c r="AC411" s="280">
        <f>+SUM(START:END!AC411)</f>
        <v>0</v>
      </c>
      <c r="AD411" s="288"/>
      <c r="AE411" s="287">
        <f t="shared" si="57"/>
        <v>123.67097014925373</v>
      </c>
      <c r="AF411" s="280">
        <f>+SUM(START:END!AF411)</f>
        <v>16571.91</v>
      </c>
      <c r="AG411" s="281">
        <f t="shared" si="50"/>
        <v>1.7790782573618458</v>
      </c>
      <c r="AH411" s="282">
        <f t="shared" si="50"/>
        <v>-1468.0900000000001</v>
      </c>
      <c r="AI411" s="283">
        <f t="shared" si="51"/>
        <v>-8.1379711751662975E-2</v>
      </c>
      <c r="AJ411" s="288"/>
      <c r="AK411" s="282">
        <f t="shared" si="58"/>
        <v>94.072721088435358</v>
      </c>
      <c r="AL411" s="280">
        <f t="shared" si="59"/>
        <v>13828.689999999999</v>
      </c>
      <c r="AM411" s="284">
        <f t="shared" si="52"/>
        <v>1.7790782573618458</v>
      </c>
      <c r="AN411" s="282">
        <f t="shared" si="53"/>
        <v>2743.2200000000012</v>
      </c>
      <c r="AO411" s="289">
        <f t="shared" si="54"/>
        <v>0.19837164619352965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49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132</v>
      </c>
      <c r="X412" s="279"/>
      <c r="Y412" s="287">
        <f t="shared" si="55"/>
        <v>66.574324324324323</v>
      </c>
      <c r="Z412" s="280">
        <f>+SUM(START:END!Z412)</f>
        <v>9853</v>
      </c>
      <c r="AA412" s="279"/>
      <c r="AB412" s="287">
        <f t="shared" si="56"/>
        <v>0</v>
      </c>
      <c r="AC412" s="280">
        <f>+SUM(START:END!AC412)</f>
        <v>0</v>
      </c>
      <c r="AD412" s="288"/>
      <c r="AE412" s="287">
        <f t="shared" si="57"/>
        <v>55.841194029850747</v>
      </c>
      <c r="AF412" s="280">
        <f>+SUM(START:END!AF412)</f>
        <v>7482.72</v>
      </c>
      <c r="AG412" s="281">
        <f t="shared" si="50"/>
        <v>-10.733130294473575</v>
      </c>
      <c r="AH412" s="282">
        <f t="shared" si="50"/>
        <v>-2370.2799999999997</v>
      </c>
      <c r="AI412" s="283">
        <f t="shared" si="51"/>
        <v>-0.24056429513853647</v>
      </c>
      <c r="AJ412" s="288"/>
      <c r="AK412" s="282">
        <f t="shared" si="58"/>
        <v>53.924421768707482</v>
      </c>
      <c r="AL412" s="280">
        <f t="shared" si="59"/>
        <v>7926.8899999999994</v>
      </c>
      <c r="AM412" s="284">
        <f t="shared" si="52"/>
        <v>-10.733130294473575</v>
      </c>
      <c r="AN412" s="282">
        <f t="shared" si="53"/>
        <v>-444.16999999999916</v>
      </c>
      <c r="AO412" s="295">
        <f t="shared" si="54"/>
        <v>-5.6033324544682621E-2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49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/>
      <c r="X413" s="263"/>
      <c r="Y413" s="291">
        <f t="shared" si="55"/>
        <v>75.979729729729726</v>
      </c>
      <c r="Z413" s="264">
        <f>+SUM(START:END!Z413)</f>
        <v>11245</v>
      </c>
      <c r="AA413" s="263"/>
      <c r="AB413" s="291">
        <f t="shared" si="56"/>
        <v>0</v>
      </c>
      <c r="AC413" s="264">
        <f>+SUM(START:END!AC413)</f>
        <v>0</v>
      </c>
      <c r="AD413" s="292"/>
      <c r="AE413" s="291">
        <f t="shared" si="57"/>
        <v>96.813283582089554</v>
      </c>
      <c r="AF413" s="264">
        <f>+SUM(START:END!AF413)</f>
        <v>12972.98</v>
      </c>
      <c r="AG413" s="265">
        <f t="shared" si="50"/>
        <v>20.833553852359827</v>
      </c>
      <c r="AH413" s="266">
        <f t="shared" si="50"/>
        <v>1727.9799999999996</v>
      </c>
      <c r="AI413" s="293">
        <f t="shared" si="51"/>
        <v>0.15366651845264559</v>
      </c>
      <c r="AJ413" s="292"/>
      <c r="AK413" s="266">
        <f t="shared" si="58"/>
        <v>63.898775510204075</v>
      </c>
      <c r="AL413" s="264">
        <f t="shared" si="59"/>
        <v>9393.119999999999</v>
      </c>
      <c r="AM413" s="268">
        <f t="shared" si="52"/>
        <v>20.833553852359827</v>
      </c>
      <c r="AN413" s="266">
        <f t="shared" si="53"/>
        <v>3579.8600000000006</v>
      </c>
      <c r="AO413" s="294">
        <f t="shared" si="54"/>
        <v>0.38111511404091514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49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133</v>
      </c>
      <c r="X414" s="283"/>
      <c r="Y414" s="287">
        <f t="shared" si="55"/>
        <v>444.23191573926869</v>
      </c>
      <c r="Z414" s="280">
        <f>+SUM(START:END!Z414)</f>
        <v>65746.323529411762</v>
      </c>
      <c r="AA414" s="283"/>
      <c r="AB414" s="287">
        <f t="shared" si="56"/>
        <v>0</v>
      </c>
      <c r="AC414" s="280">
        <f>+SUM(START:END!AC414)</f>
        <v>0</v>
      </c>
      <c r="AD414" s="288"/>
      <c r="AE414" s="287">
        <f t="shared" si="57"/>
        <v>481.04917910447756</v>
      </c>
      <c r="AF414" s="280">
        <f>+SUM(START:END!AF414)</f>
        <v>64460.59</v>
      </c>
      <c r="AG414" s="281">
        <f t="shared" si="50"/>
        <v>36.817263365208873</v>
      </c>
      <c r="AH414" s="282">
        <f t="shared" si="50"/>
        <v>-1285.7335294117656</v>
      </c>
      <c r="AI414" s="283">
        <f t="shared" si="51"/>
        <v>-1.9555976066655496E-2</v>
      </c>
      <c r="AJ414" s="288"/>
      <c r="AK414" s="282">
        <f t="shared" si="58"/>
        <v>402.96442176870744</v>
      </c>
      <c r="AL414" s="280">
        <f t="shared" si="59"/>
        <v>59235.77</v>
      </c>
      <c r="AM414" s="284">
        <f t="shared" si="52"/>
        <v>36.817263365208873</v>
      </c>
      <c r="AN414" s="282">
        <f t="shared" si="53"/>
        <v>5224.82</v>
      </c>
      <c r="AO414" s="289">
        <f t="shared" si="54"/>
        <v>8.8203799832432331E-2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49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134</v>
      </c>
      <c r="X415" s="279"/>
      <c r="Y415" s="287">
        <f t="shared" si="55"/>
        <v>690.32205819637977</v>
      </c>
      <c r="Z415" s="280">
        <f>+SUM(START:END!Z415)</f>
        <v>102167.6646130642</v>
      </c>
      <c r="AA415" s="279"/>
      <c r="AB415" s="287">
        <f t="shared" si="56"/>
        <v>0</v>
      </c>
      <c r="AC415" s="280">
        <f>+SUM(START:END!AC415)</f>
        <v>0</v>
      </c>
      <c r="AD415" s="288"/>
      <c r="AE415" s="287">
        <f t="shared" si="57"/>
        <v>662.01649253731352</v>
      </c>
      <c r="AF415" s="280">
        <f>+SUM(START:END!AF415)</f>
        <v>88710.21</v>
      </c>
      <c r="AG415" s="281">
        <f t="shared" si="50"/>
        <v>-28.305565659066247</v>
      </c>
      <c r="AH415" s="282">
        <f t="shared" si="50"/>
        <v>-13457.454613064197</v>
      </c>
      <c r="AI415" s="283">
        <f t="shared" si="51"/>
        <v>-0.13171931319005004</v>
      </c>
      <c r="AJ415" s="288"/>
      <c r="AK415" s="282">
        <f t="shared" si="58"/>
        <v>880.85278911564637</v>
      </c>
      <c r="AL415" s="280">
        <f t="shared" si="59"/>
        <v>129485.36000000002</v>
      </c>
      <c r="AM415" s="284">
        <f>AE415-Y415</f>
        <v>-28.305565659066247</v>
      </c>
      <c r="AN415" s="282">
        <f>AF415-AL415</f>
        <v>-40775.150000000009</v>
      </c>
      <c r="AO415" s="289">
        <f t="shared" si="54"/>
        <v>-0.31490162285527878</v>
      </c>
      <c r="AP415" s="246"/>
      <c r="AQ415" s="246"/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 customHeight="1">
      <c r="A416" t="str">
        <f t="shared" si="49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>Z416/(D$13+D$97)</f>
        <v>0</v>
      </c>
      <c r="Z416" s="280">
        <f>+SUM(START:END!Z416)</f>
        <v>0</v>
      </c>
      <c r="AA416" s="279"/>
      <c r="AB416" s="287">
        <f>IF(AC416=0,0,AC416/(G$13+G$97))</f>
        <v>0</v>
      </c>
      <c r="AC416" s="280">
        <f>+SUM(START:END!AC416)</f>
        <v>0</v>
      </c>
      <c r="AD416" s="288"/>
      <c r="AE416" s="287">
        <f>IF(AF416=0,0,AF416/(J$13+J$97))</f>
        <v>0</v>
      </c>
      <c r="AF416" s="280">
        <f>+SUM(START:END!AF416)</f>
        <v>0</v>
      </c>
      <c r="AG416" s="281">
        <f t="shared" si="50"/>
        <v>0</v>
      </c>
      <c r="AH416" s="282">
        <f t="shared" si="50"/>
        <v>0</v>
      </c>
      <c r="AI416" s="283">
        <f t="shared" si="51"/>
        <v>0</v>
      </c>
      <c r="AJ416" s="288"/>
      <c r="AK416" s="282">
        <f>AL416/(O$13+O$97)</f>
        <v>0</v>
      </c>
      <c r="AL416" s="280"/>
      <c r="AM416" s="284">
        <f>AE416-Y416</f>
        <v>0</v>
      </c>
      <c r="AN416" s="282">
        <f>AF416-AL416</f>
        <v>0</v>
      </c>
      <c r="AO416" s="289">
        <f t="shared" si="54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 customHeight="1">
      <c r="A417" t="str">
        <f t="shared" si="49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>Z417/(D$13+D$97)</f>
        <v>0</v>
      </c>
      <c r="Z417" s="280">
        <f>+SUM(START:END!Z417)</f>
        <v>0</v>
      </c>
      <c r="AA417" s="279"/>
      <c r="AB417" s="287">
        <f>IF(AC417=0,0,AC417/(G$13+G$97))</f>
        <v>0</v>
      </c>
      <c r="AC417" s="280">
        <f>+SUM(START:END!AC417)</f>
        <v>0</v>
      </c>
      <c r="AD417" s="288"/>
      <c r="AE417" s="287">
        <f>IF(AF417=0,0,AF417/(J$13+J$97))</f>
        <v>0</v>
      </c>
      <c r="AF417" s="280">
        <f>+SUM(START:END!AF417)</f>
        <v>0</v>
      </c>
      <c r="AG417" s="281">
        <f t="shared" si="50"/>
        <v>0</v>
      </c>
      <c r="AH417" s="282">
        <f t="shared" si="50"/>
        <v>0</v>
      </c>
      <c r="AI417" s="283">
        <f t="shared" si="51"/>
        <v>0</v>
      </c>
      <c r="AJ417" s="288"/>
      <c r="AK417" s="282">
        <f>AL417/(O$13+O$97)</f>
        <v>0</v>
      </c>
      <c r="AL417" s="280"/>
      <c r="AM417" s="284">
        <f>AE417-Y417</f>
        <v>0</v>
      </c>
      <c r="AN417" s="282">
        <f>AF417-AL417</f>
        <v>0</v>
      </c>
      <c r="AO417" s="289">
        <f t="shared" si="54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 customHeight="1">
      <c r="A418" t="str">
        <f t="shared" si="49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/>
      <c r="X418" s="279"/>
      <c r="Y418" s="287">
        <f>Z418/(D$13+D$97)</f>
        <v>0</v>
      </c>
      <c r="Z418" s="280">
        <f>+SUM(START:END!Z418)</f>
        <v>0</v>
      </c>
      <c r="AA418" s="279"/>
      <c r="AB418" s="287">
        <f>IF(AC418=0,0,AC418/(G$13+G$97))</f>
        <v>0</v>
      </c>
      <c r="AC418" s="280">
        <f>+SUM(START:END!AC418)</f>
        <v>0</v>
      </c>
      <c r="AD418" s="288"/>
      <c r="AE418" s="287">
        <f>IF(AF418=0,0,AF418/(J$13+J$97))</f>
        <v>0</v>
      </c>
      <c r="AF418" s="280">
        <f>+SUM(START:END!AF418)</f>
        <v>0</v>
      </c>
      <c r="AG418" s="281">
        <f t="shared" si="50"/>
        <v>0</v>
      </c>
      <c r="AH418" s="282">
        <f t="shared" si="50"/>
        <v>0</v>
      </c>
      <c r="AI418" s="283">
        <f t="shared" si="51"/>
        <v>0</v>
      </c>
      <c r="AJ418" s="288"/>
      <c r="AK418" s="282">
        <f>AL418/(O$13+O$97)</f>
        <v>0</v>
      </c>
      <c r="AL418" s="280"/>
      <c r="AM418" s="284">
        <f>AE418-Y418</f>
        <v>0</v>
      </c>
      <c r="AN418" s="282">
        <f>AF418-AL418</f>
        <v>0</v>
      </c>
      <c r="AO418" s="289">
        <f t="shared" si="54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49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0.29294762559608073</v>
      </c>
      <c r="Y419" s="297"/>
      <c r="Z419" s="299">
        <f>SUM(Z409:Z418)</f>
        <v>412226.82536008162</v>
      </c>
      <c r="AA419" s="298" t="e">
        <f>AC419/AC407</f>
        <v>#DIV/0!</v>
      </c>
      <c r="AB419" s="297"/>
      <c r="AC419" s="299">
        <f>SUM(AC409:AC418)</f>
        <v>0</v>
      </c>
      <c r="AD419" s="300">
        <f>AF419/AF407</f>
        <v>0.25969701377823184</v>
      </c>
      <c r="AE419" s="297"/>
      <c r="AF419" s="299">
        <f>SUM(AF409:AF418)</f>
        <v>442652.69</v>
      </c>
      <c r="AG419" s="301"/>
      <c r="AH419" s="302">
        <f t="shared" si="50"/>
        <v>30425.864639918378</v>
      </c>
      <c r="AI419" s="298">
        <f>AH419/Z419</f>
        <v>7.380855094362497E-2</v>
      </c>
      <c r="AJ419" s="300">
        <f>IF($AL$407=0,0,AL419/$AL$407)</f>
        <v>0.33573580224672317</v>
      </c>
      <c r="AK419" s="297"/>
      <c r="AL419" s="299">
        <f>SUM(AL409:AL418)</f>
        <v>459973.55000000005</v>
      </c>
      <c r="AM419" s="303"/>
      <c r="AN419" s="302">
        <f t="shared" ref="AN419:AN431" si="60">AF419-AL419</f>
        <v>-17320.860000000044</v>
      </c>
      <c r="AO419" s="277">
        <f t="shared" si="54"/>
        <v>-3.7656208710261804E-2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49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136</v>
      </c>
      <c r="X420" s="279"/>
      <c r="Y420" s="279"/>
      <c r="Z420" s="280">
        <f>+SUM(START:END!Z420)</f>
        <v>42384.879693486597</v>
      </c>
      <c r="AA420" s="279"/>
      <c r="AB420" s="279">
        <f t="shared" ref="AB420:AB430" si="61">IF(AC420=0,0,AC420/(G$13+G$97))</f>
        <v>0</v>
      </c>
      <c r="AC420" s="280">
        <f>+SUM(START:END!AC420)</f>
        <v>0</v>
      </c>
      <c r="AD420" s="288"/>
      <c r="AE420" s="287"/>
      <c r="AF420" s="280">
        <f>+SUM(START:END!AF420)</f>
        <v>45428.28</v>
      </c>
      <c r="AG420" s="281"/>
      <c r="AH420" s="282">
        <f t="shared" si="50"/>
        <v>3043.400306513402</v>
      </c>
      <c r="AI420" s="283">
        <f t="shared" ref="AI420:AI432" si="62">IF(Z420=0,0,AH420/Z420)</f>
        <v>7.180391518207116E-2</v>
      </c>
      <c r="AJ420" s="288"/>
      <c r="AK420" s="279"/>
      <c r="AL420" s="280">
        <f>+SUM(START:END!AL420)</f>
        <v>38428.429999999906</v>
      </c>
      <c r="AM420" s="284"/>
      <c r="AN420" s="282">
        <f t="shared" si="60"/>
        <v>6999.8500000000931</v>
      </c>
      <c r="AO420" s="289">
        <f t="shared" si="54"/>
        <v>0.18215290086012129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49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137</v>
      </c>
      <c r="X421" s="279"/>
      <c r="Y421" s="279"/>
      <c r="Z421" s="280">
        <f>+SUM(START:END!Z421)</f>
        <v>96326.392720306525</v>
      </c>
      <c r="AA421" s="279"/>
      <c r="AB421" s="279">
        <f t="shared" si="61"/>
        <v>0</v>
      </c>
      <c r="AC421" s="280">
        <f>+SUM(START:END!AC421)</f>
        <v>0</v>
      </c>
      <c r="AD421" s="288"/>
      <c r="AE421" s="287"/>
      <c r="AF421" s="280">
        <f>+SUM(START:END!AF421)</f>
        <v>102831.95</v>
      </c>
      <c r="AG421" s="281"/>
      <c r="AH421" s="282">
        <f t="shared" si="50"/>
        <v>6505.5572796934721</v>
      </c>
      <c r="AI421" s="283">
        <f t="shared" si="62"/>
        <v>6.7536602336838447E-2</v>
      </c>
      <c r="AJ421" s="288"/>
      <c r="AK421" s="279"/>
      <c r="AL421" s="280">
        <f t="shared" ref="AL421:AL430" si="63">+SUMIF($C:$C,$V421,Q:Q)</f>
        <v>82914.080000000002</v>
      </c>
      <c r="AM421" s="284"/>
      <c r="AN421" s="282">
        <f t="shared" si="60"/>
        <v>19917.869999999995</v>
      </c>
      <c r="AO421" s="289">
        <f t="shared" si="54"/>
        <v>0.24022301158018028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49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>+SUM(START:END!Z422)</f>
        <v>60568.78256704982</v>
      </c>
      <c r="AA422" s="263"/>
      <c r="AB422" s="263">
        <f t="shared" si="61"/>
        <v>0</v>
      </c>
      <c r="AC422" s="264">
        <f>+SUM(START:END!AC422)</f>
        <v>0</v>
      </c>
      <c r="AD422" s="292"/>
      <c r="AE422" s="291"/>
      <c r="AF422" s="264">
        <f>+SUM(START:END!AF422)</f>
        <v>61349.210000000006</v>
      </c>
      <c r="AG422" s="265"/>
      <c r="AH422" s="266">
        <f t="shared" si="50"/>
        <v>780.4274329501859</v>
      </c>
      <c r="AI422" s="293">
        <f t="shared" si="62"/>
        <v>1.2884978034456124E-2</v>
      </c>
      <c r="AJ422" s="292"/>
      <c r="AK422" s="263"/>
      <c r="AL422" s="264">
        <f t="shared" si="63"/>
        <v>59685.29</v>
      </c>
      <c r="AM422" s="268"/>
      <c r="AN422" s="266">
        <f t="shared" si="60"/>
        <v>1663.9200000000055</v>
      </c>
      <c r="AO422" s="269">
        <f t="shared" si="54"/>
        <v>2.7878225941433903E-2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49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>+SUM(START:END!Z423)</f>
        <v>67517.180235231222</v>
      </c>
      <c r="AA423" s="279"/>
      <c r="AB423" s="279">
        <f t="shared" si="61"/>
        <v>0</v>
      </c>
      <c r="AC423" s="280">
        <f>+SUM(START:END!AC423)</f>
        <v>0</v>
      </c>
      <c r="AD423" s="288"/>
      <c r="AE423" s="287"/>
      <c r="AF423" s="280">
        <f>+SUM(START:END!AF423)</f>
        <v>81379.320000000007</v>
      </c>
      <c r="AG423" s="281"/>
      <c r="AH423" s="282">
        <f t="shared" si="50"/>
        <v>13862.139764768785</v>
      </c>
      <c r="AI423" s="283">
        <f t="shared" si="62"/>
        <v>0.20531277693281635</v>
      </c>
      <c r="AJ423" s="288"/>
      <c r="AK423" s="279"/>
      <c r="AL423" s="280">
        <f t="shared" si="63"/>
        <v>67921.48</v>
      </c>
      <c r="AM423" s="284"/>
      <c r="AN423" s="282">
        <f t="shared" si="60"/>
        <v>13457.840000000011</v>
      </c>
      <c r="AO423" s="289">
        <f t="shared" si="54"/>
        <v>0.19813820311335989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49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140</v>
      </c>
      <c r="X424" s="279"/>
      <c r="Y424" s="279"/>
      <c r="Z424" s="280">
        <f>+SUM(START:END!Z424)</f>
        <v>42970.374111111109</v>
      </c>
      <c r="AA424" s="279"/>
      <c r="AB424" s="279">
        <f t="shared" si="61"/>
        <v>0</v>
      </c>
      <c r="AC424" s="280">
        <f>+SUM(START:END!AC424)</f>
        <v>0</v>
      </c>
      <c r="AD424" s="288"/>
      <c r="AE424" s="287"/>
      <c r="AF424" s="280">
        <f>+SUM(START:END!AF424)</f>
        <v>45118.130000000005</v>
      </c>
      <c r="AG424" s="281"/>
      <c r="AH424" s="282">
        <f t="shared" si="50"/>
        <v>2147.7558888888962</v>
      </c>
      <c r="AI424" s="283">
        <f t="shared" si="62"/>
        <v>4.9982247846744668E-2</v>
      </c>
      <c r="AJ424" s="288"/>
      <c r="AK424" s="279"/>
      <c r="AL424" s="280">
        <f t="shared" si="63"/>
        <v>44000.47</v>
      </c>
      <c r="AM424" s="284"/>
      <c r="AN424" s="282">
        <f t="shared" si="60"/>
        <v>1117.6600000000035</v>
      </c>
      <c r="AO424" s="289">
        <f t="shared" si="54"/>
        <v>2.5401092306514078E-2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 customHeight="1">
      <c r="A425" t="str">
        <f t="shared" si="49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>+SUM(START:END!Z425)</f>
        <v>0</v>
      </c>
      <c r="AA425" s="279"/>
      <c r="AB425" s="279">
        <f t="shared" si="61"/>
        <v>0</v>
      </c>
      <c r="AC425" s="282">
        <f>+SUM(START:END!AC425)</f>
        <v>0</v>
      </c>
      <c r="AD425" s="288"/>
      <c r="AE425" s="287"/>
      <c r="AF425" s="280">
        <f>+SUM(START:END!AF425)</f>
        <v>0</v>
      </c>
      <c r="AG425" s="281"/>
      <c r="AH425" s="282">
        <f t="shared" ref="AH425:AH451" si="64">AF425-Z425</f>
        <v>0</v>
      </c>
      <c r="AI425" s="283">
        <f t="shared" si="62"/>
        <v>0</v>
      </c>
      <c r="AJ425" s="288"/>
      <c r="AK425" s="279"/>
      <c r="AL425" s="280"/>
      <c r="AM425" s="284"/>
      <c r="AN425" s="282">
        <f t="shared" si="60"/>
        <v>0</v>
      </c>
      <c r="AO425" s="289">
        <f t="shared" si="54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 customHeight="1">
      <c r="A426" t="str">
        <f t="shared" si="49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>+SUM(START:END!Z426)</f>
        <v>0</v>
      </c>
      <c r="AA426" s="279"/>
      <c r="AB426" s="279">
        <f t="shared" si="61"/>
        <v>0</v>
      </c>
      <c r="AC426" s="282">
        <f>+SUM(START:END!AC426)</f>
        <v>0</v>
      </c>
      <c r="AD426" s="288"/>
      <c r="AE426" s="287"/>
      <c r="AF426" s="280">
        <f>+SUM(START:END!AF426)</f>
        <v>0</v>
      </c>
      <c r="AG426" s="281"/>
      <c r="AH426" s="282">
        <f t="shared" si="64"/>
        <v>0</v>
      </c>
      <c r="AI426" s="283">
        <f t="shared" si="62"/>
        <v>0</v>
      </c>
      <c r="AJ426" s="288"/>
      <c r="AK426" s="279"/>
      <c r="AL426" s="280"/>
      <c r="AM426" s="284"/>
      <c r="AN426" s="282">
        <f t="shared" si="60"/>
        <v>0</v>
      </c>
      <c r="AO426" s="289">
        <f t="shared" si="54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 customHeight="1">
      <c r="A427" t="str">
        <f t="shared" si="49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>+SUM(START:END!Z427)</f>
        <v>0</v>
      </c>
      <c r="AA427" s="279"/>
      <c r="AB427" s="279">
        <f t="shared" si="61"/>
        <v>0</v>
      </c>
      <c r="AC427" s="282">
        <f>+SUM(START:END!AC427)</f>
        <v>0</v>
      </c>
      <c r="AD427" s="288"/>
      <c r="AE427" s="287"/>
      <c r="AF427" s="280">
        <f>+SUM(START:END!AF427)</f>
        <v>0</v>
      </c>
      <c r="AG427" s="281"/>
      <c r="AH427" s="282">
        <f t="shared" si="64"/>
        <v>0</v>
      </c>
      <c r="AI427" s="283">
        <f t="shared" si="62"/>
        <v>0</v>
      </c>
      <c r="AJ427" s="288"/>
      <c r="AK427" s="279"/>
      <c r="AL427" s="280"/>
      <c r="AM427" s="284"/>
      <c r="AN427" s="282">
        <f t="shared" si="60"/>
        <v>0</v>
      </c>
      <c r="AO427" s="289">
        <f t="shared" si="54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49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>+SUM(START:END!Z428)</f>
        <v>77693.066964831058</v>
      </c>
      <c r="AA428" s="263"/>
      <c r="AB428" s="263">
        <f t="shared" si="61"/>
        <v>0</v>
      </c>
      <c r="AC428" s="264">
        <f>+SUM(START:END!AC428)</f>
        <v>0</v>
      </c>
      <c r="AD428" s="292"/>
      <c r="AE428" s="291"/>
      <c r="AF428" s="264">
        <f>+SUM(START:END!AF428)</f>
        <v>83929.71</v>
      </c>
      <c r="AG428" s="265"/>
      <c r="AH428" s="266">
        <f t="shared" si="64"/>
        <v>6236.6430351689487</v>
      </c>
      <c r="AI428" s="293">
        <f t="shared" si="62"/>
        <v>8.0272838733371918E-2</v>
      </c>
      <c r="AJ428" s="292"/>
      <c r="AK428" s="263"/>
      <c r="AL428" s="264">
        <f t="shared" si="63"/>
        <v>63445.98</v>
      </c>
      <c r="AM428" s="268"/>
      <c r="AN428" s="266">
        <f t="shared" si="60"/>
        <v>20483.730000000003</v>
      </c>
      <c r="AO428" s="294">
        <f t="shared" si="54"/>
        <v>0.32285307910761252</v>
      </c>
      <c r="AP428" s="475"/>
      <c r="AQ428" s="483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49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>+SUM(START:END!Z429)</f>
        <v>89715.48628049223</v>
      </c>
      <c r="AA429" s="279"/>
      <c r="AB429" s="279">
        <f t="shared" si="61"/>
        <v>0</v>
      </c>
      <c r="AC429" s="280">
        <f>+SUM(START:END!AC429)</f>
        <v>0</v>
      </c>
      <c r="AD429" s="288"/>
      <c r="AE429" s="287"/>
      <c r="AF429" s="280">
        <f>+SUM(START:END!AF429)</f>
        <v>108789.37999999999</v>
      </c>
      <c r="AG429" s="281"/>
      <c r="AH429" s="282">
        <f t="shared" si="64"/>
        <v>19073.89371950776</v>
      </c>
      <c r="AI429" s="283">
        <f t="shared" si="62"/>
        <v>0.21260425050669535</v>
      </c>
      <c r="AJ429" s="288"/>
      <c r="AK429" s="279"/>
      <c r="AL429" s="280">
        <f t="shared" si="63"/>
        <v>89837.64</v>
      </c>
      <c r="AM429" s="284"/>
      <c r="AN429" s="282">
        <f t="shared" si="60"/>
        <v>18951.739999999991</v>
      </c>
      <c r="AO429" s="289">
        <f t="shared" si="54"/>
        <v>0.21095545252524434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49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143</v>
      </c>
      <c r="X430" s="279"/>
      <c r="Y430" s="279"/>
      <c r="Z430" s="280">
        <f>+SUM(START:END!Z430)</f>
        <v>46681.847462935373</v>
      </c>
      <c r="AA430" s="279"/>
      <c r="AB430" s="279">
        <f t="shared" si="61"/>
        <v>0</v>
      </c>
      <c r="AC430" s="280">
        <f>+SUM(START:END!AC430)</f>
        <v>0</v>
      </c>
      <c r="AD430" s="288"/>
      <c r="AE430" s="287"/>
      <c r="AF430" s="280">
        <f>+SUM(START:END!AF430)</f>
        <v>45320.22</v>
      </c>
      <c r="AG430" s="281"/>
      <c r="AH430" s="282">
        <f t="shared" si="64"/>
        <v>-1361.627462935372</v>
      </c>
      <c r="AI430" s="283">
        <f t="shared" si="62"/>
        <v>-2.9168242838214193E-2</v>
      </c>
      <c r="AJ430" s="288"/>
      <c r="AK430" s="279"/>
      <c r="AL430" s="280">
        <f t="shared" si="63"/>
        <v>37575.020000000004</v>
      </c>
      <c r="AM430" s="284"/>
      <c r="AN430" s="282">
        <f t="shared" si="60"/>
        <v>7745.1999999999971</v>
      </c>
      <c r="AO430" s="289">
        <f t="shared" si="54"/>
        <v>0.20612630412438893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49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/>
      <c r="X431" s="279"/>
      <c r="Y431" s="279"/>
      <c r="Z431" s="280">
        <f>+SUM(START:END!Z431)</f>
        <v>10003.253027771863</v>
      </c>
      <c r="AA431" s="279"/>
      <c r="AB431" s="279">
        <f>IF(AC431=0,0,AC431/(G$13+G$97))</f>
        <v>0</v>
      </c>
      <c r="AC431" s="280">
        <f>+SUM(START:END!AC431)</f>
        <v>0</v>
      </c>
      <c r="AD431" s="288"/>
      <c r="AE431" s="287"/>
      <c r="AF431" s="280">
        <f>+SUM(START:END!AF431)</f>
        <v>19523.5</v>
      </c>
      <c r="AG431" s="281"/>
      <c r="AH431" s="282">
        <f t="shared" si="64"/>
        <v>9520.2469722281367</v>
      </c>
      <c r="AI431" s="306">
        <f t="shared" si="62"/>
        <v>0.95171510165715445</v>
      </c>
      <c r="AJ431" s="288"/>
      <c r="AK431" s="279"/>
      <c r="AL431" s="280">
        <f>+SUMIF($C:$C,$V431,Q:Q)</f>
        <v>11094.509999999998</v>
      </c>
      <c r="AM431" s="284"/>
      <c r="AN431" s="282">
        <f t="shared" si="60"/>
        <v>8428.9900000000016</v>
      </c>
      <c r="AO431" s="294">
        <f t="shared" si="54"/>
        <v>0.75974423385981016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 customHeight="1">
      <c r="A432" t="str">
        <f t="shared" si="49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+SUM(START:END!Z432)</f>
        <v>0</v>
      </c>
      <c r="AA432" s="279"/>
      <c r="AB432" s="279">
        <f>IF(AC432=0,0,AC432/(G$13+G$97))</f>
        <v>0</v>
      </c>
      <c r="AC432" s="282">
        <f>+SUM(START:END!AC432)</f>
        <v>0</v>
      </c>
      <c r="AD432" s="288"/>
      <c r="AE432" s="287"/>
      <c r="AF432" s="280">
        <f>+SUM(START:END!AF432)</f>
        <v>0</v>
      </c>
      <c r="AG432" s="281"/>
      <c r="AH432" s="282">
        <f t="shared" si="64"/>
        <v>0</v>
      </c>
      <c r="AI432" s="283">
        <f t="shared" si="62"/>
        <v>0</v>
      </c>
      <c r="AJ432" s="288"/>
      <c r="AK432" s="279">
        <f>AL432/(O$13+O$97)</f>
        <v>0</v>
      </c>
      <c r="AL432" s="280"/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49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0.37938673514389443</v>
      </c>
      <c r="Y433" s="297"/>
      <c r="Z433" s="299">
        <f>SUM(Z420:Z432)</f>
        <v>533861.26306321577</v>
      </c>
      <c r="AA433" s="298" t="e">
        <f>AC433/AC407</f>
        <v>#DIV/0!</v>
      </c>
      <c r="AB433" s="297"/>
      <c r="AC433" s="299">
        <f>SUM(AC420:AC432)</f>
        <v>0</v>
      </c>
      <c r="AD433" s="300">
        <f>AF433/AF407</f>
        <v>0.34829619641669579</v>
      </c>
      <c r="AE433" s="307"/>
      <c r="AF433" s="299">
        <f>SUM(AF420:AF432)</f>
        <v>593669.69999999995</v>
      </c>
      <c r="AG433" s="308"/>
      <c r="AH433" s="302">
        <f t="shared" si="64"/>
        <v>59808.436936784186</v>
      </c>
      <c r="AI433" s="298">
        <f>AH433/Z433</f>
        <v>0.11202992439198971</v>
      </c>
      <c r="AJ433" s="300">
        <f>IF($AL$407=0,0,AL433/$AL$407)</f>
        <v>0.36123081895845915</v>
      </c>
      <c r="AK433" s="297"/>
      <c r="AL433" s="299">
        <f>SUM(AL420:AL432)</f>
        <v>494902.89999999991</v>
      </c>
      <c r="AM433" s="309"/>
      <c r="AN433" s="302">
        <f t="shared" ref="AN433:AN447" si="65">AF433-AL433</f>
        <v>98766.800000000047</v>
      </c>
      <c r="AO433" s="277">
        <f>IF(AL433=0,0,AN433/AL433)</f>
        <v>0.19956803647745863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49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133</v>
      </c>
      <c r="X434" s="312"/>
      <c r="Y434" s="312"/>
      <c r="Z434" s="313">
        <f>+SUM(START:END!Z434)</f>
        <v>25035.027438353856</v>
      </c>
      <c r="AA434" s="312"/>
      <c r="AB434" s="312">
        <f t="shared" ref="AB434:AB451" si="66">IF(AC434=0,0,AC434/(G$13+G$97))</f>
        <v>0</v>
      </c>
      <c r="AC434" s="313">
        <f>+SUM(START:END!AC434)</f>
        <v>0</v>
      </c>
      <c r="AD434" s="314"/>
      <c r="AE434" s="315"/>
      <c r="AF434" s="313">
        <f>+SUM(START:END!AF434)</f>
        <v>29964.549999999996</v>
      </c>
      <c r="AG434" s="314"/>
      <c r="AH434" s="316">
        <f t="shared" si="64"/>
        <v>4929.5225616461394</v>
      </c>
      <c r="AI434" s="317">
        <f t="shared" ref="AI434:AI451" si="67">IF(Z434=0,0,AH434/Z434)</f>
        <v>0.19690501932880139</v>
      </c>
      <c r="AJ434" s="314"/>
      <c r="AK434" s="312"/>
      <c r="AL434" s="313">
        <f t="shared" ref="AL434:AL449" si="68">+SUMIF($C:$C,$V434,Q:Q)</f>
        <v>27908.379999999997</v>
      </c>
      <c r="AM434" s="318"/>
      <c r="AN434" s="316">
        <f t="shared" si="65"/>
        <v>2056.1699999999983</v>
      </c>
      <c r="AO434" s="285">
        <f t="shared" ref="AO434:AO447" si="69">IF(AL434=0,0,AN434/AL434)</f>
        <v>7.3675720339195561E-2</v>
      </c>
      <c r="AP434" s="246"/>
      <c r="AQ434" s="246"/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49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144</v>
      </c>
      <c r="X435" s="279"/>
      <c r="Y435" s="279"/>
      <c r="Z435" s="280">
        <f>+SUM(START:END!Z435)</f>
        <v>10000</v>
      </c>
      <c r="AA435" s="279"/>
      <c r="AB435" s="279">
        <f t="shared" si="66"/>
        <v>0</v>
      </c>
      <c r="AC435" s="280">
        <f>+SUM(START:END!AC435)</f>
        <v>0</v>
      </c>
      <c r="AD435" s="288"/>
      <c r="AE435" s="287"/>
      <c r="AF435" s="280">
        <f>+SUM(START:END!AF435)</f>
        <v>13745.61</v>
      </c>
      <c r="AG435" s="281"/>
      <c r="AH435" s="282">
        <f t="shared" si="64"/>
        <v>3745.6100000000006</v>
      </c>
      <c r="AI435" s="283">
        <f t="shared" si="67"/>
        <v>0.37456100000000003</v>
      </c>
      <c r="AJ435" s="288"/>
      <c r="AK435" s="279"/>
      <c r="AL435" s="280">
        <f t="shared" si="68"/>
        <v>12670.01999999999</v>
      </c>
      <c r="AM435" s="284"/>
      <c r="AN435" s="282">
        <f t="shared" si="65"/>
        <v>1075.5900000000111</v>
      </c>
      <c r="AO435" s="289">
        <f t="shared" si="69"/>
        <v>8.4892525820796802E-2</v>
      </c>
      <c r="AP435" s="246"/>
      <c r="AQ435" s="246"/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49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145</v>
      </c>
      <c r="X436" s="263"/>
      <c r="Y436" s="263"/>
      <c r="Z436" s="264">
        <f>+SUM(START:END!Z436)</f>
        <v>58034</v>
      </c>
      <c r="AA436" s="263"/>
      <c r="AB436" s="263">
        <f t="shared" si="66"/>
        <v>0</v>
      </c>
      <c r="AC436" s="264">
        <f>+SUM(START:END!AC436)</f>
        <v>0</v>
      </c>
      <c r="AD436" s="292"/>
      <c r="AE436" s="291"/>
      <c r="AF436" s="264">
        <f>+SUM(START:END!AF436)</f>
        <v>66021.81</v>
      </c>
      <c r="AG436" s="265"/>
      <c r="AH436" s="266">
        <f t="shared" si="64"/>
        <v>7987.8099999999977</v>
      </c>
      <c r="AI436" s="293">
        <f t="shared" si="67"/>
        <v>0.13764017644828888</v>
      </c>
      <c r="AJ436" s="292"/>
      <c r="AK436" s="263"/>
      <c r="AL436" s="264">
        <f t="shared" si="68"/>
        <v>53926.059999999983</v>
      </c>
      <c r="AM436" s="268"/>
      <c r="AN436" s="266">
        <f t="shared" si="65"/>
        <v>12095.750000000015</v>
      </c>
      <c r="AO436" s="269">
        <f t="shared" si="69"/>
        <v>0.22430249864351332</v>
      </c>
      <c r="AP436" s="246"/>
      <c r="AQ436" s="246"/>
      <c r="AR436" s="485"/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49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146</v>
      </c>
      <c r="X437" s="279"/>
      <c r="Y437" s="279"/>
      <c r="Z437" s="280">
        <f>+SUM(START:END!Z437)</f>
        <v>42492</v>
      </c>
      <c r="AA437" s="279"/>
      <c r="AB437" s="279">
        <f t="shared" si="66"/>
        <v>0</v>
      </c>
      <c r="AC437" s="280">
        <f>+SUM(START:END!AC437)</f>
        <v>0</v>
      </c>
      <c r="AD437" s="288"/>
      <c r="AE437" s="287"/>
      <c r="AF437" s="280">
        <f>+SUM(START:END!AF437)</f>
        <v>44337.369999999995</v>
      </c>
      <c r="AG437" s="281"/>
      <c r="AH437" s="282">
        <f>AF437-Z437</f>
        <v>1845.3699999999953</v>
      </c>
      <c r="AI437" s="283">
        <f t="shared" si="67"/>
        <v>4.3428645392073695E-2</v>
      </c>
      <c r="AJ437" s="288"/>
      <c r="AK437" s="279"/>
      <c r="AL437" s="280">
        <f t="shared" si="68"/>
        <v>41496.42</v>
      </c>
      <c r="AM437" s="284"/>
      <c r="AN437" s="282">
        <f t="shared" si="65"/>
        <v>2840.9499999999971</v>
      </c>
      <c r="AO437" s="289">
        <f t="shared" si="69"/>
        <v>6.8462532430508399E-2</v>
      </c>
      <c r="AP437" s="485"/>
      <c r="AQ437" s="246"/>
      <c r="AR437" s="246"/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49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147</v>
      </c>
      <c r="X438" s="279"/>
      <c r="Y438" s="279"/>
      <c r="Z438" s="280">
        <f>+SUM(START:END!Z438)</f>
        <v>5500</v>
      </c>
      <c r="AA438" s="279"/>
      <c r="AB438" s="279">
        <f t="shared" si="66"/>
        <v>0</v>
      </c>
      <c r="AC438" s="280">
        <f>+SUM(START:END!AC438)</f>
        <v>0</v>
      </c>
      <c r="AD438" s="288"/>
      <c r="AE438" s="287"/>
      <c r="AF438" s="280">
        <f>+SUM(START:END!AF438)</f>
        <v>5556.21</v>
      </c>
      <c r="AG438" s="281"/>
      <c r="AH438" s="282">
        <f t="shared" si="64"/>
        <v>56.210000000000036</v>
      </c>
      <c r="AI438" s="283">
        <f t="shared" si="67"/>
        <v>1.0220000000000007E-2</v>
      </c>
      <c r="AJ438" s="288"/>
      <c r="AK438" s="279"/>
      <c r="AL438" s="280">
        <f t="shared" si="68"/>
        <v>7279.8600000000006</v>
      </c>
      <c r="AM438" s="284"/>
      <c r="AN438" s="282">
        <f t="shared" si="65"/>
        <v>-1723.6500000000005</v>
      </c>
      <c r="AO438" s="289">
        <f t="shared" si="69"/>
        <v>-0.23676966315286288</v>
      </c>
      <c r="AP438" s="485"/>
      <c r="AQ438" s="246"/>
      <c r="AR438" s="485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49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148</v>
      </c>
      <c r="X439" s="279"/>
      <c r="Y439" s="279"/>
      <c r="Z439" s="280">
        <f>+SUM(START:END!Z439)</f>
        <v>35148</v>
      </c>
      <c r="AA439" s="279"/>
      <c r="AB439" s="279">
        <f t="shared" si="66"/>
        <v>0</v>
      </c>
      <c r="AC439" s="280">
        <f>+SUM(START:END!AC439)</f>
        <v>0</v>
      </c>
      <c r="AD439" s="288"/>
      <c r="AE439" s="287"/>
      <c r="AF439" s="280">
        <f>+SUM(START:END!AF439)</f>
        <v>26101.17</v>
      </c>
      <c r="AG439" s="281"/>
      <c r="AH439" s="282">
        <f t="shared" si="64"/>
        <v>-9046.8300000000017</v>
      </c>
      <c r="AI439" s="283">
        <f t="shared" si="67"/>
        <v>-0.25739245476271772</v>
      </c>
      <c r="AJ439" s="288"/>
      <c r="AK439" s="279"/>
      <c r="AL439" s="280">
        <f t="shared" si="68"/>
        <v>38302.74</v>
      </c>
      <c r="AM439" s="284"/>
      <c r="AN439" s="282">
        <f t="shared" si="65"/>
        <v>-12201.57</v>
      </c>
      <c r="AO439" s="289">
        <f t="shared" si="69"/>
        <v>-0.31855606152458021</v>
      </c>
      <c r="AP439" s="246"/>
      <c r="AQ439" s="246"/>
      <c r="AR439" s="246"/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>+SUM(START:END!Z440)</f>
        <v>0</v>
      </c>
      <c r="AA440" s="320"/>
      <c r="AB440" s="320">
        <f t="shared" si="66"/>
        <v>0</v>
      </c>
      <c r="AC440" s="321">
        <f>+SUM(START:END!AC440)</f>
        <v>0</v>
      </c>
      <c r="AD440" s="322"/>
      <c r="AE440" s="323"/>
      <c r="AF440" s="321">
        <f>+SUM(START:END!AF440)</f>
        <v>0</v>
      </c>
      <c r="AG440" s="324"/>
      <c r="AH440" s="325">
        <f t="shared" si="64"/>
        <v>0</v>
      </c>
      <c r="AI440" s="326">
        <f t="shared" si="67"/>
        <v>0</v>
      </c>
      <c r="AJ440" s="322"/>
      <c r="AK440" s="320"/>
      <c r="AL440" s="321">
        <f t="shared" si="68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49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>+SUM(START:END!Z441)</f>
        <v>3502.5</v>
      </c>
      <c r="AA441" s="279"/>
      <c r="AB441" s="287">
        <f t="shared" si="66"/>
        <v>0</v>
      </c>
      <c r="AC441" s="280">
        <f>+SUM(START:END!AC441)</f>
        <v>0</v>
      </c>
      <c r="AD441" s="288"/>
      <c r="AE441" s="287"/>
      <c r="AF441" s="280">
        <f>+SUM(START:END!AF441)</f>
        <v>8790.2100000000009</v>
      </c>
      <c r="AG441" s="281"/>
      <c r="AH441" s="282">
        <f t="shared" si="64"/>
        <v>5287.7100000000009</v>
      </c>
      <c r="AI441" s="283">
        <f t="shared" si="67"/>
        <v>1.5096959314775162</v>
      </c>
      <c r="AJ441" s="288"/>
      <c r="AK441" s="279"/>
      <c r="AL441" s="280">
        <f t="shared" si="68"/>
        <v>1435.72</v>
      </c>
      <c r="AM441" s="284"/>
      <c r="AN441" s="282">
        <f t="shared" si="65"/>
        <v>7354.4900000000007</v>
      </c>
      <c r="AO441" s="289">
        <f t="shared" si="69"/>
        <v>5.1225099601593627</v>
      </c>
      <c r="AP441" s="246"/>
      <c r="AQ441" s="246"/>
      <c r="AR441" s="246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49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150</v>
      </c>
      <c r="X442" s="279"/>
      <c r="Y442" s="279"/>
      <c r="Z442" s="280">
        <f>+SUM(START:END!Z442)</f>
        <v>3180</v>
      </c>
      <c r="AA442" s="279"/>
      <c r="AB442" s="279">
        <f t="shared" si="66"/>
        <v>0</v>
      </c>
      <c r="AC442" s="280">
        <f>+SUM(START:END!AC442)</f>
        <v>0</v>
      </c>
      <c r="AD442" s="288"/>
      <c r="AE442" s="287"/>
      <c r="AF442" s="280">
        <f>+SUM(START:END!AF442)</f>
        <v>3482.61</v>
      </c>
      <c r="AG442" s="281"/>
      <c r="AH442" s="282">
        <f t="shared" si="64"/>
        <v>302.61000000000013</v>
      </c>
      <c r="AI442" s="306">
        <f t="shared" si="67"/>
        <v>9.5160377358490603E-2</v>
      </c>
      <c r="AJ442" s="288"/>
      <c r="AK442" s="279"/>
      <c r="AL442" s="280">
        <f t="shared" si="68"/>
        <v>3072.5199999999995</v>
      </c>
      <c r="AM442" s="284"/>
      <c r="AN442" s="282">
        <f t="shared" si="65"/>
        <v>410.0900000000006</v>
      </c>
      <c r="AO442" s="289">
        <f t="shared" si="69"/>
        <v>0.13347024592191448</v>
      </c>
      <c r="AP442" s="246"/>
      <c r="AQ442" s="246"/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 t="shared" si="49"/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>+SUM(START:END!Z443)</f>
        <v>4725</v>
      </c>
      <c r="AA443" s="279"/>
      <c r="AB443" s="279">
        <f t="shared" si="66"/>
        <v>0</v>
      </c>
      <c r="AC443" s="280">
        <f>+SUM(START:END!AC443)</f>
        <v>0</v>
      </c>
      <c r="AD443" s="288"/>
      <c r="AE443" s="287"/>
      <c r="AF443" s="280">
        <f>+SUM(START:END!AF443)</f>
        <v>5313.56</v>
      </c>
      <c r="AG443" s="281"/>
      <c r="AH443" s="282">
        <f t="shared" si="64"/>
        <v>588.5600000000004</v>
      </c>
      <c r="AI443" s="283">
        <f t="shared" si="67"/>
        <v>0.12456296296296304</v>
      </c>
      <c r="AJ443" s="288"/>
      <c r="AK443" s="279"/>
      <c r="AL443" s="280">
        <f t="shared" si="68"/>
        <v>4205.8600000000006</v>
      </c>
      <c r="AM443" s="284"/>
      <c r="AN443" s="282">
        <f t="shared" si="65"/>
        <v>1107.6999999999998</v>
      </c>
      <c r="AO443" s="289">
        <f t="shared" si="69"/>
        <v>0.26337063050125292</v>
      </c>
      <c r="AP443" s="246"/>
      <c r="AQ443" s="246"/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49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152</v>
      </c>
      <c r="X444" s="279"/>
      <c r="Y444" s="279"/>
      <c r="Z444" s="280">
        <f>+SUM(START:END!Z444)</f>
        <v>1536</v>
      </c>
      <c r="AA444" s="279"/>
      <c r="AB444" s="279">
        <f t="shared" si="66"/>
        <v>0</v>
      </c>
      <c r="AC444" s="280">
        <f>+SUM(START:END!AC444)</f>
        <v>0</v>
      </c>
      <c r="AD444" s="288"/>
      <c r="AE444" s="287"/>
      <c r="AF444" s="280">
        <f>+SUM(START:END!AF444)</f>
        <v>1403.95</v>
      </c>
      <c r="AG444" s="281"/>
      <c r="AH444" s="282">
        <f t="shared" si="64"/>
        <v>-132.04999999999995</v>
      </c>
      <c r="AI444" s="306">
        <f t="shared" si="67"/>
        <v>-8.5970052083333304E-2</v>
      </c>
      <c r="AJ444" s="288"/>
      <c r="AK444" s="279"/>
      <c r="AL444" s="280">
        <f t="shared" si="68"/>
        <v>1909.2199999999998</v>
      </c>
      <c r="AM444" s="284"/>
      <c r="AN444" s="282">
        <f t="shared" si="65"/>
        <v>-505.26999999999975</v>
      </c>
      <c r="AO444" s="289">
        <f t="shared" si="69"/>
        <v>-0.26464734289395658</v>
      </c>
      <c r="AP444" s="246"/>
      <c r="AQ444" s="246"/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49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153</v>
      </c>
      <c r="X445" s="279"/>
      <c r="Y445" s="279"/>
      <c r="Z445" s="280">
        <f>+SUM(START:END!Z445)</f>
        <v>2850</v>
      </c>
      <c r="AA445" s="279"/>
      <c r="AB445" s="279">
        <f t="shared" si="66"/>
        <v>0</v>
      </c>
      <c r="AC445" s="280">
        <f>+SUM(START:END!AC445)</f>
        <v>0</v>
      </c>
      <c r="AD445" s="288"/>
      <c r="AE445" s="287"/>
      <c r="AF445" s="280">
        <f>+SUM(START:END!AF445)</f>
        <v>3357.24</v>
      </c>
      <c r="AG445" s="281"/>
      <c r="AH445" s="282">
        <f t="shared" si="64"/>
        <v>507.23999999999978</v>
      </c>
      <c r="AI445" s="283">
        <f t="shared" si="67"/>
        <v>0.17797894736842099</v>
      </c>
      <c r="AJ445" s="288"/>
      <c r="AK445" s="279"/>
      <c r="AL445" s="280">
        <f t="shared" si="68"/>
        <v>2422.5299999999997</v>
      </c>
      <c r="AM445" s="284"/>
      <c r="AN445" s="282">
        <f t="shared" si="65"/>
        <v>934.71</v>
      </c>
      <c r="AO445" s="289">
        <f t="shared" si="69"/>
        <v>0.38584042302881705</v>
      </c>
      <c r="AP445" s="246"/>
      <c r="AQ445" s="246"/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49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154</v>
      </c>
      <c r="X446" s="279"/>
      <c r="Y446" s="287"/>
      <c r="Z446" s="280">
        <f>+SUM(START:END!Z446)</f>
        <v>5223.0000000000009</v>
      </c>
      <c r="AA446" s="279"/>
      <c r="AB446" s="287">
        <f t="shared" si="66"/>
        <v>0</v>
      </c>
      <c r="AC446" s="280">
        <f>+SUM(START:END!AC446)</f>
        <v>0</v>
      </c>
      <c r="AD446" s="288"/>
      <c r="AE446" s="287"/>
      <c r="AF446" s="280">
        <f>+SUM(START:END!AF446)</f>
        <v>9503.0400000000009</v>
      </c>
      <c r="AG446" s="281"/>
      <c r="AH446" s="282">
        <f t="shared" si="64"/>
        <v>4280.04</v>
      </c>
      <c r="AI446" s="306">
        <f t="shared" si="67"/>
        <v>0.81946008041355523</v>
      </c>
      <c r="AJ446" s="288"/>
      <c r="AK446" s="279"/>
      <c r="AL446" s="280">
        <f t="shared" si="68"/>
        <v>4743</v>
      </c>
      <c r="AM446" s="284"/>
      <c r="AN446" s="282">
        <f t="shared" si="65"/>
        <v>4760.0400000000009</v>
      </c>
      <c r="AO446" s="289">
        <f t="shared" si="69"/>
        <v>1.0035926628716005</v>
      </c>
      <c r="AP446" s="246"/>
      <c r="AQ446" s="246"/>
      <c r="AR446" s="246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49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155</v>
      </c>
      <c r="X447" s="279"/>
      <c r="Y447" s="287"/>
      <c r="Z447" s="280">
        <f>+SUM(START:END!Z447)</f>
        <v>7747.0633999999991</v>
      </c>
      <c r="AA447" s="279"/>
      <c r="AB447" s="287">
        <f t="shared" si="66"/>
        <v>0</v>
      </c>
      <c r="AC447" s="280">
        <f>+SUM(START:END!AC447)</f>
        <v>0</v>
      </c>
      <c r="AD447" s="288"/>
      <c r="AE447" s="287"/>
      <c r="AF447" s="280">
        <f>+SUM(START:END!AF447)</f>
        <v>6634.61</v>
      </c>
      <c r="AG447" s="281"/>
      <c r="AH447" s="282">
        <f t="shared" si="64"/>
        <v>-1112.4533999999994</v>
      </c>
      <c r="AI447" s="283">
        <f t="shared" si="67"/>
        <v>-0.14359678533158765</v>
      </c>
      <c r="AJ447" s="288"/>
      <c r="AK447" s="279"/>
      <c r="AL447" s="280">
        <f t="shared" si="68"/>
        <v>3606.18</v>
      </c>
      <c r="AM447" s="284"/>
      <c r="AN447" s="282">
        <f t="shared" si="65"/>
        <v>3028.43</v>
      </c>
      <c r="AO447" s="289">
        <f t="shared" si="69"/>
        <v>0.83978891791313803</v>
      </c>
      <c r="AP447" s="246"/>
      <c r="AQ447" s="246"/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49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156</v>
      </c>
      <c r="X448" s="279"/>
      <c r="Y448" s="287"/>
      <c r="Z448" s="280">
        <f>+SUM(START:END!Z448)</f>
        <v>25056.571489301587</v>
      </c>
      <c r="AA448" s="279"/>
      <c r="AB448" s="287">
        <f t="shared" si="66"/>
        <v>0</v>
      </c>
      <c r="AC448" s="280">
        <f>+SUM(START:END!AC448)</f>
        <v>0</v>
      </c>
      <c r="AD448" s="288"/>
      <c r="AE448" s="287"/>
      <c r="AF448" s="280">
        <f>+SUM(START:END!AF448)</f>
        <v>25552.29</v>
      </c>
      <c r="AG448" s="281"/>
      <c r="AH448" s="282">
        <f t="shared" si="64"/>
        <v>495.71851069841432</v>
      </c>
      <c r="AI448" s="283">
        <f t="shared" si="67"/>
        <v>1.978397207734791E-2</v>
      </c>
      <c r="AJ448" s="288"/>
      <c r="AK448" s="279"/>
      <c r="AL448" s="280">
        <f>+SUM(START:END!AL448)</f>
        <v>24352.770000000004</v>
      </c>
      <c r="AM448" s="284"/>
      <c r="AN448" s="282">
        <f>AF448-AL448</f>
        <v>1199.5199999999968</v>
      </c>
      <c r="AO448" s="289">
        <f>IF(AL448=0,0,AN448/AL448)</f>
        <v>4.9255998393611757E-2</v>
      </c>
      <c r="AP448" s="246"/>
      <c r="AQ448" s="246"/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 customHeight="1">
      <c r="A449" t="str">
        <f t="shared" si="49"/>
        <v>Mitsubishi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202</v>
      </c>
      <c r="W449" s="286"/>
      <c r="X449" s="279"/>
      <c r="Y449" s="287"/>
      <c r="Z449" s="282">
        <f>+SUM(START:END!Z449)</f>
        <v>0</v>
      </c>
      <c r="AA449" s="279"/>
      <c r="AB449" s="279">
        <f t="shared" si="66"/>
        <v>0</v>
      </c>
      <c r="AC449" s="282">
        <f>+SUM(START:END!AC449)</f>
        <v>0</v>
      </c>
      <c r="AD449" s="288"/>
      <c r="AE449" s="287"/>
      <c r="AF449" s="280">
        <f>+SUM(START:END!AF449)</f>
        <v>0</v>
      </c>
      <c r="AG449" s="281"/>
      <c r="AH449" s="282">
        <f t="shared" si="64"/>
        <v>0</v>
      </c>
      <c r="AI449" s="283">
        <f t="shared" si="67"/>
        <v>0</v>
      </c>
      <c r="AJ449" s="288"/>
      <c r="AK449" s="279"/>
      <c r="AL449" s="280">
        <f t="shared" si="68"/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 customHeight="1">
      <c r="A450" t="str">
        <f t="shared" si="49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+SUM(START:END!Z450)</f>
        <v>0</v>
      </c>
      <c r="AA450" s="279"/>
      <c r="AB450" s="279">
        <f t="shared" si="66"/>
        <v>0</v>
      </c>
      <c r="AC450" s="282">
        <f>+SUM(START:END!AC450)</f>
        <v>0</v>
      </c>
      <c r="AD450" s="288"/>
      <c r="AE450" s="287"/>
      <c r="AF450" s="280">
        <f>+SUM(START:END!AF450)</f>
        <v>0</v>
      </c>
      <c r="AG450" s="281"/>
      <c r="AH450" s="282">
        <f t="shared" si="64"/>
        <v>0</v>
      </c>
      <c r="AI450" s="283">
        <f t="shared" si="67"/>
        <v>0</v>
      </c>
      <c r="AJ450" s="288"/>
      <c r="AK450" s="279"/>
      <c r="AL450" s="280"/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 customHeight="1">
      <c r="A451" t="str">
        <f t="shared" si="49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+SUM(START:END!Z451)</f>
        <v>0</v>
      </c>
      <c r="AA451" s="279"/>
      <c r="AB451" s="279">
        <f t="shared" si="66"/>
        <v>0</v>
      </c>
      <c r="AC451" s="282">
        <f>+SUM(START:END!AC451)</f>
        <v>0</v>
      </c>
      <c r="AD451" s="288"/>
      <c r="AE451" s="287"/>
      <c r="AF451" s="280">
        <f>+SUM(START:END!AF451)</f>
        <v>0</v>
      </c>
      <c r="AG451" s="281"/>
      <c r="AH451" s="282">
        <f t="shared" si="64"/>
        <v>0</v>
      </c>
      <c r="AI451" s="283">
        <f t="shared" si="67"/>
        <v>0</v>
      </c>
      <c r="AJ451" s="288"/>
      <c r="AK451" s="279"/>
      <c r="AL451" s="280"/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49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0.16346946092816678</v>
      </c>
      <c r="Y452" s="297"/>
      <c r="Z452" s="299">
        <f>+SUM(Z434:Z451)</f>
        <v>230029.16232765545</v>
      </c>
      <c r="AA452" s="298" t="e">
        <f>AC452/+AC407</f>
        <v>#DIV/0!</v>
      </c>
      <c r="AB452" s="297"/>
      <c r="AC452" s="299">
        <f>+SUM(START:END!AC451)</f>
        <v>0</v>
      </c>
      <c r="AD452" s="300">
        <f>AF452/AF407</f>
        <v>0.14653254378646033</v>
      </c>
      <c r="AE452" s="297"/>
      <c r="AF452" s="299">
        <f>+SUM(AF434:AF451)</f>
        <v>249764.22999999995</v>
      </c>
      <c r="AG452" s="308"/>
      <c r="AH452" s="302">
        <f>+SUM(AH434:AH451)</f>
        <v>19735.067672344547</v>
      </c>
      <c r="AI452" s="298">
        <f>AH452/Z452</f>
        <v>8.5793764028205058E-2</v>
      </c>
      <c r="AJ452" s="300">
        <f>IF($AL$407=0,0,AL452/$AL$407)</f>
        <v>0.16592964892562717</v>
      </c>
      <c r="AK452" s="298"/>
      <c r="AL452" s="299">
        <f>+SUM(AL434:AL451)</f>
        <v>227331.27999999991</v>
      </c>
      <c r="AM452" s="309"/>
      <c r="AN452" s="302">
        <f>+SUM(AN434:AN451)</f>
        <v>22432.950000000019</v>
      </c>
      <c r="AO452" s="331">
        <f>IF(AL452=0,0,AN452/AL452)</f>
        <v>9.8679556988374093E-2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49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f>+SUM(START:END!Z453)</f>
        <v>150000</v>
      </c>
      <c r="AA453" s="279"/>
      <c r="AB453" s="287">
        <f t="shared" ref="AB453:AB462" si="70">IF(AC453=0,0,AC453/(G$13+G$97))</f>
        <v>0</v>
      </c>
      <c r="AC453" s="280">
        <f>+SUM(START:END!AC453)</f>
        <v>0</v>
      </c>
      <c r="AD453" s="288"/>
      <c r="AE453" s="287"/>
      <c r="AF453" s="280">
        <f>+SUM(START:END!AF453)</f>
        <v>150000</v>
      </c>
      <c r="AG453" s="281"/>
      <c r="AH453" s="282">
        <f t="shared" ref="AH453:AH461" si="71">AF453-Z453</f>
        <v>0</v>
      </c>
      <c r="AI453" s="283">
        <f t="shared" ref="AI453:AI461" si="72">IF(Z453=0,0,AH453/Z453)</f>
        <v>0</v>
      </c>
      <c r="AJ453" s="288"/>
      <c r="AK453" s="279"/>
      <c r="AL453" s="280">
        <f>+SUM(START:END!AL453)</f>
        <v>150000</v>
      </c>
      <c r="AM453" s="284"/>
      <c r="AN453" s="282">
        <f>AF453-AL453</f>
        <v>0</v>
      </c>
      <c r="AO453" s="289">
        <f t="shared" ref="AO453:AO461" si="73">IF(AL453=0,0,AN453/AL453)</f>
        <v>0</v>
      </c>
      <c r="AP453" s="246"/>
      <c r="AQ453" s="486"/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49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f>+SUM(START:END!Z454)</f>
        <v>17799.21</v>
      </c>
      <c r="AA454" s="279"/>
      <c r="AB454" s="287">
        <f t="shared" si="70"/>
        <v>0</v>
      </c>
      <c r="AC454" s="280">
        <f>+SUM(START:END!AC454)</f>
        <v>0</v>
      </c>
      <c r="AD454" s="288"/>
      <c r="AE454" s="287"/>
      <c r="AF454" s="280">
        <f>+SUM(START:END!AF454)</f>
        <v>18490.5</v>
      </c>
      <c r="AG454" s="281"/>
      <c r="AH454" s="282">
        <f t="shared" si="71"/>
        <v>691.29000000000087</v>
      </c>
      <c r="AI454" s="283">
        <f t="shared" si="72"/>
        <v>3.883824057359854E-2</v>
      </c>
      <c r="AJ454" s="288"/>
      <c r="AK454" s="279"/>
      <c r="AL454" s="280">
        <f>+SUM(START:END!AL454)</f>
        <v>17616.420000000002</v>
      </c>
      <c r="AM454" s="284"/>
      <c r="AN454" s="282">
        <f t="shared" ref="AN454:AN461" si="74">AF454-AL454</f>
        <v>874.07999999999811</v>
      </c>
      <c r="AO454" s="289">
        <f t="shared" si="73"/>
        <v>4.9617345635492228E-2</v>
      </c>
      <c r="AP454" s="246"/>
      <c r="AQ454" s="486"/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49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f>+SUM(START:END!Z455)</f>
        <v>7628.25</v>
      </c>
      <c r="AA455" s="263"/>
      <c r="AB455" s="291">
        <f t="shared" si="70"/>
        <v>0</v>
      </c>
      <c r="AC455" s="264">
        <f>+SUM(START:END!AC455)</f>
        <v>0</v>
      </c>
      <c r="AD455" s="292"/>
      <c r="AE455" s="291"/>
      <c r="AF455" s="264">
        <f>+SUM(START:END!AF455)</f>
        <v>7924.5</v>
      </c>
      <c r="AG455" s="265"/>
      <c r="AH455" s="266">
        <f t="shared" si="71"/>
        <v>296.25</v>
      </c>
      <c r="AI455" s="293">
        <f t="shared" si="72"/>
        <v>3.8835906007275586E-2</v>
      </c>
      <c r="AJ455" s="292"/>
      <c r="AK455" s="263"/>
      <c r="AL455" s="264">
        <f>+SUM(START:END!AL455)</f>
        <v>7549.89</v>
      </c>
      <c r="AM455" s="268"/>
      <c r="AN455" s="266">
        <f t="shared" si="74"/>
        <v>374.60999999999967</v>
      </c>
      <c r="AO455" s="269">
        <f t="shared" si="73"/>
        <v>4.9617941453451594E-2</v>
      </c>
      <c r="AP455" s="246"/>
      <c r="AQ455" s="486"/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>
      <c r="A456" t="str">
        <f t="shared" si="49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f>+SUM(START:END!Z456)</f>
        <v>0</v>
      </c>
      <c r="AA456" s="279"/>
      <c r="AB456" s="287">
        <f t="shared" si="70"/>
        <v>0</v>
      </c>
      <c r="AC456" s="280">
        <f>+SUM(START:END!AC456)</f>
        <v>0</v>
      </c>
      <c r="AD456" s="288"/>
      <c r="AE456" s="287"/>
      <c r="AF456" s="280">
        <f>+SUM(START:END!AF456)</f>
        <v>0</v>
      </c>
      <c r="AG456" s="281"/>
      <c r="AH456" s="282">
        <f t="shared" si="71"/>
        <v>0</v>
      </c>
      <c r="AI456" s="283">
        <f t="shared" si="72"/>
        <v>0</v>
      </c>
      <c r="AJ456" s="288"/>
      <c r="AK456" s="279"/>
      <c r="AL456" s="280">
        <f>+SUM(START:END!AL456)</f>
        <v>0</v>
      </c>
      <c r="AM456" s="284"/>
      <c r="AN456" s="282">
        <f t="shared" si="74"/>
        <v>0</v>
      </c>
      <c r="AO456" s="289">
        <f t="shared" si="73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49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f>+SUM(START:END!Z457)</f>
        <v>14562</v>
      </c>
      <c r="AA457" s="263"/>
      <c r="AB457" s="291">
        <f t="shared" si="70"/>
        <v>0</v>
      </c>
      <c r="AC457" s="264">
        <f>+SUM(START:END!AC457)</f>
        <v>0</v>
      </c>
      <c r="AD457" s="292"/>
      <c r="AE457" s="291"/>
      <c r="AF457" s="264">
        <f>+SUM(START:END!AF457)</f>
        <v>14561.49</v>
      </c>
      <c r="AG457" s="265"/>
      <c r="AH457" s="266">
        <f t="shared" si="71"/>
        <v>-0.51000000000021828</v>
      </c>
      <c r="AI457" s="293">
        <f t="shared" si="72"/>
        <v>-3.5022661722305881E-5</v>
      </c>
      <c r="AJ457" s="292"/>
      <c r="AK457" s="263"/>
      <c r="AL457" s="264">
        <f>+SUM(START:END!AL457)</f>
        <v>13049.25</v>
      </c>
      <c r="AM457" s="268"/>
      <c r="AN457" s="266">
        <f t="shared" si="74"/>
        <v>1512.2399999999998</v>
      </c>
      <c r="AO457" s="269">
        <f t="shared" si="73"/>
        <v>0.11588711994942236</v>
      </c>
      <c r="AP457" s="246"/>
      <c r="AQ457" s="486"/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49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f>+SUM(START:END!Z458)</f>
        <v>15000</v>
      </c>
      <c r="AA458" s="332"/>
      <c r="AB458" s="333">
        <f t="shared" si="70"/>
        <v>0</v>
      </c>
      <c r="AC458" s="280">
        <f>+SUM(START:END!AC458)</f>
        <v>0</v>
      </c>
      <c r="AD458" s="288"/>
      <c r="AE458" s="287"/>
      <c r="AF458" s="280">
        <f>+SUM(START:END!AF458)</f>
        <v>17232.509999999998</v>
      </c>
      <c r="AG458" s="281"/>
      <c r="AH458" s="282">
        <f t="shared" si="71"/>
        <v>2232.5099999999984</v>
      </c>
      <c r="AI458" s="283">
        <f t="shared" si="72"/>
        <v>0.14883399999999988</v>
      </c>
      <c r="AJ458" s="288"/>
      <c r="AK458" s="279"/>
      <c r="AL458" s="280">
        <f>+SUM(START:END!AL458)</f>
        <v>14738.16</v>
      </c>
      <c r="AM458" s="284"/>
      <c r="AN458" s="282">
        <f t="shared" si="74"/>
        <v>2494.3499999999985</v>
      </c>
      <c r="AO458" s="289">
        <f t="shared" si="73"/>
        <v>0.1692443290071487</v>
      </c>
      <c r="AP458" s="246"/>
      <c r="AQ458" s="246"/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49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169</v>
      </c>
      <c r="X459" s="279"/>
      <c r="Y459" s="287"/>
      <c r="Z459" s="280">
        <f>+SUM(START:END!Z459)</f>
        <v>19624</v>
      </c>
      <c r="AA459" s="279"/>
      <c r="AB459" s="287">
        <f t="shared" si="70"/>
        <v>0</v>
      </c>
      <c r="AC459" s="280">
        <f>+SUM(START:END!AC459)</f>
        <v>0</v>
      </c>
      <c r="AD459" s="288"/>
      <c r="AE459" s="287"/>
      <c r="AF459" s="280">
        <f>+SUM(START:END!AF459)</f>
        <v>18921.989999999998</v>
      </c>
      <c r="AG459" s="281"/>
      <c r="AH459" s="282">
        <f t="shared" si="71"/>
        <v>-702.01000000000204</v>
      </c>
      <c r="AI459" s="283">
        <f t="shared" si="72"/>
        <v>-3.5773033020790969E-2</v>
      </c>
      <c r="AJ459" s="288"/>
      <c r="AK459" s="279"/>
      <c r="AL459" s="280">
        <f>+SUM(START:END!AL459)</f>
        <v>18921.989999999998</v>
      </c>
      <c r="AM459" s="284"/>
      <c r="AN459" s="282">
        <f t="shared" si="74"/>
        <v>0</v>
      </c>
      <c r="AO459" s="289">
        <f t="shared" si="73"/>
        <v>0</v>
      </c>
      <c r="AP459" s="246"/>
      <c r="AQ459" s="486"/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49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171</v>
      </c>
      <c r="X460" s="263"/>
      <c r="Y460" s="291"/>
      <c r="Z460" s="264">
        <f>+SUM(START:END!Z460)</f>
        <v>1300</v>
      </c>
      <c r="AA460" s="263"/>
      <c r="AB460" s="291">
        <f t="shared" si="70"/>
        <v>0</v>
      </c>
      <c r="AC460" s="264">
        <f>+SUM(START:END!AC460)</f>
        <v>0</v>
      </c>
      <c r="AD460" s="292"/>
      <c r="AE460" s="291"/>
      <c r="AF460" s="264">
        <f>+SUM(START:END!AF460)</f>
        <v>3591.9</v>
      </c>
      <c r="AG460" s="265"/>
      <c r="AH460" s="266">
        <f t="shared" si="71"/>
        <v>2291.9</v>
      </c>
      <c r="AI460" s="293">
        <f t="shared" si="72"/>
        <v>1.7630000000000001</v>
      </c>
      <c r="AJ460" s="292"/>
      <c r="AK460" s="263"/>
      <c r="AL460" s="264">
        <f>+SUM(START:END!AL460)</f>
        <v>1217.06</v>
      </c>
      <c r="AM460" s="268"/>
      <c r="AN460" s="266">
        <f t="shared" si="74"/>
        <v>2374.84</v>
      </c>
      <c r="AO460" s="269">
        <f t="shared" si="73"/>
        <v>1.9512924588763088</v>
      </c>
      <c r="AP460" s="246"/>
      <c r="AQ460" s="246"/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49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f>+SUM(START:END!Z461)</f>
        <v>636.00000000000011</v>
      </c>
      <c r="AA461" s="279"/>
      <c r="AB461" s="287">
        <f t="shared" si="70"/>
        <v>0</v>
      </c>
      <c r="AC461" s="280">
        <f>+SUM(START:END!AC461)</f>
        <v>0</v>
      </c>
      <c r="AD461" s="288"/>
      <c r="AE461" s="287"/>
      <c r="AF461" s="280">
        <f>+SUM(START:END!AF461)</f>
        <v>614.09999999999991</v>
      </c>
      <c r="AG461" s="281"/>
      <c r="AH461" s="282">
        <f t="shared" si="71"/>
        <v>-21.900000000000205</v>
      </c>
      <c r="AI461" s="335">
        <f t="shared" si="72"/>
        <v>-3.4433962264151262E-2</v>
      </c>
      <c r="AJ461" s="279"/>
      <c r="AK461" s="279"/>
      <c r="AL461" s="280">
        <f>+SUM(START:END!AL461)</f>
        <v>521.87999999999806</v>
      </c>
      <c r="AM461" s="284"/>
      <c r="AN461" s="282">
        <f t="shared" si="74"/>
        <v>92.220000000001846</v>
      </c>
      <c r="AO461" s="289">
        <f t="shared" si="73"/>
        <v>0.17670728903196556</v>
      </c>
      <c r="AP461" s="246"/>
      <c r="AQ461" s="246"/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>
      <c r="A462" t="str">
        <f t="shared" si="49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f>+SUM(START:END!Z462)</f>
        <v>0</v>
      </c>
      <c r="AA462" s="279"/>
      <c r="AB462" s="287">
        <f t="shared" si="70"/>
        <v>0</v>
      </c>
      <c r="AC462" s="280">
        <f>+SUM(START:END!AC462)</f>
        <v>0</v>
      </c>
      <c r="AD462" s="288"/>
      <c r="AE462" s="287"/>
      <c r="AF462" s="280">
        <f>+SUM(START:END!AF462)</f>
        <v>0</v>
      </c>
      <c r="AG462" s="281"/>
      <c r="AH462" s="282">
        <v>0</v>
      </c>
      <c r="AI462" s="306">
        <v>0</v>
      </c>
      <c r="AJ462" s="279"/>
      <c r="AK462" s="279"/>
      <c r="AL462" s="280">
        <f>+SUM(START:END!AL462)</f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 customHeight="1">
      <c r="A463" t="str">
        <f t="shared" si="49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+SUM(START:END!Z462)</f>
        <v>0</v>
      </c>
      <c r="AA463" s="279"/>
      <c r="AB463" s="279"/>
      <c r="AC463" s="282">
        <f>+SUM(START:END!AC462)</f>
        <v>0</v>
      </c>
      <c r="AD463" s="288"/>
      <c r="AE463" s="287"/>
      <c r="AF463" s="280">
        <f>+SUM(START:END!AF462)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+SUM(START:END!AL463)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 customHeight="1">
      <c r="A464" t="str">
        <f t="shared" si="49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+SUM(START:END!Z463)</f>
        <v>0</v>
      </c>
      <c r="AA464" s="279"/>
      <c r="AB464" s="279"/>
      <c r="AC464" s="282">
        <f>+SUM(START:END!AC463)</f>
        <v>0</v>
      </c>
      <c r="AD464" s="288"/>
      <c r="AE464" s="287"/>
      <c r="AF464" s="280">
        <f>+SUM(START:END!AF463)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+SUM(START:END!AL464)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 customHeight="1">
      <c r="A465" t="str">
        <f t="shared" si="49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+SUM(START:END!Z464)</f>
        <v>0</v>
      </c>
      <c r="AA465" s="279"/>
      <c r="AB465" s="279"/>
      <c r="AC465" s="282">
        <f>+SUM(START:END!AC464)</f>
        <v>0</v>
      </c>
      <c r="AD465" s="288"/>
      <c r="AE465" s="287"/>
      <c r="AF465" s="280">
        <f>+SUM(START:END!AF464)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+SUM(START:END!AL465)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49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0.16099662201532455</v>
      </c>
      <c r="Y466" s="297"/>
      <c r="Z466" s="299">
        <f>SUM(Z453:Z465)</f>
        <v>226549.46</v>
      </c>
      <c r="AA466" s="298" t="e">
        <f>AC466/+AC407</f>
        <v>#DIV/0!</v>
      </c>
      <c r="AB466" s="297"/>
      <c r="AC466" s="299">
        <f>SUM(AC453:AC465)</f>
        <v>0</v>
      </c>
      <c r="AD466" s="300">
        <f>AF466/AF407</f>
        <v>0.13572158678047269</v>
      </c>
      <c r="AE466" s="297"/>
      <c r="AF466" s="299">
        <f>SUM(AF453:AF465)</f>
        <v>231336.99</v>
      </c>
      <c r="AG466" s="308"/>
      <c r="AH466" s="302">
        <f>SUM(AH453:AH465)</f>
        <v>4787.5299999999961</v>
      </c>
      <c r="AI466" s="298">
        <f>IF(Z466=0,0,AH466/Z466)</f>
        <v>2.1132383189083725E-2</v>
      </c>
      <c r="AJ466" s="300">
        <f>IF($AL$407=0,0,AL466/$AL$407)</f>
        <v>0.16321687173506003</v>
      </c>
      <c r="AK466" s="298"/>
      <c r="AL466" s="299">
        <f>SUM(AL453:AL465)</f>
        <v>223614.65000000002</v>
      </c>
      <c r="AM466" s="309"/>
      <c r="AN466" s="302">
        <f>SUM(AN453:AN465)</f>
        <v>7722.3399999999983</v>
      </c>
      <c r="AO466" s="331">
        <f t="shared" ref="AO466:AO483" si="75">IF(AL466=0,0,AN466/AL466)</f>
        <v>3.4534141658428899E-2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49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76">AF467-Z467</f>
        <v>0</v>
      </c>
      <c r="AI467" s="283"/>
      <c r="AJ467" s="288"/>
      <c r="AK467" s="279"/>
      <c r="AL467" s="336"/>
      <c r="AM467" s="337"/>
      <c r="AN467" s="282">
        <f t="shared" ref="AN467:AN483" si="77">AF467-AL467</f>
        <v>0</v>
      </c>
      <c r="AO467" s="338">
        <f t="shared" si="75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49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0.99680044368346643</v>
      </c>
      <c r="Y468" s="297"/>
      <c r="Z468" s="299">
        <f>Z419+Z433+Z452+Z466</f>
        <v>1402666.7107509528</v>
      </c>
      <c r="AA468" s="298" t="e">
        <f>AC468/+AC407</f>
        <v>#DIV/0!</v>
      </c>
      <c r="AB468" s="297"/>
      <c r="AC468" s="299">
        <f>AC419+AC433+AC452+AC466</f>
        <v>0</v>
      </c>
      <c r="AD468" s="300">
        <f>AF468/AF407</f>
        <v>0.89024734076186063</v>
      </c>
      <c r="AE468" s="297"/>
      <c r="AF468" s="299">
        <f>AF419+AF433+AF452+AF466</f>
        <v>1517423.6099999999</v>
      </c>
      <c r="AG468" s="308"/>
      <c r="AH468" s="302">
        <f t="shared" si="76"/>
        <v>114756.89924904704</v>
      </c>
      <c r="AI468" s="298">
        <f>AH468/Z468</f>
        <v>8.1813376170885993E-2</v>
      </c>
      <c r="AJ468" s="300">
        <f>IF($AL$407=0,0,AL468/$AL$407)</f>
        <v>1.0261131418658695</v>
      </c>
      <c r="AK468" s="298"/>
      <c r="AL468" s="299">
        <f>AL419+AL433+AL452+AL466</f>
        <v>1405822.38</v>
      </c>
      <c r="AM468" s="309"/>
      <c r="AN468" s="302">
        <f t="shared" si="77"/>
        <v>111601.22999999998</v>
      </c>
      <c r="AO468" s="277">
        <f t="shared" si="75"/>
        <v>7.9385014485258087E-2</v>
      </c>
      <c r="AP468" s="310"/>
      <c r="AQ468" s="246"/>
      <c r="AR468" s="246"/>
      <c r="AS468" s="310"/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49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f>+SUM(START:END!Z469)</f>
        <v>0</v>
      </c>
      <c r="AA469" s="339"/>
      <c r="AB469" s="340">
        <f t="shared" ref="AB469:AB477" si="78">IF(AC469=0,0,AC469/(G$13+G$97))</f>
        <v>0</v>
      </c>
      <c r="AC469" s="313">
        <f>+SUM(START:END!AC469)</f>
        <v>0</v>
      </c>
      <c r="AD469" s="341"/>
      <c r="AE469" s="340"/>
      <c r="AF469" s="280">
        <f>+SUM(START:END!AF469)</f>
        <v>2783.8399999999997</v>
      </c>
      <c r="AG469" s="342"/>
      <c r="AH469" s="282">
        <f t="shared" si="76"/>
        <v>2783.8399999999997</v>
      </c>
      <c r="AI469" s="335" t="e">
        <f>IF(AH469=0,0,AH469/Z469)</f>
        <v>#DIV/0!</v>
      </c>
      <c r="AJ469" s="341"/>
      <c r="AK469" s="339"/>
      <c r="AL469" s="343">
        <f>+SUM(START:END!AL469)</f>
        <v>5705.1299999999992</v>
      </c>
      <c r="AM469" s="344"/>
      <c r="AN469" s="282">
        <f t="shared" si="77"/>
        <v>-2921.2899999999995</v>
      </c>
      <c r="AO469" s="289">
        <f t="shared" si="75"/>
        <v>-0.51204617598547275</v>
      </c>
      <c r="AP469" s="246"/>
      <c r="AQ469" s="246"/>
      <c r="AR469" s="246"/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49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>+SUM(START:END!Z470)</f>
        <v>157439.91447272728</v>
      </c>
      <c r="AA470" s="332"/>
      <c r="AB470" s="333">
        <f t="shared" si="78"/>
        <v>0</v>
      </c>
      <c r="AC470" s="280">
        <f>+SUM(START:END!AC470)</f>
        <v>0</v>
      </c>
      <c r="AD470" s="345"/>
      <c r="AE470" s="333"/>
      <c r="AF470" s="280">
        <f>+SUM(START:END!AF470)</f>
        <v>160254.79999999999</v>
      </c>
      <c r="AG470" s="346"/>
      <c r="AH470" s="282">
        <f t="shared" si="76"/>
        <v>2814.8855272727087</v>
      </c>
      <c r="AI470" s="306">
        <f>IF(Z470=0,0,AH470/Z470)</f>
        <v>1.7879109860418026E-2</v>
      </c>
      <c r="AJ470" s="345"/>
      <c r="AK470" s="332"/>
      <c r="AL470" s="347">
        <f>+SUM(START:END!AL470)</f>
        <v>142495.09999999998</v>
      </c>
      <c r="AM470" s="348"/>
      <c r="AN470" s="282">
        <f t="shared" si="77"/>
        <v>17759.700000000012</v>
      </c>
      <c r="AO470" s="289">
        <f t="shared" si="75"/>
        <v>0.12463375933628605</v>
      </c>
      <c r="AP470" s="246"/>
      <c r="AQ470" s="246"/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49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f>+SUM(START:END!Z471)</f>
        <v>145631.92088727272</v>
      </c>
      <c r="AA471" s="332"/>
      <c r="AB471" s="333">
        <f t="shared" si="78"/>
        <v>0</v>
      </c>
      <c r="AC471" s="280">
        <f>+SUM(START:END!AC471)</f>
        <v>0</v>
      </c>
      <c r="AD471" s="345"/>
      <c r="AE471" s="333"/>
      <c r="AF471" s="280">
        <f>+SUM(START:END!AF471)</f>
        <v>147274.36000000002</v>
      </c>
      <c r="AG471" s="346"/>
      <c r="AH471" s="282">
        <f t="shared" si="76"/>
        <v>1642.4391127272975</v>
      </c>
      <c r="AI471" s="306">
        <f t="shared" ref="AI471:AI480" si="79">IF(AH471=0,0,AH471/Z471)</f>
        <v>1.1278015854770175E-2</v>
      </c>
      <c r="AJ471" s="345"/>
      <c r="AK471" s="332"/>
      <c r="AL471" s="347">
        <f>+SUM(START:END!AL471)</f>
        <v>141600.53999999998</v>
      </c>
      <c r="AM471" s="348"/>
      <c r="AN471" s="282">
        <f t="shared" si="77"/>
        <v>5673.8200000000361</v>
      </c>
      <c r="AO471" s="289">
        <f t="shared" si="75"/>
        <v>4.0069197476224575E-2</v>
      </c>
      <c r="AP471" s="246"/>
      <c r="AQ471" s="246"/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 customHeight="1">
      <c r="A472" t="str">
        <f t="shared" si="49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>+SUM(START:END!Z472)</f>
        <v>0</v>
      </c>
      <c r="AA472" s="332"/>
      <c r="AB472" s="333">
        <f t="shared" si="78"/>
        <v>0</v>
      </c>
      <c r="AC472" s="280">
        <f>+SUM(START:END!AC472)</f>
        <v>0</v>
      </c>
      <c r="AD472" s="345"/>
      <c r="AE472" s="333"/>
      <c r="AF472" s="280">
        <f>+SUM(START:END!AF472)</f>
        <v>0</v>
      </c>
      <c r="AG472" s="346"/>
      <c r="AH472" s="282">
        <f t="shared" si="76"/>
        <v>0</v>
      </c>
      <c r="AI472" s="306">
        <f t="shared" si="79"/>
        <v>0</v>
      </c>
      <c r="AJ472" s="345"/>
      <c r="AK472" s="332"/>
      <c r="AL472" s="347">
        <f>+SUM(START:END!AL472)</f>
        <v>0</v>
      </c>
      <c r="AM472" s="348"/>
      <c r="AN472" s="282">
        <f t="shared" si="77"/>
        <v>0</v>
      </c>
      <c r="AO472" s="289">
        <f t="shared" si="75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 customHeight="1">
      <c r="A473" t="str">
        <f t="shared" si="49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>+SUM(START:END!Z473)</f>
        <v>0</v>
      </c>
      <c r="AA473" s="332"/>
      <c r="AB473" s="333">
        <f t="shared" si="78"/>
        <v>0</v>
      </c>
      <c r="AC473" s="280">
        <f>+SUM(START:END!AC473)</f>
        <v>0</v>
      </c>
      <c r="AD473" s="345"/>
      <c r="AE473" s="333"/>
      <c r="AF473" s="280">
        <f>+SUM(START:END!AF473)</f>
        <v>0</v>
      </c>
      <c r="AG473" s="346"/>
      <c r="AH473" s="282">
        <f t="shared" si="76"/>
        <v>0</v>
      </c>
      <c r="AI473" s="306">
        <f t="shared" si="79"/>
        <v>0</v>
      </c>
      <c r="AJ473" s="345"/>
      <c r="AK473" s="332"/>
      <c r="AL473" s="347">
        <f>+SUM(START:END!AL473)</f>
        <v>0</v>
      </c>
      <c r="AM473" s="348"/>
      <c r="AN473" s="282">
        <f t="shared" si="77"/>
        <v>0</v>
      </c>
      <c r="AO473" s="289">
        <f t="shared" si="75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49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f>+SUM(START:END!Z474)</f>
        <v>8625</v>
      </c>
      <c r="AA474" s="332"/>
      <c r="AB474" s="333">
        <f t="shared" si="78"/>
        <v>0</v>
      </c>
      <c r="AC474" s="280">
        <f>+SUM(START:END!AC474)</f>
        <v>0</v>
      </c>
      <c r="AD474" s="345"/>
      <c r="AE474" s="333"/>
      <c r="AF474" s="280">
        <f>+SUM(START:END!AF474)</f>
        <v>4400</v>
      </c>
      <c r="AG474" s="346"/>
      <c r="AH474" s="282">
        <f t="shared" si="76"/>
        <v>-4225</v>
      </c>
      <c r="AI474" s="306">
        <f t="shared" si="79"/>
        <v>-0.48985507246376814</v>
      </c>
      <c r="AJ474" s="345"/>
      <c r="AK474" s="332"/>
      <c r="AL474" s="347">
        <f>+SUM(START:END!AL474)</f>
        <v>8250</v>
      </c>
      <c r="AM474" s="348"/>
      <c r="AN474" s="282">
        <f t="shared" si="77"/>
        <v>-3850</v>
      </c>
      <c r="AO474" s="289">
        <f t="shared" si="75"/>
        <v>-0.46666666666666667</v>
      </c>
      <c r="AP474" s="246"/>
      <c r="AQ474" s="246"/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49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>+SUM(START:END!Z475)</f>
        <v>3082</v>
      </c>
      <c r="AA475" s="332"/>
      <c r="AB475" s="333">
        <f t="shared" si="78"/>
        <v>0</v>
      </c>
      <c r="AC475" s="280">
        <f>+SUM(START:END!AC475)</f>
        <v>0</v>
      </c>
      <c r="AD475" s="345"/>
      <c r="AE475" s="333"/>
      <c r="AF475" s="280">
        <f>+SUM(START:END!AF475)</f>
        <v>-2050</v>
      </c>
      <c r="AG475" s="346"/>
      <c r="AH475" s="282">
        <f t="shared" si="76"/>
        <v>-5132</v>
      </c>
      <c r="AI475" s="306">
        <f t="shared" si="79"/>
        <v>-1.6651524983776769</v>
      </c>
      <c r="AJ475" s="345"/>
      <c r="AK475" s="332"/>
      <c r="AL475" s="347">
        <f>+SUM(START:END!AL475)</f>
        <v>0</v>
      </c>
      <c r="AM475" s="348"/>
      <c r="AN475" s="282">
        <f t="shared" si="77"/>
        <v>-2050</v>
      </c>
      <c r="AO475" s="289">
        <f t="shared" si="75"/>
        <v>0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 customHeight="1">
      <c r="A476" t="str">
        <f t="shared" si="49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>+SUM(START:END!Z476)</f>
        <v>0</v>
      </c>
      <c r="AA476" s="332"/>
      <c r="AB476" s="333">
        <f t="shared" si="78"/>
        <v>0</v>
      </c>
      <c r="AC476" s="280">
        <f>+SUM(START:END!AC476)</f>
        <v>0</v>
      </c>
      <c r="AD476" s="345"/>
      <c r="AE476" s="333"/>
      <c r="AF476" s="280">
        <f>+SUM(START:END!AF476)</f>
        <v>0</v>
      </c>
      <c r="AG476" s="346"/>
      <c r="AH476" s="282">
        <f t="shared" si="76"/>
        <v>0</v>
      </c>
      <c r="AI476" s="306">
        <f t="shared" si="79"/>
        <v>0</v>
      </c>
      <c r="AJ476" s="345"/>
      <c r="AK476" s="332"/>
      <c r="AL476" s="347">
        <f>+SUM(START:END!AL476)</f>
        <v>0</v>
      </c>
      <c r="AM476" s="348"/>
      <c r="AN476" s="282">
        <f t="shared" si="77"/>
        <v>0</v>
      </c>
      <c r="AO476" s="289">
        <f t="shared" si="75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49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f>+SUM(START:END!Z477)</f>
        <v>82655.955098181817</v>
      </c>
      <c r="AA477" s="332"/>
      <c r="AB477" s="333">
        <f t="shared" si="78"/>
        <v>0</v>
      </c>
      <c r="AC477" s="280">
        <f>+SUM(START:END!AC477)</f>
        <v>0</v>
      </c>
      <c r="AD477" s="345"/>
      <c r="AE477" s="333"/>
      <c r="AF477" s="280">
        <f>+SUM(START:END!AF477)</f>
        <v>82528.820000000007</v>
      </c>
      <c r="AG477" s="346"/>
      <c r="AH477" s="282">
        <f t="shared" si="76"/>
        <v>-127.13509818181046</v>
      </c>
      <c r="AI477" s="306">
        <f t="shared" si="79"/>
        <v>-1.5381238778354768E-3</v>
      </c>
      <c r="AJ477" s="345"/>
      <c r="AK477" s="332"/>
      <c r="AL477" s="347">
        <f>+SUM(START:END!AL477)</f>
        <v>69906.489999999991</v>
      </c>
      <c r="AM477" s="348"/>
      <c r="AN477" s="282">
        <f t="shared" si="77"/>
        <v>12622.330000000016</v>
      </c>
      <c r="AO477" s="289">
        <f t="shared" si="75"/>
        <v>0.18056020263640785</v>
      </c>
      <c r="AP477" s="246"/>
      <c r="AQ477" s="246"/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 customHeight="1">
      <c r="A478" t="str">
        <f t="shared" si="49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+SUM(START:END!Z478)</f>
        <v>0</v>
      </c>
      <c r="AA478" s="279"/>
      <c r="AB478" s="279">
        <f>IF(AC478=0,0,AC478/(G$13+G$97))</f>
        <v>0</v>
      </c>
      <c r="AC478" s="282">
        <f>+SUM(START:END!AC478)</f>
        <v>0</v>
      </c>
      <c r="AD478" s="288"/>
      <c r="AE478" s="287"/>
      <c r="AF478" s="280">
        <f>+SUM(START:END!AF478)</f>
        <v>0</v>
      </c>
      <c r="AG478" s="281"/>
      <c r="AH478" s="282">
        <f t="shared" si="76"/>
        <v>0</v>
      </c>
      <c r="AI478" s="283">
        <f t="shared" si="79"/>
        <v>0</v>
      </c>
      <c r="AJ478" s="288"/>
      <c r="AK478" s="279"/>
      <c r="AL478" s="280">
        <f>+SUM(START:END!AL478)</f>
        <v>0</v>
      </c>
      <c r="AM478" s="348"/>
      <c r="AN478" s="282">
        <f t="shared" si="77"/>
        <v>0</v>
      </c>
      <c r="AO478" s="289">
        <f t="shared" si="75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 customHeight="1">
      <c r="A479" t="str">
        <f t="shared" si="49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+SUM(START:END!Z479)</f>
        <v>0</v>
      </c>
      <c r="AA479" s="279"/>
      <c r="AB479" s="279">
        <f>IF(AC479=0,0,AC479/(G$13+G$97))</f>
        <v>0</v>
      </c>
      <c r="AC479" s="282">
        <f>+SUM(START:END!AC479)</f>
        <v>0</v>
      </c>
      <c r="AD479" s="288"/>
      <c r="AE479" s="287"/>
      <c r="AF479" s="280">
        <f>+SUM(START:END!AF479)</f>
        <v>0</v>
      </c>
      <c r="AG479" s="281"/>
      <c r="AH479" s="282">
        <f t="shared" si="76"/>
        <v>0</v>
      </c>
      <c r="AI479" s="283">
        <f t="shared" si="79"/>
        <v>0</v>
      </c>
      <c r="AJ479" s="288"/>
      <c r="AK479" s="279"/>
      <c r="AL479" s="280">
        <f>+SUM(START:END!AL479)</f>
        <v>0</v>
      </c>
      <c r="AM479" s="348"/>
      <c r="AN479" s="282">
        <f t="shared" si="77"/>
        <v>0</v>
      </c>
      <c r="AO479" s="289">
        <f t="shared" si="75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49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+SUM(START:END!Z480)</f>
        <v>87408.475000000006</v>
      </c>
      <c r="AA480" s="332"/>
      <c r="AB480" s="333">
        <f>IF(AC480=0,0,AC480/(G$13+G$97))</f>
        <v>0</v>
      </c>
      <c r="AC480" s="280">
        <f>+SUM(START:END!AC480)</f>
        <v>0</v>
      </c>
      <c r="AD480" s="345"/>
      <c r="AE480" s="333"/>
      <c r="AF480" s="280">
        <f>+SUM(START:END!AF480)</f>
        <v>90440</v>
      </c>
      <c r="AG480" s="346"/>
      <c r="AH480" s="282">
        <f t="shared" si="76"/>
        <v>3031.5249999999942</v>
      </c>
      <c r="AI480" s="306">
        <f t="shared" si="79"/>
        <v>3.4682277662434841E-2</v>
      </c>
      <c r="AJ480" s="345"/>
      <c r="AK480" s="332"/>
      <c r="AL480" s="347">
        <f>+SUM(START:END!AL480)</f>
        <v>85680</v>
      </c>
      <c r="AM480" s="348"/>
      <c r="AN480" s="282">
        <f t="shared" si="77"/>
        <v>4760</v>
      </c>
      <c r="AO480" s="289">
        <f t="shared" si="75"/>
        <v>5.5555555555555552E-2</v>
      </c>
      <c r="AP480" s="246"/>
      <c r="AQ480" s="246"/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49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0.34455225779680326</v>
      </c>
      <c r="Y481" s="330"/>
      <c r="Z481" s="299">
        <f>SUM(Z469:Z480)</f>
        <v>484843.26545818185</v>
      </c>
      <c r="AA481" s="298" t="e">
        <f>AC481/+AC407</f>
        <v>#DIV/0!</v>
      </c>
      <c r="AB481" s="330"/>
      <c r="AC481" s="299">
        <f>SUM(AC469:AC480)</f>
        <v>0</v>
      </c>
      <c r="AD481" s="298">
        <f>AF481/+AF407</f>
        <v>0.28491215867159375</v>
      </c>
      <c r="AE481" s="330"/>
      <c r="AF481" s="299">
        <f>SUM(AF469:AF480)</f>
        <v>485631.82</v>
      </c>
      <c r="AG481" s="308"/>
      <c r="AH481" s="302">
        <f t="shared" si="76"/>
        <v>788.5545418181573</v>
      </c>
      <c r="AI481" s="298">
        <f>AH481/Z481</f>
        <v>1.6264112508048662E-3</v>
      </c>
      <c r="AJ481" s="349"/>
      <c r="AK481" s="350"/>
      <c r="AL481" s="299">
        <f>SUM(AL469:AL480)</f>
        <v>453637.25999999995</v>
      </c>
      <c r="AM481" s="351"/>
      <c r="AN481" s="302">
        <f t="shared" si="77"/>
        <v>31994.560000000056</v>
      </c>
      <c r="AO481" s="331">
        <f t="shared" si="75"/>
        <v>7.052895081854621E-2</v>
      </c>
      <c r="AP481" s="246"/>
      <c r="AQ481" s="246"/>
      <c r="AR481" s="246"/>
      <c r="AS481" s="310"/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49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77"/>
        <v>0</v>
      </c>
      <c r="AO482" s="364">
        <f t="shared" si="75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49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3.2223890273966625E-2</v>
      </c>
      <c r="Z483" s="369">
        <f>Z407-Z468+Z481</f>
        <v>489345.5820079121</v>
      </c>
      <c r="AA483" s="367" t="s">
        <v>180</v>
      </c>
      <c r="AB483" s="368" t="e">
        <f>AC483/AC406</f>
        <v>#DIV/0!</v>
      </c>
      <c r="AC483" s="369">
        <f>AC407-AC468+AC481</f>
        <v>0</v>
      </c>
      <c r="AD483" s="367" t="s">
        <v>180</v>
      </c>
      <c r="AE483" s="368">
        <f>AF483/AF406</f>
        <v>4.4953193094822715E-2</v>
      </c>
      <c r="AF483" s="370">
        <f>AF407-AF468+AF481</f>
        <v>672704.8600000001</v>
      </c>
      <c r="AG483" s="371"/>
      <c r="AH483" s="370">
        <f>AF483-Z483</f>
        <v>183359.277992088</v>
      </c>
      <c r="AI483" s="487">
        <f>AH483/Z483</f>
        <v>0.37470304164128188</v>
      </c>
      <c r="AJ483" s="373" t="s">
        <v>180</v>
      </c>
      <c r="AK483" s="368">
        <f>IF($AL$406=0,0,AL483/$AL$406)</f>
        <v>2.9392005828777552E-2</v>
      </c>
      <c r="AL483" s="370">
        <f>AL407-AL468+AL481</f>
        <v>417861.04999999882</v>
      </c>
      <c r="AM483" s="374"/>
      <c r="AN483" s="370">
        <f t="shared" si="77"/>
        <v>254843.81000000128</v>
      </c>
      <c r="AO483" s="375">
        <f t="shared" si="75"/>
        <v>0.60987691961239743</v>
      </c>
      <c r="AP483" s="246"/>
      <c r="AQ483" s="246"/>
      <c r="AR483" s="310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49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9" si="80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  Q2 2025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6" thickBot="1">
      <c r="A486" t="str">
        <f t="shared" si="80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hidden="1" thickBot="1">
      <c r="A487" t="str">
        <f t="shared" si="80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str">
        <f t="shared" si="80"/>
        <v>BAIIA Corpo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3.8951731977430855E-2</v>
      </c>
      <c r="Z488" s="449">
        <f>+Z489+Z415</f>
        <v>591513.24662097637</v>
      </c>
      <c r="AA488" s="446"/>
      <c r="AB488" s="447"/>
      <c r="AC488" s="448"/>
      <c r="AD488" s="446" t="s">
        <v>180</v>
      </c>
      <c r="AE488" s="447">
        <f>AF488/AF406</f>
        <v>5.0881212106923014E-2</v>
      </c>
      <c r="AF488" s="449">
        <f>+AF489+AF415</f>
        <v>761415.07000000007</v>
      </c>
      <c r="AG488" s="450"/>
      <c r="AH488" s="450">
        <f>AF488-Z488</f>
        <v>169901.8233790237</v>
      </c>
      <c r="AI488" s="451">
        <f>AH488/Z488</f>
        <v>0.28723249115651944</v>
      </c>
      <c r="AJ488" s="446" t="s">
        <v>180</v>
      </c>
      <c r="AK488" s="447">
        <f>AL488/AL406</f>
        <v>3.8499900560438644E-2</v>
      </c>
      <c r="AL488" s="449">
        <f>+AL489+AL415</f>
        <v>547346.40999999887</v>
      </c>
      <c r="AM488" s="452"/>
      <c r="AN488" s="449">
        <f>AF488-AL488</f>
        <v>214068.6600000012</v>
      </c>
      <c r="AO488" s="453">
        <f>IF(AL488=0,0,AN488/AL488)</f>
        <v>0.39110270221741589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hidden="1" customHeight="1" thickTop="1" thickBot="1">
      <c r="A489" t="str">
        <f t="shared" si="80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3.2223890273966625E-2</v>
      </c>
      <c r="Z489" s="381">
        <f>Z483</f>
        <v>489345.5820079121</v>
      </c>
      <c r="AA489" s="379" t="s">
        <v>180</v>
      </c>
      <c r="AB489" s="380" t="e">
        <f>AC489/AC406</f>
        <v>#DIV/0!</v>
      </c>
      <c r="AC489" s="381">
        <f>AC483</f>
        <v>0</v>
      </c>
      <c r="AD489" s="379" t="s">
        <v>180</v>
      </c>
      <c r="AE489" s="380">
        <f>AF489/AF406</f>
        <v>4.4953193094822715E-2</v>
      </c>
      <c r="AF489" s="381">
        <f>AF483</f>
        <v>672704.8600000001</v>
      </c>
      <c r="AG489" s="382"/>
      <c r="AH489" s="370">
        <f>AF489-Z489</f>
        <v>183359.277992088</v>
      </c>
      <c r="AI489" s="487">
        <f>AH489/Z489</f>
        <v>0.37470304164128188</v>
      </c>
      <c r="AJ489" s="379" t="s">
        <v>180</v>
      </c>
      <c r="AK489" s="380">
        <f>IF($AL$406=0,0,AL489/$AL$406)</f>
        <v>2.9392005828777552E-2</v>
      </c>
      <c r="AL489" s="383">
        <f>AL483</f>
        <v>417861.04999999882</v>
      </c>
      <c r="AM489" s="384"/>
      <c r="AN489" s="385">
        <f>AF489-AL489</f>
        <v>254843.81000000128</v>
      </c>
      <c r="AO489" s="386">
        <f>IF(AL489=0,0,AN489/AL489)</f>
        <v>0.60987691961239743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80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80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f>+SUM(START:END!Z491)</f>
        <v>57900</v>
      </c>
      <c r="AA491" s="279"/>
      <c r="AB491" s="287">
        <f t="shared" ref="AB491:AB497" si="81">IF(AC491=0,0,AC491/(G$13+G$97))</f>
        <v>0</v>
      </c>
      <c r="AC491" s="280">
        <f>+SUM(START:END!AC491)</f>
        <v>0</v>
      </c>
      <c r="AD491" s="279"/>
      <c r="AE491" s="287"/>
      <c r="AF491" s="280">
        <f>+SUM(START:END!AF491)</f>
        <v>57900</v>
      </c>
      <c r="AG491" s="279"/>
      <c r="AH491" s="282">
        <f t="shared" ref="AH491:AH498" si="82">AF491-Z491</f>
        <v>0</v>
      </c>
      <c r="AI491" s="306">
        <f t="shared" ref="AI491:AI497" si="83">IF(Z491=0,0,AH491/Z491)</f>
        <v>0</v>
      </c>
      <c r="AJ491" s="279"/>
      <c r="AK491" s="279"/>
      <c r="AL491" s="280">
        <f>+SUM(START:END!AL491)</f>
        <v>62910</v>
      </c>
      <c r="AM491" s="284"/>
      <c r="AN491" s="282">
        <f t="shared" ref="AN491:AN498" si="84">AF491-AL491</f>
        <v>-5010</v>
      </c>
      <c r="AO491" s="289">
        <f t="shared" ref="AO491:AO498" si="85">IF(AL491=0,0,AN491/AL491)</f>
        <v>-7.9637577491654746E-2</v>
      </c>
      <c r="AP491" s="246"/>
      <c r="AQ491" s="486"/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>
      <c r="A492" t="str">
        <f t="shared" si="80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f>+SUM(START:END!Z492)</f>
        <v>0</v>
      </c>
      <c r="AA492" s="10"/>
      <c r="AB492" s="10">
        <f t="shared" si="81"/>
        <v>0</v>
      </c>
      <c r="AC492" s="280">
        <f>+SUM(START:END!AC492)</f>
        <v>0</v>
      </c>
      <c r="AD492" s="10"/>
      <c r="AE492" s="13"/>
      <c r="AF492" s="280">
        <f>+SUM(START:END!AF492)</f>
        <v>0</v>
      </c>
      <c r="AG492" s="10"/>
      <c r="AH492" s="282">
        <f t="shared" si="82"/>
        <v>0</v>
      </c>
      <c r="AI492" s="306">
        <f t="shared" si="83"/>
        <v>0</v>
      </c>
      <c r="AJ492" s="10"/>
      <c r="AK492" s="10"/>
      <c r="AL492" s="280">
        <f>+SUM(START:END!AL492)</f>
        <v>0</v>
      </c>
      <c r="AM492" s="393"/>
      <c r="AN492" s="282">
        <f t="shared" si="84"/>
        <v>0</v>
      </c>
      <c r="AO492" s="289">
        <f t="shared" si="85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0.25">
      <c r="A493" t="str">
        <f t="shared" si="80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f>+SUM(START:END!Z493)</f>
        <v>0</v>
      </c>
      <c r="AA493" s="10"/>
      <c r="AB493" s="10">
        <f t="shared" si="81"/>
        <v>0</v>
      </c>
      <c r="AC493" s="280">
        <f>+SUM(START:END!AC493)</f>
        <v>0</v>
      </c>
      <c r="AD493" s="10"/>
      <c r="AE493" s="13"/>
      <c r="AF493" s="280">
        <f>+SUM(START:END!AF493)</f>
        <v>0</v>
      </c>
      <c r="AG493" s="10"/>
      <c r="AH493" s="282">
        <f t="shared" si="82"/>
        <v>0</v>
      </c>
      <c r="AI493" s="306">
        <f t="shared" si="83"/>
        <v>0</v>
      </c>
      <c r="AJ493" s="10"/>
      <c r="AK493" s="10"/>
      <c r="AL493" s="280">
        <f>+SUM(START:END!AL493)</f>
        <v>0</v>
      </c>
      <c r="AM493" s="393"/>
      <c r="AN493" s="282">
        <f t="shared" si="84"/>
        <v>0</v>
      </c>
      <c r="AO493" s="289">
        <f t="shared" si="85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>
      <c r="A494" t="str">
        <f t="shared" si="80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f>+SUM(START:END!Z494)</f>
        <v>0</v>
      </c>
      <c r="AA494" s="10"/>
      <c r="AB494" s="10">
        <f t="shared" si="81"/>
        <v>0</v>
      </c>
      <c r="AC494" s="280">
        <f>+SUM(START:END!AC494)</f>
        <v>0</v>
      </c>
      <c r="AD494" s="10"/>
      <c r="AE494" s="13"/>
      <c r="AF494" s="280">
        <f>+SUM(START:END!AF494)</f>
        <v>0</v>
      </c>
      <c r="AG494" s="10"/>
      <c r="AH494" s="282">
        <f t="shared" si="82"/>
        <v>0</v>
      </c>
      <c r="AI494" s="306">
        <f t="shared" si="83"/>
        <v>0</v>
      </c>
      <c r="AJ494" s="10"/>
      <c r="AK494" s="10"/>
      <c r="AL494" s="280">
        <f>+SUM(START:END!AL494)</f>
        <v>0</v>
      </c>
      <c r="AM494" s="393"/>
      <c r="AN494" s="282">
        <f t="shared" si="84"/>
        <v>0</v>
      </c>
      <c r="AO494" s="289">
        <f t="shared" si="85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>
      <c r="A495" t="str">
        <f t="shared" si="80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+SUM(START:END!Z495)</f>
        <v>0</v>
      </c>
      <c r="AA495" s="279"/>
      <c r="AB495" s="279">
        <f t="shared" si="81"/>
        <v>0</v>
      </c>
      <c r="AC495" s="282">
        <f>+SUM(START:END!AC495)</f>
        <v>0</v>
      </c>
      <c r="AD495" s="288"/>
      <c r="AE495" s="287"/>
      <c r="AF495" s="280">
        <f>+SUM(START:END!AF495)</f>
        <v>0</v>
      </c>
      <c r="AG495" s="281"/>
      <c r="AH495" s="282">
        <f t="shared" si="82"/>
        <v>0</v>
      </c>
      <c r="AI495" s="283">
        <f t="shared" si="83"/>
        <v>0</v>
      </c>
      <c r="AJ495" s="288"/>
      <c r="AK495" s="279"/>
      <c r="AL495" s="280">
        <f>+SUM(START:END!AL495)</f>
        <v>0</v>
      </c>
      <c r="AM495" s="393"/>
      <c r="AN495" s="282">
        <f t="shared" si="84"/>
        <v>0</v>
      </c>
      <c r="AO495" s="289">
        <f t="shared" si="85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80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208</v>
      </c>
      <c r="W496" s="13"/>
      <c r="X496" s="13"/>
      <c r="Y496" s="13"/>
      <c r="Z496" s="282">
        <f>+SUM(START:END!Z496)</f>
        <v>-7727.5409836065573</v>
      </c>
      <c r="AA496" s="279"/>
      <c r="AB496" s="279">
        <f>IF(AC496=0,0,AC496/(G$13+G$97))</f>
        <v>0</v>
      </c>
      <c r="AC496" s="282">
        <f>+SUM(START:END!AC496)</f>
        <v>0</v>
      </c>
      <c r="AD496" s="288"/>
      <c r="AE496" s="287"/>
      <c r="AF496" s="280">
        <f>+SUM(START:END!AF496)</f>
        <v>-7727.54</v>
      </c>
      <c r="AG496" s="281"/>
      <c r="AH496" s="282">
        <f t="shared" si="82"/>
        <v>9.8360655738360947E-4</v>
      </c>
      <c r="AI496" s="283">
        <f t="shared" si="83"/>
        <v>-1.272858415724048E-7</v>
      </c>
      <c r="AJ496" s="288"/>
      <c r="AK496" s="279"/>
      <c r="AL496" s="280">
        <f>+SUM(START:END!AL496)</f>
        <v>-21302.23</v>
      </c>
      <c r="AM496" s="393"/>
      <c r="AN496" s="282">
        <f t="shared" si="84"/>
        <v>13574.689999999999</v>
      </c>
      <c r="AO496" s="289">
        <f t="shared" si="85"/>
        <v>-0.6372426736543545</v>
      </c>
      <c r="AP496" s="246"/>
      <c r="AQ496" s="246"/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80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+SUM(START:END!Z497)</f>
        <v>0</v>
      </c>
      <c r="AA497" s="279"/>
      <c r="AB497" s="279">
        <f t="shared" si="81"/>
        <v>0</v>
      </c>
      <c r="AC497" s="282">
        <f>+SUM(START:END!AC497)</f>
        <v>0</v>
      </c>
      <c r="AD497" s="288"/>
      <c r="AE497" s="287">
        <f>IF(AF497=0,0,AF497/(J$13+J$97))</f>
        <v>0</v>
      </c>
      <c r="AF497" s="280">
        <f>+SUM(START:END!AF497)</f>
        <v>0</v>
      </c>
      <c r="AG497" s="281"/>
      <c r="AH497" s="282">
        <f t="shared" si="82"/>
        <v>0</v>
      </c>
      <c r="AI497" s="283">
        <f t="shared" si="83"/>
        <v>0</v>
      </c>
      <c r="AJ497" s="288"/>
      <c r="AK497" s="279">
        <f>AL497/(O$13+O$97)</f>
        <v>0</v>
      </c>
      <c r="AL497" s="280">
        <f>+SUM(START:END!AL497)</f>
        <v>0</v>
      </c>
      <c r="AM497" s="393"/>
      <c r="AN497" s="282">
        <f t="shared" si="84"/>
        <v>0</v>
      </c>
      <c r="AO497" s="289">
        <f t="shared" si="85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80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2.8919984254246581E-2</v>
      </c>
      <c r="Z498" s="369">
        <f>Z489-Z491-Z492-Z493-Z497-Z494-Z495-Z496-Z497</f>
        <v>439173.12299151864</v>
      </c>
      <c r="AA498" s="367" t="s">
        <v>180</v>
      </c>
      <c r="AB498" s="368" t="e">
        <f>AC498/AC406</f>
        <v>#DIV/0!</v>
      </c>
      <c r="AC498" s="369">
        <f>AC489-AC491-AC492-AC493-AC497-AC494-AC495</f>
        <v>0</v>
      </c>
      <c r="AD498" s="367" t="s">
        <v>180</v>
      </c>
      <c r="AE498" s="368">
        <f>AF498/AF406</f>
        <v>4.16004415145498E-2</v>
      </c>
      <c r="AF498" s="370">
        <f>AF489-AF491-AF492-AF493-AF497-AF494-AF495-AF496-AF497</f>
        <v>622532.40000000014</v>
      </c>
      <c r="AG498" s="371"/>
      <c r="AH498" s="370">
        <f t="shared" si="82"/>
        <v>183359.2770084815</v>
      </c>
      <c r="AI498" s="487">
        <f>AH498/Z498</f>
        <v>0.41751024233790041</v>
      </c>
      <c r="AJ498" s="373" t="s">
        <v>180</v>
      </c>
      <c r="AK498" s="368">
        <f>IF($AL$406=0,0,AL498/$AL$406)</f>
        <v>2.646534918451162E-2</v>
      </c>
      <c r="AL498" s="370">
        <f>AL489-AL491-AL492-AL493-AL497-AL494-AL495-AL496-AL497</f>
        <v>376253.27999999881</v>
      </c>
      <c r="AM498" s="374"/>
      <c r="AN498" s="370">
        <f t="shared" si="84"/>
        <v>246279.12000000133</v>
      </c>
      <c r="AO498" s="394">
        <f t="shared" si="85"/>
        <v>0.65455673901368283</v>
      </c>
      <c r="AP498" s="246"/>
      <c r="AQ498" s="246"/>
      <c r="AR498" s="246"/>
      <c r="AS498" s="246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 t="shared" si="80"/>
        <v/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/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/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/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/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/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/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/>
      <c r="AE505" s="246"/>
      <c r="AF505" s="246"/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/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/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/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334"/>
      <c r="X512" s="334"/>
      <c r="Y512" s="246"/>
      <c r="Z512" s="246"/>
      <c r="AA512" s="246"/>
      <c r="AB512" s="246"/>
      <c r="AC512" s="246"/>
      <c r="AD512" s="246"/>
      <c r="AE512" s="246"/>
      <c r="AF512" s="310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334"/>
      <c r="X513" s="334"/>
      <c r="Y513" s="246"/>
      <c r="Z513" s="246"/>
      <c r="AA513" s="246"/>
      <c r="AB513" s="246"/>
      <c r="AC513" s="246"/>
      <c r="AD513" s="246"/>
      <c r="AE513" s="246"/>
      <c r="AF513" s="246"/>
      <c r="AG513" s="246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246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310"/>
      <c r="AG516" s="310"/>
      <c r="AH516" s="310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398"/>
      <c r="D518" s="334"/>
      <c r="E518" s="334"/>
      <c r="F518" s="399"/>
      <c r="G518" s="334"/>
      <c r="H518" s="334"/>
      <c r="I518" s="399"/>
      <c r="J518" s="334"/>
      <c r="K518" s="334"/>
      <c r="L518" s="334"/>
      <c r="M518" s="399"/>
      <c r="N518" s="334"/>
      <c r="O518" s="334"/>
      <c r="P518" s="334"/>
      <c r="Q518" s="399"/>
      <c r="R518" s="399"/>
      <c r="S518" s="399"/>
      <c r="T518" s="334"/>
      <c r="U518" s="334"/>
      <c r="V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246"/>
      <c r="AH518" s="246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400"/>
      <c r="D519" s="334"/>
      <c r="E519" s="334"/>
      <c r="F519" s="399"/>
      <c r="G519" s="334"/>
      <c r="H519" s="334"/>
      <c r="I519" s="399"/>
      <c r="J519" s="334"/>
      <c r="K519" s="334"/>
      <c r="L519" s="334"/>
      <c r="M519" s="399"/>
      <c r="N519" s="334"/>
      <c r="O519" s="334"/>
      <c r="P519" s="334"/>
      <c r="Q519" s="399"/>
      <c r="R519" s="399"/>
      <c r="S519" s="399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310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34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246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334"/>
      <c r="D521" s="334"/>
      <c r="E521" s="334"/>
      <c r="F521" s="334"/>
      <c r="G521" s="334"/>
      <c r="H521" s="334"/>
      <c r="I521" s="334"/>
      <c r="J521" s="398"/>
      <c r="K521" s="398"/>
      <c r="L521" s="398"/>
      <c r="M521" s="399"/>
      <c r="N521" s="334"/>
      <c r="O521" s="334"/>
      <c r="P521" s="334"/>
      <c r="Q521" s="334"/>
      <c r="R521" s="334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34"/>
      <c r="G522" s="334"/>
      <c r="H522" s="334"/>
      <c r="I522" s="334"/>
      <c r="J522" s="334"/>
      <c r="K522" s="334"/>
      <c r="L522" s="334"/>
      <c r="M522" s="399"/>
      <c r="N522" s="334"/>
      <c r="O522" s="334"/>
      <c r="P522" s="334"/>
      <c r="Q522" s="334"/>
      <c r="R522" s="334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34"/>
      <c r="K523" s="334"/>
      <c r="L523" s="334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246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98"/>
      <c r="K526" s="398"/>
      <c r="L526" s="398"/>
      <c r="M526" s="401"/>
      <c r="N526" s="398"/>
      <c r="O526" s="398"/>
      <c r="P526" s="398"/>
      <c r="Q526" s="334"/>
      <c r="R526" s="334"/>
      <c r="S526" s="398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8.75">
      <c r="B530" s="7"/>
      <c r="C530" s="402"/>
      <c r="D530" s="403"/>
      <c r="E530" s="403"/>
      <c r="F530" s="403"/>
      <c r="G530" s="403"/>
      <c r="H530" s="403"/>
      <c r="I530" s="403"/>
      <c r="J530" s="403"/>
      <c r="K530" s="403"/>
      <c r="L530" s="403"/>
      <c r="M530" s="403"/>
      <c r="N530" s="403"/>
      <c r="O530" s="403"/>
      <c r="P530" s="403"/>
      <c r="Q530" s="403"/>
      <c r="R530" s="403"/>
      <c r="S530" s="403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40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5.75">
      <c r="B532" s="7"/>
      <c r="C532" s="334"/>
      <c r="D532" s="334"/>
      <c r="E532" s="334"/>
      <c r="F532" s="334"/>
      <c r="G532" s="334"/>
      <c r="H532" s="334"/>
      <c r="I532" s="334"/>
      <c r="J532" s="334"/>
      <c r="K532" s="334"/>
      <c r="L532" s="405"/>
      <c r="M532" s="406"/>
      <c r="N532" s="406"/>
      <c r="O532" s="334"/>
      <c r="P532" s="405"/>
      <c r="Q532" s="406"/>
      <c r="R532" s="406"/>
      <c r="S532" s="405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405"/>
      <c r="F533" s="407"/>
      <c r="G533" s="334"/>
      <c r="H533" s="405"/>
      <c r="I533" s="407"/>
      <c r="J533" s="406"/>
      <c r="K533" s="398"/>
      <c r="L533" s="405"/>
      <c r="M533" s="406"/>
      <c r="N533" s="406"/>
      <c r="O533" s="398"/>
      <c r="P533" s="405"/>
      <c r="Q533" s="406"/>
      <c r="R533" s="406"/>
      <c r="S533" s="405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408"/>
      <c r="E534" s="407"/>
      <c r="F534" s="407"/>
      <c r="G534" s="408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98"/>
      <c r="D535" s="334"/>
      <c r="E535" s="334"/>
      <c r="F535" s="334"/>
      <c r="G535" s="334"/>
      <c r="H535" s="334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334"/>
      <c r="E536" s="334"/>
      <c r="F536" s="334"/>
      <c r="G536" s="334"/>
      <c r="H536" s="334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34"/>
      <c r="D537" s="334"/>
      <c r="E537" s="399"/>
      <c r="F537" s="409"/>
      <c r="G537" s="334"/>
      <c r="H537" s="399"/>
      <c r="I537" s="409"/>
      <c r="J537" s="409"/>
      <c r="K537" s="399"/>
      <c r="L537" s="409"/>
      <c r="M537" s="399"/>
      <c r="N537" s="409"/>
      <c r="O537" s="399"/>
      <c r="P537" s="409"/>
      <c r="Q537" s="399"/>
      <c r="R537" s="399"/>
      <c r="S537" s="399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99"/>
      <c r="F538" s="409"/>
      <c r="G538" s="334"/>
      <c r="H538" s="399"/>
      <c r="I538" s="409"/>
      <c r="J538" s="409"/>
      <c r="K538" s="399"/>
      <c r="L538" s="409"/>
      <c r="M538" s="399"/>
      <c r="N538" s="409"/>
      <c r="O538" s="399"/>
      <c r="P538" s="409"/>
      <c r="Q538" s="399"/>
      <c r="R538" s="399"/>
      <c r="S538" s="399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34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10"/>
      <c r="G543" s="334"/>
      <c r="H543" s="399"/>
      <c r="I543" s="410"/>
      <c r="J543" s="409"/>
      <c r="K543" s="399"/>
      <c r="L543" s="409"/>
      <c r="M543" s="399"/>
      <c r="N543" s="409"/>
      <c r="O543" s="399"/>
      <c r="P543" s="334"/>
      <c r="Q543" s="334"/>
      <c r="R543" s="399"/>
      <c r="S543" s="399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98"/>
      <c r="D544" s="398"/>
      <c r="E544" s="401"/>
      <c r="F544" s="411"/>
      <c r="G544" s="398"/>
      <c r="H544" s="401"/>
      <c r="I544" s="411"/>
      <c r="J544" s="411"/>
      <c r="K544" s="401"/>
      <c r="L544" s="411"/>
      <c r="M544" s="401"/>
      <c r="N544" s="411"/>
      <c r="O544" s="401"/>
      <c r="P544" s="411"/>
      <c r="Q544" s="401"/>
      <c r="R544" s="401"/>
      <c r="S544" s="398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334"/>
      <c r="G545" s="334"/>
      <c r="H545" s="399"/>
      <c r="I545" s="334"/>
      <c r="J545" s="409"/>
      <c r="K545" s="399"/>
      <c r="L545" s="409"/>
      <c r="M545" s="399"/>
      <c r="N545" s="409"/>
      <c r="O545" s="399"/>
      <c r="P545" s="398"/>
      <c r="Q545" s="411"/>
      <c r="R545" s="411"/>
      <c r="S545" s="334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34"/>
      <c r="D546" s="334"/>
      <c r="E546" s="399"/>
      <c r="F546" s="334"/>
      <c r="G546" s="334"/>
      <c r="H546" s="399"/>
      <c r="I546" s="334"/>
      <c r="J546" s="409"/>
      <c r="K546" s="399"/>
      <c r="L546" s="409"/>
      <c r="M546" s="399"/>
      <c r="N546" s="409"/>
      <c r="O546" s="399"/>
      <c r="P546" s="334"/>
      <c r="Q546" s="334"/>
      <c r="R546" s="399"/>
      <c r="S546" s="334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98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34"/>
      <c r="Q547" s="334"/>
      <c r="R547" s="399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34"/>
      <c r="F548" s="334"/>
      <c r="G548" s="334"/>
      <c r="H548" s="334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34"/>
      <c r="D549" s="334"/>
      <c r="E549" s="399"/>
      <c r="F549" s="409"/>
      <c r="G549" s="334"/>
      <c r="H549" s="399"/>
      <c r="I549" s="409"/>
      <c r="J549" s="409"/>
      <c r="K549" s="334"/>
      <c r="L549" s="409"/>
      <c r="M549" s="334"/>
      <c r="N549" s="409"/>
      <c r="O549" s="334"/>
      <c r="P549" s="409"/>
      <c r="Q549" s="399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99"/>
      <c r="F550" s="410"/>
      <c r="G550" s="334"/>
      <c r="H550" s="399"/>
      <c r="I550" s="410"/>
      <c r="J550" s="409"/>
      <c r="K550" s="399"/>
      <c r="L550" s="409"/>
      <c r="M550" s="399"/>
      <c r="N550" s="409"/>
      <c r="O550" s="399"/>
      <c r="P550" s="334"/>
      <c r="Q550" s="409"/>
      <c r="R550" s="409"/>
      <c r="S550" s="399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10"/>
      <c r="G551" s="334"/>
      <c r="H551" s="399"/>
      <c r="I551" s="410"/>
      <c r="J551" s="409"/>
      <c r="K551" s="399"/>
      <c r="L551" s="409"/>
      <c r="M551" s="399"/>
      <c r="N551" s="409"/>
      <c r="O551" s="399"/>
      <c r="P551" s="334"/>
      <c r="Q551" s="334"/>
      <c r="R551" s="399"/>
      <c r="S551" s="399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09"/>
      <c r="G552" s="334"/>
      <c r="H552" s="399"/>
      <c r="I552" s="409"/>
      <c r="J552" s="409"/>
      <c r="K552" s="399"/>
      <c r="L552" s="409"/>
      <c r="M552" s="399"/>
      <c r="N552" s="409"/>
      <c r="O552" s="399"/>
      <c r="P552" s="334"/>
      <c r="Q552" s="334"/>
      <c r="R552" s="399"/>
      <c r="S552" s="334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98"/>
      <c r="D553" s="398"/>
      <c r="E553" s="401"/>
      <c r="F553" s="411"/>
      <c r="G553" s="398"/>
      <c r="H553" s="401"/>
      <c r="I553" s="411"/>
      <c r="J553" s="411"/>
      <c r="K553" s="401"/>
      <c r="L553" s="411"/>
      <c r="M553" s="401"/>
      <c r="N553" s="411"/>
      <c r="O553" s="401"/>
      <c r="P553" s="411"/>
      <c r="Q553" s="398"/>
      <c r="R553" s="401"/>
      <c r="S553" s="398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34"/>
      <c r="F554" s="334"/>
      <c r="G554" s="334"/>
      <c r="H554" s="334"/>
      <c r="I554" s="334"/>
      <c r="J554" s="334"/>
      <c r="K554" s="334"/>
      <c r="L554" s="334"/>
      <c r="M554" s="334"/>
      <c r="N554" s="334"/>
      <c r="O554" s="334"/>
      <c r="P554" s="398"/>
      <c r="Q554" s="411"/>
      <c r="R554" s="411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34"/>
      <c r="D555" s="334"/>
      <c r="E555" s="399"/>
      <c r="F555" s="409"/>
      <c r="G555" s="334"/>
      <c r="H555" s="399"/>
      <c r="I555" s="409"/>
      <c r="J555" s="409"/>
      <c r="K555" s="399"/>
      <c r="L555" s="409"/>
      <c r="M555" s="399"/>
      <c r="N555" s="409"/>
      <c r="O555" s="399"/>
      <c r="P555" s="334"/>
      <c r="Q555" s="334"/>
      <c r="R555" s="399"/>
      <c r="S555" s="334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98"/>
      <c r="D556" s="334"/>
      <c r="E556" s="399"/>
      <c r="F556" s="409"/>
      <c r="G556" s="334"/>
      <c r="H556" s="399"/>
      <c r="I556" s="409"/>
      <c r="J556" s="409"/>
      <c r="K556" s="399"/>
      <c r="L556" s="409"/>
      <c r="M556" s="399"/>
      <c r="N556" s="409"/>
      <c r="O556" s="399"/>
      <c r="P556" s="334"/>
      <c r="Q556" s="334"/>
      <c r="R556" s="399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34"/>
      <c r="D558" s="334"/>
      <c r="E558" s="334"/>
      <c r="F558" s="334"/>
      <c r="G558" s="334"/>
      <c r="H558" s="334"/>
      <c r="I558" s="334"/>
      <c r="J558" s="334"/>
      <c r="K558" s="334"/>
      <c r="L558" s="334"/>
      <c r="M558" s="334"/>
      <c r="N558" s="334"/>
      <c r="O558" s="334"/>
      <c r="P558" s="409"/>
      <c r="Q558" s="399"/>
      <c r="R558" s="334"/>
      <c r="S558" s="399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34"/>
      <c r="F559" s="334"/>
      <c r="G559" s="334"/>
      <c r="H559" s="334"/>
      <c r="I559" s="334"/>
      <c r="J559" s="334"/>
      <c r="K559" s="334"/>
      <c r="L559" s="334"/>
      <c r="M559" s="334"/>
      <c r="N559" s="334"/>
      <c r="O559" s="334"/>
      <c r="P559" s="409"/>
      <c r="Q559" s="399"/>
      <c r="R559" s="334"/>
      <c r="S559" s="399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98"/>
      <c r="D566" s="398"/>
      <c r="E566" s="334"/>
      <c r="F566" s="334"/>
      <c r="G566" s="398"/>
      <c r="H566" s="334"/>
      <c r="I566" s="334"/>
      <c r="J566" s="334"/>
      <c r="K566" s="334"/>
      <c r="L566" s="334"/>
      <c r="M566" s="334"/>
      <c r="N566" s="334"/>
      <c r="O566" s="334"/>
      <c r="P566" s="411"/>
      <c r="Q566" s="401"/>
      <c r="R566" s="334"/>
      <c r="S566" s="401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11"/>
      <c r="Q567" s="411"/>
      <c r="R567" s="334"/>
      <c r="S567" s="334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34"/>
      <c r="D568" s="334"/>
      <c r="E568" s="334"/>
      <c r="F568" s="334"/>
      <c r="G568" s="334"/>
      <c r="H568" s="334"/>
      <c r="I568" s="334"/>
      <c r="J568" s="334"/>
      <c r="K568" s="334"/>
      <c r="L568" s="334"/>
      <c r="M568" s="334"/>
      <c r="N568" s="334"/>
      <c r="O568" s="334"/>
      <c r="P568" s="409"/>
      <c r="Q568" s="399"/>
      <c r="R568" s="334"/>
      <c r="S568" s="399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09"/>
      <c r="Q569" s="399"/>
      <c r="R569" s="334"/>
      <c r="S569" s="399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98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11"/>
      <c r="Q570" s="401"/>
      <c r="R570" s="334"/>
      <c r="S570" s="401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11"/>
      <c r="Q571" s="411"/>
      <c r="R571" s="334"/>
      <c r="S571" s="334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34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09"/>
      <c r="Q572" s="399"/>
      <c r="R572" s="334"/>
      <c r="S572" s="399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98"/>
      <c r="D573" s="398"/>
      <c r="E573" s="334"/>
      <c r="F573" s="334"/>
      <c r="G573" s="398"/>
      <c r="H573" s="334"/>
      <c r="I573" s="334"/>
      <c r="J573" s="334"/>
      <c r="K573" s="334"/>
      <c r="L573" s="334"/>
      <c r="M573" s="334"/>
      <c r="N573" s="334"/>
      <c r="O573" s="334"/>
      <c r="P573" s="411"/>
      <c r="Q573" s="401"/>
      <c r="R573" s="334"/>
      <c r="S573" s="401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11"/>
      <c r="Q574" s="411"/>
      <c r="R574" s="334"/>
      <c r="S574" s="334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34"/>
      <c r="D575" s="334"/>
      <c r="E575" s="399"/>
      <c r="F575" s="409"/>
      <c r="G575" s="334"/>
      <c r="H575" s="399"/>
      <c r="I575" s="409"/>
      <c r="J575" s="409"/>
      <c r="K575" s="399"/>
      <c r="L575" s="409"/>
      <c r="M575" s="399"/>
      <c r="N575" s="409"/>
      <c r="O575" s="399"/>
      <c r="P575" s="409"/>
      <c r="Q575" s="399"/>
      <c r="R575" s="399"/>
      <c r="S575" s="334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98"/>
      <c r="D576" s="398"/>
      <c r="E576" s="401"/>
      <c r="F576" s="411"/>
      <c r="G576" s="398"/>
      <c r="H576" s="401"/>
      <c r="I576" s="411"/>
      <c r="J576" s="411"/>
      <c r="K576" s="401"/>
      <c r="L576" s="411"/>
      <c r="M576" s="401"/>
      <c r="N576" s="411"/>
      <c r="O576" s="401"/>
      <c r="P576" s="411"/>
      <c r="Q576" s="401"/>
      <c r="R576" s="401"/>
      <c r="S576" s="401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399"/>
      <c r="K577" s="409"/>
      <c r="L577" s="399"/>
      <c r="M577" s="334"/>
      <c r="N577" s="399"/>
      <c r="O577" s="409"/>
      <c r="P577" s="401"/>
      <c r="Q577" s="411"/>
      <c r="R577" s="411"/>
      <c r="S577" s="399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34"/>
      <c r="D578" s="334"/>
      <c r="E578" s="399"/>
      <c r="F578" s="409"/>
      <c r="G578" s="334"/>
      <c r="H578" s="399"/>
      <c r="I578" s="409"/>
      <c r="J578" s="399"/>
      <c r="K578" s="409"/>
      <c r="L578" s="399"/>
      <c r="M578" s="334"/>
      <c r="N578" s="399"/>
      <c r="O578" s="409"/>
      <c r="P578" s="399"/>
      <c r="Q578" s="334"/>
      <c r="R578" s="409"/>
      <c r="S578" s="399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34"/>
      <c r="F579" s="334"/>
      <c r="G579" s="334"/>
      <c r="H579" s="334"/>
      <c r="I579" s="334"/>
      <c r="J579" s="334"/>
      <c r="K579" s="334"/>
      <c r="L579" s="334"/>
      <c r="M579" s="334"/>
      <c r="N579" s="334"/>
      <c r="O579" s="334"/>
      <c r="P579" s="334"/>
      <c r="Q579" s="334"/>
      <c r="R579" s="409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99"/>
      <c r="F581" s="409"/>
      <c r="G581" s="334"/>
      <c r="H581" s="399"/>
      <c r="I581" s="409"/>
      <c r="J581" s="399"/>
      <c r="K581" s="409"/>
      <c r="L581" s="399"/>
      <c r="M581" s="334"/>
      <c r="N581" s="399"/>
      <c r="O581" s="409"/>
      <c r="P581" s="399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34"/>
      <c r="F587" s="334"/>
      <c r="G587" s="334"/>
      <c r="H587" s="334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34"/>
      <c r="F588" s="334"/>
      <c r="G588" s="334"/>
      <c r="H588" s="334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30">
      <c r="B650" s="7"/>
      <c r="C650" s="412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413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8.75">
      <c r="B651" s="7"/>
      <c r="C651" s="402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14"/>
      <c r="R651" s="406"/>
      <c r="S651" s="406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15.75">
      <c r="B652" s="7"/>
      <c r="C652" s="334"/>
      <c r="D652" s="403"/>
      <c r="E652" s="403"/>
      <c r="F652" s="415"/>
      <c r="G652" s="403"/>
      <c r="H652" s="403"/>
      <c r="I652" s="415"/>
      <c r="J652" s="407"/>
      <c r="K652" s="407"/>
      <c r="L652" s="416"/>
      <c r="M652" s="407"/>
      <c r="N652" s="407"/>
      <c r="O652" s="407"/>
      <c r="P652" s="407"/>
      <c r="Q652" s="404"/>
      <c r="R652" s="403"/>
      <c r="S652" s="415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5.75">
      <c r="B653" s="7"/>
      <c r="C653" s="417"/>
      <c r="D653" s="334"/>
      <c r="E653" s="334"/>
      <c r="F653" s="406"/>
      <c r="G653" s="334"/>
      <c r="H653" s="334"/>
      <c r="I653" s="406"/>
      <c r="J653" s="406"/>
      <c r="K653" s="406"/>
      <c r="L653" s="334"/>
      <c r="M653" s="406"/>
      <c r="N653" s="406"/>
      <c r="O653" s="334"/>
      <c r="P653" s="406"/>
      <c r="Q653" s="406"/>
      <c r="R653" s="334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334"/>
      <c r="E654" s="334"/>
      <c r="F654" s="399"/>
      <c r="G654" s="334"/>
      <c r="H654" s="334"/>
      <c r="I654" s="399"/>
      <c r="J654" s="399"/>
      <c r="K654" s="399"/>
      <c r="L654" s="399"/>
      <c r="M654" s="399"/>
      <c r="N654" s="399"/>
      <c r="O654" s="399"/>
      <c r="P654" s="399"/>
      <c r="Q654" s="399"/>
      <c r="R654" s="399"/>
      <c r="S654" s="399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398"/>
      <c r="D655" s="398"/>
      <c r="E655" s="398"/>
      <c r="F655" s="401"/>
      <c r="G655" s="398"/>
      <c r="H655" s="398"/>
      <c r="I655" s="401"/>
      <c r="J655" s="401"/>
      <c r="K655" s="401"/>
      <c r="L655" s="401"/>
      <c r="M655" s="401"/>
      <c r="N655" s="401"/>
      <c r="O655" s="401"/>
      <c r="P655" s="401"/>
      <c r="Q655" s="401"/>
      <c r="R655" s="401"/>
      <c r="S655" s="401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34"/>
      <c r="G656" s="334"/>
      <c r="H656" s="334"/>
      <c r="I656" s="334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34"/>
      <c r="D657" s="334"/>
      <c r="E657" s="334"/>
      <c r="F657" s="334"/>
      <c r="G657" s="334"/>
      <c r="H657" s="334"/>
      <c r="I657" s="334"/>
      <c r="J657" s="334"/>
      <c r="K657" s="399"/>
      <c r="L657" s="399"/>
      <c r="M657" s="334"/>
      <c r="N657" s="399"/>
      <c r="O657" s="399"/>
      <c r="P657" s="334"/>
      <c r="Q657" s="399"/>
      <c r="R657" s="399"/>
      <c r="S657" s="334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34"/>
      <c r="K658" s="399"/>
      <c r="L658" s="399"/>
      <c r="M658" s="334"/>
      <c r="N658" s="399"/>
      <c r="O658" s="399"/>
      <c r="P658" s="334"/>
      <c r="Q658" s="399"/>
      <c r="R658" s="399"/>
      <c r="S658" s="334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401"/>
      <c r="M662" s="334"/>
      <c r="N662" s="399"/>
      <c r="O662" s="399"/>
      <c r="P662" s="334"/>
      <c r="Q662" s="399"/>
      <c r="R662" s="401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34"/>
      <c r="L664" s="334"/>
      <c r="M664" s="334"/>
      <c r="N664" s="401"/>
      <c r="O664" s="401"/>
      <c r="P664" s="334"/>
      <c r="Q664" s="401"/>
      <c r="R664" s="334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401"/>
      <c r="L665" s="401"/>
      <c r="M665" s="334"/>
      <c r="N665" s="399"/>
      <c r="O665" s="399"/>
      <c r="P665" s="334"/>
      <c r="Q665" s="399"/>
      <c r="R665" s="401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99"/>
      <c r="L666" s="399"/>
      <c r="M666" s="334"/>
      <c r="N666" s="399"/>
      <c r="O666" s="399"/>
      <c r="P666" s="334"/>
      <c r="Q666" s="399"/>
      <c r="R666" s="399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399"/>
      <c r="L667" s="399"/>
      <c r="M667" s="334"/>
      <c r="N667" s="399"/>
      <c r="O667" s="399"/>
      <c r="P667" s="334"/>
      <c r="Q667" s="399"/>
      <c r="R667" s="399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401"/>
      <c r="O674" s="401"/>
      <c r="P674" s="334"/>
      <c r="Q674" s="401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401"/>
      <c r="L675" s="401"/>
      <c r="M675" s="334"/>
      <c r="N675" s="399"/>
      <c r="O675" s="399"/>
      <c r="P675" s="334"/>
      <c r="Q675" s="399"/>
      <c r="R675" s="401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399"/>
      <c r="O676" s="399"/>
      <c r="P676" s="334"/>
      <c r="Q676" s="399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399"/>
      <c r="L677" s="399"/>
      <c r="M677" s="334"/>
      <c r="N677" s="399"/>
      <c r="O677" s="399"/>
      <c r="P677" s="334"/>
      <c r="Q677" s="399"/>
      <c r="R677" s="399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34"/>
      <c r="O689" s="334"/>
      <c r="P689" s="334"/>
      <c r="Q689" s="334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401"/>
      <c r="O690" s="401"/>
      <c r="P690" s="334"/>
      <c r="Q690" s="401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34"/>
      <c r="L691" s="334"/>
      <c r="M691" s="334"/>
      <c r="N691" s="399"/>
      <c r="O691" s="399"/>
      <c r="P691" s="334"/>
      <c r="Q691" s="399"/>
      <c r="R691" s="334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401"/>
      <c r="L692" s="401"/>
      <c r="M692" s="334"/>
      <c r="N692" s="399"/>
      <c r="O692" s="399"/>
      <c r="P692" s="334"/>
      <c r="Q692" s="399"/>
      <c r="R692" s="401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99"/>
      <c r="L693" s="399"/>
      <c r="M693" s="334"/>
      <c r="N693" s="399"/>
      <c r="O693" s="399"/>
      <c r="P693" s="334"/>
      <c r="Q693" s="399"/>
      <c r="R693" s="399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399"/>
      <c r="L694" s="399"/>
      <c r="M694" s="334"/>
      <c r="N694" s="399"/>
      <c r="O694" s="399"/>
      <c r="P694" s="334"/>
      <c r="Q694" s="399"/>
      <c r="R694" s="399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401"/>
      <c r="M699" s="334"/>
      <c r="N699" s="399"/>
      <c r="O699" s="399"/>
      <c r="P699" s="334"/>
      <c r="Q699" s="399"/>
      <c r="R699" s="401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399"/>
      <c r="M701" s="334"/>
      <c r="N701" s="399"/>
      <c r="O701" s="399"/>
      <c r="P701" s="334"/>
      <c r="Q701" s="399"/>
      <c r="R701" s="399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401"/>
      <c r="O702" s="401"/>
      <c r="P702" s="334"/>
      <c r="Q702" s="401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phoneticPr fontId="31" type="noConversion"/>
  <conditionalFormatting sqref="D31:D32">
    <cfRule type="expression" dxfId="451" priority="17" stopIfTrue="1">
      <formula>"esterreur(reference)"</formula>
    </cfRule>
  </conditionalFormatting>
  <conditionalFormatting sqref="D112:D113">
    <cfRule type="expression" dxfId="450" priority="12" stopIfTrue="1">
      <formula>"esterreur(reference)"</formula>
    </cfRule>
  </conditionalFormatting>
  <conditionalFormatting sqref="F5">
    <cfRule type="expression" dxfId="449" priority="78" stopIfTrue="1">
      <formula>"esterreur(reference)"</formula>
    </cfRule>
  </conditionalFormatting>
  <conditionalFormatting sqref="F184">
    <cfRule type="expression" dxfId="448" priority="88" stopIfTrue="1">
      <formula>"esterreur(reference)"</formula>
    </cfRule>
  </conditionalFormatting>
  <conditionalFormatting sqref="G31:G32">
    <cfRule type="expression" dxfId="447" priority="16" stopIfTrue="1">
      <formula>"esterreur(reference)"</formula>
    </cfRule>
  </conditionalFormatting>
  <conditionalFormatting sqref="G112:G113">
    <cfRule type="expression" dxfId="446" priority="13" stopIfTrue="1">
      <formula>"esterreur(reference)"</formula>
    </cfRule>
  </conditionalFormatting>
  <conditionalFormatting sqref="H136:H152">
    <cfRule type="expression" dxfId="445" priority="42" stopIfTrue="1">
      <formula>"esterreur(reference)"</formula>
    </cfRule>
  </conditionalFormatting>
  <conditionalFormatting sqref="H360">
    <cfRule type="expression" dxfId="444" priority="121" stopIfTrue="1">
      <formula>"esterreur(reference)"</formula>
    </cfRule>
  </conditionalFormatting>
  <conditionalFormatting sqref="H197:L197">
    <cfRule type="expression" dxfId="443" priority="123" stopIfTrue="1">
      <formula>"esterreur(reference)"</formula>
    </cfRule>
  </conditionalFormatting>
  <conditionalFormatting sqref="H396:L399">
    <cfRule type="expression" dxfId="442" priority="119" stopIfTrue="1">
      <formula>"esterreur(reference)"</formula>
    </cfRule>
  </conditionalFormatting>
  <conditionalFormatting sqref="I377:L377 H378:H395">
    <cfRule type="expression" dxfId="441" priority="120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440" priority="113" stopIfTrue="1">
      <formula>"esterreur(reference)"</formula>
    </cfRule>
  </conditionalFormatting>
  <conditionalFormatting sqref="J55:K71">
    <cfRule type="expression" dxfId="439" priority="124" stopIfTrue="1">
      <formula>"esterreur(reference)"</formula>
    </cfRule>
  </conditionalFormatting>
  <conditionalFormatting sqref="J102:L104">
    <cfRule type="expression" dxfId="438" priority="109" stopIfTrue="1">
      <formula>"esterreur(reference)"</formula>
    </cfRule>
  </conditionalFormatting>
  <conditionalFormatting sqref="J149:L152">
    <cfRule type="expression" dxfId="437" priority="41" stopIfTrue="1">
      <formula>"esterreur(reference)"</formula>
    </cfRule>
  </conditionalFormatting>
  <conditionalFormatting sqref="J295:L303">
    <cfRule type="expression" dxfId="436" priority="105" stopIfTrue="1">
      <formula>"esterreur(reference)"</formula>
    </cfRule>
  </conditionalFormatting>
  <conditionalFormatting sqref="J307:L308">
    <cfRule type="expression" dxfId="435" priority="95" stopIfTrue="1">
      <formula>"esterreur(reference)"</formula>
    </cfRule>
  </conditionalFormatting>
  <conditionalFormatting sqref="J360:L360">
    <cfRule type="expression" dxfId="434" priority="87" stopIfTrue="1">
      <formula>"esterreur(reference)"</formula>
    </cfRule>
  </conditionalFormatting>
  <conditionalFormatting sqref="J365:L376">
    <cfRule type="expression" dxfId="433" priority="92" stopIfTrue="1">
      <formula>"esterreur(reference)"</formula>
    </cfRule>
  </conditionalFormatting>
  <conditionalFormatting sqref="J378:L394">
    <cfRule type="expression" dxfId="432" priority="91" stopIfTrue="1">
      <formula>"esterreur(reference)"</formula>
    </cfRule>
  </conditionalFormatting>
  <conditionalFormatting sqref="J312:M312">
    <cfRule type="expression" dxfId="431" priority="93" stopIfTrue="1">
      <formula>"esterreur(reference)"</formula>
    </cfRule>
  </conditionalFormatting>
  <conditionalFormatting sqref="J112:Q121">
    <cfRule type="expression" dxfId="430" priority="14" stopIfTrue="1">
      <formula>"esterreur(reference)"</formula>
    </cfRule>
  </conditionalFormatting>
  <conditionalFormatting sqref="J123:Q134">
    <cfRule type="expression" dxfId="429" priority="68" stopIfTrue="1">
      <formula>"esterreur(reference)"</formula>
    </cfRule>
  </conditionalFormatting>
  <conditionalFormatting sqref="K5">
    <cfRule type="expression" dxfId="428" priority="102" stopIfTrue="1">
      <formula>"esterreur(reference)"</formula>
    </cfRule>
  </conditionalFormatting>
  <conditionalFormatting sqref="K175">
    <cfRule type="expression" dxfId="427" priority="99" stopIfTrue="1">
      <formula>"esterreur(reference)"</formula>
    </cfRule>
  </conditionalFormatting>
  <conditionalFormatting sqref="K183:K184">
    <cfRule type="expression" dxfId="426" priority="101" stopIfTrue="1">
      <formula>"esterreur(reference)"</formula>
    </cfRule>
  </conditionalFormatting>
  <conditionalFormatting sqref="K287">
    <cfRule type="expression" dxfId="425" priority="85" stopIfTrue="1">
      <formula>"esterreur(reference)"</formula>
    </cfRule>
  </conditionalFormatting>
  <conditionalFormatting sqref="K395">
    <cfRule type="expression" dxfId="424" priority="122" stopIfTrue="1">
      <formula>"esterreur(reference)"</formula>
    </cfRule>
  </conditionalFormatting>
  <conditionalFormatting sqref="K93:L96">
    <cfRule type="expression" dxfId="423" priority="90" stopIfTrue="1">
      <formula>"esterreur(reference)"</formula>
    </cfRule>
  </conditionalFormatting>
  <conditionalFormatting sqref="K99:L100">
    <cfRule type="expression" dxfId="422" priority="110" stopIfTrue="1">
      <formula>"esterreur(reference)"</formula>
    </cfRule>
  </conditionalFormatting>
  <conditionalFormatting sqref="K171:L173">
    <cfRule type="expression" dxfId="421" priority="100" stopIfTrue="1">
      <formula>"esterreur(reference)"</formula>
    </cfRule>
  </conditionalFormatting>
  <conditionalFormatting sqref="K176:L182">
    <cfRule type="expression" dxfId="420" priority="98" stopIfTrue="1">
      <formula>"esterreur(reference)"</formula>
    </cfRule>
  </conditionalFormatting>
  <conditionalFormatting sqref="K185:L196">
    <cfRule type="expression" dxfId="419" priority="94" stopIfTrue="1">
      <formula>"esterreur(reference)"</formula>
    </cfRule>
  </conditionalFormatting>
  <conditionalFormatting sqref="K239:L241">
    <cfRule type="expression" dxfId="418" priority="89" stopIfTrue="1">
      <formula>"esterreur(reference)"</formula>
    </cfRule>
  </conditionalFormatting>
  <conditionalFormatting sqref="K244:L244">
    <cfRule type="expression" dxfId="417" priority="97" stopIfTrue="1">
      <formula>"esterreur(reference)"</formula>
    </cfRule>
  </conditionalFormatting>
  <conditionalFormatting sqref="K247:L247">
    <cfRule type="expression" dxfId="416" priority="96" stopIfTrue="1">
      <formula>"esterreur(reference)"</formula>
    </cfRule>
  </conditionalFormatting>
  <conditionalFormatting sqref="L16:L24">
    <cfRule type="expression" dxfId="415" priority="112" stopIfTrue="1">
      <formula>"esterreur(reference)"</formula>
    </cfRule>
  </conditionalFormatting>
  <conditionalFormatting sqref="L42:L48">
    <cfRule type="expression" dxfId="414" priority="111" stopIfTrue="1">
      <formula>"esterreur(reference)"</formula>
    </cfRule>
  </conditionalFormatting>
  <conditionalFormatting sqref="L55:L66">
    <cfRule type="expression" dxfId="413" priority="79" stopIfTrue="1">
      <formula>"esterreur(reference)"</formula>
    </cfRule>
  </conditionalFormatting>
  <conditionalFormatting sqref="L68:L71">
    <cfRule type="expression" dxfId="412" priority="43" stopIfTrue="1">
      <formula>"esterreur(reference)"</formula>
    </cfRule>
  </conditionalFormatting>
  <conditionalFormatting sqref="L75:L82">
    <cfRule type="expression" dxfId="411" priority="80" stopIfTrue="1">
      <formula>"esterreur(reference)"</formula>
    </cfRule>
  </conditionalFormatting>
  <conditionalFormatting sqref="L136:L147">
    <cfRule type="expression" dxfId="410" priority="84" stopIfTrue="1">
      <formula>"esterreur(reference)"</formula>
    </cfRule>
  </conditionalFormatting>
  <conditionalFormatting sqref="L174:L175">
    <cfRule type="expression" dxfId="409" priority="108" stopIfTrue="1">
      <formula>"esterreur(reference)"</formula>
    </cfRule>
  </conditionalFormatting>
  <conditionalFormatting sqref="L198:L209">
    <cfRule type="expression" dxfId="408" priority="107" stopIfTrue="1">
      <formula>"esterreur(reference)"</formula>
    </cfRule>
  </conditionalFormatting>
  <conditionalFormatting sqref="L211:L228">
    <cfRule type="expression" dxfId="407" priority="83" stopIfTrue="1">
      <formula>"esterreur(reference)"</formula>
    </cfRule>
  </conditionalFormatting>
  <conditionalFormatting sqref="L254:L265">
    <cfRule type="expression" dxfId="406" priority="106" stopIfTrue="1">
      <formula>"esterreur(reference)"</formula>
    </cfRule>
  </conditionalFormatting>
  <conditionalFormatting sqref="L267:L284">
    <cfRule type="expression" dxfId="405" priority="82" stopIfTrue="1">
      <formula>"esterreur(reference)"</formula>
    </cfRule>
  </conditionalFormatting>
  <conditionalFormatting sqref="L318:L329">
    <cfRule type="expression" dxfId="404" priority="104" stopIfTrue="1">
      <formula>"esterreur(reference)"</formula>
    </cfRule>
  </conditionalFormatting>
  <conditionalFormatting sqref="L331">
    <cfRule type="expression" dxfId="403" priority="81" stopIfTrue="1">
      <formula>"esterreur(reference)"</formula>
    </cfRule>
  </conditionalFormatting>
  <conditionalFormatting sqref="L334:L343 L345:L348">
    <cfRule type="expression" dxfId="402" priority="103" stopIfTrue="1">
      <formula>"esterreur(reference)"</formula>
    </cfRule>
  </conditionalFormatting>
  <conditionalFormatting sqref="L356:L357 H357:I357 K357 J357:J358 H359:L359">
    <cfRule type="expression" dxfId="401" priority="118" stopIfTrue="1">
      <formula>"esterreur(reference)"</formula>
    </cfRule>
  </conditionalFormatting>
  <conditionalFormatting sqref="L5:Q14">
    <cfRule type="expression" dxfId="400" priority="73" stopIfTrue="1">
      <formula>"esterreur(reference)"</formula>
    </cfRule>
  </conditionalFormatting>
  <conditionalFormatting sqref="L156:Q162">
    <cfRule type="expression" dxfId="399" priority="39" stopIfTrue="1">
      <formula>"esterreur(reference)"</formula>
    </cfRule>
  </conditionalFormatting>
  <conditionalFormatting sqref="M95:M97">
    <cfRule type="expression" dxfId="398" priority="114" stopIfTrue="1">
      <formula>"esterreur(reference)"</formula>
    </cfRule>
  </conditionalFormatting>
  <conditionalFormatting sqref="O13:O14 O16 O18:O24 O83:Q85">
    <cfRule type="expression" dxfId="397" priority="77" stopIfTrue="1">
      <formula>"esterreur(reference)"</formula>
    </cfRule>
  </conditionalFormatting>
  <conditionalFormatting sqref="O172:O196 Q183 O198:P229 O232:Q232 O233:P233">
    <cfRule type="expression" dxfId="396" priority="66" stopIfTrue="1">
      <formula>"esterreur(reference)"</formula>
    </cfRule>
  </conditionalFormatting>
  <conditionalFormatting sqref="O318:P348 O349:Q349 O352:Q352 O353:P353">
    <cfRule type="expression" dxfId="395" priority="50" stopIfTrue="1">
      <formula>"esterreur(reference)"</formula>
    </cfRule>
  </conditionalFormatting>
  <conditionalFormatting sqref="O25:Q72">
    <cfRule type="expression" dxfId="394" priority="15" stopIfTrue="1">
      <formula>"esterreur(reference)"</formula>
    </cfRule>
  </conditionalFormatting>
  <conditionalFormatting sqref="O97:Q98 O122:Q122 O156:P157 O164:Q164 O165:P165">
    <cfRule type="expression" dxfId="393" priority="72" stopIfTrue="1">
      <formula>"esterreur(reference)"</formula>
    </cfRule>
  </conditionalFormatting>
  <conditionalFormatting sqref="O101:Q111">
    <cfRule type="expression" dxfId="392" priority="70" stopIfTrue="1">
      <formula>"esterreur(reference)"</formula>
    </cfRule>
  </conditionalFormatting>
  <conditionalFormatting sqref="O135:Q153">
    <cfRule type="expression" dxfId="391" priority="40" stopIfTrue="1">
      <formula>"esterreur(reference)"</formula>
    </cfRule>
  </conditionalFormatting>
  <conditionalFormatting sqref="O197:Q197">
    <cfRule type="expression" dxfId="390" priority="67" stopIfTrue="1">
      <formula>"esterreur(reference)"</formula>
    </cfRule>
  </conditionalFormatting>
  <conditionalFormatting sqref="O243:Q243 O252:Q253 O254:P284 O285:Q285 O288:Q288 O289:P289">
    <cfRule type="expression" dxfId="389" priority="57" stopIfTrue="1">
      <formula>"esterreur(reference)"</formula>
    </cfRule>
  </conditionalFormatting>
  <conditionalFormatting sqref="O295:Q317">
    <cfRule type="expression" dxfId="388" priority="48" stopIfTrue="1">
      <formula>"esterreur(reference)"</formula>
    </cfRule>
  </conditionalFormatting>
  <conditionalFormatting sqref="O359:Q394">
    <cfRule type="expression" dxfId="387" priority="44" stopIfTrue="1">
      <formula>"esterreur(reference)"</formula>
    </cfRule>
  </conditionalFormatting>
  <conditionalFormatting sqref="O396:Q399">
    <cfRule type="expression" dxfId="386" priority="45" stopIfTrue="1">
      <formula>"esterreur(reference)"</formula>
    </cfRule>
  </conditionalFormatting>
  <conditionalFormatting sqref="P5">
    <cfRule type="expression" dxfId="385" priority="74" stopIfTrue="1">
      <formula>"esterreur(reference)"</formula>
    </cfRule>
  </conditionalFormatting>
  <conditionalFormatting sqref="P175">
    <cfRule type="expression" dxfId="384" priority="61" stopIfTrue="1">
      <formula>"esterreur(reference)"</formula>
    </cfRule>
  </conditionalFormatting>
  <conditionalFormatting sqref="P183:P184">
    <cfRule type="expression" dxfId="383" priority="63" stopIfTrue="1">
      <formula>"esterreur(reference)"</formula>
    </cfRule>
  </conditionalFormatting>
  <conditionalFormatting sqref="P287">
    <cfRule type="expression" dxfId="382" priority="52" stopIfTrue="1">
      <formula>"esterreur(reference)"</formula>
    </cfRule>
  </conditionalFormatting>
  <conditionalFormatting sqref="P395">
    <cfRule type="expression" dxfId="381" priority="46" stopIfTrue="1">
      <formula>"esterreur(reference)"</formula>
    </cfRule>
  </conditionalFormatting>
  <conditionalFormatting sqref="P93:Q96">
    <cfRule type="expression" dxfId="380" priority="69" stopIfTrue="1">
      <formula>"esterreur(reference)"</formula>
    </cfRule>
  </conditionalFormatting>
  <conditionalFormatting sqref="P99:Q100">
    <cfRule type="expression" dxfId="379" priority="71" stopIfTrue="1">
      <formula>"esterreur(reference)"</formula>
    </cfRule>
  </conditionalFormatting>
  <conditionalFormatting sqref="P172:Q173">
    <cfRule type="expression" dxfId="378" priority="62" stopIfTrue="1">
      <formula>"esterreur(reference)"</formula>
    </cfRule>
  </conditionalFormatting>
  <conditionalFormatting sqref="P176:Q182">
    <cfRule type="expression" dxfId="377" priority="60" stopIfTrue="1">
      <formula>"esterreur(reference)"</formula>
    </cfRule>
  </conditionalFormatting>
  <conditionalFormatting sqref="P185:Q196">
    <cfRule type="expression" dxfId="376" priority="59" stopIfTrue="1">
      <formula>"esterreur(reference)"</formula>
    </cfRule>
  </conditionalFormatting>
  <conditionalFormatting sqref="P241:Q241">
    <cfRule type="expression" dxfId="375" priority="53" stopIfTrue="1">
      <formula>"esterreur(reference)"</formula>
    </cfRule>
  </conditionalFormatting>
  <conditionalFormatting sqref="P244:Q244">
    <cfRule type="expression" dxfId="374" priority="55" stopIfTrue="1">
      <formula>"esterreur(reference)"</formula>
    </cfRule>
  </conditionalFormatting>
  <conditionalFormatting sqref="P247:Q247">
    <cfRule type="expression" dxfId="373" priority="54" stopIfTrue="1">
      <formula>"esterreur(reference)"</formula>
    </cfRule>
  </conditionalFormatting>
  <conditionalFormatting sqref="Q16:Q24">
    <cfRule type="expression" dxfId="372" priority="76" stopIfTrue="1">
      <formula>"esterreur(reference)"</formula>
    </cfRule>
  </conditionalFormatting>
  <conditionalFormatting sqref="Q75:Q82">
    <cfRule type="expression" dxfId="371" priority="75" stopIfTrue="1">
      <formula>"esterreur(reference)"</formula>
    </cfRule>
  </conditionalFormatting>
  <conditionalFormatting sqref="Q174:Q175">
    <cfRule type="expression" dxfId="370" priority="65" stopIfTrue="1">
      <formula>"esterreur(reference)"</formula>
    </cfRule>
  </conditionalFormatting>
  <conditionalFormatting sqref="Q198:Q209">
    <cfRule type="expression" dxfId="369" priority="64" stopIfTrue="1">
      <formula>"esterreur(reference)"</formula>
    </cfRule>
  </conditionalFormatting>
  <conditionalFormatting sqref="Q211:Q228">
    <cfRule type="expression" dxfId="368" priority="58" stopIfTrue="1">
      <formula>"esterreur(reference)"</formula>
    </cfRule>
  </conditionalFormatting>
  <conditionalFormatting sqref="Q254:Q265">
    <cfRule type="expression" dxfId="367" priority="56" stopIfTrue="1">
      <formula>"esterreur(reference)"</formula>
    </cfRule>
  </conditionalFormatting>
  <conditionalFormatting sqref="Q267:Q284">
    <cfRule type="expression" dxfId="366" priority="51" stopIfTrue="1">
      <formula>"esterreur(reference)"</formula>
    </cfRule>
  </conditionalFormatting>
  <conditionalFormatting sqref="Q318:Q329">
    <cfRule type="expression" dxfId="365" priority="49" stopIfTrue="1">
      <formula>"esterreur(reference)"</formula>
    </cfRule>
  </conditionalFormatting>
  <conditionalFormatting sqref="Q331:Q348">
    <cfRule type="expression" dxfId="364" priority="47" stopIfTrue="1">
      <formula>"esterreur(reference)"</formula>
    </cfRule>
  </conditionalFormatting>
  <conditionalFormatting sqref="R312">
    <cfRule type="expression" dxfId="363" priority="115" stopIfTrue="1">
      <formula>"esterreur(reference)"</formula>
    </cfRule>
  </conditionalFormatting>
  <conditionalFormatting sqref="S186">
    <cfRule type="expression" dxfId="362" priority="86" stopIfTrue="1">
      <formula>"esterreur(reference)"</formula>
    </cfRule>
  </conditionalFormatting>
  <conditionalFormatting sqref="Z425:Z427">
    <cfRule type="cellIs" dxfId="361" priority="35" operator="greaterThan">
      <formula>0</formula>
    </cfRule>
  </conditionalFormatting>
  <conditionalFormatting sqref="Z432">
    <cfRule type="cellIs" dxfId="360" priority="32" operator="greaterThan">
      <formula>0</formula>
    </cfRule>
  </conditionalFormatting>
  <conditionalFormatting sqref="Z449:Z451">
    <cfRule type="cellIs" dxfId="359" priority="28" operator="greaterThan">
      <formula>0</formula>
    </cfRule>
  </conditionalFormatting>
  <conditionalFormatting sqref="Z463:Z465">
    <cfRule type="cellIs" dxfId="358" priority="24" operator="greaterThan">
      <formula>0</formula>
    </cfRule>
  </conditionalFormatting>
  <conditionalFormatting sqref="Z478:Z479">
    <cfRule type="cellIs" dxfId="357" priority="21" operator="greaterThan">
      <formula>0</formula>
    </cfRule>
  </conditionalFormatting>
  <conditionalFormatting sqref="Z495:Z497">
    <cfRule type="cellIs" dxfId="356" priority="18" operator="greaterThan">
      <formula>0</formula>
    </cfRule>
  </conditionalFormatting>
  <conditionalFormatting sqref="AC425:AC427">
    <cfRule type="cellIs" dxfId="355" priority="36" operator="greaterThan">
      <formula>0</formula>
    </cfRule>
  </conditionalFormatting>
  <conditionalFormatting sqref="AC432">
    <cfRule type="cellIs" dxfId="354" priority="33" operator="greaterThan">
      <formula>0</formula>
    </cfRule>
  </conditionalFormatting>
  <conditionalFormatting sqref="AC449:AC451">
    <cfRule type="cellIs" dxfId="353" priority="29" operator="greaterThan">
      <formula>0</formula>
    </cfRule>
  </conditionalFormatting>
  <conditionalFormatting sqref="AC463:AC465">
    <cfRule type="cellIs" dxfId="352" priority="25" operator="greaterThan">
      <formula>0</formula>
    </cfRule>
  </conditionalFormatting>
  <conditionalFormatting sqref="AC478:AC479">
    <cfRule type="cellIs" dxfId="351" priority="22" operator="greaterThan">
      <formula>0</formula>
    </cfRule>
  </conditionalFormatting>
  <conditionalFormatting sqref="AC495:AC497">
    <cfRule type="cellIs" dxfId="350" priority="19" operator="greaterThan">
      <formula>0</formula>
    </cfRule>
  </conditionalFormatting>
  <conditionalFormatting sqref="AG409:AI418">
    <cfRule type="cellIs" dxfId="349" priority="9" operator="greaterThan">
      <formula>0</formula>
    </cfRule>
  </conditionalFormatting>
  <conditionalFormatting sqref="AH449:AH452">
    <cfRule type="cellIs" dxfId="348" priority="6" operator="greaterThan">
      <formula>0</formula>
    </cfRule>
  </conditionalFormatting>
  <conditionalFormatting sqref="AH461:AH466">
    <cfRule type="cellIs" dxfId="347" priority="4" operator="greaterThan">
      <formula>0</formula>
    </cfRule>
  </conditionalFormatting>
  <conditionalFormatting sqref="AH420:AI448">
    <cfRule type="cellIs" dxfId="346" priority="8" operator="greaterThan">
      <formula>0</formula>
    </cfRule>
  </conditionalFormatting>
  <conditionalFormatting sqref="AH453:AI460 AH467:AI468">
    <cfRule type="cellIs" dxfId="345" priority="10" operator="greaterThan">
      <formula>0</formula>
    </cfRule>
  </conditionalFormatting>
  <conditionalFormatting sqref="AH469:AI477 AH480:AI480">
    <cfRule type="cellIs" dxfId="344" priority="11" operator="lessThan">
      <formula>0</formula>
    </cfRule>
  </conditionalFormatting>
  <conditionalFormatting sqref="AH478:AI479">
    <cfRule type="cellIs" dxfId="343" priority="3" operator="greaterThan">
      <formula>0</formula>
    </cfRule>
  </conditionalFormatting>
  <conditionalFormatting sqref="AH491:AI497">
    <cfRule type="cellIs" dxfId="342" priority="2" operator="greaterThan">
      <formula>0</formula>
    </cfRule>
  </conditionalFormatting>
  <conditionalFormatting sqref="AI449:AI451">
    <cfRule type="cellIs" dxfId="341" priority="7" operator="greaterThan">
      <formula>0</formula>
    </cfRule>
  </conditionalFormatting>
  <conditionalFormatting sqref="AI463:AI465">
    <cfRule type="cellIs" dxfId="340" priority="5" operator="greaterThan">
      <formula>0</formula>
    </cfRule>
  </conditionalFormatting>
  <conditionalFormatting sqref="AO409:AO418">
    <cfRule type="cellIs" dxfId="339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39" fitToHeight="0" orientation="landscape" r:id="rId1"/>
  <rowBreaks count="13" manualBreakCount="13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4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activeCell="E14" sqref="E14"/>
    </sheetView>
  </sheetViews>
  <sheetFormatPr baseColWidth="10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1">
    <tabColor rgb="FF00B050"/>
  </sheetPr>
  <dimension ref="A1:BJ704"/>
  <sheetViews>
    <sheetView topLeftCell="L469" zoomScale="60" zoomScaleNormal="60" workbookViewId="0">
      <selection activeCell="L469" sqref="A1:XFD1048576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275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56" t="s">
        <v>2</v>
      </c>
      <c r="E2" s="456" t="s">
        <v>3</v>
      </c>
      <c r="F2" s="456" t="s">
        <v>4</v>
      </c>
      <c r="G2" s="456"/>
      <c r="H2" s="456"/>
      <c r="I2" s="456"/>
      <c r="J2" s="456" t="s">
        <v>211</v>
      </c>
      <c r="K2" s="456"/>
      <c r="L2" s="456" t="s">
        <v>212</v>
      </c>
      <c r="M2" s="457"/>
      <c r="N2" s="457"/>
      <c r="O2" s="456" t="s">
        <v>2</v>
      </c>
      <c r="P2" s="456" t="s">
        <v>3</v>
      </c>
      <c r="Q2" s="456" t="s">
        <v>4</v>
      </c>
      <c r="R2" s="10"/>
      <c r="S2" s="10"/>
      <c r="T2" s="10"/>
      <c r="U2" s="10"/>
    </row>
    <row r="3" spans="1:40" ht="21" thickTop="1">
      <c r="B3" s="11"/>
      <c r="C3" s="12"/>
      <c r="D3" s="507" t="s">
        <v>5</v>
      </c>
      <c r="E3" s="508"/>
      <c r="F3" s="509"/>
      <c r="G3" s="510"/>
      <c r="H3" s="508"/>
      <c r="I3" s="509"/>
      <c r="J3" s="510" t="s">
        <v>7</v>
      </c>
      <c r="K3" s="508"/>
      <c r="L3" s="509"/>
      <c r="M3" s="510" t="s">
        <v>213</v>
      </c>
      <c r="N3" s="509"/>
      <c r="O3" s="507" t="s">
        <v>8</v>
      </c>
      <c r="P3" s="508"/>
      <c r="Q3" s="509"/>
      <c r="R3" s="505" t="s">
        <v>214</v>
      </c>
      <c r="S3" s="506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3027277.1386981602</v>
      </c>
      <c r="G5" s="23"/>
      <c r="H5" s="21"/>
      <c r="I5" s="24"/>
      <c r="J5" s="23"/>
      <c r="K5" s="25"/>
      <c r="L5" s="22">
        <v>2822748.8100000005</v>
      </c>
      <c r="M5" s="26"/>
      <c r="N5" s="27"/>
      <c r="O5" s="23"/>
      <c r="P5" s="25"/>
      <c r="Q5" s="22">
        <v>2814437.6399999899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10</v>
      </c>
      <c r="E6" s="30">
        <f>IF(D6=0,0,F6/D6)</f>
        <v>4306.395348837209</v>
      </c>
      <c r="F6" s="30">
        <v>43063.953488372092</v>
      </c>
      <c r="G6" s="31"/>
      <c r="H6" s="30"/>
      <c r="I6" s="30"/>
      <c r="J6" s="31">
        <v>6</v>
      </c>
      <c r="K6" s="30">
        <f>IF(J6=0,0,L6/J6)</f>
        <v>6338.2116666666507</v>
      </c>
      <c r="L6" s="32">
        <v>38029.269999999902</v>
      </c>
      <c r="M6" s="31">
        <f t="shared" ref="M6:M12" si="2">J6-D6</f>
        <v>-4</v>
      </c>
      <c r="N6" s="33">
        <f t="shared" ref="N6:N12" si="3">L6-F6</f>
        <v>-5034.6834883721895</v>
      </c>
      <c r="O6" s="31">
        <v>13</v>
      </c>
      <c r="P6" s="30">
        <f t="shared" ref="P6:P12" si="4">IF(O6=0,0,Q6/O6)</f>
        <v>5336.7323076923158</v>
      </c>
      <c r="Q6" s="32">
        <v>69377.520000000106</v>
      </c>
      <c r="R6" s="31">
        <f>J6-O6</f>
        <v>-7</v>
      </c>
      <c r="S6" s="34">
        <f>L6-Q6</f>
        <v>-31348.250000000204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18</v>
      </c>
      <c r="E7" s="30">
        <f t="shared" ref="E7:E12" si="5">IF(D7=0,0,F7/D7)</f>
        <v>4000.331125827814</v>
      </c>
      <c r="F7" s="30">
        <v>72005.960264900656</v>
      </c>
      <c r="G7" s="31"/>
      <c r="H7" s="30"/>
      <c r="I7" s="30"/>
      <c r="J7" s="31">
        <v>15</v>
      </c>
      <c r="K7" s="30">
        <f t="shared" ref="K7:K12" si="6">IF(J7=0,0,L7/J7)</f>
        <v>4719.5126666666711</v>
      </c>
      <c r="L7" s="32">
        <v>70792.690000000061</v>
      </c>
      <c r="M7" s="31">
        <f t="shared" si="2"/>
        <v>-3</v>
      </c>
      <c r="N7" s="33">
        <f t="shared" si="3"/>
        <v>-1213.2702649005951</v>
      </c>
      <c r="O7" s="31">
        <v>12</v>
      </c>
      <c r="P7" s="30">
        <f t="shared" si="4"/>
        <v>4634.92</v>
      </c>
      <c r="Q7" s="32">
        <v>55619.040000000001</v>
      </c>
      <c r="R7" s="31">
        <f t="shared" ref="R7:R12" si="7">J7-O7</f>
        <v>3</v>
      </c>
      <c r="S7" s="34">
        <f t="shared" ref="S7:S12" si="8">L7-Q7</f>
        <v>15173.65000000006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ref="A12:A36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28</v>
      </c>
      <c r="E13" s="36">
        <f>IF(D13&lt;=0,0,F13/D13)</f>
        <v>4109.639776902598</v>
      </c>
      <c r="F13" s="37">
        <f>+SUM(F6:F12)</f>
        <v>115069.91375327275</v>
      </c>
      <c r="G13" s="38"/>
      <c r="H13" s="36"/>
      <c r="I13" s="37"/>
      <c r="J13" s="38">
        <f>+SUM(J6:J12)</f>
        <v>21</v>
      </c>
      <c r="K13" s="36">
        <f>IF(J13&lt;=0,0,L13/J13)</f>
        <v>5181.9980952380938</v>
      </c>
      <c r="L13" s="37">
        <f>+SUM(L6:L12)</f>
        <v>108821.95999999996</v>
      </c>
      <c r="M13" s="38">
        <f>+SUM(M6:M12)</f>
        <v>-7</v>
      </c>
      <c r="N13" s="37">
        <f t="shared" ref="N13" si="10">+SUM(N6:N12)</f>
        <v>-6247.9537532727845</v>
      </c>
      <c r="O13" s="38">
        <f>+SUM(O6:O12)</f>
        <v>25</v>
      </c>
      <c r="P13" s="36">
        <f>IF(O13&lt;=0,0,Q13/O13)</f>
        <v>4999.8624000000045</v>
      </c>
      <c r="Q13" s="37">
        <f t="shared" ref="Q13" si="11">+SUM(Q6:Q12)</f>
        <v>124996.56000000011</v>
      </c>
      <c r="R13" s="38">
        <f>+SUM(R6:R12)</f>
        <v>-4</v>
      </c>
      <c r="S13" s="39">
        <f>+SUM(S6:S12)</f>
        <v>-16174.600000000144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-0.25</v>
      </c>
      <c r="N14" s="43">
        <f>IF(F13=0,0,N13/F13)</f>
        <v>-5.4297022996552688E-2</v>
      </c>
      <c r="O14" s="41"/>
      <c r="P14" s="30"/>
      <c r="Q14" s="40"/>
      <c r="R14" s="42">
        <f>R13/O13</f>
        <v>-0.16</v>
      </c>
      <c r="S14" s="44">
        <f>IF(Q13=0,0,(S13/Q13))</f>
        <v>-0.12940036109793845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4</v>
      </c>
      <c r="E15" s="25">
        <f>IF(D15=0,0,F15/D15)</f>
        <v>750</v>
      </c>
      <c r="F15" s="22">
        <v>3000</v>
      </c>
      <c r="G15" s="46"/>
      <c r="H15" s="47"/>
      <c r="I15" s="48"/>
      <c r="J15" s="49">
        <v>8</v>
      </c>
      <c r="K15" s="50">
        <f>IF(J15=0,0,L15/J15)</f>
        <v>2225.179999999993</v>
      </c>
      <c r="L15" s="50">
        <v>17801.439999999944</v>
      </c>
      <c r="M15" s="51">
        <f>J15-D15</f>
        <v>4</v>
      </c>
      <c r="N15" s="48">
        <f>L15-F15</f>
        <v>14801.439999999944</v>
      </c>
      <c r="O15" s="49">
        <v>5</v>
      </c>
      <c r="P15" s="50">
        <f>IF(O15=0,0,Q15/O15)</f>
        <v>3098.8779999999997</v>
      </c>
      <c r="Q15" s="50">
        <v>15494.39</v>
      </c>
      <c r="R15" s="51">
        <f>J15-O15</f>
        <v>3</v>
      </c>
      <c r="S15" s="52">
        <f>L15-Q15</f>
        <v>2307.0499999999447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1</v>
      </c>
      <c r="E17" s="30">
        <f>IF(D17=0,0,F17/D17)</f>
        <v>0</v>
      </c>
      <c r="F17" s="30">
        <v>0</v>
      </c>
      <c r="G17" s="31"/>
      <c r="H17" s="30"/>
      <c r="I17" s="30"/>
      <c r="J17" s="51">
        <v>0</v>
      </c>
      <c r="K17" s="30">
        <f>IF(J17=0,0,L17/J17)</f>
        <v>0</v>
      </c>
      <c r="L17" s="33">
        <v>0</v>
      </c>
      <c r="M17" s="51">
        <f>J17-D17</f>
        <v>-1</v>
      </c>
      <c r="N17" s="33">
        <f>L17-F17</f>
        <v>0</v>
      </c>
      <c r="O17" s="51">
        <v>0</v>
      </c>
      <c r="P17" s="30">
        <f>IF(O17=0,0,Q17/O17)</f>
        <v>0</v>
      </c>
      <c r="Q17" s="33">
        <v>0</v>
      </c>
      <c r="R17" s="31">
        <f>J17-O17</f>
        <v>0</v>
      </c>
      <c r="S17" s="34">
        <f>L17-Q17</f>
        <v>0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9"/>
        <v>Véhicules neufsRachat bail</v>
      </c>
      <c r="B19" s="11" t="str">
        <f t="shared" si="0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3500.0986408471085</v>
      </c>
      <c r="G19" s="31"/>
      <c r="H19" s="30"/>
      <c r="I19" s="30"/>
      <c r="J19" s="46"/>
      <c r="K19" s="30"/>
      <c r="L19" s="33">
        <v>3995.3899999999849</v>
      </c>
      <c r="M19" s="31"/>
      <c r="N19" s="33">
        <f>L19-F19</f>
        <v>495.29135915287634</v>
      </c>
      <c r="O19" s="46"/>
      <c r="P19" s="30"/>
      <c r="Q19" s="33">
        <v>3495.3899999999899</v>
      </c>
      <c r="R19" s="31">
        <f>O19-K19</f>
        <v>0</v>
      </c>
      <c r="S19" s="34">
        <f>L19-Q19</f>
        <v>499.999999999995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9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v>800</v>
      </c>
      <c r="G21" s="41"/>
      <c r="H21" s="30"/>
      <c r="I21" s="30"/>
      <c r="J21" s="31"/>
      <c r="K21" s="30">
        <f>IF(J13=0,0,L21/(J13+J15))</f>
        <v>16.962413793103448</v>
      </c>
      <c r="L21" s="33">
        <v>491.91</v>
      </c>
      <c r="M21" s="31"/>
      <c r="N21" s="33">
        <f>L21-F21</f>
        <v>-308.08999999999997</v>
      </c>
      <c r="O21" s="31"/>
      <c r="P21" s="30"/>
      <c r="Q21" s="33">
        <v>0</v>
      </c>
      <c r="R21" s="31">
        <f>O21-K21</f>
        <v>-16.962413793103448</v>
      </c>
      <c r="S21" s="34">
        <f>L21-Q21</f>
        <v>491.91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v>36800</v>
      </c>
      <c r="G22" s="41"/>
      <c r="H22" s="30"/>
      <c r="I22" s="30"/>
      <c r="J22" s="31"/>
      <c r="K22" s="30">
        <f>IF(J13=0,0,L22/(J13+J15))</f>
        <v>1674.7851724137931</v>
      </c>
      <c r="L22" s="33">
        <v>48568.770000000004</v>
      </c>
      <c r="M22" s="31"/>
      <c r="N22" s="33">
        <f>L22-F22</f>
        <v>11768.770000000004</v>
      </c>
      <c r="O22" s="31"/>
      <c r="P22" s="30"/>
      <c r="Q22" s="33">
        <v>38800.239999999998</v>
      </c>
      <c r="R22" s="31">
        <f>O22-K22</f>
        <v>-1674.7851724137931</v>
      </c>
      <c r="S22" s="34">
        <f>L22-Q22</f>
        <v>9768.5300000000061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v>15360</v>
      </c>
      <c r="G23" s="41"/>
      <c r="H23" s="30"/>
      <c r="I23" s="30"/>
      <c r="J23" s="31"/>
      <c r="K23" s="30">
        <f>IF(J13=0,0,L23/(J13+J15))</f>
        <v>843.75827586206901</v>
      </c>
      <c r="L23" s="33">
        <v>24468.99</v>
      </c>
      <c r="M23" s="51"/>
      <c r="N23" s="33">
        <f>L23-F23</f>
        <v>9108.9900000000016</v>
      </c>
      <c r="O23" s="31"/>
      <c r="P23" s="30"/>
      <c r="Q23" s="33">
        <v>13459.04</v>
      </c>
      <c r="R23" s="31">
        <f>O23-K23</f>
        <v>-843.75827586206901</v>
      </c>
      <c r="S23" s="34">
        <f>L23-Q23</f>
        <v>11009.95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32</v>
      </c>
      <c r="E24" s="36">
        <f>IF(D24&lt;=0,0,F24/D24)</f>
        <v>1655</v>
      </c>
      <c r="F24" s="37">
        <f>F21+F22+F23</f>
        <v>52960</v>
      </c>
      <c r="G24" s="38"/>
      <c r="H24" s="36"/>
      <c r="I24" s="37"/>
      <c r="J24" s="38">
        <f>+J15+J13</f>
        <v>29</v>
      </c>
      <c r="K24" s="36">
        <f>IF(J24&lt;=0,0,L24/J24)</f>
        <v>2535.5058620689661</v>
      </c>
      <c r="L24" s="37">
        <f>L21+L22+L23</f>
        <v>73529.670000000013</v>
      </c>
      <c r="M24" s="58">
        <f>J24-D24</f>
        <v>-3</v>
      </c>
      <c r="N24" s="37">
        <f>L24-F24</f>
        <v>20569.670000000013</v>
      </c>
      <c r="O24" s="38">
        <f>+O15+O13</f>
        <v>30</v>
      </c>
      <c r="P24" s="36">
        <f>IF(O24&lt;=0,0,Q24/O24)</f>
        <v>1741.9759999999999</v>
      </c>
      <c r="Q24" s="37">
        <f>Q21+Q22+Q23</f>
        <v>52259.28</v>
      </c>
      <c r="R24" s="56"/>
      <c r="S24" s="39">
        <f>L24-Q24</f>
        <v>21270.390000000014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0.38840011329305157</v>
      </c>
      <c r="O25" s="41"/>
      <c r="P25" s="13"/>
      <c r="Q25" s="59"/>
      <c r="R25" s="60"/>
      <c r="S25" s="44">
        <f>IF(Q24=0,0,(S24/Q24))</f>
        <v>0.40701651457884636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33</v>
      </c>
      <c r="E27" s="64">
        <f>IF(D27&lt;=0,0,F27/D27)</f>
        <v>5288.7882543672677</v>
      </c>
      <c r="F27" s="65">
        <f>F13+F17+F24+F19+F15</f>
        <v>174530.01239411984</v>
      </c>
      <c r="G27" s="66"/>
      <c r="H27" s="67"/>
      <c r="I27" s="65"/>
      <c r="J27" s="66">
        <f>+J13+J15+J17</f>
        <v>29</v>
      </c>
      <c r="K27" s="67">
        <f>IF(J27&lt;=0,0,L27/J27)</f>
        <v>7039.6020689655143</v>
      </c>
      <c r="L27" s="65">
        <f>L13+L17+L24+L19+L15</f>
        <v>204148.4599999999</v>
      </c>
      <c r="M27" s="66">
        <f>J27-D27</f>
        <v>-4</v>
      </c>
      <c r="N27" s="65">
        <f>L27-F27</f>
        <v>29618.447605880065</v>
      </c>
      <c r="O27" s="66">
        <f>+O13+O15+O17</f>
        <v>30</v>
      </c>
      <c r="P27" s="67">
        <f>IF(O27&lt;=0,0,Q27/O27)</f>
        <v>6541.52066666667</v>
      </c>
      <c r="Q27" s="65">
        <f>Q13+Q17+Q24+Q19+Q15</f>
        <v>196245.62000000011</v>
      </c>
      <c r="R27" s="66">
        <f>J27-O27</f>
        <v>-1</v>
      </c>
      <c r="S27" s="68">
        <f>L27-Q27</f>
        <v>7902.8399999997928</v>
      </c>
      <c r="T27" s="13"/>
      <c r="U27" s="13"/>
      <c r="V27" s="11" t="s">
        <v>221</v>
      </c>
      <c r="W27" s="11">
        <v>185250</v>
      </c>
      <c r="X27" s="490">
        <f>L27-W27</f>
        <v>18898.459999999905</v>
      </c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-0.12121212121212122</v>
      </c>
      <c r="N28" s="74">
        <f>N27/F27</f>
        <v>0.16970403656991861</v>
      </c>
      <c r="O28" s="72"/>
      <c r="P28" s="70"/>
      <c r="Q28" s="71"/>
      <c r="R28" s="73">
        <f>R27/O27</f>
        <v>-3.3333333333333333E-2</v>
      </c>
      <c r="S28" s="75">
        <f>IF(Q27=0,0,S27/Q27)</f>
        <v>4.0270147175767733E-2</v>
      </c>
      <c r="T28" s="13"/>
      <c r="U28" s="13"/>
      <c r="V28" s="11"/>
      <c r="W28" s="11">
        <v>29</v>
      </c>
      <c r="X28" s="490">
        <f>J27-W28</f>
        <v>0</v>
      </c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0.28154120035683033</v>
      </c>
      <c r="E31" s="82">
        <f t="shared" ref="E31:E36" si="12">F31/D$24</f>
        <v>1038.7982888788699</v>
      </c>
      <c r="F31" s="30">
        <v>33241.545244123838</v>
      </c>
      <c r="G31" s="157"/>
      <c r="H31" s="82"/>
      <c r="I31" s="30"/>
      <c r="J31" s="157">
        <f>L31/(L13+L15)</f>
        <v>0.24913104528862773</v>
      </c>
      <c r="K31" s="82">
        <f t="shared" ref="K31:K36" si="13">IF(L31=0,0,L31/J$24)</f>
        <v>1087.7868965517241</v>
      </c>
      <c r="L31" s="30">
        <v>31545.82</v>
      </c>
      <c r="M31" s="41"/>
      <c r="N31" s="59">
        <f t="shared" ref="N31:N53" si="14">L31-F31</f>
        <v>-1695.7252441238379</v>
      </c>
      <c r="O31" s="157">
        <f>Q31/(Q13+Q15+Q17)</f>
        <v>0.26502027354786883</v>
      </c>
      <c r="P31" s="82">
        <f t="shared" ref="P31:P40" si="15">Q31/O$24</f>
        <v>1241.0983333333331</v>
      </c>
      <c r="Q31" s="33">
        <v>37232.949999999997</v>
      </c>
      <c r="R31" s="41"/>
      <c r="S31" s="85">
        <f t="shared" ref="S31:S36" si="16">L31-Q31</f>
        <v>-5687.1299999999974</v>
      </c>
      <c r="T31" s="13"/>
      <c r="U31" s="13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0.27500000000000002</v>
      </c>
      <c r="E32" s="88">
        <f t="shared" si="12"/>
        <v>455.12500000000006</v>
      </c>
      <c r="F32" s="22">
        <v>14564.000000000002</v>
      </c>
      <c r="G32" s="162"/>
      <c r="H32" s="90"/>
      <c r="I32" s="22"/>
      <c r="J32" s="162">
        <f>L32/L24</f>
        <v>0.34564999407722075</v>
      </c>
      <c r="K32" s="88">
        <f t="shared" si="13"/>
        <v>876.39758620689656</v>
      </c>
      <c r="L32" s="22">
        <v>25415.53</v>
      </c>
      <c r="M32" s="23"/>
      <c r="N32" s="91">
        <f t="shared" si="14"/>
        <v>10851.529999999997</v>
      </c>
      <c r="O32" s="162">
        <f>Q32/Q24</f>
        <v>0.40734219836170726</v>
      </c>
      <c r="P32" s="88">
        <f t="shared" si="15"/>
        <v>709.58033333333333</v>
      </c>
      <c r="Q32" s="22">
        <v>21287.41</v>
      </c>
      <c r="R32" s="23"/>
      <c r="S32" s="92">
        <f t="shared" si="16"/>
        <v>4128.119999999999</v>
      </c>
      <c r="T32" s="13"/>
      <c r="U32" s="13"/>
      <c r="V32" s="11" t="s">
        <v>244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2"/>
        <v>130</v>
      </c>
      <c r="F33" s="30">
        <v>4160</v>
      </c>
      <c r="G33" s="83"/>
      <c r="H33" s="82"/>
      <c r="I33" s="30"/>
      <c r="J33" s="41"/>
      <c r="K33" s="82">
        <f t="shared" si="13"/>
        <v>132.3648275862069</v>
      </c>
      <c r="L33" s="30">
        <v>3838.58</v>
      </c>
      <c r="M33" s="41"/>
      <c r="N33" s="59">
        <f t="shared" si="14"/>
        <v>-321.42000000000007</v>
      </c>
      <c r="O33" s="41"/>
      <c r="P33" s="82">
        <f t="shared" si="15"/>
        <v>73.194666666666677</v>
      </c>
      <c r="Q33" s="33">
        <v>2195.84</v>
      </c>
      <c r="R33" s="41"/>
      <c r="S33" s="85">
        <f t="shared" si="16"/>
        <v>1642.7399999999998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2"/>
        <v>37</v>
      </c>
      <c r="F34" s="30">
        <v>1184</v>
      </c>
      <c r="G34" s="83"/>
      <c r="H34" s="82"/>
      <c r="I34" s="30"/>
      <c r="J34" s="41"/>
      <c r="K34" s="82">
        <f t="shared" si="13"/>
        <v>62.72034482758621</v>
      </c>
      <c r="L34" s="30">
        <v>1818.89</v>
      </c>
      <c r="M34" s="41"/>
      <c r="N34" s="59">
        <f t="shared" si="14"/>
        <v>634.8900000000001</v>
      </c>
      <c r="O34" s="41"/>
      <c r="P34" s="82">
        <f t="shared" si="15"/>
        <v>26.899000000000001</v>
      </c>
      <c r="Q34" s="33">
        <v>806.97</v>
      </c>
      <c r="R34" s="41"/>
      <c r="S34" s="85">
        <f t="shared" si="16"/>
        <v>1011.9200000000001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2"/>
        <v>59.6875</v>
      </c>
      <c r="F35" s="22">
        <v>1910</v>
      </c>
      <c r="G35" s="89"/>
      <c r="H35" s="90"/>
      <c r="I35" s="22"/>
      <c r="J35" s="23"/>
      <c r="K35" s="88">
        <f t="shared" si="13"/>
        <v>37.223793103448273</v>
      </c>
      <c r="L35" s="22">
        <v>1079.49</v>
      </c>
      <c r="M35" s="23"/>
      <c r="N35" s="91">
        <f t="shared" si="14"/>
        <v>-830.51</v>
      </c>
      <c r="O35" s="23"/>
      <c r="P35" s="88">
        <f t="shared" si="15"/>
        <v>62.396000000000001</v>
      </c>
      <c r="Q35" s="33">
        <v>1871.88</v>
      </c>
      <c r="R35" s="23"/>
      <c r="S35" s="92">
        <f t="shared" si="16"/>
        <v>-792.3900000000001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2"/>
        <v>513.97058823529414</v>
      </c>
      <c r="F36" s="30">
        <v>16447.058823529413</v>
      </c>
      <c r="G36" s="83"/>
      <c r="H36" s="82"/>
      <c r="I36" s="30"/>
      <c r="J36" s="41"/>
      <c r="K36" s="82">
        <f t="shared" si="13"/>
        <v>595.14137931034475</v>
      </c>
      <c r="L36" s="459">
        <v>17259.099999999999</v>
      </c>
      <c r="M36" s="13"/>
      <c r="N36" s="59">
        <f t="shared" si="14"/>
        <v>812.04117647058592</v>
      </c>
      <c r="O36" s="41"/>
      <c r="P36" s="82">
        <f t="shared" si="15"/>
        <v>512.11266666666666</v>
      </c>
      <c r="Q36" s="55">
        <v>15363.38</v>
      </c>
      <c r="R36" s="41"/>
      <c r="S36" s="85">
        <f t="shared" si="16"/>
        <v>1895.7199999999993</v>
      </c>
      <c r="T36" s="13"/>
      <c r="U36" s="13"/>
      <c r="V36" s="11"/>
      <c r="W36" s="458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>F37/D$24</f>
        <v>974.98575635560883</v>
      </c>
      <c r="F37" s="30">
        <v>31199.544203379482</v>
      </c>
      <c r="G37" s="83"/>
      <c r="H37" s="82"/>
      <c r="I37" s="30"/>
      <c r="J37" s="41"/>
      <c r="K37" s="82">
        <f>IF(L37=0,0,L37/J$24)</f>
        <v>853.67172413793105</v>
      </c>
      <c r="L37" s="460">
        <v>24756.48</v>
      </c>
      <c r="M37" s="13"/>
      <c r="N37" s="59">
        <f t="shared" si="14"/>
        <v>-6443.0642033794829</v>
      </c>
      <c r="O37" s="41"/>
      <c r="P37" s="82">
        <f t="shared" si="15"/>
        <v>1210.5003333333334</v>
      </c>
      <c r="Q37" s="33">
        <v>36315.01</v>
      </c>
      <c r="R37" s="41"/>
      <c r="S37" s="85">
        <f>L37-Q37</f>
        <v>-11558.530000000002</v>
      </c>
      <c r="T37" s="13"/>
      <c r="U37" s="13"/>
      <c r="V37" s="458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>F38/D$24</f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60">
        <v>0</v>
      </c>
      <c r="M38" s="13"/>
      <c r="N38" s="59">
        <f t="shared" si="14"/>
        <v>0</v>
      </c>
      <c r="O38" s="41"/>
      <c r="P38" s="82">
        <f t="shared" si="15"/>
        <v>0</v>
      </c>
      <c r="Q38" s="33"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>F39/D$24</f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60">
        <v>0</v>
      </c>
      <c r="M39" s="13"/>
      <c r="N39" s="59">
        <f t="shared" si="14"/>
        <v>0</v>
      </c>
      <c r="O39" s="41"/>
      <c r="P39" s="82">
        <f t="shared" si="15"/>
        <v>0</v>
      </c>
      <c r="Q39" s="33"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ref="A40:A45" si="17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>F40/D$24</f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61">
        <v>0</v>
      </c>
      <c r="M40" s="13"/>
      <c r="N40" s="59">
        <f t="shared" si="14"/>
        <v>0</v>
      </c>
      <c r="O40" s="41"/>
      <c r="P40" s="82">
        <f t="shared" si="15"/>
        <v>0</v>
      </c>
      <c r="Q40" s="33"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7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0.58847270370384186</v>
      </c>
      <c r="F41" s="96">
        <f>SUM(F31:F40)</f>
        <v>102706.14827103273</v>
      </c>
      <c r="G41" s="97"/>
      <c r="H41" s="95"/>
      <c r="I41" s="96"/>
      <c r="J41" s="97" t="s">
        <v>38</v>
      </c>
      <c r="K41" s="95">
        <f>L41/L$27</f>
        <v>0.51782849598767511</v>
      </c>
      <c r="L41" s="96">
        <f>SUM(L31:L40)</f>
        <v>105713.89</v>
      </c>
      <c r="M41" s="98"/>
      <c r="N41" s="96">
        <f t="shared" si="14"/>
        <v>3007.741728967274</v>
      </c>
      <c r="O41" s="97" t="s">
        <v>38</v>
      </c>
      <c r="P41" s="95">
        <f>Q41/Q$27</f>
        <v>0.5863745646909212</v>
      </c>
      <c r="Q41" s="99">
        <f>SUM(Q31:Q40)</f>
        <v>115073.44</v>
      </c>
      <c r="R41" s="100"/>
      <c r="S41" s="101">
        <f t="shared" ref="S41:S45" si="18">L41-Q41</f>
        <v>-9359.5500000000029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7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12572.923563218392</v>
      </c>
      <c r="G42" s="41"/>
      <c r="H42" s="13"/>
      <c r="I42" s="30"/>
      <c r="J42" s="41"/>
      <c r="K42" s="13"/>
      <c r="L42" s="33">
        <v>13325.86</v>
      </c>
      <c r="M42" s="41"/>
      <c r="N42" s="59">
        <f t="shared" si="14"/>
        <v>752.93643678160879</v>
      </c>
      <c r="O42" s="41"/>
      <c r="P42" s="13"/>
      <c r="Q42" s="33">
        <v>12302.2</v>
      </c>
      <c r="R42" s="41"/>
      <c r="S42" s="85">
        <f t="shared" si="18"/>
        <v>1023.6599999999999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7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9200.6609195402307</v>
      </c>
      <c r="G43" s="83"/>
      <c r="H43" s="13"/>
      <c r="I43" s="22"/>
      <c r="J43" s="41"/>
      <c r="K43" s="13"/>
      <c r="L43" s="33">
        <v>8772.33</v>
      </c>
      <c r="M43" s="41"/>
      <c r="N43" s="59">
        <f t="shared" si="14"/>
        <v>-428.33091954023075</v>
      </c>
      <c r="O43" s="41"/>
      <c r="P43" s="13"/>
      <c r="Q43" s="33">
        <v>8037.27</v>
      </c>
      <c r="R43" s="41"/>
      <c r="S43" s="85">
        <f t="shared" si="18"/>
        <v>735.05999999999949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7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342</v>
      </c>
      <c r="G44" s="106"/>
      <c r="H44" s="105"/>
      <c r="I44" s="30"/>
      <c r="J44" s="107"/>
      <c r="K44" s="105"/>
      <c r="L44" s="108">
        <v>342</v>
      </c>
      <c r="M44" s="107"/>
      <c r="N44" s="109">
        <f t="shared" si="14"/>
        <v>0</v>
      </c>
      <c r="O44" s="107"/>
      <c r="P44" s="105"/>
      <c r="Q44" s="108">
        <v>342</v>
      </c>
      <c r="R44" s="107"/>
      <c r="S44" s="110">
        <f t="shared" si="18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 hidden="1">
      <c r="A45" t="str">
        <f t="shared" si="17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4"/>
        <v>0</v>
      </c>
      <c r="O45" s="41"/>
      <c r="P45" s="13"/>
      <c r="Q45" s="33">
        <v>0</v>
      </c>
      <c r="R45" s="41"/>
      <c r="S45" s="85">
        <f t="shared" si="18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4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4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4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ref="A49:A66" si="19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8894.4548143822285</v>
      </c>
      <c r="G49" s="83"/>
      <c r="H49" s="13"/>
      <c r="I49" s="22"/>
      <c r="J49" s="41"/>
      <c r="K49" s="13"/>
      <c r="L49" s="22">
        <v>9449.4599999999991</v>
      </c>
      <c r="M49" s="41"/>
      <c r="N49" s="59">
        <f t="shared" si="14"/>
        <v>555.00518561777062</v>
      </c>
      <c r="O49" s="41"/>
      <c r="P49" s="13"/>
      <c r="Q49" s="22">
        <v>4466.22</v>
      </c>
      <c r="R49" s="41"/>
      <c r="S49" s="85">
        <f t="shared" ref="S49:S53" si="20">L49-Q49</f>
        <v>4983.2399999999989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9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10383.074519460788</v>
      </c>
      <c r="G50" s="106"/>
      <c r="H50" s="105"/>
      <c r="I50" s="30"/>
      <c r="J50" s="107"/>
      <c r="K50" s="105"/>
      <c r="L50" s="33">
        <v>11008.13</v>
      </c>
      <c r="M50" s="107"/>
      <c r="N50" s="109">
        <f t="shared" si="14"/>
        <v>625.0554805392112</v>
      </c>
      <c r="O50" s="107"/>
      <c r="P50" s="105"/>
      <c r="Q50" s="33">
        <v>10796.69</v>
      </c>
      <c r="R50" s="107"/>
      <c r="S50" s="110">
        <f t="shared" si="20"/>
        <v>211.43999999999869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9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5344.2295320754065</v>
      </c>
      <c r="G51" s="83"/>
      <c r="H51" s="13"/>
      <c r="I51" s="30"/>
      <c r="J51" s="41"/>
      <c r="K51" s="13"/>
      <c r="L51" s="33">
        <v>4701.09</v>
      </c>
      <c r="M51" s="41"/>
      <c r="N51" s="59">
        <f t="shared" si="14"/>
        <v>-643.13953207540635</v>
      </c>
      <c r="O51" s="41"/>
      <c r="P51" s="13"/>
      <c r="Q51" s="33">
        <v>4198.83</v>
      </c>
      <c r="R51" s="41"/>
      <c r="S51" s="85">
        <f t="shared" si="20"/>
        <v>502.26000000000022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9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1145.1920425875869</v>
      </c>
      <c r="G52" s="83"/>
      <c r="H52" s="13"/>
      <c r="I52" s="30"/>
      <c r="J52" s="41"/>
      <c r="K52" s="13"/>
      <c r="L52" s="33">
        <v>1835.54</v>
      </c>
      <c r="M52" s="41"/>
      <c r="N52" s="59">
        <f t="shared" si="14"/>
        <v>690.34795741241305</v>
      </c>
      <c r="O52" s="41"/>
      <c r="P52" s="13"/>
      <c r="Q52" s="33">
        <v>1249.8</v>
      </c>
      <c r="R52" s="41"/>
      <c r="S52" s="85">
        <f t="shared" si="20"/>
        <v>585.74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9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4"/>
        <v>0</v>
      </c>
      <c r="O53" s="23"/>
      <c r="P53" s="111"/>
      <c r="Q53" s="33">
        <v>0</v>
      </c>
      <c r="R53" s="23"/>
      <c r="S53" s="92">
        <f t="shared" si="20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9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0.27435129771914152</v>
      </c>
      <c r="F54" s="96">
        <f>+SUM(F42:F53)</f>
        <v>47882.535391264631</v>
      </c>
      <c r="G54" s="97"/>
      <c r="H54" s="95"/>
      <c r="I54" s="96"/>
      <c r="J54" s="97" t="s">
        <v>38</v>
      </c>
      <c r="K54" s="95">
        <f>L54/L$27</f>
        <v>0.24214931623780075</v>
      </c>
      <c r="L54" s="96">
        <f>+SUM(L42:L53)</f>
        <v>49434.409999999996</v>
      </c>
      <c r="M54" s="100"/>
      <c r="N54" s="96">
        <f>+SUM(N42:N53)</f>
        <v>1551.8746087353666</v>
      </c>
      <c r="O54" s="97" t="s">
        <v>38</v>
      </c>
      <c r="P54" s="95">
        <f>Q54/Q$27</f>
        <v>0.2109245036908339</v>
      </c>
      <c r="Q54" s="96">
        <f>+SUM(Q42:Q53)</f>
        <v>41393.010000000009</v>
      </c>
      <c r="R54" s="100"/>
      <c r="S54" s="101">
        <f>+SUM(S42:S53)</f>
        <v>8041.3999999999969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 hidden="1">
      <c r="A55" t="str">
        <f t="shared" si="19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21">L55-F55</f>
        <v>0</v>
      </c>
      <c r="O55" s="41"/>
      <c r="P55" s="13"/>
      <c r="Q55" s="33">
        <v>0</v>
      </c>
      <c r="R55" s="41"/>
      <c r="S55" s="85">
        <f t="shared" ref="S55:S66" si="22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 hidden="1">
      <c r="A56" t="str">
        <f t="shared" si="19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21"/>
        <v>0</v>
      </c>
      <c r="O56" s="41"/>
      <c r="P56" s="13"/>
      <c r="Q56" s="33">
        <v>0</v>
      </c>
      <c r="R56" s="41"/>
      <c r="S56" s="85">
        <f t="shared" si="22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9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6620.9333333333325</v>
      </c>
      <c r="G57" s="89"/>
      <c r="H57" s="111"/>
      <c r="I57" s="22"/>
      <c r="J57" s="23"/>
      <c r="K57" s="111"/>
      <c r="L57" s="22">
        <v>8435.32</v>
      </c>
      <c r="M57" s="23"/>
      <c r="N57" s="91">
        <f t="shared" si="21"/>
        <v>1814.3866666666672</v>
      </c>
      <c r="O57" s="23"/>
      <c r="P57" s="111"/>
      <c r="Q57" s="22">
        <v>4993.4399999999996</v>
      </c>
      <c r="R57" s="23"/>
      <c r="S57" s="92">
        <f t="shared" si="22"/>
        <v>3441.88</v>
      </c>
      <c r="T57" s="112"/>
      <c r="U57" s="13"/>
      <c r="V57" s="11" t="s">
        <v>245</v>
      </c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9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4878.3</v>
      </c>
      <c r="G58" s="83"/>
      <c r="H58" s="13"/>
      <c r="I58" s="30"/>
      <c r="J58" s="41"/>
      <c r="K58" s="13"/>
      <c r="L58" s="33">
        <v>4823.25</v>
      </c>
      <c r="M58" s="41"/>
      <c r="N58" s="59">
        <f t="shared" si="21"/>
        <v>-55.050000000000182</v>
      </c>
      <c r="O58" s="41"/>
      <c r="P58" s="13"/>
      <c r="Q58" s="33">
        <v>4537.54</v>
      </c>
      <c r="R58" s="41"/>
      <c r="S58" s="85">
        <f t="shared" si="22"/>
        <v>285.71000000000004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9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825</v>
      </c>
      <c r="G59" s="83"/>
      <c r="H59" s="13"/>
      <c r="I59" s="30"/>
      <c r="J59" s="41"/>
      <c r="K59" s="13"/>
      <c r="L59" s="33">
        <v>1180.26</v>
      </c>
      <c r="M59" s="41"/>
      <c r="N59" s="59">
        <f t="shared" si="21"/>
        <v>355.26</v>
      </c>
      <c r="O59" s="41"/>
      <c r="P59" s="13"/>
      <c r="Q59" s="33">
        <v>1481.23</v>
      </c>
      <c r="R59" s="41"/>
      <c r="S59" s="85">
        <f t="shared" si="22"/>
        <v>-300.97000000000003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9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3314.7000000000003</v>
      </c>
      <c r="G60" s="89"/>
      <c r="H60" s="111"/>
      <c r="I60" s="22"/>
      <c r="J60" s="23"/>
      <c r="K60" s="111"/>
      <c r="L60" s="22">
        <v>4615.6000000000004</v>
      </c>
      <c r="M60" s="23"/>
      <c r="N60" s="91">
        <f t="shared" si="21"/>
        <v>1300.9000000000001</v>
      </c>
      <c r="O60" s="23"/>
      <c r="P60" s="111"/>
      <c r="Q60" s="22">
        <v>3008.26</v>
      </c>
      <c r="R60" s="23"/>
      <c r="S60" s="92">
        <f t="shared" si="22"/>
        <v>1607.3400000000001</v>
      </c>
      <c r="T60" s="13"/>
      <c r="U60" s="13"/>
      <c r="V60" s="11" t="s">
        <v>246</v>
      </c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9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40</v>
      </c>
      <c r="G61" s="83"/>
      <c r="H61" s="13"/>
      <c r="I61" s="30"/>
      <c r="J61" s="41"/>
      <c r="K61" s="13"/>
      <c r="L61" s="33">
        <v>0</v>
      </c>
      <c r="M61" s="41"/>
      <c r="N61" s="59">
        <f t="shared" si="21"/>
        <v>-40</v>
      </c>
      <c r="O61" s="41"/>
      <c r="P61" s="13"/>
      <c r="Q61" s="33">
        <v>2.4900000000000002</v>
      </c>
      <c r="R61" s="41"/>
      <c r="S61" s="85">
        <f t="shared" si="22"/>
        <v>-2.4900000000000002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9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30</v>
      </c>
      <c r="G62" s="83"/>
      <c r="H62" s="13"/>
      <c r="I62" s="30"/>
      <c r="J62" s="41"/>
      <c r="K62" s="13"/>
      <c r="L62" s="33">
        <v>297</v>
      </c>
      <c r="M62" s="41"/>
      <c r="N62" s="59">
        <f t="shared" si="21"/>
        <v>267</v>
      </c>
      <c r="O62" s="41"/>
      <c r="P62" s="13"/>
      <c r="Q62" s="33">
        <v>0</v>
      </c>
      <c r="R62" s="41"/>
      <c r="S62" s="85">
        <f t="shared" si="22"/>
        <v>297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9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708.75</v>
      </c>
      <c r="G63" s="83"/>
      <c r="H63" s="13"/>
      <c r="I63" s="30"/>
      <c r="J63" s="41"/>
      <c r="K63" s="13"/>
      <c r="L63" s="32">
        <v>527.44000000000005</v>
      </c>
      <c r="M63" s="41"/>
      <c r="N63" s="59">
        <f t="shared" si="21"/>
        <v>-181.30999999999995</v>
      </c>
      <c r="O63" s="41"/>
      <c r="P63" s="13"/>
      <c r="Q63" s="32">
        <v>431.9</v>
      </c>
      <c r="R63" s="41"/>
      <c r="S63" s="85">
        <f t="shared" si="22"/>
        <v>95.540000000000077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9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210.4</v>
      </c>
      <c r="G64" s="83"/>
      <c r="H64" s="13"/>
      <c r="I64" s="30"/>
      <c r="J64" s="41"/>
      <c r="K64" s="13"/>
      <c r="L64" s="33">
        <v>183.22</v>
      </c>
      <c r="M64" s="41"/>
      <c r="N64" s="59">
        <f t="shared" si="21"/>
        <v>-27.180000000000007</v>
      </c>
      <c r="O64" s="41"/>
      <c r="P64" s="13"/>
      <c r="Q64" s="33">
        <v>235.92</v>
      </c>
      <c r="R64" s="41"/>
      <c r="S64" s="85">
        <f t="shared" si="22"/>
        <v>-52.699999999999989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9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202.5</v>
      </c>
      <c r="G65" s="83"/>
      <c r="H65" s="13"/>
      <c r="I65" s="30"/>
      <c r="J65" s="41"/>
      <c r="K65" s="13"/>
      <c r="L65" s="33">
        <v>222.71</v>
      </c>
      <c r="M65" s="41"/>
      <c r="N65" s="59">
        <f t="shared" si="21"/>
        <v>20.210000000000008</v>
      </c>
      <c r="O65" s="41"/>
      <c r="P65" s="13"/>
      <c r="Q65" s="33">
        <v>258.2</v>
      </c>
      <c r="R65" s="41"/>
      <c r="S65" s="85">
        <f t="shared" si="22"/>
        <v>-35.489999999999981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9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783.45</v>
      </c>
      <c r="G66" s="83"/>
      <c r="H66" s="13"/>
      <c r="I66" s="30"/>
      <c r="J66" s="41"/>
      <c r="K66" s="13"/>
      <c r="L66" s="33">
        <v>682.2</v>
      </c>
      <c r="M66" s="41"/>
      <c r="N66" s="59">
        <f t="shared" si="21"/>
        <v>-101.25</v>
      </c>
      <c r="O66" s="41"/>
      <c r="P66" s="13"/>
      <c r="Q66" s="33">
        <v>832.95</v>
      </c>
      <c r="R66" s="41"/>
      <c r="S66" s="85">
        <f t="shared" si="22"/>
        <v>-150.75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558.18350999999984</v>
      </c>
      <c r="G67" s="83"/>
      <c r="H67" s="13"/>
      <c r="I67" s="30"/>
      <c r="J67" s="41"/>
      <c r="K67" s="13"/>
      <c r="L67" s="59">
        <v>548.25</v>
      </c>
      <c r="M67" s="41"/>
      <c r="N67" s="59">
        <f t="shared" si="21"/>
        <v>-9.933509999999842</v>
      </c>
      <c r="O67" s="41"/>
      <c r="P67" s="13"/>
      <c r="Q67" s="33">
        <v>518.23</v>
      </c>
      <c r="R67" s="41"/>
      <c r="S67" s="85">
        <f>L67-Q67</f>
        <v>30.019999999999982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4083.3970470364588</v>
      </c>
      <c r="G68" s="83"/>
      <c r="H68" s="13"/>
      <c r="I68" s="30"/>
      <c r="J68" s="41"/>
      <c r="K68" s="13"/>
      <c r="L68" s="32">
        <v>4475.8900000000003</v>
      </c>
      <c r="M68" s="41"/>
      <c r="N68" s="59">
        <f t="shared" si="21"/>
        <v>392.49295296354148</v>
      </c>
      <c r="O68" s="41"/>
      <c r="P68" s="13"/>
      <c r="Q68" s="33">
        <v>4388.05</v>
      </c>
      <c r="R68" s="41"/>
      <c r="S68" s="85">
        <f>L68-Q68</f>
        <v>87.840000000000146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21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ref="A70:A78" si="23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21"/>
        <v>0</v>
      </c>
      <c r="O70" s="41"/>
      <c r="P70" s="13"/>
      <c r="Q70" s="33">
        <v>0</v>
      </c>
      <c r="R70" s="41"/>
      <c r="S70" s="85">
        <f t="shared" ref="S70:S71" si="24">L70-Q70</f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23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21"/>
        <v>0</v>
      </c>
      <c r="O71" s="41"/>
      <c r="P71" s="13"/>
      <c r="Q71" s="33">
        <v>0</v>
      </c>
      <c r="R71" s="41"/>
      <c r="S71" s="85">
        <f t="shared" si="24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23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0.12751740279552984</v>
      </c>
      <c r="F72" s="96">
        <f>+SUM(F55:F71)</f>
        <v>22255.613890369794</v>
      </c>
      <c r="G72" s="97"/>
      <c r="H72" s="95"/>
      <c r="I72" s="96"/>
      <c r="J72" s="97" t="s">
        <v>38</v>
      </c>
      <c r="K72" s="95">
        <f>L72/L$27</f>
        <v>0.12731489622797063</v>
      </c>
      <c r="L72" s="96">
        <f>+SUM(L55:L71)</f>
        <v>25991.14</v>
      </c>
      <c r="M72" s="100"/>
      <c r="N72" s="96">
        <f>+SUM(N55:N71)</f>
        <v>3735.5261096302092</v>
      </c>
      <c r="O72" s="97" t="s">
        <v>38</v>
      </c>
      <c r="P72" s="95">
        <f>Q72/Q$27</f>
        <v>0.10541998338612596</v>
      </c>
      <c r="Q72" s="96">
        <f>+SUM(Q55:Q71)</f>
        <v>20688.21</v>
      </c>
      <c r="R72" s="100"/>
      <c r="S72" s="101">
        <f>+SUM(S55:S71)</f>
        <v>5302.93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23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23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0.99034140421851313</v>
      </c>
      <c r="F74" s="96">
        <f>F41+F54+F72</f>
        <v>172844.29755266715</v>
      </c>
      <c r="G74" s="97"/>
      <c r="H74" s="95"/>
      <c r="I74" s="96"/>
      <c r="J74" s="97" t="s">
        <v>38</v>
      </c>
      <c r="K74" s="95">
        <f>L74/L$27</f>
        <v>0.88729270845344654</v>
      </c>
      <c r="L74" s="96">
        <f>L41+L54+L72</f>
        <v>181139.44</v>
      </c>
      <c r="M74" s="100"/>
      <c r="N74" s="113">
        <f t="shared" ref="N74:N82" si="25">L74-F74</f>
        <v>8295.1424473328516</v>
      </c>
      <c r="O74" s="97" t="s">
        <v>38</v>
      </c>
      <c r="P74" s="95">
        <f>Q74/Q$27</f>
        <v>0.90271905176788103</v>
      </c>
      <c r="Q74" s="96">
        <f>Q41+Q54+Q72</f>
        <v>177154.66</v>
      </c>
      <c r="R74" s="100"/>
      <c r="S74" s="114">
        <f>L74-Q74</f>
        <v>3984.7799999999988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23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v>52237.536840000001</v>
      </c>
      <c r="G75" s="83"/>
      <c r="H75" s="13"/>
      <c r="I75" s="30"/>
      <c r="J75" s="41"/>
      <c r="K75" s="13"/>
      <c r="L75" s="32">
        <v>43701.85</v>
      </c>
      <c r="M75" s="41"/>
      <c r="N75" s="59">
        <f t="shared" si="25"/>
        <v>-8535.6868400000021</v>
      </c>
      <c r="O75" s="41"/>
      <c r="P75" s="13"/>
      <c r="Q75" s="32">
        <v>56342.42</v>
      </c>
      <c r="R75" s="41"/>
      <c r="S75" s="85">
        <f>L75-Q75</f>
        <v>-12640.57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23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5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23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5"/>
        <v>0</v>
      </c>
      <c r="O77" s="41"/>
      <c r="P77" s="13"/>
      <c r="Q77" s="32">
        <v>0</v>
      </c>
      <c r="R77" s="41"/>
      <c r="S77" s="85">
        <f t="shared" ref="S77:S78" si="26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23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56473.012800000004</v>
      </c>
      <c r="G78" s="83"/>
      <c r="H78" s="13"/>
      <c r="I78" s="30"/>
      <c r="J78" s="41"/>
      <c r="K78" s="13"/>
      <c r="L78" s="33">
        <v>52973</v>
      </c>
      <c r="M78" s="41"/>
      <c r="N78" s="59">
        <f t="shared" si="25"/>
        <v>-3500.0128000000041</v>
      </c>
      <c r="O78" s="41"/>
      <c r="P78" s="13"/>
      <c r="Q78" s="32">
        <v>47079</v>
      </c>
      <c r="R78" s="41"/>
      <c r="S78" s="85">
        <f t="shared" si="26"/>
        <v>5894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5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5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5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ref="A82:A85" si="27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18754.400000000001</v>
      </c>
      <c r="G82" s="83"/>
      <c r="H82" s="13"/>
      <c r="I82" s="30"/>
      <c r="J82" s="41"/>
      <c r="K82" s="13"/>
      <c r="L82" s="32">
        <v>17255</v>
      </c>
      <c r="M82" s="41"/>
      <c r="N82" s="59">
        <f t="shared" si="25"/>
        <v>-1499.4000000000015</v>
      </c>
      <c r="O82" s="41"/>
      <c r="P82" s="13"/>
      <c r="Q82" s="32">
        <v>17850</v>
      </c>
      <c r="R82" s="41"/>
      <c r="S82" s="85">
        <f t="shared" ref="S82" si="28">L82-Q82</f>
        <v>-595</v>
      </c>
      <c r="T82" s="13"/>
      <c r="U82" s="13"/>
      <c r="V82" s="11">
        <f>L82/595</f>
        <v>29</v>
      </c>
      <c r="W82" s="489">
        <f>V82/J27</f>
        <v>1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27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127464.94964000001</v>
      </c>
      <c r="G83" s="97"/>
      <c r="H83" s="95"/>
      <c r="I83" s="96"/>
      <c r="J83" s="97"/>
      <c r="K83" s="95"/>
      <c r="L83" s="96">
        <f>+SUM(L75:L82)</f>
        <v>113929.85</v>
      </c>
      <c r="M83" s="100"/>
      <c r="N83" s="96">
        <f>+SUM(N75:N82)</f>
        <v>-13535.099640000008</v>
      </c>
      <c r="O83" s="97"/>
      <c r="P83" s="95"/>
      <c r="Q83" s="96">
        <f>+SUM(Q75:Q82)</f>
        <v>121271.42</v>
      </c>
      <c r="R83" s="100"/>
      <c r="S83" s="101">
        <f>+SUM(S75:S82)</f>
        <v>-7341.57</v>
      </c>
      <c r="T83" s="13"/>
      <c r="U83" s="13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27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27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129150.6644814527</v>
      </c>
      <c r="G85" s="128"/>
      <c r="H85" s="126"/>
      <c r="I85" s="127"/>
      <c r="J85" s="128"/>
      <c r="K85" s="125"/>
      <c r="L85" s="127">
        <f>L27-L74+L83</f>
        <v>136938.86999999991</v>
      </c>
      <c r="M85" s="128"/>
      <c r="N85" s="127">
        <f>N27-N41-N54-N72+N83</f>
        <v>7788.2055185472091</v>
      </c>
      <c r="O85" s="128"/>
      <c r="P85" s="125"/>
      <c r="Q85" s="127">
        <f>Q27-Q74+Q83</f>
        <v>140362.38000000012</v>
      </c>
      <c r="R85" s="128"/>
      <c r="S85" s="129">
        <f>S27-S41-S54-S72+S83</f>
        <v>-3423.5100000002021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Avril 2025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507" t="s">
        <v>5</v>
      </c>
      <c r="E91" s="508"/>
      <c r="F91" s="509"/>
      <c r="G91" s="510"/>
      <c r="H91" s="508"/>
      <c r="I91" s="509"/>
      <c r="J91" s="510" t="s">
        <v>7</v>
      </c>
      <c r="K91" s="508"/>
      <c r="L91" s="509"/>
      <c r="M91" s="510" t="s">
        <v>213</v>
      </c>
      <c r="N91" s="509"/>
      <c r="O91" s="507" t="s">
        <v>8</v>
      </c>
      <c r="P91" s="508"/>
      <c r="Q91" s="509"/>
      <c r="R91" s="505" t="s">
        <v>214</v>
      </c>
      <c r="S91" s="506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17" si="29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2001764.705882353</v>
      </c>
      <c r="G93" s="46"/>
      <c r="H93" s="25"/>
      <c r="I93" s="22"/>
      <c r="J93" s="23"/>
      <c r="K93" s="25"/>
      <c r="L93" s="22">
        <v>1384484.48</v>
      </c>
      <c r="M93" s="137"/>
      <c r="N93" s="138"/>
      <c r="O93" s="23"/>
      <c r="P93" s="25"/>
      <c r="Q93" s="22">
        <v>1837134.16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9"/>
        <v>Véhicules usagésCertifié</v>
      </c>
      <c r="B94" s="11" t="s">
        <v>70</v>
      </c>
      <c r="C94" s="29" t="s">
        <v>72</v>
      </c>
      <c r="D94" s="30">
        <v>9</v>
      </c>
      <c r="E94" s="30">
        <f>IF(D94=0,0,F94/D94)</f>
        <v>2300</v>
      </c>
      <c r="F94" s="30">
        <v>20700</v>
      </c>
      <c r="G94" s="31"/>
      <c r="H94" s="30"/>
      <c r="I94" s="30"/>
      <c r="J94" s="31">
        <v>5</v>
      </c>
      <c r="K94" s="30">
        <f>IF(J94=0,0,L94/J94)</f>
        <v>3241.2920000000036</v>
      </c>
      <c r="L94" s="33">
        <v>16206.460000000017</v>
      </c>
      <c r="M94" s="31">
        <f>J94-D94</f>
        <v>-4</v>
      </c>
      <c r="N94" s="33">
        <f>L94-F94</f>
        <v>-4493.5399999999827</v>
      </c>
      <c r="O94" s="31">
        <v>7</v>
      </c>
      <c r="P94" s="30">
        <f t="shared" ref="P94:P96" si="30">IF(O94=0,0,Q94/O94)</f>
        <v>1622.3442857142713</v>
      </c>
      <c r="Q94" s="33">
        <v>11356.4099999999</v>
      </c>
      <c r="R94" s="31">
        <f>J94-O94</f>
        <v>-2</v>
      </c>
      <c r="S94" s="34">
        <f>L94-Q94</f>
        <v>4850.0500000001175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9"/>
        <v>Véhicules usagésNon Certifié</v>
      </c>
      <c r="B95" s="11" t="s">
        <v>70</v>
      </c>
      <c r="C95" s="29" t="s">
        <v>73</v>
      </c>
      <c r="D95" s="30">
        <v>9</v>
      </c>
      <c r="E95" s="30">
        <f t="shared" ref="E95:E100" si="31">IF(D95=0,0,F95/D95)</f>
        <v>1600</v>
      </c>
      <c r="F95" s="30">
        <v>14400</v>
      </c>
      <c r="G95" s="31"/>
      <c r="H95" s="30"/>
      <c r="I95" s="30"/>
      <c r="J95" s="31">
        <v>12</v>
      </c>
      <c r="K95" s="30">
        <f>IF(J95=0,0,L95/J95)</f>
        <v>1852.4199999999976</v>
      </c>
      <c r="L95" s="32">
        <v>22229.039999999972</v>
      </c>
      <c r="M95" s="31">
        <f>J95-D95</f>
        <v>3</v>
      </c>
      <c r="N95" s="33">
        <f>L95-F95</f>
        <v>7829.0399999999718</v>
      </c>
      <c r="O95" s="31">
        <v>9</v>
      </c>
      <c r="P95" s="30">
        <f t="shared" si="30"/>
        <v>1875.2299999999891</v>
      </c>
      <c r="Q95" s="32">
        <v>16877.069999999901</v>
      </c>
      <c r="R95" s="31">
        <f>J95-O95</f>
        <v>3</v>
      </c>
      <c r="S95" s="34">
        <f>L95-Q95</f>
        <v>5351.9700000000703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 t="shared" si="29"/>
        <v>Véhicules usagésAutres marques</v>
      </c>
      <c r="B96" s="11" t="s">
        <v>70</v>
      </c>
      <c r="C96" s="29" t="s">
        <v>207</v>
      </c>
      <c r="D96" s="30">
        <v>9</v>
      </c>
      <c r="E96" s="25">
        <f t="shared" si="31"/>
        <v>1500</v>
      </c>
      <c r="F96" s="30">
        <v>13500</v>
      </c>
      <c r="G96" s="31"/>
      <c r="H96" s="30"/>
      <c r="I96" s="30"/>
      <c r="J96" s="31">
        <v>5</v>
      </c>
      <c r="K96" s="30">
        <f>IF(J96=0,0,L96/J96)</f>
        <v>1888.0919999999976</v>
      </c>
      <c r="L96" s="32">
        <v>9440.4599999999882</v>
      </c>
      <c r="M96" s="31">
        <f>J96-D96</f>
        <v>-4</v>
      </c>
      <c r="N96" s="33">
        <f>L96-F96</f>
        <v>-4059.5400000000118</v>
      </c>
      <c r="O96" s="31">
        <v>12</v>
      </c>
      <c r="P96" s="30">
        <f t="shared" si="30"/>
        <v>862.97166666666669</v>
      </c>
      <c r="Q96" s="32">
        <v>10355.66</v>
      </c>
      <c r="R96" s="31">
        <f>J96-O96</f>
        <v>-7</v>
      </c>
      <c r="S96" s="34">
        <f>L96-Q96</f>
        <v>-915.20000000001164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9"/>
        <v>Véhicules usagésTotal Usagés</v>
      </c>
      <c r="B97" s="11" t="s">
        <v>70</v>
      </c>
      <c r="C97" s="35" t="s">
        <v>74</v>
      </c>
      <c r="D97" s="36">
        <f>+D95+D94+D96</f>
        <v>27</v>
      </c>
      <c r="E97" s="30">
        <f t="shared" si="31"/>
        <v>1800</v>
      </c>
      <c r="F97" s="37">
        <f>+F94+F95+F96</f>
        <v>48600</v>
      </c>
      <c r="G97" s="38"/>
      <c r="H97" s="36"/>
      <c r="I97" s="37"/>
      <c r="J97" s="38">
        <f>+J94+J95+J96</f>
        <v>22</v>
      </c>
      <c r="K97" s="36">
        <f>IF(J97&lt;=0,0,L97/J97)</f>
        <v>2176.1799999999989</v>
      </c>
      <c r="L97" s="37">
        <f>+L94+L95+L96</f>
        <v>47875.959999999977</v>
      </c>
      <c r="M97" s="38">
        <f>J97-D97</f>
        <v>-5</v>
      </c>
      <c r="N97" s="37">
        <f>L97-F97</f>
        <v>-724.0400000000227</v>
      </c>
      <c r="O97" s="38">
        <f>+O95+O94+O96</f>
        <v>28</v>
      </c>
      <c r="P97" s="36">
        <f>IF(O97=0,0,Q97/O97)</f>
        <v>1378.1835714285642</v>
      </c>
      <c r="Q97" s="37">
        <f>+Q94+Q95+Q96</f>
        <v>38589.139999999796</v>
      </c>
      <c r="R97" s="38">
        <f>J97-O97</f>
        <v>-6</v>
      </c>
      <c r="S97" s="39">
        <f>S94+S95</f>
        <v>10202.020000000188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9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-0.18518518518518517</v>
      </c>
      <c r="N98" s="43">
        <f>N97/F97</f>
        <v>-1.4897942386831743E-2</v>
      </c>
      <c r="O98" s="41"/>
      <c r="P98" s="13"/>
      <c r="Q98" s="40"/>
      <c r="R98" s="42">
        <f>R97/O97</f>
        <v>-0.21428571428571427</v>
      </c>
      <c r="S98" s="44">
        <f>IF(Q97=0,0,(S97/Q97))</f>
        <v>0.26437541753975968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9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9"/>
        <v>Véhicules usagésVentes au Gros</v>
      </c>
      <c r="B100" s="11" t="s">
        <v>70</v>
      </c>
      <c r="C100" s="29" t="s">
        <v>75</v>
      </c>
      <c r="D100" s="30">
        <v>25</v>
      </c>
      <c r="E100" s="30">
        <f t="shared" si="31"/>
        <v>350</v>
      </c>
      <c r="F100" s="30">
        <v>8750</v>
      </c>
      <c r="G100" s="31"/>
      <c r="H100" s="30"/>
      <c r="I100" s="30"/>
      <c r="J100" s="31">
        <v>15</v>
      </c>
      <c r="K100" s="30">
        <f>IF(J100=0,0,L100/J100)</f>
        <v>613.8640000000014</v>
      </c>
      <c r="L100" s="33">
        <v>9207.960000000021</v>
      </c>
      <c r="M100" s="31">
        <f>J100-D100</f>
        <v>-10</v>
      </c>
      <c r="N100" s="33">
        <f>L100-F100</f>
        <v>457.96000000002095</v>
      </c>
      <c r="O100" s="31">
        <v>16</v>
      </c>
      <c r="P100" s="30">
        <f>IF(O100=0,0,Q100/O100)</f>
        <v>462.19374999999815</v>
      </c>
      <c r="Q100" s="33">
        <v>7395.0999999999704</v>
      </c>
      <c r="R100" s="31">
        <f>J100-O100</f>
        <v>-1</v>
      </c>
      <c r="S100" s="34">
        <f>L100-Q100</f>
        <v>1812.8600000000506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9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9"/>
        <v>Véhicules usagésRev. Finances</v>
      </c>
      <c r="B102" s="11" t="s">
        <v>70</v>
      </c>
      <c r="C102" s="29" t="s">
        <v>24</v>
      </c>
      <c r="D102" s="30">
        <v>0</v>
      </c>
      <c r="E102" s="30">
        <f t="shared" ref="E102:E105" si="32">IF(D102=0,0,F102/D102)</f>
        <v>0</v>
      </c>
      <c r="F102" s="33">
        <v>10260</v>
      </c>
      <c r="G102" s="31"/>
      <c r="H102" s="30"/>
      <c r="I102" s="30"/>
      <c r="J102" s="31"/>
      <c r="K102" s="30">
        <f>IF(J97=0,0,L102/J97)</f>
        <v>605.96318181818185</v>
      </c>
      <c r="L102" s="33">
        <v>13331.19</v>
      </c>
      <c r="M102" s="31"/>
      <c r="N102" s="33">
        <f>L102-F102</f>
        <v>3071.1900000000005</v>
      </c>
      <c r="O102" s="31"/>
      <c r="P102" s="30"/>
      <c r="Q102" s="33">
        <v>13151.79</v>
      </c>
      <c r="R102" s="31">
        <f>O102-K102</f>
        <v>-605.96318181818185</v>
      </c>
      <c r="S102" s="34">
        <f>L102-Q102</f>
        <v>179.39999999999964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9"/>
        <v>Véhicules usagésRev. Protections</v>
      </c>
      <c r="B103" s="11" t="s">
        <v>70</v>
      </c>
      <c r="C103" s="29" t="s">
        <v>25</v>
      </c>
      <c r="D103" s="30">
        <v>0</v>
      </c>
      <c r="E103" s="30">
        <f t="shared" si="32"/>
        <v>0</v>
      </c>
      <c r="F103" s="33">
        <v>22950</v>
      </c>
      <c r="G103" s="31"/>
      <c r="H103" s="30"/>
      <c r="I103" s="30"/>
      <c r="J103" s="31"/>
      <c r="K103" s="30">
        <f>IF(J97=0,0,L103/J97)</f>
        <v>1538.4390909090905</v>
      </c>
      <c r="L103" s="33">
        <v>33845.659999999989</v>
      </c>
      <c r="M103" s="31"/>
      <c r="N103" s="33">
        <f>L103-F103</f>
        <v>10895.659999999989</v>
      </c>
      <c r="O103" s="31"/>
      <c r="P103" s="30"/>
      <c r="Q103" s="33">
        <v>18323</v>
      </c>
      <c r="R103" s="31">
        <f>O103-K103</f>
        <v>-1538.4390909090905</v>
      </c>
      <c r="S103" s="34">
        <f>L103-Q103</f>
        <v>15522.659999999989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9"/>
        <v>Véhicules usagésRev. Autres</v>
      </c>
      <c r="B104" s="11" t="s">
        <v>70</v>
      </c>
      <c r="C104" s="29" t="s">
        <v>26</v>
      </c>
      <c r="D104" s="30">
        <v>0</v>
      </c>
      <c r="E104" s="25">
        <f t="shared" si="32"/>
        <v>0</v>
      </c>
      <c r="F104" s="33">
        <v>5940</v>
      </c>
      <c r="G104" s="31"/>
      <c r="H104" s="47"/>
      <c r="I104" s="30"/>
      <c r="J104" s="31"/>
      <c r="K104" s="47">
        <f>IF(J97=0,0,L104/J97)</f>
        <v>191.39772727272728</v>
      </c>
      <c r="L104" s="33">
        <v>4210.75</v>
      </c>
      <c r="M104" s="51"/>
      <c r="N104" s="33">
        <f>L104-F104</f>
        <v>-1729.25</v>
      </c>
      <c r="O104" s="31"/>
      <c r="P104" s="47"/>
      <c r="Q104" s="33">
        <v>4262</v>
      </c>
      <c r="R104" s="31">
        <f>O104-K104</f>
        <v>-191.39772727272728</v>
      </c>
      <c r="S104" s="34">
        <f>L104-Q104</f>
        <v>-51.25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9"/>
        <v>Véhicules usagésTotal F&amp;I</v>
      </c>
      <c r="B105" s="11" t="s">
        <v>70</v>
      </c>
      <c r="C105" s="35" t="s">
        <v>27</v>
      </c>
      <c r="D105" s="36">
        <f>D97</f>
        <v>27</v>
      </c>
      <c r="E105" s="30">
        <f t="shared" si="32"/>
        <v>1450</v>
      </c>
      <c r="F105" s="37">
        <f>F102+F103+F104</f>
        <v>39150</v>
      </c>
      <c r="G105" s="38"/>
      <c r="H105" s="36"/>
      <c r="I105" s="37"/>
      <c r="J105" s="38">
        <f>J97</f>
        <v>22</v>
      </c>
      <c r="K105" s="36">
        <f>IF(J105&lt;=0,0,L105/J105)</f>
        <v>2335.7999999999997</v>
      </c>
      <c r="L105" s="37">
        <f>L102+L103+L104</f>
        <v>51387.599999999991</v>
      </c>
      <c r="M105" s="31">
        <f>J105-D105</f>
        <v>-5</v>
      </c>
      <c r="N105" s="37">
        <f>L105-F105</f>
        <v>12237.599999999991</v>
      </c>
      <c r="O105" s="38">
        <f>O97</f>
        <v>28</v>
      </c>
      <c r="P105" s="36">
        <f t="shared" ref="P105" si="33">IF(O105=0,0,Q105/O105)</f>
        <v>1276.3139285714285</v>
      </c>
      <c r="Q105" s="37">
        <f>Q102+Q103+Q104</f>
        <v>35736.79</v>
      </c>
      <c r="R105" s="56"/>
      <c r="S105" s="39">
        <f>L105-Q105</f>
        <v>15650.80999999999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9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0.31258237547892698</v>
      </c>
      <c r="O106" s="41"/>
      <c r="P106" s="13"/>
      <c r="Q106" s="59"/>
      <c r="R106" s="60"/>
      <c r="S106" s="44">
        <f>IF(Q105=0,0,(S105/Q105))</f>
        <v>0.43794672101215554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9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9"/>
        <v>Véhicules usagésTotal Dépt. Usagés</v>
      </c>
      <c r="B108" s="11" t="s">
        <v>70</v>
      </c>
      <c r="C108" s="62" t="s">
        <v>76</v>
      </c>
      <c r="D108" s="63">
        <f>D97+D100</f>
        <v>52</v>
      </c>
      <c r="E108" s="67">
        <f>IF(D108&lt;=0,0,F108/D108)</f>
        <v>1855.7692307692307</v>
      </c>
      <c r="F108" s="65">
        <f>F97+F105+F100</f>
        <v>96500</v>
      </c>
      <c r="G108" s="66"/>
      <c r="H108" s="67"/>
      <c r="I108" s="65"/>
      <c r="J108" s="66">
        <f>J97+J100</f>
        <v>37</v>
      </c>
      <c r="K108" s="67">
        <f>IF(J108&lt;=0,0,L108/J108)</f>
        <v>2931.6627027027025</v>
      </c>
      <c r="L108" s="65">
        <f>L97+L105+L100</f>
        <v>108471.51999999999</v>
      </c>
      <c r="M108" s="66">
        <f>J108-D108</f>
        <v>-15</v>
      </c>
      <c r="N108" s="65">
        <f>L108-F108</f>
        <v>11971.51999999999</v>
      </c>
      <c r="O108" s="66">
        <f>O97+O100</f>
        <v>44</v>
      </c>
      <c r="P108" s="67">
        <f>IF(O108&lt;=0,0,Q108/O108)</f>
        <v>1857.2961363636311</v>
      </c>
      <c r="Q108" s="65">
        <f>Q97+Q105+Q100</f>
        <v>81721.029999999766</v>
      </c>
      <c r="R108" s="66">
        <f>J108-O108</f>
        <v>-7</v>
      </c>
      <c r="S108" s="68">
        <f>L108-Q108</f>
        <v>26750.490000000224</v>
      </c>
      <c r="T108" s="13"/>
      <c r="U108" s="13"/>
      <c r="V108" s="11" t="s">
        <v>221</v>
      </c>
      <c r="W108" s="11">
        <v>104700</v>
      </c>
      <c r="X108" s="490">
        <f>L108-W108</f>
        <v>3771.5199999999895</v>
      </c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9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-0.28846153846153844</v>
      </c>
      <c r="N109" s="74">
        <f>N108/F108</f>
        <v>0.12405720207253876</v>
      </c>
      <c r="O109" s="72"/>
      <c r="P109" s="70"/>
      <c r="Q109" s="71"/>
      <c r="R109" s="73">
        <f>O108/R108</f>
        <v>-6.2857142857142856</v>
      </c>
      <c r="S109" s="145">
        <f>IF(Q108=0,0,(S108/Q108))</f>
        <v>0.32733911944086241</v>
      </c>
      <c r="T109" s="13"/>
      <c r="U109" s="13"/>
      <c r="V109" s="13"/>
      <c r="W109" s="13">
        <v>23</v>
      </c>
      <c r="X109" s="30">
        <f>J97-W109</f>
        <v>-1</v>
      </c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9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9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9"/>
        <v>Véhicules usagésComm. vendeurs</v>
      </c>
      <c r="B112" s="11" t="s">
        <v>70</v>
      </c>
      <c r="C112" s="29" t="s">
        <v>30</v>
      </c>
      <c r="D112" s="148">
        <f>F112/(F97+F105)</f>
        <v>0.18363646287017935</v>
      </c>
      <c r="E112" s="82">
        <f t="shared" ref="E112:E121" si="34">F112/D$97</f>
        <v>596.81850432808289</v>
      </c>
      <c r="F112" s="30">
        <v>16114.099616858237</v>
      </c>
      <c r="G112" s="157"/>
      <c r="H112" s="82"/>
      <c r="I112" s="30"/>
      <c r="J112" s="157">
        <f>L112/L97</f>
        <v>0.30682392582832818</v>
      </c>
      <c r="K112" s="82">
        <f>IF($J$97=0,0,L112/(J$94+J$95+J96))</f>
        <v>667.70409090909095</v>
      </c>
      <c r="L112" s="33">
        <v>14689.49</v>
      </c>
      <c r="M112" s="41"/>
      <c r="N112" s="59">
        <f t="shared" ref="N112:N153" si="35">L112-F112</f>
        <v>-1424.6096168582371</v>
      </c>
      <c r="O112" s="157">
        <f>Q112/Q97</f>
        <v>0.49916427264251295</v>
      </c>
      <c r="P112" s="82">
        <f t="shared" ref="P112:P121" si="36">Q112/O$97</f>
        <v>687.93999999999994</v>
      </c>
      <c r="Q112" s="33">
        <v>19262.32</v>
      </c>
      <c r="R112" s="41"/>
      <c r="S112" s="85">
        <f t="shared" ref="S112:S117" si="37">L112-Q112</f>
        <v>-4572.83</v>
      </c>
      <c r="T112" s="13"/>
      <c r="U112" s="13"/>
      <c r="V112" s="1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9"/>
        <v>Véhicules usagésComm. F&amp;I</v>
      </c>
      <c r="B113" s="11" t="s">
        <v>70</v>
      </c>
      <c r="C113" s="86" t="s">
        <v>31</v>
      </c>
      <c r="D113" s="218">
        <f>F113/(F105+F19)</f>
        <v>0.2524320070314886</v>
      </c>
      <c r="E113" s="88">
        <f t="shared" si="34"/>
        <v>398.75</v>
      </c>
      <c r="F113" s="22">
        <v>10766.25</v>
      </c>
      <c r="G113" s="162"/>
      <c r="H113" s="88"/>
      <c r="I113" s="22"/>
      <c r="J113" s="162">
        <f>L113/L105</f>
        <v>0.26125855264694214</v>
      </c>
      <c r="K113" s="88">
        <f>IF($J$97=0,0,L113/(J$94+J$95+J96))</f>
        <v>610.24772727272727</v>
      </c>
      <c r="L113" s="33">
        <v>13425.45</v>
      </c>
      <c r="M113" s="23"/>
      <c r="N113" s="91">
        <f t="shared" si="35"/>
        <v>2659.2000000000007</v>
      </c>
      <c r="O113" s="162">
        <f>Q113/(Q105+Q19)</f>
        <v>0.26313194933342987</v>
      </c>
      <c r="P113" s="88">
        <f t="shared" si="36"/>
        <v>368.68714285714287</v>
      </c>
      <c r="Q113" s="33">
        <v>10323.24</v>
      </c>
      <c r="R113" s="23"/>
      <c r="S113" s="92">
        <f t="shared" si="37"/>
        <v>3102.2100000000009</v>
      </c>
      <c r="T113" s="13"/>
      <c r="U113" s="13"/>
      <c r="V113" s="11" t="s">
        <v>247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9"/>
        <v>Véhicules usagésFrais de livraison</v>
      </c>
      <c r="B114" s="11" t="s">
        <v>70</v>
      </c>
      <c r="C114" s="29" t="s">
        <v>32</v>
      </c>
      <c r="D114" s="81"/>
      <c r="E114" s="82">
        <f t="shared" si="34"/>
        <v>90</v>
      </c>
      <c r="F114" s="30">
        <v>2430</v>
      </c>
      <c r="G114" s="83"/>
      <c r="H114" s="82"/>
      <c r="I114" s="30"/>
      <c r="J114" s="41"/>
      <c r="K114" s="82">
        <f>IF($J$97=0,0,L114/(J$94+J$95+J96))</f>
        <v>80.948181818181808</v>
      </c>
      <c r="L114" s="108">
        <v>1780.86</v>
      </c>
      <c r="M114" s="41"/>
      <c r="N114" s="59">
        <f t="shared" si="35"/>
        <v>-649.1400000000001</v>
      </c>
      <c r="O114" s="41"/>
      <c r="P114" s="82">
        <f t="shared" si="36"/>
        <v>65.156785714285718</v>
      </c>
      <c r="Q114" s="108">
        <v>1824.39</v>
      </c>
      <c r="R114" s="41"/>
      <c r="S114" s="85">
        <f t="shared" si="37"/>
        <v>-43.5300000000002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9"/>
        <v>Véhicules usagésService gratuit 1</v>
      </c>
      <c r="B115" s="11" t="s">
        <v>70</v>
      </c>
      <c r="C115" s="29" t="s">
        <v>33</v>
      </c>
      <c r="D115" s="81"/>
      <c r="E115" s="82">
        <f t="shared" si="34"/>
        <v>94</v>
      </c>
      <c r="F115" s="30">
        <v>2538</v>
      </c>
      <c r="G115" s="83"/>
      <c r="H115" s="82"/>
      <c r="I115" s="30"/>
      <c r="J115" s="41"/>
      <c r="K115" s="82">
        <f>IF($J$97=0,0,L115/(J$94+J$95+J96))</f>
        <v>37.948181818181816</v>
      </c>
      <c r="L115" s="33">
        <v>834.86</v>
      </c>
      <c r="M115" s="41"/>
      <c r="N115" s="59">
        <f t="shared" si="35"/>
        <v>-1703.1399999999999</v>
      </c>
      <c r="O115" s="41"/>
      <c r="P115" s="82">
        <f t="shared" si="36"/>
        <v>19.081785714285711</v>
      </c>
      <c r="Q115" s="33">
        <v>534.29</v>
      </c>
      <c r="R115" s="41"/>
      <c r="S115" s="85">
        <f t="shared" si="37"/>
        <v>300.57000000000005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9"/>
        <v>Véhicules usagésEntretien stock</v>
      </c>
      <c r="B116" s="11" t="s">
        <v>70</v>
      </c>
      <c r="C116" s="86" t="s">
        <v>34</v>
      </c>
      <c r="D116" s="87"/>
      <c r="E116" s="88">
        <f t="shared" si="34"/>
        <v>72.962962962962962</v>
      </c>
      <c r="F116" s="22">
        <v>1970</v>
      </c>
      <c r="G116" s="89"/>
      <c r="H116" s="88"/>
      <c r="I116" s="22"/>
      <c r="J116" s="23"/>
      <c r="K116" s="88">
        <f>IF($J$97=0,0,L116/(J$94+J$95+J96))</f>
        <v>112.5059090909091</v>
      </c>
      <c r="L116" s="48">
        <v>2475.13</v>
      </c>
      <c r="M116" s="23"/>
      <c r="N116" s="91">
        <f t="shared" si="35"/>
        <v>505.13000000000011</v>
      </c>
      <c r="O116" s="23"/>
      <c r="P116" s="88">
        <f t="shared" si="36"/>
        <v>64.977499999999992</v>
      </c>
      <c r="Q116" s="48">
        <v>1819.37</v>
      </c>
      <c r="R116" s="23"/>
      <c r="S116" s="92">
        <f t="shared" si="37"/>
        <v>655.76000000000022</v>
      </c>
      <c r="T116" s="13"/>
      <c r="U116" s="13"/>
      <c r="V116" s="13" t="s">
        <v>248</v>
      </c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9"/>
        <v>Véhicules usagésPublicité 1</v>
      </c>
      <c r="B117" s="11" t="s">
        <v>70</v>
      </c>
      <c r="C117" s="29" t="s">
        <v>35</v>
      </c>
      <c r="D117" s="81"/>
      <c r="E117" s="82">
        <f t="shared" si="34"/>
        <v>219.44444444444446</v>
      </c>
      <c r="F117" s="30">
        <v>5925</v>
      </c>
      <c r="G117" s="83"/>
      <c r="H117" s="82"/>
      <c r="I117" s="30"/>
      <c r="J117" s="41"/>
      <c r="K117" s="82">
        <f>IF($J$97=0,0,L117/(J$94+J$95+J96))</f>
        <v>225.72954545454547</v>
      </c>
      <c r="L117" s="33">
        <v>4966.05</v>
      </c>
      <c r="M117" s="41"/>
      <c r="N117" s="59">
        <f t="shared" si="35"/>
        <v>-958.94999999999982</v>
      </c>
      <c r="O117" s="41"/>
      <c r="P117" s="82">
        <f t="shared" si="36"/>
        <v>210.97571428571428</v>
      </c>
      <c r="Q117" s="33">
        <v>5907.32</v>
      </c>
      <c r="R117" s="41"/>
      <c r="S117" s="85">
        <f t="shared" si="37"/>
        <v>-941.26999999999953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>+B118&amp;C118</f>
        <v>Véhicules usagésIntérêt de gros</v>
      </c>
      <c r="B118" s="11" t="s">
        <v>70</v>
      </c>
      <c r="C118" s="29" t="s">
        <v>36</v>
      </c>
      <c r="D118" s="81"/>
      <c r="E118" s="82">
        <f t="shared" si="34"/>
        <v>203.74745294474803</v>
      </c>
      <c r="F118" s="30">
        <v>5501.1812295081972</v>
      </c>
      <c r="G118" s="83"/>
      <c r="H118" s="82"/>
      <c r="I118" s="30"/>
      <c r="J118" s="41"/>
      <c r="K118" s="82">
        <f>IF($J$97=0,0,L118/(J$94+J$95+J96))</f>
        <v>191.83909090909091</v>
      </c>
      <c r="L118" s="33">
        <v>4220.46</v>
      </c>
      <c r="M118" s="41"/>
      <c r="N118" s="59">
        <f t="shared" si="35"/>
        <v>-1280.7212295081972</v>
      </c>
      <c r="O118" s="41"/>
      <c r="P118" s="82">
        <f t="shared" si="36"/>
        <v>296.82071428571425</v>
      </c>
      <c r="Q118" s="33">
        <v>8310.98</v>
      </c>
      <c r="R118" s="41"/>
      <c r="S118" s="85">
        <f>L118-Q118</f>
        <v>-4090.5199999999995</v>
      </c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>+B119&amp;C119</f>
        <v>Véhicules usagés[...]</v>
      </c>
      <c r="B119" s="11" t="s">
        <v>70</v>
      </c>
      <c r="C119" s="29" t="s">
        <v>19</v>
      </c>
      <c r="D119" s="81"/>
      <c r="E119" s="82">
        <f t="shared" si="34"/>
        <v>0</v>
      </c>
      <c r="F119" s="30">
        <v>0</v>
      </c>
      <c r="G119" s="83"/>
      <c r="H119" s="82"/>
      <c r="I119" s="30"/>
      <c r="J119" s="41"/>
      <c r="K119" s="82">
        <f t="shared" ref="K119:K121" si="38">IF($J$97=0,0,L119/(J$94+J$95))</f>
        <v>0</v>
      </c>
      <c r="L119" s="33">
        <v>0</v>
      </c>
      <c r="M119" s="41"/>
      <c r="N119" s="59">
        <f t="shared" si="35"/>
        <v>0</v>
      </c>
      <c r="O119" s="41"/>
      <c r="P119" s="82">
        <f t="shared" si="36"/>
        <v>0</v>
      </c>
      <c r="Q119" s="33"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4"/>
        <v>0</v>
      </c>
      <c r="F120" s="30">
        <v>0</v>
      </c>
      <c r="G120" s="83"/>
      <c r="H120" s="82"/>
      <c r="I120" s="30"/>
      <c r="J120" s="41"/>
      <c r="K120" s="82">
        <f t="shared" si="38"/>
        <v>0</v>
      </c>
      <c r="L120" s="33">
        <v>0</v>
      </c>
      <c r="M120" s="41"/>
      <c r="N120" s="59">
        <f t="shared" si="35"/>
        <v>0</v>
      </c>
      <c r="O120" s="41"/>
      <c r="P120" s="82">
        <f t="shared" si="36"/>
        <v>0</v>
      </c>
      <c r="Q120" s="33"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4"/>
        <v>0</v>
      </c>
      <c r="F121" s="30">
        <v>0</v>
      </c>
      <c r="G121" s="83"/>
      <c r="H121" s="82"/>
      <c r="I121" s="30"/>
      <c r="J121" s="41"/>
      <c r="K121" s="82">
        <f t="shared" si="38"/>
        <v>0</v>
      </c>
      <c r="L121" s="33">
        <v>0</v>
      </c>
      <c r="M121" s="41"/>
      <c r="N121" s="59">
        <f t="shared" si="35"/>
        <v>0</v>
      </c>
      <c r="O121" s="41"/>
      <c r="P121" s="82">
        <f t="shared" si="36"/>
        <v>0</v>
      </c>
      <c r="Q121" s="33">
        <v>0</v>
      </c>
      <c r="R121" s="41"/>
      <c r="S121" s="85">
        <f t="shared" ref="S121:S126" si="39">L121-Q121</f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ref="A122:A126" si="40">+B122&amp;C122</f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0.46885524193125838</v>
      </c>
      <c r="F122" s="96">
        <f>SUM(F112:F121)</f>
        <v>45244.530846366433</v>
      </c>
      <c r="G122" s="97"/>
      <c r="H122" s="95"/>
      <c r="I122" s="96"/>
      <c r="J122" s="97" t="s">
        <v>38</v>
      </c>
      <c r="K122" s="95">
        <f>L122/L$108</f>
        <v>0.39081502683838126</v>
      </c>
      <c r="L122" s="96">
        <f>SUM(L112:L121)</f>
        <v>42392.3</v>
      </c>
      <c r="M122" s="100"/>
      <c r="N122" s="96">
        <f t="shared" si="35"/>
        <v>-2852.2308463664303</v>
      </c>
      <c r="O122" s="97" t="s">
        <v>38</v>
      </c>
      <c r="P122" s="95">
        <f>Q122/Q$108</f>
        <v>0.58714274648765608</v>
      </c>
      <c r="Q122" s="96">
        <f>SUM(Q112:Q121)</f>
        <v>47981.91</v>
      </c>
      <c r="R122" s="100"/>
      <c r="S122" s="101">
        <f t="shared" si="39"/>
        <v>-5589.6100000000006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40"/>
        <v>Véhicules usagésSalaires cadres</v>
      </c>
      <c r="B123" s="11" t="s">
        <v>70</v>
      </c>
      <c r="C123" s="102" t="s">
        <v>40</v>
      </c>
      <c r="D123" s="13"/>
      <c r="E123" s="13"/>
      <c r="F123" s="30">
        <v>5038.0088417329798</v>
      </c>
      <c r="G123" s="41"/>
      <c r="H123" s="13"/>
      <c r="I123" s="30"/>
      <c r="J123" s="41"/>
      <c r="K123" s="13"/>
      <c r="L123" s="33">
        <v>4324.1899999999996</v>
      </c>
      <c r="M123" s="41"/>
      <c r="N123" s="59">
        <f t="shared" si="35"/>
        <v>-713.81884173298022</v>
      </c>
      <c r="O123" s="41"/>
      <c r="P123" s="13"/>
      <c r="Q123" s="33">
        <v>4165.3100000000004</v>
      </c>
      <c r="R123" s="41"/>
      <c r="S123" s="85">
        <f t="shared" si="39"/>
        <v>158.8799999999992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40"/>
        <v>Véhicules usagésSalaires commis</v>
      </c>
      <c r="B124" s="11" t="s">
        <v>70</v>
      </c>
      <c r="C124" s="103" t="s">
        <v>41</v>
      </c>
      <c r="D124" s="81"/>
      <c r="E124" s="13"/>
      <c r="F124" s="22">
        <v>2428.1766283524903</v>
      </c>
      <c r="G124" s="83"/>
      <c r="H124" s="13"/>
      <c r="I124" s="22"/>
      <c r="J124" s="41"/>
      <c r="K124" s="13"/>
      <c r="L124" s="22">
        <v>2814.78</v>
      </c>
      <c r="M124" s="41"/>
      <c r="N124" s="59">
        <f t="shared" si="35"/>
        <v>386.6033716475099</v>
      </c>
      <c r="O124" s="41"/>
      <c r="P124" s="13"/>
      <c r="Q124" s="22">
        <v>2612.09</v>
      </c>
      <c r="R124" s="41"/>
      <c r="S124" s="85">
        <f t="shared" si="39"/>
        <v>202.69000000000005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40"/>
        <v>Véhicules usagésSalaires autres</v>
      </c>
      <c r="B125" s="11" t="s">
        <v>70</v>
      </c>
      <c r="C125" s="102" t="s">
        <v>42</v>
      </c>
      <c r="D125" s="104"/>
      <c r="E125" s="105"/>
      <c r="F125" s="30">
        <v>2809</v>
      </c>
      <c r="G125" s="106"/>
      <c r="H125" s="105"/>
      <c r="I125" s="30"/>
      <c r="J125" s="107"/>
      <c r="K125" s="105"/>
      <c r="L125" s="33">
        <v>2809</v>
      </c>
      <c r="M125" s="107"/>
      <c r="N125" s="109">
        <f t="shared" si="35"/>
        <v>0</v>
      </c>
      <c r="O125" s="107"/>
      <c r="P125" s="105"/>
      <c r="Q125" s="33">
        <v>2809</v>
      </c>
      <c r="R125" s="107"/>
      <c r="S125" s="110">
        <f t="shared" si="39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 hidden="1">
      <c r="A126" t="str">
        <f t="shared" si="40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35"/>
        <v>0</v>
      </c>
      <c r="O126" s="41"/>
      <c r="P126" s="13"/>
      <c r="Q126" s="33">
        <v>0</v>
      </c>
      <c r="R126" s="41"/>
      <c r="S126" s="85">
        <f t="shared" si="39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>+B127&amp;C127</f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5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5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5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ref="A130:A148" si="41">+B130&amp;C130</f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4495.0217890410113</v>
      </c>
      <c r="G130" s="83"/>
      <c r="H130" s="13"/>
      <c r="I130" s="30"/>
      <c r="J130" s="41"/>
      <c r="K130" s="13"/>
      <c r="L130" s="33">
        <v>4280.1400000000003</v>
      </c>
      <c r="M130" s="41"/>
      <c r="N130" s="59">
        <f t="shared" si="35"/>
        <v>-214.88178904101096</v>
      </c>
      <c r="O130" s="41"/>
      <c r="P130" s="13"/>
      <c r="Q130" s="33">
        <v>2091.5100000000002</v>
      </c>
      <c r="R130" s="41"/>
      <c r="S130" s="85">
        <f>L130-Q130</f>
        <v>2188.63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41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5247.3307444031834</v>
      </c>
      <c r="G131" s="106"/>
      <c r="H131" s="105"/>
      <c r="I131" s="54"/>
      <c r="J131" s="107"/>
      <c r="K131" s="105"/>
      <c r="L131" s="55">
        <v>4660.29</v>
      </c>
      <c r="M131" s="107"/>
      <c r="N131" s="109">
        <f t="shared" si="35"/>
        <v>-587.04074440318345</v>
      </c>
      <c r="O131" s="107"/>
      <c r="P131" s="105"/>
      <c r="Q131" s="55">
        <v>4566.9399999999996</v>
      </c>
      <c r="R131" s="107"/>
      <c r="S131" s="110">
        <f t="shared" ref="S131:S148" si="42">L131-Q131</f>
        <v>93.350000000000364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41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2700.8320007957564</v>
      </c>
      <c r="G132" s="83"/>
      <c r="H132" s="13"/>
      <c r="I132" s="30"/>
      <c r="J132" s="41"/>
      <c r="K132" s="13"/>
      <c r="L132" s="33">
        <v>2248.29</v>
      </c>
      <c r="M132" s="41"/>
      <c r="N132" s="59">
        <f t="shared" si="35"/>
        <v>-452.54200079575639</v>
      </c>
      <c r="O132" s="41"/>
      <c r="P132" s="13"/>
      <c r="Q132" s="33">
        <v>1987.58</v>
      </c>
      <c r="R132" s="41"/>
      <c r="S132" s="85">
        <f t="shared" si="42"/>
        <v>260.71000000000004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41"/>
        <v>Véhicules usagésCsst</v>
      </c>
      <c r="B133" s="11" t="s">
        <v>70</v>
      </c>
      <c r="C133" s="102" t="s">
        <v>47</v>
      </c>
      <c r="D133" s="81"/>
      <c r="E133" s="13"/>
      <c r="F133" s="30">
        <v>578.74971445623339</v>
      </c>
      <c r="G133" s="83"/>
      <c r="H133" s="13"/>
      <c r="I133" s="30"/>
      <c r="J133" s="41"/>
      <c r="K133" s="13"/>
      <c r="L133" s="33">
        <v>798.12</v>
      </c>
      <c r="M133" s="41"/>
      <c r="N133" s="59">
        <f t="shared" si="35"/>
        <v>219.37028554376661</v>
      </c>
      <c r="O133" s="41"/>
      <c r="P133" s="13"/>
      <c r="Q133" s="33">
        <v>590.58000000000004</v>
      </c>
      <c r="R133" s="41"/>
      <c r="S133" s="85">
        <f t="shared" si="42"/>
        <v>207.53999999999996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41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35"/>
        <v>0</v>
      </c>
      <c r="O134" s="23"/>
      <c r="P134" s="111"/>
      <c r="Q134" s="33">
        <v>0</v>
      </c>
      <c r="R134" s="23"/>
      <c r="S134" s="92">
        <f t="shared" si="42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41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0.24142092972830731</v>
      </c>
      <c r="F135" s="96">
        <f>+SUM(F123:F134)</f>
        <v>23297.119718781654</v>
      </c>
      <c r="G135" s="97"/>
      <c r="H135" s="95"/>
      <c r="I135" s="96"/>
      <c r="J135" s="97" t="s">
        <v>38</v>
      </c>
      <c r="K135" s="95">
        <f>L135/L$108</f>
        <v>0.20221722715787521</v>
      </c>
      <c r="L135" s="96">
        <f>SUM(L123:L134)</f>
        <v>21934.81</v>
      </c>
      <c r="M135" s="463"/>
      <c r="N135" s="464">
        <f t="shared" si="35"/>
        <v>-1362.3097187816529</v>
      </c>
      <c r="O135" s="97" t="s">
        <v>38</v>
      </c>
      <c r="P135" s="95">
        <f>Q135/Q$108</f>
        <v>0.23033251049332168</v>
      </c>
      <c r="Q135" s="96">
        <f>+SUM(Q123:Q134)</f>
        <v>18823.010000000002</v>
      </c>
      <c r="R135" s="147"/>
      <c r="S135" s="114">
        <f t="shared" si="42"/>
        <v>3111.7999999999993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 hidden="1">
      <c r="A136" t="str">
        <f t="shared" si="41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35"/>
        <v>0</v>
      </c>
      <c r="O136" s="41"/>
      <c r="P136" s="13"/>
      <c r="Q136" s="33">
        <v>0</v>
      </c>
      <c r="R136" s="41"/>
      <c r="S136" s="85">
        <f t="shared" si="42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 hidden="1">
      <c r="A137" t="str">
        <f t="shared" si="41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5"/>
        <v>0</v>
      </c>
      <c r="O137" s="41"/>
      <c r="P137" s="13"/>
      <c r="Q137" s="33">
        <v>0</v>
      </c>
      <c r="R137" s="41"/>
      <c r="S137" s="85">
        <f t="shared" si="42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41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943.63333333333344</v>
      </c>
      <c r="G138" s="89"/>
      <c r="H138" s="111"/>
      <c r="I138" s="22"/>
      <c r="J138" s="23"/>
      <c r="K138" s="111"/>
      <c r="L138" s="22">
        <v>667.7</v>
      </c>
      <c r="M138" s="23"/>
      <c r="N138" s="91">
        <f t="shared" si="35"/>
        <v>-275.93333333333339</v>
      </c>
      <c r="O138" s="23"/>
      <c r="P138" s="111"/>
      <c r="Q138" s="22">
        <v>1083.7</v>
      </c>
      <c r="R138" s="23"/>
      <c r="S138" s="92">
        <f t="shared" si="42"/>
        <v>-416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41"/>
        <v>Véhicules usagésInformatique</v>
      </c>
      <c r="B139" s="11" t="s">
        <v>70</v>
      </c>
      <c r="C139" s="29" t="s">
        <v>52</v>
      </c>
      <c r="D139" s="81"/>
      <c r="E139" s="13"/>
      <c r="F139" s="30">
        <v>1425.4</v>
      </c>
      <c r="G139" s="83"/>
      <c r="H139" s="13"/>
      <c r="I139" s="30"/>
      <c r="J139" s="41"/>
      <c r="K139" s="13"/>
      <c r="L139" s="33">
        <v>1412</v>
      </c>
      <c r="M139" s="41"/>
      <c r="N139" s="59">
        <f t="shared" si="35"/>
        <v>-13.400000000000091</v>
      </c>
      <c r="O139" s="41"/>
      <c r="P139" s="13"/>
      <c r="Q139" s="33">
        <v>1295.0999999999999</v>
      </c>
      <c r="R139" s="41"/>
      <c r="S139" s="85">
        <f t="shared" si="42"/>
        <v>116.90000000000009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41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183.33333333333334</v>
      </c>
      <c r="G140" s="83"/>
      <c r="H140" s="13"/>
      <c r="I140" s="30"/>
      <c r="J140" s="41"/>
      <c r="K140" s="13"/>
      <c r="L140" s="33">
        <v>247</v>
      </c>
      <c r="M140" s="41"/>
      <c r="N140" s="59">
        <f t="shared" si="35"/>
        <v>63.666666666666657</v>
      </c>
      <c r="O140" s="41"/>
      <c r="P140" s="13"/>
      <c r="Q140" s="33">
        <v>394.46</v>
      </c>
      <c r="R140" s="41"/>
      <c r="S140" s="85">
        <f t="shared" si="42"/>
        <v>-147.45999999999998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41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736.6</v>
      </c>
      <c r="G141" s="89"/>
      <c r="H141" s="111"/>
      <c r="I141" s="22"/>
      <c r="J141" s="23"/>
      <c r="K141" s="111"/>
      <c r="L141" s="22">
        <v>1032.31</v>
      </c>
      <c r="M141" s="23"/>
      <c r="N141" s="91">
        <f t="shared" si="35"/>
        <v>295.70999999999992</v>
      </c>
      <c r="O141" s="23"/>
      <c r="P141" s="111"/>
      <c r="Q141" s="22">
        <v>758.85</v>
      </c>
      <c r="R141" s="23"/>
      <c r="S141" s="92">
        <f t="shared" si="42"/>
        <v>273.45999999999992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41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17.5</v>
      </c>
      <c r="G142" s="83"/>
      <c r="H142" s="13"/>
      <c r="I142" s="30"/>
      <c r="J142" s="41"/>
      <c r="K142" s="13"/>
      <c r="L142" s="33">
        <v>0</v>
      </c>
      <c r="M142" s="41"/>
      <c r="N142" s="59">
        <f t="shared" si="35"/>
        <v>-17.5</v>
      </c>
      <c r="O142" s="41"/>
      <c r="P142" s="13"/>
      <c r="Q142" s="33">
        <v>0</v>
      </c>
      <c r="R142" s="41"/>
      <c r="S142" s="85">
        <f t="shared" si="42"/>
        <v>0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41"/>
        <v>Véhicules usagésUniformes</v>
      </c>
      <c r="B143" s="11" t="s">
        <v>70</v>
      </c>
      <c r="C143" s="29" t="s">
        <v>56</v>
      </c>
      <c r="D143" s="81"/>
      <c r="E143" s="13"/>
      <c r="F143" s="30">
        <v>10</v>
      </c>
      <c r="G143" s="83"/>
      <c r="H143" s="13"/>
      <c r="I143" s="30"/>
      <c r="J143" s="41"/>
      <c r="K143" s="13"/>
      <c r="L143" s="33">
        <v>66</v>
      </c>
      <c r="M143" s="41"/>
      <c r="N143" s="59">
        <f t="shared" si="35"/>
        <v>56</v>
      </c>
      <c r="O143" s="41"/>
      <c r="P143" s="13"/>
      <c r="Q143" s="33">
        <v>0</v>
      </c>
      <c r="R143" s="41"/>
      <c r="S143" s="85">
        <f t="shared" si="42"/>
        <v>66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41"/>
        <v>Véhicules usagésPapeterie</v>
      </c>
      <c r="B144" s="11" t="s">
        <v>70</v>
      </c>
      <c r="C144" s="29" t="s">
        <v>57</v>
      </c>
      <c r="D144" s="81"/>
      <c r="E144" s="13"/>
      <c r="F144" s="30">
        <v>157.5</v>
      </c>
      <c r="G144" s="83"/>
      <c r="H144" s="13"/>
      <c r="I144" s="30"/>
      <c r="J144" s="41"/>
      <c r="K144" s="13"/>
      <c r="L144" s="32">
        <v>159.87</v>
      </c>
      <c r="M144" s="41"/>
      <c r="N144" s="59">
        <f t="shared" si="35"/>
        <v>2.3700000000000045</v>
      </c>
      <c r="O144" s="41"/>
      <c r="P144" s="13"/>
      <c r="Q144" s="32">
        <v>104.08</v>
      </c>
      <c r="R144" s="41"/>
      <c r="S144" s="85">
        <f t="shared" si="42"/>
        <v>55.790000000000006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41"/>
        <v>Véhicules usagésTéléphone</v>
      </c>
      <c r="B145" s="11" t="s">
        <v>70</v>
      </c>
      <c r="C145" s="29" t="s">
        <v>58</v>
      </c>
      <c r="D145" s="81"/>
      <c r="E145" s="13"/>
      <c r="F145" s="30">
        <v>63.2</v>
      </c>
      <c r="G145" s="83"/>
      <c r="H145" s="13"/>
      <c r="I145" s="30"/>
      <c r="J145" s="41"/>
      <c r="K145" s="13"/>
      <c r="L145" s="33">
        <v>60.38</v>
      </c>
      <c r="M145" s="41"/>
      <c r="N145" s="59">
        <f t="shared" si="35"/>
        <v>-2.8200000000000003</v>
      </c>
      <c r="O145" s="41"/>
      <c r="P145" s="13"/>
      <c r="Q145" s="33">
        <v>81.98</v>
      </c>
      <c r="R145" s="41"/>
      <c r="S145" s="85">
        <f t="shared" si="42"/>
        <v>-21.6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41"/>
        <v>Véhicules usagésFrais postaux</v>
      </c>
      <c r="B146" s="11" t="s">
        <v>70</v>
      </c>
      <c r="C146" s="29" t="s">
        <v>59</v>
      </c>
      <c r="D146" s="81"/>
      <c r="E146" s="13"/>
      <c r="F146" s="30">
        <v>45</v>
      </c>
      <c r="G146" s="83"/>
      <c r="H146" s="13"/>
      <c r="I146" s="30"/>
      <c r="J146" s="41"/>
      <c r="K146" s="13"/>
      <c r="L146" s="33">
        <v>49.5</v>
      </c>
      <c r="M146" s="41"/>
      <c r="N146" s="59">
        <f t="shared" si="35"/>
        <v>4.5</v>
      </c>
      <c r="O146" s="41"/>
      <c r="P146" s="13"/>
      <c r="Q146" s="33">
        <v>96.34</v>
      </c>
      <c r="R146" s="41"/>
      <c r="S146" s="85">
        <f t="shared" si="42"/>
        <v>-46.84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41"/>
        <v>Véhicules usagésDivers</v>
      </c>
      <c r="B147" s="11" t="s">
        <v>70</v>
      </c>
      <c r="C147" s="29" t="s">
        <v>60</v>
      </c>
      <c r="D147" s="81"/>
      <c r="E147" s="13"/>
      <c r="F147" s="30">
        <v>174.10000000000002</v>
      </c>
      <c r="G147" s="83"/>
      <c r="H147" s="13"/>
      <c r="I147" s="30"/>
      <c r="J147" s="41"/>
      <c r="K147" s="13"/>
      <c r="L147" s="33">
        <v>151.6</v>
      </c>
      <c r="M147" s="41"/>
      <c r="N147" s="59">
        <f t="shared" si="35"/>
        <v>-22.500000000000028</v>
      </c>
      <c r="O147" s="41"/>
      <c r="P147" s="13"/>
      <c r="Q147" s="33">
        <v>185.1</v>
      </c>
      <c r="R147" s="41"/>
      <c r="S147" s="85">
        <f t="shared" si="42"/>
        <v>-33.5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41"/>
        <v>Véhicules usagésFormation</v>
      </c>
      <c r="B148" s="11" t="s">
        <v>70</v>
      </c>
      <c r="C148" s="29" t="s">
        <v>61</v>
      </c>
      <c r="D148" s="81"/>
      <c r="E148" s="13"/>
      <c r="F148" s="30">
        <v>124.04077999999998</v>
      </c>
      <c r="G148" s="83"/>
      <c r="H148" s="13"/>
      <c r="I148" s="30"/>
      <c r="J148" s="41"/>
      <c r="K148" s="13"/>
      <c r="L148" s="59">
        <v>121.83</v>
      </c>
      <c r="M148" s="41"/>
      <c r="N148" s="59">
        <f t="shared" si="35"/>
        <v>-2.2107799999999855</v>
      </c>
      <c r="O148" s="41"/>
      <c r="P148" s="13"/>
      <c r="Q148" s="33">
        <v>65.39</v>
      </c>
      <c r="R148" s="41"/>
      <c r="S148" s="85">
        <f t="shared" si="42"/>
        <v>56.44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>+B149&amp;C149</f>
        <v>Véhicules usagésFrais bancaires</v>
      </c>
      <c r="B149" s="11" t="s">
        <v>70</v>
      </c>
      <c r="C149" s="29" t="s">
        <v>62</v>
      </c>
      <c r="D149" s="81"/>
      <c r="E149" s="13"/>
      <c r="F149" s="30">
        <v>907.42156600810199</v>
      </c>
      <c r="G149" s="83"/>
      <c r="H149" s="13"/>
      <c r="I149" s="30"/>
      <c r="J149" s="41"/>
      <c r="K149" s="13"/>
      <c r="L149" s="33">
        <v>994.64</v>
      </c>
      <c r="M149" s="41"/>
      <c r="N149" s="59">
        <f t="shared" si="35"/>
        <v>87.218433991897996</v>
      </c>
      <c r="O149" s="41"/>
      <c r="P149" s="13"/>
      <c r="Q149" s="33">
        <v>975.13</v>
      </c>
      <c r="R149" s="41"/>
      <c r="S149" s="85">
        <f>L149-Q149</f>
        <v>19.509999999999991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>+B150&amp;C150</f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35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5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5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ref="A153:A158" si="43">+B153&amp;C153</f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4.9613772152070142E-2</v>
      </c>
      <c r="F153" s="96">
        <f>+SUM(F136:F152)</f>
        <v>4787.7290126747685</v>
      </c>
      <c r="G153" s="97"/>
      <c r="H153" s="95"/>
      <c r="I153" s="96"/>
      <c r="J153" s="97" t="s">
        <v>38</v>
      </c>
      <c r="K153" s="95">
        <f>L153/L$108</f>
        <v>4.5752378135753981E-2</v>
      </c>
      <c r="L153" s="96">
        <f>+SUM(L136:L152)</f>
        <v>4962.83</v>
      </c>
      <c r="M153" s="100"/>
      <c r="N153" s="96">
        <f t="shared" si="35"/>
        <v>175.10098732523147</v>
      </c>
      <c r="O153" s="97" t="s">
        <v>38</v>
      </c>
      <c r="P153" s="95">
        <f>Q153/Q$108</f>
        <v>6.1674822258114152E-2</v>
      </c>
      <c r="Q153" s="96">
        <f>+SUM(Q136:Q152)</f>
        <v>5040.13</v>
      </c>
      <c r="R153" s="100"/>
      <c r="S153" s="101">
        <f>L153-Q153</f>
        <v>-77.300000000000182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43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43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0.75988994381163577</v>
      </c>
      <c r="F155" s="96">
        <f>F122+F135+F153</f>
        <v>73329.379577822852</v>
      </c>
      <c r="G155" s="97"/>
      <c r="H155" s="95"/>
      <c r="I155" s="96"/>
      <c r="J155" s="97" t="s">
        <v>38</v>
      </c>
      <c r="K155" s="95">
        <f>L155/L$108</f>
        <v>0.63878463213201042</v>
      </c>
      <c r="L155" s="96">
        <f>L122+L135+L153</f>
        <v>69289.94</v>
      </c>
      <c r="M155" s="100"/>
      <c r="N155" s="113">
        <f t="shared" ref="N155:N162" si="44">L155-F155</f>
        <v>-4039.43957782285</v>
      </c>
      <c r="O155" s="97" t="s">
        <v>38</v>
      </c>
      <c r="P155" s="95">
        <f>Q155/Q$108</f>
        <v>0.87915007923909205</v>
      </c>
      <c r="Q155" s="96">
        <f>Q122+Q135+Q153</f>
        <v>71845.050000000017</v>
      </c>
      <c r="R155" s="100"/>
      <c r="S155" s="114">
        <f t="shared" ref="S155:S162" si="45">L155-Q155</f>
        <v>-2555.1100000000151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43"/>
        <v>Véhicules usagésRBSC used</v>
      </c>
      <c r="B156" s="11" t="s">
        <v>70</v>
      </c>
      <c r="C156" s="29" t="s">
        <v>218</v>
      </c>
      <c r="D156" s="149"/>
      <c r="E156" s="150"/>
      <c r="F156" s="30">
        <v>3375</v>
      </c>
      <c r="G156" s="151"/>
      <c r="H156" s="150"/>
      <c r="I156" s="30"/>
      <c r="J156" s="151"/>
      <c r="K156" s="150"/>
      <c r="L156" s="32">
        <v>3000</v>
      </c>
      <c r="M156" s="41"/>
      <c r="N156" s="59">
        <f t="shared" si="44"/>
        <v>-375</v>
      </c>
      <c r="O156" s="151"/>
      <c r="P156" s="150"/>
      <c r="Q156" s="33">
        <v>2625</v>
      </c>
      <c r="R156" s="41"/>
      <c r="S156" s="85">
        <f t="shared" si="45"/>
        <v>375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43"/>
        <v>Véhicules usagésProgramme 360</v>
      </c>
      <c r="B157" s="11" t="s">
        <v>70</v>
      </c>
      <c r="C157" s="29" t="s">
        <v>219</v>
      </c>
      <c r="D157" s="149"/>
      <c r="E157" s="150"/>
      <c r="F157" s="30">
        <v>1206</v>
      </c>
      <c r="G157" s="151"/>
      <c r="H157" s="150"/>
      <c r="I157" s="30"/>
      <c r="J157" s="151"/>
      <c r="K157" s="150"/>
      <c r="L157" s="33">
        <v>-2050</v>
      </c>
      <c r="M157" s="41"/>
      <c r="N157" s="59">
        <f t="shared" si="44"/>
        <v>-3256</v>
      </c>
      <c r="O157" s="151"/>
      <c r="P157" s="150"/>
      <c r="Q157" s="33">
        <v>0</v>
      </c>
      <c r="R157" s="41"/>
      <c r="S157" s="85">
        <f t="shared" si="45"/>
        <v>-2050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43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44"/>
        <v>0</v>
      </c>
      <c r="O158" s="41"/>
      <c r="P158" s="13"/>
      <c r="Q158" s="33">
        <v>0</v>
      </c>
      <c r="R158" s="41"/>
      <c r="S158" s="85">
        <f t="shared" si="45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13333.949999999999</v>
      </c>
      <c r="G159" s="83"/>
      <c r="H159" s="13"/>
      <c r="I159" s="30"/>
      <c r="J159" s="41"/>
      <c r="K159" s="13"/>
      <c r="L159" s="32">
        <v>12495</v>
      </c>
      <c r="M159" s="41"/>
      <c r="N159" s="59">
        <f t="shared" si="44"/>
        <v>-838.94999999999891</v>
      </c>
      <c r="O159" s="41"/>
      <c r="P159" s="13"/>
      <c r="Q159" s="33">
        <v>13090</v>
      </c>
      <c r="R159" s="41"/>
      <c r="S159" s="85">
        <f t="shared" si="45"/>
        <v>-595</v>
      </c>
      <c r="T159" s="112"/>
      <c r="U159" s="13"/>
      <c r="V159" s="11">
        <f>L159/595</f>
        <v>21</v>
      </c>
      <c r="W159" s="489">
        <f>V159/J97</f>
        <v>0.95454545454545459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4"/>
        <v>0</v>
      </c>
      <c r="O160" s="41"/>
      <c r="P160" s="13"/>
      <c r="Q160" s="33">
        <v>0</v>
      </c>
      <c r="R160" s="41"/>
      <c r="S160" s="85">
        <f t="shared" si="45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4"/>
        <v>0</v>
      </c>
      <c r="O161" s="41"/>
      <c r="P161" s="13"/>
      <c r="Q161" s="33">
        <v>0</v>
      </c>
      <c r="R161" s="41"/>
      <c r="S161" s="85">
        <f t="shared" si="45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4"/>
        <v>0</v>
      </c>
      <c r="O162" s="41"/>
      <c r="P162" s="13"/>
      <c r="Q162" s="33">
        <v>0</v>
      </c>
      <c r="R162" s="41"/>
      <c r="S162" s="85">
        <f t="shared" si="45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17914.949999999997</v>
      </c>
      <c r="G163" s="97"/>
      <c r="H163" s="95"/>
      <c r="I163" s="96"/>
      <c r="J163" s="97"/>
      <c r="K163" s="95"/>
      <c r="L163" s="96">
        <f>+SUM(L156:L162)</f>
        <v>13445</v>
      </c>
      <c r="M163" s="100"/>
      <c r="N163" s="96">
        <f>SUM(N156:N159)</f>
        <v>-4469.9499999999989</v>
      </c>
      <c r="O163" s="97"/>
      <c r="P163" s="95"/>
      <c r="Q163" s="96">
        <f>+SUM(Q156:Q162)</f>
        <v>15715</v>
      </c>
      <c r="R163" s="100"/>
      <c r="S163" s="101">
        <f>+SUM(S156:S162)</f>
        <v>-2270</v>
      </c>
      <c r="T163" s="11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41085.570422177145</v>
      </c>
      <c r="G165" s="153"/>
      <c r="H165" s="125"/>
      <c r="I165" s="127"/>
      <c r="J165" s="154"/>
      <c r="K165" s="126"/>
      <c r="L165" s="127">
        <f>L108-L155+L163</f>
        <v>52626.579999999987</v>
      </c>
      <c r="M165" s="154"/>
      <c r="N165" s="127">
        <f>L165-F165</f>
        <v>11541.009577822842</v>
      </c>
      <c r="O165" s="154"/>
      <c r="P165" s="126"/>
      <c r="Q165" s="127">
        <f>Q108-Q155+Q163</f>
        <v>25590.979999999749</v>
      </c>
      <c r="R165" s="154"/>
      <c r="S165" s="129">
        <f>L165-Q165</f>
        <v>27035.600000000239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Avril 2025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507" t="s">
        <v>5</v>
      </c>
      <c r="E170" s="508"/>
      <c r="F170" s="509"/>
      <c r="G170" s="510"/>
      <c r="H170" s="508"/>
      <c r="I170" s="509"/>
      <c r="J170" s="510" t="s">
        <v>7</v>
      </c>
      <c r="K170" s="508"/>
      <c r="L170" s="509"/>
      <c r="M170" s="510" t="s">
        <v>213</v>
      </c>
      <c r="N170" s="509"/>
      <c r="O170" s="507" t="s">
        <v>8</v>
      </c>
      <c r="P170" s="508"/>
      <c r="Q170" s="509"/>
      <c r="R170" s="505" t="s">
        <v>214</v>
      </c>
      <c r="S170" s="506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16" si="46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46"/>
        <v>ServiceM/O Client</v>
      </c>
      <c r="B172" s="11" t="s">
        <v>78</v>
      </c>
      <c r="C172" s="29" t="s">
        <v>81</v>
      </c>
      <c r="D172" s="491">
        <v>273.712365474585</v>
      </c>
      <c r="E172" s="82">
        <v>93062.2042613589</v>
      </c>
      <c r="F172" s="82">
        <v>72960.768140905377</v>
      </c>
      <c r="G172" s="156"/>
      <c r="H172" s="82"/>
      <c r="I172" s="82"/>
      <c r="J172" s="60">
        <v>399</v>
      </c>
      <c r="K172" s="30">
        <v>116282.79</v>
      </c>
      <c r="L172" s="33">
        <v>92508.09</v>
      </c>
      <c r="M172" s="157">
        <f>(K172-E172)/E172</f>
        <v>0.24951682504132022</v>
      </c>
      <c r="N172" s="59">
        <f>L172-F172</f>
        <v>19547.32185909462</v>
      </c>
      <c r="O172" s="60">
        <v>296</v>
      </c>
      <c r="P172" s="30">
        <v>84593.209999999905</v>
      </c>
      <c r="Q172" s="33">
        <v>66593.14</v>
      </c>
      <c r="R172" s="157">
        <f>IF(O172=0,0,J172/O172)</f>
        <v>1.347972972972973</v>
      </c>
      <c r="S172" s="85">
        <f>L172-Q172</f>
        <v>25914.949999999997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46"/>
        <v>Service% profit / ventes</v>
      </c>
      <c r="B173" s="11" t="s">
        <v>78</v>
      </c>
      <c r="C173" s="29" t="s">
        <v>82</v>
      </c>
      <c r="D173" s="491"/>
      <c r="E173" s="144"/>
      <c r="F173" s="158">
        <f>F172/E172</f>
        <v>0.78400000000000003</v>
      </c>
      <c r="G173" s="41"/>
      <c r="H173" s="144"/>
      <c r="I173" s="158"/>
      <c r="J173" s="60"/>
      <c r="K173" s="13"/>
      <c r="L173" s="158">
        <f>IF(L172=0,0,L172/K172)</f>
        <v>0.7955441213613812</v>
      </c>
      <c r="M173" s="157"/>
      <c r="N173" s="59"/>
      <c r="O173" s="60"/>
      <c r="P173" s="13"/>
      <c r="Q173" s="158">
        <f>Q172/P172</f>
        <v>0.78721613708712646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46"/>
        <v>Service</v>
      </c>
      <c r="B174" s="11" t="s">
        <v>78</v>
      </c>
      <c r="C174" s="86"/>
      <c r="D174" s="492"/>
      <c r="E174" s="159">
        <f>IFERROR(E172/D172,0)</f>
        <v>340</v>
      </c>
      <c r="F174" s="160"/>
      <c r="G174" s="23"/>
      <c r="H174" s="159"/>
      <c r="I174" s="160"/>
      <c r="J174" s="161"/>
      <c r="K174" s="465">
        <f>IFERROR(K172/J172,0)</f>
        <v>291.43556390977443</v>
      </c>
      <c r="L174" s="160"/>
      <c r="M174" s="162"/>
      <c r="N174" s="91"/>
      <c r="O174" s="161"/>
      <c r="P174" s="465">
        <f>IFERROR(P172/O172,0)</f>
        <v>285.78787162162132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46"/>
        <v>ServiceM/O Garantie</v>
      </c>
      <c r="B175" s="11" t="s">
        <v>78</v>
      </c>
      <c r="C175" s="14" t="s">
        <v>83</v>
      </c>
      <c r="D175" s="493">
        <v>139.72368088944927</v>
      </c>
      <c r="E175" s="82">
        <v>20399.657409859592</v>
      </c>
      <c r="F175" s="82">
        <v>13055.780742310139</v>
      </c>
      <c r="G175" s="164"/>
      <c r="H175" s="82"/>
      <c r="I175" s="82"/>
      <c r="J175" s="164">
        <v>134</v>
      </c>
      <c r="K175" s="165">
        <v>22562.369999999995</v>
      </c>
      <c r="L175" s="33">
        <v>15261.769999999995</v>
      </c>
      <c r="M175" s="157">
        <f>(K175-E175)/E175</f>
        <v>0.10601710345856681</v>
      </c>
      <c r="N175" s="109">
        <f>L175-F175</f>
        <v>2205.9892576898565</v>
      </c>
      <c r="O175" s="164">
        <v>151</v>
      </c>
      <c r="P175" s="165">
        <v>19987.38</v>
      </c>
      <c r="Q175" s="33">
        <v>12979.78</v>
      </c>
      <c r="R175" s="157">
        <f>IF(O175=0,0,J175/O175)</f>
        <v>0.88741721854304634</v>
      </c>
      <c r="S175" s="85">
        <f>L175-Q175</f>
        <v>2281.9899999999943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46"/>
        <v>Service% profit / ventes</v>
      </c>
      <c r="B176" s="11" t="s">
        <v>78</v>
      </c>
      <c r="C176" s="29" t="s">
        <v>82</v>
      </c>
      <c r="D176" s="491"/>
      <c r="E176" s="13"/>
      <c r="F176" s="158">
        <f>F175/E175</f>
        <v>0.64</v>
      </c>
      <c r="G176" s="41"/>
      <c r="H176" s="13"/>
      <c r="I176" s="158"/>
      <c r="J176" s="41"/>
      <c r="K176" s="13"/>
      <c r="L176" s="158">
        <f>IF(L175=0,0,L175/K175)</f>
        <v>0.67642583647019339</v>
      </c>
      <c r="M176" s="42"/>
      <c r="N176" s="43"/>
      <c r="O176" s="41"/>
      <c r="P176" s="13"/>
      <c r="Q176" s="158">
        <f>Q175/P175</f>
        <v>0.64939877062426388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46"/>
        <v>Service</v>
      </c>
      <c r="B177" s="11" t="s">
        <v>78</v>
      </c>
      <c r="C177" s="86"/>
      <c r="D177" s="492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>
        <f>IFERROR(P175/O175,0)</f>
        <v>132.36675496688741</v>
      </c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46"/>
        <v>ServiceM/O Interne</v>
      </c>
      <c r="B178" s="11" t="s">
        <v>78</v>
      </c>
      <c r="C178" s="29" t="s">
        <v>84</v>
      </c>
      <c r="D178" s="491">
        <v>187.4791556782491</v>
      </c>
      <c r="E178" s="82">
        <v>44994.997362779788</v>
      </c>
      <c r="F178" s="82">
        <v>30371.623219876357</v>
      </c>
      <c r="G178" s="41"/>
      <c r="H178" s="82"/>
      <c r="I178" s="82"/>
      <c r="J178" s="60">
        <v>115</v>
      </c>
      <c r="K178" s="165">
        <v>42655.229999999996</v>
      </c>
      <c r="L178" s="33">
        <v>32705.46</v>
      </c>
      <c r="M178" s="157">
        <f>(K178-E178)/E178</f>
        <v>-5.2000611177172022E-2</v>
      </c>
      <c r="N178" s="59">
        <f>L178-F178</f>
        <v>2333.8367801236418</v>
      </c>
      <c r="O178" s="60">
        <v>188</v>
      </c>
      <c r="P178" s="165">
        <v>41586.22</v>
      </c>
      <c r="Q178" s="33">
        <v>23730.2</v>
      </c>
      <c r="R178" s="157">
        <f>IF(O178=0,0,J178/O178)</f>
        <v>0.61170212765957444</v>
      </c>
      <c r="S178" s="85">
        <f>L178-Q178</f>
        <v>8975.2599999999984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46"/>
        <v>Service% profit / ventes</v>
      </c>
      <c r="B179" s="11" t="s">
        <v>78</v>
      </c>
      <c r="C179" s="29" t="s">
        <v>82</v>
      </c>
      <c r="D179" s="491"/>
      <c r="E179" s="144"/>
      <c r="F179" s="158">
        <f>F178/E178</f>
        <v>0.67500000000000004</v>
      </c>
      <c r="G179" s="41"/>
      <c r="H179" s="144"/>
      <c r="I179" s="158"/>
      <c r="J179" s="60"/>
      <c r="K179" s="144"/>
      <c r="L179" s="158">
        <f>IF(L178=0,0,L178/K178)</f>
        <v>0.76673974094149777</v>
      </c>
      <c r="M179" s="157"/>
      <c r="N179" s="59">
        <f>L179-F179</f>
        <v>9.1739740941497727E-2</v>
      </c>
      <c r="O179" s="60"/>
      <c r="P179" s="144"/>
      <c r="Q179" s="158">
        <f>Q178/P178</f>
        <v>0.57062652003476155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46"/>
        <v>Service</v>
      </c>
      <c r="B180" s="11" t="s">
        <v>78</v>
      </c>
      <c r="C180" s="29"/>
      <c r="D180" s="491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>
        <f>IFERROR(P178/O178,0)</f>
        <v>221.20329787234044</v>
      </c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46"/>
        <v>ServiceM/O Esthétique</v>
      </c>
      <c r="B181" s="11" t="s">
        <v>78</v>
      </c>
      <c r="C181" s="14" t="s">
        <v>85</v>
      </c>
      <c r="D181" s="493">
        <v>123.16699884474895</v>
      </c>
      <c r="E181" s="82">
        <v>24633.399768949788</v>
      </c>
      <c r="F181" s="82">
        <v>9853.3599075799157</v>
      </c>
      <c r="G181" s="107"/>
      <c r="H181" s="82"/>
      <c r="I181" s="82"/>
      <c r="J181" s="164">
        <v>101</v>
      </c>
      <c r="K181" s="165">
        <v>20603.629999999997</v>
      </c>
      <c r="L181" s="108">
        <v>14990.73</v>
      </c>
      <c r="M181" s="173">
        <f>IF(E181=0,0,(K181-E181)/E181)</f>
        <v>-0.16358967120849005</v>
      </c>
      <c r="N181" s="109">
        <f>L181-F181</f>
        <v>5137.3700924200839</v>
      </c>
      <c r="O181" s="164">
        <v>129</v>
      </c>
      <c r="P181" s="165">
        <v>28303.97</v>
      </c>
      <c r="Q181" s="108">
        <v>11603.56</v>
      </c>
      <c r="R181" s="157">
        <f>IF(O181=0,0,J181/O181)</f>
        <v>0.78294573643410847</v>
      </c>
      <c r="S181" s="110">
        <f>L181-Q181</f>
        <v>3387.17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46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/>
      <c r="J182" s="175"/>
      <c r="K182" s="174"/>
      <c r="L182" s="158">
        <f>IF(L181=0,0,L181/K181)</f>
        <v>0.72757713082597586</v>
      </c>
      <c r="M182" s="60">
        <f>J182-D182</f>
        <v>0</v>
      </c>
      <c r="N182" s="176"/>
      <c r="O182" s="175"/>
      <c r="P182" s="174"/>
      <c r="Q182" s="158">
        <f>IFERROR(Q181/P181,0)</f>
        <v>0.40996227737663654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46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>
        <f>IFERROR(P181/O181,0)</f>
        <v>219.41062015503877</v>
      </c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46"/>
        <v>ServiceAjustement M/O</v>
      </c>
      <c r="B184" s="11" t="s">
        <v>78</v>
      </c>
      <c r="C184" s="29" t="s">
        <v>86</v>
      </c>
      <c r="D184" s="13"/>
      <c r="E184" s="13"/>
      <c r="F184" s="59">
        <v>-3623.3539183866296</v>
      </c>
      <c r="G184" s="41"/>
      <c r="H184" s="82"/>
      <c r="I184" s="82"/>
      <c r="J184" s="60"/>
      <c r="K184" s="82"/>
      <c r="L184" s="82">
        <v>-2018.56</v>
      </c>
      <c r="M184" s="175"/>
      <c r="N184" s="59">
        <f>L184-F184</f>
        <v>1604.7939183866297</v>
      </c>
      <c r="O184" s="60"/>
      <c r="P184" s="82"/>
      <c r="Q184" s="82">
        <v>-4926.28</v>
      </c>
      <c r="R184" s="184"/>
      <c r="S184" s="85">
        <f>L184-Q184</f>
        <v>2907.72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46"/>
        <v>ServiceSous-total M/O</v>
      </c>
      <c r="B185" s="11" t="s">
        <v>78</v>
      </c>
      <c r="C185" s="185" t="s">
        <v>87</v>
      </c>
      <c r="D185" s="186">
        <f>D172+D175+D178+D181+D184</f>
        <v>724.08220088703229</v>
      </c>
      <c r="E185" s="186">
        <f>E172+E175+E178+E181+E184</f>
        <v>183090.25880294805</v>
      </c>
      <c r="F185" s="187">
        <f>F172+F175+F178+F181+F184</f>
        <v>122618.17809228516</v>
      </c>
      <c r="G185" s="188"/>
      <c r="H185" s="186"/>
      <c r="I185" s="187"/>
      <c r="J185" s="188">
        <f>J172+J175+J178+J181+J184</f>
        <v>749</v>
      </c>
      <c r="K185" s="186">
        <f>K172+K175+K178+K181+K184</f>
        <v>202104.01999999996</v>
      </c>
      <c r="L185" s="187">
        <f>L172+L175+L178+L181+L184</f>
        <v>153447.49</v>
      </c>
      <c r="M185" s="189">
        <f>(K185-E185)/E185</f>
        <v>0.10384911420937788</v>
      </c>
      <c r="N185" s="187">
        <f>L185-F185</f>
        <v>30829.311907714829</v>
      </c>
      <c r="O185" s="188">
        <f t="shared" ref="O185:Q185" si="47">O172+O175+O178+O181+O184</f>
        <v>764</v>
      </c>
      <c r="P185" s="186">
        <f t="shared" si="47"/>
        <v>174470.77999999991</v>
      </c>
      <c r="Q185" s="187">
        <f t="shared" si="47"/>
        <v>109980.4</v>
      </c>
      <c r="R185" s="42">
        <f>IF(O185=0,0,J185/O185)</f>
        <v>0.98036649214659688</v>
      </c>
      <c r="S185" s="190">
        <f>L185-Q185</f>
        <v>43467.09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46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0.66971437417789481</v>
      </c>
      <c r="G186" s="194"/>
      <c r="H186" s="192"/>
      <c r="I186" s="43"/>
      <c r="J186" s="194"/>
      <c r="K186" s="443">
        <f>IF(J185=0,0,K185/J185)</f>
        <v>269.83180240320422</v>
      </c>
      <c r="L186" s="43">
        <f>IF(L185=0,0,L185/K185)</f>
        <v>0.75925006340794221</v>
      </c>
      <c r="M186" s="194"/>
      <c r="N186" s="193">
        <f>N185/F185</f>
        <v>0.25142529751593606</v>
      </c>
      <c r="O186" s="194"/>
      <c r="P186" s="443">
        <f>IF(O185=0,0,P185/O185)</f>
        <v>228.36489528795801</v>
      </c>
      <c r="Q186" s="43">
        <f>Q185/P185</f>
        <v>0.63036572657037504</v>
      </c>
      <c r="R186" s="194"/>
      <c r="S186" s="44">
        <f>IF(R185=0,0,S185/R185)</f>
        <v>44337.592469959942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46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46"/>
        <v>ServiceSous-traitement</v>
      </c>
      <c r="B188" s="11" t="s">
        <v>78</v>
      </c>
      <c r="C188" s="29" t="s">
        <v>89</v>
      </c>
      <c r="D188" s="82"/>
      <c r="E188" s="82">
        <v>5200.5727354800792</v>
      </c>
      <c r="F188" s="82">
        <v>598.06586458020911</v>
      </c>
      <c r="G188" s="60"/>
      <c r="H188" s="82"/>
      <c r="I188" s="82"/>
      <c r="J188" s="60"/>
      <c r="K188" s="30">
        <v>7292.78</v>
      </c>
      <c r="L188" s="33">
        <v>1083.0500000000002</v>
      </c>
      <c r="M188" s="84">
        <f>IF(E188=0,0,(K188-E188)/E188)</f>
        <v>0.40230324061159067</v>
      </c>
      <c r="N188" s="59">
        <f>L188-F188</f>
        <v>484.98413541979107</v>
      </c>
      <c r="O188" s="60"/>
      <c r="P188" s="30">
        <v>2037.93</v>
      </c>
      <c r="Q188" s="33">
        <v>18.72</v>
      </c>
      <c r="R188" s="157">
        <f>IF(O188=0,0,J188/O188)</f>
        <v>0</v>
      </c>
      <c r="S188" s="85">
        <f>L188-Q188</f>
        <v>1064.3300000000002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46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0.115</v>
      </c>
      <c r="G189" s="41"/>
      <c r="H189" s="144"/>
      <c r="I189" s="158"/>
      <c r="J189" s="175"/>
      <c r="K189" s="174"/>
      <c r="L189" s="158">
        <f>IF(L188=0,0,L188/K188)</f>
        <v>0.14850989608900861</v>
      </c>
      <c r="M189" s="175"/>
      <c r="N189" s="176"/>
      <c r="O189" s="175"/>
      <c r="P189" s="174"/>
      <c r="Q189" s="158">
        <f>IFERROR(Q188/P188,0)</f>
        <v>9.1857914648687637E-3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46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46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46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46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46"/>
        <v>ServiceTotal Mécanique</v>
      </c>
      <c r="B194" s="11" t="s">
        <v>78</v>
      </c>
      <c r="C194" s="62" t="s">
        <v>91</v>
      </c>
      <c r="D194" s="63"/>
      <c r="E194" s="63">
        <f>E185+E188+E191</f>
        <v>188290.83153842814</v>
      </c>
      <c r="F194" s="65">
        <f>F185+F188+F191</f>
        <v>123216.24395686536</v>
      </c>
      <c r="G194" s="66"/>
      <c r="H194" s="63"/>
      <c r="I194" s="65"/>
      <c r="J194" s="66"/>
      <c r="K194" s="63">
        <f>K185+K188+K191</f>
        <v>209396.79999999996</v>
      </c>
      <c r="L194" s="65">
        <f>L185+L188+L191</f>
        <v>154530.53999999998</v>
      </c>
      <c r="M194" s="206">
        <f>L195-F195</f>
        <v>8.3586250288424924E-2</v>
      </c>
      <c r="N194" s="65">
        <f>L194-F194</f>
        <v>31314.296043134615</v>
      </c>
      <c r="O194" s="66"/>
      <c r="P194" s="63">
        <f t="shared" ref="P194:Q194" si="48">P185+P188+P191</f>
        <v>176508.7099999999</v>
      </c>
      <c r="Q194" s="65">
        <f t="shared" si="48"/>
        <v>109999.12</v>
      </c>
      <c r="R194" s="206">
        <f>L195-Q195</f>
        <v>0.11478575018420556</v>
      </c>
      <c r="S194" s="68">
        <f>L194-Q194</f>
        <v>44531.419999999984</v>
      </c>
      <c r="T194" s="112"/>
      <c r="U194" s="13"/>
      <c r="V194" s="11" t="s">
        <v>221</v>
      </c>
      <c r="W194" s="11">
        <v>157460</v>
      </c>
      <c r="X194" s="490">
        <f>L194-W194</f>
        <v>-2929.460000000021</v>
      </c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46"/>
        <v>Service</v>
      </c>
      <c r="B195" s="11" t="s">
        <v>78</v>
      </c>
      <c r="C195" s="69"/>
      <c r="D195" s="70"/>
      <c r="E195" s="70"/>
      <c r="F195" s="74">
        <f>F194/E194</f>
        <v>0.65439322217724794</v>
      </c>
      <c r="G195" s="72"/>
      <c r="H195" s="70"/>
      <c r="I195" s="74"/>
      <c r="J195" s="72"/>
      <c r="K195" s="70"/>
      <c r="L195" s="74">
        <f>L194/K194</f>
        <v>0.73797947246567286</v>
      </c>
      <c r="M195" s="73"/>
      <c r="N195" s="74">
        <f>N194/F194</f>
        <v>0.25414097230635346</v>
      </c>
      <c r="O195" s="72"/>
      <c r="P195" s="70"/>
      <c r="Q195" s="74">
        <f>Q194/P194</f>
        <v>0.6231937222814673</v>
      </c>
      <c r="R195" s="73"/>
      <c r="S195" s="75">
        <f>L194/S194</f>
        <v>3.4701462473013445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46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46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46"/>
        <v>ServiceSalaires cadres</v>
      </c>
      <c r="B198" s="11" t="s">
        <v>78</v>
      </c>
      <c r="C198" s="102" t="s">
        <v>40</v>
      </c>
      <c r="D198" s="13"/>
      <c r="E198" s="13"/>
      <c r="F198" s="30">
        <v>10405.606822870617</v>
      </c>
      <c r="G198" s="41"/>
      <c r="H198" s="13"/>
      <c r="I198" s="30"/>
      <c r="J198" s="41"/>
      <c r="K198" s="13"/>
      <c r="L198" s="33">
        <v>13099.41</v>
      </c>
      <c r="M198" s="41"/>
      <c r="N198" s="59">
        <f t="shared" ref="N198:N229" si="49">L198-F198</f>
        <v>2693.8031771293827</v>
      </c>
      <c r="O198" s="41"/>
      <c r="P198" s="13"/>
      <c r="Q198" s="33">
        <v>8159.54</v>
      </c>
      <c r="R198" s="41"/>
      <c r="S198" s="85">
        <f t="shared" ref="S198:S203" si="50">L198-Q198</f>
        <v>4939.87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46"/>
        <v>ServiceSalaires commis</v>
      </c>
      <c r="B199" s="11" t="s">
        <v>78</v>
      </c>
      <c r="C199" s="103" t="s">
        <v>41</v>
      </c>
      <c r="D199" s="81"/>
      <c r="E199" s="13"/>
      <c r="F199" s="22">
        <v>5619.1369731800769</v>
      </c>
      <c r="G199" s="83"/>
      <c r="H199" s="13"/>
      <c r="I199" s="22"/>
      <c r="J199" s="41"/>
      <c r="K199" s="13"/>
      <c r="L199" s="33">
        <v>4760.12</v>
      </c>
      <c r="M199" s="41"/>
      <c r="N199" s="59">
        <f t="shared" si="49"/>
        <v>-859.016973180077</v>
      </c>
      <c r="O199" s="41"/>
      <c r="P199" s="13"/>
      <c r="Q199" s="33">
        <v>4621.95</v>
      </c>
      <c r="R199" s="41"/>
      <c r="S199" s="85">
        <f t="shared" si="50"/>
        <v>138.17000000000007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46"/>
        <v>ServiceSalaires autres</v>
      </c>
      <c r="B200" s="11" t="s">
        <v>78</v>
      </c>
      <c r="C200" s="102" t="s">
        <v>42</v>
      </c>
      <c r="D200" s="104"/>
      <c r="E200" s="105"/>
      <c r="F200" s="30">
        <v>8247.5462888710681</v>
      </c>
      <c r="G200" s="106"/>
      <c r="H200" s="105"/>
      <c r="I200" s="30"/>
      <c r="J200" s="107"/>
      <c r="K200" s="105"/>
      <c r="L200" s="108">
        <v>11398.89</v>
      </c>
      <c r="M200" s="107"/>
      <c r="N200" s="109">
        <f t="shared" si="49"/>
        <v>3151.3437111289313</v>
      </c>
      <c r="O200" s="107"/>
      <c r="P200" s="105"/>
      <c r="Q200" s="108">
        <v>8534</v>
      </c>
      <c r="R200" s="107"/>
      <c r="S200" s="110">
        <f t="shared" si="50"/>
        <v>2864.8899999999994</v>
      </c>
      <c r="T200" s="13"/>
      <c r="U200" s="13"/>
      <c r="V200" s="462" t="s">
        <v>249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46"/>
        <v>ServiceSalaires spécialistes</v>
      </c>
      <c r="B201" s="11" t="s">
        <v>78</v>
      </c>
      <c r="C201" s="102" t="s">
        <v>43</v>
      </c>
      <c r="D201" s="81"/>
      <c r="E201" s="13"/>
      <c r="F201" s="30">
        <v>14418.309888888889</v>
      </c>
      <c r="G201" s="83"/>
      <c r="H201" s="13"/>
      <c r="I201" s="30"/>
      <c r="J201" s="41"/>
      <c r="K201" s="13"/>
      <c r="L201" s="33">
        <v>16301.36</v>
      </c>
      <c r="M201" s="41"/>
      <c r="N201" s="59">
        <f t="shared" si="49"/>
        <v>1883.0501111111116</v>
      </c>
      <c r="O201" s="41"/>
      <c r="P201" s="13"/>
      <c r="Q201" s="33">
        <v>12116.41</v>
      </c>
      <c r="R201" s="41"/>
      <c r="S201" s="85">
        <f t="shared" si="50"/>
        <v>4184.9500000000007</v>
      </c>
      <c r="T201" s="13"/>
      <c r="U201" s="13"/>
      <c r="V201" s="13" t="s">
        <v>250</v>
      </c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46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49"/>
        <v>0</v>
      </c>
      <c r="O202" s="41"/>
      <c r="P202" s="13"/>
      <c r="Q202" s="33">
        <v>0</v>
      </c>
      <c r="R202" s="41"/>
      <c r="S202" s="85">
        <f t="shared" si="50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46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9"/>
        <v>0</v>
      </c>
      <c r="O203" s="41"/>
      <c r="P203" s="13"/>
      <c r="Q203" s="33">
        <v>0</v>
      </c>
      <c r="R203" s="41"/>
      <c r="S203" s="85">
        <f t="shared" si="50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46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9"/>
        <v>0</v>
      </c>
      <c r="O204" s="41"/>
      <c r="P204" s="13"/>
      <c r="Q204" s="33"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46"/>
        <v>ServiceSalaires en absences</v>
      </c>
      <c r="B205" s="11" t="s">
        <v>78</v>
      </c>
      <c r="C205" s="103" t="s">
        <v>44</v>
      </c>
      <c r="D205" s="81"/>
      <c r="E205" s="13"/>
      <c r="F205" s="30">
        <v>10919.001465817295</v>
      </c>
      <c r="G205" s="83"/>
      <c r="H205" s="13"/>
      <c r="I205" s="30"/>
      <c r="J205" s="41"/>
      <c r="K205" s="13"/>
      <c r="L205" s="33">
        <v>10475.219999999999</v>
      </c>
      <c r="M205" s="41"/>
      <c r="N205" s="59">
        <f t="shared" si="49"/>
        <v>-443.78146581729561</v>
      </c>
      <c r="O205" s="41"/>
      <c r="P205" s="13"/>
      <c r="Q205" s="33">
        <v>3656.35</v>
      </c>
      <c r="R205" s="41"/>
      <c r="S205" s="85">
        <f>L205-Q205</f>
        <v>6818.869999999999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46"/>
        <v>ServiceDéduction à la source</v>
      </c>
      <c r="B206" s="11" t="s">
        <v>78</v>
      </c>
      <c r="C206" s="102" t="s">
        <v>45</v>
      </c>
      <c r="D206" s="104"/>
      <c r="E206" s="105"/>
      <c r="F206" s="55">
        <v>12746.459256205348</v>
      </c>
      <c r="G206" s="106"/>
      <c r="H206" s="105"/>
      <c r="I206" s="55"/>
      <c r="J206" s="107"/>
      <c r="K206" s="105"/>
      <c r="L206" s="108">
        <v>15236.5</v>
      </c>
      <c r="M206" s="107"/>
      <c r="N206" s="109">
        <f t="shared" si="49"/>
        <v>2490.0407437946524</v>
      </c>
      <c r="O206" s="107"/>
      <c r="P206" s="105"/>
      <c r="Q206" s="108">
        <v>9937.5</v>
      </c>
      <c r="R206" s="107"/>
      <c r="S206" s="110">
        <f t="shared" ref="S206:S216" si="51">L206-Q206</f>
        <v>5299</v>
      </c>
      <c r="T206" s="13"/>
      <c r="U206" s="13"/>
      <c r="V206" s="462" t="s">
        <v>249</v>
      </c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46"/>
        <v>ServiceBénéfices marginaux</v>
      </c>
      <c r="B207" s="11" t="s">
        <v>78</v>
      </c>
      <c r="C207" s="102" t="s">
        <v>46</v>
      </c>
      <c r="D207" s="81"/>
      <c r="E207" s="13"/>
      <c r="F207" s="30">
        <v>6560.6775583409881</v>
      </c>
      <c r="G207" s="83"/>
      <c r="H207" s="13"/>
      <c r="I207" s="30"/>
      <c r="J207" s="41"/>
      <c r="K207" s="13"/>
      <c r="L207" s="33">
        <v>6154.09</v>
      </c>
      <c r="M207" s="41"/>
      <c r="N207" s="59">
        <f t="shared" si="49"/>
        <v>-406.58755834098793</v>
      </c>
      <c r="O207" s="41"/>
      <c r="P207" s="13"/>
      <c r="Q207" s="33">
        <v>4285.6000000000004</v>
      </c>
      <c r="R207" s="41"/>
      <c r="S207" s="85">
        <f t="shared" si="51"/>
        <v>1868.4899999999998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46"/>
        <v>ServiceCsst</v>
      </c>
      <c r="B208" s="11" t="s">
        <v>78</v>
      </c>
      <c r="C208" s="102" t="s">
        <v>47</v>
      </c>
      <c r="D208" s="81"/>
      <c r="E208" s="13"/>
      <c r="F208" s="30">
        <v>1405.8594767873542</v>
      </c>
      <c r="G208" s="83"/>
      <c r="H208" s="13"/>
      <c r="I208" s="30"/>
      <c r="J208" s="41"/>
      <c r="K208" s="13"/>
      <c r="L208" s="33">
        <v>2555.58</v>
      </c>
      <c r="M208" s="467"/>
      <c r="N208" s="146">
        <f t="shared" si="49"/>
        <v>1149.7205232126457</v>
      </c>
      <c r="O208" s="467"/>
      <c r="P208" s="468"/>
      <c r="Q208" s="22">
        <v>1263.33</v>
      </c>
      <c r="R208" s="467"/>
      <c r="S208" s="469">
        <f t="shared" si="51"/>
        <v>1292.25</v>
      </c>
      <c r="T208" s="13"/>
      <c r="U208" s="13"/>
      <c r="V208" s="13" t="s">
        <v>249</v>
      </c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46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49"/>
        <v>0</v>
      </c>
      <c r="O209" s="23"/>
      <c r="P209" s="111"/>
      <c r="Q209" s="33">
        <v>0</v>
      </c>
      <c r="R209" s="23"/>
      <c r="S209" s="92">
        <f t="shared" si="51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46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0.5707250559883944</v>
      </c>
      <c r="F210" s="96">
        <f>+SUM(F198:F209)</f>
        <v>70322.597730961643</v>
      </c>
      <c r="G210" s="97"/>
      <c r="H210" s="95"/>
      <c r="I210" s="96"/>
      <c r="J210" s="97" t="s">
        <v>92</v>
      </c>
      <c r="K210" s="95">
        <f>L210/L$194</f>
        <v>0.51757516669520476</v>
      </c>
      <c r="L210" s="96">
        <f>+SUM(L198:L209)</f>
        <v>79981.17</v>
      </c>
      <c r="M210" s="147"/>
      <c r="N210" s="113">
        <f t="shared" si="49"/>
        <v>9658.5722690383554</v>
      </c>
      <c r="O210" s="97" t="s">
        <v>92</v>
      </c>
      <c r="P210" s="95">
        <f>Q210/Q$194</f>
        <v>0.47795546000731637</v>
      </c>
      <c r="Q210" s="96">
        <f>+SUM(Q198:Q209)</f>
        <v>52574.679999999993</v>
      </c>
      <c r="R210" s="147"/>
      <c r="S210" s="114">
        <f t="shared" si="51"/>
        <v>27406.490000000005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46"/>
        <v>ServicePublicité 2</v>
      </c>
      <c r="B211" s="11" t="s">
        <v>78</v>
      </c>
      <c r="C211" s="29" t="s">
        <v>49</v>
      </c>
      <c r="D211" s="81"/>
      <c r="E211" s="13"/>
      <c r="F211" s="30">
        <v>6712.8869522272007</v>
      </c>
      <c r="G211" s="83"/>
      <c r="H211" s="13"/>
      <c r="I211" s="30"/>
      <c r="J211" s="41"/>
      <c r="K211" s="13"/>
      <c r="L211" s="33">
        <v>9394.91</v>
      </c>
      <c r="M211" s="41"/>
      <c r="N211" s="59">
        <f t="shared" si="49"/>
        <v>2682.0230477727991</v>
      </c>
      <c r="O211" s="41"/>
      <c r="P211" s="13"/>
      <c r="Q211" s="33">
        <v>7062.93</v>
      </c>
      <c r="R211" s="41"/>
      <c r="S211" s="85">
        <f t="shared" si="51"/>
        <v>2331.9799999999996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46"/>
        <v>ServiceService gratuit 2</v>
      </c>
      <c r="B212" s="11" t="s">
        <v>78</v>
      </c>
      <c r="C212" s="29" t="s">
        <v>50</v>
      </c>
      <c r="D212" s="81"/>
      <c r="E212" s="13"/>
      <c r="F212" s="30">
        <v>2758.3333333333335</v>
      </c>
      <c r="G212" s="83"/>
      <c r="H212" s="13"/>
      <c r="I212" s="30"/>
      <c r="J212" s="41"/>
      <c r="K212" s="13"/>
      <c r="L212" s="33">
        <v>3250.11</v>
      </c>
      <c r="M212" s="41"/>
      <c r="N212" s="59">
        <f t="shared" si="49"/>
        <v>491.77666666666664</v>
      </c>
      <c r="O212" s="41"/>
      <c r="P212" s="13"/>
      <c r="Q212" s="33">
        <v>2513.5</v>
      </c>
      <c r="R212" s="41"/>
      <c r="S212" s="85">
        <f t="shared" si="51"/>
        <v>736.61000000000013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46"/>
        <v>ServiceFrais véhicules de cie</v>
      </c>
      <c r="B213" s="11" t="s">
        <v>78</v>
      </c>
      <c r="C213" s="86" t="s">
        <v>51</v>
      </c>
      <c r="D213" s="87"/>
      <c r="E213" s="111"/>
      <c r="F213" s="22">
        <v>6592.8333333333339</v>
      </c>
      <c r="G213" s="89"/>
      <c r="H213" s="111"/>
      <c r="I213" s="22"/>
      <c r="J213" s="23"/>
      <c r="K213" s="111"/>
      <c r="L213" s="33">
        <v>6132.1500000000015</v>
      </c>
      <c r="M213" s="23"/>
      <c r="N213" s="91">
        <f t="shared" si="49"/>
        <v>-460.68333333333248</v>
      </c>
      <c r="O213" s="23"/>
      <c r="P213" s="111"/>
      <c r="Q213" s="33">
        <v>4922.0499999999902</v>
      </c>
      <c r="R213" s="23"/>
      <c r="S213" s="92">
        <f t="shared" si="51"/>
        <v>1210.1000000000113</v>
      </c>
      <c r="T213" s="13"/>
      <c r="U213" s="13"/>
      <c r="V213" s="462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46"/>
        <v>ServiceInformatique</v>
      </c>
      <c r="B214" s="11" t="s">
        <v>78</v>
      </c>
      <c r="C214" s="29" t="s">
        <v>52</v>
      </c>
      <c r="D214" s="81"/>
      <c r="E214" s="13"/>
      <c r="F214" s="30">
        <v>6033.5</v>
      </c>
      <c r="G214" s="83"/>
      <c r="H214" s="13"/>
      <c r="I214" s="30"/>
      <c r="J214" s="41"/>
      <c r="K214" s="13"/>
      <c r="L214" s="108">
        <v>5978.7</v>
      </c>
      <c r="M214" s="41"/>
      <c r="N214" s="59">
        <f t="shared" si="49"/>
        <v>-54.800000000000182</v>
      </c>
      <c r="O214" s="41"/>
      <c r="P214" s="13"/>
      <c r="Q214" s="108">
        <v>5548.89</v>
      </c>
      <c r="R214" s="41"/>
      <c r="S214" s="85">
        <f t="shared" si="51"/>
        <v>429.80999999999949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46"/>
        <v>ServiceFrais de déplacement</v>
      </c>
      <c r="B215" s="11" t="s">
        <v>78</v>
      </c>
      <c r="C215" s="29" t="s">
        <v>53</v>
      </c>
      <c r="D215" s="81"/>
      <c r="E215" s="13"/>
      <c r="F215" s="30">
        <v>458.33333333333331</v>
      </c>
      <c r="G215" s="83"/>
      <c r="H215" s="13"/>
      <c r="I215" s="30"/>
      <c r="J215" s="41"/>
      <c r="K215" s="13"/>
      <c r="L215" s="33">
        <v>846.92</v>
      </c>
      <c r="M215" s="41"/>
      <c r="N215" s="59">
        <f t="shared" si="49"/>
        <v>388.58666666666664</v>
      </c>
      <c r="O215" s="41"/>
      <c r="P215" s="13"/>
      <c r="Q215" s="33">
        <v>885.31</v>
      </c>
      <c r="R215" s="41"/>
      <c r="S215" s="85">
        <f t="shared" si="51"/>
        <v>-38.389999999999986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46"/>
        <v>ServiceServices extérieurs</v>
      </c>
      <c r="B216" s="11" t="s">
        <v>78</v>
      </c>
      <c r="C216" s="86" t="s">
        <v>54</v>
      </c>
      <c r="D216" s="87"/>
      <c r="E216" s="111"/>
      <c r="F216" s="22">
        <v>5641.5</v>
      </c>
      <c r="G216" s="89"/>
      <c r="H216" s="111"/>
      <c r="I216" s="22"/>
      <c r="J216" s="23"/>
      <c r="K216" s="111"/>
      <c r="L216" s="22">
        <v>2555.9899999999998</v>
      </c>
      <c r="M216" s="467"/>
      <c r="N216" s="146">
        <f t="shared" si="49"/>
        <v>-3085.51</v>
      </c>
      <c r="O216" s="467"/>
      <c r="P216" s="468"/>
      <c r="Q216" s="22">
        <v>5229</v>
      </c>
      <c r="R216" s="23"/>
      <c r="S216" s="92">
        <f t="shared" si="51"/>
        <v>-2673.01</v>
      </c>
      <c r="T216" s="13"/>
      <c r="U216" s="13"/>
      <c r="V216" s="462" t="s">
        <v>251</v>
      </c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 hidden="1">
      <c r="A217" t="str">
        <f>+B217&amp;C217</f>
        <v>ServiceFournitures d'atelier</v>
      </c>
      <c r="B217" s="11" t="s">
        <v>78</v>
      </c>
      <c r="C217" s="29" t="s">
        <v>93</v>
      </c>
      <c r="D217" s="81"/>
      <c r="E217" s="13"/>
      <c r="F217" s="30"/>
      <c r="G217" s="83"/>
      <c r="H217" s="13"/>
      <c r="I217" s="30"/>
      <c r="J217" s="41"/>
      <c r="K217" s="13"/>
      <c r="L217" s="33">
        <v>0</v>
      </c>
      <c r="M217" s="41"/>
      <c r="N217" s="59">
        <f t="shared" si="49"/>
        <v>0</v>
      </c>
      <c r="O217" s="41"/>
      <c r="P217" s="13"/>
      <c r="Q217" s="33"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ref="A218:A226" si="52">+B218&amp;C218</f>
        <v>ServiceFournitures autres</v>
      </c>
      <c r="B218" s="11" t="s">
        <v>78</v>
      </c>
      <c r="C218" s="29" t="s">
        <v>55</v>
      </c>
      <c r="D218" s="81"/>
      <c r="E218" s="13"/>
      <c r="F218" s="30">
        <v>1100</v>
      </c>
      <c r="G218" s="83"/>
      <c r="H218" s="13"/>
      <c r="I218" s="30"/>
      <c r="J218" s="41"/>
      <c r="K218" s="13"/>
      <c r="L218" s="33">
        <v>2310.04</v>
      </c>
      <c r="M218" s="41"/>
      <c r="N218" s="59">
        <f t="shared" si="49"/>
        <v>1210.04</v>
      </c>
      <c r="O218" s="41"/>
      <c r="P218" s="13"/>
      <c r="Q218" s="33">
        <v>-28.96</v>
      </c>
      <c r="R218" s="41"/>
      <c r="S218" s="85">
        <f t="shared" ref="S218:S226" si="53">L218-Q218</f>
        <v>2339</v>
      </c>
      <c r="T218" s="13"/>
      <c r="U218" s="13"/>
      <c r="V218" s="462" t="s">
        <v>252</v>
      </c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52"/>
        <v>ServiceUniformes</v>
      </c>
      <c r="B219" s="11" t="s">
        <v>78</v>
      </c>
      <c r="C219" s="29" t="s">
        <v>56</v>
      </c>
      <c r="D219" s="81"/>
      <c r="E219" s="13"/>
      <c r="F219" s="30">
        <v>1000</v>
      </c>
      <c r="G219" s="83"/>
      <c r="H219" s="13"/>
      <c r="I219" s="30"/>
      <c r="J219" s="41"/>
      <c r="K219" s="13"/>
      <c r="L219" s="33">
        <v>1706.96</v>
      </c>
      <c r="M219" s="41"/>
      <c r="N219" s="59">
        <f t="shared" si="49"/>
        <v>706.96</v>
      </c>
      <c r="O219" s="41"/>
      <c r="P219" s="13"/>
      <c r="Q219" s="33">
        <v>1182</v>
      </c>
      <c r="R219" s="41"/>
      <c r="S219" s="85">
        <f t="shared" si="53"/>
        <v>524.96</v>
      </c>
      <c r="T219" s="13"/>
      <c r="U219" s="13"/>
      <c r="V219" s="13" t="s">
        <v>253</v>
      </c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52"/>
        <v>ServicePapeterie</v>
      </c>
      <c r="B220" s="11" t="s">
        <v>78</v>
      </c>
      <c r="C220" s="29" t="s">
        <v>57</v>
      </c>
      <c r="D220" s="81"/>
      <c r="E220" s="13"/>
      <c r="F220" s="30">
        <v>393.75</v>
      </c>
      <c r="G220" s="83"/>
      <c r="H220" s="13"/>
      <c r="I220" s="30"/>
      <c r="J220" s="41"/>
      <c r="K220" s="13"/>
      <c r="L220" s="32">
        <v>548.49</v>
      </c>
      <c r="M220" s="41"/>
      <c r="N220" s="59">
        <f t="shared" si="49"/>
        <v>154.74</v>
      </c>
      <c r="O220" s="41"/>
      <c r="P220" s="13"/>
      <c r="Q220" s="32">
        <v>464.49</v>
      </c>
      <c r="R220" s="41"/>
      <c r="S220" s="85">
        <f t="shared" si="53"/>
        <v>84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52"/>
        <v>ServiceTéléphone</v>
      </c>
      <c r="B221" s="11" t="s">
        <v>78</v>
      </c>
      <c r="C221" s="29" t="s">
        <v>58</v>
      </c>
      <c r="D221" s="81"/>
      <c r="E221" s="13"/>
      <c r="F221" s="30">
        <v>120</v>
      </c>
      <c r="G221" s="83"/>
      <c r="H221" s="13"/>
      <c r="I221" s="30"/>
      <c r="J221" s="41"/>
      <c r="K221" s="13"/>
      <c r="L221" s="33">
        <v>114.1</v>
      </c>
      <c r="M221" s="41"/>
      <c r="N221" s="59">
        <f t="shared" si="49"/>
        <v>-5.9000000000000057</v>
      </c>
      <c r="O221" s="41"/>
      <c r="P221" s="13"/>
      <c r="Q221" s="33">
        <v>114.27</v>
      </c>
      <c r="R221" s="41"/>
      <c r="S221" s="85">
        <f t="shared" si="53"/>
        <v>-0.17000000000000171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52"/>
        <v>ServiceFrais postaux</v>
      </c>
      <c r="B222" s="11" t="s">
        <v>78</v>
      </c>
      <c r="C222" s="29" t="s">
        <v>59</v>
      </c>
      <c r="D222" s="81"/>
      <c r="E222" s="13"/>
      <c r="F222" s="30">
        <v>112.5</v>
      </c>
      <c r="G222" s="83"/>
      <c r="H222" s="13"/>
      <c r="I222" s="30"/>
      <c r="J222" s="41"/>
      <c r="K222" s="13"/>
      <c r="L222" s="33">
        <v>170.36</v>
      </c>
      <c r="M222" s="41"/>
      <c r="N222" s="59">
        <f t="shared" si="49"/>
        <v>57.860000000000014</v>
      </c>
      <c r="O222" s="41"/>
      <c r="P222" s="13"/>
      <c r="Q222" s="33">
        <v>158.36000000000001</v>
      </c>
      <c r="R222" s="41"/>
      <c r="S222" s="85">
        <f t="shared" si="53"/>
        <v>12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52"/>
        <v>ServiceDivers</v>
      </c>
      <c r="B223" s="11" t="s">
        <v>78</v>
      </c>
      <c r="C223" s="29" t="s">
        <v>60</v>
      </c>
      <c r="D223" s="81"/>
      <c r="E223" s="13"/>
      <c r="F223" s="30">
        <v>435.25</v>
      </c>
      <c r="G223" s="83"/>
      <c r="H223" s="13"/>
      <c r="I223" s="30"/>
      <c r="J223" s="41"/>
      <c r="K223" s="13"/>
      <c r="L223" s="33">
        <v>379</v>
      </c>
      <c r="M223" s="41"/>
      <c r="N223" s="59">
        <f t="shared" si="49"/>
        <v>-56.25</v>
      </c>
      <c r="O223" s="41"/>
      <c r="P223" s="13"/>
      <c r="Q223" s="33">
        <v>416.49</v>
      </c>
      <c r="R223" s="41"/>
      <c r="S223" s="85">
        <f t="shared" si="53"/>
        <v>-37.490000000000009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52"/>
        <v>ServiceFormation</v>
      </c>
      <c r="B224" s="11" t="s">
        <v>78</v>
      </c>
      <c r="C224" s="29" t="s">
        <v>61</v>
      </c>
      <c r="D224" s="81"/>
      <c r="E224" s="13"/>
      <c r="F224" s="30">
        <v>1643.7152833333334</v>
      </c>
      <c r="G224" s="83"/>
      <c r="H224" s="13"/>
      <c r="I224" s="30"/>
      <c r="J224" s="41"/>
      <c r="K224" s="13"/>
      <c r="L224" s="33">
        <v>1632.11</v>
      </c>
      <c r="M224" s="41"/>
      <c r="N224" s="59">
        <f t="shared" si="49"/>
        <v>-11.605283333333546</v>
      </c>
      <c r="O224" s="41"/>
      <c r="P224" s="13"/>
      <c r="Q224" s="33">
        <v>147.12</v>
      </c>
      <c r="R224" s="41"/>
      <c r="S224" s="85">
        <f t="shared" si="53"/>
        <v>1484.9899999999998</v>
      </c>
      <c r="T224" s="13"/>
      <c r="U224" s="13"/>
      <c r="V224" s="462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52"/>
        <v>ServiceFrais bancaires</v>
      </c>
      <c r="B225" s="11" t="s">
        <v>78</v>
      </c>
      <c r="C225" s="29" t="s">
        <v>62</v>
      </c>
      <c r="D225" s="81"/>
      <c r="E225" s="13"/>
      <c r="F225" s="30">
        <v>2268.5539150202549</v>
      </c>
      <c r="G225" s="83"/>
      <c r="H225" s="13"/>
      <c r="I225" s="30"/>
      <c r="J225" s="41"/>
      <c r="K225" s="13"/>
      <c r="L225" s="33">
        <v>2486.62</v>
      </c>
      <c r="M225" s="41"/>
      <c r="N225" s="59">
        <f t="shared" si="49"/>
        <v>218.06608497974503</v>
      </c>
      <c r="O225" s="41"/>
      <c r="P225" s="13"/>
      <c r="Q225" s="33">
        <v>2194.0300000000002</v>
      </c>
      <c r="R225" s="41"/>
      <c r="S225" s="85">
        <f t="shared" si="53"/>
        <v>292.58999999999969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52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49"/>
        <v>0</v>
      </c>
      <c r="O226" s="41"/>
      <c r="P226" s="13"/>
      <c r="Q226" s="33">
        <v>0</v>
      </c>
      <c r="R226" s="41"/>
      <c r="S226" s="85">
        <f t="shared" si="53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>+B227&amp;C227</f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9"/>
        <v>0</v>
      </c>
      <c r="O227" s="41"/>
      <c r="P227" s="13"/>
      <c r="Q227" s="33"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ref="A228" si="54"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9"/>
        <v>0</v>
      </c>
      <c r="O228" s="41"/>
      <c r="P228" s="13"/>
      <c r="Q228" s="33">
        <v>0</v>
      </c>
      <c r="R228" s="41"/>
      <c r="S228" s="85">
        <f t="shared" ref="S228" si="55">L228-Q228</f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0.28625410918164534</v>
      </c>
      <c r="F229" s="96">
        <f>+SUM(F211:F228)</f>
        <v>35271.156150580784</v>
      </c>
      <c r="G229" s="97"/>
      <c r="H229" s="95"/>
      <c r="I229" s="96"/>
      <c r="J229" s="97" t="s">
        <v>92</v>
      </c>
      <c r="K229" s="95">
        <f>L229/L$194</f>
        <v>0.2427122819864605</v>
      </c>
      <c r="L229" s="96">
        <f>+SUM(L211:L228)</f>
        <v>37506.460000000006</v>
      </c>
      <c r="M229" s="100"/>
      <c r="N229" s="96">
        <f t="shared" si="49"/>
        <v>2235.3038494192224</v>
      </c>
      <c r="O229" s="97" t="s">
        <v>92</v>
      </c>
      <c r="P229" s="95">
        <f>Q229/Q$194</f>
        <v>0.28008842252556199</v>
      </c>
      <c r="Q229" s="96">
        <f>+SUM(Q211:Q228)</f>
        <v>30809.479999999996</v>
      </c>
      <c r="R229" s="100"/>
      <c r="S229" s="101">
        <f>L229-Q229</f>
        <v>6696.9800000000105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0.85697916517003958</v>
      </c>
      <c r="F231" s="96">
        <f>F210+F229</f>
        <v>105593.75388154242</v>
      </c>
      <c r="G231" s="97"/>
      <c r="H231" s="95"/>
      <c r="I231" s="96"/>
      <c r="J231" s="97" t="s">
        <v>38</v>
      </c>
      <c r="K231" s="95">
        <f>L231/L$194</f>
        <v>0.76028744868166531</v>
      </c>
      <c r="L231" s="96">
        <f>L210+L229</f>
        <v>117487.63</v>
      </c>
      <c r="M231" s="100"/>
      <c r="N231" s="113">
        <f>L231-F231</f>
        <v>11893.876118457585</v>
      </c>
      <c r="O231" s="97" t="s">
        <v>38</v>
      </c>
      <c r="P231" s="95">
        <f>Q231/Q$194</f>
        <v>0.75804388253287835</v>
      </c>
      <c r="Q231" s="96">
        <f>Q210+Q229</f>
        <v>83384.159999999989</v>
      </c>
      <c r="R231" s="100"/>
      <c r="S231" s="114">
        <f>L231-Q231</f>
        <v>34103.470000000016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>
        <f>L232-F232</f>
        <v>0</v>
      </c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17622.490075322945</v>
      </c>
      <c r="G233" s="153"/>
      <c r="H233" s="125"/>
      <c r="I233" s="127"/>
      <c r="J233" s="154"/>
      <c r="K233" s="126"/>
      <c r="L233" s="127">
        <f>L194-L231</f>
        <v>37042.909999999974</v>
      </c>
      <c r="M233" s="154"/>
      <c r="N233" s="127">
        <f>L233-F233</f>
        <v>19420.419924677029</v>
      </c>
      <c r="O233" s="154"/>
      <c r="P233" s="126"/>
      <c r="Q233" s="127">
        <f>Q194-Q231</f>
        <v>26614.960000000006</v>
      </c>
      <c r="R233" s="154"/>
      <c r="S233" s="129">
        <f>L233-Q233</f>
        <v>10427.949999999968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Avril 2025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507" t="s">
        <v>5</v>
      </c>
      <c r="E238" s="508"/>
      <c r="F238" s="509"/>
      <c r="G238" s="510"/>
      <c r="H238" s="508"/>
      <c r="I238" s="509"/>
      <c r="J238" s="510" t="s">
        <v>7</v>
      </c>
      <c r="K238" s="508"/>
      <c r="L238" s="509"/>
      <c r="M238" s="510" t="s">
        <v>213</v>
      </c>
      <c r="N238" s="509"/>
      <c r="O238" s="507" t="s">
        <v>8</v>
      </c>
      <c r="P238" s="508"/>
      <c r="Q238" s="509"/>
      <c r="R238" s="505" t="s">
        <v>214</v>
      </c>
      <c r="S238" s="506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72" si="56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56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56"/>
        <v>CarrosserieM/O Sous-traitement</v>
      </c>
      <c r="B241" s="11" t="s">
        <v>94</v>
      </c>
      <c r="C241" s="29" t="s">
        <v>95</v>
      </c>
      <c r="D241" s="80">
        <v>0</v>
      </c>
      <c r="E241" s="82">
        <v>0</v>
      </c>
      <c r="F241" s="82">
        <v>0</v>
      </c>
      <c r="G241" s="156"/>
      <c r="H241" s="82"/>
      <c r="I241" s="82"/>
      <c r="J241" s="60">
        <v>0</v>
      </c>
      <c r="K241" s="30">
        <v>0</v>
      </c>
      <c r="L241" s="33">
        <v>0</v>
      </c>
      <c r="M241" s="157">
        <f>IFERROR((K241-E241)/E241,0)</f>
        <v>0</v>
      </c>
      <c r="N241" s="59">
        <f>L241-F241</f>
        <v>0</v>
      </c>
      <c r="O241" s="60">
        <v>1</v>
      </c>
      <c r="P241" s="30">
        <v>349.28</v>
      </c>
      <c r="Q241" s="33">
        <v>33.75</v>
      </c>
      <c r="R241" s="157">
        <f>IF(O241=0,0,J241/O241)</f>
        <v>0</v>
      </c>
      <c r="S241" s="85">
        <f>L241-Q241</f>
        <v>-33.75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56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</v>
      </c>
      <c r="G242" s="41"/>
      <c r="H242" s="144"/>
      <c r="I242" s="158"/>
      <c r="J242" s="60"/>
      <c r="K242" s="13"/>
      <c r="L242" s="158">
        <f>IFERROR(L241/K241,0)</f>
        <v>0</v>
      </c>
      <c r="M242" s="157"/>
      <c r="N242" s="470">
        <f>IFERROR(N241/M241,0)</f>
        <v>0</v>
      </c>
      <c r="O242" s="60"/>
      <c r="P242" s="13"/>
      <c r="Q242" s="158">
        <f>IFERROR(Q241/P241,0)</f>
        <v>9.6627347686669723E-2</v>
      </c>
      <c r="R242" s="60"/>
      <c r="S242" s="85">
        <f>IFERROR(S241/R241,0)</f>
        <v>0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56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56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56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56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56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56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56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56"/>
        <v>CarrosserieTotal Mécanique</v>
      </c>
      <c r="B250" s="11" t="s">
        <v>94</v>
      </c>
      <c r="C250" s="62" t="s">
        <v>91</v>
      </c>
      <c r="D250" s="63"/>
      <c r="E250" s="63">
        <f>E244+E247+E241</f>
        <v>0</v>
      </c>
      <c r="F250" s="65">
        <f>F244+F247+F241</f>
        <v>0</v>
      </c>
      <c r="G250" s="66"/>
      <c r="H250" s="63"/>
      <c r="I250" s="65"/>
      <c r="J250" s="66"/>
      <c r="K250" s="63">
        <f>K244+K247+K241</f>
        <v>0</v>
      </c>
      <c r="L250" s="65">
        <f>L244+L247+L241</f>
        <v>0</v>
      </c>
      <c r="M250" s="206" t="e">
        <f>L251-F251</f>
        <v>#DIV/0!</v>
      </c>
      <c r="N250" s="65">
        <f>L250-F250</f>
        <v>0</v>
      </c>
      <c r="O250" s="66"/>
      <c r="P250" s="63">
        <f t="shared" ref="P250:Q250" si="57">P244+P247+P241</f>
        <v>349.28</v>
      </c>
      <c r="Q250" s="65">
        <f t="shared" si="57"/>
        <v>33.75</v>
      </c>
      <c r="R250" s="206">
        <f>L251-Q251</f>
        <v>-9.6627347686669723E-2</v>
      </c>
      <c r="S250" s="68">
        <f>L250-Q250</f>
        <v>-33.75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56"/>
        <v>Carrosserie</v>
      </c>
      <c r="B251" s="11" t="s">
        <v>94</v>
      </c>
      <c r="C251" s="69"/>
      <c r="D251" s="70"/>
      <c r="E251" s="70"/>
      <c r="F251" s="74" t="e">
        <f>F250/E250</f>
        <v>#DIV/0!</v>
      </c>
      <c r="G251" s="72"/>
      <c r="H251" s="70"/>
      <c r="I251" s="74"/>
      <c r="J251" s="72"/>
      <c r="K251" s="70"/>
      <c r="L251" s="74">
        <f>IF(K250=0,0,L250/K250)</f>
        <v>0</v>
      </c>
      <c r="M251" s="73"/>
      <c r="N251" s="74" t="e">
        <f>N250/F250</f>
        <v>#DIV/0!</v>
      </c>
      <c r="O251" s="72"/>
      <c r="P251" s="70"/>
      <c r="Q251" s="74">
        <f>Q250/P250</f>
        <v>9.6627347686669723E-2</v>
      </c>
      <c r="R251" s="73"/>
      <c r="S251" s="75">
        <f>IF(R250=0,0,S250/R250)</f>
        <v>349.28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56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56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56"/>
        <v>CarrosserieSalaires cadres</v>
      </c>
      <c r="B254" s="11" t="s">
        <v>94</v>
      </c>
      <c r="C254" s="102" t="s">
        <v>40</v>
      </c>
      <c r="D254" s="13"/>
      <c r="E254" s="13"/>
      <c r="F254" s="30">
        <v>0</v>
      </c>
      <c r="G254" s="41"/>
      <c r="H254" s="13"/>
      <c r="I254" s="30"/>
      <c r="J254" s="41"/>
      <c r="K254" s="13"/>
      <c r="L254" s="33">
        <v>0</v>
      </c>
      <c r="M254" s="41"/>
      <c r="N254" s="59">
        <f t="shared" ref="N254:N284" si="58">L254-F254</f>
        <v>0</v>
      </c>
      <c r="O254" s="41"/>
      <c r="P254" s="13"/>
      <c r="Q254" s="33">
        <v>304.27</v>
      </c>
      <c r="R254" s="41"/>
      <c r="S254" s="85">
        <f t="shared" ref="S254" si="59">L254-Q254</f>
        <v>-304.27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56"/>
        <v>CarrosserieSalaires commis</v>
      </c>
      <c r="B255" s="11" t="s">
        <v>94</v>
      </c>
      <c r="C255" s="103" t="s">
        <v>41</v>
      </c>
      <c r="D255" s="81"/>
      <c r="E255" s="13"/>
      <c r="F255" s="22">
        <v>0</v>
      </c>
      <c r="G255" s="83"/>
      <c r="H255" s="13"/>
      <c r="I255" s="22"/>
      <c r="J255" s="41"/>
      <c r="K255" s="13"/>
      <c r="L255" s="33">
        <v>0</v>
      </c>
      <c r="M255" s="41"/>
      <c r="N255" s="59">
        <f t="shared" si="58"/>
        <v>0</v>
      </c>
      <c r="O255" s="41"/>
      <c r="P255" s="13"/>
      <c r="Q255" s="33">
        <v>301.39</v>
      </c>
      <c r="R255" s="41"/>
      <c r="S255" s="85">
        <f>L255-Q255</f>
        <v>-301.39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56"/>
        <v>CarrosserieSalaires autres</v>
      </c>
      <c r="B256" s="11" t="s">
        <v>94</v>
      </c>
      <c r="C256" s="102" t="s">
        <v>42</v>
      </c>
      <c r="D256" s="104"/>
      <c r="E256" s="105"/>
      <c r="F256" s="30">
        <v>0</v>
      </c>
      <c r="G256" s="106"/>
      <c r="H256" s="105"/>
      <c r="I256" s="30"/>
      <c r="J256" s="107"/>
      <c r="K256" s="105"/>
      <c r="L256" s="108">
        <v>0</v>
      </c>
      <c r="M256" s="107"/>
      <c r="N256" s="109">
        <f t="shared" si="58"/>
        <v>0</v>
      </c>
      <c r="O256" s="107"/>
      <c r="P256" s="105"/>
      <c r="Q256" s="108">
        <v>19</v>
      </c>
      <c r="R256" s="107"/>
      <c r="S256" s="110">
        <f t="shared" ref="S256:S272" si="60">L256-Q256</f>
        <v>-19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56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58"/>
        <v>0</v>
      </c>
      <c r="O257" s="41"/>
      <c r="P257" s="13"/>
      <c r="Q257" s="33">
        <v>0</v>
      </c>
      <c r="R257" s="41"/>
      <c r="S257" s="85">
        <f t="shared" si="60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56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8"/>
        <v>0</v>
      </c>
      <c r="O258" s="41"/>
      <c r="P258" s="13"/>
      <c r="Q258" s="33">
        <v>0</v>
      </c>
      <c r="R258" s="41"/>
      <c r="S258" s="85">
        <f t="shared" si="60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56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8"/>
        <v>0</v>
      </c>
      <c r="O259" s="41"/>
      <c r="P259" s="13"/>
      <c r="Q259" s="33">
        <v>0</v>
      </c>
      <c r="R259" s="41"/>
      <c r="S259" s="85">
        <f t="shared" si="60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56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8"/>
        <v>0</v>
      </c>
      <c r="O260" s="41"/>
      <c r="P260" s="13"/>
      <c r="Q260" s="33">
        <v>0</v>
      </c>
      <c r="R260" s="41"/>
      <c r="S260" s="85">
        <f t="shared" si="60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56"/>
        <v>CarrosserieSalaires en absences</v>
      </c>
      <c r="B261" s="11" t="s">
        <v>94</v>
      </c>
      <c r="C261" s="103" t="s">
        <v>44</v>
      </c>
      <c r="D261" s="81"/>
      <c r="E261" s="13"/>
      <c r="F261" s="22">
        <v>0</v>
      </c>
      <c r="G261" s="83"/>
      <c r="H261" s="13"/>
      <c r="I261" s="22"/>
      <c r="J261" s="41"/>
      <c r="K261" s="13"/>
      <c r="L261" s="33">
        <v>0</v>
      </c>
      <c r="M261" s="41"/>
      <c r="N261" s="59">
        <f t="shared" si="58"/>
        <v>0</v>
      </c>
      <c r="O261" s="41"/>
      <c r="P261" s="13"/>
      <c r="Q261" s="33">
        <v>55.04</v>
      </c>
      <c r="R261" s="41"/>
      <c r="S261" s="85">
        <f t="shared" si="60"/>
        <v>-55.04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56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0</v>
      </c>
      <c r="G262" s="106"/>
      <c r="H262" s="105"/>
      <c r="I262" s="30"/>
      <c r="J262" s="107"/>
      <c r="K262" s="105"/>
      <c r="L262" s="108">
        <v>0</v>
      </c>
      <c r="M262" s="107"/>
      <c r="N262" s="109">
        <f t="shared" si="58"/>
        <v>0</v>
      </c>
      <c r="O262" s="107"/>
      <c r="P262" s="105"/>
      <c r="Q262" s="108">
        <v>219</v>
      </c>
      <c r="R262" s="107"/>
      <c r="S262" s="110">
        <f t="shared" si="60"/>
        <v>-219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56"/>
        <v>CarrosserieBénéfices marginaux</v>
      </c>
      <c r="B263" s="11" t="s">
        <v>94</v>
      </c>
      <c r="C263" s="102" t="s">
        <v>46</v>
      </c>
      <c r="D263" s="81"/>
      <c r="E263" s="13"/>
      <c r="F263" s="30">
        <v>0</v>
      </c>
      <c r="G263" s="83"/>
      <c r="H263" s="13"/>
      <c r="I263" s="30"/>
      <c r="J263" s="41"/>
      <c r="K263" s="13"/>
      <c r="L263" s="33">
        <v>0</v>
      </c>
      <c r="M263" s="41"/>
      <c r="N263" s="59">
        <f t="shared" si="58"/>
        <v>0</v>
      </c>
      <c r="O263" s="41"/>
      <c r="P263" s="13"/>
      <c r="Q263" s="33">
        <v>48.02</v>
      </c>
      <c r="R263" s="41"/>
      <c r="S263" s="85">
        <f t="shared" si="60"/>
        <v>-48.02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56"/>
        <v>CarrosserieCsst</v>
      </c>
      <c r="B264" s="11" t="s">
        <v>94</v>
      </c>
      <c r="C264" s="102" t="s">
        <v>47</v>
      </c>
      <c r="D264" s="81"/>
      <c r="E264" s="13"/>
      <c r="F264" s="30">
        <v>0</v>
      </c>
      <c r="G264" s="83"/>
      <c r="H264" s="13"/>
      <c r="I264" s="30"/>
      <c r="J264" s="41"/>
      <c r="K264" s="13"/>
      <c r="L264" s="33">
        <v>0</v>
      </c>
      <c r="M264" s="467"/>
      <c r="N264" s="146">
        <f t="shared" si="58"/>
        <v>0</v>
      </c>
      <c r="O264" s="41"/>
      <c r="P264" s="13"/>
      <c r="Q264" s="33">
        <v>14.46</v>
      </c>
      <c r="R264" s="41"/>
      <c r="S264" s="85">
        <f t="shared" si="60"/>
        <v>-14.46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56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58"/>
        <v>0</v>
      </c>
      <c r="O265" s="23"/>
      <c r="P265" s="111"/>
      <c r="Q265" s="33">
        <v>0</v>
      </c>
      <c r="R265" s="23"/>
      <c r="S265" s="92">
        <f t="shared" si="60"/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56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0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0</v>
      </c>
      <c r="M266" s="147"/>
      <c r="N266" s="113">
        <f t="shared" si="58"/>
        <v>0</v>
      </c>
      <c r="O266" s="97" t="s">
        <v>38</v>
      </c>
      <c r="P266" s="95">
        <f>IF(Q244=0,0,Q266/Q$244)</f>
        <v>0</v>
      </c>
      <c r="Q266" s="96">
        <f>+SUM(Q254:Q265)</f>
        <v>961.18</v>
      </c>
      <c r="R266" s="147"/>
      <c r="S266" s="114">
        <f t="shared" si="60"/>
        <v>-961.18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56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0</v>
      </c>
      <c r="M267" s="41"/>
      <c r="N267" s="59">
        <f t="shared" si="58"/>
        <v>0</v>
      </c>
      <c r="O267" s="41"/>
      <c r="P267" s="13"/>
      <c r="Q267" s="33">
        <v>12.5</v>
      </c>
      <c r="R267" s="41"/>
      <c r="S267" s="85">
        <f t="shared" si="60"/>
        <v>-12.5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56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58"/>
        <v>0</v>
      </c>
      <c r="O268" s="41"/>
      <c r="P268" s="13"/>
      <c r="Q268" s="33">
        <v>35.700000000000003</v>
      </c>
      <c r="R268" s="41"/>
      <c r="S268" s="85">
        <f t="shared" si="60"/>
        <v>-35.700000000000003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56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0</v>
      </c>
      <c r="G269" s="89"/>
      <c r="H269" s="111"/>
      <c r="I269" s="22"/>
      <c r="J269" s="23"/>
      <c r="K269" s="111"/>
      <c r="L269" s="33">
        <v>0</v>
      </c>
      <c r="M269" s="23"/>
      <c r="N269" s="91">
        <f t="shared" si="58"/>
        <v>0</v>
      </c>
      <c r="O269" s="23"/>
      <c r="P269" s="111"/>
      <c r="Q269" s="33">
        <v>144.5</v>
      </c>
      <c r="R269" s="23"/>
      <c r="S269" s="92">
        <f t="shared" si="60"/>
        <v>-144.5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56"/>
        <v>CarrosserieInformatique</v>
      </c>
      <c r="B270" s="11" t="s">
        <v>94</v>
      </c>
      <c r="C270" s="102" t="s">
        <v>52</v>
      </c>
      <c r="D270" s="81"/>
      <c r="E270" s="13"/>
      <c r="F270" s="30">
        <v>0</v>
      </c>
      <c r="G270" s="83"/>
      <c r="H270" s="13"/>
      <c r="I270" s="30"/>
      <c r="J270" s="41"/>
      <c r="K270" s="13"/>
      <c r="L270" s="108">
        <v>0</v>
      </c>
      <c r="M270" s="41"/>
      <c r="N270" s="59">
        <f t="shared" si="58"/>
        <v>0</v>
      </c>
      <c r="O270" s="41"/>
      <c r="P270" s="13"/>
      <c r="Q270" s="108">
        <v>216.24</v>
      </c>
      <c r="R270" s="41"/>
      <c r="S270" s="85">
        <f t="shared" si="60"/>
        <v>-216.24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56"/>
        <v>CarrosserieFrais de déplacement</v>
      </c>
      <c r="B271" s="11" t="s">
        <v>94</v>
      </c>
      <c r="C271" s="102" t="s">
        <v>53</v>
      </c>
      <c r="D271" s="81"/>
      <c r="E271" s="13"/>
      <c r="F271" s="30">
        <v>0</v>
      </c>
      <c r="G271" s="83"/>
      <c r="H271" s="13"/>
      <c r="I271" s="30"/>
      <c r="J271" s="41"/>
      <c r="K271" s="13"/>
      <c r="L271" s="33">
        <v>0</v>
      </c>
      <c r="M271" s="41"/>
      <c r="N271" s="59">
        <f t="shared" si="58"/>
        <v>0</v>
      </c>
      <c r="O271" s="41"/>
      <c r="P271" s="13"/>
      <c r="Q271" s="33">
        <v>71.25</v>
      </c>
      <c r="R271" s="41"/>
      <c r="S271" s="85">
        <f t="shared" si="60"/>
        <v>-71.25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56"/>
        <v>CarrosserieServices extérieurs</v>
      </c>
      <c r="B272" s="11" t="s">
        <v>94</v>
      </c>
      <c r="C272" s="102" t="s">
        <v>54</v>
      </c>
      <c r="D272" s="87"/>
      <c r="E272" s="111"/>
      <c r="F272" s="22">
        <v>0</v>
      </c>
      <c r="G272" s="89"/>
      <c r="H272" s="111"/>
      <c r="I272" s="22"/>
      <c r="J272" s="23"/>
      <c r="K272" s="111"/>
      <c r="L272" s="33">
        <v>0</v>
      </c>
      <c r="M272" s="23"/>
      <c r="N272" s="91">
        <f t="shared" si="58"/>
        <v>0</v>
      </c>
      <c r="O272" s="23"/>
      <c r="P272" s="111"/>
      <c r="Q272" s="22">
        <v>155.81</v>
      </c>
      <c r="R272" s="23"/>
      <c r="S272" s="92">
        <f t="shared" si="60"/>
        <v>-155.81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58"/>
        <v>0</v>
      </c>
      <c r="O273" s="41"/>
      <c r="P273" s="13"/>
      <c r="Q273" s="33"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ref="A274:A282" si="61">+B274&amp;C274</f>
        <v>CarrosserieFournitures autres</v>
      </c>
      <c r="B274" s="11" t="s">
        <v>94</v>
      </c>
      <c r="C274" s="102" t="s">
        <v>55</v>
      </c>
      <c r="D274" s="81"/>
      <c r="E274" s="13"/>
      <c r="F274" s="30">
        <v>0</v>
      </c>
      <c r="G274" s="83"/>
      <c r="H274" s="13"/>
      <c r="I274" s="30"/>
      <c r="J274" s="41"/>
      <c r="K274" s="13"/>
      <c r="L274" s="33">
        <v>0</v>
      </c>
      <c r="M274" s="41"/>
      <c r="N274" s="59">
        <f t="shared" si="58"/>
        <v>0</v>
      </c>
      <c r="O274" s="41"/>
      <c r="P274" s="13"/>
      <c r="Q274" s="33">
        <v>0</v>
      </c>
      <c r="R274" s="41"/>
      <c r="S274" s="85">
        <f t="shared" ref="S274:S282" si="62">L274-Q274</f>
        <v>0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61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58"/>
        <v>0</v>
      </c>
      <c r="O275" s="41"/>
      <c r="P275" s="13"/>
      <c r="Q275" s="33">
        <v>0</v>
      </c>
      <c r="R275" s="41"/>
      <c r="S275" s="85">
        <f t="shared" si="62"/>
        <v>0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61"/>
        <v>CarrosseriePapeterie</v>
      </c>
      <c r="B276" s="11" t="s">
        <v>94</v>
      </c>
      <c r="C276" s="102" t="s">
        <v>57</v>
      </c>
      <c r="D276" s="81"/>
      <c r="E276" s="13"/>
      <c r="F276" s="30">
        <v>0</v>
      </c>
      <c r="G276" s="83"/>
      <c r="H276" s="13"/>
      <c r="I276" s="30"/>
      <c r="J276" s="41"/>
      <c r="K276" s="13"/>
      <c r="L276" s="32">
        <v>0</v>
      </c>
      <c r="M276" s="41"/>
      <c r="N276" s="59">
        <f t="shared" si="58"/>
        <v>0</v>
      </c>
      <c r="O276" s="41"/>
      <c r="P276" s="13"/>
      <c r="Q276" s="32">
        <v>22.98</v>
      </c>
      <c r="R276" s="41"/>
      <c r="S276" s="85">
        <f t="shared" si="62"/>
        <v>-22.98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61"/>
        <v>CarrosserieTéléphone</v>
      </c>
      <c r="B277" s="11" t="s">
        <v>94</v>
      </c>
      <c r="C277" s="102" t="s">
        <v>58</v>
      </c>
      <c r="D277" s="81"/>
      <c r="E277" s="13"/>
      <c r="F277" s="30">
        <v>0</v>
      </c>
      <c r="G277" s="83"/>
      <c r="H277" s="13"/>
      <c r="I277" s="30"/>
      <c r="J277" s="41"/>
      <c r="K277" s="13"/>
      <c r="L277" s="33">
        <v>0</v>
      </c>
      <c r="M277" s="41"/>
      <c r="N277" s="59">
        <f t="shared" si="58"/>
        <v>0</v>
      </c>
      <c r="O277" s="41"/>
      <c r="P277" s="13"/>
      <c r="Q277" s="33">
        <v>9.42</v>
      </c>
      <c r="R277" s="41"/>
      <c r="S277" s="85">
        <f t="shared" si="62"/>
        <v>-9.42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61"/>
        <v>CarrosserieFrais postaux</v>
      </c>
      <c r="B278" s="11" t="s">
        <v>94</v>
      </c>
      <c r="C278" s="102" t="s">
        <v>59</v>
      </c>
      <c r="D278" s="81"/>
      <c r="E278" s="13"/>
      <c r="F278" s="30">
        <v>0</v>
      </c>
      <c r="G278" s="83"/>
      <c r="H278" s="13"/>
      <c r="I278" s="30"/>
      <c r="J278" s="41"/>
      <c r="K278" s="13"/>
      <c r="L278" s="33">
        <v>0</v>
      </c>
      <c r="M278" s="41"/>
      <c r="N278" s="59">
        <f t="shared" si="58"/>
        <v>0</v>
      </c>
      <c r="O278" s="41"/>
      <c r="P278" s="13"/>
      <c r="Q278" s="33">
        <v>8.26</v>
      </c>
      <c r="R278" s="41"/>
      <c r="S278" s="85">
        <f t="shared" si="62"/>
        <v>-8.26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61"/>
        <v>CarrosserieDivers</v>
      </c>
      <c r="B279" s="11" t="s">
        <v>94</v>
      </c>
      <c r="C279" s="102" t="s">
        <v>60</v>
      </c>
      <c r="D279" s="81"/>
      <c r="E279" s="13"/>
      <c r="F279" s="30">
        <v>0</v>
      </c>
      <c r="G279" s="83"/>
      <c r="H279" s="13"/>
      <c r="I279" s="30"/>
      <c r="J279" s="41"/>
      <c r="K279" s="13"/>
      <c r="L279" s="33">
        <v>0</v>
      </c>
      <c r="M279" s="41"/>
      <c r="N279" s="59">
        <f t="shared" si="58"/>
        <v>0</v>
      </c>
      <c r="O279" s="41"/>
      <c r="P279" s="13"/>
      <c r="Q279" s="33">
        <v>46.26</v>
      </c>
      <c r="R279" s="41"/>
      <c r="S279" s="85">
        <f t="shared" si="62"/>
        <v>-46.26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61"/>
        <v>CarrosserieFormation</v>
      </c>
      <c r="B280" s="11" t="s">
        <v>94</v>
      </c>
      <c r="C280" s="102" t="s">
        <v>61</v>
      </c>
      <c r="D280" s="81"/>
      <c r="E280" s="13"/>
      <c r="F280" s="30">
        <v>0</v>
      </c>
      <c r="G280" s="83"/>
      <c r="H280" s="13"/>
      <c r="I280" s="30"/>
      <c r="J280" s="41"/>
      <c r="K280" s="13"/>
      <c r="L280" s="33">
        <v>0</v>
      </c>
      <c r="M280" s="41"/>
      <c r="N280" s="59">
        <f t="shared" si="58"/>
        <v>0</v>
      </c>
      <c r="O280" s="41"/>
      <c r="P280" s="13"/>
      <c r="Q280" s="33">
        <v>16.350000000000001</v>
      </c>
      <c r="R280" s="41"/>
      <c r="S280" s="85">
        <f t="shared" si="62"/>
        <v>-16.350000000000001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61"/>
        <v>CarrosserieFrais bancaires</v>
      </c>
      <c r="B281" s="11" t="s">
        <v>94</v>
      </c>
      <c r="C281" s="102" t="s">
        <v>62</v>
      </c>
      <c r="D281" s="81"/>
      <c r="E281" s="13"/>
      <c r="F281" s="30">
        <v>0</v>
      </c>
      <c r="G281" s="83"/>
      <c r="H281" s="13"/>
      <c r="I281" s="30"/>
      <c r="J281" s="41"/>
      <c r="K281" s="13"/>
      <c r="L281" s="33">
        <v>0</v>
      </c>
      <c r="M281" s="41"/>
      <c r="N281" s="59">
        <f t="shared" si="58"/>
        <v>0</v>
      </c>
      <c r="O281" s="41"/>
      <c r="P281" s="13"/>
      <c r="Q281" s="33">
        <v>243.76</v>
      </c>
      <c r="R281" s="41"/>
      <c r="S281" s="85">
        <f t="shared" si="62"/>
        <v>-243.76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61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8"/>
        <v>0</v>
      </c>
      <c r="O282" s="41"/>
      <c r="P282" s="13"/>
      <c r="Q282" s="33">
        <v>0</v>
      </c>
      <c r="R282" s="41"/>
      <c r="S282" s="85">
        <f t="shared" si="62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>+B283&amp;C283</f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8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ref="A284" si="63"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8"/>
        <v>0</v>
      </c>
      <c r="O284" s="41"/>
      <c r="P284" s="13"/>
      <c r="Q284" s="33">
        <v>0</v>
      </c>
      <c r="R284" s="41"/>
      <c r="S284" s="85">
        <f t="shared" ref="S284" si="64">L284-Q284</f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 t="e">
        <f>F285/F$244</f>
        <v>#DIV/0!</v>
      </c>
      <c r="F285" s="96">
        <f>+SUM(F267:F284)</f>
        <v>0</v>
      </c>
      <c r="G285" s="97"/>
      <c r="H285" s="95"/>
      <c r="I285" s="96"/>
      <c r="J285" s="97" t="s">
        <v>38</v>
      </c>
      <c r="K285" s="95">
        <f>IF(L262=0,0,L285/L$244)</f>
        <v>0</v>
      </c>
      <c r="L285" s="96">
        <f>+SUM(L267:L284)</f>
        <v>0</v>
      </c>
      <c r="M285" s="100"/>
      <c r="N285" s="96">
        <f>+SUM(N267:N284)</f>
        <v>0</v>
      </c>
      <c r="O285" s="97" t="s">
        <v>38</v>
      </c>
      <c r="P285" s="95">
        <f>IF(Q$244=0,0,Q285/Q$244)</f>
        <v>0</v>
      </c>
      <c r="Q285" s="96">
        <f>+SUM(Q267:Q284)</f>
        <v>983.03</v>
      </c>
      <c r="R285" s="100"/>
      <c r="S285" s="101">
        <f>L285-Q285</f>
        <v>-983.03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 t="e">
        <f>F287/F$244</f>
        <v>#DIV/0!</v>
      </c>
      <c r="F287" s="96">
        <f>F266+F285</f>
        <v>0</v>
      </c>
      <c r="G287" s="97"/>
      <c r="H287" s="95"/>
      <c r="I287" s="96"/>
      <c r="J287" s="97" t="s">
        <v>38</v>
      </c>
      <c r="K287" s="95">
        <f>IF(L264=0,0,L287/L$244)</f>
        <v>0</v>
      </c>
      <c r="L287" s="96">
        <f>L266+L285</f>
        <v>0</v>
      </c>
      <c r="M287" s="100"/>
      <c r="N287" s="113">
        <f>L287-F287</f>
        <v>0</v>
      </c>
      <c r="O287" s="97" t="s">
        <v>38</v>
      </c>
      <c r="P287" s="95">
        <f>IF(Q$244=0,0,Q287/Q$244)</f>
        <v>0</v>
      </c>
      <c r="Q287" s="96">
        <f>Q266+Q285</f>
        <v>1944.21</v>
      </c>
      <c r="R287" s="100"/>
      <c r="S287" s="114">
        <f>L287-Q287</f>
        <v>-1944.21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/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0</v>
      </c>
      <c r="G289" s="153"/>
      <c r="H289" s="125"/>
      <c r="I289" s="127"/>
      <c r="J289" s="154"/>
      <c r="K289" s="126"/>
      <c r="L289" s="127">
        <f>L250-L287</f>
        <v>0</v>
      </c>
      <c r="M289" s="154"/>
      <c r="N289" s="127">
        <f>L289-F289</f>
        <v>0</v>
      </c>
      <c r="O289" s="154"/>
      <c r="P289" s="126"/>
      <c r="Q289" s="127">
        <f>Q250-Q287</f>
        <v>-1910.46</v>
      </c>
      <c r="R289" s="154"/>
      <c r="S289" s="129">
        <f>L289-Q289</f>
        <v>1910.46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Avril 2025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507" t="s">
        <v>5</v>
      </c>
      <c r="E293" s="508"/>
      <c r="F293" s="509"/>
      <c r="G293" s="510"/>
      <c r="H293" s="508"/>
      <c r="I293" s="509"/>
      <c r="J293" s="510" t="s">
        <v>7</v>
      </c>
      <c r="K293" s="508"/>
      <c r="L293" s="509"/>
      <c r="M293" s="510" t="s">
        <v>213</v>
      </c>
      <c r="N293" s="509"/>
      <c r="O293" s="507" t="s">
        <v>8</v>
      </c>
      <c r="P293" s="508"/>
      <c r="Q293" s="509"/>
      <c r="R293" s="505" t="s">
        <v>214</v>
      </c>
      <c r="S293" s="506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299" si="65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65"/>
        <v>PiècesPièces Ro Clients</v>
      </c>
      <c r="B295" s="11" t="s">
        <v>98</v>
      </c>
      <c r="C295" s="29" t="s">
        <v>100</v>
      </c>
      <c r="D295" s="82">
        <v>52833.577086390134</v>
      </c>
      <c r="E295" s="148">
        <f>IF(D295=0,0,F295/D295)</f>
        <v>0.41</v>
      </c>
      <c r="F295" s="85">
        <v>21661.766605419954</v>
      </c>
      <c r="G295" s="82"/>
      <c r="H295" s="148"/>
      <c r="I295" s="85"/>
      <c r="J295" s="30">
        <v>64717.729999999996</v>
      </c>
      <c r="K295" s="148">
        <f t="shared" ref="K295:K300" si="66">IF(J295&lt;=0,0,L295/J295)</f>
        <v>0.37632114105361852</v>
      </c>
      <c r="L295" s="33">
        <v>24354.649999999998</v>
      </c>
      <c r="M295" s="157">
        <f t="shared" ref="M295:M301" si="67">(+J295-D295)/D295</f>
        <v>0.22493561043912744</v>
      </c>
      <c r="N295" s="59">
        <f t="shared" ref="N295:N304" si="68">L295-F295</f>
        <v>2692.8833945800434</v>
      </c>
      <c r="O295" s="30">
        <v>49147.909999999902</v>
      </c>
      <c r="P295" s="148">
        <f t="shared" ref="P295:P303" si="69">IF(O295=0,0,Q295/O295)</f>
        <v>0.37536977665988114</v>
      </c>
      <c r="Q295" s="33">
        <v>18448.639999999901</v>
      </c>
      <c r="R295" s="157">
        <f>IF(O295=0,0,(J295-O295)/O295)</f>
        <v>0.31679515975348954</v>
      </c>
      <c r="S295" s="85">
        <f t="shared" ref="S295:S300" si="70">L295-Q295</f>
        <v>5906.0100000000966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65"/>
        <v>PiècesPièces Ro Carrosserie</v>
      </c>
      <c r="B296" s="11" t="s">
        <v>98</v>
      </c>
      <c r="C296" s="29" t="s">
        <v>101</v>
      </c>
      <c r="D296" s="82">
        <v>0</v>
      </c>
      <c r="E296" s="148">
        <f t="shared" ref="E296:E300" si="71">IF(D296=0,0,F296/D296)</f>
        <v>0</v>
      </c>
      <c r="F296" s="85">
        <v>0</v>
      </c>
      <c r="G296" s="82"/>
      <c r="H296" s="148"/>
      <c r="I296" s="85"/>
      <c r="J296" s="30">
        <v>0</v>
      </c>
      <c r="K296" s="148">
        <f t="shared" si="66"/>
        <v>0</v>
      </c>
      <c r="L296" s="33">
        <v>0</v>
      </c>
      <c r="M296" s="157" t="e">
        <f t="shared" si="67"/>
        <v>#DIV/0!</v>
      </c>
      <c r="N296" s="59">
        <f t="shared" si="68"/>
        <v>0</v>
      </c>
      <c r="O296" s="30">
        <v>106.86</v>
      </c>
      <c r="P296" s="148">
        <f t="shared" si="69"/>
        <v>0.30001871607711028</v>
      </c>
      <c r="Q296" s="33">
        <v>32.06</v>
      </c>
      <c r="R296" s="157">
        <f t="shared" ref="R296:R300" si="72">IF(O296=0,0,(J296-O296)/O296)</f>
        <v>-1</v>
      </c>
      <c r="S296" s="85">
        <f t="shared" si="70"/>
        <v>-32.06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65"/>
        <v>PiècesP/A Garantie</v>
      </c>
      <c r="B297" s="11" t="s">
        <v>98</v>
      </c>
      <c r="C297" s="29" t="s">
        <v>102</v>
      </c>
      <c r="D297" s="82">
        <v>46238.697338689264</v>
      </c>
      <c r="E297" s="148">
        <f t="shared" si="71"/>
        <v>0.28499999999999998</v>
      </c>
      <c r="F297" s="85">
        <v>13178.028741526439</v>
      </c>
      <c r="G297" s="82"/>
      <c r="H297" s="148"/>
      <c r="I297" s="85"/>
      <c r="J297" s="30">
        <v>56399.720000000008</v>
      </c>
      <c r="K297" s="148">
        <f t="shared" si="66"/>
        <v>0.27891503716685129</v>
      </c>
      <c r="L297" s="33">
        <v>15730.730000000009</v>
      </c>
      <c r="M297" s="157">
        <f t="shared" si="67"/>
        <v>0.2197514905509399</v>
      </c>
      <c r="N297" s="59">
        <f t="shared" si="68"/>
        <v>2552.7012584735694</v>
      </c>
      <c r="O297" s="30">
        <v>37284.379999999997</v>
      </c>
      <c r="P297" s="148">
        <f t="shared" si="69"/>
        <v>0.28654492846601981</v>
      </c>
      <c r="Q297" s="33">
        <v>10683.6499999999</v>
      </c>
      <c r="R297" s="157">
        <f t="shared" si="72"/>
        <v>0.51269030087130352</v>
      </c>
      <c r="S297" s="85">
        <f t="shared" si="70"/>
        <v>5047.0800000001091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65"/>
        <v>PiècesVentes Internes</v>
      </c>
      <c r="B298" s="11" t="s">
        <v>98</v>
      </c>
      <c r="C298" s="29" t="s">
        <v>103</v>
      </c>
      <c r="D298" s="82">
        <v>18851.520787682755</v>
      </c>
      <c r="E298" s="148">
        <f t="shared" si="71"/>
        <v>0.35</v>
      </c>
      <c r="F298" s="85">
        <v>6598.0322756889636</v>
      </c>
      <c r="G298" s="82"/>
      <c r="H298" s="148"/>
      <c r="I298" s="85"/>
      <c r="J298" s="30">
        <v>20132.62</v>
      </c>
      <c r="K298" s="148">
        <f t="shared" si="66"/>
        <v>0.35222986377331905</v>
      </c>
      <c r="L298" s="33">
        <v>7091.3099999999986</v>
      </c>
      <c r="M298" s="157">
        <f t="shared" si="67"/>
        <v>6.7957340245689404E-2</v>
      </c>
      <c r="N298" s="59">
        <f t="shared" si="68"/>
        <v>493.27772431103494</v>
      </c>
      <c r="O298" s="30">
        <v>18887.43</v>
      </c>
      <c r="P298" s="148">
        <f t="shared" si="69"/>
        <v>0.31382141455984214</v>
      </c>
      <c r="Q298" s="33">
        <v>5927.28</v>
      </c>
      <c r="R298" s="157">
        <f t="shared" si="72"/>
        <v>6.5926915414113968E-2</v>
      </c>
      <c r="S298" s="85">
        <f t="shared" si="70"/>
        <v>1164.0299999999988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65"/>
        <v>PiècesVentes Détails</v>
      </c>
      <c r="B299" s="11" t="s">
        <v>98</v>
      </c>
      <c r="C299" s="29" t="s">
        <v>104</v>
      </c>
      <c r="D299" s="82">
        <v>25639.426519790683</v>
      </c>
      <c r="E299" s="148">
        <f t="shared" si="71"/>
        <v>0.3</v>
      </c>
      <c r="F299" s="85">
        <v>7691.827955937204</v>
      </c>
      <c r="G299" s="82"/>
      <c r="H299" s="148"/>
      <c r="I299" s="85"/>
      <c r="J299" s="30">
        <v>17037.740000000002</v>
      </c>
      <c r="K299" s="148">
        <f t="shared" si="66"/>
        <v>0.28554139222690339</v>
      </c>
      <c r="L299" s="33">
        <v>4864.9800000000014</v>
      </c>
      <c r="M299" s="157">
        <f t="shared" si="67"/>
        <v>-0.3354866971439931</v>
      </c>
      <c r="N299" s="59">
        <f t="shared" si="68"/>
        <v>-2826.8479559372026</v>
      </c>
      <c r="O299" s="30">
        <v>27401.949999999899</v>
      </c>
      <c r="P299" s="148">
        <f t="shared" si="69"/>
        <v>0.20045982129009104</v>
      </c>
      <c r="Q299" s="33">
        <v>5492.9899999999898</v>
      </c>
      <c r="R299" s="157">
        <f t="shared" si="72"/>
        <v>-0.37822892166433175</v>
      </c>
      <c r="S299" s="85">
        <f t="shared" si="70"/>
        <v>-628.00999999998839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>+B300&amp;C300</f>
        <v>PiècesVentes de Gros</v>
      </c>
      <c r="B300" s="11" t="s">
        <v>98</v>
      </c>
      <c r="C300" s="29" t="s">
        <v>105</v>
      </c>
      <c r="D300" s="82">
        <v>38846.442240444754</v>
      </c>
      <c r="E300" s="148">
        <f t="shared" si="71"/>
        <v>0.2</v>
      </c>
      <c r="F300" s="85">
        <v>7769.2884480889516</v>
      </c>
      <c r="G300" s="82"/>
      <c r="H300" s="148"/>
      <c r="I300" s="85"/>
      <c r="J300" s="30">
        <v>72740.67</v>
      </c>
      <c r="K300" s="148">
        <f t="shared" si="66"/>
        <v>0.19281758059143528</v>
      </c>
      <c r="L300" s="33">
        <v>14025.679999999998</v>
      </c>
      <c r="M300" s="157">
        <f t="shared" si="67"/>
        <v>0.87251819741336467</v>
      </c>
      <c r="N300" s="59">
        <f t="shared" si="68"/>
        <v>6256.3915519110469</v>
      </c>
      <c r="O300" s="30">
        <v>50271.28</v>
      </c>
      <c r="P300" s="148">
        <f t="shared" si="69"/>
        <v>0.20057157884183374</v>
      </c>
      <c r="Q300" s="33">
        <v>10082.9899999999</v>
      </c>
      <c r="R300" s="157">
        <f t="shared" si="72"/>
        <v>0.44696275885555331</v>
      </c>
      <c r="S300" s="85">
        <f t="shared" si="70"/>
        <v>3942.6900000000987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>+B301&amp;C301</f>
        <v>Pièces[...]</v>
      </c>
      <c r="B301" s="11" t="s">
        <v>98</v>
      </c>
      <c r="C301" s="29" t="s">
        <v>19</v>
      </c>
      <c r="D301" s="82">
        <v>0</v>
      </c>
      <c r="E301" s="148">
        <f>IF(D301=0,0,F301/D301)</f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67"/>
        <v>#DIV/0!</v>
      </c>
      <c r="N301" s="59">
        <f t="shared" si="68"/>
        <v>0</v>
      </c>
      <c r="O301" s="30">
        <v>0</v>
      </c>
      <c r="P301" s="148">
        <f t="shared" si="69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ref="A302:A321" si="73">+B302&amp;C302</f>
        <v>PiècesEscomptes</v>
      </c>
      <c r="B302" s="11" t="s">
        <v>98</v>
      </c>
      <c r="C302" s="29" t="s">
        <v>106</v>
      </c>
      <c r="D302" s="82">
        <v>0</v>
      </c>
      <c r="E302" s="148">
        <f t="shared" ref="E302:E303" si="74">IF(D302=0,0,F302/D302)</f>
        <v>0</v>
      </c>
      <c r="F302" s="85">
        <v>4772.0470732692775</v>
      </c>
      <c r="G302" s="82"/>
      <c r="H302" s="148"/>
      <c r="I302" s="85"/>
      <c r="J302" s="30">
        <v>0</v>
      </c>
      <c r="K302" s="148">
        <f>IF(J302&lt;=0,0,L302/J302)</f>
        <v>0</v>
      </c>
      <c r="L302" s="33">
        <v>20142.95</v>
      </c>
      <c r="M302" s="157"/>
      <c r="N302" s="59">
        <f t="shared" si="68"/>
        <v>15370.902926730723</v>
      </c>
      <c r="O302" s="30">
        <v>0</v>
      </c>
      <c r="P302" s="148">
        <f t="shared" si="69"/>
        <v>0</v>
      </c>
      <c r="Q302" s="33">
        <v>1524.55</v>
      </c>
      <c r="R302" s="157">
        <f t="shared" ref="R302:R303" si="75">IF(O302=0,0,(J302-O302)/O302)</f>
        <v>0</v>
      </c>
      <c r="S302" s="85">
        <f>L302-Q302</f>
        <v>18618.400000000001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73"/>
        <v>PiècesRectif. Inventaire</v>
      </c>
      <c r="B303" s="11" t="s">
        <v>98</v>
      </c>
      <c r="C303" s="86" t="s">
        <v>107</v>
      </c>
      <c r="D303" s="82">
        <v>0</v>
      </c>
      <c r="E303" s="148">
        <f t="shared" si="74"/>
        <v>0</v>
      </c>
      <c r="F303" s="85">
        <v>0</v>
      </c>
      <c r="G303" s="82"/>
      <c r="H303" s="148"/>
      <c r="I303" s="85"/>
      <c r="J303" s="30">
        <v>0</v>
      </c>
      <c r="K303" s="148">
        <f>IF(J303&lt;=0,0,L303/J303)</f>
        <v>0</v>
      </c>
      <c r="L303" s="33">
        <v>0</v>
      </c>
      <c r="M303" s="157"/>
      <c r="N303" s="59">
        <f t="shared" si="68"/>
        <v>0</v>
      </c>
      <c r="O303" s="30">
        <v>0</v>
      </c>
      <c r="P303" s="148">
        <f t="shared" si="69"/>
        <v>0</v>
      </c>
      <c r="Q303" s="33">
        <v>0</v>
      </c>
      <c r="R303" s="157">
        <f t="shared" si="75"/>
        <v>0</v>
      </c>
      <c r="S303" s="85">
        <f>L303-Q303</f>
        <v>0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73"/>
        <v>PiècesSous-total Pièces</v>
      </c>
      <c r="B304" s="11" t="s">
        <v>98</v>
      </c>
      <c r="C304" s="53" t="s">
        <v>108</v>
      </c>
      <c r="D304" s="195">
        <f>SUM(D295:D303)</f>
        <v>182409.66397299763</v>
      </c>
      <c r="E304" s="213">
        <f>IF(D304&lt;=0,0,F304/D304)</f>
        <v>0.33809059101748051</v>
      </c>
      <c r="F304" s="199">
        <f>SUM(F295:F303)</f>
        <v>61670.99109993079</v>
      </c>
      <c r="G304" s="195"/>
      <c r="H304" s="213"/>
      <c r="I304" s="199"/>
      <c r="J304" s="195">
        <f>SUM(J295:J303)</f>
        <v>231028.47999999998</v>
      </c>
      <c r="K304" s="213">
        <f>IF(J304&lt;=0,0,L304/J304)</f>
        <v>0.37315875514568597</v>
      </c>
      <c r="L304" s="197">
        <f>SUM(L295:L303)</f>
        <v>86210.3</v>
      </c>
      <c r="M304" s="214">
        <f>(+J304-D304)/D304</f>
        <v>0.26653640474991208</v>
      </c>
      <c r="N304" s="197">
        <f t="shared" si="68"/>
        <v>24539.308900069213</v>
      </c>
      <c r="O304" s="195">
        <f>SUM(O295:O303)</f>
        <v>183099.80999999979</v>
      </c>
      <c r="P304" s="213">
        <f>IF(O304&lt;=0,0,Q304/O304)</f>
        <v>0.28504759234867449</v>
      </c>
      <c r="Q304" s="197">
        <f t="shared" ref="Q304" si="76">SUM(Q295:Q303)</f>
        <v>52192.159999999698</v>
      </c>
      <c r="R304" s="214">
        <f>IF(O304=0,0,(J304-O304)/O304)</f>
        <v>0.26176253268640881</v>
      </c>
      <c r="S304" s="199">
        <f>L304-Q304</f>
        <v>34018.140000000305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73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0.39790683532726218</v>
      </c>
      <c r="O305" s="41"/>
      <c r="P305" s="13"/>
      <c r="Q305" s="40"/>
      <c r="R305" s="41"/>
      <c r="S305" s="44">
        <f>IF(Q304=0,0,S304/Q304)</f>
        <v>0.65178639857021636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73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73"/>
        <v>PiècesVentes Pneus</v>
      </c>
      <c r="B307" s="11" t="s">
        <v>98</v>
      </c>
      <c r="C307" s="29" t="s">
        <v>109</v>
      </c>
      <c r="D307" s="82">
        <v>88486.639182204992</v>
      </c>
      <c r="E307" s="148">
        <f>IF(D307=0,0,F307/D307)</f>
        <v>0.24</v>
      </c>
      <c r="F307" s="110">
        <v>21236.793403729196</v>
      </c>
      <c r="G307" s="82"/>
      <c r="H307" s="148"/>
      <c r="I307" s="110"/>
      <c r="J307" s="30">
        <v>123870.27</v>
      </c>
      <c r="K307" s="148">
        <f>IF(J307&lt;=0,0,L307/J307)</f>
        <v>0.23530569522452807</v>
      </c>
      <c r="L307" s="33">
        <v>29147.380000000005</v>
      </c>
      <c r="M307" s="157">
        <f>(+J307-D307)/D307</f>
        <v>0.3998754065564149</v>
      </c>
      <c r="N307" s="59">
        <f>L307-F307</f>
        <v>7910.5865962708085</v>
      </c>
      <c r="O307" s="30">
        <v>112823.72</v>
      </c>
      <c r="P307" s="148">
        <f t="shared" ref="P307:P308" si="77">IF(O307=0,0,Q307/O307)</f>
        <v>0.23824653184631742</v>
      </c>
      <c r="Q307" s="33">
        <v>26879.86</v>
      </c>
      <c r="R307" s="157">
        <f>IF(O307=0,0,(J307-O307)/O307)</f>
        <v>9.7909818963600945E-2</v>
      </c>
      <c r="S307" s="85">
        <f>L307-Q307</f>
        <v>2267.5200000000041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73"/>
        <v>PiècesHuiles et Graisse</v>
      </c>
      <c r="B308" s="11" t="s">
        <v>98</v>
      </c>
      <c r="C308" s="86" t="s">
        <v>110</v>
      </c>
      <c r="D308" s="82">
        <v>11295.663199201983</v>
      </c>
      <c r="E308" s="148">
        <f>IF(D308=0,0,F308/D308)</f>
        <v>0.34399999999999997</v>
      </c>
      <c r="F308" s="92">
        <v>3885.7081405254817</v>
      </c>
      <c r="G308" s="82"/>
      <c r="H308" s="148"/>
      <c r="I308" s="92"/>
      <c r="J308" s="30">
        <v>12727.68</v>
      </c>
      <c r="K308" s="148">
        <f>IF(J308&lt;=0,0,L308/J308)</f>
        <v>0.37178338864584909</v>
      </c>
      <c r="L308" s="33">
        <v>4731.9400000000005</v>
      </c>
      <c r="M308" s="157">
        <f>(+J308-D308)/D308</f>
        <v>0.12677580550553125</v>
      </c>
      <c r="N308" s="59">
        <f>L308-F308</f>
        <v>846.23185947451884</v>
      </c>
      <c r="O308" s="30">
        <v>11968.93</v>
      </c>
      <c r="P308" s="148">
        <f t="shared" si="77"/>
        <v>0.34924341607812892</v>
      </c>
      <c r="Q308" s="33">
        <v>4180.07</v>
      </c>
      <c r="R308" s="157">
        <f>IF(O308=0,0,(J308-O308)/O308)</f>
        <v>6.3393302492369824E-2</v>
      </c>
      <c r="S308" s="85">
        <f>L308-Q308</f>
        <v>551.8700000000008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73"/>
        <v>PiècesSous-total Pièces et Acc.</v>
      </c>
      <c r="B309" s="11" t="s">
        <v>98</v>
      </c>
      <c r="C309" s="53" t="s">
        <v>111</v>
      </c>
      <c r="D309" s="195">
        <f>D304+D307+D308</f>
        <v>282191.96635440463</v>
      </c>
      <c r="E309" s="213">
        <f>IF(D309&lt;=0,0,F309/D309)</f>
        <v>0.30756897074518985</v>
      </c>
      <c r="F309" s="197">
        <f>F304+F307+F308</f>
        <v>86793.492644185477</v>
      </c>
      <c r="G309" s="198"/>
      <c r="H309" s="213"/>
      <c r="I309" s="197"/>
      <c r="J309" s="198">
        <f>J304+J307+J308</f>
        <v>367626.43</v>
      </c>
      <c r="K309" s="213">
        <f>IF(J309&lt;=0,0,L309/J309)</f>
        <v>0.32666209554084569</v>
      </c>
      <c r="L309" s="197">
        <f>L304+L307+L308</f>
        <v>120089.62000000001</v>
      </c>
      <c r="M309" s="214">
        <f>(+J309-D309)/D309</f>
        <v>0.30275299736314354</v>
      </c>
      <c r="N309" s="197">
        <f>L309-F309</f>
        <v>33296.127355814533</v>
      </c>
      <c r="O309" s="198">
        <f>O304+O307+O308</f>
        <v>307892.45999999979</v>
      </c>
      <c r="P309" s="213">
        <f>IF(O309&lt;=0,0,Q309/O309)</f>
        <v>0.27039340294335157</v>
      </c>
      <c r="Q309" s="197">
        <f t="shared" ref="Q309" si="78">Q304+Q307+Q308</f>
        <v>83252.089999999705</v>
      </c>
      <c r="R309" s="214">
        <f>IF(O309=0,0,(J309-O309)/O309)</f>
        <v>0.19400920048513123</v>
      </c>
      <c r="S309" s="199">
        <f>L309-Q309</f>
        <v>36837.530000000304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73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0.38362469744493138</v>
      </c>
      <c r="O310" s="41"/>
      <c r="P310" s="13"/>
      <c r="Q310" s="40"/>
      <c r="R310" s="41"/>
      <c r="S310" s="44">
        <f>IF(Q309=0,0,S309/Q309)</f>
        <v>0.44248174430216025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73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73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73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73"/>
        <v>PiècesTotal Dépt. Pièces</v>
      </c>
      <c r="B314" s="11" t="s">
        <v>98</v>
      </c>
      <c r="C314" s="62" t="s">
        <v>113</v>
      </c>
      <c r="D314" s="63">
        <f>D309+D312</f>
        <v>282191.96635440463</v>
      </c>
      <c r="E314" s="219">
        <f>IF(D314&lt;=0,0,F314/D314)</f>
        <v>0.30756897074518985</v>
      </c>
      <c r="F314" s="65">
        <f>F309+F312</f>
        <v>86793.492644185477</v>
      </c>
      <c r="G314" s="66"/>
      <c r="H314" s="219"/>
      <c r="I314" s="65"/>
      <c r="J314" s="66">
        <f>J309+J312</f>
        <v>367626.43</v>
      </c>
      <c r="K314" s="219">
        <f>IF(J314&lt;=0,0,L314/J314)</f>
        <v>0.32666209554084569</v>
      </c>
      <c r="L314" s="65">
        <f>L309+L312</f>
        <v>120089.62000000001</v>
      </c>
      <c r="M314" s="220">
        <f>(+J314-D314)/D314</f>
        <v>0.30275299736314354</v>
      </c>
      <c r="N314" s="221">
        <f>L314-F314</f>
        <v>33296.127355814533</v>
      </c>
      <c r="O314" s="66">
        <f>O309+O312</f>
        <v>307892.45999999979</v>
      </c>
      <c r="P314" s="219">
        <f>IF(O314&lt;=0,0,Q314/O314)</f>
        <v>0.27039340294335157</v>
      </c>
      <c r="Q314" s="65">
        <f t="shared" ref="Q314" si="79">Q309+Q312</f>
        <v>83252.089999999705</v>
      </c>
      <c r="R314" s="220">
        <f>IF(O314=0,0,(J314-O314)/O314)</f>
        <v>0.19400920048513123</v>
      </c>
      <c r="S314" s="222">
        <f>L314-Q314</f>
        <v>36837.530000000304</v>
      </c>
      <c r="T314" s="13"/>
      <c r="U314" s="13"/>
      <c r="V314" s="11" t="s">
        <v>221</v>
      </c>
      <c r="W314" s="11">
        <v>111797</v>
      </c>
      <c r="X314" s="490">
        <f>L314-W314</f>
        <v>8292.6200000000099</v>
      </c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73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0.38362469744493138</v>
      </c>
      <c r="O315" s="227"/>
      <c r="P315" s="225"/>
      <c r="Q315" s="226"/>
      <c r="R315" s="228"/>
      <c r="S315" s="75">
        <f>IF(Q314=0,0,S314/Q314)</f>
        <v>0.44248174430216025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73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73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73"/>
        <v>PiècesSalaires cadres</v>
      </c>
      <c r="B318" s="11" t="s">
        <v>98</v>
      </c>
      <c r="C318" s="102" t="s">
        <v>40</v>
      </c>
      <c r="D318" s="13"/>
      <c r="E318" s="13"/>
      <c r="F318" s="30">
        <v>4274.9142057176541</v>
      </c>
      <c r="G318" s="41"/>
      <c r="H318" s="13"/>
      <c r="I318" s="30"/>
      <c r="J318" s="41"/>
      <c r="K318" s="13"/>
      <c r="L318" s="33">
        <v>3271.86</v>
      </c>
      <c r="M318" s="41"/>
      <c r="N318" s="59">
        <f t="shared" ref="N318:N348" si="80">L318-F318</f>
        <v>-1003.054205717654</v>
      </c>
      <c r="O318" s="41"/>
      <c r="P318" s="13"/>
      <c r="Q318" s="33">
        <v>3659.46</v>
      </c>
      <c r="R318" s="41"/>
      <c r="S318" s="85">
        <f t="shared" ref="S318:S321" si="81">L318-Q318</f>
        <v>-387.59999999999991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73"/>
        <v>PiècesSalaires commis</v>
      </c>
      <c r="B319" s="11" t="s">
        <v>98</v>
      </c>
      <c r="C319" s="103" t="s">
        <v>41</v>
      </c>
      <c r="D319" s="81"/>
      <c r="E319" s="13"/>
      <c r="F319" s="22">
        <v>2836.5762452107283</v>
      </c>
      <c r="G319" s="83"/>
      <c r="H319" s="13"/>
      <c r="I319" s="22"/>
      <c r="J319" s="41"/>
      <c r="K319" s="13"/>
      <c r="L319" s="33">
        <v>2682.61</v>
      </c>
      <c r="M319" s="41"/>
      <c r="N319" s="59">
        <f t="shared" si="80"/>
        <v>-153.96624521072818</v>
      </c>
      <c r="O319" s="41"/>
      <c r="P319" s="13"/>
      <c r="Q319" s="33">
        <v>2411.1999999999998</v>
      </c>
      <c r="R319" s="41"/>
      <c r="S319" s="85">
        <f t="shared" si="81"/>
        <v>271.41000000000031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73"/>
        <v>PiècesSalaires autres</v>
      </c>
      <c r="B320" s="11" t="s">
        <v>98</v>
      </c>
      <c r="C320" s="102" t="s">
        <v>42</v>
      </c>
      <c r="D320" s="104"/>
      <c r="E320" s="105"/>
      <c r="F320" s="30">
        <v>13715.474406130268</v>
      </c>
      <c r="G320" s="106"/>
      <c r="H320" s="105"/>
      <c r="I320" s="30"/>
      <c r="J320" s="107"/>
      <c r="K320" s="105"/>
      <c r="L320" s="108">
        <v>14705.29</v>
      </c>
      <c r="M320" s="107"/>
      <c r="N320" s="109">
        <f t="shared" si="80"/>
        <v>989.81559386973277</v>
      </c>
      <c r="O320" s="107"/>
      <c r="P320" s="105"/>
      <c r="Q320" s="108">
        <v>14885.99</v>
      </c>
      <c r="R320" s="107"/>
      <c r="S320" s="110">
        <f t="shared" si="81"/>
        <v>-180.69999999999891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 hidden="1">
      <c r="A321" t="str">
        <f t="shared" si="73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80"/>
        <v>0</v>
      </c>
      <c r="O321" s="41"/>
      <c r="P321" s="13"/>
      <c r="Q321" s="33">
        <v>0</v>
      </c>
      <c r="R321" s="41"/>
      <c r="S321" s="85">
        <f t="shared" si="81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>+B322&amp;C322</f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80"/>
        <v>0</v>
      </c>
      <c r="O322" s="41"/>
      <c r="P322" s="13"/>
      <c r="Q322" s="33"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>+B323&amp;C323</f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80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>+B324&amp;C324</f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80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ref="A325:A336" si="82">+B325&amp;C325</f>
        <v>PiècesSalaires en absences</v>
      </c>
      <c r="B325" s="11" t="s">
        <v>98</v>
      </c>
      <c r="C325" s="103" t="s">
        <v>44</v>
      </c>
      <c r="D325" s="81"/>
      <c r="E325" s="13"/>
      <c r="F325" s="22">
        <v>2759.054272306129</v>
      </c>
      <c r="G325" s="83"/>
      <c r="H325" s="13"/>
      <c r="I325" s="22"/>
      <c r="J325" s="41"/>
      <c r="K325" s="13"/>
      <c r="L325" s="33">
        <v>2762.84</v>
      </c>
      <c r="M325" s="41"/>
      <c r="N325" s="59">
        <f t="shared" si="80"/>
        <v>3.7857276938711948</v>
      </c>
      <c r="O325" s="41"/>
      <c r="P325" s="13"/>
      <c r="Q325" s="33">
        <v>1471.97</v>
      </c>
      <c r="R325" s="41"/>
      <c r="S325" s="85">
        <f t="shared" ref="S325:S336" si="83">L325-Q325</f>
        <v>1290.8700000000001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82"/>
        <v>PiècesDéduction à la source</v>
      </c>
      <c r="B326" s="11" t="s">
        <v>98</v>
      </c>
      <c r="C326" s="102" t="s">
        <v>45</v>
      </c>
      <c r="D326" s="104"/>
      <c r="E326" s="105"/>
      <c r="F326" s="30">
        <v>3220.8231657176543</v>
      </c>
      <c r="G326" s="106"/>
      <c r="H326" s="105"/>
      <c r="I326" s="30"/>
      <c r="J326" s="107"/>
      <c r="K326" s="105"/>
      <c r="L326" s="108">
        <v>3493.23</v>
      </c>
      <c r="M326" s="107"/>
      <c r="N326" s="109">
        <f t="shared" si="80"/>
        <v>272.4068342823457</v>
      </c>
      <c r="O326" s="107"/>
      <c r="P326" s="105"/>
      <c r="Q326" s="108">
        <v>3611.05</v>
      </c>
      <c r="R326" s="107"/>
      <c r="S326" s="110">
        <f t="shared" si="83"/>
        <v>-117.82000000000016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82"/>
        <v>PiècesBénéfices marginaux</v>
      </c>
      <c r="B327" s="11" t="s">
        <v>98</v>
      </c>
      <c r="C327" s="102" t="s">
        <v>46</v>
      </c>
      <c r="D327" s="81"/>
      <c r="E327" s="13"/>
      <c r="F327" s="30">
        <v>1657.7766294134985</v>
      </c>
      <c r="G327" s="83"/>
      <c r="H327" s="13"/>
      <c r="I327" s="30"/>
      <c r="J327" s="41"/>
      <c r="K327" s="13"/>
      <c r="L327" s="33">
        <v>1800.74</v>
      </c>
      <c r="M327" s="41"/>
      <c r="N327" s="59">
        <f t="shared" si="80"/>
        <v>142.96337058650147</v>
      </c>
      <c r="O327" s="41"/>
      <c r="P327" s="13"/>
      <c r="Q327" s="33">
        <v>1729.64</v>
      </c>
      <c r="R327" s="41"/>
      <c r="S327" s="85">
        <f t="shared" si="83"/>
        <v>71.099999999999909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82"/>
        <v>PiècesCsst</v>
      </c>
      <c r="B328" s="11" t="s">
        <v>98</v>
      </c>
      <c r="C328" s="102" t="s">
        <v>47</v>
      </c>
      <c r="D328" s="81"/>
      <c r="E328" s="13"/>
      <c r="F328" s="30">
        <v>355.23784916003535</v>
      </c>
      <c r="G328" s="83"/>
      <c r="H328" s="13"/>
      <c r="I328" s="30"/>
      <c r="J328" s="41"/>
      <c r="K328" s="13"/>
      <c r="L328" s="33">
        <v>567.48</v>
      </c>
      <c r="M328" s="467"/>
      <c r="N328" s="146">
        <f t="shared" si="80"/>
        <v>212.24215083996467</v>
      </c>
      <c r="O328" s="41"/>
      <c r="P328" s="13"/>
      <c r="Q328" s="33">
        <v>384.94</v>
      </c>
      <c r="R328" s="41"/>
      <c r="S328" s="85">
        <f t="shared" si="83"/>
        <v>182.54000000000002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82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80"/>
        <v>0</v>
      </c>
      <c r="O329" s="23"/>
      <c r="P329" s="111"/>
      <c r="Q329" s="33">
        <v>0</v>
      </c>
      <c r="R329" s="23"/>
      <c r="S329" s="92">
        <f t="shared" si="83"/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82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0.33205089339824706</v>
      </c>
      <c r="F330" s="96">
        <f>+SUM(F318:F329)</f>
        <v>28819.856773655971</v>
      </c>
      <c r="G330" s="97"/>
      <c r="H330" s="95"/>
      <c r="I330" s="96"/>
      <c r="J330" s="97" t="s">
        <v>38</v>
      </c>
      <c r="K330" s="95">
        <f>L330/L$314</f>
        <v>0.24385163347173552</v>
      </c>
      <c r="L330" s="96">
        <f>+SUM(L318:L329)</f>
        <v>29284.050000000003</v>
      </c>
      <c r="M330" s="147"/>
      <c r="N330" s="113">
        <f t="shared" si="80"/>
        <v>464.19322634403215</v>
      </c>
      <c r="O330" s="97" t="s">
        <v>38</v>
      </c>
      <c r="P330" s="95">
        <f>Q330/Q$314</f>
        <v>0.33818069912719428</v>
      </c>
      <c r="Q330" s="96">
        <f>+SUM(Q318:Q329)</f>
        <v>28154.25</v>
      </c>
      <c r="R330" s="147"/>
      <c r="S330" s="114">
        <f t="shared" si="83"/>
        <v>1129.8000000000029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82"/>
        <v>PiècesPublicité 2</v>
      </c>
      <c r="B331" s="11" t="s">
        <v>98</v>
      </c>
      <c r="C331" s="211" t="s">
        <v>49</v>
      </c>
      <c r="D331" s="81"/>
      <c r="E331" s="13"/>
      <c r="F331" s="30">
        <v>3614.631435814646</v>
      </c>
      <c r="G331" s="83"/>
      <c r="H331" s="13"/>
      <c r="I331" s="30"/>
      <c r="J331" s="41"/>
      <c r="K331" s="13"/>
      <c r="L331" s="33">
        <v>4993</v>
      </c>
      <c r="M331" s="41"/>
      <c r="N331" s="59">
        <f t="shared" si="80"/>
        <v>1378.368564185354</v>
      </c>
      <c r="O331" s="41"/>
      <c r="P331" s="13"/>
      <c r="Q331" s="33">
        <v>3548.03</v>
      </c>
      <c r="R331" s="41"/>
      <c r="S331" s="85">
        <f t="shared" si="83"/>
        <v>1444.9699999999998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82"/>
        <v>PiècesService gratuit 2</v>
      </c>
      <c r="B332" s="11" t="s">
        <v>98</v>
      </c>
      <c r="C332" s="102" t="s">
        <v>50</v>
      </c>
      <c r="D332" s="81"/>
      <c r="E332" s="13"/>
      <c r="F332" s="30">
        <v>575</v>
      </c>
      <c r="G332" s="83"/>
      <c r="H332" s="13"/>
      <c r="I332" s="30"/>
      <c r="J332" s="41"/>
      <c r="K332" s="13"/>
      <c r="L332" s="30">
        <v>260.11</v>
      </c>
      <c r="M332" s="41"/>
      <c r="N332" s="59">
        <f t="shared" si="80"/>
        <v>-314.89</v>
      </c>
      <c r="O332" s="41"/>
      <c r="P332" s="13"/>
      <c r="Q332" s="33">
        <v>2876.94</v>
      </c>
      <c r="R332" s="41"/>
      <c r="S332" s="85">
        <f t="shared" si="83"/>
        <v>-2616.83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82"/>
        <v>PiècesFrais véhicules de cie</v>
      </c>
      <c r="B333" s="11" t="s">
        <v>98</v>
      </c>
      <c r="C333" s="103" t="s">
        <v>51</v>
      </c>
      <c r="D333" s="87"/>
      <c r="E333" s="111"/>
      <c r="F333" s="22">
        <v>6053.9333333333334</v>
      </c>
      <c r="G333" s="89"/>
      <c r="H333" s="111"/>
      <c r="I333" s="22"/>
      <c r="J333" s="23"/>
      <c r="K333" s="111"/>
      <c r="L333" s="22">
        <v>5490.18</v>
      </c>
      <c r="M333" s="23"/>
      <c r="N333" s="91">
        <f t="shared" si="80"/>
        <v>-563.7533333333331</v>
      </c>
      <c r="O333" s="23"/>
      <c r="P333" s="111"/>
      <c r="Q333" s="33">
        <v>4303.67</v>
      </c>
      <c r="R333" s="23"/>
      <c r="S333" s="92">
        <f t="shared" si="83"/>
        <v>1186.5100000000002</v>
      </c>
      <c r="T333" s="13"/>
      <c r="U333" s="13"/>
      <c r="V333" s="462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82"/>
        <v>PiècesInformatique</v>
      </c>
      <c r="B334" s="11" t="s">
        <v>98</v>
      </c>
      <c r="C334" s="102" t="s">
        <v>52</v>
      </c>
      <c r="D334" s="81"/>
      <c r="E334" s="13"/>
      <c r="F334" s="30">
        <v>1826.8000000000002</v>
      </c>
      <c r="G334" s="83"/>
      <c r="H334" s="13"/>
      <c r="I334" s="30"/>
      <c r="J334" s="41"/>
      <c r="K334" s="13"/>
      <c r="L334" s="108">
        <v>1828.98</v>
      </c>
      <c r="M334" s="41"/>
      <c r="N334" s="59">
        <f t="shared" si="80"/>
        <v>2.1799999999998363</v>
      </c>
      <c r="O334" s="41"/>
      <c r="P334" s="13"/>
      <c r="Q334" s="108">
        <v>1777.19</v>
      </c>
      <c r="R334" s="41"/>
      <c r="S334" s="85">
        <f t="shared" si="83"/>
        <v>51.789999999999964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82"/>
        <v>PiècesFrais de déplacement</v>
      </c>
      <c r="B335" s="11" t="s">
        <v>98</v>
      </c>
      <c r="C335" s="102" t="s">
        <v>53</v>
      </c>
      <c r="D335" s="81"/>
      <c r="E335" s="13"/>
      <c r="F335" s="30">
        <v>366.66666666666669</v>
      </c>
      <c r="G335" s="83"/>
      <c r="H335" s="13"/>
      <c r="I335" s="30"/>
      <c r="J335" s="41"/>
      <c r="K335" s="13"/>
      <c r="L335" s="33">
        <v>494</v>
      </c>
      <c r="M335" s="41"/>
      <c r="N335" s="59">
        <f t="shared" si="80"/>
        <v>127.33333333333331</v>
      </c>
      <c r="O335" s="41"/>
      <c r="P335" s="13"/>
      <c r="Q335" s="33">
        <v>626.54</v>
      </c>
      <c r="R335" s="41"/>
      <c r="S335" s="85">
        <f t="shared" si="83"/>
        <v>-132.53999999999996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82"/>
        <v>PiècesServices extérieurs</v>
      </c>
      <c r="B336" s="11" t="s">
        <v>98</v>
      </c>
      <c r="C336" s="230" t="s">
        <v>54</v>
      </c>
      <c r="D336" s="87"/>
      <c r="E336" s="111"/>
      <c r="F336" s="22">
        <v>2023.2</v>
      </c>
      <c r="G336" s="89"/>
      <c r="H336" s="111"/>
      <c r="I336" s="22"/>
      <c r="J336" s="23"/>
      <c r="K336" s="111"/>
      <c r="L336" s="48">
        <v>2944.8199999999997</v>
      </c>
      <c r="M336" s="23"/>
      <c r="N336" s="91">
        <f t="shared" si="80"/>
        <v>921.61999999999966</v>
      </c>
      <c r="O336" s="23"/>
      <c r="P336" s="111"/>
      <c r="Q336" s="48">
        <v>1731.92</v>
      </c>
      <c r="R336" s="23"/>
      <c r="S336" s="92">
        <f t="shared" si="83"/>
        <v>1212.8999999999996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 hidden="1">
      <c r="A337" t="str">
        <f>+B337&amp;C337</f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80"/>
        <v>0</v>
      </c>
      <c r="O337" s="41"/>
      <c r="P337" s="13"/>
      <c r="Q337" s="33"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ref="A338:A343" si="84">+B338&amp;C338</f>
        <v>PiècesFournitures autres</v>
      </c>
      <c r="B338" s="11" t="s">
        <v>98</v>
      </c>
      <c r="C338" s="102" t="s">
        <v>55</v>
      </c>
      <c r="D338" s="81"/>
      <c r="E338" s="13"/>
      <c r="F338" s="30">
        <v>10</v>
      </c>
      <c r="G338" s="83"/>
      <c r="H338" s="13"/>
      <c r="I338" s="30"/>
      <c r="J338" s="41"/>
      <c r="K338" s="13"/>
      <c r="L338" s="33">
        <v>0</v>
      </c>
      <c r="M338" s="41"/>
      <c r="N338" s="59">
        <f t="shared" si="80"/>
        <v>-10</v>
      </c>
      <c r="O338" s="41"/>
      <c r="P338" s="13"/>
      <c r="Q338" s="33">
        <v>0</v>
      </c>
      <c r="R338" s="41"/>
      <c r="S338" s="85">
        <f t="shared" ref="S338:S343" si="85">L338-Q338</f>
        <v>0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84"/>
        <v>PiècesUniformes</v>
      </c>
      <c r="B339" s="11" t="s">
        <v>98</v>
      </c>
      <c r="C339" s="102" t="s">
        <v>56</v>
      </c>
      <c r="D339" s="81"/>
      <c r="E339" s="13"/>
      <c r="F339" s="30">
        <v>20</v>
      </c>
      <c r="G339" s="83"/>
      <c r="H339" s="13"/>
      <c r="I339" s="30"/>
      <c r="J339" s="41"/>
      <c r="K339" s="13"/>
      <c r="L339" s="33">
        <v>132</v>
      </c>
      <c r="M339" s="41"/>
      <c r="N339" s="59">
        <f t="shared" si="80"/>
        <v>112</v>
      </c>
      <c r="O339" s="41"/>
      <c r="P339" s="13"/>
      <c r="Q339" s="33">
        <v>0</v>
      </c>
      <c r="R339" s="41"/>
      <c r="S339" s="85">
        <f t="shared" si="85"/>
        <v>132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84"/>
        <v>PiècesPapeterie</v>
      </c>
      <c r="B340" s="11" t="s">
        <v>98</v>
      </c>
      <c r="C340" s="102" t="s">
        <v>57</v>
      </c>
      <c r="D340" s="81"/>
      <c r="E340" s="13"/>
      <c r="F340" s="30">
        <v>315</v>
      </c>
      <c r="G340" s="83"/>
      <c r="H340" s="13"/>
      <c r="I340" s="30"/>
      <c r="J340" s="41"/>
      <c r="K340" s="13"/>
      <c r="L340" s="32">
        <v>191.75</v>
      </c>
      <c r="M340" s="41"/>
      <c r="N340" s="59">
        <f t="shared" si="80"/>
        <v>-123.25</v>
      </c>
      <c r="O340" s="41"/>
      <c r="P340" s="13"/>
      <c r="Q340" s="32">
        <v>183.86</v>
      </c>
      <c r="R340" s="41"/>
      <c r="S340" s="85">
        <f t="shared" si="85"/>
        <v>7.8899999999999864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84"/>
        <v>PiècesTéléphone</v>
      </c>
      <c r="B341" s="11" t="s">
        <v>98</v>
      </c>
      <c r="C341" s="102" t="s">
        <v>58</v>
      </c>
      <c r="D341" s="81"/>
      <c r="E341" s="13"/>
      <c r="F341" s="30">
        <v>118.4</v>
      </c>
      <c r="G341" s="83"/>
      <c r="H341" s="13"/>
      <c r="I341" s="30"/>
      <c r="J341" s="41"/>
      <c r="K341" s="13"/>
      <c r="L341" s="33">
        <v>98.66</v>
      </c>
      <c r="M341" s="41"/>
      <c r="N341" s="59">
        <f t="shared" si="80"/>
        <v>-19.740000000000009</v>
      </c>
      <c r="O341" s="41"/>
      <c r="P341" s="13"/>
      <c r="Q341" s="33">
        <v>119.64</v>
      </c>
      <c r="R341" s="41"/>
      <c r="S341" s="85">
        <f t="shared" si="85"/>
        <v>-20.980000000000004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84"/>
        <v>PiècesFrais postaux</v>
      </c>
      <c r="B342" s="11" t="s">
        <v>98</v>
      </c>
      <c r="C342" s="102" t="s">
        <v>59</v>
      </c>
      <c r="D342" s="81"/>
      <c r="E342" s="13"/>
      <c r="F342" s="30">
        <v>590</v>
      </c>
      <c r="G342" s="83"/>
      <c r="H342" s="13"/>
      <c r="I342" s="30"/>
      <c r="J342" s="41"/>
      <c r="K342" s="13"/>
      <c r="L342" s="33">
        <v>966.51</v>
      </c>
      <c r="M342" s="41"/>
      <c r="N342" s="59">
        <f t="shared" si="80"/>
        <v>376.51</v>
      </c>
      <c r="O342" s="41"/>
      <c r="P342" s="13"/>
      <c r="Q342" s="33">
        <v>910.18</v>
      </c>
      <c r="R342" s="41"/>
      <c r="S342" s="85">
        <f t="shared" si="85"/>
        <v>56.330000000000041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84"/>
        <v>PiècesDivers</v>
      </c>
      <c r="B343" s="11" t="s">
        <v>98</v>
      </c>
      <c r="C343" s="102" t="s">
        <v>60</v>
      </c>
      <c r="D343" s="81"/>
      <c r="E343" s="13"/>
      <c r="F343" s="30">
        <v>348.20000000000005</v>
      </c>
      <c r="G343" s="83"/>
      <c r="H343" s="13"/>
      <c r="I343" s="30"/>
      <c r="J343" s="41"/>
      <c r="K343" s="13"/>
      <c r="L343" s="33">
        <v>303.2</v>
      </c>
      <c r="M343" s="41"/>
      <c r="N343" s="59">
        <f t="shared" si="80"/>
        <v>-45.000000000000057</v>
      </c>
      <c r="O343" s="41"/>
      <c r="P343" s="13"/>
      <c r="Q343" s="33">
        <v>370.2</v>
      </c>
      <c r="R343" s="41"/>
      <c r="S343" s="85">
        <f t="shared" si="85"/>
        <v>-67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>+B344&amp;C344</f>
        <v>PiècesFormation</v>
      </c>
      <c r="B344" s="11" t="s">
        <v>98</v>
      </c>
      <c r="C344" s="102" t="s">
        <v>61</v>
      </c>
      <c r="D344" s="81"/>
      <c r="E344" s="13"/>
      <c r="F344" s="30">
        <v>256.41489333333328</v>
      </c>
      <c r="G344" s="83"/>
      <c r="H344" s="13"/>
      <c r="I344" s="30"/>
      <c r="J344" s="41"/>
      <c r="K344" s="13"/>
      <c r="L344" s="59">
        <v>243.68</v>
      </c>
      <c r="M344" s="41"/>
      <c r="N344" s="59">
        <f t="shared" si="80"/>
        <v>-12.734893333333275</v>
      </c>
      <c r="O344" s="41"/>
      <c r="P344" s="13"/>
      <c r="Q344" s="33">
        <v>130.77000000000001</v>
      </c>
      <c r="R344" s="41"/>
      <c r="S344" s="85">
        <f>L344-Q344</f>
        <v>112.91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>+B345&amp;C345</f>
        <v>PiècesFrais bancaires</v>
      </c>
      <c r="B345" s="11" t="s">
        <v>98</v>
      </c>
      <c r="C345" s="102" t="s">
        <v>62</v>
      </c>
      <c r="D345" s="81"/>
      <c r="E345" s="13"/>
      <c r="F345" s="30">
        <v>1814.843132016204</v>
      </c>
      <c r="G345" s="83"/>
      <c r="H345" s="13"/>
      <c r="I345" s="30"/>
      <c r="J345" s="41"/>
      <c r="K345" s="13"/>
      <c r="L345" s="32">
        <v>1989.28</v>
      </c>
      <c r="M345" s="41"/>
      <c r="N345" s="59">
        <f t="shared" si="80"/>
        <v>174.43686798379599</v>
      </c>
      <c r="O345" s="41"/>
      <c r="P345" s="13"/>
      <c r="Q345" s="33">
        <v>1950.25</v>
      </c>
      <c r="R345" s="41"/>
      <c r="S345" s="85">
        <f>L345-Q345</f>
        <v>39.029999999999973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>+B346&amp;C346</f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80"/>
        <v>0</v>
      </c>
      <c r="O346" s="41"/>
      <c r="P346" s="13"/>
      <c r="Q346" s="33"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80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80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0.20661790319559822</v>
      </c>
      <c r="F349" s="96">
        <f>+SUM(F331:F348)</f>
        <v>17933.089461164182</v>
      </c>
      <c r="G349" s="97"/>
      <c r="H349" s="95"/>
      <c r="I349" s="96"/>
      <c r="J349" s="97" t="s">
        <v>38</v>
      </c>
      <c r="K349" s="95">
        <f>L349/L$314</f>
        <v>0.16601076762504532</v>
      </c>
      <c r="L349" s="96">
        <f>+SUM(L331:L348)</f>
        <v>19936.169999999998</v>
      </c>
      <c r="M349" s="100"/>
      <c r="N349" s="96">
        <f>+SUM(N331:N348)</f>
        <v>2003.0805388358165</v>
      </c>
      <c r="O349" s="97" t="s">
        <v>38</v>
      </c>
      <c r="P349" s="95">
        <f>Q349/Q$314</f>
        <v>0.22256726527826587</v>
      </c>
      <c r="Q349" s="96">
        <f>+SUM(Q331:Q348)</f>
        <v>18529.189999999999</v>
      </c>
      <c r="R349" s="100"/>
      <c r="S349" s="101">
        <f>+SUM(S331:S348)</f>
        <v>1406.9799999999996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0.53866879659384526</v>
      </c>
      <c r="F351" s="96">
        <f>F330+F349</f>
        <v>46752.946234820149</v>
      </c>
      <c r="G351" s="97"/>
      <c r="H351" s="95"/>
      <c r="I351" s="96"/>
      <c r="J351" s="97" t="s">
        <v>38</v>
      </c>
      <c r="K351" s="95">
        <f>L351/L$314</f>
        <v>0.40986240109678085</v>
      </c>
      <c r="L351" s="96">
        <f>L330+L349</f>
        <v>49220.22</v>
      </c>
      <c r="M351" s="100"/>
      <c r="N351" s="113">
        <f>L351-F351</f>
        <v>2467.2737651798525</v>
      </c>
      <c r="O351" s="97" t="s">
        <v>38</v>
      </c>
      <c r="P351" s="95">
        <f>Q351/Q$314</f>
        <v>0.56074796440546015</v>
      </c>
      <c r="Q351" s="96">
        <f>Q330+Q349</f>
        <v>46683.44</v>
      </c>
      <c r="R351" s="100"/>
      <c r="S351" s="114">
        <f>L351-Q351</f>
        <v>2536.7799999999988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/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40040.546409365328</v>
      </c>
      <c r="G353" s="153"/>
      <c r="H353" s="125"/>
      <c r="I353" s="127"/>
      <c r="J353" s="154"/>
      <c r="K353" s="126"/>
      <c r="L353" s="127">
        <f>L314-L351</f>
        <v>70869.400000000009</v>
      </c>
      <c r="M353" s="154"/>
      <c r="N353" s="127">
        <f>L353-F353</f>
        <v>30828.853590634681</v>
      </c>
      <c r="O353" s="154"/>
      <c r="P353" s="126"/>
      <c r="Q353" s="127">
        <f>Q314-Q351</f>
        <v>36568.649999999703</v>
      </c>
      <c r="R353" s="154"/>
      <c r="S353" s="129">
        <f>L353-Q353</f>
        <v>34300.750000000306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Avril 2025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507" t="s">
        <v>5</v>
      </c>
      <c r="E358" s="508"/>
      <c r="F358" s="509"/>
      <c r="G358" s="510"/>
      <c r="H358" s="508"/>
      <c r="I358" s="509"/>
      <c r="J358" s="510" t="s">
        <v>7</v>
      </c>
      <c r="K358" s="508"/>
      <c r="L358" s="509"/>
      <c r="M358" s="510"/>
      <c r="N358" s="509"/>
      <c r="O358" s="507" t="s">
        <v>8</v>
      </c>
      <c r="P358" s="508"/>
      <c r="Q358" s="509"/>
      <c r="R358" s="510" t="s">
        <v>9</v>
      </c>
      <c r="S358" s="514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86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86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86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86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 t="shared" ref="Q362" si="87"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86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86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86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86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88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86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88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86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88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86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8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86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8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86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8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86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88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86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88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86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88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86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8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86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88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86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88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86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88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86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8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86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88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86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88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86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8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86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88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86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88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86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8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86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8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86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8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86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8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86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8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86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8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86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8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86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8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86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8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86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88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>
        <f>F353+F289+F233</f>
        <v>57663.036484688273</v>
      </c>
      <c r="G401" s="13"/>
      <c r="H401" s="13"/>
      <c r="I401" s="13"/>
      <c r="J401" s="13"/>
      <c r="K401" s="13"/>
      <c r="L401" s="82">
        <f>L353+L289+L233</f>
        <v>107912.30999999998</v>
      </c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55"/>
      <c r="G402" s="10"/>
      <c r="H402" s="10"/>
      <c r="I402" s="10"/>
      <c r="J402" s="10"/>
      <c r="K402" s="10"/>
      <c r="L402" s="155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Avril 2025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15" t="s">
        <v>117</v>
      </c>
      <c r="Y404" s="512"/>
      <c r="Z404" s="516"/>
      <c r="AA404" s="511"/>
      <c r="AB404" s="512"/>
      <c r="AC404" s="516"/>
      <c r="AD404" s="511" t="s">
        <v>7</v>
      </c>
      <c r="AE404" s="512"/>
      <c r="AF404" s="516"/>
      <c r="AG404" s="511" t="s">
        <v>213</v>
      </c>
      <c r="AH404" s="512"/>
      <c r="AI404" s="516"/>
      <c r="AJ404" s="511" t="s">
        <v>118</v>
      </c>
      <c r="AK404" s="512"/>
      <c r="AL404" s="512"/>
      <c r="AM404" s="511" t="s">
        <v>119</v>
      </c>
      <c r="AN404" s="512"/>
      <c r="AO404" s="513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89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89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5499524.6424733466</v>
      </c>
      <c r="AA406" s="263"/>
      <c r="AB406" s="263"/>
      <c r="AC406" s="264"/>
      <c r="AD406" s="265"/>
      <c r="AE406" s="266"/>
      <c r="AF406" s="266">
        <f>L5+L93+K194+K250+J314+J362</f>
        <v>4784256.5200000005</v>
      </c>
      <c r="AG406" s="265"/>
      <c r="AH406" s="266"/>
      <c r="AI406" s="267"/>
      <c r="AJ406" s="265"/>
      <c r="AK406" s="266"/>
      <c r="AL406" s="266">
        <f>Q5+Q93+P194+P250+O314+O362</f>
        <v>5136322.2499999898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89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481039.74899517075</v>
      </c>
      <c r="AA407" s="271"/>
      <c r="AB407" s="271"/>
      <c r="AC407" s="272"/>
      <c r="AD407" s="273"/>
      <c r="AE407" s="274"/>
      <c r="AF407" s="274">
        <f>L27+L108+L194+L250+L314+L362</f>
        <v>587240.1399999999</v>
      </c>
      <c r="AG407" s="273"/>
      <c r="AH407" s="274">
        <f>AF407-Z407</f>
        <v>106200.39100482914</v>
      </c>
      <c r="AI407" s="275">
        <f>AH407/Z407</f>
        <v>0.22077258943084827</v>
      </c>
      <c r="AJ407" s="273">
        <f>+AL407/AL406</f>
        <v>9.1748840330257819E-2</v>
      </c>
      <c r="AK407" s="274"/>
      <c r="AL407" s="274">
        <f>Q27+Q108+Q194+Q250+Q314+Q362</f>
        <v>471251.60999999964</v>
      </c>
      <c r="AM407" s="276"/>
      <c r="AN407" s="274">
        <f>AF407-AL407</f>
        <v>115988.53000000026</v>
      </c>
      <c r="AO407" s="277">
        <f>IF(AL407=0,0,AN407/AL407)</f>
        <v>0.2461286657460976</v>
      </c>
      <c r="AP407" s="246"/>
      <c r="AQ407" s="246" t="s">
        <v>221</v>
      </c>
      <c r="AR407" s="310">
        <f>W27+W108+W194+W314</f>
        <v>559207</v>
      </c>
      <c r="AS407" s="310">
        <f>AF407-AR407</f>
        <v>28033.139999999898</v>
      </c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89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89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90">Z409/(D$13+D$97)</f>
        <v>897.37536110876499</v>
      </c>
      <c r="Z409" s="280">
        <f t="shared" ref="Z409:Z415" si="91">+SUMIF($C:$C,$V409,F:F)</f>
        <v>49355.644860982073</v>
      </c>
      <c r="AA409" s="279"/>
      <c r="AB409" s="287"/>
      <c r="AC409" s="280"/>
      <c r="AD409" s="288"/>
      <c r="AE409" s="287">
        <f t="shared" ref="AE409:AE414" si="92">IF(AF409=0,0,AF409/(J$13+J$97))</f>
        <v>1075.2397674418605</v>
      </c>
      <c r="AF409" s="280">
        <f t="shared" ref="AF409:AF415" si="93">+SUMIF($C:$C,$V409,L:L)</f>
        <v>46235.31</v>
      </c>
      <c r="AG409" s="281">
        <f t="shared" ref="AG409:AH424" si="94">AE409-Y409</f>
        <v>177.86440633309553</v>
      </c>
      <c r="AH409" s="282">
        <f t="shared" si="94"/>
        <v>-3120.334860982075</v>
      </c>
      <c r="AI409" s="283">
        <f t="shared" ref="AI409:AI418" si="95">IF(Z409=0,0,AH409/Z409)</f>
        <v>-6.322143839414901E-2</v>
      </c>
      <c r="AJ409" s="288"/>
      <c r="AK409" s="282">
        <f t="shared" ref="AK409:AK418" si="96">AL409/(O$13+O$97)</f>
        <v>1065.9484905660377</v>
      </c>
      <c r="AL409" s="280">
        <f t="shared" ref="AL409:AL414" si="97">+SUMIF($C:$C,$V409,Q:Q)</f>
        <v>56495.27</v>
      </c>
      <c r="AM409" s="284">
        <f t="shared" ref="AM409:AM414" si="98">AE409-Y409</f>
        <v>177.86440633309553</v>
      </c>
      <c r="AN409" s="282">
        <f t="shared" ref="AN409:AN414" si="99">AF409-AL409</f>
        <v>-10259.959999999999</v>
      </c>
      <c r="AO409" s="289">
        <f t="shared" ref="AO409:AO431" si="100">IF(AL409=0,0,AN409/AL409)</f>
        <v>-0.18160741598367439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89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90"/>
        <v>460.55</v>
      </c>
      <c r="Z410" s="264">
        <f t="shared" si="91"/>
        <v>25330.25</v>
      </c>
      <c r="AA410" s="263"/>
      <c r="AB410" s="291"/>
      <c r="AC410" s="264"/>
      <c r="AD410" s="292"/>
      <c r="AE410" s="291">
        <f t="shared" si="92"/>
        <v>903.27860465116271</v>
      </c>
      <c r="AF410" s="264">
        <f t="shared" si="93"/>
        <v>38840.979999999996</v>
      </c>
      <c r="AG410" s="265">
        <f t="shared" si="94"/>
        <v>442.7286046511627</v>
      </c>
      <c r="AH410" s="266">
        <f t="shared" si="94"/>
        <v>13510.729999999996</v>
      </c>
      <c r="AI410" s="293">
        <f t="shared" si="95"/>
        <v>0.53338320782463644</v>
      </c>
      <c r="AJ410" s="292"/>
      <c r="AK410" s="266">
        <f t="shared" si="96"/>
        <v>596.42735849056612</v>
      </c>
      <c r="AL410" s="264">
        <f t="shared" si="97"/>
        <v>31610.65</v>
      </c>
      <c r="AM410" s="268">
        <f t="shared" si="98"/>
        <v>442.7286046511627</v>
      </c>
      <c r="AN410" s="266">
        <f t="shared" si="99"/>
        <v>7230.3299999999945</v>
      </c>
      <c r="AO410" s="294">
        <f t="shared" si="100"/>
        <v>0.2287308233142942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89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90"/>
        <v>119.81818181818181</v>
      </c>
      <c r="Z411" s="280">
        <f t="shared" si="91"/>
        <v>6590</v>
      </c>
      <c r="AA411" s="279"/>
      <c r="AB411" s="287"/>
      <c r="AC411" s="280"/>
      <c r="AD411" s="288"/>
      <c r="AE411" s="287">
        <f t="shared" si="92"/>
        <v>130.68465116279069</v>
      </c>
      <c r="AF411" s="280">
        <f t="shared" si="93"/>
        <v>5619.44</v>
      </c>
      <c r="AG411" s="281">
        <f t="shared" si="94"/>
        <v>10.866469344608873</v>
      </c>
      <c r="AH411" s="282">
        <f t="shared" si="94"/>
        <v>-970.5600000000004</v>
      </c>
      <c r="AI411" s="283">
        <f t="shared" si="95"/>
        <v>-0.14727769347496211</v>
      </c>
      <c r="AJ411" s="288"/>
      <c r="AK411" s="282">
        <f t="shared" si="96"/>
        <v>75.8533962264151</v>
      </c>
      <c r="AL411" s="280">
        <f t="shared" si="97"/>
        <v>4020.2300000000005</v>
      </c>
      <c r="AM411" s="284">
        <f t="shared" si="98"/>
        <v>10.866469344608873</v>
      </c>
      <c r="AN411" s="282">
        <f t="shared" si="99"/>
        <v>1599.2099999999991</v>
      </c>
      <c r="AO411" s="289">
        <f t="shared" si="100"/>
        <v>0.3977906736679242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89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148</v>
      </c>
      <c r="X412" s="279"/>
      <c r="Y412" s="287">
        <f t="shared" si="90"/>
        <v>67.672727272727272</v>
      </c>
      <c r="Z412" s="280">
        <f t="shared" si="91"/>
        <v>3722</v>
      </c>
      <c r="AA412" s="279"/>
      <c r="AB412" s="287"/>
      <c r="AC412" s="280"/>
      <c r="AD412" s="288"/>
      <c r="AE412" s="287">
        <f t="shared" si="92"/>
        <v>61.715116279069768</v>
      </c>
      <c r="AF412" s="280">
        <f t="shared" si="93"/>
        <v>2653.75</v>
      </c>
      <c r="AG412" s="281">
        <f t="shared" si="94"/>
        <v>-5.9576109936575037</v>
      </c>
      <c r="AH412" s="282">
        <f t="shared" si="94"/>
        <v>-1068.25</v>
      </c>
      <c r="AI412" s="283">
        <f t="shared" si="95"/>
        <v>-0.28700967221923696</v>
      </c>
      <c r="AJ412" s="288"/>
      <c r="AK412" s="282">
        <f t="shared" si="96"/>
        <v>25.306792452830187</v>
      </c>
      <c r="AL412" s="280">
        <f t="shared" si="97"/>
        <v>1341.26</v>
      </c>
      <c r="AM412" s="284">
        <f t="shared" si="98"/>
        <v>-5.9576109936575037</v>
      </c>
      <c r="AN412" s="282">
        <f t="shared" si="99"/>
        <v>1312.49</v>
      </c>
      <c r="AO412" s="295">
        <f t="shared" si="100"/>
        <v>0.97855002013032522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89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 t="s">
        <v>222</v>
      </c>
      <c r="X413" s="263"/>
      <c r="Y413" s="291">
        <f t="shared" si="90"/>
        <v>70.545454545454547</v>
      </c>
      <c r="Z413" s="264">
        <f t="shared" si="91"/>
        <v>3880</v>
      </c>
      <c r="AA413" s="263"/>
      <c r="AB413" s="291"/>
      <c r="AC413" s="264"/>
      <c r="AD413" s="292"/>
      <c r="AE413" s="291">
        <f t="shared" si="92"/>
        <v>82.665581395348838</v>
      </c>
      <c r="AF413" s="264">
        <f t="shared" si="93"/>
        <v>3554.62</v>
      </c>
      <c r="AG413" s="265">
        <f t="shared" si="94"/>
        <v>12.120126849894291</v>
      </c>
      <c r="AH413" s="266">
        <f t="shared" si="94"/>
        <v>-325.38000000000011</v>
      </c>
      <c r="AI413" s="293">
        <f t="shared" si="95"/>
        <v>-8.3860824742268067E-2</v>
      </c>
      <c r="AJ413" s="292"/>
      <c r="AK413" s="266">
        <f t="shared" si="96"/>
        <v>69.646226415094333</v>
      </c>
      <c r="AL413" s="264">
        <f t="shared" si="97"/>
        <v>3691.25</v>
      </c>
      <c r="AM413" s="268">
        <f t="shared" si="98"/>
        <v>12.120126849894291</v>
      </c>
      <c r="AN413" s="266">
        <f t="shared" si="99"/>
        <v>-136.63000000000011</v>
      </c>
      <c r="AO413" s="294">
        <f t="shared" si="100"/>
        <v>-3.7014561462919093E-2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89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223</v>
      </c>
      <c r="X414" s="283"/>
      <c r="Y414" s="287">
        <f t="shared" si="90"/>
        <v>406.76470588235298</v>
      </c>
      <c r="Z414" s="280">
        <f t="shared" si="91"/>
        <v>22372.058823529413</v>
      </c>
      <c r="AA414" s="283"/>
      <c r="AB414" s="287"/>
      <c r="AC414" s="280"/>
      <c r="AD414" s="288"/>
      <c r="AE414" s="287">
        <f t="shared" si="92"/>
        <v>516.86395348837209</v>
      </c>
      <c r="AF414" s="280">
        <f t="shared" si="93"/>
        <v>22225.149999999998</v>
      </c>
      <c r="AG414" s="281">
        <f t="shared" si="94"/>
        <v>110.09924760601911</v>
      </c>
      <c r="AH414" s="282">
        <f t="shared" si="94"/>
        <v>-146.9088235294148</v>
      </c>
      <c r="AI414" s="283">
        <f t="shared" si="95"/>
        <v>-6.5666206533886847E-3</v>
      </c>
      <c r="AJ414" s="288"/>
      <c r="AK414" s="282">
        <f t="shared" si="96"/>
        <v>401.3339622641509</v>
      </c>
      <c r="AL414" s="280">
        <f t="shared" si="97"/>
        <v>21270.699999999997</v>
      </c>
      <c r="AM414" s="284">
        <f t="shared" si="98"/>
        <v>110.09924760601911</v>
      </c>
      <c r="AN414" s="282">
        <f t="shared" si="99"/>
        <v>954.45000000000073</v>
      </c>
      <c r="AO414" s="289">
        <f t="shared" si="100"/>
        <v>4.4871583915903138E-2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89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224</v>
      </c>
      <c r="X415" s="279"/>
      <c r="Y415" s="287">
        <f t="shared" si="90"/>
        <v>667.28591696159424</v>
      </c>
      <c r="Z415" s="280">
        <f t="shared" si="91"/>
        <v>36700.725432887681</v>
      </c>
      <c r="AA415" s="279"/>
      <c r="AB415" s="287"/>
      <c r="AC415" s="280"/>
      <c r="AD415" s="288"/>
      <c r="AE415" s="287">
        <f>IF(AF415=0,0,AF415/(J$13+J$13))</f>
        <v>689.92714285714283</v>
      </c>
      <c r="AF415" s="280">
        <f t="shared" si="93"/>
        <v>28976.94</v>
      </c>
      <c r="AG415" s="281">
        <f t="shared" si="94"/>
        <v>22.641225895548587</v>
      </c>
      <c r="AH415" s="282">
        <f t="shared" si="94"/>
        <v>-7723.785432887682</v>
      </c>
      <c r="AI415" s="283">
        <f t="shared" si="95"/>
        <v>-0.21045320880677645</v>
      </c>
      <c r="AJ415" s="288"/>
      <c r="AK415" s="282">
        <f t="shared" si="96"/>
        <v>841.99981132075482</v>
      </c>
      <c r="AL415" s="280">
        <f>IFERROR(SUMIF($C:$C,$V415,Q:Q),0)</f>
        <v>44625.990000000005</v>
      </c>
      <c r="AM415" s="284">
        <f>AE415-Y415</f>
        <v>22.641225895548587</v>
      </c>
      <c r="AN415" s="282">
        <f>AF415-AL415</f>
        <v>-15649.050000000007</v>
      </c>
      <c r="AO415" s="294">
        <f t="shared" si="100"/>
        <v>-0.35067121200000279</v>
      </c>
      <c r="AP415" s="246"/>
      <c r="AQ415" s="246">
        <v>28977</v>
      </c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>
      <c r="A416" t="str">
        <f t="shared" si="89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90"/>
        <v>0</v>
      </c>
      <c r="Z416" s="280">
        <f>IFERROR(SUMIF($C:$C,$V416,F:F),0)</f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>IFERROR(SUMIF($C:$C,$V416,L:L),0)</f>
        <v>0</v>
      </c>
      <c r="AG416" s="281">
        <f t="shared" si="94"/>
        <v>0</v>
      </c>
      <c r="AH416" s="282">
        <f t="shared" si="94"/>
        <v>0</v>
      </c>
      <c r="AI416" s="283">
        <f t="shared" si="95"/>
        <v>0</v>
      </c>
      <c r="AJ416" s="288"/>
      <c r="AK416" s="282">
        <f t="shared" si="96"/>
        <v>0</v>
      </c>
      <c r="AL416" s="280">
        <f>IFERROR(SUMIF($C:$C,$V416,Q:Q),0)</f>
        <v>0</v>
      </c>
      <c r="AM416" s="284">
        <f>AE416-Y416</f>
        <v>0</v>
      </c>
      <c r="AN416" s="282">
        <f>AF416-AL416</f>
        <v>0</v>
      </c>
      <c r="AO416" s="289">
        <f t="shared" si="100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>
      <c r="A417" t="str">
        <f t="shared" si="89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90"/>
        <v>0</v>
      </c>
      <c r="Z417" s="280">
        <f>IFERROR(SUMIF($C:$C,$V417,F:F),0)</f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>IFERROR(SUMIF($C:$C,$V417,L:L),0)</f>
        <v>0</v>
      </c>
      <c r="AG417" s="281">
        <f t="shared" si="94"/>
        <v>0</v>
      </c>
      <c r="AH417" s="282">
        <f t="shared" si="94"/>
        <v>0</v>
      </c>
      <c r="AI417" s="283">
        <f t="shared" si="95"/>
        <v>0</v>
      </c>
      <c r="AJ417" s="288"/>
      <c r="AK417" s="282">
        <f t="shared" si="96"/>
        <v>0</v>
      </c>
      <c r="AL417" s="280">
        <f>IFERROR(SUMIF($C:$C,$V417,Q:Q),0)</f>
        <v>0</v>
      </c>
      <c r="AM417" s="284">
        <f>AE417-Y417</f>
        <v>0</v>
      </c>
      <c r="AN417" s="282">
        <f>AF417-AL417</f>
        <v>0</v>
      </c>
      <c r="AO417" s="289">
        <f t="shared" si="100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>
      <c r="A418" t="str">
        <f t="shared" si="89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90"/>
        <v>0</v>
      </c>
      <c r="Z418" s="280">
        <f>IFERROR(SUMIF($C:$C,$V418,F:F),0)</f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>IFERROR(SUMIF($C:$C,$V418,L:L),0)</f>
        <v>0</v>
      </c>
      <c r="AG418" s="281">
        <f t="shared" si="94"/>
        <v>0</v>
      </c>
      <c r="AH418" s="282">
        <f t="shared" si="94"/>
        <v>0</v>
      </c>
      <c r="AI418" s="283">
        <f t="shared" si="95"/>
        <v>0</v>
      </c>
      <c r="AJ418" s="288"/>
      <c r="AK418" s="282">
        <f t="shared" si="96"/>
        <v>0</v>
      </c>
      <c r="AL418" s="280">
        <f>IFERROR(SUMIF($C:$C,$V418,Q:Q),0)</f>
        <v>0</v>
      </c>
      <c r="AM418" s="284">
        <f>AE418-Y418</f>
        <v>0</v>
      </c>
      <c r="AN418" s="282">
        <f>AF418-AL418</f>
        <v>0</v>
      </c>
      <c r="AO418" s="289">
        <f t="shared" si="100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89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0.30756435289692552</v>
      </c>
      <c r="Y419" s="297"/>
      <c r="Z419" s="299">
        <f>SUM(Z409:Z418)</f>
        <v>147950.67911739918</v>
      </c>
      <c r="AA419" s="298"/>
      <c r="AB419" s="297"/>
      <c r="AC419" s="299"/>
      <c r="AD419" s="300">
        <f>AF419/AF407</f>
        <v>0.25220719755294657</v>
      </c>
      <c r="AE419" s="297"/>
      <c r="AF419" s="299">
        <f>SUM(AF409:AF418)</f>
        <v>148106.18999999997</v>
      </c>
      <c r="AG419" s="301"/>
      <c r="AH419" s="302">
        <f t="shared" si="94"/>
        <v>155.51088260079268</v>
      </c>
      <c r="AI419" s="298">
        <f>AH419/Z419</f>
        <v>1.0510994848316611E-3</v>
      </c>
      <c r="AJ419" s="300">
        <f>IF($AL$407=0,0,AL419/$AL$407)</f>
        <v>0.34600486563854943</v>
      </c>
      <c r="AK419" s="297"/>
      <c r="AL419" s="299">
        <f>SUM(AL409:AL418)</f>
        <v>163055.34999999998</v>
      </c>
      <c r="AM419" s="303"/>
      <c r="AN419" s="302">
        <f t="shared" ref="AN419:AN431" si="101">AF419-AL419</f>
        <v>-14949.160000000003</v>
      </c>
      <c r="AO419" s="277">
        <f t="shared" si="100"/>
        <v>-9.1681505697298535E-2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89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137</v>
      </c>
      <c r="X420" s="279"/>
      <c r="Y420" s="279"/>
      <c r="Z420" s="280">
        <v>14277.792101385206</v>
      </c>
      <c r="AA420" s="279"/>
      <c r="AB420" s="279"/>
      <c r="AC420" s="280"/>
      <c r="AD420" s="288"/>
      <c r="AE420" s="287"/>
      <c r="AF420" s="280">
        <v>15867.17</v>
      </c>
      <c r="AG420" s="281"/>
      <c r="AH420" s="282">
        <f t="shared" si="94"/>
        <v>1589.3778986147936</v>
      </c>
      <c r="AI420" s="283">
        <f t="shared" ref="AI420:AI432" si="102">IF(Z420=0,0,AH420/Z420)</f>
        <v>0.11131818472553574</v>
      </c>
      <c r="AJ420" s="288"/>
      <c r="AK420" s="279"/>
      <c r="AL420" s="280">
        <v>11680.48</v>
      </c>
      <c r="AM420" s="284"/>
      <c r="AN420" s="282">
        <f t="shared" si="101"/>
        <v>4186.6900000000005</v>
      </c>
      <c r="AO420" s="289">
        <f t="shared" si="100"/>
        <v>0.35843475610591352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89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140</v>
      </c>
      <c r="X421" s="279"/>
      <c r="Y421" s="279"/>
      <c r="Z421" s="280">
        <f t="shared" ref="Z421:Z431" si="103">+SUMIF($C:$C,$V421,F:F)</f>
        <v>32291.453433539642</v>
      </c>
      <c r="AA421" s="279"/>
      <c r="AB421" s="279"/>
      <c r="AC421" s="280"/>
      <c r="AD421" s="288"/>
      <c r="AE421" s="287"/>
      <c r="AF421" s="280">
        <f t="shared" ref="AF421:AF432" si="104">+SUMIF($C:$C,$V421,L:L)</f>
        <v>34021.32</v>
      </c>
      <c r="AG421" s="281"/>
      <c r="AH421" s="282">
        <f t="shared" si="94"/>
        <v>1729.8665664603577</v>
      </c>
      <c r="AI421" s="283">
        <f t="shared" si="102"/>
        <v>5.3570415157083801E-2</v>
      </c>
      <c r="AJ421" s="288"/>
      <c r="AK421" s="279"/>
      <c r="AL421" s="280">
        <f t="shared" ref="AL421:AL429" si="105">+SUMIF($C:$C,$V421,Q:Q)</f>
        <v>28590.780000000002</v>
      </c>
      <c r="AM421" s="284"/>
      <c r="AN421" s="282">
        <f t="shared" si="101"/>
        <v>5430.5399999999972</v>
      </c>
      <c r="AO421" s="289">
        <f t="shared" si="100"/>
        <v>0.18994025346632715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89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103"/>
        <v>20084.55076628353</v>
      </c>
      <c r="AA422" s="263"/>
      <c r="AB422" s="263"/>
      <c r="AC422" s="264"/>
      <c r="AD422" s="292"/>
      <c r="AE422" s="291"/>
      <c r="AF422" s="264">
        <f t="shared" si="104"/>
        <v>19029.84</v>
      </c>
      <c r="AG422" s="265"/>
      <c r="AH422" s="266">
        <f t="shared" si="94"/>
        <v>-1054.7107662835297</v>
      </c>
      <c r="AI422" s="293">
        <f t="shared" si="102"/>
        <v>-5.2513535331549496E-2</v>
      </c>
      <c r="AJ422" s="292"/>
      <c r="AK422" s="263"/>
      <c r="AL422" s="264">
        <f t="shared" si="105"/>
        <v>17983.900000000001</v>
      </c>
      <c r="AM422" s="268"/>
      <c r="AN422" s="266">
        <f t="shared" si="101"/>
        <v>1045.9399999999987</v>
      </c>
      <c r="AO422" s="269">
        <f t="shared" si="100"/>
        <v>5.8159798486423893E-2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89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103"/>
        <v>25114.020695001338</v>
      </c>
      <c r="AA423" s="279"/>
      <c r="AB423" s="279"/>
      <c r="AC423" s="280"/>
      <c r="AD423" s="288"/>
      <c r="AE423" s="287"/>
      <c r="AF423" s="280">
        <f t="shared" si="104"/>
        <v>29255.18</v>
      </c>
      <c r="AG423" s="281"/>
      <c r="AH423" s="282">
        <f t="shared" si="94"/>
        <v>4141.1593049986623</v>
      </c>
      <c r="AI423" s="283">
        <f t="shared" si="102"/>
        <v>0.16489431761211032</v>
      </c>
      <c r="AJ423" s="288"/>
      <c r="AK423" s="279"/>
      <c r="AL423" s="280">
        <f t="shared" si="105"/>
        <v>26589.989999999998</v>
      </c>
      <c r="AM423" s="284"/>
      <c r="AN423" s="282">
        <f t="shared" si="101"/>
        <v>2665.1900000000023</v>
      </c>
      <c r="AO423" s="289">
        <f t="shared" si="100"/>
        <v>0.10023283197925244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89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225</v>
      </c>
      <c r="X424" s="279"/>
      <c r="Y424" s="279"/>
      <c r="Z424" s="280">
        <f t="shared" si="103"/>
        <v>14418.309888888889</v>
      </c>
      <c r="AA424" s="279"/>
      <c r="AB424" s="279"/>
      <c r="AC424" s="280"/>
      <c r="AD424" s="288"/>
      <c r="AE424" s="287"/>
      <c r="AF424" s="280">
        <f t="shared" si="104"/>
        <v>16301.36</v>
      </c>
      <c r="AG424" s="281"/>
      <c r="AH424" s="282">
        <f t="shared" si="94"/>
        <v>1883.0501111111116</v>
      </c>
      <c r="AI424" s="283">
        <f t="shared" si="102"/>
        <v>0.13060130664567263</v>
      </c>
      <c r="AJ424" s="288"/>
      <c r="AK424" s="279"/>
      <c r="AL424" s="280">
        <f t="shared" si="105"/>
        <v>12116.41</v>
      </c>
      <c r="AM424" s="284"/>
      <c r="AN424" s="282">
        <f t="shared" si="101"/>
        <v>4184.9500000000007</v>
      </c>
      <c r="AO424" s="289">
        <f t="shared" si="100"/>
        <v>0.34539521194809358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>
      <c r="A425" t="str">
        <f t="shared" si="89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103"/>
        <v>0</v>
      </c>
      <c r="AA425" s="279"/>
      <c r="AB425" s="279"/>
      <c r="AC425" s="282"/>
      <c r="AD425" s="288"/>
      <c r="AE425" s="287"/>
      <c r="AF425" s="280">
        <f t="shared" si="104"/>
        <v>0</v>
      </c>
      <c r="AG425" s="281"/>
      <c r="AH425" s="282">
        <f t="shared" ref="AH425:AH451" si="106">AF425-Z425</f>
        <v>0</v>
      </c>
      <c r="AI425" s="283">
        <f t="shared" si="102"/>
        <v>0</v>
      </c>
      <c r="AJ425" s="288"/>
      <c r="AK425" s="279"/>
      <c r="AL425" s="280">
        <f t="shared" si="105"/>
        <v>0</v>
      </c>
      <c r="AM425" s="284"/>
      <c r="AN425" s="282">
        <f t="shared" si="101"/>
        <v>0</v>
      </c>
      <c r="AO425" s="289">
        <f t="shared" si="100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>
      <c r="A426" t="str">
        <f t="shared" si="89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103"/>
        <v>0</v>
      </c>
      <c r="AA426" s="279"/>
      <c r="AB426" s="279"/>
      <c r="AC426" s="282"/>
      <c r="AD426" s="288"/>
      <c r="AE426" s="287"/>
      <c r="AF426" s="280">
        <f t="shared" si="104"/>
        <v>0</v>
      </c>
      <c r="AG426" s="281"/>
      <c r="AH426" s="282">
        <f t="shared" si="106"/>
        <v>0</v>
      </c>
      <c r="AI426" s="283">
        <f t="shared" si="102"/>
        <v>0</v>
      </c>
      <c r="AJ426" s="288"/>
      <c r="AK426" s="279"/>
      <c r="AL426" s="280">
        <f t="shared" si="105"/>
        <v>0</v>
      </c>
      <c r="AM426" s="284"/>
      <c r="AN426" s="282">
        <f t="shared" si="101"/>
        <v>0</v>
      </c>
      <c r="AO426" s="289">
        <f t="shared" si="100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>
      <c r="A427" t="str">
        <f t="shared" si="89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103"/>
        <v>0</v>
      </c>
      <c r="AA427" s="279"/>
      <c r="AB427" s="279"/>
      <c r="AC427" s="282"/>
      <c r="AD427" s="288"/>
      <c r="AE427" s="287"/>
      <c r="AF427" s="280">
        <f t="shared" si="104"/>
        <v>0</v>
      </c>
      <c r="AG427" s="281"/>
      <c r="AH427" s="282">
        <f t="shared" si="106"/>
        <v>0</v>
      </c>
      <c r="AI427" s="283">
        <f t="shared" si="102"/>
        <v>0</v>
      </c>
      <c r="AJ427" s="288"/>
      <c r="AK427" s="279"/>
      <c r="AL427" s="280">
        <f t="shared" si="105"/>
        <v>0</v>
      </c>
      <c r="AM427" s="284"/>
      <c r="AN427" s="282">
        <f t="shared" si="101"/>
        <v>0</v>
      </c>
      <c r="AO427" s="289">
        <f t="shared" si="100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89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103"/>
        <v>27067.532341546663</v>
      </c>
      <c r="AA428" s="263"/>
      <c r="AB428" s="263"/>
      <c r="AC428" s="264"/>
      <c r="AD428" s="292"/>
      <c r="AE428" s="291"/>
      <c r="AF428" s="264">
        <f t="shared" si="104"/>
        <v>26967.66</v>
      </c>
      <c r="AG428" s="265"/>
      <c r="AH428" s="266">
        <f t="shared" si="106"/>
        <v>-99.872341546662938</v>
      </c>
      <c r="AI428" s="293">
        <f t="shared" si="102"/>
        <v>-3.689746826066086E-3</v>
      </c>
      <c r="AJ428" s="292"/>
      <c r="AK428" s="263"/>
      <c r="AL428" s="264">
        <f t="shared" si="105"/>
        <v>11741.09</v>
      </c>
      <c r="AM428" s="268"/>
      <c r="AN428" s="266">
        <f t="shared" si="101"/>
        <v>15226.57</v>
      </c>
      <c r="AO428" s="294">
        <f t="shared" si="100"/>
        <v>1.2968617053442226</v>
      </c>
      <c r="AP428" s="475"/>
      <c r="AQ428" s="483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89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103"/>
        <v>31597.687685786976</v>
      </c>
      <c r="AA429" s="279"/>
      <c r="AB429" s="279"/>
      <c r="AC429" s="280"/>
      <c r="AD429" s="288"/>
      <c r="AE429" s="287"/>
      <c r="AF429" s="280">
        <f t="shared" si="104"/>
        <v>34398.15</v>
      </c>
      <c r="AG429" s="281"/>
      <c r="AH429" s="282">
        <f t="shared" si="106"/>
        <v>2800.4623142130258</v>
      </c>
      <c r="AI429" s="283">
        <f>IF(Z429=0,0,AH429/Z429)</f>
        <v>8.8628710494936244E-2</v>
      </c>
      <c r="AJ429" s="288"/>
      <c r="AK429" s="279"/>
      <c r="AL429" s="280">
        <f t="shared" si="105"/>
        <v>29131.18</v>
      </c>
      <c r="AM429" s="284"/>
      <c r="AN429" s="282">
        <f t="shared" si="101"/>
        <v>5266.9700000000012</v>
      </c>
      <c r="AO429" s="289">
        <f t="shared" si="100"/>
        <v>0.18080180754778905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89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226</v>
      </c>
      <c r="X430" s="279"/>
      <c r="Y430" s="279"/>
      <c r="Z430" s="280">
        <f t="shared" si="103"/>
        <v>16263.51572062565</v>
      </c>
      <c r="AA430" s="279"/>
      <c r="AB430" s="279"/>
      <c r="AC430" s="280"/>
      <c r="AD430" s="288"/>
      <c r="AE430" s="287"/>
      <c r="AF430" s="280">
        <f t="shared" si="104"/>
        <v>14904.210000000001</v>
      </c>
      <c r="AG430" s="281"/>
      <c r="AH430" s="282">
        <f t="shared" si="106"/>
        <v>-1359.305720625649</v>
      </c>
      <c r="AI430" s="283">
        <f t="shared" si="102"/>
        <v>-8.3580066203136863E-2</v>
      </c>
      <c r="AJ430" s="288"/>
      <c r="AK430" s="279"/>
      <c r="AL430" s="280">
        <f>IFERROR(SUMIF($C:$C,$V430,Q:Q),0)</f>
        <v>12249.67</v>
      </c>
      <c r="AM430" s="284"/>
      <c r="AN430" s="282">
        <f t="shared" si="101"/>
        <v>2654.5400000000009</v>
      </c>
      <c r="AO430" s="289">
        <f t="shared" si="100"/>
        <v>0.21670298057008891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89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 t="s">
        <v>227</v>
      </c>
      <c r="X431" s="279"/>
      <c r="Y431" s="279"/>
      <c r="Z431" s="280">
        <f t="shared" si="103"/>
        <v>3485.0390829912099</v>
      </c>
      <c r="AA431" s="279"/>
      <c r="AB431" s="279"/>
      <c r="AC431" s="280"/>
      <c r="AD431" s="288"/>
      <c r="AE431" s="287"/>
      <c r="AF431" s="280">
        <f t="shared" si="104"/>
        <v>5756.7199999999993</v>
      </c>
      <c r="AG431" s="281"/>
      <c r="AH431" s="282">
        <f t="shared" si="106"/>
        <v>2271.6809170087895</v>
      </c>
      <c r="AI431" s="306">
        <f t="shared" si="102"/>
        <v>0.65183800322233554</v>
      </c>
      <c r="AJ431" s="288"/>
      <c r="AK431" s="279"/>
      <c r="AL431" s="280">
        <f>IFERROR(SUMIF($C:$C,$V431,Q:Q),0)</f>
        <v>3503.11</v>
      </c>
      <c r="AM431" s="284"/>
      <c r="AN431" s="282">
        <f t="shared" si="101"/>
        <v>2253.6099999999992</v>
      </c>
      <c r="AO431" s="294">
        <f t="shared" si="100"/>
        <v>0.64331693837761283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>
      <c r="A432" t="str">
        <f t="shared" si="89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IFERROR(SUMIF($C:$C,$V432,F:F),0)</f>
        <v>0</v>
      </c>
      <c r="AA432" s="279"/>
      <c r="AB432" s="279"/>
      <c r="AC432" s="282"/>
      <c r="AD432" s="288"/>
      <c r="AE432" s="287"/>
      <c r="AF432" s="280">
        <f t="shared" si="104"/>
        <v>0</v>
      </c>
      <c r="AG432" s="281"/>
      <c r="AH432" s="282">
        <f t="shared" si="106"/>
        <v>0</v>
      </c>
      <c r="AI432" s="283">
        <f t="shared" si="102"/>
        <v>0</v>
      </c>
      <c r="AJ432" s="288"/>
      <c r="AK432" s="279"/>
      <c r="AL432" s="280">
        <f>IFERROR(SUMIF($C:$C,$V432,Q:Q),0)</f>
        <v>0</v>
      </c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89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0.38375186687098983</v>
      </c>
      <c r="Y433" s="297"/>
      <c r="Z433" s="299">
        <f>SUM(Z420:Z432)</f>
        <v>184599.90171604912</v>
      </c>
      <c r="AA433" s="298"/>
      <c r="AB433" s="297"/>
      <c r="AC433" s="299"/>
      <c r="AD433" s="300">
        <f>AF433/AF407</f>
        <v>0.33461883242518131</v>
      </c>
      <c r="AE433" s="307"/>
      <c r="AF433" s="299">
        <f>SUM(AF420:AF432)</f>
        <v>196501.61</v>
      </c>
      <c r="AG433" s="308"/>
      <c r="AH433" s="302">
        <f t="shared" si="106"/>
        <v>11901.708283950866</v>
      </c>
      <c r="AI433" s="298">
        <f>AH433/Z433</f>
        <v>6.4472993611112694E-2</v>
      </c>
      <c r="AJ433" s="300">
        <f>IF($AL$407=0,0,AL433/$AL$407)</f>
        <v>0.32591211730820424</v>
      </c>
      <c r="AK433" s="297"/>
      <c r="AL433" s="299">
        <f>SUM(AL420:AL432)</f>
        <v>153586.60999999999</v>
      </c>
      <c r="AM433" s="309"/>
      <c r="AN433" s="302">
        <f t="shared" ref="AN433:AN447" si="107">AF433-AL433</f>
        <v>42915</v>
      </c>
      <c r="AO433" s="277">
        <f>IF(AL433=0,0,AN433/AL433)</f>
        <v>0.27941888944615684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89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228</v>
      </c>
      <c r="X434" s="312"/>
      <c r="Y434" s="312"/>
      <c r="Z434" s="313">
        <f t="shared" ref="Z434:Z448" si="108">+SUMIF($C:$C,$V434,F:F)</f>
        <v>10327.518388041846</v>
      </c>
      <c r="AA434" s="312"/>
      <c r="AB434" s="312"/>
      <c r="AC434" s="313"/>
      <c r="AD434" s="314"/>
      <c r="AE434" s="315"/>
      <c r="AF434" s="313">
        <f t="shared" ref="AF434:AF451" si="109">+SUMIF($C:$C,$V434,L:L)</f>
        <v>14387.91</v>
      </c>
      <c r="AG434" s="314"/>
      <c r="AH434" s="316">
        <f t="shared" si="106"/>
        <v>4060.3916119581536</v>
      </c>
      <c r="AI434" s="317">
        <f t="shared" ref="AI434:AI451" si="110">IF(Z434=0,0,AH434/Z434)</f>
        <v>0.39316237060973425</v>
      </c>
      <c r="AJ434" s="314"/>
      <c r="AK434" s="312"/>
      <c r="AL434" s="313">
        <f t="shared" ref="AL434:AL448" si="111">+SUMIF($C:$C,$V434,Q:Q)</f>
        <v>10623.460000000001</v>
      </c>
      <c r="AM434" s="318"/>
      <c r="AN434" s="316">
        <f t="shared" si="107"/>
        <v>3764.4499999999989</v>
      </c>
      <c r="AO434" s="285">
        <f t="shared" ref="AO434:AO447" si="112">IF(AL434=0,0,AN434/AL434)</f>
        <v>0.35435253674414913</v>
      </c>
      <c r="AP434" s="246"/>
      <c r="AQ434" s="246">
        <f>27466-13078</f>
        <v>14388</v>
      </c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89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148</v>
      </c>
      <c r="X435" s="279"/>
      <c r="Y435" s="279"/>
      <c r="Z435" s="280">
        <f t="shared" si="108"/>
        <v>3333.3333333333335</v>
      </c>
      <c r="AA435" s="279"/>
      <c r="AB435" s="279"/>
      <c r="AC435" s="280"/>
      <c r="AD435" s="288"/>
      <c r="AE435" s="287"/>
      <c r="AF435" s="280">
        <f t="shared" si="109"/>
        <v>3510.2200000000003</v>
      </c>
      <c r="AG435" s="281"/>
      <c r="AH435" s="282">
        <f t="shared" si="106"/>
        <v>176.88666666666677</v>
      </c>
      <c r="AI435" s="283">
        <f t="shared" si="110"/>
        <v>5.306600000000003E-2</v>
      </c>
      <c r="AJ435" s="288"/>
      <c r="AK435" s="279"/>
      <c r="AL435" s="280">
        <f t="shared" si="111"/>
        <v>5426.1399999999994</v>
      </c>
      <c r="AM435" s="284"/>
      <c r="AN435" s="282">
        <f t="shared" si="107"/>
        <v>-1915.9199999999992</v>
      </c>
      <c r="AO435" s="289">
        <f t="shared" si="112"/>
        <v>-0.35309077908052489</v>
      </c>
      <c r="AP435" s="246"/>
      <c r="AQ435" s="246">
        <v>3509</v>
      </c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89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229</v>
      </c>
      <c r="X436" s="263"/>
      <c r="Y436" s="263"/>
      <c r="Z436" s="264">
        <f t="shared" si="108"/>
        <v>20211.333333333332</v>
      </c>
      <c r="AA436" s="263"/>
      <c r="AB436" s="263"/>
      <c r="AC436" s="264"/>
      <c r="AD436" s="292"/>
      <c r="AE436" s="291"/>
      <c r="AF436" s="264">
        <f t="shared" si="109"/>
        <v>20725.350000000002</v>
      </c>
      <c r="AG436" s="265"/>
      <c r="AH436" s="266">
        <f t="shared" si="106"/>
        <v>514.01666666667006</v>
      </c>
      <c r="AI436" s="293">
        <f t="shared" si="110"/>
        <v>2.5432100801530664E-2</v>
      </c>
      <c r="AJ436" s="292"/>
      <c r="AK436" s="263"/>
      <c r="AL436" s="264">
        <f t="shared" si="111"/>
        <v>15447.35999999999</v>
      </c>
      <c r="AM436" s="268"/>
      <c r="AN436" s="266">
        <f t="shared" si="107"/>
        <v>5277.9900000000125</v>
      </c>
      <c r="AO436" s="269">
        <f t="shared" si="112"/>
        <v>0.3416758591759379</v>
      </c>
      <c r="AP436" s="246"/>
      <c r="AQ436" s="485">
        <v>20725</v>
      </c>
      <c r="AR436" s="485"/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89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230</v>
      </c>
      <c r="X437" s="279"/>
      <c r="Y437" s="279"/>
      <c r="Z437" s="280">
        <f t="shared" si="108"/>
        <v>14164</v>
      </c>
      <c r="AA437" s="279"/>
      <c r="AB437" s="279"/>
      <c r="AC437" s="280"/>
      <c r="AD437" s="288"/>
      <c r="AE437" s="287"/>
      <c r="AF437" s="280">
        <f t="shared" si="109"/>
        <v>14042.93</v>
      </c>
      <c r="AG437" s="281"/>
      <c r="AH437" s="282">
        <f>AF437-Z437</f>
        <v>-121.06999999999971</v>
      </c>
      <c r="AI437" s="283">
        <f t="shared" si="110"/>
        <v>-8.5477266308952062E-3</v>
      </c>
      <c r="AJ437" s="288"/>
      <c r="AK437" s="279"/>
      <c r="AL437" s="280">
        <f t="shared" si="111"/>
        <v>13374.96</v>
      </c>
      <c r="AM437" s="284"/>
      <c r="AN437" s="282">
        <f t="shared" si="107"/>
        <v>667.97000000000116</v>
      </c>
      <c r="AO437" s="289">
        <f t="shared" si="112"/>
        <v>4.9941831601739463E-2</v>
      </c>
      <c r="AP437" s="485"/>
      <c r="AQ437" s="494">
        <f>13543+500</f>
        <v>14043</v>
      </c>
      <c r="AR437" s="485"/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89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231</v>
      </c>
      <c r="X438" s="279"/>
      <c r="Y438" s="279"/>
      <c r="Z438" s="280">
        <f t="shared" si="108"/>
        <v>1833.3333333333335</v>
      </c>
      <c r="AA438" s="279"/>
      <c r="AB438" s="279"/>
      <c r="AC438" s="280"/>
      <c r="AD438" s="288"/>
      <c r="AE438" s="287"/>
      <c r="AF438" s="280">
        <f t="shared" si="109"/>
        <v>2768.18</v>
      </c>
      <c r="AG438" s="281"/>
      <c r="AH438" s="282">
        <f t="shared" si="106"/>
        <v>934.84666666666635</v>
      </c>
      <c r="AI438" s="283">
        <f t="shared" si="110"/>
        <v>0.50991636363636339</v>
      </c>
      <c r="AJ438" s="288"/>
      <c r="AK438" s="279"/>
      <c r="AL438" s="280">
        <f t="shared" si="111"/>
        <v>3458.79</v>
      </c>
      <c r="AM438" s="284"/>
      <c r="AN438" s="282">
        <f t="shared" si="107"/>
        <v>-690.61000000000013</v>
      </c>
      <c r="AO438" s="289">
        <f t="shared" si="112"/>
        <v>-0.19966809202061997</v>
      </c>
      <c r="AP438" s="485"/>
      <c r="AQ438" s="494">
        <v>2768</v>
      </c>
      <c r="AR438" s="485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89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232</v>
      </c>
      <c r="X439" s="279"/>
      <c r="Y439" s="279"/>
      <c r="Z439" s="280">
        <f t="shared" si="108"/>
        <v>11716</v>
      </c>
      <c r="AA439" s="279"/>
      <c r="AB439" s="279"/>
      <c r="AC439" s="280"/>
      <c r="AD439" s="288"/>
      <c r="AE439" s="287"/>
      <c r="AF439" s="280">
        <f t="shared" si="109"/>
        <v>11148.72</v>
      </c>
      <c r="AG439" s="281"/>
      <c r="AH439" s="282">
        <f t="shared" si="106"/>
        <v>-567.28000000000065</v>
      </c>
      <c r="AI439" s="283">
        <f t="shared" si="110"/>
        <v>-4.8419255718675371E-2</v>
      </c>
      <c r="AJ439" s="288"/>
      <c r="AK439" s="279"/>
      <c r="AL439" s="280">
        <f t="shared" si="111"/>
        <v>10883.84</v>
      </c>
      <c r="AM439" s="284"/>
      <c r="AN439" s="282">
        <f t="shared" si="107"/>
        <v>264.8799999999992</v>
      </c>
      <c r="AO439" s="289">
        <f t="shared" si="112"/>
        <v>2.4336998706338864E-2</v>
      </c>
      <c r="AP439" s="246"/>
      <c r="AQ439" s="246">
        <f>12123-974</f>
        <v>11149</v>
      </c>
      <c r="AR439" s="485" t="s">
        <v>254</v>
      </c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 hidden="1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108"/>
        <v>0</v>
      </c>
      <c r="AA440" s="320"/>
      <c r="AB440" s="320"/>
      <c r="AC440" s="321"/>
      <c r="AD440" s="322"/>
      <c r="AE440" s="323"/>
      <c r="AF440" s="321">
        <f t="shared" si="109"/>
        <v>0</v>
      </c>
      <c r="AG440" s="324"/>
      <c r="AH440" s="325">
        <f t="shared" si="106"/>
        <v>0</v>
      </c>
      <c r="AI440" s="326">
        <f t="shared" si="110"/>
        <v>0</v>
      </c>
      <c r="AJ440" s="322"/>
      <c r="AK440" s="320"/>
      <c r="AL440" s="321">
        <f t="shared" si="111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89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108"/>
        <v>1167.5</v>
      </c>
      <c r="AA441" s="279"/>
      <c r="AB441" s="287"/>
      <c r="AC441" s="280"/>
      <c r="AD441" s="288"/>
      <c r="AE441" s="287"/>
      <c r="AF441" s="280">
        <f t="shared" si="109"/>
        <v>2310.04</v>
      </c>
      <c r="AG441" s="281"/>
      <c r="AH441" s="282">
        <f t="shared" si="106"/>
        <v>1142.54</v>
      </c>
      <c r="AI441" s="283">
        <f t="shared" si="110"/>
        <v>0.9786209850107066</v>
      </c>
      <c r="AJ441" s="288"/>
      <c r="AK441" s="279"/>
      <c r="AL441" s="280">
        <f t="shared" si="111"/>
        <v>-26.47</v>
      </c>
      <c r="AM441" s="284"/>
      <c r="AN441" s="282">
        <f t="shared" si="107"/>
        <v>2336.5099999999998</v>
      </c>
      <c r="AO441" s="289">
        <f t="shared" si="112"/>
        <v>-88.270117113713638</v>
      </c>
      <c r="AP441" s="246"/>
      <c r="AQ441" s="246">
        <f>2425-313+198</f>
        <v>2310</v>
      </c>
      <c r="AR441" s="485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89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108"/>
        <v>1060</v>
      </c>
      <c r="AA442" s="279"/>
      <c r="AB442" s="279"/>
      <c r="AC442" s="280"/>
      <c r="AD442" s="288"/>
      <c r="AE442" s="287"/>
      <c r="AF442" s="280">
        <f t="shared" si="109"/>
        <v>2201.96</v>
      </c>
      <c r="AG442" s="281"/>
      <c r="AH442" s="282">
        <f t="shared" si="106"/>
        <v>1141.96</v>
      </c>
      <c r="AI442" s="306">
        <f t="shared" si="110"/>
        <v>1.0773207547169812</v>
      </c>
      <c r="AJ442" s="288"/>
      <c r="AK442" s="279"/>
      <c r="AL442" s="280">
        <f t="shared" si="111"/>
        <v>1182</v>
      </c>
      <c r="AM442" s="284"/>
      <c r="AN442" s="282">
        <f t="shared" si="107"/>
        <v>1019.96</v>
      </c>
      <c r="AO442" s="289">
        <f t="shared" si="112"/>
        <v>0.86291032148900171</v>
      </c>
      <c r="AP442" s="246"/>
      <c r="AQ442" s="246">
        <v>2202</v>
      </c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>+U443&amp;V443</f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108"/>
        <v>1575</v>
      </c>
      <c r="AA443" s="279"/>
      <c r="AB443" s="279"/>
      <c r="AC443" s="280"/>
      <c r="AD443" s="288"/>
      <c r="AE443" s="287"/>
      <c r="AF443" s="280">
        <f t="shared" si="109"/>
        <v>1427.5500000000002</v>
      </c>
      <c r="AG443" s="281"/>
      <c r="AH443" s="282">
        <f t="shared" si="106"/>
        <v>-147.44999999999982</v>
      </c>
      <c r="AI443" s="283">
        <f t="shared" si="110"/>
        <v>-9.3619047619047505E-2</v>
      </c>
      <c r="AJ443" s="288"/>
      <c r="AK443" s="279"/>
      <c r="AL443" s="280">
        <f t="shared" si="111"/>
        <v>1207.31</v>
      </c>
      <c r="AM443" s="284"/>
      <c r="AN443" s="282">
        <f t="shared" si="107"/>
        <v>220.24000000000024</v>
      </c>
      <c r="AO443" s="289">
        <f t="shared" si="112"/>
        <v>0.18242207883642167</v>
      </c>
      <c r="AP443" s="246"/>
      <c r="AQ443" s="246">
        <v>1428</v>
      </c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89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233</v>
      </c>
      <c r="X444" s="279"/>
      <c r="Y444" s="279"/>
      <c r="Z444" s="280">
        <f t="shared" si="108"/>
        <v>512</v>
      </c>
      <c r="AA444" s="279"/>
      <c r="AB444" s="279"/>
      <c r="AC444" s="280"/>
      <c r="AD444" s="288"/>
      <c r="AE444" s="287"/>
      <c r="AF444" s="280">
        <f t="shared" si="109"/>
        <v>456.36</v>
      </c>
      <c r="AG444" s="281"/>
      <c r="AH444" s="282">
        <f t="shared" si="106"/>
        <v>-55.639999999999986</v>
      </c>
      <c r="AI444" s="306">
        <f t="shared" si="110"/>
        <v>-0.10867187499999997</v>
      </c>
      <c r="AJ444" s="288"/>
      <c r="AK444" s="279"/>
      <c r="AL444" s="280">
        <f t="shared" si="111"/>
        <v>561.23</v>
      </c>
      <c r="AM444" s="284"/>
      <c r="AN444" s="282">
        <f t="shared" si="107"/>
        <v>-104.87</v>
      </c>
      <c r="AO444" s="289">
        <f t="shared" si="112"/>
        <v>-0.18685743812697111</v>
      </c>
      <c r="AP444" s="246"/>
      <c r="AQ444" s="246">
        <v>456</v>
      </c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89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234</v>
      </c>
      <c r="X445" s="279"/>
      <c r="Y445" s="279"/>
      <c r="Z445" s="280">
        <f t="shared" si="108"/>
        <v>950</v>
      </c>
      <c r="AA445" s="279"/>
      <c r="AB445" s="279"/>
      <c r="AC445" s="280"/>
      <c r="AD445" s="288"/>
      <c r="AE445" s="287"/>
      <c r="AF445" s="280">
        <f t="shared" si="109"/>
        <v>1409.08</v>
      </c>
      <c r="AG445" s="281"/>
      <c r="AH445" s="282">
        <f t="shared" si="106"/>
        <v>459.07999999999993</v>
      </c>
      <c r="AI445" s="283">
        <f t="shared" si="110"/>
        <v>0.48324210526315781</v>
      </c>
      <c r="AJ445" s="288"/>
      <c r="AK445" s="279"/>
      <c r="AL445" s="280">
        <f t="shared" si="111"/>
        <v>1431.34</v>
      </c>
      <c r="AM445" s="284"/>
      <c r="AN445" s="282">
        <f t="shared" si="107"/>
        <v>-22.259999999999991</v>
      </c>
      <c r="AO445" s="289">
        <f t="shared" si="112"/>
        <v>-1.5551860494361922E-2</v>
      </c>
      <c r="AP445" s="246"/>
      <c r="AQ445" s="246">
        <v>1409</v>
      </c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89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235</v>
      </c>
      <c r="X446" s="279"/>
      <c r="Y446" s="287"/>
      <c r="Z446" s="280">
        <f t="shared" si="108"/>
        <v>1741.0000000000002</v>
      </c>
      <c r="AA446" s="279"/>
      <c r="AB446" s="287"/>
      <c r="AC446" s="280"/>
      <c r="AD446" s="288"/>
      <c r="AE446" s="287"/>
      <c r="AF446" s="280">
        <f t="shared" si="109"/>
        <v>1516.0000000000002</v>
      </c>
      <c r="AG446" s="281"/>
      <c r="AH446" s="282">
        <f t="shared" si="106"/>
        <v>-225</v>
      </c>
      <c r="AI446" s="306">
        <f t="shared" si="110"/>
        <v>-0.12923607122343478</v>
      </c>
      <c r="AJ446" s="288"/>
      <c r="AK446" s="279"/>
      <c r="AL446" s="280">
        <f t="shared" si="111"/>
        <v>1851</v>
      </c>
      <c r="AM446" s="284"/>
      <c r="AN446" s="282">
        <f t="shared" si="107"/>
        <v>-334.99999999999977</v>
      </c>
      <c r="AO446" s="289">
        <f t="shared" si="112"/>
        <v>-0.18098325229605605</v>
      </c>
      <c r="AP446" s="246"/>
      <c r="AQ446" s="246">
        <v>1516</v>
      </c>
      <c r="AR446" s="246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89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236</v>
      </c>
      <c r="X447" s="279"/>
      <c r="Y447" s="287"/>
      <c r="Z447" s="280">
        <f t="shared" si="108"/>
        <v>2582.3544666666662</v>
      </c>
      <c r="AA447" s="279"/>
      <c r="AB447" s="287"/>
      <c r="AC447" s="280"/>
      <c r="AD447" s="288"/>
      <c r="AE447" s="287"/>
      <c r="AF447" s="280">
        <f t="shared" si="109"/>
        <v>2545.87</v>
      </c>
      <c r="AG447" s="281"/>
      <c r="AH447" s="282">
        <f t="shared" si="106"/>
        <v>-36.484466666666322</v>
      </c>
      <c r="AI447" s="283">
        <f t="shared" si="110"/>
        <v>-1.4128372823178262E-2</v>
      </c>
      <c r="AJ447" s="288"/>
      <c r="AK447" s="279"/>
      <c r="AL447" s="280">
        <f t="shared" si="111"/>
        <v>877.86</v>
      </c>
      <c r="AM447" s="284"/>
      <c r="AN447" s="282">
        <f t="shared" si="107"/>
        <v>1668.0099999999998</v>
      </c>
      <c r="AO447" s="289">
        <f t="shared" si="112"/>
        <v>1.9000865741690016</v>
      </c>
      <c r="AP447" s="246"/>
      <c r="AQ447" s="246">
        <f>1046+500+1000</f>
        <v>2546</v>
      </c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89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237</v>
      </c>
      <c r="X448" s="279"/>
      <c r="Y448" s="287">
        <f>Z448/Z406</f>
        <v>1.6499999999999996E-3</v>
      </c>
      <c r="Z448" s="280">
        <f t="shared" si="108"/>
        <v>9074.2156600810195</v>
      </c>
      <c r="AA448" s="279"/>
      <c r="AB448" s="287"/>
      <c r="AC448" s="280"/>
      <c r="AD448" s="288"/>
      <c r="AE448" s="287"/>
      <c r="AF448" s="280">
        <f t="shared" si="109"/>
        <v>9946.43</v>
      </c>
      <c r="AG448" s="281"/>
      <c r="AH448" s="282">
        <f t="shared" si="106"/>
        <v>872.21433991898084</v>
      </c>
      <c r="AI448" s="283">
        <f t="shared" si="110"/>
        <v>9.6120080521779575E-2</v>
      </c>
      <c r="AJ448" s="288"/>
      <c r="AK448" s="279"/>
      <c r="AL448" s="280">
        <f t="shared" si="111"/>
        <v>9751.2200000000012</v>
      </c>
      <c r="AM448" s="284"/>
      <c r="AN448" s="282">
        <f>AF448-AL448</f>
        <v>195.20999999999913</v>
      </c>
      <c r="AO448" s="289">
        <f>IF(AL448=0,0,AN448/AL448)</f>
        <v>2.0019033515806136E-2</v>
      </c>
      <c r="AP448" s="246"/>
      <c r="AQ448" s="246">
        <f>10946-1000</f>
        <v>9946</v>
      </c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>
      <c r="A449" t="str">
        <f t="shared" si="89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>IFERROR(SUMIF($C:$C,$V449,F:F),0)</f>
        <v>0</v>
      </c>
      <c r="AA449" s="279"/>
      <c r="AB449" s="279"/>
      <c r="AC449" s="282"/>
      <c r="AD449" s="288"/>
      <c r="AE449" s="287"/>
      <c r="AF449" s="280">
        <f t="shared" si="109"/>
        <v>0</v>
      </c>
      <c r="AG449" s="281"/>
      <c r="AH449" s="282">
        <f t="shared" si="106"/>
        <v>0</v>
      </c>
      <c r="AI449" s="283">
        <f t="shared" si="110"/>
        <v>0</v>
      </c>
      <c r="AJ449" s="288"/>
      <c r="AK449" s="279"/>
      <c r="AL449" s="280">
        <f>IFERROR(SUMIF($C:$C,$V449,Q:Q),0)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>
      <c r="A450" t="str">
        <f t="shared" si="89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IFERROR(SUMIF($C:$C,$V450,F:F),0)</f>
        <v>0</v>
      </c>
      <c r="AA450" s="279"/>
      <c r="AB450" s="279"/>
      <c r="AC450" s="282"/>
      <c r="AD450" s="288"/>
      <c r="AE450" s="287"/>
      <c r="AF450" s="280">
        <f t="shared" si="109"/>
        <v>0</v>
      </c>
      <c r="AG450" s="281"/>
      <c r="AH450" s="282">
        <f t="shared" si="106"/>
        <v>0</v>
      </c>
      <c r="AI450" s="283">
        <f t="shared" si="110"/>
        <v>0</v>
      </c>
      <c r="AJ450" s="288"/>
      <c r="AK450" s="279"/>
      <c r="AL450" s="280">
        <f>IFERROR(SUMIF($C:$C,$V450,Q:Q),0)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>
      <c r="A451" t="str">
        <f t="shared" si="89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IFERROR(SUMIF($C:$C,$V451,F:F),0)</f>
        <v>0</v>
      </c>
      <c r="AA451" s="279"/>
      <c r="AB451" s="279"/>
      <c r="AC451" s="282"/>
      <c r="AD451" s="288"/>
      <c r="AE451" s="287"/>
      <c r="AF451" s="280">
        <f t="shared" si="109"/>
        <v>0</v>
      </c>
      <c r="AG451" s="281"/>
      <c r="AH451" s="282">
        <f t="shared" si="106"/>
        <v>0</v>
      </c>
      <c r="AI451" s="283">
        <f t="shared" si="110"/>
        <v>0</v>
      </c>
      <c r="AJ451" s="288"/>
      <c r="AK451" s="279"/>
      <c r="AL451" s="280">
        <f>IFERROR(SUMIF($C:$C,$V451,Q:Q),0)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89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0.16682111755300111</v>
      </c>
      <c r="Y452" s="297"/>
      <c r="Z452" s="299">
        <f>+SUM(Z434:Z451)</f>
        <v>80247.588514789531</v>
      </c>
      <c r="AA452" s="298"/>
      <c r="AB452" s="297"/>
      <c r="AC452" s="299"/>
      <c r="AD452" s="300">
        <f>AF452/AF407</f>
        <v>0.15052887903745821</v>
      </c>
      <c r="AE452" s="297"/>
      <c r="AF452" s="299">
        <f>+SUM(AF434:AF451)</f>
        <v>88396.6</v>
      </c>
      <c r="AG452" s="308"/>
      <c r="AH452" s="302">
        <f>+SUM(AH434:AH451)</f>
        <v>8149.0114852104707</v>
      </c>
      <c r="AI452" s="298">
        <f>AH452/Z452</f>
        <v>0.10154836595131601</v>
      </c>
      <c r="AJ452" s="300">
        <f>IF($AL$407=0,0,AL452/$AL$407)</f>
        <v>0.16137884388341939</v>
      </c>
      <c r="AK452" s="298"/>
      <c r="AL452" s="299">
        <f>+SUM(AL434:AL451)</f>
        <v>76050.039999999979</v>
      </c>
      <c r="AM452" s="309"/>
      <c r="AN452" s="302">
        <f>+SUM(AN434:AN451)</f>
        <v>12346.560000000012</v>
      </c>
      <c r="AO452" s="331">
        <f>IF(AL452=0,0,AN452/AL452)</f>
        <v>0.16234784360402724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89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50000</v>
      </c>
      <c r="AA453" s="279"/>
      <c r="AB453" s="287"/>
      <c r="AC453" s="280"/>
      <c r="AD453" s="288"/>
      <c r="AE453" s="287"/>
      <c r="AF453" s="280">
        <v>50000</v>
      </c>
      <c r="AG453" s="281"/>
      <c r="AH453" s="282">
        <f t="shared" ref="AH453:AH461" si="113">AF453-Z453</f>
        <v>0</v>
      </c>
      <c r="AI453" s="283">
        <f t="shared" ref="AI453:AI461" si="114">IF(Z453=0,0,AH453/Z453)</f>
        <v>0</v>
      </c>
      <c r="AJ453" s="288"/>
      <c r="AK453" s="279"/>
      <c r="AL453" s="280">
        <v>50000</v>
      </c>
      <c r="AM453" s="284"/>
      <c r="AN453" s="282">
        <f>AF453-AL453</f>
        <v>0</v>
      </c>
      <c r="AO453" s="289">
        <f t="shared" ref="AO453:AO461" si="115">IF(AL453=0,0,AN453/AL453)</f>
        <v>0</v>
      </c>
      <c r="AP453" s="246"/>
      <c r="AQ453" s="486">
        <v>50000</v>
      </c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89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5933.07</v>
      </c>
      <c r="AA454" s="279"/>
      <c r="AB454" s="287"/>
      <c r="AC454" s="280"/>
      <c r="AD454" s="288"/>
      <c r="AE454" s="287"/>
      <c r="AF454" s="280">
        <v>6163.5</v>
      </c>
      <c r="AG454" s="281"/>
      <c r="AH454" s="282">
        <f t="shared" si="113"/>
        <v>230.43000000000029</v>
      </c>
      <c r="AI454" s="283">
        <f t="shared" si="114"/>
        <v>3.883824057359854E-2</v>
      </c>
      <c r="AJ454" s="288"/>
      <c r="AK454" s="279"/>
      <c r="AL454" s="280">
        <v>5872.14</v>
      </c>
      <c r="AM454" s="284"/>
      <c r="AN454" s="282">
        <f t="shared" ref="AN454:AN461" si="116">AF454-AL454</f>
        <v>291.35999999999967</v>
      </c>
      <c r="AO454" s="289">
        <f t="shared" si="115"/>
        <v>4.9617345635492284E-2</v>
      </c>
      <c r="AP454" s="246"/>
      <c r="AQ454" s="486">
        <v>6164</v>
      </c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89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2542.75</v>
      </c>
      <c r="AA455" s="263"/>
      <c r="AB455" s="291"/>
      <c r="AC455" s="264"/>
      <c r="AD455" s="292"/>
      <c r="AE455" s="291"/>
      <c r="AF455" s="264">
        <v>2641.5</v>
      </c>
      <c r="AG455" s="265"/>
      <c r="AH455" s="266">
        <f t="shared" si="113"/>
        <v>98.75</v>
      </c>
      <c r="AI455" s="293">
        <f t="shared" si="114"/>
        <v>3.8835906007275586E-2</v>
      </c>
      <c r="AJ455" s="292"/>
      <c r="AK455" s="263"/>
      <c r="AL455" s="264">
        <v>2516.63</v>
      </c>
      <c r="AM455" s="268"/>
      <c r="AN455" s="266">
        <f t="shared" si="116"/>
        <v>124.86999999999989</v>
      </c>
      <c r="AO455" s="269">
        <f t="shared" si="115"/>
        <v>4.9617941453451594E-2</v>
      </c>
      <c r="AP455" s="246"/>
      <c r="AQ455" s="486">
        <v>2642</v>
      </c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 hidden="1">
      <c r="A456" t="str">
        <f t="shared" si="89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113"/>
        <v>0</v>
      </c>
      <c r="AI456" s="283">
        <f t="shared" si="114"/>
        <v>0</v>
      </c>
      <c r="AJ456" s="288"/>
      <c r="AK456" s="279"/>
      <c r="AL456" s="280">
        <v>0</v>
      </c>
      <c r="AM456" s="284"/>
      <c r="AN456" s="282">
        <f t="shared" si="116"/>
        <v>0</v>
      </c>
      <c r="AO456" s="289">
        <f t="shared" si="115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89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4854</v>
      </c>
      <c r="AA457" s="263"/>
      <c r="AB457" s="291"/>
      <c r="AC457" s="264"/>
      <c r="AD457" s="292"/>
      <c r="AE457" s="291"/>
      <c r="AF457" s="264">
        <v>4853.83</v>
      </c>
      <c r="AG457" s="265"/>
      <c r="AH457" s="266">
        <f t="shared" si="113"/>
        <v>-0.17000000000007276</v>
      </c>
      <c r="AI457" s="293">
        <f t="shared" si="114"/>
        <v>-3.5022661722305881E-5</v>
      </c>
      <c r="AJ457" s="292"/>
      <c r="AK457" s="263"/>
      <c r="AL457" s="264">
        <v>4349.75</v>
      </c>
      <c r="AM457" s="268"/>
      <c r="AN457" s="266">
        <f t="shared" si="116"/>
        <v>504.07999999999993</v>
      </c>
      <c r="AO457" s="269">
        <f t="shared" si="115"/>
        <v>0.11588711994942236</v>
      </c>
      <c r="AP457" s="246"/>
      <c r="AQ457" s="486">
        <v>4854</v>
      </c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89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5000</v>
      </c>
      <c r="AA458" s="332"/>
      <c r="AB458" s="333"/>
      <c r="AC458" s="280"/>
      <c r="AD458" s="288"/>
      <c r="AE458" s="287"/>
      <c r="AF458" s="280">
        <v>6454.11</v>
      </c>
      <c r="AG458" s="281"/>
      <c r="AH458" s="282">
        <f t="shared" si="113"/>
        <v>1454.1099999999997</v>
      </c>
      <c r="AI458" s="283">
        <f t="shared" si="114"/>
        <v>0.29082199999999991</v>
      </c>
      <c r="AJ458" s="288"/>
      <c r="AK458" s="279"/>
      <c r="AL458" s="280">
        <v>5652.17</v>
      </c>
      <c r="AM458" s="284"/>
      <c r="AN458" s="282">
        <f t="shared" si="116"/>
        <v>801.9399999999996</v>
      </c>
      <c r="AO458" s="289">
        <f t="shared" si="115"/>
        <v>0.14188179053354721</v>
      </c>
      <c r="AP458" s="246"/>
      <c r="AQ458" s="246">
        <v>6454</v>
      </c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89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152</v>
      </c>
      <c r="X459" s="279"/>
      <c r="Y459" s="287"/>
      <c r="Z459" s="280">
        <v>6541.333333333333</v>
      </c>
      <c r="AA459" s="279"/>
      <c r="AB459" s="287"/>
      <c r="AC459" s="280"/>
      <c r="AD459" s="288"/>
      <c r="AE459" s="287"/>
      <c r="AF459" s="280">
        <v>6307.3300000000008</v>
      </c>
      <c r="AG459" s="281"/>
      <c r="AH459" s="282">
        <f t="shared" si="113"/>
        <v>-234.00333333333219</v>
      </c>
      <c r="AI459" s="283">
        <f t="shared" si="114"/>
        <v>-3.5773033020790698E-2</v>
      </c>
      <c r="AJ459" s="288"/>
      <c r="AK459" s="279"/>
      <c r="AL459" s="280">
        <v>6307.33</v>
      </c>
      <c r="AM459" s="284"/>
      <c r="AN459" s="282">
        <f t="shared" si="116"/>
        <v>0</v>
      </c>
      <c r="AO459" s="289">
        <f t="shared" si="115"/>
        <v>0</v>
      </c>
      <c r="AP459" s="246"/>
      <c r="AQ459" s="486">
        <v>6307</v>
      </c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89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238</v>
      </c>
      <c r="X460" s="263"/>
      <c r="Y460" s="291"/>
      <c r="Z460" s="264">
        <v>433.33333333333331</v>
      </c>
      <c r="AA460" s="263"/>
      <c r="AB460" s="291"/>
      <c r="AC460" s="264"/>
      <c r="AD460" s="292"/>
      <c r="AE460" s="291"/>
      <c r="AF460" s="264">
        <v>2791.9</v>
      </c>
      <c r="AG460" s="265"/>
      <c r="AH460" s="266">
        <f t="shared" si="113"/>
        <v>2358.5666666666666</v>
      </c>
      <c r="AI460" s="293">
        <f t="shared" si="114"/>
        <v>5.4428461538461539</v>
      </c>
      <c r="AJ460" s="292"/>
      <c r="AK460" s="263"/>
      <c r="AL460" s="264">
        <v>717.06</v>
      </c>
      <c r="AM460" s="268"/>
      <c r="AN460" s="266">
        <f t="shared" si="116"/>
        <v>2074.84</v>
      </c>
      <c r="AO460" s="269">
        <f t="shared" si="115"/>
        <v>2.8935375003486463</v>
      </c>
      <c r="AP460" s="246"/>
      <c r="AQ460" s="246">
        <f>2705-1200+974+313</f>
        <v>2792</v>
      </c>
      <c r="AR460" s="310" t="s">
        <v>255</v>
      </c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89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212.00000000000003</v>
      </c>
      <c r="AA461" s="279"/>
      <c r="AB461" s="287"/>
      <c r="AC461" s="280"/>
      <c r="AD461" s="288"/>
      <c r="AE461" s="287"/>
      <c r="AF461" s="280">
        <v>173.96</v>
      </c>
      <c r="AG461" s="281"/>
      <c r="AH461" s="282">
        <f t="shared" si="113"/>
        <v>-38.04000000000002</v>
      </c>
      <c r="AI461" s="335">
        <f t="shared" si="114"/>
        <v>-0.17943396226415101</v>
      </c>
      <c r="AJ461" s="279"/>
      <c r="AK461" s="279"/>
      <c r="AL461" s="280">
        <v>173.95999999999901</v>
      </c>
      <c r="AM461" s="284"/>
      <c r="AN461" s="282">
        <f t="shared" si="116"/>
        <v>9.9475983006414026E-13</v>
      </c>
      <c r="AO461" s="289">
        <f t="shared" si="115"/>
        <v>5.7183250750985627E-15</v>
      </c>
      <c r="AP461" s="246"/>
      <c r="AQ461" s="246">
        <v>174</v>
      </c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 hidden="1">
      <c r="A462" t="str">
        <f t="shared" si="89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>
      <c r="A463" t="str">
        <f t="shared" si="89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IFERROR(SUMIF($C:$C,$V463,F:F),0)</f>
        <v>0</v>
      </c>
      <c r="AA463" s="279"/>
      <c r="AB463" s="279"/>
      <c r="AC463" s="282"/>
      <c r="AD463" s="288"/>
      <c r="AE463" s="287"/>
      <c r="AF463" s="280">
        <f>+SUMIF($C:$C,$V463,L:L)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IFERROR(SUMIF($C:$C,$V463,Q:Q),0)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>
      <c r="A464" t="str">
        <f t="shared" si="89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IFERROR(SUMIF($C:$C,$V464,F:F),0)</f>
        <v>0</v>
      </c>
      <c r="AA464" s="279"/>
      <c r="AB464" s="279"/>
      <c r="AC464" s="282"/>
      <c r="AD464" s="288"/>
      <c r="AE464" s="287"/>
      <c r="AF464" s="280">
        <f>+SUMIF($C:$C,$V464,L:L)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IFERROR(SUMIF($C:$C,$V464,Q:Q),0)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>
      <c r="A465" t="str">
        <f t="shared" si="89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IFERROR(SUMIF($C:$C,$V465,F:F),0)</f>
        <v>0</v>
      </c>
      <c r="AA465" s="279"/>
      <c r="AB465" s="279"/>
      <c r="AC465" s="282"/>
      <c r="AD465" s="288"/>
      <c r="AE465" s="287"/>
      <c r="AF465" s="280">
        <f>+SUMIF($C:$C,$V465,L:L)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IFERROR(SUMIF($C:$C,$V465,Q:Q),0)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89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0.15698595973495069</v>
      </c>
      <c r="Y466" s="297"/>
      <c r="Z466" s="299">
        <f>SUM(Z453:Z465)</f>
        <v>75516.486666666664</v>
      </c>
      <c r="AA466" s="298"/>
      <c r="AB466" s="297"/>
      <c r="AC466" s="299"/>
      <c r="AD466" s="300">
        <f>AF466/AF407</f>
        <v>0.13518512205245373</v>
      </c>
      <c r="AE466" s="297"/>
      <c r="AF466" s="299">
        <f>SUM(AF453:AF465)</f>
        <v>79386.13</v>
      </c>
      <c r="AG466" s="308"/>
      <c r="AH466" s="302">
        <f>SUM(AH453:AH465)</f>
        <v>3869.6433333333343</v>
      </c>
      <c r="AI466" s="298">
        <f>IF(Z466=0,0,AH466/Z466)</f>
        <v>5.1242364470875379E-2</v>
      </c>
      <c r="AJ466" s="300">
        <f>IF($AL$407=0,0,AL466/$AL$407)</f>
        <v>0.16040059788867364</v>
      </c>
      <c r="AK466" s="298"/>
      <c r="AL466" s="299">
        <f>SUM(AL453:AL465)</f>
        <v>75589.039999999994</v>
      </c>
      <c r="AM466" s="309"/>
      <c r="AN466" s="302">
        <f>SUM(AN453:AN465)</f>
        <v>3797.09</v>
      </c>
      <c r="AO466" s="331">
        <f t="shared" ref="AO466:AO483" si="117">IF(AL466=0,0,AN466/AL466)</f>
        <v>5.0233340706536296E-2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89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118">AF467-Z467</f>
        <v>0</v>
      </c>
      <c r="AI467" s="283"/>
      <c r="AJ467" s="288"/>
      <c r="AK467" s="279"/>
      <c r="AL467" s="336"/>
      <c r="AM467" s="337"/>
      <c r="AN467" s="282">
        <f t="shared" ref="AN467:AN483" si="119">AF467-AL467</f>
        <v>0</v>
      </c>
      <c r="AO467" s="338">
        <f t="shared" si="117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89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1.0151232970558672</v>
      </c>
      <c r="Y468" s="297"/>
      <c r="Z468" s="299">
        <f>Z419+Z433+Z452+Z466</f>
        <v>488314.6560149045</v>
      </c>
      <c r="AA468" s="298"/>
      <c r="AB468" s="297"/>
      <c r="AC468" s="299"/>
      <c r="AD468" s="300">
        <f>AF468/AF407</f>
        <v>0.87254003106803968</v>
      </c>
      <c r="AE468" s="297"/>
      <c r="AF468" s="299">
        <f>AF419+AF433+AF452+AF466</f>
        <v>512390.52999999991</v>
      </c>
      <c r="AG468" s="308"/>
      <c r="AH468" s="302">
        <f t="shared" si="118"/>
        <v>24075.873985095415</v>
      </c>
      <c r="AI468" s="298">
        <f>AH468/Z468</f>
        <v>4.9304016761603328E-2</v>
      </c>
      <c r="AJ468" s="300">
        <f>IF($AL$407=0,0,AL468/$AL$407)</f>
        <v>0.99369642471884667</v>
      </c>
      <c r="AK468" s="298"/>
      <c r="AL468" s="299">
        <f>AL419+AL433+AL452+AL466</f>
        <v>468281.03999999992</v>
      </c>
      <c r="AM468" s="309"/>
      <c r="AN468" s="302">
        <f t="shared" si="119"/>
        <v>44109.489999999991</v>
      </c>
      <c r="AO468" s="277">
        <f t="shared" si="117"/>
        <v>9.419448201447575E-2</v>
      </c>
      <c r="AP468" s="310">
        <f>AF468-AF415</f>
        <v>483413.58999999991</v>
      </c>
      <c r="AQ468" s="246" t="s">
        <v>221</v>
      </c>
      <c r="AR468" s="246">
        <v>450159</v>
      </c>
      <c r="AS468" s="310">
        <f>AP468-AR468</f>
        <v>33254.589999999909</v>
      </c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89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0</v>
      </c>
      <c r="AA469" s="339"/>
      <c r="AB469" s="340"/>
      <c r="AC469" s="313"/>
      <c r="AD469" s="341"/>
      <c r="AE469" s="340"/>
      <c r="AF469" s="280">
        <v>-3.14</v>
      </c>
      <c r="AG469" s="342"/>
      <c r="AH469" s="282">
        <f t="shared" si="118"/>
        <v>-3.14</v>
      </c>
      <c r="AI469" s="335" t="e">
        <f>IF(AH469=0,0,AH469/Z469)</f>
        <v>#DIV/0!</v>
      </c>
      <c r="AJ469" s="341"/>
      <c r="AK469" s="339"/>
      <c r="AL469" s="343">
        <v>1898.24</v>
      </c>
      <c r="AM469" s="344"/>
      <c r="AN469" s="282">
        <f t="shared" si="119"/>
        <v>-1901.38</v>
      </c>
      <c r="AO469" s="289">
        <f t="shared" si="117"/>
        <v>-1.0016541638570466</v>
      </c>
      <c r="AP469" s="246"/>
      <c r="AQ469" s="246">
        <v>-3</v>
      </c>
      <c r="AR469" s="246"/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89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>+SUMIF($C:$C,$V470,F:F)</f>
        <v>56473.012800000004</v>
      </c>
      <c r="AA470" s="332"/>
      <c r="AB470" s="333"/>
      <c r="AC470" s="280"/>
      <c r="AD470" s="345"/>
      <c r="AE470" s="333"/>
      <c r="AF470" s="280">
        <f t="shared" ref="AF470:AF476" si="120">+SUMIF($C:$C,$V470,L:L)</f>
        <v>52973</v>
      </c>
      <c r="AG470" s="346"/>
      <c r="AH470" s="282">
        <f t="shared" si="118"/>
        <v>-3500.0128000000041</v>
      </c>
      <c r="AI470" s="306">
        <f>IF(Z470=0,0,AH470/Z470)</f>
        <v>-6.1976732362329423E-2</v>
      </c>
      <c r="AJ470" s="345"/>
      <c r="AK470" s="332"/>
      <c r="AL470" s="347">
        <f>+SUMIF($C:$C,$V470,Q:Q)</f>
        <v>47079</v>
      </c>
      <c r="AM470" s="348"/>
      <c r="AN470" s="282">
        <f t="shared" si="119"/>
        <v>5894</v>
      </c>
      <c r="AO470" s="289">
        <f t="shared" si="117"/>
        <v>0.12519382314832517</v>
      </c>
      <c r="AP470" s="246"/>
      <c r="AQ470" s="246">
        <v>52973</v>
      </c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89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v>52237.536840000001</v>
      </c>
      <c r="AA471" s="332"/>
      <c r="AB471" s="333"/>
      <c r="AC471" s="280"/>
      <c r="AD471" s="345"/>
      <c r="AE471" s="333"/>
      <c r="AF471" s="280">
        <f t="shared" si="120"/>
        <v>43701.85</v>
      </c>
      <c r="AG471" s="346"/>
      <c r="AH471" s="282">
        <f t="shared" si="118"/>
        <v>-8535.6868400000021</v>
      </c>
      <c r="AI471" s="306">
        <f t="shared" ref="AI471:AI480" si="121">IF(AH471=0,0,AH471/Z471)</f>
        <v>-0.16340140359497093</v>
      </c>
      <c r="AJ471" s="345"/>
      <c r="AK471" s="332"/>
      <c r="AL471" s="347">
        <v>56342.42</v>
      </c>
      <c r="AM471" s="348"/>
      <c r="AN471" s="282">
        <f t="shared" si="119"/>
        <v>-12640.57</v>
      </c>
      <c r="AO471" s="289">
        <f t="shared" si="117"/>
        <v>-0.22435262809087717</v>
      </c>
      <c r="AP471" s="246"/>
      <c r="AQ471" s="246">
        <v>43702</v>
      </c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>
      <c r="A472" t="str">
        <f t="shared" si="89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>+SUMIF($C:$C,$V472,F:F)</f>
        <v>0</v>
      </c>
      <c r="AA472" s="332"/>
      <c r="AB472" s="333"/>
      <c r="AC472" s="280"/>
      <c r="AD472" s="345"/>
      <c r="AE472" s="333"/>
      <c r="AF472" s="280">
        <f t="shared" si="120"/>
        <v>0</v>
      </c>
      <c r="AG472" s="346"/>
      <c r="AH472" s="282">
        <f t="shared" si="118"/>
        <v>0</v>
      </c>
      <c r="AI472" s="306">
        <f t="shared" si="121"/>
        <v>0</v>
      </c>
      <c r="AJ472" s="345"/>
      <c r="AK472" s="332"/>
      <c r="AL472" s="347">
        <f>+SUMIF($C:$C,$V472,Q:Q)</f>
        <v>0</v>
      </c>
      <c r="AM472" s="348"/>
      <c r="AN472" s="282">
        <f t="shared" si="119"/>
        <v>0</v>
      </c>
      <c r="AO472" s="289">
        <f t="shared" si="117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>
      <c r="A473" t="str">
        <f t="shared" si="89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>+SUMIF($C:$C,$V473,F:F)</f>
        <v>0</v>
      </c>
      <c r="AA473" s="332"/>
      <c r="AB473" s="333"/>
      <c r="AC473" s="280"/>
      <c r="AD473" s="345"/>
      <c r="AE473" s="333"/>
      <c r="AF473" s="280">
        <f t="shared" si="120"/>
        <v>0</v>
      </c>
      <c r="AG473" s="346"/>
      <c r="AH473" s="282">
        <f t="shared" si="118"/>
        <v>0</v>
      </c>
      <c r="AI473" s="306">
        <f t="shared" si="121"/>
        <v>0</v>
      </c>
      <c r="AJ473" s="345"/>
      <c r="AK473" s="332"/>
      <c r="AL473" s="347">
        <f>+SUMIF($C:$C,$V473,Q:Q)</f>
        <v>0</v>
      </c>
      <c r="AM473" s="348"/>
      <c r="AN473" s="282">
        <f t="shared" si="119"/>
        <v>0</v>
      </c>
      <c r="AO473" s="289">
        <f t="shared" si="117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89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v>3375</v>
      </c>
      <c r="AA474" s="332"/>
      <c r="AB474" s="333"/>
      <c r="AC474" s="280"/>
      <c r="AD474" s="345"/>
      <c r="AE474" s="333"/>
      <c r="AF474" s="280">
        <f t="shared" si="120"/>
        <v>3000</v>
      </c>
      <c r="AG474" s="346"/>
      <c r="AH474" s="282">
        <f t="shared" si="118"/>
        <v>-375</v>
      </c>
      <c r="AI474" s="306">
        <f t="shared" si="121"/>
        <v>-0.1111111111111111</v>
      </c>
      <c r="AJ474" s="345"/>
      <c r="AK474" s="332"/>
      <c r="AL474" s="347">
        <v>2625</v>
      </c>
      <c r="AM474" s="348"/>
      <c r="AN474" s="282">
        <f t="shared" si="119"/>
        <v>375</v>
      </c>
      <c r="AO474" s="289">
        <f t="shared" si="117"/>
        <v>0.14285714285714285</v>
      </c>
      <c r="AP474" s="246"/>
      <c r="AQ474" s="246">
        <v>3000</v>
      </c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89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>+SUMIF($C:$C,$V475,F:F)</f>
        <v>1206</v>
      </c>
      <c r="AA475" s="332"/>
      <c r="AB475" s="333"/>
      <c r="AC475" s="280"/>
      <c r="AD475" s="345"/>
      <c r="AE475" s="333"/>
      <c r="AF475" s="280">
        <f t="shared" si="120"/>
        <v>-2050</v>
      </c>
      <c r="AG475" s="346"/>
      <c r="AH475" s="282">
        <f t="shared" si="118"/>
        <v>-3256</v>
      </c>
      <c r="AI475" s="306">
        <f t="shared" si="121"/>
        <v>-2.6998341625207298</v>
      </c>
      <c r="AJ475" s="345"/>
      <c r="AK475" s="332"/>
      <c r="AL475" s="347">
        <f>+SUMIF($C:$C,$V475,Q:Q)</f>
        <v>0</v>
      </c>
      <c r="AM475" s="348"/>
      <c r="AN475" s="282">
        <f t="shared" si="119"/>
        <v>-2050</v>
      </c>
      <c r="AO475" s="289">
        <f t="shared" si="117"/>
        <v>0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>
      <c r="A476" t="str">
        <f t="shared" si="89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>+SUMIF($C:$C,$V476,F:F)</f>
        <v>0</v>
      </c>
      <c r="AA476" s="332"/>
      <c r="AB476" s="333"/>
      <c r="AC476" s="280"/>
      <c r="AD476" s="345"/>
      <c r="AE476" s="333"/>
      <c r="AF476" s="280">
        <f t="shared" si="120"/>
        <v>0</v>
      </c>
      <c r="AG476" s="346"/>
      <c r="AH476" s="282">
        <f t="shared" si="118"/>
        <v>0</v>
      </c>
      <c r="AI476" s="306">
        <f t="shared" si="121"/>
        <v>0</v>
      </c>
      <c r="AJ476" s="345"/>
      <c r="AK476" s="332"/>
      <c r="AL476" s="347">
        <f>+SUMIF($C:$C,$V476,Q:Q)</f>
        <v>0</v>
      </c>
      <c r="AM476" s="348"/>
      <c r="AN476" s="282">
        <f t="shared" si="119"/>
        <v>0</v>
      </c>
      <c r="AO476" s="289">
        <f t="shared" si="117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89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29648.331720000002</v>
      </c>
      <c r="AA477" s="332"/>
      <c r="AB477" s="333"/>
      <c r="AC477" s="280"/>
      <c r="AD477" s="345"/>
      <c r="AE477" s="333"/>
      <c r="AF477" s="280">
        <v>25984.97</v>
      </c>
      <c r="AG477" s="346"/>
      <c r="AH477" s="282">
        <f t="shared" si="118"/>
        <v>-3663.3617200000008</v>
      </c>
      <c r="AI477" s="306">
        <f t="shared" si="121"/>
        <v>-0.12356046723292667</v>
      </c>
      <c r="AJ477" s="345"/>
      <c r="AK477" s="332"/>
      <c r="AL477" s="347">
        <v>25721.54</v>
      </c>
      <c r="AM477" s="348"/>
      <c r="AN477" s="282">
        <f t="shared" si="119"/>
        <v>263.43000000000029</v>
      </c>
      <c r="AO477" s="289">
        <f t="shared" si="117"/>
        <v>1.0241610727818019E-2</v>
      </c>
      <c r="AP477" s="246"/>
      <c r="AQ477" s="246">
        <v>25985</v>
      </c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>
      <c r="A478" t="str">
        <f t="shared" si="89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IFERROR(SUMIF($C:$C,$V478,F:F),0)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118"/>
        <v>0</v>
      </c>
      <c r="AI478" s="283">
        <f t="shared" si="121"/>
        <v>0</v>
      </c>
      <c r="AJ478" s="288"/>
      <c r="AK478" s="279"/>
      <c r="AL478" s="280">
        <f>+SUMIF($C:$C,$V478,Q:Q)</f>
        <v>0</v>
      </c>
      <c r="AM478" s="348"/>
      <c r="AN478" s="282">
        <f t="shared" si="119"/>
        <v>0</v>
      </c>
      <c r="AO478" s="289">
        <f t="shared" si="117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>
      <c r="A479" t="str">
        <f t="shared" si="89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IFERROR(SUMIF($C:$C,$V479,F:F),0)</f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118"/>
        <v>0</v>
      </c>
      <c r="AI479" s="283">
        <f t="shared" si="121"/>
        <v>0</v>
      </c>
      <c r="AJ479" s="288"/>
      <c r="AK479" s="279"/>
      <c r="AL479" s="280">
        <f>+SUMIF($C:$C,$V479,Q:Q)</f>
        <v>0</v>
      </c>
      <c r="AM479" s="348"/>
      <c r="AN479" s="282">
        <f t="shared" si="119"/>
        <v>0</v>
      </c>
      <c r="AO479" s="289">
        <f t="shared" si="117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89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+SUMIF($C:$C,$V480,F:F)</f>
        <v>32088.35</v>
      </c>
      <c r="AA480" s="332"/>
      <c r="AB480" s="333"/>
      <c r="AC480" s="280"/>
      <c r="AD480" s="345"/>
      <c r="AE480" s="333"/>
      <c r="AF480" s="280">
        <f>+SUMIF($C:$C,$V480,L:L)</f>
        <v>29750</v>
      </c>
      <c r="AG480" s="346"/>
      <c r="AH480" s="282">
        <f t="shared" si="118"/>
        <v>-2338.3499999999985</v>
      </c>
      <c r="AI480" s="306">
        <f t="shared" si="121"/>
        <v>-7.2872241794919301E-2</v>
      </c>
      <c r="AJ480" s="345"/>
      <c r="AK480" s="332"/>
      <c r="AL480" s="347">
        <v>30940</v>
      </c>
      <c r="AM480" s="348"/>
      <c r="AN480" s="282">
        <f t="shared" si="119"/>
        <v>-1190</v>
      </c>
      <c r="AO480" s="289">
        <f t="shared" si="117"/>
        <v>-3.8461538461538464E-2</v>
      </c>
      <c r="AP480" s="246"/>
      <c r="AQ480" s="246">
        <v>29750</v>
      </c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89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0.36385398862695056</v>
      </c>
      <c r="Y481" s="330"/>
      <c r="Z481" s="299">
        <f>SUM(Z469:Z480)</f>
        <v>175028.23136000001</v>
      </c>
      <c r="AA481" s="298"/>
      <c r="AB481" s="330"/>
      <c r="AC481" s="299"/>
      <c r="AD481" s="298">
        <f>AF481/+AF407</f>
        <v>0.26114815652758344</v>
      </c>
      <c r="AE481" s="330"/>
      <c r="AF481" s="299">
        <f>SUM(AF469:AF480)</f>
        <v>153356.68</v>
      </c>
      <c r="AG481" s="308"/>
      <c r="AH481" s="302">
        <f t="shared" si="118"/>
        <v>-21671.551360000012</v>
      </c>
      <c r="AI481" s="298">
        <f>AH481/Z481</f>
        <v>-0.12381746185520053</v>
      </c>
      <c r="AJ481" s="349"/>
      <c r="AK481" s="350"/>
      <c r="AL481" s="299">
        <f>SUM(AL469:AL480)</f>
        <v>164606.20000000001</v>
      </c>
      <c r="AM481" s="351"/>
      <c r="AN481" s="302">
        <f t="shared" si="119"/>
        <v>-11249.520000000019</v>
      </c>
      <c r="AO481" s="331">
        <f t="shared" si="117"/>
        <v>-6.8342018708894434E-2</v>
      </c>
      <c r="AP481" s="246"/>
      <c r="AQ481" s="246" t="s">
        <v>221</v>
      </c>
      <c r="AR481" s="246">
        <v>158000</v>
      </c>
      <c r="AS481" s="310">
        <f>AF481-AR481</f>
        <v>-4643.320000000007</v>
      </c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89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119"/>
        <v>0</v>
      </c>
      <c r="AO482" s="364">
        <f t="shared" si="117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89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3.0503240779155991E-2</v>
      </c>
      <c r="Z483" s="369">
        <f>Z407-Z468+Z481</f>
        <v>167753.32434026626</v>
      </c>
      <c r="AA483" s="367"/>
      <c r="AB483" s="368"/>
      <c r="AC483" s="369"/>
      <c r="AD483" s="367" t="s">
        <v>180</v>
      </c>
      <c r="AE483" s="368">
        <f>AF483/AF406</f>
        <v>4.7699426033284677E-2</v>
      </c>
      <c r="AF483" s="370">
        <f>AF407-AF468+AF481</f>
        <v>228206.28999999998</v>
      </c>
      <c r="AG483" s="371"/>
      <c r="AH483" s="370">
        <f>AF483-Z483</f>
        <v>60452.965659733716</v>
      </c>
      <c r="AI483" s="487">
        <f>AH483/Z483</f>
        <v>0.36036821265677316</v>
      </c>
      <c r="AJ483" s="373" t="s">
        <v>180</v>
      </c>
      <c r="AK483" s="368">
        <f>IF($AL$406=0,0,AL483/$AL$406)</f>
        <v>3.262582872404473E-2</v>
      </c>
      <c r="AL483" s="370">
        <f>AL407-AL468+AL481</f>
        <v>167576.76999999973</v>
      </c>
      <c r="AM483" s="374"/>
      <c r="AN483" s="370">
        <f t="shared" si="119"/>
        <v>60629.520000000251</v>
      </c>
      <c r="AO483" s="375">
        <f t="shared" si="117"/>
        <v>0.36180145971306377</v>
      </c>
      <c r="AP483" s="246"/>
      <c r="AQ483" s="246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89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8" si="122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Avril 2025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 hidden="1">
      <c r="A486" t="str">
        <f t="shared" si="122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122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e">
        <f>+U488&amp;#REF!</f>
        <v>#REF!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3.7176676724772914E-2</v>
      </c>
      <c r="Z488" s="449">
        <f>Z489+Z415</f>
        <v>204454.04977315394</v>
      </c>
      <c r="AA488" s="446"/>
      <c r="AB488" s="447"/>
      <c r="AC488" s="448"/>
      <c r="AD488" s="446" t="s">
        <v>180</v>
      </c>
      <c r="AE488" s="447">
        <f>AF488/AF406</f>
        <v>5.3756153944688558E-2</v>
      </c>
      <c r="AF488" s="449">
        <f>AF489+AF415</f>
        <v>257183.22999999998</v>
      </c>
      <c r="AG488" s="450"/>
      <c r="AH488" s="450">
        <f t="shared" ref="AH488" si="123">AF488-Z488</f>
        <v>52729.180226846045</v>
      </c>
      <c r="AI488" s="451">
        <f>AH488/Z488</f>
        <v>0.25790235158144426</v>
      </c>
      <c r="AJ488" s="446" t="s">
        <v>180</v>
      </c>
      <c r="AK488" s="447">
        <f>IF($AL$406=0,0,AL488/$AL$406)</f>
        <v>4.1314144571049871E-2</v>
      </c>
      <c r="AL488" s="449">
        <f>AL489+AL415</f>
        <v>212202.75999999972</v>
      </c>
      <c r="AM488" s="452"/>
      <c r="AN488" s="449">
        <f t="shared" ref="AN488" si="124">AF488-AL488</f>
        <v>44980.470000000263</v>
      </c>
      <c r="AO488" s="453">
        <f t="shared" ref="AO488" si="125">IF(AL488=0,0,AN488/AL488)</f>
        <v>0.21196929766606393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thickTop="1" thickBot="1">
      <c r="A489" t="str">
        <f t="shared" si="122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3.0503240779155991E-2</v>
      </c>
      <c r="Z489" s="381">
        <f>Z483</f>
        <v>167753.32434026626</v>
      </c>
      <c r="AA489" s="379"/>
      <c r="AB489" s="380"/>
      <c r="AC489" s="381"/>
      <c r="AD489" s="379" t="s">
        <v>180</v>
      </c>
      <c r="AE489" s="380">
        <f>AF489/AF406</f>
        <v>4.7699426033284677E-2</v>
      </c>
      <c r="AF489" s="381">
        <f>AF483</f>
        <v>228206.28999999998</v>
      </c>
      <c r="AG489" s="382"/>
      <c r="AH489" s="370">
        <f>AF489-Z489</f>
        <v>60452.965659733716</v>
      </c>
      <c r="AI489" s="487">
        <f>AH489/Z489</f>
        <v>0.36036821265677316</v>
      </c>
      <c r="AJ489" s="379" t="s">
        <v>180</v>
      </c>
      <c r="AK489" s="380">
        <f>IF($AL$406=0,0,AL489/$AL$406)</f>
        <v>3.262582872404473E-2</v>
      </c>
      <c r="AL489" s="383">
        <f>AL483</f>
        <v>167576.76999999973</v>
      </c>
      <c r="AM489" s="384"/>
      <c r="AN489" s="385">
        <f>AF489-AL489</f>
        <v>60629.520000000251</v>
      </c>
      <c r="AO489" s="386">
        <f>IF(AL489=0,0,AN489/AL489)</f>
        <v>0.36180145971306377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122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122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19300</v>
      </c>
      <c r="AA491" s="279"/>
      <c r="AB491" s="287"/>
      <c r="AC491" s="280"/>
      <c r="AD491" s="279"/>
      <c r="AE491" s="287"/>
      <c r="AF491" s="280">
        <v>19300</v>
      </c>
      <c r="AG491" s="279"/>
      <c r="AH491" s="282">
        <f t="shared" ref="AH491:AH498" si="126">AF491-Z491</f>
        <v>0</v>
      </c>
      <c r="AI491" s="306">
        <f t="shared" ref="AI491:AI497" si="127">IF(Z491=0,0,AH491/Z491)</f>
        <v>0</v>
      </c>
      <c r="AJ491" s="279"/>
      <c r="AK491" s="279"/>
      <c r="AL491" s="280">
        <v>20970</v>
      </c>
      <c r="AM491" s="284"/>
      <c r="AN491" s="282">
        <f t="shared" ref="AN491:AN498" si="128">AF491-AL491</f>
        <v>-1670</v>
      </c>
      <c r="AO491" s="289">
        <f t="shared" ref="AO491:AO498" si="129">IF(AL491=0,0,AN491/AL491)</f>
        <v>-7.9637577491654746E-2</v>
      </c>
      <c r="AP491" s="246"/>
      <c r="AQ491" s="486">
        <v>19300</v>
      </c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 hidden="1">
      <c r="A492" t="str">
        <f t="shared" si="122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126"/>
        <v>0</v>
      </c>
      <c r="AI492" s="306">
        <f t="shared" si="127"/>
        <v>0</v>
      </c>
      <c r="AJ492" s="10"/>
      <c r="AK492" s="10"/>
      <c r="AL492" s="280">
        <v>0</v>
      </c>
      <c r="AM492" s="393"/>
      <c r="AN492" s="282">
        <f t="shared" si="128"/>
        <v>0</v>
      </c>
      <c r="AO492" s="289">
        <f t="shared" si="129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2.5" hidden="1" customHeight="1">
      <c r="A493" t="str">
        <f t="shared" si="122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126"/>
        <v>0</v>
      </c>
      <c r="AI493" s="306">
        <f t="shared" si="127"/>
        <v>0</v>
      </c>
      <c r="AJ493" s="10"/>
      <c r="AK493" s="10"/>
      <c r="AL493" s="280">
        <v>0</v>
      </c>
      <c r="AM493" s="393"/>
      <c r="AN493" s="282">
        <f t="shared" si="128"/>
        <v>0</v>
      </c>
      <c r="AO493" s="289">
        <f t="shared" si="129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 hidden="1">
      <c r="A494" t="str">
        <f t="shared" si="122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126"/>
        <v>0</v>
      </c>
      <c r="AI494" s="306">
        <f t="shared" si="127"/>
        <v>0</v>
      </c>
      <c r="AJ494" s="10"/>
      <c r="AK494" s="10"/>
      <c r="AL494" s="280">
        <v>0</v>
      </c>
      <c r="AM494" s="393"/>
      <c r="AN494" s="282">
        <f t="shared" si="128"/>
        <v>0</v>
      </c>
      <c r="AO494" s="289">
        <f t="shared" si="129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>
      <c r="A495" t="str">
        <f t="shared" si="122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IFERROR(SUMIF($C:$C,$V495,F:F),0)</f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126"/>
        <v>0</v>
      </c>
      <c r="AI495" s="283">
        <f t="shared" si="127"/>
        <v>0</v>
      </c>
      <c r="AJ495" s="288"/>
      <c r="AK495" s="279"/>
      <c r="AL495" s="280"/>
      <c r="AM495" s="393"/>
      <c r="AN495" s="282">
        <f t="shared" si="128"/>
        <v>0</v>
      </c>
      <c r="AO495" s="289">
        <f t="shared" si="129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122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208</v>
      </c>
      <c r="W496" s="13"/>
      <c r="X496" s="13"/>
      <c r="Y496" s="13"/>
      <c r="Z496" s="282">
        <v>-2547.5409836065573</v>
      </c>
      <c r="AA496" s="279"/>
      <c r="AB496" s="279"/>
      <c r="AC496" s="282"/>
      <c r="AD496" s="288"/>
      <c r="AE496" s="287"/>
      <c r="AF496" s="280">
        <v>-2547.54</v>
      </c>
      <c r="AG496" s="281"/>
      <c r="AH496" s="282">
        <f t="shared" si="126"/>
        <v>9.8360655738360947E-4</v>
      </c>
      <c r="AI496" s="283">
        <f t="shared" si="127"/>
        <v>-3.8610038610296127E-7</v>
      </c>
      <c r="AJ496" s="288"/>
      <c r="AK496" s="279"/>
      <c r="AL496" s="280">
        <v>-7075.41</v>
      </c>
      <c r="AM496" s="393"/>
      <c r="AN496" s="282">
        <f t="shared" si="128"/>
        <v>4527.87</v>
      </c>
      <c r="AO496" s="289">
        <f t="shared" si="129"/>
        <v>-0.63994454031639159</v>
      </c>
      <c r="AP496" s="246"/>
      <c r="AQ496" s="495">
        <f>Z496</f>
        <v>-2547.5409836065573</v>
      </c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122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IFERROR(SUMIF($C:$C,$V497,F:F),0)</f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126"/>
        <v>0</v>
      </c>
      <c r="AI497" s="283">
        <f t="shared" si="127"/>
        <v>0</v>
      </c>
      <c r="AJ497" s="288"/>
      <c r="AK497" s="279"/>
      <c r="AL497" s="280"/>
      <c r="AM497" s="393"/>
      <c r="AN497" s="282">
        <f t="shared" si="128"/>
        <v>0</v>
      </c>
      <c r="AO497" s="289">
        <f t="shared" si="129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122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2.7457075863917206E-2</v>
      </c>
      <c r="Z498" s="369">
        <f>Z489-Z491-Z492-Z493-Z497-Z496-Z494-Z495</f>
        <v>151000.86532387283</v>
      </c>
      <c r="AA498" s="367"/>
      <c r="AB498" s="368"/>
      <c r="AC498" s="369"/>
      <c r="AD498" s="367" t="s">
        <v>180</v>
      </c>
      <c r="AE498" s="368">
        <f>AF498/AF406</f>
        <v>4.4197845394795002E-2</v>
      </c>
      <c r="AF498" s="370">
        <f>AF489-AF491-AF492-AF493-AF497-AF496-AF494-AF495</f>
        <v>211453.83</v>
      </c>
      <c r="AG498" s="371"/>
      <c r="AH498" s="370">
        <f t="shared" si="126"/>
        <v>60452.964676127158</v>
      </c>
      <c r="AI498" s="487">
        <f>AH498/Z498</f>
        <v>0.40034846519895873</v>
      </c>
      <c r="AJ498" s="373" t="s">
        <v>180</v>
      </c>
      <c r="AK498" s="368">
        <f>IF($AL$406=0,0,AL498/$AL$406)</f>
        <v>2.9920665511203086E-2</v>
      </c>
      <c r="AL498" s="370">
        <f>AL489-AL491-AL492-AL493-AL497-AL496-AL494-AL495</f>
        <v>153682.17999999973</v>
      </c>
      <c r="AM498" s="374"/>
      <c r="AN498" s="370">
        <f t="shared" si="128"/>
        <v>57771.650000000256</v>
      </c>
      <c r="AO498" s="394">
        <f t="shared" si="129"/>
        <v>0.37591638796378574</v>
      </c>
      <c r="AP498" s="310">
        <f>SUM(AF490:AF497)+AF415</f>
        <v>45729.399999999994</v>
      </c>
      <c r="AQ498" s="246" t="s">
        <v>221</v>
      </c>
      <c r="AR498" s="246">
        <v>53453</v>
      </c>
      <c r="AS498" s="310">
        <f>AR498-AP498</f>
        <v>7723.6000000000058</v>
      </c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>+U499&amp;V488</f>
        <v>BAIIA Corpo</v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239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>
        <v>48042.559999999998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240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163411.26999999999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>
        <f>AR407-AR468+AR481-AR498</f>
        <v>213595</v>
      </c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>
        <f>AF500/AF498</f>
        <v>0.22720118145885559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 t="s">
        <v>241</v>
      </c>
      <c r="AE505" s="246"/>
      <c r="AF505" s="496">
        <v>213594</v>
      </c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>
        <f>AF498-AF505</f>
        <v>-2140.1700000000128</v>
      </c>
      <c r="AG507" s="246"/>
      <c r="AH507" s="246"/>
      <c r="AI507" s="246"/>
      <c r="AJ507" s="246" t="e">
        <f>AF513/AJ505</f>
        <v>#DIV/0!</v>
      </c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 t="s">
        <v>243</v>
      </c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 t="s">
        <v>242</v>
      </c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 t="s">
        <v>256</v>
      </c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246"/>
      <c r="X512" s="246"/>
      <c r="Y512" s="246"/>
      <c r="Z512" s="246"/>
      <c r="AA512" s="246"/>
      <c r="AB512" s="246"/>
      <c r="AC512" s="246"/>
      <c r="AD512" s="246" t="s">
        <v>257</v>
      </c>
      <c r="AE512" s="246"/>
      <c r="AF512" s="246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246"/>
      <c r="X513" s="246"/>
      <c r="Y513" s="246"/>
      <c r="Z513" s="246"/>
      <c r="AA513" s="246"/>
      <c r="AB513" s="246"/>
      <c r="AC513" s="246"/>
      <c r="AD513" s="246"/>
      <c r="AE513" s="246"/>
      <c r="AF513" s="310">
        <f>AF498+AF509+AF510+AF511+AF512</f>
        <v>211453.83</v>
      </c>
      <c r="AG513" s="310">
        <f>AF513-AF505</f>
        <v>-2140.1700000000128</v>
      </c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310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246"/>
      <c r="AG516" s="246"/>
      <c r="AH516" s="246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246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246"/>
      <c r="D518" s="246"/>
      <c r="E518" s="246"/>
      <c r="F518" s="310"/>
      <c r="G518" s="246"/>
      <c r="H518" s="246"/>
      <c r="I518" s="310"/>
      <c r="J518" s="246"/>
      <c r="K518" s="246"/>
      <c r="L518" s="246"/>
      <c r="M518" s="310"/>
      <c r="N518" s="246"/>
      <c r="O518" s="246"/>
      <c r="P518" s="246"/>
      <c r="Q518" s="310"/>
      <c r="R518" s="310"/>
      <c r="S518" s="310"/>
      <c r="T518" s="334"/>
      <c r="U518" s="334"/>
      <c r="V518" s="246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310"/>
      <c r="AH518" s="310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246"/>
      <c r="D519" s="246"/>
      <c r="E519" s="246"/>
      <c r="F519" s="310"/>
      <c r="G519" s="246"/>
      <c r="H519" s="246"/>
      <c r="I519" s="310"/>
      <c r="J519" s="246"/>
      <c r="K519" s="246"/>
      <c r="L519" s="246"/>
      <c r="M519" s="310"/>
      <c r="N519" s="246"/>
      <c r="O519" s="246"/>
      <c r="P519" s="246"/>
      <c r="Q519" s="310"/>
      <c r="R519" s="310"/>
      <c r="S519" s="310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246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98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310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400"/>
      <c r="D521" s="334"/>
      <c r="E521" s="334"/>
      <c r="F521" s="399"/>
      <c r="G521" s="334"/>
      <c r="H521" s="334"/>
      <c r="I521" s="399"/>
      <c r="J521" s="334"/>
      <c r="K521" s="334"/>
      <c r="L521" s="334"/>
      <c r="M521" s="399"/>
      <c r="N521" s="334"/>
      <c r="O521" s="334"/>
      <c r="P521" s="334"/>
      <c r="Q521" s="399"/>
      <c r="R521" s="399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99"/>
      <c r="G522" s="334"/>
      <c r="H522" s="334"/>
      <c r="I522" s="399"/>
      <c r="J522" s="334"/>
      <c r="K522" s="334"/>
      <c r="L522" s="334"/>
      <c r="M522" s="399"/>
      <c r="N522" s="334"/>
      <c r="O522" s="334"/>
      <c r="P522" s="334"/>
      <c r="Q522" s="399"/>
      <c r="R522" s="399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98"/>
      <c r="K523" s="398"/>
      <c r="L523" s="398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310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99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34"/>
      <c r="K526" s="334"/>
      <c r="L526" s="334"/>
      <c r="M526" s="399"/>
      <c r="N526" s="334"/>
      <c r="O526" s="334"/>
      <c r="P526" s="334"/>
      <c r="Q526" s="334"/>
      <c r="R526" s="334"/>
      <c r="S526" s="399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99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98"/>
      <c r="K528" s="398"/>
      <c r="L528" s="398"/>
      <c r="M528" s="401"/>
      <c r="N528" s="398"/>
      <c r="O528" s="398"/>
      <c r="P528" s="398"/>
      <c r="Q528" s="334"/>
      <c r="R528" s="334"/>
      <c r="S528" s="398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5.75">
      <c r="B530" s="7"/>
      <c r="C530" s="334"/>
      <c r="D530" s="334"/>
      <c r="E530" s="334"/>
      <c r="F530" s="334"/>
      <c r="G530" s="334"/>
      <c r="H530" s="334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8.75">
      <c r="B532" s="7"/>
      <c r="C532" s="402"/>
      <c r="D532" s="403"/>
      <c r="E532" s="403"/>
      <c r="F532" s="403"/>
      <c r="G532" s="403"/>
      <c r="H532" s="403"/>
      <c r="I532" s="403"/>
      <c r="J532" s="403"/>
      <c r="K532" s="403"/>
      <c r="L532" s="403"/>
      <c r="M532" s="403"/>
      <c r="N532" s="403"/>
      <c r="O532" s="403"/>
      <c r="P532" s="403"/>
      <c r="Q532" s="403"/>
      <c r="R532" s="403"/>
      <c r="S532" s="403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334"/>
      <c r="F533" s="334"/>
      <c r="G533" s="334"/>
      <c r="H533" s="334"/>
      <c r="I533" s="334"/>
      <c r="J533" s="334"/>
      <c r="K533" s="334"/>
      <c r="L533" s="334"/>
      <c r="M533" s="334"/>
      <c r="N533" s="334"/>
      <c r="O533" s="334"/>
      <c r="P533" s="334"/>
      <c r="Q533" s="404"/>
      <c r="R533" s="334"/>
      <c r="S533" s="334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334"/>
      <c r="E534" s="334"/>
      <c r="F534" s="334"/>
      <c r="G534" s="334"/>
      <c r="H534" s="334"/>
      <c r="I534" s="334"/>
      <c r="J534" s="334"/>
      <c r="K534" s="334"/>
      <c r="L534" s="405"/>
      <c r="M534" s="406"/>
      <c r="N534" s="406"/>
      <c r="O534" s="334"/>
      <c r="P534" s="405"/>
      <c r="Q534" s="406"/>
      <c r="R534" s="406"/>
      <c r="S534" s="405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34"/>
      <c r="D535" s="334"/>
      <c r="E535" s="405"/>
      <c r="F535" s="407"/>
      <c r="G535" s="334"/>
      <c r="H535" s="405"/>
      <c r="I535" s="407"/>
      <c r="J535" s="406"/>
      <c r="K535" s="398"/>
      <c r="L535" s="405"/>
      <c r="M535" s="406"/>
      <c r="N535" s="406"/>
      <c r="O535" s="398"/>
      <c r="P535" s="405"/>
      <c r="Q535" s="406"/>
      <c r="R535" s="406"/>
      <c r="S535" s="405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408"/>
      <c r="E536" s="407"/>
      <c r="F536" s="407"/>
      <c r="G536" s="408"/>
      <c r="H536" s="407"/>
      <c r="I536" s="407"/>
      <c r="J536" s="407"/>
      <c r="K536" s="407"/>
      <c r="L536" s="407"/>
      <c r="M536" s="407"/>
      <c r="N536" s="407"/>
      <c r="O536" s="407"/>
      <c r="P536" s="407"/>
      <c r="Q536" s="407"/>
      <c r="R536" s="407"/>
      <c r="S536" s="407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98"/>
      <c r="D537" s="334"/>
      <c r="E537" s="334"/>
      <c r="F537" s="334"/>
      <c r="G537" s="334"/>
      <c r="H537" s="334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34"/>
      <c r="F538" s="334"/>
      <c r="G538" s="334"/>
      <c r="H538" s="334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99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09"/>
      <c r="G543" s="334"/>
      <c r="H543" s="399"/>
      <c r="I543" s="409"/>
      <c r="J543" s="409"/>
      <c r="K543" s="399"/>
      <c r="L543" s="409"/>
      <c r="M543" s="399"/>
      <c r="N543" s="409"/>
      <c r="O543" s="399"/>
      <c r="P543" s="409"/>
      <c r="Q543" s="399"/>
      <c r="R543" s="399"/>
      <c r="S543" s="334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34"/>
      <c r="D544" s="334"/>
      <c r="E544" s="399"/>
      <c r="F544" s="409"/>
      <c r="G544" s="334"/>
      <c r="H544" s="399"/>
      <c r="I544" s="409"/>
      <c r="J544" s="409"/>
      <c r="K544" s="399"/>
      <c r="L544" s="409"/>
      <c r="M544" s="399"/>
      <c r="N544" s="409"/>
      <c r="O544" s="399"/>
      <c r="P544" s="409"/>
      <c r="Q544" s="399"/>
      <c r="R544" s="399"/>
      <c r="S544" s="399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410"/>
      <c r="G545" s="334"/>
      <c r="H545" s="399"/>
      <c r="I545" s="410"/>
      <c r="J545" s="409"/>
      <c r="K545" s="399"/>
      <c r="L545" s="409"/>
      <c r="M545" s="399"/>
      <c r="N545" s="409"/>
      <c r="O545" s="399"/>
      <c r="P545" s="334"/>
      <c r="Q545" s="334"/>
      <c r="R545" s="399"/>
      <c r="S545" s="399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98"/>
      <c r="D546" s="398"/>
      <c r="E546" s="401"/>
      <c r="F546" s="411"/>
      <c r="G546" s="398"/>
      <c r="H546" s="401"/>
      <c r="I546" s="411"/>
      <c r="J546" s="411"/>
      <c r="K546" s="401"/>
      <c r="L546" s="411"/>
      <c r="M546" s="401"/>
      <c r="N546" s="411"/>
      <c r="O546" s="401"/>
      <c r="P546" s="411"/>
      <c r="Q546" s="401"/>
      <c r="R546" s="401"/>
      <c r="S546" s="398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34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98"/>
      <c r="Q547" s="411"/>
      <c r="R547" s="411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99"/>
      <c r="F548" s="334"/>
      <c r="G548" s="334"/>
      <c r="H548" s="399"/>
      <c r="I548" s="334"/>
      <c r="J548" s="409"/>
      <c r="K548" s="399"/>
      <c r="L548" s="409"/>
      <c r="M548" s="399"/>
      <c r="N548" s="409"/>
      <c r="O548" s="399"/>
      <c r="P548" s="334"/>
      <c r="Q548" s="334"/>
      <c r="R548" s="399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98"/>
      <c r="D549" s="334"/>
      <c r="E549" s="399"/>
      <c r="F549" s="334"/>
      <c r="G549" s="334"/>
      <c r="H549" s="399"/>
      <c r="I549" s="334"/>
      <c r="J549" s="409"/>
      <c r="K549" s="399"/>
      <c r="L549" s="409"/>
      <c r="M549" s="399"/>
      <c r="N549" s="409"/>
      <c r="O549" s="399"/>
      <c r="P549" s="334"/>
      <c r="Q549" s="334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34"/>
      <c r="F550" s="334"/>
      <c r="G550" s="334"/>
      <c r="H550" s="334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09"/>
      <c r="G551" s="334"/>
      <c r="H551" s="399"/>
      <c r="I551" s="409"/>
      <c r="J551" s="409"/>
      <c r="K551" s="334"/>
      <c r="L551" s="409"/>
      <c r="M551" s="334"/>
      <c r="N551" s="409"/>
      <c r="O551" s="334"/>
      <c r="P551" s="409"/>
      <c r="Q551" s="399"/>
      <c r="R551" s="399"/>
      <c r="S551" s="334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10"/>
      <c r="G552" s="334"/>
      <c r="H552" s="399"/>
      <c r="I552" s="410"/>
      <c r="J552" s="409"/>
      <c r="K552" s="399"/>
      <c r="L552" s="409"/>
      <c r="M552" s="399"/>
      <c r="N552" s="409"/>
      <c r="O552" s="399"/>
      <c r="P552" s="334"/>
      <c r="Q552" s="409"/>
      <c r="R552" s="409"/>
      <c r="S552" s="399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34"/>
      <c r="D553" s="334"/>
      <c r="E553" s="399"/>
      <c r="F553" s="410"/>
      <c r="G553" s="334"/>
      <c r="H553" s="399"/>
      <c r="I553" s="410"/>
      <c r="J553" s="409"/>
      <c r="K553" s="399"/>
      <c r="L553" s="409"/>
      <c r="M553" s="399"/>
      <c r="N553" s="409"/>
      <c r="O553" s="399"/>
      <c r="P553" s="334"/>
      <c r="Q553" s="334"/>
      <c r="R553" s="399"/>
      <c r="S553" s="399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99"/>
      <c r="F554" s="409"/>
      <c r="G554" s="334"/>
      <c r="H554" s="399"/>
      <c r="I554" s="409"/>
      <c r="J554" s="409"/>
      <c r="K554" s="399"/>
      <c r="L554" s="409"/>
      <c r="M554" s="399"/>
      <c r="N554" s="409"/>
      <c r="O554" s="399"/>
      <c r="P554" s="334"/>
      <c r="Q554" s="334"/>
      <c r="R554" s="399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98"/>
      <c r="D555" s="398"/>
      <c r="E555" s="401"/>
      <c r="F555" s="411"/>
      <c r="G555" s="398"/>
      <c r="H555" s="401"/>
      <c r="I555" s="411"/>
      <c r="J555" s="411"/>
      <c r="K555" s="401"/>
      <c r="L555" s="411"/>
      <c r="M555" s="401"/>
      <c r="N555" s="411"/>
      <c r="O555" s="401"/>
      <c r="P555" s="411"/>
      <c r="Q555" s="398"/>
      <c r="R555" s="401"/>
      <c r="S555" s="398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34"/>
      <c r="D556" s="334"/>
      <c r="E556" s="334"/>
      <c r="F556" s="334"/>
      <c r="G556" s="334"/>
      <c r="H556" s="334"/>
      <c r="I556" s="334"/>
      <c r="J556" s="334"/>
      <c r="K556" s="334"/>
      <c r="L556" s="334"/>
      <c r="M556" s="334"/>
      <c r="N556" s="334"/>
      <c r="O556" s="334"/>
      <c r="P556" s="398"/>
      <c r="Q556" s="411"/>
      <c r="R556" s="411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98"/>
      <c r="D558" s="334"/>
      <c r="E558" s="399"/>
      <c r="F558" s="409"/>
      <c r="G558" s="334"/>
      <c r="H558" s="399"/>
      <c r="I558" s="409"/>
      <c r="J558" s="409"/>
      <c r="K558" s="399"/>
      <c r="L558" s="409"/>
      <c r="M558" s="399"/>
      <c r="N558" s="409"/>
      <c r="O558" s="399"/>
      <c r="P558" s="334"/>
      <c r="Q558" s="334"/>
      <c r="R558" s="399"/>
      <c r="S558" s="334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99"/>
      <c r="F559" s="409"/>
      <c r="G559" s="334"/>
      <c r="H559" s="399"/>
      <c r="I559" s="409"/>
      <c r="J559" s="409"/>
      <c r="K559" s="399"/>
      <c r="L559" s="409"/>
      <c r="M559" s="399"/>
      <c r="N559" s="409"/>
      <c r="O559" s="399"/>
      <c r="P559" s="334"/>
      <c r="Q559" s="334"/>
      <c r="R559" s="399"/>
      <c r="S559" s="334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34"/>
      <c r="D566" s="334"/>
      <c r="E566" s="334"/>
      <c r="F566" s="334"/>
      <c r="G566" s="334"/>
      <c r="H566" s="334"/>
      <c r="I566" s="334"/>
      <c r="J566" s="334"/>
      <c r="K566" s="334"/>
      <c r="L566" s="334"/>
      <c r="M566" s="334"/>
      <c r="N566" s="334"/>
      <c r="O566" s="334"/>
      <c r="P566" s="409"/>
      <c r="Q566" s="399"/>
      <c r="R566" s="334"/>
      <c r="S566" s="399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09"/>
      <c r="Q567" s="399"/>
      <c r="R567" s="334"/>
      <c r="S567" s="399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98"/>
      <c r="D568" s="398"/>
      <c r="E568" s="334"/>
      <c r="F568" s="334"/>
      <c r="G568" s="398"/>
      <c r="H568" s="334"/>
      <c r="I568" s="334"/>
      <c r="J568" s="334"/>
      <c r="K568" s="334"/>
      <c r="L568" s="334"/>
      <c r="M568" s="334"/>
      <c r="N568" s="334"/>
      <c r="O568" s="334"/>
      <c r="P568" s="411"/>
      <c r="Q568" s="401"/>
      <c r="R568" s="334"/>
      <c r="S568" s="401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11"/>
      <c r="Q569" s="411"/>
      <c r="R569" s="334"/>
      <c r="S569" s="334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34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09"/>
      <c r="Q570" s="399"/>
      <c r="R570" s="334"/>
      <c r="S570" s="399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09"/>
      <c r="Q571" s="399"/>
      <c r="R571" s="334"/>
      <c r="S571" s="399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98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11"/>
      <c r="Q572" s="401"/>
      <c r="R572" s="334"/>
      <c r="S572" s="401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34"/>
      <c r="D573" s="334"/>
      <c r="E573" s="334"/>
      <c r="F573" s="334"/>
      <c r="G573" s="334"/>
      <c r="H573" s="334"/>
      <c r="I573" s="334"/>
      <c r="J573" s="334"/>
      <c r="K573" s="334"/>
      <c r="L573" s="334"/>
      <c r="M573" s="334"/>
      <c r="N573" s="334"/>
      <c r="O573" s="334"/>
      <c r="P573" s="411"/>
      <c r="Q573" s="411"/>
      <c r="R573" s="334"/>
      <c r="S573" s="334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09"/>
      <c r="Q574" s="399"/>
      <c r="R574" s="334"/>
      <c r="S574" s="399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98"/>
      <c r="D575" s="398"/>
      <c r="E575" s="334"/>
      <c r="F575" s="334"/>
      <c r="G575" s="398"/>
      <c r="H575" s="334"/>
      <c r="I575" s="334"/>
      <c r="J575" s="334"/>
      <c r="K575" s="334"/>
      <c r="L575" s="334"/>
      <c r="M575" s="334"/>
      <c r="N575" s="334"/>
      <c r="O575" s="334"/>
      <c r="P575" s="411"/>
      <c r="Q575" s="401"/>
      <c r="R575" s="334"/>
      <c r="S575" s="401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34"/>
      <c r="D576" s="334"/>
      <c r="E576" s="334"/>
      <c r="F576" s="334"/>
      <c r="G576" s="334"/>
      <c r="H576" s="334"/>
      <c r="I576" s="334"/>
      <c r="J576" s="334"/>
      <c r="K576" s="334"/>
      <c r="L576" s="334"/>
      <c r="M576" s="334"/>
      <c r="N576" s="334"/>
      <c r="O576" s="334"/>
      <c r="P576" s="411"/>
      <c r="Q576" s="411"/>
      <c r="R576" s="334"/>
      <c r="S576" s="334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409"/>
      <c r="K577" s="399"/>
      <c r="L577" s="409"/>
      <c r="M577" s="399"/>
      <c r="N577" s="409"/>
      <c r="O577" s="399"/>
      <c r="P577" s="409"/>
      <c r="Q577" s="399"/>
      <c r="R577" s="399"/>
      <c r="S577" s="334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98"/>
      <c r="D578" s="398"/>
      <c r="E578" s="401"/>
      <c r="F578" s="411"/>
      <c r="G578" s="398"/>
      <c r="H578" s="401"/>
      <c r="I578" s="411"/>
      <c r="J578" s="411"/>
      <c r="K578" s="401"/>
      <c r="L578" s="411"/>
      <c r="M578" s="401"/>
      <c r="N578" s="411"/>
      <c r="O578" s="401"/>
      <c r="P578" s="411"/>
      <c r="Q578" s="401"/>
      <c r="R578" s="401"/>
      <c r="S578" s="401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99"/>
      <c r="F579" s="409"/>
      <c r="G579" s="334"/>
      <c r="H579" s="399"/>
      <c r="I579" s="409"/>
      <c r="J579" s="399"/>
      <c r="K579" s="409"/>
      <c r="L579" s="399"/>
      <c r="M579" s="334"/>
      <c r="N579" s="399"/>
      <c r="O579" s="409"/>
      <c r="P579" s="401"/>
      <c r="Q579" s="411"/>
      <c r="R579" s="411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34"/>
      <c r="F581" s="334"/>
      <c r="G581" s="334"/>
      <c r="H581" s="334"/>
      <c r="I581" s="334"/>
      <c r="J581" s="334"/>
      <c r="K581" s="334"/>
      <c r="L581" s="334"/>
      <c r="M581" s="334"/>
      <c r="N581" s="334"/>
      <c r="O581" s="334"/>
      <c r="P581" s="334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99"/>
      <c r="F587" s="409"/>
      <c r="G587" s="334"/>
      <c r="H587" s="399"/>
      <c r="I587" s="409"/>
      <c r="J587" s="399"/>
      <c r="K587" s="409"/>
      <c r="L587" s="399"/>
      <c r="M587" s="334"/>
      <c r="N587" s="399"/>
      <c r="O587" s="409"/>
      <c r="P587" s="399"/>
      <c r="Q587" s="334"/>
      <c r="R587" s="409"/>
      <c r="S587" s="399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99"/>
      <c r="F588" s="409"/>
      <c r="G588" s="334"/>
      <c r="H588" s="399"/>
      <c r="I588" s="409"/>
      <c r="J588" s="399"/>
      <c r="K588" s="409"/>
      <c r="L588" s="399"/>
      <c r="M588" s="334"/>
      <c r="N588" s="399"/>
      <c r="O588" s="409"/>
      <c r="P588" s="399"/>
      <c r="Q588" s="334"/>
      <c r="R588" s="409"/>
      <c r="S588" s="399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15.75">
      <c r="B650" s="7"/>
      <c r="C650" s="334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5.75">
      <c r="B651" s="7"/>
      <c r="C651" s="334"/>
      <c r="D651" s="334"/>
      <c r="E651" s="334"/>
      <c r="F651" s="334"/>
      <c r="G651" s="334"/>
      <c r="H651" s="334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30">
      <c r="B652" s="7"/>
      <c r="C652" s="412"/>
      <c r="D652" s="334"/>
      <c r="E652" s="334"/>
      <c r="F652" s="334"/>
      <c r="G652" s="334"/>
      <c r="H652" s="334"/>
      <c r="I652" s="334"/>
      <c r="J652" s="334"/>
      <c r="K652" s="334"/>
      <c r="L652" s="334"/>
      <c r="M652" s="334"/>
      <c r="N652" s="334"/>
      <c r="O652" s="413"/>
      <c r="P652" s="334"/>
      <c r="Q652" s="334"/>
      <c r="R652" s="334"/>
      <c r="S652" s="334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8.75">
      <c r="B653" s="7"/>
      <c r="C653" s="402"/>
      <c r="D653" s="406"/>
      <c r="E653" s="406"/>
      <c r="F653" s="406"/>
      <c r="G653" s="406"/>
      <c r="H653" s="406"/>
      <c r="I653" s="406"/>
      <c r="J653" s="406"/>
      <c r="K653" s="406"/>
      <c r="L653" s="406"/>
      <c r="M653" s="406"/>
      <c r="N653" s="406"/>
      <c r="O653" s="406"/>
      <c r="P653" s="406"/>
      <c r="Q653" s="414"/>
      <c r="R653" s="406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403"/>
      <c r="E654" s="403"/>
      <c r="F654" s="415"/>
      <c r="G654" s="403"/>
      <c r="H654" s="403"/>
      <c r="I654" s="415"/>
      <c r="J654" s="407"/>
      <c r="K654" s="407"/>
      <c r="L654" s="416"/>
      <c r="M654" s="407"/>
      <c r="N654" s="407"/>
      <c r="O654" s="407"/>
      <c r="P654" s="407"/>
      <c r="Q654" s="404"/>
      <c r="R654" s="403"/>
      <c r="S654" s="415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417"/>
      <c r="D655" s="334"/>
      <c r="E655" s="334"/>
      <c r="F655" s="406"/>
      <c r="G655" s="334"/>
      <c r="H655" s="334"/>
      <c r="I655" s="406"/>
      <c r="J655" s="406"/>
      <c r="K655" s="406"/>
      <c r="L655" s="334"/>
      <c r="M655" s="406"/>
      <c r="N655" s="406"/>
      <c r="O655" s="334"/>
      <c r="P655" s="406"/>
      <c r="Q655" s="406"/>
      <c r="R655" s="334"/>
      <c r="S655" s="406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99"/>
      <c r="G656" s="334"/>
      <c r="H656" s="334"/>
      <c r="I656" s="399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98"/>
      <c r="D657" s="398"/>
      <c r="E657" s="398"/>
      <c r="F657" s="401"/>
      <c r="G657" s="398"/>
      <c r="H657" s="398"/>
      <c r="I657" s="401"/>
      <c r="J657" s="401"/>
      <c r="K657" s="401"/>
      <c r="L657" s="401"/>
      <c r="M657" s="401"/>
      <c r="N657" s="401"/>
      <c r="O657" s="401"/>
      <c r="P657" s="401"/>
      <c r="Q657" s="401"/>
      <c r="R657" s="401"/>
      <c r="S657" s="401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99"/>
      <c r="K658" s="399"/>
      <c r="L658" s="399"/>
      <c r="M658" s="399"/>
      <c r="N658" s="399"/>
      <c r="O658" s="399"/>
      <c r="P658" s="399"/>
      <c r="Q658" s="399"/>
      <c r="R658" s="399"/>
      <c r="S658" s="399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399"/>
      <c r="M662" s="334"/>
      <c r="N662" s="399"/>
      <c r="O662" s="399"/>
      <c r="P662" s="334"/>
      <c r="Q662" s="399"/>
      <c r="R662" s="399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99"/>
      <c r="L664" s="401"/>
      <c r="M664" s="334"/>
      <c r="N664" s="399"/>
      <c r="O664" s="399"/>
      <c r="P664" s="334"/>
      <c r="Q664" s="399"/>
      <c r="R664" s="401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399"/>
      <c r="L665" s="399"/>
      <c r="M665" s="334"/>
      <c r="N665" s="399"/>
      <c r="O665" s="399"/>
      <c r="P665" s="334"/>
      <c r="Q665" s="399"/>
      <c r="R665" s="399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34"/>
      <c r="L666" s="334"/>
      <c r="M666" s="334"/>
      <c r="N666" s="401"/>
      <c r="O666" s="401"/>
      <c r="P666" s="334"/>
      <c r="Q666" s="401"/>
      <c r="R666" s="334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401"/>
      <c r="L667" s="401"/>
      <c r="M667" s="334"/>
      <c r="N667" s="399"/>
      <c r="O667" s="399"/>
      <c r="P667" s="334"/>
      <c r="Q667" s="399"/>
      <c r="R667" s="401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399"/>
      <c r="O674" s="399"/>
      <c r="P674" s="334"/>
      <c r="Q674" s="399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399"/>
      <c r="L675" s="399"/>
      <c r="M675" s="334"/>
      <c r="N675" s="399"/>
      <c r="O675" s="399"/>
      <c r="P675" s="334"/>
      <c r="Q675" s="399"/>
      <c r="R675" s="399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401"/>
      <c r="O676" s="401"/>
      <c r="P676" s="334"/>
      <c r="Q676" s="401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401"/>
      <c r="L677" s="401"/>
      <c r="M677" s="334"/>
      <c r="N677" s="399"/>
      <c r="O677" s="399"/>
      <c r="P677" s="334"/>
      <c r="Q677" s="399"/>
      <c r="R677" s="401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99"/>
      <c r="O689" s="399"/>
      <c r="P689" s="334"/>
      <c r="Q689" s="399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399"/>
      <c r="O690" s="399"/>
      <c r="P690" s="334"/>
      <c r="Q690" s="399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99"/>
      <c r="L691" s="399"/>
      <c r="M691" s="334"/>
      <c r="N691" s="334"/>
      <c r="O691" s="334"/>
      <c r="P691" s="334"/>
      <c r="Q691" s="334"/>
      <c r="R691" s="399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399"/>
      <c r="L692" s="399"/>
      <c r="M692" s="334"/>
      <c r="N692" s="401"/>
      <c r="O692" s="401"/>
      <c r="P692" s="334"/>
      <c r="Q692" s="401"/>
      <c r="R692" s="399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34"/>
      <c r="L693" s="334"/>
      <c r="M693" s="334"/>
      <c r="N693" s="399"/>
      <c r="O693" s="399"/>
      <c r="P693" s="334"/>
      <c r="Q693" s="399"/>
      <c r="R693" s="334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401"/>
      <c r="L694" s="401"/>
      <c r="M694" s="334"/>
      <c r="N694" s="399"/>
      <c r="O694" s="399"/>
      <c r="P694" s="334"/>
      <c r="Q694" s="399"/>
      <c r="R694" s="401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399"/>
      <c r="M699" s="334"/>
      <c r="N699" s="399"/>
      <c r="O699" s="399"/>
      <c r="P699" s="334"/>
      <c r="Q699" s="399"/>
      <c r="R699" s="399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401"/>
      <c r="M701" s="334"/>
      <c r="N701" s="399"/>
      <c r="O701" s="399"/>
      <c r="P701" s="334"/>
      <c r="Q701" s="399"/>
      <c r="R701" s="401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399"/>
      <c r="O702" s="399"/>
      <c r="P702" s="334"/>
      <c r="Q702" s="399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  <row r="703" spans="2:62" ht="15.75">
      <c r="B703" s="7"/>
      <c r="C703" s="334"/>
      <c r="D703" s="334"/>
      <c r="E703" s="334"/>
      <c r="F703" s="334"/>
      <c r="G703" s="334"/>
      <c r="H703" s="334"/>
      <c r="I703" s="334"/>
      <c r="J703" s="334"/>
      <c r="K703" s="399"/>
      <c r="L703" s="399"/>
      <c r="M703" s="334"/>
      <c r="N703" s="399"/>
      <c r="O703" s="399"/>
      <c r="P703" s="334"/>
      <c r="Q703" s="399"/>
      <c r="R703" s="399"/>
      <c r="S703" s="334"/>
      <c r="T703" s="334"/>
      <c r="U703" s="334"/>
      <c r="V703" s="334"/>
      <c r="W703" s="334"/>
      <c r="X703" s="334"/>
      <c r="Y703" s="246"/>
      <c r="Z703" s="246"/>
      <c r="AA703" s="246"/>
      <c r="AB703" s="246"/>
      <c r="AC703" s="246"/>
      <c r="AD703" s="246"/>
      <c r="AE703" s="246"/>
      <c r="AF703" s="246"/>
      <c r="AG703" s="246"/>
      <c r="AH703" s="246"/>
      <c r="AI703" s="246"/>
      <c r="AJ703" s="246"/>
      <c r="AK703" s="246"/>
      <c r="AL703" s="246"/>
      <c r="AM703" s="246"/>
      <c r="AN703" s="246"/>
      <c r="AO703" s="246"/>
      <c r="AP703" s="246"/>
      <c r="AQ703" s="246"/>
      <c r="AR703" s="246"/>
      <c r="AS703" s="246"/>
      <c r="AT703" s="246"/>
      <c r="AU703" s="246"/>
      <c r="AV703" s="246"/>
      <c r="AW703" s="246"/>
      <c r="AX703" s="246"/>
      <c r="AY703" s="246"/>
      <c r="AZ703" s="246"/>
      <c r="BA703" s="246"/>
      <c r="BB703" s="246"/>
      <c r="BC703" s="246"/>
      <c r="BD703" s="246"/>
      <c r="BE703" s="246"/>
      <c r="BF703" s="246"/>
      <c r="BG703" s="246"/>
      <c r="BH703" s="246"/>
      <c r="BI703" s="246"/>
      <c r="BJ703" s="246"/>
    </row>
    <row r="704" spans="2:62" ht="15.75">
      <c r="B704" s="7"/>
      <c r="C704" s="334"/>
      <c r="D704" s="334"/>
      <c r="E704" s="334"/>
      <c r="F704" s="334"/>
      <c r="G704" s="334"/>
      <c r="H704" s="334"/>
      <c r="I704" s="334"/>
      <c r="J704" s="334"/>
      <c r="K704" s="399"/>
      <c r="L704" s="399"/>
      <c r="M704" s="334"/>
      <c r="N704" s="401"/>
      <c r="O704" s="401"/>
      <c r="P704" s="334"/>
      <c r="Q704" s="401"/>
      <c r="R704" s="399"/>
      <c r="S704" s="334"/>
      <c r="T704" s="334"/>
      <c r="U704" s="334"/>
      <c r="V704" s="334"/>
      <c r="W704" s="334"/>
      <c r="X704" s="334"/>
      <c r="Y704" s="246"/>
      <c r="Z704" s="246"/>
      <c r="AA704" s="246"/>
      <c r="AB704" s="246"/>
      <c r="AC704" s="246"/>
      <c r="AD704" s="246"/>
      <c r="AE704" s="246"/>
      <c r="AF704" s="246"/>
      <c r="AG704" s="246"/>
      <c r="AH704" s="246"/>
      <c r="AI704" s="246"/>
      <c r="AJ704" s="246"/>
      <c r="AK704" s="246"/>
      <c r="AL704" s="246"/>
      <c r="AM704" s="246"/>
      <c r="AN704" s="246"/>
      <c r="AO704" s="246"/>
      <c r="AP704" s="246"/>
      <c r="AQ704" s="246"/>
      <c r="AR704" s="246"/>
      <c r="AS704" s="246"/>
      <c r="AT704" s="246"/>
      <c r="AU704" s="246"/>
      <c r="AV704" s="246"/>
      <c r="AW704" s="246"/>
      <c r="AX704" s="246"/>
      <c r="AY704" s="246"/>
      <c r="AZ704" s="246"/>
      <c r="BA704" s="246"/>
      <c r="BB704" s="246"/>
      <c r="BC704" s="246"/>
      <c r="BD704" s="246"/>
      <c r="BE704" s="246"/>
      <c r="BF704" s="246"/>
      <c r="BG704" s="246"/>
      <c r="BH704" s="246"/>
      <c r="BI704" s="246"/>
      <c r="BJ704" s="246"/>
    </row>
  </sheetData>
  <mergeCells count="42">
    <mergeCell ref="AM404:AO404"/>
    <mergeCell ref="X404:Z404"/>
    <mergeCell ref="AA404:AC404"/>
    <mergeCell ref="AD404:AF404"/>
    <mergeCell ref="AG404:AI404"/>
    <mergeCell ref="AJ404:AL404"/>
    <mergeCell ref="R358:S358"/>
    <mergeCell ref="D293:F293"/>
    <mergeCell ref="G293:I293"/>
    <mergeCell ref="J293:L293"/>
    <mergeCell ref="M293:N293"/>
    <mergeCell ref="O293:Q293"/>
    <mergeCell ref="R293:S293"/>
    <mergeCell ref="D358:F358"/>
    <mergeCell ref="G358:I358"/>
    <mergeCell ref="J358:L358"/>
    <mergeCell ref="M358:N358"/>
    <mergeCell ref="O358:Q358"/>
    <mergeCell ref="R238:S238"/>
    <mergeCell ref="D170:F170"/>
    <mergeCell ref="G170:I170"/>
    <mergeCell ref="J170:L170"/>
    <mergeCell ref="M170:N170"/>
    <mergeCell ref="O170:Q170"/>
    <mergeCell ref="R170:S170"/>
    <mergeCell ref="D238:F238"/>
    <mergeCell ref="G238:I238"/>
    <mergeCell ref="J238:L238"/>
    <mergeCell ref="M238:N238"/>
    <mergeCell ref="O238:Q238"/>
    <mergeCell ref="M91:N91"/>
    <mergeCell ref="O91:Q91"/>
    <mergeCell ref="R3:S3"/>
    <mergeCell ref="D3:F3"/>
    <mergeCell ref="G3:I3"/>
    <mergeCell ref="J3:L3"/>
    <mergeCell ref="M3:N3"/>
    <mergeCell ref="O3:Q3"/>
    <mergeCell ref="R91:S91"/>
    <mergeCell ref="D91:F91"/>
    <mergeCell ref="G91:I91"/>
    <mergeCell ref="J91:L91"/>
  </mergeCells>
  <conditionalFormatting sqref="D31:D32">
    <cfRule type="expression" dxfId="338" priority="6" stopIfTrue="1">
      <formula>"esterreur(reference)"</formula>
    </cfRule>
  </conditionalFormatting>
  <conditionalFormatting sqref="D112:D113">
    <cfRule type="expression" dxfId="337" priority="1" stopIfTrue="1">
      <formula>"esterreur(reference)"</formula>
    </cfRule>
  </conditionalFormatting>
  <conditionalFormatting sqref="F5">
    <cfRule type="expression" dxfId="336" priority="67" stopIfTrue="1">
      <formula>"esterreur(reference)"</formula>
    </cfRule>
  </conditionalFormatting>
  <conditionalFormatting sqref="F184">
    <cfRule type="expression" dxfId="335" priority="77" stopIfTrue="1">
      <formula>"esterreur(reference)"</formula>
    </cfRule>
  </conditionalFormatting>
  <conditionalFormatting sqref="G31:G32">
    <cfRule type="expression" dxfId="334" priority="5" stopIfTrue="1">
      <formula>"esterreur(reference)"</formula>
    </cfRule>
  </conditionalFormatting>
  <conditionalFormatting sqref="G112:G113">
    <cfRule type="expression" dxfId="333" priority="2" stopIfTrue="1">
      <formula>"esterreur(reference)"</formula>
    </cfRule>
  </conditionalFormatting>
  <conditionalFormatting sqref="H136:H152">
    <cfRule type="expression" dxfId="332" priority="31" stopIfTrue="1">
      <formula>"esterreur(reference)"</formula>
    </cfRule>
  </conditionalFormatting>
  <conditionalFormatting sqref="H360">
    <cfRule type="expression" dxfId="331" priority="110" stopIfTrue="1">
      <formula>"esterreur(reference)"</formula>
    </cfRule>
  </conditionalFormatting>
  <conditionalFormatting sqref="H197:L197">
    <cfRule type="expression" dxfId="330" priority="112" stopIfTrue="1">
      <formula>"esterreur(reference)"</formula>
    </cfRule>
  </conditionalFormatting>
  <conditionalFormatting sqref="H396:L399">
    <cfRule type="expression" dxfId="329" priority="108" stopIfTrue="1">
      <formula>"esterreur(reference)"</formula>
    </cfRule>
  </conditionalFormatting>
  <conditionalFormatting sqref="I377:L377 H378:H395">
    <cfRule type="expression" dxfId="328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327" priority="102" stopIfTrue="1">
      <formula>"esterreur(reference)"</formula>
    </cfRule>
  </conditionalFormatting>
  <conditionalFormatting sqref="J55:K71">
    <cfRule type="expression" dxfId="326" priority="113" stopIfTrue="1">
      <formula>"esterreur(reference)"</formula>
    </cfRule>
  </conditionalFormatting>
  <conditionalFormatting sqref="J102:L104">
    <cfRule type="expression" dxfId="325" priority="98" stopIfTrue="1">
      <formula>"esterreur(reference)"</formula>
    </cfRule>
  </conditionalFormatting>
  <conditionalFormatting sqref="J149:L152">
    <cfRule type="expression" dxfId="324" priority="30" stopIfTrue="1">
      <formula>"esterreur(reference)"</formula>
    </cfRule>
  </conditionalFormatting>
  <conditionalFormatting sqref="J295:L303">
    <cfRule type="expression" dxfId="323" priority="94" stopIfTrue="1">
      <formula>"esterreur(reference)"</formula>
    </cfRule>
  </conditionalFormatting>
  <conditionalFormatting sqref="J307:L308">
    <cfRule type="expression" dxfId="322" priority="84" stopIfTrue="1">
      <formula>"esterreur(reference)"</formula>
    </cfRule>
  </conditionalFormatting>
  <conditionalFormatting sqref="J360:L360">
    <cfRule type="expression" dxfId="321" priority="76" stopIfTrue="1">
      <formula>"esterreur(reference)"</formula>
    </cfRule>
  </conditionalFormatting>
  <conditionalFormatting sqref="J365:L376">
    <cfRule type="expression" dxfId="320" priority="81" stopIfTrue="1">
      <formula>"esterreur(reference)"</formula>
    </cfRule>
  </conditionalFormatting>
  <conditionalFormatting sqref="J378:L394">
    <cfRule type="expression" dxfId="319" priority="80" stopIfTrue="1">
      <formula>"esterreur(reference)"</formula>
    </cfRule>
  </conditionalFormatting>
  <conditionalFormatting sqref="J312:M312">
    <cfRule type="expression" dxfId="318" priority="82" stopIfTrue="1">
      <formula>"esterreur(reference)"</formula>
    </cfRule>
  </conditionalFormatting>
  <conditionalFormatting sqref="J112:Q121">
    <cfRule type="expression" dxfId="317" priority="3" stopIfTrue="1">
      <formula>"esterreur(reference)"</formula>
    </cfRule>
  </conditionalFormatting>
  <conditionalFormatting sqref="J123:Q134">
    <cfRule type="expression" dxfId="316" priority="57" stopIfTrue="1">
      <formula>"esterreur(reference)"</formula>
    </cfRule>
  </conditionalFormatting>
  <conditionalFormatting sqref="K5">
    <cfRule type="expression" dxfId="315" priority="91" stopIfTrue="1">
      <formula>"esterreur(reference)"</formula>
    </cfRule>
  </conditionalFormatting>
  <conditionalFormatting sqref="K175">
    <cfRule type="expression" dxfId="314" priority="88" stopIfTrue="1">
      <formula>"esterreur(reference)"</formula>
    </cfRule>
  </conditionalFormatting>
  <conditionalFormatting sqref="K183:K184">
    <cfRule type="expression" dxfId="313" priority="90" stopIfTrue="1">
      <formula>"esterreur(reference)"</formula>
    </cfRule>
  </conditionalFormatting>
  <conditionalFormatting sqref="K287">
    <cfRule type="expression" dxfId="312" priority="74" stopIfTrue="1">
      <formula>"esterreur(reference)"</formula>
    </cfRule>
  </conditionalFormatting>
  <conditionalFormatting sqref="K395">
    <cfRule type="expression" dxfId="311" priority="111" stopIfTrue="1">
      <formula>"esterreur(reference)"</formula>
    </cfRule>
  </conditionalFormatting>
  <conditionalFormatting sqref="K93:L96">
    <cfRule type="expression" dxfId="310" priority="79" stopIfTrue="1">
      <formula>"esterreur(reference)"</formula>
    </cfRule>
  </conditionalFormatting>
  <conditionalFormatting sqref="K99:L100">
    <cfRule type="expression" dxfId="309" priority="99" stopIfTrue="1">
      <formula>"esterreur(reference)"</formula>
    </cfRule>
  </conditionalFormatting>
  <conditionalFormatting sqref="K171:L173">
    <cfRule type="expression" dxfId="308" priority="89" stopIfTrue="1">
      <formula>"esterreur(reference)"</formula>
    </cfRule>
  </conditionalFormatting>
  <conditionalFormatting sqref="K176:L182">
    <cfRule type="expression" dxfId="307" priority="87" stopIfTrue="1">
      <formula>"esterreur(reference)"</formula>
    </cfRule>
  </conditionalFormatting>
  <conditionalFormatting sqref="K185:L196">
    <cfRule type="expression" dxfId="306" priority="83" stopIfTrue="1">
      <formula>"esterreur(reference)"</formula>
    </cfRule>
  </conditionalFormatting>
  <conditionalFormatting sqref="K239:L241">
    <cfRule type="expression" dxfId="305" priority="78" stopIfTrue="1">
      <formula>"esterreur(reference)"</formula>
    </cfRule>
  </conditionalFormatting>
  <conditionalFormatting sqref="K244:L244">
    <cfRule type="expression" dxfId="304" priority="86" stopIfTrue="1">
      <formula>"esterreur(reference)"</formula>
    </cfRule>
  </conditionalFormatting>
  <conditionalFormatting sqref="K247:L247">
    <cfRule type="expression" dxfId="303" priority="85" stopIfTrue="1">
      <formula>"esterreur(reference)"</formula>
    </cfRule>
  </conditionalFormatting>
  <conditionalFormatting sqref="L16:L24">
    <cfRule type="expression" dxfId="302" priority="101" stopIfTrue="1">
      <formula>"esterreur(reference)"</formula>
    </cfRule>
  </conditionalFormatting>
  <conditionalFormatting sqref="L42:L48">
    <cfRule type="expression" dxfId="301" priority="100" stopIfTrue="1">
      <formula>"esterreur(reference)"</formula>
    </cfRule>
  </conditionalFormatting>
  <conditionalFormatting sqref="L55:L66">
    <cfRule type="expression" dxfId="300" priority="68" stopIfTrue="1">
      <formula>"esterreur(reference)"</formula>
    </cfRule>
  </conditionalFormatting>
  <conditionalFormatting sqref="L68:L71">
    <cfRule type="expression" dxfId="299" priority="32" stopIfTrue="1">
      <formula>"esterreur(reference)"</formula>
    </cfRule>
  </conditionalFormatting>
  <conditionalFormatting sqref="L75:L82">
    <cfRule type="expression" dxfId="298" priority="69" stopIfTrue="1">
      <formula>"esterreur(reference)"</formula>
    </cfRule>
  </conditionalFormatting>
  <conditionalFormatting sqref="L136:L147">
    <cfRule type="expression" dxfId="297" priority="73" stopIfTrue="1">
      <formula>"esterreur(reference)"</formula>
    </cfRule>
  </conditionalFormatting>
  <conditionalFormatting sqref="L174:L175">
    <cfRule type="expression" dxfId="296" priority="97" stopIfTrue="1">
      <formula>"esterreur(reference)"</formula>
    </cfRule>
  </conditionalFormatting>
  <conditionalFormatting sqref="L198:L209">
    <cfRule type="expression" dxfId="295" priority="96" stopIfTrue="1">
      <formula>"esterreur(reference)"</formula>
    </cfRule>
  </conditionalFormatting>
  <conditionalFormatting sqref="L211:L228">
    <cfRule type="expression" dxfId="294" priority="72" stopIfTrue="1">
      <formula>"esterreur(reference)"</formula>
    </cfRule>
  </conditionalFormatting>
  <conditionalFormatting sqref="L254:L265">
    <cfRule type="expression" dxfId="293" priority="95" stopIfTrue="1">
      <formula>"esterreur(reference)"</formula>
    </cfRule>
  </conditionalFormatting>
  <conditionalFormatting sqref="L267:L284">
    <cfRule type="expression" dxfId="292" priority="71" stopIfTrue="1">
      <formula>"esterreur(reference)"</formula>
    </cfRule>
  </conditionalFormatting>
  <conditionalFormatting sqref="L318:L329">
    <cfRule type="expression" dxfId="291" priority="93" stopIfTrue="1">
      <formula>"esterreur(reference)"</formula>
    </cfRule>
  </conditionalFormatting>
  <conditionalFormatting sqref="L331">
    <cfRule type="expression" dxfId="290" priority="70" stopIfTrue="1">
      <formula>"esterreur(reference)"</formula>
    </cfRule>
  </conditionalFormatting>
  <conditionalFormatting sqref="L334:L343 L345:L348">
    <cfRule type="expression" dxfId="289" priority="92" stopIfTrue="1">
      <formula>"esterreur(reference)"</formula>
    </cfRule>
  </conditionalFormatting>
  <conditionalFormatting sqref="L356:L357 H357:I357 K357 J357:J358 H359:L359">
    <cfRule type="expression" dxfId="288" priority="107" stopIfTrue="1">
      <formula>"esterreur(reference)"</formula>
    </cfRule>
  </conditionalFormatting>
  <conditionalFormatting sqref="L5:Q14">
    <cfRule type="expression" dxfId="287" priority="62" stopIfTrue="1">
      <formula>"esterreur(reference)"</formula>
    </cfRule>
  </conditionalFormatting>
  <conditionalFormatting sqref="L156:Q162">
    <cfRule type="expression" dxfId="286" priority="28" stopIfTrue="1">
      <formula>"esterreur(reference)"</formula>
    </cfRule>
  </conditionalFormatting>
  <conditionalFormatting sqref="M95:M97">
    <cfRule type="expression" dxfId="285" priority="103" stopIfTrue="1">
      <formula>"esterreur(reference)"</formula>
    </cfRule>
  </conditionalFormatting>
  <conditionalFormatting sqref="O13:O14 O16 O18:O24 O83:Q85">
    <cfRule type="expression" dxfId="284" priority="66" stopIfTrue="1">
      <formula>"esterreur(reference)"</formula>
    </cfRule>
  </conditionalFormatting>
  <conditionalFormatting sqref="O172:O196 Q183 O198:P229 O232:Q232 O233:P233">
    <cfRule type="expression" dxfId="283" priority="55" stopIfTrue="1">
      <formula>"esterreur(reference)"</formula>
    </cfRule>
  </conditionalFormatting>
  <conditionalFormatting sqref="O318:P348 O349:Q349 O352:Q352 O353:P353">
    <cfRule type="expression" dxfId="282" priority="39" stopIfTrue="1">
      <formula>"esterreur(reference)"</formula>
    </cfRule>
  </conditionalFormatting>
  <conditionalFormatting sqref="O25:Q72">
    <cfRule type="expression" dxfId="281" priority="4" stopIfTrue="1">
      <formula>"esterreur(reference)"</formula>
    </cfRule>
  </conditionalFormatting>
  <conditionalFormatting sqref="O97:Q98 O122:Q122 O156:P157 O164:Q164 O165:P165">
    <cfRule type="expression" dxfId="280" priority="61" stopIfTrue="1">
      <formula>"esterreur(reference)"</formula>
    </cfRule>
  </conditionalFormatting>
  <conditionalFormatting sqref="O101:Q111">
    <cfRule type="expression" dxfId="279" priority="59" stopIfTrue="1">
      <formula>"esterreur(reference)"</formula>
    </cfRule>
  </conditionalFormatting>
  <conditionalFormatting sqref="O135:Q153">
    <cfRule type="expression" dxfId="278" priority="29" stopIfTrue="1">
      <formula>"esterreur(reference)"</formula>
    </cfRule>
  </conditionalFormatting>
  <conditionalFormatting sqref="O197:Q197">
    <cfRule type="expression" dxfId="277" priority="56" stopIfTrue="1">
      <formula>"esterreur(reference)"</formula>
    </cfRule>
  </conditionalFormatting>
  <conditionalFormatting sqref="O243:Q243 O252:Q253 O254:P284 O285:Q285 O288:Q288 O289:P289">
    <cfRule type="expression" dxfId="276" priority="46" stopIfTrue="1">
      <formula>"esterreur(reference)"</formula>
    </cfRule>
  </conditionalFormatting>
  <conditionalFormatting sqref="O295:Q317">
    <cfRule type="expression" dxfId="275" priority="37" stopIfTrue="1">
      <formula>"esterreur(reference)"</formula>
    </cfRule>
  </conditionalFormatting>
  <conditionalFormatting sqref="O359:Q394">
    <cfRule type="expression" dxfId="274" priority="33" stopIfTrue="1">
      <formula>"esterreur(reference)"</formula>
    </cfRule>
  </conditionalFormatting>
  <conditionalFormatting sqref="O396:Q399">
    <cfRule type="expression" dxfId="273" priority="34" stopIfTrue="1">
      <formula>"esterreur(reference)"</formula>
    </cfRule>
  </conditionalFormatting>
  <conditionalFormatting sqref="P5">
    <cfRule type="expression" dxfId="272" priority="63" stopIfTrue="1">
      <formula>"esterreur(reference)"</formula>
    </cfRule>
  </conditionalFormatting>
  <conditionalFormatting sqref="P175">
    <cfRule type="expression" dxfId="271" priority="50" stopIfTrue="1">
      <formula>"esterreur(reference)"</formula>
    </cfRule>
  </conditionalFormatting>
  <conditionalFormatting sqref="P183:P184">
    <cfRule type="expression" dxfId="270" priority="52" stopIfTrue="1">
      <formula>"esterreur(reference)"</formula>
    </cfRule>
  </conditionalFormatting>
  <conditionalFormatting sqref="P287">
    <cfRule type="expression" dxfId="269" priority="41" stopIfTrue="1">
      <formula>"esterreur(reference)"</formula>
    </cfRule>
  </conditionalFormatting>
  <conditionalFormatting sqref="P395">
    <cfRule type="expression" dxfId="268" priority="35" stopIfTrue="1">
      <formula>"esterreur(reference)"</formula>
    </cfRule>
  </conditionalFormatting>
  <conditionalFormatting sqref="P93:Q96">
    <cfRule type="expression" dxfId="267" priority="58" stopIfTrue="1">
      <formula>"esterreur(reference)"</formula>
    </cfRule>
  </conditionalFormatting>
  <conditionalFormatting sqref="P99:Q100">
    <cfRule type="expression" dxfId="266" priority="60" stopIfTrue="1">
      <formula>"esterreur(reference)"</formula>
    </cfRule>
  </conditionalFormatting>
  <conditionalFormatting sqref="P172:Q173">
    <cfRule type="expression" dxfId="265" priority="51" stopIfTrue="1">
      <formula>"esterreur(reference)"</formula>
    </cfRule>
  </conditionalFormatting>
  <conditionalFormatting sqref="P176:Q182">
    <cfRule type="expression" dxfId="264" priority="49" stopIfTrue="1">
      <formula>"esterreur(reference)"</formula>
    </cfRule>
  </conditionalFormatting>
  <conditionalFormatting sqref="P185:Q196">
    <cfRule type="expression" dxfId="263" priority="48" stopIfTrue="1">
      <formula>"esterreur(reference)"</formula>
    </cfRule>
  </conditionalFormatting>
  <conditionalFormatting sqref="P241:Q241">
    <cfRule type="expression" dxfId="262" priority="42" stopIfTrue="1">
      <formula>"esterreur(reference)"</formula>
    </cfRule>
  </conditionalFormatting>
  <conditionalFormatting sqref="P244:Q244">
    <cfRule type="expression" dxfId="261" priority="44" stopIfTrue="1">
      <formula>"esterreur(reference)"</formula>
    </cfRule>
  </conditionalFormatting>
  <conditionalFormatting sqref="P247:Q247">
    <cfRule type="expression" dxfId="260" priority="43" stopIfTrue="1">
      <formula>"esterreur(reference)"</formula>
    </cfRule>
  </conditionalFormatting>
  <conditionalFormatting sqref="Q16:Q24">
    <cfRule type="expression" dxfId="259" priority="65" stopIfTrue="1">
      <formula>"esterreur(reference)"</formula>
    </cfRule>
  </conditionalFormatting>
  <conditionalFormatting sqref="Q75:Q82">
    <cfRule type="expression" dxfId="258" priority="64" stopIfTrue="1">
      <formula>"esterreur(reference)"</formula>
    </cfRule>
  </conditionalFormatting>
  <conditionalFormatting sqref="Q174:Q175">
    <cfRule type="expression" dxfId="257" priority="54" stopIfTrue="1">
      <formula>"esterreur(reference)"</formula>
    </cfRule>
  </conditionalFormatting>
  <conditionalFormatting sqref="Q198:Q209">
    <cfRule type="expression" dxfId="256" priority="53" stopIfTrue="1">
      <formula>"esterreur(reference)"</formula>
    </cfRule>
  </conditionalFormatting>
  <conditionalFormatting sqref="Q211:Q228">
    <cfRule type="expression" dxfId="255" priority="47" stopIfTrue="1">
      <formula>"esterreur(reference)"</formula>
    </cfRule>
  </conditionalFormatting>
  <conditionalFormatting sqref="Q254:Q265">
    <cfRule type="expression" dxfId="254" priority="45" stopIfTrue="1">
      <formula>"esterreur(reference)"</formula>
    </cfRule>
  </conditionalFormatting>
  <conditionalFormatting sqref="Q267:Q284">
    <cfRule type="expression" dxfId="253" priority="40" stopIfTrue="1">
      <formula>"esterreur(reference)"</formula>
    </cfRule>
  </conditionalFormatting>
  <conditionalFormatting sqref="Q318:Q329">
    <cfRule type="expression" dxfId="252" priority="38" stopIfTrue="1">
      <formula>"esterreur(reference)"</formula>
    </cfRule>
  </conditionalFormatting>
  <conditionalFormatting sqref="Q331:Q348">
    <cfRule type="expression" dxfId="251" priority="36" stopIfTrue="1">
      <formula>"esterreur(reference)"</formula>
    </cfRule>
  </conditionalFormatting>
  <conditionalFormatting sqref="R312">
    <cfRule type="expression" dxfId="250" priority="104" stopIfTrue="1">
      <formula>"esterreur(reference)"</formula>
    </cfRule>
  </conditionalFormatting>
  <conditionalFormatting sqref="S186">
    <cfRule type="expression" dxfId="249" priority="75" stopIfTrue="1">
      <formula>"esterreur(reference)"</formula>
    </cfRule>
  </conditionalFormatting>
  <conditionalFormatting sqref="Z425:Z427">
    <cfRule type="cellIs" dxfId="248" priority="24" operator="greaterThan">
      <formula>0</formula>
    </cfRule>
  </conditionalFormatting>
  <conditionalFormatting sqref="Z432">
    <cfRule type="cellIs" dxfId="247" priority="21" operator="greaterThan">
      <formula>0</formula>
    </cfRule>
  </conditionalFormatting>
  <conditionalFormatting sqref="Z449:Z451">
    <cfRule type="cellIs" dxfId="246" priority="17" operator="greaterThan">
      <formula>0</formula>
    </cfRule>
  </conditionalFormatting>
  <conditionalFormatting sqref="Z463:Z465">
    <cfRule type="cellIs" dxfId="245" priority="13" operator="greaterThan">
      <formula>0</formula>
    </cfRule>
  </conditionalFormatting>
  <conditionalFormatting sqref="Z478:Z479">
    <cfRule type="cellIs" dxfId="244" priority="10" operator="greaterThan">
      <formula>0</formula>
    </cfRule>
  </conditionalFormatting>
  <conditionalFormatting sqref="Z495:Z497">
    <cfRule type="cellIs" dxfId="243" priority="7" operator="greaterThan">
      <formula>0</formula>
    </cfRule>
  </conditionalFormatting>
  <conditionalFormatting sqref="AC425:AC427">
    <cfRule type="cellIs" dxfId="242" priority="25" operator="greaterThan">
      <formula>0</formula>
    </cfRule>
  </conditionalFormatting>
  <conditionalFormatting sqref="AC432">
    <cfRule type="cellIs" dxfId="241" priority="22" operator="greaterThan">
      <formula>0</formula>
    </cfRule>
  </conditionalFormatting>
  <conditionalFormatting sqref="AC449:AC451">
    <cfRule type="cellIs" dxfId="240" priority="18" operator="greaterThan">
      <formula>0</formula>
    </cfRule>
  </conditionalFormatting>
  <conditionalFormatting sqref="AC463:AC465">
    <cfRule type="cellIs" dxfId="239" priority="14" operator="greaterThan">
      <formula>0</formula>
    </cfRule>
  </conditionalFormatting>
  <conditionalFormatting sqref="AC478:AC479">
    <cfRule type="cellIs" dxfId="238" priority="11" operator="greaterThan">
      <formula>0</formula>
    </cfRule>
  </conditionalFormatting>
  <conditionalFormatting sqref="AC495:AC497">
    <cfRule type="cellIs" dxfId="237" priority="8" operator="greaterThan">
      <formula>0</formula>
    </cfRule>
  </conditionalFormatting>
  <conditionalFormatting sqref="AG409:AI418">
    <cfRule type="cellIs" dxfId="236" priority="27" operator="greaterThan">
      <formula>0</formula>
    </cfRule>
  </conditionalFormatting>
  <conditionalFormatting sqref="AH449:AH452">
    <cfRule type="cellIs" dxfId="235" priority="19" operator="greaterThan">
      <formula>0</formula>
    </cfRule>
  </conditionalFormatting>
  <conditionalFormatting sqref="AH461:AH466">
    <cfRule type="cellIs" dxfId="234" priority="15" operator="greaterThan">
      <formula>0</formula>
    </cfRule>
  </conditionalFormatting>
  <conditionalFormatting sqref="AH420:AI448">
    <cfRule type="cellIs" dxfId="233" priority="23" operator="greaterThan">
      <formula>0</formula>
    </cfRule>
  </conditionalFormatting>
  <conditionalFormatting sqref="AH453:AI460 AH467:AI468">
    <cfRule type="cellIs" dxfId="232" priority="105" operator="greaterThan">
      <formula>0</formula>
    </cfRule>
  </conditionalFormatting>
  <conditionalFormatting sqref="AH469:AI477 AH480:AI480">
    <cfRule type="cellIs" dxfId="231" priority="106" operator="lessThan">
      <formula>0</formula>
    </cfRule>
  </conditionalFormatting>
  <conditionalFormatting sqref="AH478:AI479">
    <cfRule type="cellIs" dxfId="230" priority="12" operator="greaterThan">
      <formula>0</formula>
    </cfRule>
  </conditionalFormatting>
  <conditionalFormatting sqref="AH491:AI497">
    <cfRule type="cellIs" dxfId="229" priority="9" operator="greaterThan">
      <formula>0</formula>
    </cfRule>
  </conditionalFormatting>
  <conditionalFormatting sqref="AI449:AI451">
    <cfRule type="cellIs" dxfId="228" priority="20" operator="greaterThan">
      <formula>0</formula>
    </cfRule>
  </conditionalFormatting>
  <conditionalFormatting sqref="AI463:AI465">
    <cfRule type="cellIs" dxfId="227" priority="16" operator="greaterThan">
      <formula>0</formula>
    </cfRule>
  </conditionalFormatting>
  <conditionalFormatting sqref="AO409:AO418">
    <cfRule type="cellIs" dxfId="226" priority="26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8">
    <tabColor rgb="FF00B050"/>
  </sheetPr>
  <dimension ref="A1:BJ704"/>
  <sheetViews>
    <sheetView topLeftCell="F452" zoomScale="60" zoomScaleNormal="60" workbookViewId="0">
      <selection activeCell="F452" sqref="A1:XFD1048576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276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56" t="s">
        <v>2</v>
      </c>
      <c r="E2" s="456" t="s">
        <v>3</v>
      </c>
      <c r="F2" s="456" t="s">
        <v>4</v>
      </c>
      <c r="G2" s="456"/>
      <c r="H2" s="456"/>
      <c r="I2" s="456"/>
      <c r="J2" s="456" t="s">
        <v>211</v>
      </c>
      <c r="K2" s="456"/>
      <c r="L2" s="456" t="s">
        <v>212</v>
      </c>
      <c r="M2" s="457"/>
      <c r="N2" s="457"/>
      <c r="O2" s="456" t="s">
        <v>2</v>
      </c>
      <c r="P2" s="456" t="s">
        <v>3</v>
      </c>
      <c r="Q2" s="456" t="s">
        <v>4</v>
      </c>
      <c r="R2" s="10"/>
      <c r="S2" s="10"/>
      <c r="T2" s="10"/>
      <c r="U2" s="10"/>
    </row>
    <row r="3" spans="1:40" ht="21" thickTop="1">
      <c r="B3" s="11"/>
      <c r="C3" s="12"/>
      <c r="D3" s="507" t="s">
        <v>5</v>
      </c>
      <c r="E3" s="508"/>
      <c r="F3" s="509"/>
      <c r="G3" s="510"/>
      <c r="H3" s="508"/>
      <c r="I3" s="509"/>
      <c r="J3" s="510" t="s">
        <v>7</v>
      </c>
      <c r="K3" s="508"/>
      <c r="L3" s="509"/>
      <c r="M3" s="510" t="s">
        <v>213</v>
      </c>
      <c r="N3" s="509"/>
      <c r="O3" s="507" t="s">
        <v>8</v>
      </c>
      <c r="P3" s="508"/>
      <c r="Q3" s="509"/>
      <c r="R3" s="505" t="s">
        <v>214</v>
      </c>
      <c r="S3" s="506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3315725.119754965</v>
      </c>
      <c r="G5" s="23"/>
      <c r="H5" s="21"/>
      <c r="I5" s="24"/>
      <c r="J5" s="23"/>
      <c r="K5" s="25"/>
      <c r="L5" s="22">
        <v>3847659.49</v>
      </c>
      <c r="M5" s="26"/>
      <c r="N5" s="27"/>
      <c r="O5" s="23"/>
      <c r="P5" s="25"/>
      <c r="Q5" s="22">
        <v>3270847.44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11</v>
      </c>
      <c r="E6" s="30">
        <f>IF(D6=0,0,F6/D6)</f>
        <v>4306.395348837209</v>
      </c>
      <c r="F6" s="30">
        <v>47370.348837209298</v>
      </c>
      <c r="G6" s="31"/>
      <c r="H6" s="30"/>
      <c r="I6" s="30"/>
      <c r="J6" s="31">
        <v>12</v>
      </c>
      <c r="K6" s="30">
        <f>IF(J6=0,0,L6/J6)</f>
        <v>5958.962500000006</v>
      </c>
      <c r="L6" s="32">
        <v>71507.550000000076</v>
      </c>
      <c r="M6" s="31">
        <f t="shared" ref="M6:M12" si="2">J6-D6</f>
        <v>1</v>
      </c>
      <c r="N6" s="33">
        <f t="shared" ref="N6:N12" si="3">L6-F6</f>
        <v>24137.201162790778</v>
      </c>
      <c r="O6" s="31">
        <v>12</v>
      </c>
      <c r="P6" s="30">
        <f t="shared" ref="P6:P12" si="4">IF(O6=0,0,Q6/O6)</f>
        <v>4900.4450000000079</v>
      </c>
      <c r="Q6" s="32">
        <v>58805.340000000098</v>
      </c>
      <c r="R6" s="31">
        <f>J6-O6</f>
        <v>0</v>
      </c>
      <c r="S6" s="34">
        <f>L6-Q6</f>
        <v>12702.209999999977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20</v>
      </c>
      <c r="E7" s="30">
        <f t="shared" ref="E7:E12" si="5">IF(D7=0,0,F7/D7)</f>
        <v>4000.3311258278145</v>
      </c>
      <c r="F7" s="30">
        <v>80006.622516556294</v>
      </c>
      <c r="G7" s="31"/>
      <c r="H7" s="30"/>
      <c r="I7" s="30"/>
      <c r="J7" s="31">
        <v>23</v>
      </c>
      <c r="K7" s="30">
        <f t="shared" ref="K7:K12" si="6">IF(J7=0,0,L7/J7)</f>
        <v>3685.7178260869468</v>
      </c>
      <c r="L7" s="32">
        <v>84771.509999999776</v>
      </c>
      <c r="M7" s="31">
        <f t="shared" si="2"/>
        <v>3</v>
      </c>
      <c r="N7" s="33">
        <f t="shared" si="3"/>
        <v>4764.8874834434828</v>
      </c>
      <c r="O7" s="31">
        <v>22</v>
      </c>
      <c r="P7" s="30">
        <f t="shared" si="4"/>
        <v>4523.4468181818138</v>
      </c>
      <c r="Q7" s="32">
        <v>99515.8299999999</v>
      </c>
      <c r="R7" s="31">
        <f t="shared" ref="R7:R12" si="7">J7-O7</f>
        <v>1</v>
      </c>
      <c r="S7" s="34">
        <f t="shared" ref="S7:S12" si="8">L7-Q7</f>
        <v>-14744.320000000123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ref="A12:A36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31</v>
      </c>
      <c r="E13" s="36">
        <f>IF(D13&lt;=0,0,F13/D13)</f>
        <v>4108.9345597988904</v>
      </c>
      <c r="F13" s="37">
        <f>+SUM(F6:F12)</f>
        <v>127376.97135376559</v>
      </c>
      <c r="G13" s="38"/>
      <c r="H13" s="36"/>
      <c r="I13" s="37"/>
      <c r="J13" s="38">
        <f>+SUM(J6:J12)</f>
        <v>35</v>
      </c>
      <c r="K13" s="36">
        <f>IF(J13&lt;=0,0,L13/J13)</f>
        <v>4465.1159999999954</v>
      </c>
      <c r="L13" s="37">
        <f>+SUM(L6:L12)</f>
        <v>156279.05999999985</v>
      </c>
      <c r="M13" s="38">
        <f>+SUM(M6:M12)</f>
        <v>4</v>
      </c>
      <c r="N13" s="37">
        <f t="shared" ref="N13" si="10">+SUM(N6:N12)</f>
        <v>28902.088646234261</v>
      </c>
      <c r="O13" s="38">
        <f>+SUM(O6:O12)</f>
        <v>34</v>
      </c>
      <c r="P13" s="36">
        <f>IF(O13&lt;=0,0,Q13/O13)</f>
        <v>4656.5049999999992</v>
      </c>
      <c r="Q13" s="37">
        <f t="shared" ref="Q13" si="11">+SUM(Q6:Q12)</f>
        <v>158321.16999999998</v>
      </c>
      <c r="R13" s="38">
        <f>+SUM(R6:R12)</f>
        <v>1</v>
      </c>
      <c r="S13" s="39">
        <f>+SUM(S6:S12)</f>
        <v>-2042.1100000001461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0.12903225806451613</v>
      </c>
      <c r="N14" s="43">
        <f>IF(F13=0,0,N13/F13)</f>
        <v>0.22690199287251181</v>
      </c>
      <c r="O14" s="41"/>
      <c r="P14" s="30"/>
      <c r="Q14" s="40"/>
      <c r="R14" s="42">
        <f>R13/O13</f>
        <v>2.9411764705882353E-2</v>
      </c>
      <c r="S14" s="44">
        <f>IF(Q13=0,0,(S13/Q13))</f>
        <v>-1.2898527720583079E-2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5</v>
      </c>
      <c r="E15" s="25">
        <f>IF(D15=0,0,F15/D15)</f>
        <v>750</v>
      </c>
      <c r="F15" s="22">
        <v>3750</v>
      </c>
      <c r="G15" s="46"/>
      <c r="H15" s="47"/>
      <c r="I15" s="48"/>
      <c r="J15" s="49">
        <v>9</v>
      </c>
      <c r="K15" s="50">
        <f>IF(J15=0,0,L15/J15)</f>
        <v>3505.6622222222181</v>
      </c>
      <c r="L15" s="50">
        <v>31550.959999999963</v>
      </c>
      <c r="M15" s="51">
        <f>J15-D15</f>
        <v>4</v>
      </c>
      <c r="N15" s="48">
        <f>L15-F15</f>
        <v>27800.959999999963</v>
      </c>
      <c r="O15" s="49">
        <v>5</v>
      </c>
      <c r="P15" s="50">
        <f>IF(O15=0,0,Q15/O15)</f>
        <v>588.60600000000409</v>
      </c>
      <c r="Q15" s="50">
        <v>2943.0300000000202</v>
      </c>
      <c r="R15" s="51">
        <f>J15-O15</f>
        <v>4</v>
      </c>
      <c r="S15" s="52">
        <f>L15-Q15</f>
        <v>28607.929999999942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0</v>
      </c>
      <c r="E17" s="30">
        <f>IF(D17=0,0,F17/D17)</f>
        <v>0</v>
      </c>
      <c r="F17" s="30">
        <v>0</v>
      </c>
      <c r="G17" s="31"/>
      <c r="H17" s="30"/>
      <c r="I17" s="30"/>
      <c r="J17" s="51">
        <v>0</v>
      </c>
      <c r="K17" s="30">
        <f>IF(J17=0,0,L17/J17)</f>
        <v>0</v>
      </c>
      <c r="L17" s="33">
        <v>0</v>
      </c>
      <c r="M17" s="51">
        <f>J17-D17</f>
        <v>0</v>
      </c>
      <c r="N17" s="33">
        <f>L17-F17</f>
        <v>0</v>
      </c>
      <c r="O17" s="51">
        <v>0</v>
      </c>
      <c r="P17" s="30">
        <f>IF(O17=0,0,Q17/O17)</f>
        <v>0</v>
      </c>
      <c r="Q17" s="33">
        <v>0</v>
      </c>
      <c r="R17" s="31">
        <f>J17-O17</f>
        <v>0</v>
      </c>
      <c r="S17" s="34">
        <f>L17-Q17</f>
        <v>0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9"/>
        <v>Véhicules neufsRachat bail</v>
      </c>
      <c r="B19" s="11" t="str">
        <f t="shared" si="0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4034.9000858612535</v>
      </c>
      <c r="G19" s="31"/>
      <c r="H19" s="30"/>
      <c r="I19" s="30"/>
      <c r="J19" s="46"/>
      <c r="K19" s="30"/>
      <c r="L19" s="33">
        <v>2498</v>
      </c>
      <c r="M19" s="31"/>
      <c r="N19" s="33">
        <f>L19-F19</f>
        <v>-1536.9000858612535</v>
      </c>
      <c r="O19" s="46"/>
      <c r="P19" s="30"/>
      <c r="Q19" s="33">
        <v>8901.1099999999806</v>
      </c>
      <c r="R19" s="31">
        <f>O19-K19</f>
        <v>0</v>
      </c>
      <c r="S19" s="34">
        <f>L19-Q19</f>
        <v>-6403.1099999999806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9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v>900</v>
      </c>
      <c r="G21" s="41"/>
      <c r="H21" s="30"/>
      <c r="I21" s="30"/>
      <c r="J21" s="31"/>
      <c r="K21" s="30">
        <f>IF(J13=0,0,L21/(J13+J15))</f>
        <v>0</v>
      </c>
      <c r="L21" s="33">
        <v>0</v>
      </c>
      <c r="M21" s="31"/>
      <c r="N21" s="33">
        <f>L21-F21</f>
        <v>-900</v>
      </c>
      <c r="O21" s="31"/>
      <c r="P21" s="30"/>
      <c r="Q21" s="33">
        <v>-1229.31</v>
      </c>
      <c r="R21" s="31">
        <f>O21-K21</f>
        <v>0</v>
      </c>
      <c r="S21" s="34">
        <f>L21-Q21</f>
        <v>1229.31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v>41400</v>
      </c>
      <c r="G22" s="41"/>
      <c r="H22" s="30"/>
      <c r="I22" s="30"/>
      <c r="J22" s="31"/>
      <c r="K22" s="30">
        <f>IF(J13=0,0,L22/(J13+J15))</f>
        <v>1383.5800000000004</v>
      </c>
      <c r="L22" s="33">
        <v>60877.520000000019</v>
      </c>
      <c r="M22" s="31"/>
      <c r="N22" s="33">
        <f>L22-F22</f>
        <v>19477.520000000019</v>
      </c>
      <c r="O22" s="31"/>
      <c r="P22" s="30"/>
      <c r="Q22" s="33">
        <v>45190.9</v>
      </c>
      <c r="R22" s="31">
        <f>O22-K22</f>
        <v>-1383.5800000000004</v>
      </c>
      <c r="S22" s="34">
        <f>L22-Q22</f>
        <v>15686.620000000017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v>17280</v>
      </c>
      <c r="G23" s="41"/>
      <c r="H23" s="30"/>
      <c r="I23" s="30"/>
      <c r="J23" s="31"/>
      <c r="K23" s="30">
        <f>IF(J13=0,0,L23/(J13+J15))</f>
        <v>730.50318181818182</v>
      </c>
      <c r="L23" s="33">
        <v>32142.14</v>
      </c>
      <c r="M23" s="51"/>
      <c r="N23" s="33">
        <f>L23-F23</f>
        <v>14862.14</v>
      </c>
      <c r="O23" s="31"/>
      <c r="P23" s="30"/>
      <c r="Q23" s="33">
        <v>17195.95</v>
      </c>
      <c r="R23" s="31">
        <f>O23-K23</f>
        <v>-730.50318181818182</v>
      </c>
      <c r="S23" s="34">
        <f>L23-Q23</f>
        <v>14946.189999999999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36</v>
      </c>
      <c r="E24" s="36">
        <f>IF(D24&lt;=0,0,F24/D24)</f>
        <v>1655</v>
      </c>
      <c r="F24" s="37">
        <f>F21+F22+F23</f>
        <v>59580</v>
      </c>
      <c r="G24" s="38"/>
      <c r="H24" s="36"/>
      <c r="I24" s="37"/>
      <c r="J24" s="38">
        <f>+J15+J13</f>
        <v>44</v>
      </c>
      <c r="K24" s="36">
        <f>IF(J24&lt;=0,0,L24/J24)</f>
        <v>2114.0831818181823</v>
      </c>
      <c r="L24" s="37">
        <f>L21+L22+L23</f>
        <v>93019.660000000018</v>
      </c>
      <c r="M24" s="58">
        <f>J24-D24</f>
        <v>8</v>
      </c>
      <c r="N24" s="37">
        <f>L24-F24</f>
        <v>33439.660000000018</v>
      </c>
      <c r="O24" s="38">
        <f>+O15+O13</f>
        <v>39</v>
      </c>
      <c r="P24" s="36">
        <f>IF(O24&lt;=0,0,Q24/O24)</f>
        <v>1568.1420512820514</v>
      </c>
      <c r="Q24" s="37">
        <f>Q21+Q22+Q23</f>
        <v>61157.540000000008</v>
      </c>
      <c r="R24" s="56"/>
      <c r="S24" s="39">
        <f>L24-Q24</f>
        <v>31862.12000000001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0.5612564618999667</v>
      </c>
      <c r="O25" s="41"/>
      <c r="P25" s="13"/>
      <c r="Q25" s="59"/>
      <c r="R25" s="60"/>
      <c r="S25" s="44">
        <f>IF(Q24=0,0,(S24/Q24))</f>
        <v>0.52098432997795541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36</v>
      </c>
      <c r="E27" s="64">
        <f>IF(D27&lt;=0,0,F27/D27)</f>
        <v>5409.4964288785231</v>
      </c>
      <c r="F27" s="65">
        <f>F13+F17+F24+F19+F15</f>
        <v>194741.87143962682</v>
      </c>
      <c r="G27" s="66"/>
      <c r="H27" s="67"/>
      <c r="I27" s="65"/>
      <c r="J27" s="66">
        <f>+J13+J15+J17</f>
        <v>44</v>
      </c>
      <c r="K27" s="67">
        <f>IF(J27&lt;=0,0,L27/J27)</f>
        <v>6439.7199999999957</v>
      </c>
      <c r="L27" s="65">
        <f>L13+L17+L24+L19+L15</f>
        <v>283347.67999999982</v>
      </c>
      <c r="M27" s="66">
        <f>J27-D27</f>
        <v>8</v>
      </c>
      <c r="N27" s="65">
        <f>L27-F27</f>
        <v>88605.808560373</v>
      </c>
      <c r="O27" s="66">
        <f>+O13+O15+O17</f>
        <v>39</v>
      </c>
      <c r="P27" s="67">
        <f>IF(O27&lt;=0,0,Q27/O27)</f>
        <v>5931.3551282051285</v>
      </c>
      <c r="Q27" s="65">
        <f>Q13+Q17+Q24+Q19+Q15</f>
        <v>231322.85</v>
      </c>
      <c r="R27" s="66">
        <f>J27-O27</f>
        <v>5</v>
      </c>
      <c r="S27" s="68">
        <f>L27-Q27</f>
        <v>52024.829999999813</v>
      </c>
      <c r="T27" s="13"/>
      <c r="U27" s="13"/>
      <c r="V27" s="11" t="s">
        <v>221</v>
      </c>
      <c r="W27" s="497">
        <v>283600</v>
      </c>
      <c r="X27" s="490">
        <f>L27-W27</f>
        <v>-252.32000000018161</v>
      </c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0.22222222222222221</v>
      </c>
      <c r="N28" s="74">
        <f>N27/F27</f>
        <v>0.45499104997479833</v>
      </c>
      <c r="O28" s="72"/>
      <c r="P28" s="70"/>
      <c r="Q28" s="71"/>
      <c r="R28" s="73">
        <f>R27/O27</f>
        <v>0.12820512820512819</v>
      </c>
      <c r="S28" s="75">
        <f>IF(Q27=0,0,S27/Q27)</f>
        <v>0.22490138782225713</v>
      </c>
      <c r="T28" s="13"/>
      <c r="U28" s="13"/>
      <c r="V28" s="11"/>
      <c r="W28" s="497">
        <v>46</v>
      </c>
      <c r="X28" s="490">
        <f>J27-W28</f>
        <v>-2</v>
      </c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0.2794200889964229</v>
      </c>
      <c r="E31" s="82">
        <f t="shared" ref="E31:E36" si="12">F31/D$24</f>
        <v>1017.7641668194605</v>
      </c>
      <c r="F31" s="30">
        <v>36639.510005500575</v>
      </c>
      <c r="G31" s="157"/>
      <c r="H31" s="82"/>
      <c r="I31" s="30"/>
      <c r="J31" s="157">
        <f>L31/(L13+L15)</f>
        <v>0.26266919420016061</v>
      </c>
      <c r="K31" s="82">
        <f t="shared" ref="K31:K36" si="13">IF(L31=0,0,L31/J$24)</f>
        <v>1121.2990909090911</v>
      </c>
      <c r="L31" s="30">
        <v>49337.16</v>
      </c>
      <c r="M31" s="41"/>
      <c r="N31" s="59">
        <f t="shared" ref="N31:N53" si="14">L31-F31</f>
        <v>12697.649994499428</v>
      </c>
      <c r="O31" s="157">
        <f>Q31/(Q13+Q15+Q17)</f>
        <v>0.32227369744803863</v>
      </c>
      <c r="P31" s="82">
        <f t="shared" ref="P31:P40" si="15">Q31/O$24</f>
        <v>1332.5951282051283</v>
      </c>
      <c r="Q31" s="33">
        <v>51971.21</v>
      </c>
      <c r="R31" s="41"/>
      <c r="S31" s="85">
        <f t="shared" ref="S31:S36" si="16">L31-Q31</f>
        <v>-2634.0499999999956</v>
      </c>
      <c r="T31" s="13"/>
      <c r="U31" s="13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0.27500000000000002</v>
      </c>
      <c r="E32" s="88">
        <f t="shared" si="12"/>
        <v>455.125</v>
      </c>
      <c r="F32" s="22">
        <v>16384.5</v>
      </c>
      <c r="G32" s="162"/>
      <c r="H32" s="90"/>
      <c r="I32" s="22"/>
      <c r="J32" s="162">
        <f>L32/L24</f>
        <v>0.33628933926440918</v>
      </c>
      <c r="K32" s="88">
        <f t="shared" si="13"/>
        <v>710.94363636363641</v>
      </c>
      <c r="L32" s="22">
        <v>31281.52</v>
      </c>
      <c r="M32" s="23"/>
      <c r="N32" s="91">
        <f t="shared" si="14"/>
        <v>14897.02</v>
      </c>
      <c r="O32" s="162">
        <f>Q32/Q24</f>
        <v>0.37678559340352791</v>
      </c>
      <c r="P32" s="88">
        <f t="shared" si="15"/>
        <v>590.85333333333335</v>
      </c>
      <c r="Q32" s="22">
        <v>23043.279999999999</v>
      </c>
      <c r="R32" s="23"/>
      <c r="S32" s="92">
        <f t="shared" si="16"/>
        <v>8238.2400000000016</v>
      </c>
      <c r="T32" s="13"/>
      <c r="U32" s="13"/>
      <c r="V32" s="11" t="s">
        <v>258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2"/>
        <v>130</v>
      </c>
      <c r="F33" s="30">
        <v>4680</v>
      </c>
      <c r="G33" s="83"/>
      <c r="H33" s="82"/>
      <c r="I33" s="30"/>
      <c r="J33" s="41"/>
      <c r="K33" s="82">
        <f t="shared" si="13"/>
        <v>77.407727272727271</v>
      </c>
      <c r="L33" s="30">
        <v>3405.94</v>
      </c>
      <c r="M33" s="41"/>
      <c r="N33" s="59">
        <f t="shared" si="14"/>
        <v>-1274.06</v>
      </c>
      <c r="O33" s="41"/>
      <c r="P33" s="82">
        <f t="shared" si="15"/>
        <v>82.459230769230771</v>
      </c>
      <c r="Q33" s="33">
        <v>3215.91</v>
      </c>
      <c r="R33" s="41"/>
      <c r="S33" s="85">
        <f t="shared" si="16"/>
        <v>190.0300000000002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2"/>
        <v>37</v>
      </c>
      <c r="F34" s="30">
        <v>1332</v>
      </c>
      <c r="G34" s="83"/>
      <c r="H34" s="82"/>
      <c r="I34" s="30"/>
      <c r="J34" s="41"/>
      <c r="K34" s="82">
        <f t="shared" si="13"/>
        <v>38.517499999999998</v>
      </c>
      <c r="L34" s="30">
        <v>1694.77</v>
      </c>
      <c r="M34" s="41"/>
      <c r="N34" s="59">
        <f t="shared" si="14"/>
        <v>362.77</v>
      </c>
      <c r="O34" s="41"/>
      <c r="P34" s="82">
        <f t="shared" si="15"/>
        <v>29.536923076923078</v>
      </c>
      <c r="Q34" s="33">
        <v>1151.94</v>
      </c>
      <c r="R34" s="41"/>
      <c r="S34" s="85">
        <f t="shared" si="16"/>
        <v>542.82999999999993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2"/>
        <v>59.166666666666664</v>
      </c>
      <c r="F35" s="22">
        <v>2130</v>
      </c>
      <c r="G35" s="89"/>
      <c r="H35" s="90"/>
      <c r="I35" s="22"/>
      <c r="J35" s="23"/>
      <c r="K35" s="88">
        <f t="shared" si="13"/>
        <v>38.75181818181818</v>
      </c>
      <c r="L35" s="22">
        <v>1705.08</v>
      </c>
      <c r="M35" s="23"/>
      <c r="N35" s="91">
        <f t="shared" si="14"/>
        <v>-424.92000000000007</v>
      </c>
      <c r="O35" s="23"/>
      <c r="P35" s="88">
        <f t="shared" si="15"/>
        <v>25.282051282051281</v>
      </c>
      <c r="Q35" s="33">
        <v>986</v>
      </c>
      <c r="R35" s="23"/>
      <c r="S35" s="92">
        <f t="shared" si="16"/>
        <v>719.07999999999993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2"/>
        <v>513.97058823529414</v>
      </c>
      <c r="F36" s="30">
        <v>18502.941176470587</v>
      </c>
      <c r="G36" s="83"/>
      <c r="H36" s="82"/>
      <c r="I36" s="30"/>
      <c r="J36" s="41"/>
      <c r="K36" s="82">
        <f t="shared" si="13"/>
        <v>421.36636363636359</v>
      </c>
      <c r="L36" s="459">
        <v>18540.12</v>
      </c>
      <c r="M36" s="13"/>
      <c r="N36" s="59">
        <f t="shared" si="14"/>
        <v>37.178823529411602</v>
      </c>
      <c r="O36" s="41"/>
      <c r="P36" s="82">
        <f t="shared" si="15"/>
        <v>373.90333333333331</v>
      </c>
      <c r="Q36" s="55">
        <v>14582.23</v>
      </c>
      <c r="R36" s="41"/>
      <c r="S36" s="85">
        <f t="shared" si="16"/>
        <v>3957.8899999999994</v>
      </c>
      <c r="T36" s="13"/>
      <c r="U36" s="13"/>
      <c r="V36" s="11"/>
      <c r="W36" s="458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>F37/D$24</f>
        <v>835.15871512428737</v>
      </c>
      <c r="F37" s="30">
        <v>30065.713744474346</v>
      </c>
      <c r="G37" s="83"/>
      <c r="H37" s="82"/>
      <c r="I37" s="30"/>
      <c r="J37" s="41"/>
      <c r="K37" s="82">
        <f>IF(L37=0,0,L37/J$24)</f>
        <v>600.04409090909087</v>
      </c>
      <c r="L37" s="460">
        <v>26401.94</v>
      </c>
      <c r="M37" s="13"/>
      <c r="N37" s="59">
        <f t="shared" si="14"/>
        <v>-3663.773744474347</v>
      </c>
      <c r="O37" s="41"/>
      <c r="P37" s="82">
        <f t="shared" si="15"/>
        <v>899.60974358974352</v>
      </c>
      <c r="Q37" s="33">
        <v>35084.78</v>
      </c>
      <c r="R37" s="41"/>
      <c r="S37" s="85">
        <f>L37-Q37</f>
        <v>-8682.84</v>
      </c>
      <c r="T37" s="13"/>
      <c r="U37" s="13"/>
      <c r="V37" s="458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>F38/D$24</f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60">
        <v>0</v>
      </c>
      <c r="M38" s="13"/>
      <c r="N38" s="59">
        <f t="shared" si="14"/>
        <v>0</v>
      </c>
      <c r="O38" s="41"/>
      <c r="P38" s="82">
        <f t="shared" si="15"/>
        <v>0</v>
      </c>
      <c r="Q38" s="33"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>F39/D$24</f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60">
        <v>0</v>
      </c>
      <c r="M39" s="13"/>
      <c r="N39" s="59">
        <f t="shared" si="14"/>
        <v>0</v>
      </c>
      <c r="O39" s="41"/>
      <c r="P39" s="82">
        <f t="shared" si="15"/>
        <v>0</v>
      </c>
      <c r="Q39" s="33"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ref="A40:A45" si="17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>F40/D$24</f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61">
        <v>0</v>
      </c>
      <c r="M40" s="13"/>
      <c r="N40" s="59">
        <f t="shared" si="14"/>
        <v>0</v>
      </c>
      <c r="O40" s="41"/>
      <c r="P40" s="82">
        <f t="shared" si="15"/>
        <v>0</v>
      </c>
      <c r="Q40" s="33"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7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0.56348778059506865</v>
      </c>
      <c r="F41" s="96">
        <f>SUM(F31:F40)</f>
        <v>109734.6649264455</v>
      </c>
      <c r="G41" s="97"/>
      <c r="H41" s="95"/>
      <c r="I41" s="96"/>
      <c r="J41" s="97" t="s">
        <v>38</v>
      </c>
      <c r="K41" s="95">
        <f>L41/L$27</f>
        <v>0.46715233383947269</v>
      </c>
      <c r="L41" s="96">
        <f>SUM(L31:L40)</f>
        <v>132366.53</v>
      </c>
      <c r="M41" s="98"/>
      <c r="N41" s="96">
        <f t="shared" si="14"/>
        <v>22631.865073554494</v>
      </c>
      <c r="O41" s="97" t="s">
        <v>38</v>
      </c>
      <c r="P41" s="95">
        <f>Q41/Q$27</f>
        <v>0.56213793838351889</v>
      </c>
      <c r="Q41" s="99">
        <f>SUM(Q31:Q40)</f>
        <v>130035.34999999999</v>
      </c>
      <c r="R41" s="100"/>
      <c r="S41" s="101">
        <f t="shared" ref="S41:S45" si="18">L41-Q41</f>
        <v>2331.1800000000076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7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12572.923563218392</v>
      </c>
      <c r="G42" s="41"/>
      <c r="H42" s="13"/>
      <c r="I42" s="30"/>
      <c r="J42" s="41"/>
      <c r="K42" s="13"/>
      <c r="L42" s="33">
        <v>15912.54</v>
      </c>
      <c r="M42" s="41"/>
      <c r="N42" s="59">
        <f t="shared" si="14"/>
        <v>3339.6164367816091</v>
      </c>
      <c r="O42" s="41"/>
      <c r="P42" s="13"/>
      <c r="Q42" s="33">
        <v>12792.2</v>
      </c>
      <c r="R42" s="41"/>
      <c r="S42" s="85">
        <f t="shared" si="18"/>
        <v>3120.34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7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9035.6609195402307</v>
      </c>
      <c r="G43" s="83"/>
      <c r="H43" s="13"/>
      <c r="I43" s="22"/>
      <c r="J43" s="41"/>
      <c r="K43" s="13"/>
      <c r="L43" s="33">
        <v>10268.57</v>
      </c>
      <c r="M43" s="41"/>
      <c r="N43" s="59">
        <f t="shared" si="14"/>
        <v>1232.909080459769</v>
      </c>
      <c r="O43" s="41"/>
      <c r="P43" s="13"/>
      <c r="Q43" s="33">
        <v>9961.3799999999992</v>
      </c>
      <c r="R43" s="41"/>
      <c r="S43" s="85">
        <f t="shared" si="18"/>
        <v>307.19000000000051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7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342</v>
      </c>
      <c r="G44" s="106"/>
      <c r="H44" s="105"/>
      <c r="I44" s="30"/>
      <c r="J44" s="107"/>
      <c r="K44" s="105"/>
      <c r="L44" s="108">
        <v>342</v>
      </c>
      <c r="M44" s="107"/>
      <c r="N44" s="109">
        <f t="shared" si="14"/>
        <v>0</v>
      </c>
      <c r="O44" s="107"/>
      <c r="P44" s="105"/>
      <c r="Q44" s="108">
        <v>342</v>
      </c>
      <c r="R44" s="107"/>
      <c r="S44" s="110">
        <f t="shared" si="18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 hidden="1">
      <c r="A45" t="str">
        <f t="shared" si="17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4"/>
        <v>0</v>
      </c>
      <c r="O45" s="41"/>
      <c r="P45" s="13"/>
      <c r="Q45" s="33">
        <v>0</v>
      </c>
      <c r="R45" s="41"/>
      <c r="S45" s="85">
        <f t="shared" si="18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4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4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4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ref="A49:A66" si="19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9483.1920606860585</v>
      </c>
      <c r="G49" s="83"/>
      <c r="H49" s="13"/>
      <c r="I49" s="22"/>
      <c r="J49" s="41"/>
      <c r="K49" s="13"/>
      <c r="L49" s="22">
        <v>9389.52</v>
      </c>
      <c r="M49" s="41"/>
      <c r="N49" s="59">
        <f t="shared" si="14"/>
        <v>-93.672060686058103</v>
      </c>
      <c r="O49" s="41"/>
      <c r="P49" s="13"/>
      <c r="Q49" s="22">
        <v>9459.39</v>
      </c>
      <c r="R49" s="41"/>
      <c r="S49" s="85">
        <f t="shared" ref="S49:S53" si="20">L49-Q49</f>
        <v>-69.869999999998981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9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10868.251478286436</v>
      </c>
      <c r="G50" s="106"/>
      <c r="H50" s="105"/>
      <c r="I50" s="30"/>
      <c r="J50" s="107"/>
      <c r="K50" s="105"/>
      <c r="L50" s="33">
        <v>14580.12</v>
      </c>
      <c r="M50" s="107"/>
      <c r="N50" s="109">
        <f t="shared" si="14"/>
        <v>3711.8685217135644</v>
      </c>
      <c r="O50" s="107"/>
      <c r="P50" s="105"/>
      <c r="Q50" s="33">
        <v>13673.1</v>
      </c>
      <c r="R50" s="107"/>
      <c r="S50" s="110">
        <f t="shared" si="20"/>
        <v>907.02000000000044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9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5697.9720653717786</v>
      </c>
      <c r="G51" s="83"/>
      <c r="H51" s="13"/>
      <c r="I51" s="30"/>
      <c r="J51" s="41"/>
      <c r="K51" s="13"/>
      <c r="L51" s="33">
        <v>5134.16</v>
      </c>
      <c r="M51" s="41"/>
      <c r="N51" s="59">
        <f t="shared" si="14"/>
        <v>-563.81206537177877</v>
      </c>
      <c r="O51" s="41"/>
      <c r="P51" s="13"/>
      <c r="Q51" s="33">
        <v>5353.05</v>
      </c>
      <c r="R51" s="41"/>
      <c r="S51" s="85">
        <f t="shared" si="20"/>
        <v>-218.89000000000033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9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1220.9940140082381</v>
      </c>
      <c r="G52" s="83"/>
      <c r="H52" s="13"/>
      <c r="I52" s="30"/>
      <c r="J52" s="41"/>
      <c r="K52" s="13"/>
      <c r="L52" s="33">
        <v>1956.39</v>
      </c>
      <c r="M52" s="41"/>
      <c r="N52" s="59">
        <f t="shared" si="14"/>
        <v>735.39598599176202</v>
      </c>
      <c r="O52" s="41"/>
      <c r="P52" s="13"/>
      <c r="Q52" s="33">
        <v>1671.23</v>
      </c>
      <c r="R52" s="41"/>
      <c r="S52" s="85">
        <f t="shared" si="20"/>
        <v>285.16000000000008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9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4"/>
        <v>0</v>
      </c>
      <c r="O53" s="23"/>
      <c r="P53" s="111"/>
      <c r="Q53" s="33">
        <v>0</v>
      </c>
      <c r="R53" s="23"/>
      <c r="S53" s="92">
        <f t="shared" si="20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9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0.25274992859648293</v>
      </c>
      <c r="F54" s="96">
        <f>+SUM(F42:F53)</f>
        <v>49220.994101111137</v>
      </c>
      <c r="G54" s="97"/>
      <c r="H54" s="95"/>
      <c r="I54" s="96"/>
      <c r="J54" s="97" t="s">
        <v>38</v>
      </c>
      <c r="K54" s="95">
        <f>L54/L$27</f>
        <v>0.20322488611870773</v>
      </c>
      <c r="L54" s="96">
        <f>+SUM(L42:L53)</f>
        <v>57583.3</v>
      </c>
      <c r="M54" s="100"/>
      <c r="N54" s="96">
        <f>+SUM(N42:N53)</f>
        <v>8362.3058988888679</v>
      </c>
      <c r="O54" s="97" t="s">
        <v>38</v>
      </c>
      <c r="P54" s="95">
        <f>Q54/Q$27</f>
        <v>0.23020791071872063</v>
      </c>
      <c r="Q54" s="96">
        <f>+SUM(Q42:Q53)</f>
        <v>53252.350000000006</v>
      </c>
      <c r="R54" s="100"/>
      <c r="S54" s="101">
        <f>+SUM(S42:S53)</f>
        <v>4330.9500000000016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 hidden="1">
      <c r="A55" t="str">
        <f t="shared" si="19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21">L55-F55</f>
        <v>0</v>
      </c>
      <c r="O55" s="41"/>
      <c r="P55" s="13"/>
      <c r="Q55" s="33">
        <v>0</v>
      </c>
      <c r="R55" s="41"/>
      <c r="S55" s="85">
        <f t="shared" ref="S55:S66" si="22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 hidden="1">
      <c r="A56" t="str">
        <f t="shared" si="19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21"/>
        <v>0</v>
      </c>
      <c r="O56" s="41"/>
      <c r="P56" s="13"/>
      <c r="Q56" s="33">
        <v>0</v>
      </c>
      <c r="R56" s="41"/>
      <c r="S56" s="85">
        <f t="shared" si="22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9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6620.9333333333325</v>
      </c>
      <c r="G57" s="89"/>
      <c r="H57" s="111"/>
      <c r="I57" s="22"/>
      <c r="J57" s="23"/>
      <c r="K57" s="111"/>
      <c r="L57" s="22">
        <v>9801.83</v>
      </c>
      <c r="M57" s="23"/>
      <c r="N57" s="91">
        <f t="shared" si="21"/>
        <v>3180.8966666666674</v>
      </c>
      <c r="O57" s="23"/>
      <c r="P57" s="111"/>
      <c r="Q57" s="22">
        <v>8441.26</v>
      </c>
      <c r="R57" s="23"/>
      <c r="S57" s="92">
        <f t="shared" si="22"/>
        <v>1360.5699999999997</v>
      </c>
      <c r="T57" s="112"/>
      <c r="U57" s="13"/>
      <c r="V57" s="11" t="s">
        <v>259</v>
      </c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9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4878.3</v>
      </c>
      <c r="G58" s="83"/>
      <c r="H58" s="13"/>
      <c r="I58" s="30"/>
      <c r="J58" s="41"/>
      <c r="K58" s="13"/>
      <c r="L58" s="33">
        <v>5604.87</v>
      </c>
      <c r="M58" s="41"/>
      <c r="N58" s="59">
        <f t="shared" si="21"/>
        <v>726.56999999999971</v>
      </c>
      <c r="O58" s="41"/>
      <c r="P58" s="13"/>
      <c r="Q58" s="33">
        <v>5260.81</v>
      </c>
      <c r="R58" s="41"/>
      <c r="S58" s="85">
        <f t="shared" si="22"/>
        <v>344.05999999999949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9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825</v>
      </c>
      <c r="G59" s="83"/>
      <c r="H59" s="13"/>
      <c r="I59" s="30"/>
      <c r="J59" s="41"/>
      <c r="K59" s="13"/>
      <c r="L59" s="33">
        <v>1141.1300000000001</v>
      </c>
      <c r="M59" s="41"/>
      <c r="N59" s="59">
        <f t="shared" si="21"/>
        <v>316.13000000000011</v>
      </c>
      <c r="O59" s="41"/>
      <c r="P59" s="13"/>
      <c r="Q59" s="33">
        <v>1088.52</v>
      </c>
      <c r="R59" s="41"/>
      <c r="S59" s="85">
        <f t="shared" si="22"/>
        <v>52.610000000000127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9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3314.7000000000003</v>
      </c>
      <c r="G60" s="89"/>
      <c r="H60" s="111"/>
      <c r="I60" s="22"/>
      <c r="J60" s="23"/>
      <c r="K60" s="111"/>
      <c r="L60" s="22">
        <v>3411.25</v>
      </c>
      <c r="M60" s="23"/>
      <c r="N60" s="91">
        <f t="shared" si="21"/>
        <v>96.549999999999727</v>
      </c>
      <c r="O60" s="23"/>
      <c r="P60" s="111"/>
      <c r="Q60" s="22">
        <v>3645.57</v>
      </c>
      <c r="R60" s="23"/>
      <c r="S60" s="92">
        <f t="shared" si="22"/>
        <v>-234.32000000000016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9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40</v>
      </c>
      <c r="G61" s="83"/>
      <c r="H61" s="13"/>
      <c r="I61" s="30"/>
      <c r="J61" s="41"/>
      <c r="K61" s="13"/>
      <c r="L61" s="33">
        <v>0</v>
      </c>
      <c r="M61" s="41"/>
      <c r="N61" s="59">
        <f t="shared" si="21"/>
        <v>-40</v>
      </c>
      <c r="O61" s="41"/>
      <c r="P61" s="13"/>
      <c r="Q61" s="33">
        <v>32.58</v>
      </c>
      <c r="R61" s="41"/>
      <c r="S61" s="85">
        <f t="shared" si="22"/>
        <v>-32.58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9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30</v>
      </c>
      <c r="G62" s="83"/>
      <c r="H62" s="13"/>
      <c r="I62" s="30"/>
      <c r="J62" s="41"/>
      <c r="K62" s="13"/>
      <c r="L62" s="33">
        <v>0</v>
      </c>
      <c r="M62" s="41"/>
      <c r="N62" s="59">
        <f t="shared" si="21"/>
        <v>-30</v>
      </c>
      <c r="O62" s="41"/>
      <c r="P62" s="13"/>
      <c r="Q62" s="33">
        <v>0</v>
      </c>
      <c r="R62" s="41"/>
      <c r="S62" s="85">
        <f t="shared" si="22"/>
        <v>0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9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708.75</v>
      </c>
      <c r="G63" s="83"/>
      <c r="H63" s="13"/>
      <c r="I63" s="30"/>
      <c r="J63" s="41"/>
      <c r="K63" s="13"/>
      <c r="L63" s="32">
        <v>368.11</v>
      </c>
      <c r="M63" s="41"/>
      <c r="N63" s="59">
        <f t="shared" si="21"/>
        <v>-340.64</v>
      </c>
      <c r="O63" s="41"/>
      <c r="P63" s="13"/>
      <c r="Q63" s="32">
        <v>899.59</v>
      </c>
      <c r="R63" s="41"/>
      <c r="S63" s="85">
        <f t="shared" si="22"/>
        <v>-531.48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9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210.4</v>
      </c>
      <c r="G64" s="83"/>
      <c r="H64" s="13"/>
      <c r="I64" s="30"/>
      <c r="J64" s="41"/>
      <c r="K64" s="13"/>
      <c r="L64" s="33">
        <v>193.41</v>
      </c>
      <c r="M64" s="41"/>
      <c r="N64" s="59">
        <f t="shared" si="21"/>
        <v>-16.990000000000009</v>
      </c>
      <c r="O64" s="41"/>
      <c r="P64" s="13"/>
      <c r="Q64" s="33">
        <v>222.63</v>
      </c>
      <c r="R64" s="41"/>
      <c r="S64" s="85">
        <f t="shared" si="22"/>
        <v>-29.22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9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202.5</v>
      </c>
      <c r="G65" s="83"/>
      <c r="H65" s="13"/>
      <c r="I65" s="30"/>
      <c r="J65" s="41"/>
      <c r="K65" s="13"/>
      <c r="L65" s="33">
        <v>199.38</v>
      </c>
      <c r="M65" s="41"/>
      <c r="N65" s="59">
        <f t="shared" si="21"/>
        <v>-3.1200000000000045</v>
      </c>
      <c r="O65" s="41"/>
      <c r="P65" s="13"/>
      <c r="Q65" s="33">
        <v>312.69</v>
      </c>
      <c r="R65" s="41"/>
      <c r="S65" s="85">
        <f t="shared" si="22"/>
        <v>-113.31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9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783.45</v>
      </c>
      <c r="G66" s="83"/>
      <c r="H66" s="13"/>
      <c r="I66" s="30"/>
      <c r="J66" s="41"/>
      <c r="K66" s="13"/>
      <c r="L66" s="33">
        <v>866.69</v>
      </c>
      <c r="M66" s="41"/>
      <c r="N66" s="59">
        <f t="shared" si="21"/>
        <v>83.240000000000009</v>
      </c>
      <c r="O66" s="41"/>
      <c r="P66" s="13"/>
      <c r="Q66" s="33">
        <v>650.70000000000005</v>
      </c>
      <c r="R66" s="41"/>
      <c r="S66" s="85">
        <f t="shared" si="22"/>
        <v>215.99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558.18350999999984</v>
      </c>
      <c r="G67" s="83"/>
      <c r="H67" s="13"/>
      <c r="I67" s="30"/>
      <c r="J67" s="41"/>
      <c r="K67" s="13"/>
      <c r="L67" s="59">
        <v>73.3</v>
      </c>
      <c r="M67" s="41"/>
      <c r="N67" s="59">
        <f t="shared" si="21"/>
        <v>-484.88350999999983</v>
      </c>
      <c r="O67" s="41"/>
      <c r="P67" s="13"/>
      <c r="Q67" s="33">
        <v>-894.63</v>
      </c>
      <c r="R67" s="41"/>
      <c r="S67" s="85">
        <f>L67-Q67</f>
        <v>967.93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4231.9164480094214</v>
      </c>
      <c r="G68" s="83"/>
      <c r="H68" s="13"/>
      <c r="I68" s="30"/>
      <c r="J68" s="41"/>
      <c r="K68" s="13"/>
      <c r="L68" s="32">
        <v>4388.4799999999996</v>
      </c>
      <c r="M68" s="41"/>
      <c r="N68" s="59">
        <f t="shared" si="21"/>
        <v>156.56355199057816</v>
      </c>
      <c r="O68" s="41"/>
      <c r="P68" s="13"/>
      <c r="Q68" s="33">
        <v>4109.05</v>
      </c>
      <c r="R68" s="41"/>
      <c r="S68" s="85">
        <f>L68-Q68</f>
        <v>279.42999999999938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21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ref="A70:A78" si="23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21"/>
        <v>0</v>
      </c>
      <c r="O70" s="41"/>
      <c r="P70" s="13"/>
      <c r="Q70" s="33">
        <v>0</v>
      </c>
      <c r="R70" s="41"/>
      <c r="S70" s="85">
        <f t="shared" ref="S70:S71" si="24">L70-Q70</f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23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21"/>
        <v>0</v>
      </c>
      <c r="O71" s="41"/>
      <c r="P71" s="13"/>
      <c r="Q71" s="33">
        <v>0</v>
      </c>
      <c r="R71" s="41"/>
      <c r="S71" s="85">
        <f t="shared" si="24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23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0.11504528084135418</v>
      </c>
      <c r="F72" s="96">
        <f>+SUM(F55:F71)</f>
        <v>22404.133291342758</v>
      </c>
      <c r="G72" s="97"/>
      <c r="H72" s="95"/>
      <c r="I72" s="96"/>
      <c r="J72" s="97" t="s">
        <v>38</v>
      </c>
      <c r="K72" s="95">
        <f>L72/L$27</f>
        <v>9.1931050926550795E-2</v>
      </c>
      <c r="L72" s="96">
        <f>+SUM(L55:L71)</f>
        <v>26048.45</v>
      </c>
      <c r="M72" s="100"/>
      <c r="N72" s="96">
        <f>+SUM(N55:N71)</f>
        <v>3644.3167086572457</v>
      </c>
      <c r="O72" s="97" t="s">
        <v>38</v>
      </c>
      <c r="P72" s="95">
        <f>Q72/Q$27</f>
        <v>0.10275150077045998</v>
      </c>
      <c r="Q72" s="96">
        <f>+SUM(Q55:Q71)</f>
        <v>23768.77</v>
      </c>
      <c r="R72" s="100"/>
      <c r="S72" s="101">
        <f>+SUM(S55:S71)</f>
        <v>2279.6799999999985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23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23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0.93128299003290582</v>
      </c>
      <c r="F74" s="96">
        <f>F41+F54+F72</f>
        <v>181359.79231889942</v>
      </c>
      <c r="G74" s="97"/>
      <c r="H74" s="95"/>
      <c r="I74" s="96"/>
      <c r="J74" s="97" t="s">
        <v>38</v>
      </c>
      <c r="K74" s="95">
        <f>L74/L$27</f>
        <v>0.7623082708847313</v>
      </c>
      <c r="L74" s="96">
        <f>L41+L54+L72</f>
        <v>215998.28000000003</v>
      </c>
      <c r="M74" s="100"/>
      <c r="N74" s="113">
        <f t="shared" ref="N74:N82" si="25">L74-F74</f>
        <v>34638.487681100611</v>
      </c>
      <c r="O74" s="97" t="s">
        <v>38</v>
      </c>
      <c r="P74" s="95">
        <f>Q74/Q$27</f>
        <v>0.89509734987269951</v>
      </c>
      <c r="Q74" s="96">
        <f>Q41+Q54+Q72</f>
        <v>207056.47</v>
      </c>
      <c r="R74" s="100"/>
      <c r="S74" s="114">
        <f>L74-Q74</f>
        <v>8941.8100000000268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23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v>56986.403825454545</v>
      </c>
      <c r="G75" s="83"/>
      <c r="H75" s="13"/>
      <c r="I75" s="30"/>
      <c r="J75" s="41"/>
      <c r="K75" s="13"/>
      <c r="L75" s="32">
        <v>64585.66</v>
      </c>
      <c r="M75" s="41"/>
      <c r="N75" s="59">
        <f t="shared" si="25"/>
        <v>7599.2561745454586</v>
      </c>
      <c r="O75" s="41"/>
      <c r="P75" s="13"/>
      <c r="Q75" s="32">
        <v>57768.59</v>
      </c>
      <c r="R75" s="41"/>
      <c r="S75" s="85">
        <f>L75-Q75</f>
        <v>6817.070000000007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23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5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23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5"/>
        <v>0</v>
      </c>
      <c r="O77" s="41"/>
      <c r="P77" s="13"/>
      <c r="Q77" s="32">
        <v>0</v>
      </c>
      <c r="R77" s="41"/>
      <c r="S77" s="85">
        <f t="shared" ref="S77:S78" si="26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23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61606.923054545456</v>
      </c>
      <c r="G78" s="83"/>
      <c r="H78" s="13"/>
      <c r="I78" s="30"/>
      <c r="J78" s="41"/>
      <c r="K78" s="13"/>
      <c r="L78" s="33">
        <v>76338.399999999994</v>
      </c>
      <c r="M78" s="41"/>
      <c r="N78" s="59">
        <f t="shared" si="25"/>
        <v>14731.476945454539</v>
      </c>
      <c r="O78" s="41"/>
      <c r="P78" s="13"/>
      <c r="Q78" s="32">
        <v>57980.4</v>
      </c>
      <c r="R78" s="41"/>
      <c r="S78" s="85">
        <f t="shared" si="26"/>
        <v>18357.999999999993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5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5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5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ref="A82:A85" si="27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21098.7</v>
      </c>
      <c r="G82" s="83"/>
      <c r="H82" s="13"/>
      <c r="I82" s="30"/>
      <c r="J82" s="41"/>
      <c r="K82" s="13"/>
      <c r="L82" s="32">
        <v>26180</v>
      </c>
      <c r="M82" s="41"/>
      <c r="N82" s="59">
        <f t="shared" si="25"/>
        <v>5081.2999999999993</v>
      </c>
      <c r="O82" s="41"/>
      <c r="P82" s="13"/>
      <c r="Q82" s="32">
        <v>23800</v>
      </c>
      <c r="R82" s="41"/>
      <c r="S82" s="85">
        <f t="shared" ref="S82" si="28">L82-Q82</f>
        <v>2380</v>
      </c>
      <c r="T82" s="13"/>
      <c r="U82" s="13"/>
      <c r="V82" s="11">
        <f>L82/595</f>
        <v>44</v>
      </c>
      <c r="W82" s="489">
        <f>V82/J27</f>
        <v>1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27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139692.02688000002</v>
      </c>
      <c r="G83" s="97"/>
      <c r="H83" s="95"/>
      <c r="I83" s="96"/>
      <c r="J83" s="97"/>
      <c r="K83" s="95"/>
      <c r="L83" s="96">
        <f>+SUM(L75:L82)</f>
        <v>167104.06</v>
      </c>
      <c r="M83" s="100"/>
      <c r="N83" s="96">
        <f>+SUM(N75:N82)</f>
        <v>27412.033119999996</v>
      </c>
      <c r="O83" s="97"/>
      <c r="P83" s="95"/>
      <c r="Q83" s="96">
        <f>+SUM(Q75:Q82)</f>
        <v>139548.99</v>
      </c>
      <c r="R83" s="100"/>
      <c r="S83" s="101">
        <f>+SUM(S75:S82)</f>
        <v>27555.07</v>
      </c>
      <c r="T83" s="13"/>
      <c r="U83" s="13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27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27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153074.10600072742</v>
      </c>
      <c r="G85" s="128"/>
      <c r="H85" s="126"/>
      <c r="I85" s="127"/>
      <c r="J85" s="128"/>
      <c r="K85" s="125"/>
      <c r="L85" s="127">
        <f>L27-L74+L83</f>
        <v>234453.45999999979</v>
      </c>
      <c r="M85" s="128"/>
      <c r="N85" s="127">
        <f>N27-N41-N54-N72+N83</f>
        <v>81379.353999272396</v>
      </c>
      <c r="O85" s="128"/>
      <c r="P85" s="125"/>
      <c r="Q85" s="127">
        <f>Q27-Q74+Q83</f>
        <v>163815.37</v>
      </c>
      <c r="R85" s="128"/>
      <c r="S85" s="129">
        <f>S27-S41-S54-S72+S83</f>
        <v>70638.089999999793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Mai 2025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507" t="s">
        <v>5</v>
      </c>
      <c r="E91" s="508"/>
      <c r="F91" s="509"/>
      <c r="G91" s="510"/>
      <c r="H91" s="508"/>
      <c r="I91" s="509"/>
      <c r="J91" s="510" t="s">
        <v>7</v>
      </c>
      <c r="K91" s="508"/>
      <c r="L91" s="509"/>
      <c r="M91" s="510" t="s">
        <v>213</v>
      </c>
      <c r="N91" s="509"/>
      <c r="O91" s="507" t="s">
        <v>8</v>
      </c>
      <c r="P91" s="508"/>
      <c r="Q91" s="509"/>
      <c r="R91" s="505" t="s">
        <v>214</v>
      </c>
      <c r="S91" s="506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17" si="29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1804235.294117647</v>
      </c>
      <c r="G93" s="46"/>
      <c r="H93" s="25"/>
      <c r="I93" s="22"/>
      <c r="J93" s="23"/>
      <c r="K93" s="25"/>
      <c r="L93" s="22">
        <v>1870178.4699999997</v>
      </c>
      <c r="M93" s="137"/>
      <c r="N93" s="138"/>
      <c r="O93" s="23"/>
      <c r="P93" s="25"/>
      <c r="Q93" s="22">
        <v>1654438.74999999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9"/>
        <v>Véhicules usagésCertifié</v>
      </c>
      <c r="B94" s="11" t="s">
        <v>70</v>
      </c>
      <c r="C94" s="29" t="s">
        <v>72</v>
      </c>
      <c r="D94" s="30">
        <v>8</v>
      </c>
      <c r="E94" s="30">
        <f>IF(D94=0,0,F94/D94)</f>
        <v>2300</v>
      </c>
      <c r="F94" s="30">
        <v>18400</v>
      </c>
      <c r="G94" s="31"/>
      <c r="H94" s="30"/>
      <c r="I94" s="30"/>
      <c r="J94" s="31">
        <v>3</v>
      </c>
      <c r="K94" s="30">
        <f>IF(J94=0,0,L94/J94)</f>
        <v>2327.8833333333314</v>
      </c>
      <c r="L94" s="33">
        <v>6983.6499999999942</v>
      </c>
      <c r="M94" s="31">
        <f>J94-D94</f>
        <v>-5</v>
      </c>
      <c r="N94" s="33">
        <f>L94-F94</f>
        <v>-11416.350000000006</v>
      </c>
      <c r="O94" s="31">
        <v>6</v>
      </c>
      <c r="P94" s="30">
        <f t="shared" ref="P94:P96" si="30">IF(O94=0,0,Q94/O94)</f>
        <v>1976.7783333333334</v>
      </c>
      <c r="Q94" s="33">
        <v>11860.67</v>
      </c>
      <c r="R94" s="31">
        <f>J94-O94</f>
        <v>-3</v>
      </c>
      <c r="S94" s="34">
        <f>L94-Q94</f>
        <v>-4877.0200000000059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9"/>
        <v>Véhicules usagésNon Certifié</v>
      </c>
      <c r="B95" s="11" t="s">
        <v>70</v>
      </c>
      <c r="C95" s="29" t="s">
        <v>73</v>
      </c>
      <c r="D95" s="30">
        <v>8</v>
      </c>
      <c r="E95" s="30">
        <f t="shared" ref="E95:E100" si="31">IF(D95=0,0,F95/D95)</f>
        <v>1600</v>
      </c>
      <c r="F95" s="30">
        <v>12800</v>
      </c>
      <c r="G95" s="31"/>
      <c r="H95" s="30"/>
      <c r="I95" s="30"/>
      <c r="J95" s="31">
        <v>4</v>
      </c>
      <c r="K95" s="30">
        <f>IF(J95=0,0,L95/J95)</f>
        <v>1818.9100000000026</v>
      </c>
      <c r="L95" s="32">
        <v>7275.6400000000103</v>
      </c>
      <c r="M95" s="31">
        <f>J95-D95</f>
        <v>-4</v>
      </c>
      <c r="N95" s="33">
        <f>L95-F95</f>
        <v>-5524.3599999999897</v>
      </c>
      <c r="O95" s="31">
        <v>13</v>
      </c>
      <c r="P95" s="30">
        <f t="shared" si="30"/>
        <v>1923.2669230769231</v>
      </c>
      <c r="Q95" s="32">
        <v>25002.47</v>
      </c>
      <c r="R95" s="31">
        <f>J95-O95</f>
        <v>-9</v>
      </c>
      <c r="S95" s="34">
        <f>L95-Q95</f>
        <v>-17726.829999999991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 t="shared" si="29"/>
        <v>Véhicules usagésAutres marques</v>
      </c>
      <c r="B96" s="11" t="s">
        <v>70</v>
      </c>
      <c r="C96" s="29" t="s">
        <v>207</v>
      </c>
      <c r="D96" s="30">
        <v>8</v>
      </c>
      <c r="E96" s="25">
        <f t="shared" si="31"/>
        <v>1500</v>
      </c>
      <c r="F96" s="30">
        <v>12000</v>
      </c>
      <c r="G96" s="31"/>
      <c r="H96" s="30"/>
      <c r="I96" s="30"/>
      <c r="J96" s="31">
        <v>8</v>
      </c>
      <c r="K96" s="30">
        <f>IF(J96=0,0,L96/J96)</f>
        <v>1148.9350000000013</v>
      </c>
      <c r="L96" s="32">
        <v>9191.4800000000105</v>
      </c>
      <c r="M96" s="31">
        <f>J96-D96</f>
        <v>0</v>
      </c>
      <c r="N96" s="33">
        <f>L96-F96</f>
        <v>-2808.5199999999895</v>
      </c>
      <c r="O96" s="31">
        <v>5</v>
      </c>
      <c r="P96" s="30">
        <f t="shared" si="30"/>
        <v>981.52599999999802</v>
      </c>
      <c r="Q96" s="32">
        <v>4907.6299999999901</v>
      </c>
      <c r="R96" s="31">
        <f>J96-O96</f>
        <v>3</v>
      </c>
      <c r="S96" s="34">
        <f>L96-Q96</f>
        <v>4283.8500000000204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9"/>
        <v>Véhicules usagésTotal Usagés</v>
      </c>
      <c r="B97" s="11" t="s">
        <v>70</v>
      </c>
      <c r="C97" s="35" t="s">
        <v>74</v>
      </c>
      <c r="D97" s="36">
        <f>+D95+D94+D96</f>
        <v>24</v>
      </c>
      <c r="E97" s="30">
        <f t="shared" si="31"/>
        <v>1800</v>
      </c>
      <c r="F97" s="37">
        <f>+F94+F95+F96</f>
        <v>43200</v>
      </c>
      <c r="G97" s="38"/>
      <c r="H97" s="36"/>
      <c r="I97" s="37"/>
      <c r="J97" s="38">
        <f>+J94+J95+J96</f>
        <v>15</v>
      </c>
      <c r="K97" s="36">
        <f>IF(J97&lt;=0,0,L97/J97)</f>
        <v>1563.3846666666677</v>
      </c>
      <c r="L97" s="37">
        <f>+L94+L95+L96</f>
        <v>23450.770000000015</v>
      </c>
      <c r="M97" s="38">
        <f>J97-D97</f>
        <v>-9</v>
      </c>
      <c r="N97" s="37">
        <f>L97-F97</f>
        <v>-19749.229999999985</v>
      </c>
      <c r="O97" s="38">
        <f>+O95+O94+O96</f>
        <v>24</v>
      </c>
      <c r="P97" s="36">
        <f>IF(O97=0,0,Q97/O97)</f>
        <v>1740.4487499999996</v>
      </c>
      <c r="Q97" s="37">
        <f>+Q94+Q95+Q96</f>
        <v>41770.76999999999</v>
      </c>
      <c r="R97" s="38">
        <f>J97-O97</f>
        <v>-9</v>
      </c>
      <c r="S97" s="39">
        <f>S94+S95</f>
        <v>-22603.85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9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-0.375</v>
      </c>
      <c r="N98" s="43">
        <f>N97/F97</f>
        <v>-0.45715810185185152</v>
      </c>
      <c r="O98" s="41"/>
      <c r="P98" s="13"/>
      <c r="Q98" s="40"/>
      <c r="R98" s="42">
        <f>R97/O97</f>
        <v>-0.375</v>
      </c>
      <c r="S98" s="44">
        <f>IF(Q97=0,0,(S97/Q97))</f>
        <v>-0.54114037160435402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9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9"/>
        <v>Véhicules usagésVentes au Gros</v>
      </c>
      <c r="B100" s="11" t="s">
        <v>70</v>
      </c>
      <c r="C100" s="29" t="s">
        <v>75</v>
      </c>
      <c r="D100" s="30">
        <v>23</v>
      </c>
      <c r="E100" s="30">
        <f t="shared" si="31"/>
        <v>350</v>
      </c>
      <c r="F100" s="30">
        <v>8050</v>
      </c>
      <c r="G100" s="31"/>
      <c r="H100" s="30"/>
      <c r="I100" s="30"/>
      <c r="J100" s="31">
        <v>34</v>
      </c>
      <c r="K100" s="30">
        <f>IF(J100=0,0,L100/J100)</f>
        <v>500.41294117646828</v>
      </c>
      <c r="L100" s="33">
        <v>17014.039999999921</v>
      </c>
      <c r="M100" s="31">
        <f>J100-D100</f>
        <v>11</v>
      </c>
      <c r="N100" s="33">
        <f>L100-F100</f>
        <v>8964.0399999999208</v>
      </c>
      <c r="O100" s="31">
        <v>21</v>
      </c>
      <c r="P100" s="30">
        <f>IF(O100=0,0,Q100/O100)</f>
        <v>72.271428571431429</v>
      </c>
      <c r="Q100" s="33">
        <v>1517.7000000000601</v>
      </c>
      <c r="R100" s="31">
        <f>J100-O100</f>
        <v>13</v>
      </c>
      <c r="S100" s="34">
        <f>L100-Q100</f>
        <v>15496.33999999986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9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9"/>
        <v>Véhicules usagésRev. Finances</v>
      </c>
      <c r="B102" s="11" t="s">
        <v>70</v>
      </c>
      <c r="C102" s="29" t="s">
        <v>24</v>
      </c>
      <c r="D102" s="30">
        <v>0</v>
      </c>
      <c r="E102" s="30">
        <f t="shared" ref="E102:E105" si="32">IF(D102=0,0,F102/D102)</f>
        <v>0</v>
      </c>
      <c r="F102" s="33">
        <v>9120</v>
      </c>
      <c r="G102" s="31"/>
      <c r="H102" s="30"/>
      <c r="I102" s="30"/>
      <c r="J102" s="31"/>
      <c r="K102" s="30">
        <f>IF(J97=0,0,L102/J97)</f>
        <v>879.48266666666677</v>
      </c>
      <c r="L102" s="33">
        <v>13192.240000000002</v>
      </c>
      <c r="M102" s="31"/>
      <c r="N102" s="33">
        <f>L102-F102</f>
        <v>4072.2400000000016</v>
      </c>
      <c r="O102" s="31"/>
      <c r="P102" s="30"/>
      <c r="Q102" s="33">
        <v>7863</v>
      </c>
      <c r="R102" s="31">
        <f>O102-K102</f>
        <v>-879.48266666666677</v>
      </c>
      <c r="S102" s="34">
        <f>L102-Q102</f>
        <v>5329.2400000000016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9"/>
        <v>Véhicules usagésRev. Protections</v>
      </c>
      <c r="B103" s="11" t="s">
        <v>70</v>
      </c>
      <c r="C103" s="29" t="s">
        <v>25</v>
      </c>
      <c r="D103" s="30">
        <v>0</v>
      </c>
      <c r="E103" s="30">
        <f t="shared" si="32"/>
        <v>0</v>
      </c>
      <c r="F103" s="33">
        <v>20400</v>
      </c>
      <c r="G103" s="31"/>
      <c r="H103" s="30"/>
      <c r="I103" s="30"/>
      <c r="J103" s="31"/>
      <c r="K103" s="30">
        <f>IF(J97=0,0,L103/J97)</f>
        <v>1715.4953333333337</v>
      </c>
      <c r="L103" s="33">
        <v>25732.430000000008</v>
      </c>
      <c r="M103" s="31"/>
      <c r="N103" s="33">
        <f>L103-F103</f>
        <v>5332.4300000000076</v>
      </c>
      <c r="O103" s="31"/>
      <c r="P103" s="30"/>
      <c r="Q103" s="33">
        <v>27181.63</v>
      </c>
      <c r="R103" s="31">
        <f>O103-K103</f>
        <v>-1715.4953333333337</v>
      </c>
      <c r="S103" s="34">
        <f>L103-Q103</f>
        <v>-1449.1999999999935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9"/>
        <v>Véhicules usagésRev. Autres</v>
      </c>
      <c r="B104" s="11" t="s">
        <v>70</v>
      </c>
      <c r="C104" s="29" t="s">
        <v>26</v>
      </c>
      <c r="D104" s="30">
        <v>0</v>
      </c>
      <c r="E104" s="25">
        <f t="shared" si="32"/>
        <v>0</v>
      </c>
      <c r="F104" s="33">
        <v>5280</v>
      </c>
      <c r="G104" s="31"/>
      <c r="H104" s="47"/>
      <c r="I104" s="30"/>
      <c r="J104" s="31"/>
      <c r="K104" s="47">
        <f>IF(J97=0,0,L104/J97)</f>
        <v>734.64866666666705</v>
      </c>
      <c r="L104" s="33">
        <v>11019.730000000005</v>
      </c>
      <c r="M104" s="51"/>
      <c r="N104" s="33">
        <f>L104-F104</f>
        <v>5739.730000000005</v>
      </c>
      <c r="O104" s="31"/>
      <c r="P104" s="47"/>
      <c r="Q104" s="33">
        <v>3686</v>
      </c>
      <c r="R104" s="31">
        <f>O104-K104</f>
        <v>-734.64866666666705</v>
      </c>
      <c r="S104" s="34">
        <f>L104-Q104</f>
        <v>7333.730000000005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9"/>
        <v>Véhicules usagésTotal F&amp;I</v>
      </c>
      <c r="B105" s="11" t="s">
        <v>70</v>
      </c>
      <c r="C105" s="35" t="s">
        <v>27</v>
      </c>
      <c r="D105" s="36">
        <f>D97</f>
        <v>24</v>
      </c>
      <c r="E105" s="30">
        <f t="shared" si="32"/>
        <v>1450</v>
      </c>
      <c r="F105" s="37">
        <f>F102+F103+F104</f>
        <v>34800</v>
      </c>
      <c r="G105" s="38"/>
      <c r="H105" s="36"/>
      <c r="I105" s="37"/>
      <c r="J105" s="38">
        <f>J97</f>
        <v>15</v>
      </c>
      <c r="K105" s="36">
        <f>IF(J105&lt;=0,0,L105/J105)</f>
        <v>3329.6266666666679</v>
      </c>
      <c r="L105" s="37">
        <f>L102+L103+L104</f>
        <v>49944.400000000016</v>
      </c>
      <c r="M105" s="31">
        <f>J105-D105</f>
        <v>-9</v>
      </c>
      <c r="N105" s="37">
        <f>L105-F105</f>
        <v>15144.400000000016</v>
      </c>
      <c r="O105" s="38">
        <f>O97</f>
        <v>24</v>
      </c>
      <c r="P105" s="36">
        <f t="shared" ref="P105" si="33">IF(O105=0,0,Q105/O105)</f>
        <v>1613.7762500000001</v>
      </c>
      <c r="Q105" s="37">
        <f>Q102+Q103+Q104</f>
        <v>38730.630000000005</v>
      </c>
      <c r="R105" s="56"/>
      <c r="S105" s="39">
        <f>L105-Q105</f>
        <v>11213.770000000011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9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0.43518390804597745</v>
      </c>
      <c r="O106" s="41"/>
      <c r="P106" s="13"/>
      <c r="Q106" s="59"/>
      <c r="R106" s="60"/>
      <c r="S106" s="44">
        <f>IF(Q105=0,0,(S105/Q105))</f>
        <v>0.28953234171507175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9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9"/>
        <v>Véhicules usagésTotal Dépt. Usagés</v>
      </c>
      <c r="B108" s="11" t="s">
        <v>70</v>
      </c>
      <c r="C108" s="62" t="s">
        <v>76</v>
      </c>
      <c r="D108" s="63">
        <f>D97+D100</f>
        <v>47</v>
      </c>
      <c r="E108" s="67">
        <f>IF(D108&lt;=0,0,F108/D108)</f>
        <v>1830.8510638297873</v>
      </c>
      <c r="F108" s="65">
        <f>F97+F105+F100</f>
        <v>86050</v>
      </c>
      <c r="G108" s="66"/>
      <c r="H108" s="67"/>
      <c r="I108" s="65"/>
      <c r="J108" s="66">
        <f>J97+J100</f>
        <v>49</v>
      </c>
      <c r="K108" s="67">
        <f>IF(J108&lt;=0,0,L108/J108)</f>
        <v>1845.0859183673458</v>
      </c>
      <c r="L108" s="65">
        <f>L97+L105+L100</f>
        <v>90409.209999999948</v>
      </c>
      <c r="M108" s="66">
        <f>J108-D108</f>
        <v>2</v>
      </c>
      <c r="N108" s="65">
        <f>L108-F108</f>
        <v>4359.2099999999482</v>
      </c>
      <c r="O108" s="66">
        <f>O97+O100</f>
        <v>45</v>
      </c>
      <c r="P108" s="67">
        <f>IF(O108&lt;=0,0,Q108/O108)</f>
        <v>1822.6466666666677</v>
      </c>
      <c r="Q108" s="65">
        <f>Q97+Q105+Q100</f>
        <v>82019.100000000049</v>
      </c>
      <c r="R108" s="66">
        <f>J108-O108</f>
        <v>4</v>
      </c>
      <c r="S108" s="68">
        <f>L108-Q108</f>
        <v>8390.1099999998987</v>
      </c>
      <c r="T108" s="13"/>
      <c r="U108" s="13"/>
      <c r="V108" s="11" t="s">
        <v>221</v>
      </c>
      <c r="W108" s="497">
        <v>87000</v>
      </c>
      <c r="X108" s="490">
        <f>L108-W108</f>
        <v>3409.2099999999482</v>
      </c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9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4.2553191489361701E-2</v>
      </c>
      <c r="N109" s="74">
        <f>N108/F108</f>
        <v>5.0659035444508407E-2</v>
      </c>
      <c r="O109" s="72"/>
      <c r="P109" s="70"/>
      <c r="Q109" s="71"/>
      <c r="R109" s="73">
        <f>O108/R108</f>
        <v>11.25</v>
      </c>
      <c r="S109" s="145">
        <f>IF(Q108=0,0,(S108/Q108))</f>
        <v>0.10229458748023197</v>
      </c>
      <c r="T109" s="13"/>
      <c r="U109" s="13"/>
      <c r="V109" s="13"/>
      <c r="W109" s="498">
        <v>15</v>
      </c>
      <c r="X109" s="30">
        <f>J97-W109</f>
        <v>0</v>
      </c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9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9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9"/>
        <v>Véhicules usagésComm. vendeurs</v>
      </c>
      <c r="B112" s="11" t="s">
        <v>70</v>
      </c>
      <c r="C112" s="29" t="s">
        <v>30</v>
      </c>
      <c r="D112" s="148">
        <f>F112/(F97+F105)</f>
        <v>0.18582178995972098</v>
      </c>
      <c r="E112" s="82">
        <f t="shared" ref="E112:E121" si="34">F112/D$97</f>
        <v>603.92081736909324</v>
      </c>
      <c r="F112" s="30">
        <v>14494.099616858237</v>
      </c>
      <c r="G112" s="157"/>
      <c r="H112" s="82"/>
      <c r="I112" s="30"/>
      <c r="J112" s="157">
        <f>L112/L97</f>
        <v>0.3207732624557742</v>
      </c>
      <c r="K112" s="82">
        <f>IF($J$97=0,0,L112/(J$94+J$95+J96))</f>
        <v>501.49200000000002</v>
      </c>
      <c r="L112" s="33">
        <v>7522.38</v>
      </c>
      <c r="M112" s="41"/>
      <c r="N112" s="59">
        <f t="shared" ref="N112:N153" si="35">L112-F112</f>
        <v>-6971.7196168582368</v>
      </c>
      <c r="O112" s="157">
        <f>Q112/Q97</f>
        <v>0.35446557485054747</v>
      </c>
      <c r="P112" s="82">
        <f t="shared" ref="P112:P121" si="36">Q112/O$97</f>
        <v>616.92916666666667</v>
      </c>
      <c r="Q112" s="33">
        <v>14806.3</v>
      </c>
      <c r="R112" s="41"/>
      <c r="S112" s="85">
        <f t="shared" ref="S112:S117" si="37">L112-Q112</f>
        <v>-7283.9199999999992</v>
      </c>
      <c r="T112" s="13"/>
      <c r="U112" s="13"/>
      <c r="V112" s="1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9"/>
        <v>Véhicules usagésComm. F&amp;I</v>
      </c>
      <c r="B113" s="11" t="s">
        <v>70</v>
      </c>
      <c r="C113" s="86" t="s">
        <v>31</v>
      </c>
      <c r="D113" s="218">
        <f>F113/(F105+F19)</f>
        <v>0.24642782597203539</v>
      </c>
      <c r="E113" s="88">
        <f t="shared" si="34"/>
        <v>398.75</v>
      </c>
      <c r="F113" s="22">
        <v>9570</v>
      </c>
      <c r="G113" s="162"/>
      <c r="H113" s="88"/>
      <c r="I113" s="22"/>
      <c r="J113" s="162">
        <f>L113/L105</f>
        <v>0.24739009778874099</v>
      </c>
      <c r="K113" s="88">
        <f>IF($J$97=0,0,L113/(J$94+J$95+J96))</f>
        <v>823.7166666666667</v>
      </c>
      <c r="L113" s="33">
        <v>12355.75</v>
      </c>
      <c r="M113" s="23"/>
      <c r="N113" s="91">
        <f t="shared" si="35"/>
        <v>2785.75</v>
      </c>
      <c r="O113" s="162">
        <f>Q113/(Q105+Q19)</f>
        <v>0.31018518324125899</v>
      </c>
      <c r="P113" s="88">
        <f t="shared" si="36"/>
        <v>615.61083333333329</v>
      </c>
      <c r="Q113" s="33">
        <v>14774.66</v>
      </c>
      <c r="R113" s="23"/>
      <c r="S113" s="92">
        <f t="shared" si="37"/>
        <v>-2418.91</v>
      </c>
      <c r="T113" s="13"/>
      <c r="U113" s="13"/>
      <c r="V113" s="11" t="s">
        <v>260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9"/>
        <v>Véhicules usagésFrais de livraison</v>
      </c>
      <c r="B114" s="11" t="s">
        <v>70</v>
      </c>
      <c r="C114" s="29" t="s">
        <v>32</v>
      </c>
      <c r="D114" s="81"/>
      <c r="E114" s="82">
        <f t="shared" si="34"/>
        <v>90</v>
      </c>
      <c r="F114" s="30">
        <v>2160</v>
      </c>
      <c r="G114" s="83"/>
      <c r="H114" s="82"/>
      <c r="I114" s="30"/>
      <c r="J114" s="41"/>
      <c r="K114" s="82">
        <f>IF($J$97=0,0,L114/(J$94+J$95+J96))</f>
        <v>125.02199999999999</v>
      </c>
      <c r="L114" s="108">
        <v>1875.33</v>
      </c>
      <c r="M114" s="41"/>
      <c r="N114" s="59">
        <f t="shared" si="35"/>
        <v>-284.67000000000007</v>
      </c>
      <c r="O114" s="41"/>
      <c r="P114" s="82">
        <f t="shared" si="36"/>
        <v>96.757499999999993</v>
      </c>
      <c r="Q114" s="108">
        <v>2322.1799999999998</v>
      </c>
      <c r="R114" s="41"/>
      <c r="S114" s="85">
        <f t="shared" si="37"/>
        <v>-446.84999999999991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9"/>
        <v>Véhicules usagésService gratuit 1</v>
      </c>
      <c r="B115" s="11" t="s">
        <v>70</v>
      </c>
      <c r="C115" s="29" t="s">
        <v>33</v>
      </c>
      <c r="D115" s="81"/>
      <c r="E115" s="82">
        <f t="shared" si="34"/>
        <v>94</v>
      </c>
      <c r="F115" s="30">
        <v>2256</v>
      </c>
      <c r="G115" s="83"/>
      <c r="H115" s="82"/>
      <c r="I115" s="30"/>
      <c r="J115" s="41"/>
      <c r="K115" s="82">
        <f>IF($J$97=0,0,L115/(J$94+J$95+J96))</f>
        <v>76.418666666666667</v>
      </c>
      <c r="L115" s="33">
        <v>1146.28</v>
      </c>
      <c r="M115" s="41"/>
      <c r="N115" s="59">
        <f t="shared" si="35"/>
        <v>-1109.72</v>
      </c>
      <c r="O115" s="41"/>
      <c r="P115" s="82">
        <f t="shared" si="36"/>
        <v>112.935</v>
      </c>
      <c r="Q115" s="33">
        <v>2710.44</v>
      </c>
      <c r="R115" s="41"/>
      <c r="S115" s="85">
        <f t="shared" si="37"/>
        <v>-1564.16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9"/>
        <v>Véhicules usagésEntretien stock</v>
      </c>
      <c r="B116" s="11" t="s">
        <v>70</v>
      </c>
      <c r="C116" s="86" t="s">
        <v>34</v>
      </c>
      <c r="D116" s="87"/>
      <c r="E116" s="88">
        <f t="shared" si="34"/>
        <v>80.833333333333329</v>
      </c>
      <c r="F116" s="22">
        <v>1940</v>
      </c>
      <c r="G116" s="89"/>
      <c r="H116" s="88"/>
      <c r="I116" s="22"/>
      <c r="J116" s="23"/>
      <c r="K116" s="88">
        <f>IF($J$97=0,0,L116/(J$94+J$95+J96))</f>
        <v>161.53133333333332</v>
      </c>
      <c r="L116" s="48">
        <v>2422.9699999999998</v>
      </c>
      <c r="M116" s="23"/>
      <c r="N116" s="91">
        <f t="shared" si="35"/>
        <v>482.9699999999998</v>
      </c>
      <c r="O116" s="23"/>
      <c r="P116" s="88">
        <f t="shared" si="36"/>
        <v>91.784166666666678</v>
      </c>
      <c r="Q116" s="48">
        <v>2202.8200000000002</v>
      </c>
      <c r="R116" s="23"/>
      <c r="S116" s="92">
        <f t="shared" si="37"/>
        <v>220.14999999999964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9"/>
        <v>Véhicules usagésPublicité 1</v>
      </c>
      <c r="B117" s="11" t="s">
        <v>70</v>
      </c>
      <c r="C117" s="29" t="s">
        <v>35</v>
      </c>
      <c r="D117" s="81"/>
      <c r="E117" s="82">
        <f t="shared" si="34"/>
        <v>259.375</v>
      </c>
      <c r="F117" s="30">
        <v>6225</v>
      </c>
      <c r="G117" s="83"/>
      <c r="H117" s="82"/>
      <c r="I117" s="30"/>
      <c r="J117" s="41"/>
      <c r="K117" s="82">
        <f>IF($J$97=0,0,L117/(J$94+J$95+J96))</f>
        <v>450.2646666666667</v>
      </c>
      <c r="L117" s="33">
        <v>6753.97</v>
      </c>
      <c r="M117" s="41"/>
      <c r="N117" s="59">
        <f t="shared" si="35"/>
        <v>528.97000000000025</v>
      </c>
      <c r="O117" s="41"/>
      <c r="P117" s="82">
        <f t="shared" si="36"/>
        <v>314.72666666666663</v>
      </c>
      <c r="Q117" s="33">
        <v>7553.44</v>
      </c>
      <c r="R117" s="41"/>
      <c r="S117" s="85">
        <f t="shared" si="37"/>
        <v>-799.46999999999935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>+B118&amp;C118</f>
        <v>Véhicules usagésIntérêt de gros</v>
      </c>
      <c r="B118" s="11" t="s">
        <v>70</v>
      </c>
      <c r="C118" s="29" t="s">
        <v>36</v>
      </c>
      <c r="D118" s="81"/>
      <c r="E118" s="82">
        <f t="shared" si="34"/>
        <v>213.9348255919854</v>
      </c>
      <c r="F118" s="30">
        <v>5134.4358142076499</v>
      </c>
      <c r="G118" s="83"/>
      <c r="H118" s="82"/>
      <c r="I118" s="30"/>
      <c r="J118" s="41"/>
      <c r="K118" s="82">
        <f>IF($J$97=0,0,L118/(J$94+J$95+J96))</f>
        <v>312.40400000000005</v>
      </c>
      <c r="L118" s="33">
        <v>4686.0600000000004</v>
      </c>
      <c r="M118" s="41"/>
      <c r="N118" s="59">
        <f t="shared" si="35"/>
        <v>-448.37581420764946</v>
      </c>
      <c r="O118" s="41"/>
      <c r="P118" s="82">
        <f t="shared" si="36"/>
        <v>386.935</v>
      </c>
      <c r="Q118" s="33">
        <v>9286.44</v>
      </c>
      <c r="R118" s="41"/>
      <c r="S118" s="85">
        <f>L118-Q118</f>
        <v>-4600.38</v>
      </c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>+B119&amp;C119</f>
        <v>Véhicules usagés[...]</v>
      </c>
      <c r="B119" s="11" t="s">
        <v>70</v>
      </c>
      <c r="C119" s="29" t="s">
        <v>19</v>
      </c>
      <c r="D119" s="81"/>
      <c r="E119" s="82">
        <f t="shared" si="34"/>
        <v>0</v>
      </c>
      <c r="F119" s="30">
        <v>0</v>
      </c>
      <c r="G119" s="83"/>
      <c r="H119" s="82"/>
      <c r="I119" s="30"/>
      <c r="J119" s="41"/>
      <c r="K119" s="82">
        <f t="shared" ref="K119:K121" si="38">IF($J$97=0,0,L119/(J$94+J$95))</f>
        <v>0</v>
      </c>
      <c r="L119" s="33">
        <v>0</v>
      </c>
      <c r="M119" s="41"/>
      <c r="N119" s="59">
        <f t="shared" si="35"/>
        <v>0</v>
      </c>
      <c r="O119" s="41"/>
      <c r="P119" s="82">
        <f t="shared" si="36"/>
        <v>0</v>
      </c>
      <c r="Q119" s="33"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4"/>
        <v>0</v>
      </c>
      <c r="F120" s="30">
        <v>0</v>
      </c>
      <c r="G120" s="83"/>
      <c r="H120" s="82"/>
      <c r="I120" s="30"/>
      <c r="J120" s="41"/>
      <c r="K120" s="82">
        <f t="shared" si="38"/>
        <v>0</v>
      </c>
      <c r="L120" s="33">
        <v>0</v>
      </c>
      <c r="M120" s="41"/>
      <c r="N120" s="59">
        <f t="shared" si="35"/>
        <v>0</v>
      </c>
      <c r="O120" s="41"/>
      <c r="P120" s="82">
        <f t="shared" si="36"/>
        <v>0</v>
      </c>
      <c r="Q120" s="33"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4"/>
        <v>0</v>
      </c>
      <c r="F121" s="30">
        <v>0</v>
      </c>
      <c r="G121" s="83"/>
      <c r="H121" s="82"/>
      <c r="I121" s="30"/>
      <c r="J121" s="41"/>
      <c r="K121" s="82">
        <f t="shared" si="38"/>
        <v>0</v>
      </c>
      <c r="L121" s="33">
        <v>0</v>
      </c>
      <c r="M121" s="41"/>
      <c r="N121" s="59">
        <f t="shared" si="35"/>
        <v>0</v>
      </c>
      <c r="O121" s="41"/>
      <c r="P121" s="82">
        <f t="shared" si="36"/>
        <v>0</v>
      </c>
      <c r="Q121" s="33">
        <v>0</v>
      </c>
      <c r="R121" s="41"/>
      <c r="S121" s="85">
        <f t="shared" ref="S121:S126" si="39">L121-Q121</f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ref="A122:A126" si="40">+B122&amp;C122</f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0.48552626880959776</v>
      </c>
      <c r="F122" s="96">
        <f>SUM(F112:F121)</f>
        <v>41779.535431065888</v>
      </c>
      <c r="G122" s="97"/>
      <c r="H122" s="95"/>
      <c r="I122" s="96"/>
      <c r="J122" s="97" t="s">
        <v>38</v>
      </c>
      <c r="K122" s="95">
        <f>L122/L$108</f>
        <v>0.40662605059816381</v>
      </c>
      <c r="L122" s="96">
        <f>SUM(L112:L121)</f>
        <v>36762.74</v>
      </c>
      <c r="M122" s="100"/>
      <c r="N122" s="96">
        <f t="shared" si="35"/>
        <v>-5016.7954310658897</v>
      </c>
      <c r="O122" s="97" t="s">
        <v>38</v>
      </c>
      <c r="P122" s="95">
        <f>Q122/Q$108</f>
        <v>0.65419249906424204</v>
      </c>
      <c r="Q122" s="96">
        <f>SUM(Q112:Q121)</f>
        <v>53656.280000000006</v>
      </c>
      <c r="R122" s="100"/>
      <c r="S122" s="101">
        <f t="shared" si="39"/>
        <v>-16893.540000000008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40"/>
        <v>Véhicules usagésSalaires cadres</v>
      </c>
      <c r="B123" s="11" t="s">
        <v>70</v>
      </c>
      <c r="C123" s="102" t="s">
        <v>40</v>
      </c>
      <c r="D123" s="13"/>
      <c r="E123" s="13"/>
      <c r="F123" s="30">
        <v>5038.0088417329798</v>
      </c>
      <c r="G123" s="41"/>
      <c r="H123" s="13"/>
      <c r="I123" s="30"/>
      <c r="J123" s="41"/>
      <c r="K123" s="13"/>
      <c r="L123" s="33">
        <v>3666.89</v>
      </c>
      <c r="M123" s="41"/>
      <c r="N123" s="59">
        <f t="shared" si="35"/>
        <v>-1371.1188417329799</v>
      </c>
      <c r="O123" s="41"/>
      <c r="P123" s="13"/>
      <c r="Q123" s="33">
        <v>4429.1499999999996</v>
      </c>
      <c r="R123" s="41"/>
      <c r="S123" s="85">
        <f t="shared" si="39"/>
        <v>-762.25999999999976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40"/>
        <v>Véhicules usagésSalaires commis</v>
      </c>
      <c r="B124" s="11" t="s">
        <v>70</v>
      </c>
      <c r="C124" s="103" t="s">
        <v>41</v>
      </c>
      <c r="D124" s="81"/>
      <c r="E124" s="13"/>
      <c r="F124" s="22">
        <v>2593.1766283524903</v>
      </c>
      <c r="G124" s="83"/>
      <c r="H124" s="13"/>
      <c r="I124" s="22"/>
      <c r="J124" s="41"/>
      <c r="K124" s="13"/>
      <c r="L124" s="22">
        <v>3291.71</v>
      </c>
      <c r="M124" s="41"/>
      <c r="N124" s="59">
        <f t="shared" si="35"/>
        <v>698.53337164750974</v>
      </c>
      <c r="O124" s="41"/>
      <c r="P124" s="13"/>
      <c r="Q124" s="22">
        <v>3118.35</v>
      </c>
      <c r="R124" s="41"/>
      <c r="S124" s="85">
        <f t="shared" si="39"/>
        <v>173.36000000000013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40"/>
        <v>Véhicules usagésSalaires autres</v>
      </c>
      <c r="B125" s="11" t="s">
        <v>70</v>
      </c>
      <c r="C125" s="102" t="s">
        <v>42</v>
      </c>
      <c r="D125" s="104"/>
      <c r="E125" s="105"/>
      <c r="F125" s="30">
        <v>2809</v>
      </c>
      <c r="G125" s="106"/>
      <c r="H125" s="105"/>
      <c r="I125" s="30"/>
      <c r="J125" s="107"/>
      <c r="K125" s="105"/>
      <c r="L125" s="33">
        <v>2809</v>
      </c>
      <c r="M125" s="107"/>
      <c r="N125" s="109">
        <f t="shared" si="35"/>
        <v>0</v>
      </c>
      <c r="O125" s="107"/>
      <c r="P125" s="105"/>
      <c r="Q125" s="33">
        <v>2809</v>
      </c>
      <c r="R125" s="107"/>
      <c r="S125" s="110">
        <f t="shared" si="39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 hidden="1">
      <c r="A126" t="str">
        <f t="shared" si="40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35"/>
        <v>0</v>
      </c>
      <c r="O126" s="41"/>
      <c r="P126" s="13"/>
      <c r="Q126" s="33">
        <v>0</v>
      </c>
      <c r="R126" s="41"/>
      <c r="S126" s="85">
        <f t="shared" si="39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>+B127&amp;C127</f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5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5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5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ref="A130:A148" si="41">+B130&amp;C130</f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4186.1466512953612</v>
      </c>
      <c r="G130" s="83"/>
      <c r="H130" s="13"/>
      <c r="I130" s="30"/>
      <c r="J130" s="41"/>
      <c r="K130" s="13"/>
      <c r="L130" s="33">
        <v>4453.6400000000003</v>
      </c>
      <c r="M130" s="41"/>
      <c r="N130" s="59">
        <f t="shared" si="35"/>
        <v>267.49334870463917</v>
      </c>
      <c r="O130" s="41"/>
      <c r="P130" s="13"/>
      <c r="Q130" s="33">
        <v>4551.4399999999996</v>
      </c>
      <c r="R130" s="41"/>
      <c r="S130" s="85">
        <f>L130-Q130</f>
        <v>-97.799999999999272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41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4797.5506812600852</v>
      </c>
      <c r="G131" s="106"/>
      <c r="H131" s="105"/>
      <c r="I131" s="54"/>
      <c r="J131" s="107"/>
      <c r="K131" s="105"/>
      <c r="L131" s="55">
        <v>6595.11</v>
      </c>
      <c r="M131" s="107"/>
      <c r="N131" s="109">
        <f t="shared" si="35"/>
        <v>1797.5593187399145</v>
      </c>
      <c r="O131" s="107"/>
      <c r="P131" s="105"/>
      <c r="Q131" s="55">
        <v>6104.86</v>
      </c>
      <c r="R131" s="107"/>
      <c r="S131" s="110">
        <f t="shared" ref="S131:S148" si="42">L131-Q131</f>
        <v>490.25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41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2515.2445007957563</v>
      </c>
      <c r="G132" s="83"/>
      <c r="H132" s="13"/>
      <c r="I132" s="30"/>
      <c r="J132" s="41"/>
      <c r="K132" s="13"/>
      <c r="L132" s="33">
        <v>2486.52</v>
      </c>
      <c r="M132" s="41"/>
      <c r="N132" s="59">
        <f t="shared" si="35"/>
        <v>-28.724500795756285</v>
      </c>
      <c r="O132" s="41"/>
      <c r="P132" s="13"/>
      <c r="Q132" s="33">
        <v>2606.46</v>
      </c>
      <c r="R132" s="41"/>
      <c r="S132" s="85">
        <f t="shared" si="42"/>
        <v>-119.94000000000005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41"/>
        <v>Véhicules usagésCsst</v>
      </c>
      <c r="B133" s="11" t="s">
        <v>70</v>
      </c>
      <c r="C133" s="102" t="s">
        <v>47</v>
      </c>
      <c r="D133" s="81"/>
      <c r="E133" s="13"/>
      <c r="F133" s="30">
        <v>538.98096445623344</v>
      </c>
      <c r="G133" s="83"/>
      <c r="H133" s="13"/>
      <c r="I133" s="30"/>
      <c r="J133" s="41"/>
      <c r="K133" s="13"/>
      <c r="L133" s="33">
        <v>1023.73</v>
      </c>
      <c r="M133" s="41"/>
      <c r="N133" s="59">
        <f t="shared" si="35"/>
        <v>484.74903554376658</v>
      </c>
      <c r="O133" s="41"/>
      <c r="P133" s="13"/>
      <c r="Q133" s="33">
        <v>871.7</v>
      </c>
      <c r="R133" s="41"/>
      <c r="S133" s="85">
        <f t="shared" si="42"/>
        <v>152.02999999999997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41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35"/>
        <v>0</v>
      </c>
      <c r="O134" s="23"/>
      <c r="P134" s="111"/>
      <c r="Q134" s="33">
        <v>0</v>
      </c>
      <c r="R134" s="23"/>
      <c r="S134" s="92">
        <f t="shared" si="42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41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0.26122147899933651</v>
      </c>
      <c r="F135" s="96">
        <f>+SUM(F123:F134)</f>
        <v>22478.108267892909</v>
      </c>
      <c r="G135" s="97"/>
      <c r="H135" s="95"/>
      <c r="I135" s="96"/>
      <c r="J135" s="97" t="s">
        <v>38</v>
      </c>
      <c r="K135" s="95">
        <f>L135/L$108</f>
        <v>0.26907214430919169</v>
      </c>
      <c r="L135" s="96">
        <f>SUM(L123:L134)</f>
        <v>24326.600000000002</v>
      </c>
      <c r="M135" s="463"/>
      <c r="N135" s="464">
        <f t="shared" si="35"/>
        <v>1848.4917321070934</v>
      </c>
      <c r="O135" s="97" t="s">
        <v>38</v>
      </c>
      <c r="P135" s="95">
        <f>Q135/Q$108</f>
        <v>0.29860069179008286</v>
      </c>
      <c r="Q135" s="96">
        <f>+SUM(Q123:Q134)</f>
        <v>24490.959999999999</v>
      </c>
      <c r="R135" s="147"/>
      <c r="S135" s="114">
        <f t="shared" si="42"/>
        <v>-164.35999999999694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 hidden="1">
      <c r="A136" t="str">
        <f t="shared" si="41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35"/>
        <v>0</v>
      </c>
      <c r="O136" s="41"/>
      <c r="P136" s="13"/>
      <c r="Q136" s="33">
        <v>0</v>
      </c>
      <c r="R136" s="41"/>
      <c r="S136" s="85">
        <f t="shared" si="42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 hidden="1">
      <c r="A137" t="str">
        <f t="shared" si="41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5"/>
        <v>0</v>
      </c>
      <c r="O137" s="41"/>
      <c r="P137" s="13"/>
      <c r="Q137" s="33">
        <v>0</v>
      </c>
      <c r="R137" s="41"/>
      <c r="S137" s="85">
        <f t="shared" si="42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41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943.63333333333344</v>
      </c>
      <c r="G138" s="89"/>
      <c r="H138" s="111"/>
      <c r="I138" s="22"/>
      <c r="J138" s="23"/>
      <c r="K138" s="111"/>
      <c r="L138" s="22">
        <v>993.36</v>
      </c>
      <c r="M138" s="23"/>
      <c r="N138" s="91">
        <f t="shared" si="35"/>
        <v>49.726666666666574</v>
      </c>
      <c r="O138" s="23"/>
      <c r="P138" s="111"/>
      <c r="Q138" s="22">
        <v>1261.03</v>
      </c>
      <c r="R138" s="23"/>
      <c r="S138" s="92">
        <f t="shared" si="42"/>
        <v>-267.66999999999996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41"/>
        <v>Véhicules usagésInformatique</v>
      </c>
      <c r="B139" s="11" t="s">
        <v>70</v>
      </c>
      <c r="C139" s="29" t="s">
        <v>52</v>
      </c>
      <c r="D139" s="81"/>
      <c r="E139" s="13"/>
      <c r="F139" s="30">
        <v>1425.4</v>
      </c>
      <c r="G139" s="83"/>
      <c r="H139" s="13"/>
      <c r="I139" s="30"/>
      <c r="J139" s="41"/>
      <c r="K139" s="13"/>
      <c r="L139" s="33">
        <v>1959.03</v>
      </c>
      <c r="M139" s="41"/>
      <c r="N139" s="59">
        <f t="shared" si="35"/>
        <v>533.62999999999988</v>
      </c>
      <c r="O139" s="41"/>
      <c r="P139" s="13"/>
      <c r="Q139" s="33">
        <v>1819.08</v>
      </c>
      <c r="R139" s="41"/>
      <c r="S139" s="85">
        <f t="shared" si="42"/>
        <v>139.95000000000005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41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183.33333333333334</v>
      </c>
      <c r="G140" s="83"/>
      <c r="H140" s="13"/>
      <c r="I140" s="30"/>
      <c r="J140" s="41"/>
      <c r="K140" s="13"/>
      <c r="L140" s="33">
        <v>110.32</v>
      </c>
      <c r="M140" s="41"/>
      <c r="N140" s="59">
        <f t="shared" si="35"/>
        <v>-73.01333333333335</v>
      </c>
      <c r="O140" s="41"/>
      <c r="P140" s="13"/>
      <c r="Q140" s="33">
        <v>181.56</v>
      </c>
      <c r="R140" s="41"/>
      <c r="S140" s="85">
        <f t="shared" si="42"/>
        <v>-71.240000000000009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41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736.6</v>
      </c>
      <c r="G141" s="89"/>
      <c r="H141" s="111"/>
      <c r="I141" s="22"/>
      <c r="J141" s="23"/>
      <c r="K141" s="111"/>
      <c r="L141" s="22">
        <v>758.08</v>
      </c>
      <c r="M141" s="23"/>
      <c r="N141" s="91">
        <f t="shared" si="35"/>
        <v>21.480000000000018</v>
      </c>
      <c r="O141" s="23"/>
      <c r="P141" s="111"/>
      <c r="Q141" s="22">
        <v>898.12</v>
      </c>
      <c r="R141" s="23"/>
      <c r="S141" s="92">
        <f t="shared" si="42"/>
        <v>-140.03999999999996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41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17.5</v>
      </c>
      <c r="G142" s="83"/>
      <c r="H142" s="13"/>
      <c r="I142" s="30"/>
      <c r="J142" s="41"/>
      <c r="K142" s="13"/>
      <c r="L142" s="33">
        <v>0</v>
      </c>
      <c r="M142" s="41"/>
      <c r="N142" s="59">
        <f t="shared" si="35"/>
        <v>-17.5</v>
      </c>
      <c r="O142" s="41"/>
      <c r="P142" s="13"/>
      <c r="Q142" s="33">
        <v>0</v>
      </c>
      <c r="R142" s="41"/>
      <c r="S142" s="85">
        <f t="shared" si="42"/>
        <v>0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41"/>
        <v>Véhicules usagésUniformes</v>
      </c>
      <c r="B143" s="11" t="s">
        <v>70</v>
      </c>
      <c r="C143" s="29" t="s">
        <v>56</v>
      </c>
      <c r="D143" s="81"/>
      <c r="E143" s="13"/>
      <c r="F143" s="30">
        <v>10</v>
      </c>
      <c r="G143" s="83"/>
      <c r="H143" s="13"/>
      <c r="I143" s="30"/>
      <c r="J143" s="41"/>
      <c r="K143" s="13"/>
      <c r="L143" s="33">
        <v>0</v>
      </c>
      <c r="M143" s="41"/>
      <c r="N143" s="59">
        <f t="shared" si="35"/>
        <v>-10</v>
      </c>
      <c r="O143" s="41"/>
      <c r="P143" s="13"/>
      <c r="Q143" s="33">
        <v>0</v>
      </c>
      <c r="R143" s="41"/>
      <c r="S143" s="85">
        <f t="shared" si="42"/>
        <v>0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41"/>
        <v>Véhicules usagésPapeterie</v>
      </c>
      <c r="B144" s="11" t="s">
        <v>70</v>
      </c>
      <c r="C144" s="29" t="s">
        <v>57</v>
      </c>
      <c r="D144" s="81"/>
      <c r="E144" s="13"/>
      <c r="F144" s="30">
        <v>157.5</v>
      </c>
      <c r="G144" s="83"/>
      <c r="H144" s="13"/>
      <c r="I144" s="30"/>
      <c r="J144" s="41"/>
      <c r="K144" s="13"/>
      <c r="L144" s="32">
        <v>81.81</v>
      </c>
      <c r="M144" s="41"/>
      <c r="N144" s="59">
        <f t="shared" si="35"/>
        <v>-75.69</v>
      </c>
      <c r="O144" s="41"/>
      <c r="P144" s="13"/>
      <c r="Q144" s="32">
        <v>294.20999999999998</v>
      </c>
      <c r="R144" s="41"/>
      <c r="S144" s="85">
        <f t="shared" si="42"/>
        <v>-212.39999999999998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41"/>
        <v>Véhicules usagésTéléphone</v>
      </c>
      <c r="B145" s="11" t="s">
        <v>70</v>
      </c>
      <c r="C145" s="29" t="s">
        <v>58</v>
      </c>
      <c r="D145" s="81"/>
      <c r="E145" s="13"/>
      <c r="F145" s="30">
        <v>63.2</v>
      </c>
      <c r="G145" s="83"/>
      <c r="H145" s="13"/>
      <c r="I145" s="30"/>
      <c r="J145" s="41"/>
      <c r="K145" s="13"/>
      <c r="L145" s="33">
        <v>67.569999999999993</v>
      </c>
      <c r="M145" s="41"/>
      <c r="N145" s="59">
        <f t="shared" si="35"/>
        <v>4.3699999999999903</v>
      </c>
      <c r="O145" s="41"/>
      <c r="P145" s="13"/>
      <c r="Q145" s="33">
        <v>86.42</v>
      </c>
      <c r="R145" s="41"/>
      <c r="S145" s="85">
        <f t="shared" si="42"/>
        <v>-18.850000000000009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41"/>
        <v>Véhicules usagésFrais postaux</v>
      </c>
      <c r="B146" s="11" t="s">
        <v>70</v>
      </c>
      <c r="C146" s="29" t="s">
        <v>59</v>
      </c>
      <c r="D146" s="81"/>
      <c r="E146" s="13"/>
      <c r="F146" s="30">
        <v>45</v>
      </c>
      <c r="G146" s="83"/>
      <c r="H146" s="13"/>
      <c r="I146" s="30"/>
      <c r="J146" s="41"/>
      <c r="K146" s="13"/>
      <c r="L146" s="33">
        <v>81.459999999999994</v>
      </c>
      <c r="M146" s="41"/>
      <c r="N146" s="59">
        <f t="shared" si="35"/>
        <v>36.459999999999994</v>
      </c>
      <c r="O146" s="41"/>
      <c r="P146" s="13"/>
      <c r="Q146" s="33">
        <v>317.89</v>
      </c>
      <c r="R146" s="41"/>
      <c r="S146" s="85">
        <f t="shared" si="42"/>
        <v>-236.43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41"/>
        <v>Véhicules usagésDivers</v>
      </c>
      <c r="B147" s="11" t="s">
        <v>70</v>
      </c>
      <c r="C147" s="29" t="s">
        <v>60</v>
      </c>
      <c r="D147" s="81"/>
      <c r="E147" s="13"/>
      <c r="F147" s="30">
        <v>174.10000000000002</v>
      </c>
      <c r="G147" s="83"/>
      <c r="H147" s="13"/>
      <c r="I147" s="30"/>
      <c r="J147" s="41"/>
      <c r="K147" s="13"/>
      <c r="L147" s="33">
        <v>192.60000000000002</v>
      </c>
      <c r="M147" s="41"/>
      <c r="N147" s="59">
        <f t="shared" si="35"/>
        <v>18.5</v>
      </c>
      <c r="O147" s="41"/>
      <c r="P147" s="13"/>
      <c r="Q147" s="33">
        <v>144.6</v>
      </c>
      <c r="R147" s="41"/>
      <c r="S147" s="85">
        <f t="shared" si="42"/>
        <v>48.000000000000028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41"/>
        <v>Véhicules usagésFormation</v>
      </c>
      <c r="B148" s="11" t="s">
        <v>70</v>
      </c>
      <c r="C148" s="29" t="s">
        <v>61</v>
      </c>
      <c r="D148" s="81"/>
      <c r="E148" s="13"/>
      <c r="F148" s="30">
        <v>124.04077999999998</v>
      </c>
      <c r="G148" s="83"/>
      <c r="H148" s="13"/>
      <c r="I148" s="30"/>
      <c r="J148" s="41"/>
      <c r="K148" s="13"/>
      <c r="L148" s="59">
        <v>16.29</v>
      </c>
      <c r="M148" s="41"/>
      <c r="N148" s="59">
        <f t="shared" si="35"/>
        <v>-107.75077999999999</v>
      </c>
      <c r="O148" s="41"/>
      <c r="P148" s="13"/>
      <c r="Q148" s="33">
        <v>-198.8</v>
      </c>
      <c r="R148" s="41"/>
      <c r="S148" s="85">
        <f t="shared" si="42"/>
        <v>215.09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>+B149&amp;C149</f>
        <v>Véhicules usagésFrais bancaires</v>
      </c>
      <c r="B149" s="11" t="s">
        <v>70</v>
      </c>
      <c r="C149" s="29" t="s">
        <v>62</v>
      </c>
      <c r="D149" s="81"/>
      <c r="E149" s="13"/>
      <c r="F149" s="30">
        <v>940.425877335427</v>
      </c>
      <c r="G149" s="83"/>
      <c r="H149" s="13"/>
      <c r="I149" s="30"/>
      <c r="J149" s="41"/>
      <c r="K149" s="13"/>
      <c r="L149" s="33">
        <v>975.21</v>
      </c>
      <c r="M149" s="41"/>
      <c r="N149" s="59">
        <f t="shared" si="35"/>
        <v>34.784122664573033</v>
      </c>
      <c r="O149" s="41"/>
      <c r="P149" s="13"/>
      <c r="Q149" s="33">
        <v>913.13</v>
      </c>
      <c r="R149" s="41"/>
      <c r="S149" s="85">
        <f>L149-Q149</f>
        <v>62.080000000000041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>+B150&amp;C150</f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35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5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5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ref="A153:A158" si="43">+B153&amp;C153</f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5.6022467449181795E-2</v>
      </c>
      <c r="F153" s="96">
        <f>+SUM(F136:F152)</f>
        <v>4820.7333240020935</v>
      </c>
      <c r="G153" s="97"/>
      <c r="H153" s="95"/>
      <c r="I153" s="96"/>
      <c r="J153" s="97" t="s">
        <v>38</v>
      </c>
      <c r="K153" s="95">
        <f>L153/L$108</f>
        <v>5.7911467205608851E-2</v>
      </c>
      <c r="L153" s="96">
        <f>+SUM(L136:L152)</f>
        <v>5235.7300000000005</v>
      </c>
      <c r="M153" s="100"/>
      <c r="N153" s="96">
        <f t="shared" si="35"/>
        <v>414.996675997907</v>
      </c>
      <c r="O153" s="97" t="s">
        <v>38</v>
      </c>
      <c r="P153" s="95">
        <f>Q153/Q$108</f>
        <v>6.9706202579642995E-2</v>
      </c>
      <c r="Q153" s="96">
        <f>+SUM(Q136:Q152)</f>
        <v>5717.2400000000007</v>
      </c>
      <c r="R153" s="100"/>
      <c r="S153" s="101">
        <f>L153-Q153</f>
        <v>-481.51000000000022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43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43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0.80277021525811609</v>
      </c>
      <c r="F155" s="96">
        <f>F122+F135+F153</f>
        <v>69078.377022960893</v>
      </c>
      <c r="G155" s="97"/>
      <c r="H155" s="95"/>
      <c r="I155" s="96"/>
      <c r="J155" s="97" t="s">
        <v>38</v>
      </c>
      <c r="K155" s="95">
        <f>L155/L$108</f>
        <v>0.7336096621129643</v>
      </c>
      <c r="L155" s="96">
        <f>L122+L135+L153</f>
        <v>66325.069999999992</v>
      </c>
      <c r="M155" s="100"/>
      <c r="N155" s="113">
        <f t="shared" ref="N155:N162" si="44">L155-F155</f>
        <v>-2753.3070229609002</v>
      </c>
      <c r="O155" s="97" t="s">
        <v>38</v>
      </c>
      <c r="P155" s="95">
        <f>Q155/Q$108</f>
        <v>1.0224993934339679</v>
      </c>
      <c r="Q155" s="96">
        <f>Q122+Q135+Q153</f>
        <v>83864.48000000001</v>
      </c>
      <c r="R155" s="100"/>
      <c r="S155" s="114">
        <f t="shared" ref="S155:S162" si="45">L155-Q155</f>
        <v>-17539.410000000018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43"/>
        <v>Véhicules usagésRBSC used</v>
      </c>
      <c r="B156" s="11" t="s">
        <v>70</v>
      </c>
      <c r="C156" s="29" t="s">
        <v>218</v>
      </c>
      <c r="D156" s="149"/>
      <c r="E156" s="150"/>
      <c r="F156" s="30">
        <v>3000</v>
      </c>
      <c r="G156" s="151"/>
      <c r="H156" s="150"/>
      <c r="I156" s="30"/>
      <c r="J156" s="151"/>
      <c r="K156" s="150"/>
      <c r="L156" s="32">
        <v>0</v>
      </c>
      <c r="M156" s="41"/>
      <c r="N156" s="59">
        <f t="shared" si="44"/>
        <v>-3000</v>
      </c>
      <c r="O156" s="151"/>
      <c r="P156" s="150"/>
      <c r="Q156" s="33">
        <v>2250</v>
      </c>
      <c r="R156" s="41"/>
      <c r="S156" s="85">
        <f t="shared" si="45"/>
        <v>-2250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43"/>
        <v>Véhicules usagésProgramme 360</v>
      </c>
      <c r="B157" s="11" t="s">
        <v>70</v>
      </c>
      <c r="C157" s="29" t="s">
        <v>219</v>
      </c>
      <c r="D157" s="149"/>
      <c r="E157" s="150"/>
      <c r="F157" s="30">
        <v>1072</v>
      </c>
      <c r="G157" s="151"/>
      <c r="H157" s="150"/>
      <c r="I157" s="30"/>
      <c r="J157" s="151"/>
      <c r="K157" s="150"/>
      <c r="L157" s="33">
        <v>0</v>
      </c>
      <c r="M157" s="41"/>
      <c r="N157" s="59">
        <f t="shared" si="44"/>
        <v>-1072</v>
      </c>
      <c r="O157" s="151"/>
      <c r="P157" s="150"/>
      <c r="Q157" s="33">
        <v>0</v>
      </c>
      <c r="R157" s="41"/>
      <c r="S157" s="85">
        <f t="shared" si="45"/>
        <v>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43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44"/>
        <v>0</v>
      </c>
      <c r="O158" s="41"/>
      <c r="P158" s="13"/>
      <c r="Q158" s="33">
        <v>0</v>
      </c>
      <c r="R158" s="41"/>
      <c r="S158" s="85">
        <f t="shared" si="45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11852.4</v>
      </c>
      <c r="G159" s="83"/>
      <c r="H159" s="13"/>
      <c r="I159" s="30"/>
      <c r="J159" s="41"/>
      <c r="K159" s="13"/>
      <c r="L159" s="32">
        <v>8330</v>
      </c>
      <c r="M159" s="41"/>
      <c r="N159" s="59">
        <f t="shared" si="44"/>
        <v>-3522.3999999999996</v>
      </c>
      <c r="O159" s="41"/>
      <c r="P159" s="13"/>
      <c r="Q159" s="33">
        <v>10710</v>
      </c>
      <c r="R159" s="41"/>
      <c r="S159" s="85">
        <f t="shared" si="45"/>
        <v>-2380</v>
      </c>
      <c r="T159" s="112"/>
      <c r="U159" s="13"/>
      <c r="V159" s="11">
        <f>L159/595</f>
        <v>14</v>
      </c>
      <c r="W159" s="489">
        <f>V159/J97</f>
        <v>0.93333333333333335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4"/>
        <v>0</v>
      </c>
      <c r="O160" s="41"/>
      <c r="P160" s="13"/>
      <c r="Q160" s="33">
        <v>0</v>
      </c>
      <c r="R160" s="41"/>
      <c r="S160" s="85">
        <f t="shared" si="45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4"/>
        <v>0</v>
      </c>
      <c r="O161" s="41"/>
      <c r="P161" s="13"/>
      <c r="Q161" s="33">
        <v>0</v>
      </c>
      <c r="R161" s="41"/>
      <c r="S161" s="85">
        <f t="shared" si="45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4"/>
        <v>0</v>
      </c>
      <c r="O162" s="41"/>
      <c r="P162" s="13"/>
      <c r="Q162" s="33">
        <v>0</v>
      </c>
      <c r="R162" s="41"/>
      <c r="S162" s="85">
        <f t="shared" si="45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15924.4</v>
      </c>
      <c r="G163" s="97"/>
      <c r="H163" s="95"/>
      <c r="I163" s="96"/>
      <c r="J163" s="97"/>
      <c r="K163" s="95"/>
      <c r="L163" s="96">
        <f>+SUM(L156:L162)</f>
        <v>8330</v>
      </c>
      <c r="M163" s="100"/>
      <c r="N163" s="96">
        <f>SUM(N156:N159)</f>
        <v>-7594.4</v>
      </c>
      <c r="O163" s="97"/>
      <c r="P163" s="95"/>
      <c r="Q163" s="96">
        <f>+SUM(Q156:Q162)</f>
        <v>12960</v>
      </c>
      <c r="R163" s="100"/>
      <c r="S163" s="101">
        <f>+SUM(S156:S162)</f>
        <v>-4630</v>
      </c>
      <c r="T163" s="11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32896.022977039109</v>
      </c>
      <c r="G165" s="153"/>
      <c r="H165" s="125"/>
      <c r="I165" s="127"/>
      <c r="J165" s="154"/>
      <c r="K165" s="126"/>
      <c r="L165" s="127">
        <f>L108-L155+L163</f>
        <v>32414.139999999956</v>
      </c>
      <c r="M165" s="154"/>
      <c r="N165" s="127">
        <f>L165-F165</f>
        <v>-481.88297703915305</v>
      </c>
      <c r="O165" s="154"/>
      <c r="P165" s="126"/>
      <c r="Q165" s="127">
        <f>Q108-Q155+Q163</f>
        <v>11114.620000000039</v>
      </c>
      <c r="R165" s="154"/>
      <c r="S165" s="129">
        <f>L165-Q165</f>
        <v>21299.519999999917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Mai 2025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507" t="s">
        <v>5</v>
      </c>
      <c r="E170" s="508"/>
      <c r="F170" s="509"/>
      <c r="G170" s="510"/>
      <c r="H170" s="508"/>
      <c r="I170" s="509"/>
      <c r="J170" s="510" t="s">
        <v>7</v>
      </c>
      <c r="K170" s="508"/>
      <c r="L170" s="509"/>
      <c r="M170" s="510" t="s">
        <v>213</v>
      </c>
      <c r="N170" s="509"/>
      <c r="O170" s="507" t="s">
        <v>8</v>
      </c>
      <c r="P170" s="508"/>
      <c r="Q170" s="509"/>
      <c r="R170" s="505" t="s">
        <v>214</v>
      </c>
      <c r="S170" s="506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16" si="46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46"/>
        <v>ServiceM/O Client</v>
      </c>
      <c r="B172" s="11" t="s">
        <v>78</v>
      </c>
      <c r="C172" s="29" t="s">
        <v>81</v>
      </c>
      <c r="D172" s="491">
        <v>321.14307481427102</v>
      </c>
      <c r="E172" s="82">
        <v>109188.64543685214</v>
      </c>
      <c r="F172" s="82">
        <v>85603.898022492082</v>
      </c>
      <c r="G172" s="156"/>
      <c r="H172" s="82"/>
      <c r="I172" s="82"/>
      <c r="J172" s="60">
        <v>247</v>
      </c>
      <c r="K172" s="30">
        <v>83486.51999999999</v>
      </c>
      <c r="L172" s="33">
        <v>66185.599999999991</v>
      </c>
      <c r="M172" s="157">
        <f>(K172-E172)/E172</f>
        <v>-0.23539192499385519</v>
      </c>
      <c r="N172" s="59">
        <f>L172-F172</f>
        <v>-19418.29802249209</v>
      </c>
      <c r="O172" s="60">
        <v>279</v>
      </c>
      <c r="P172" s="30">
        <v>100412.12</v>
      </c>
      <c r="Q172" s="33">
        <v>80544.949999999895</v>
      </c>
      <c r="R172" s="157">
        <f>IF(O172=0,0,J172/O172)</f>
        <v>0.88530465949820791</v>
      </c>
      <c r="S172" s="85">
        <f>L172-Q172</f>
        <v>-14359.349999999904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46"/>
        <v>Service% profit / ventes</v>
      </c>
      <c r="B173" s="11" t="s">
        <v>78</v>
      </c>
      <c r="C173" s="29" t="s">
        <v>82</v>
      </c>
      <c r="D173" s="491"/>
      <c r="E173" s="144"/>
      <c r="F173" s="158">
        <f>F172/E172</f>
        <v>0.78400000000000003</v>
      </c>
      <c r="G173" s="41"/>
      <c r="H173" s="144"/>
      <c r="I173" s="158"/>
      <c r="J173" s="60"/>
      <c r="K173" s="13"/>
      <c r="L173" s="158">
        <f>IF(L172=0,0,L172/K172)</f>
        <v>0.79276989866148451</v>
      </c>
      <c r="M173" s="157"/>
      <c r="N173" s="59"/>
      <c r="O173" s="60"/>
      <c r="P173" s="13"/>
      <c r="Q173" s="158">
        <f>Q172/P172</f>
        <v>0.80214370536146329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46"/>
        <v>Service</v>
      </c>
      <c r="B174" s="11" t="s">
        <v>78</v>
      </c>
      <c r="C174" s="86"/>
      <c r="D174" s="492"/>
      <c r="E174" s="159">
        <f>IFERROR(E172/D172,0)</f>
        <v>340</v>
      </c>
      <c r="F174" s="160"/>
      <c r="G174" s="23"/>
      <c r="H174" s="159"/>
      <c r="I174" s="160"/>
      <c r="J174" s="161"/>
      <c r="K174" s="465">
        <f>IFERROR(K172/J172,0)</f>
        <v>338.00210526315783</v>
      </c>
      <c r="L174" s="160"/>
      <c r="M174" s="162"/>
      <c r="N174" s="91"/>
      <c r="O174" s="161"/>
      <c r="P174" s="465">
        <f>IFERROR(P172/O172,0)</f>
        <v>359.90007168458777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46"/>
        <v>ServiceM/O Garantie</v>
      </c>
      <c r="B175" s="11" t="s">
        <v>78</v>
      </c>
      <c r="C175" s="14" t="s">
        <v>83</v>
      </c>
      <c r="D175" s="493">
        <v>175.25955166797965</v>
      </c>
      <c r="E175" s="82">
        <v>25587.894543525032</v>
      </c>
      <c r="F175" s="82">
        <v>16376.252507856021</v>
      </c>
      <c r="G175" s="164"/>
      <c r="H175" s="82"/>
      <c r="I175" s="82"/>
      <c r="J175" s="164">
        <v>220</v>
      </c>
      <c r="K175" s="165">
        <v>39106.79</v>
      </c>
      <c r="L175" s="33">
        <v>25490.150000000005</v>
      </c>
      <c r="M175" s="157">
        <f>(K175-E175)/E175</f>
        <v>0.52833168565234301</v>
      </c>
      <c r="N175" s="109">
        <f>L175-F175</f>
        <v>9113.897492143984</v>
      </c>
      <c r="O175" s="164">
        <v>206</v>
      </c>
      <c r="P175" s="165">
        <v>24712.68</v>
      </c>
      <c r="Q175" s="33">
        <v>16544.599999999999</v>
      </c>
      <c r="R175" s="157">
        <f>IF(O175=0,0,J175/O175)</f>
        <v>1.0679611650485437</v>
      </c>
      <c r="S175" s="85">
        <f>L175-Q175</f>
        <v>8945.5500000000065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46"/>
        <v>Service% profit / ventes</v>
      </c>
      <c r="B176" s="11" t="s">
        <v>78</v>
      </c>
      <c r="C176" s="29" t="s">
        <v>82</v>
      </c>
      <c r="D176" s="491"/>
      <c r="E176" s="13"/>
      <c r="F176" s="158">
        <f>F175/E175</f>
        <v>0.64</v>
      </c>
      <c r="G176" s="41"/>
      <c r="H176" s="13"/>
      <c r="I176" s="158"/>
      <c r="J176" s="41"/>
      <c r="K176" s="13"/>
      <c r="L176" s="158">
        <f>IF(L175=0,0,L175/K175)</f>
        <v>0.6518088035351407</v>
      </c>
      <c r="M176" s="42"/>
      <c r="N176" s="43"/>
      <c r="O176" s="41"/>
      <c r="P176" s="13"/>
      <c r="Q176" s="158">
        <f>Q175/P175</f>
        <v>0.66947817881346738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46"/>
        <v>Service</v>
      </c>
      <c r="B177" s="11" t="s">
        <v>78</v>
      </c>
      <c r="C177" s="86"/>
      <c r="D177" s="492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>
        <f>IFERROR(P175/O175,0)</f>
        <v>119.96446601941747</v>
      </c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46"/>
        <v>ServiceM/O Interne</v>
      </c>
      <c r="B178" s="11" t="s">
        <v>78</v>
      </c>
      <c r="C178" s="29" t="s">
        <v>84</v>
      </c>
      <c r="D178" s="491">
        <v>243.89259071980393</v>
      </c>
      <c r="E178" s="82">
        <v>58534.22177275295</v>
      </c>
      <c r="F178" s="82">
        <v>39510.599696608246</v>
      </c>
      <c r="G178" s="41"/>
      <c r="H178" s="82"/>
      <c r="I178" s="82"/>
      <c r="J178" s="60">
        <v>172</v>
      </c>
      <c r="K178" s="165">
        <v>85427.169999999969</v>
      </c>
      <c r="L178" s="33">
        <v>66309.999999999971</v>
      </c>
      <c r="M178" s="157">
        <f>(K178-E178)/E178</f>
        <v>0.45943975016279104</v>
      </c>
      <c r="N178" s="59">
        <f>L178-F178</f>
        <v>26799.400303391725</v>
      </c>
      <c r="O178" s="60">
        <v>250</v>
      </c>
      <c r="P178" s="165">
        <v>63177.869999999901</v>
      </c>
      <c r="Q178" s="33">
        <v>39665.360000000001</v>
      </c>
      <c r="R178" s="157">
        <f>IF(O178=0,0,J178/O178)</f>
        <v>0.68799999999999994</v>
      </c>
      <c r="S178" s="85">
        <f>L178-Q178</f>
        <v>26644.63999999997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46"/>
        <v>Service% profit / ventes</v>
      </c>
      <c r="B179" s="11" t="s">
        <v>78</v>
      </c>
      <c r="C179" s="29" t="s">
        <v>82</v>
      </c>
      <c r="D179" s="491"/>
      <c r="E179" s="144"/>
      <c r="F179" s="158">
        <f>F178/E178</f>
        <v>0.67500000000000004</v>
      </c>
      <c r="G179" s="41"/>
      <c r="H179" s="144"/>
      <c r="I179" s="158"/>
      <c r="J179" s="60"/>
      <c r="K179" s="144"/>
      <c r="L179" s="158">
        <f>IF(L178=0,0,L178/K178)</f>
        <v>0.77621674696703635</v>
      </c>
      <c r="M179" s="157"/>
      <c r="N179" s="59">
        <f>L179-F179</f>
        <v>0.10121674696703631</v>
      </c>
      <c r="O179" s="60"/>
      <c r="P179" s="144"/>
      <c r="Q179" s="158">
        <f>Q178/P178</f>
        <v>0.62783629774159944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46"/>
        <v>Service</v>
      </c>
      <c r="B180" s="11" t="s">
        <v>78</v>
      </c>
      <c r="C180" s="29"/>
      <c r="D180" s="491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>
        <f>IFERROR(P178/O178,0)</f>
        <v>252.7114799999996</v>
      </c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46"/>
        <v>ServiceM/O Esthétique</v>
      </c>
      <c r="B181" s="11" t="s">
        <v>78</v>
      </c>
      <c r="C181" s="14" t="s">
        <v>85</v>
      </c>
      <c r="D181" s="493">
        <v>102.48187772818552</v>
      </c>
      <c r="E181" s="82">
        <v>20496.375545637104</v>
      </c>
      <c r="F181" s="82">
        <v>8198.5502182548425</v>
      </c>
      <c r="G181" s="107"/>
      <c r="H181" s="82"/>
      <c r="I181" s="82"/>
      <c r="J181" s="164">
        <v>60</v>
      </c>
      <c r="K181" s="165">
        <v>13150.830000000002</v>
      </c>
      <c r="L181" s="108">
        <v>9055.4800000000032</v>
      </c>
      <c r="M181" s="173">
        <f>IF(E181=0,0,(K181-E181)/E181)</f>
        <v>-0.35838265791342255</v>
      </c>
      <c r="N181" s="109">
        <f>L181-F181</f>
        <v>856.92978174516065</v>
      </c>
      <c r="O181" s="164">
        <v>86</v>
      </c>
      <c r="P181" s="165">
        <v>16422.669999999998</v>
      </c>
      <c r="Q181" s="108">
        <v>6604.41</v>
      </c>
      <c r="R181" s="157">
        <f>IF(O181=0,0,J181/O181)</f>
        <v>0.69767441860465118</v>
      </c>
      <c r="S181" s="110">
        <f>L181-Q181</f>
        <v>2451.0700000000033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46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0.40000000000000008</v>
      </c>
      <c r="G182" s="78"/>
      <c r="H182" s="174"/>
      <c r="I182" s="158"/>
      <c r="J182" s="175"/>
      <c r="K182" s="174"/>
      <c r="L182" s="158">
        <f>IF(L181=0,0,L181/K181)</f>
        <v>0.68858619570019552</v>
      </c>
      <c r="M182" s="60">
        <f>J182-D182</f>
        <v>0</v>
      </c>
      <c r="N182" s="176"/>
      <c r="O182" s="175"/>
      <c r="P182" s="174"/>
      <c r="Q182" s="158">
        <f>IFERROR(Q181/P181,0)</f>
        <v>0.40215202521879817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46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>
        <f>IFERROR(P181/O181,0)</f>
        <v>190.96127906976741</v>
      </c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46"/>
        <v>ServiceAjustement M/O</v>
      </c>
      <c r="B184" s="11" t="s">
        <v>78</v>
      </c>
      <c r="C184" s="29" t="s">
        <v>86</v>
      </c>
      <c r="D184" s="13"/>
      <c r="E184" s="13"/>
      <c r="F184" s="59">
        <v>-4086.663475344028</v>
      </c>
      <c r="G184" s="41"/>
      <c r="H184" s="82"/>
      <c r="I184" s="82"/>
      <c r="J184" s="60"/>
      <c r="K184" s="82"/>
      <c r="L184" s="82">
        <v>-3612.2400000000002</v>
      </c>
      <c r="M184" s="175"/>
      <c r="N184" s="59">
        <f>L184-F184</f>
        <v>474.42347534402779</v>
      </c>
      <c r="O184" s="60"/>
      <c r="P184" s="82"/>
      <c r="Q184" s="82">
        <v>-2669.26</v>
      </c>
      <c r="R184" s="184"/>
      <c r="S184" s="85">
        <f>L184-Q184</f>
        <v>-942.98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46"/>
        <v>ServiceSous-total M/O</v>
      </c>
      <c r="B185" s="11" t="s">
        <v>78</v>
      </c>
      <c r="C185" s="185" t="s">
        <v>87</v>
      </c>
      <c r="D185" s="186">
        <f>D172+D175+D178+D181+D184</f>
        <v>842.77709493024008</v>
      </c>
      <c r="E185" s="186">
        <f>E172+E175+E178+E181+E184</f>
        <v>213807.13729876722</v>
      </c>
      <c r="F185" s="187">
        <f>F172+F175+F178+F181+F184</f>
        <v>145602.63696986716</v>
      </c>
      <c r="G185" s="188"/>
      <c r="H185" s="186"/>
      <c r="I185" s="187"/>
      <c r="J185" s="188">
        <f>J172+J175+J178+J181+J184</f>
        <v>699</v>
      </c>
      <c r="K185" s="186">
        <f>K172+K175+K178+K181+K184</f>
        <v>221171.31</v>
      </c>
      <c r="L185" s="187">
        <f>L172+L175+L178+L181+L184</f>
        <v>163428.99</v>
      </c>
      <c r="M185" s="189">
        <f>(K185-E185)/E185</f>
        <v>3.4443063006555842E-2</v>
      </c>
      <c r="N185" s="187">
        <f>L185-F185</f>
        <v>17826.353030132828</v>
      </c>
      <c r="O185" s="188">
        <f t="shared" ref="O185:Q185" si="47">O172+O175+O178+O181+O184</f>
        <v>821</v>
      </c>
      <c r="P185" s="186">
        <f t="shared" si="47"/>
        <v>204725.33999999991</v>
      </c>
      <c r="Q185" s="187">
        <f t="shared" si="47"/>
        <v>140690.05999999991</v>
      </c>
      <c r="R185" s="42">
        <f>IF(O185=0,0,J185/O185)</f>
        <v>0.85140073081607792</v>
      </c>
      <c r="S185" s="190">
        <f>L185-Q185</f>
        <v>22738.93000000008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46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0.68099988994477167</v>
      </c>
      <c r="G186" s="194"/>
      <c r="H186" s="192"/>
      <c r="I186" s="43"/>
      <c r="J186" s="194"/>
      <c r="K186" s="443">
        <f>IF(J185=0,0,K185/J185)</f>
        <v>316.41103004291847</v>
      </c>
      <c r="L186" s="43">
        <f>IF(L185=0,0,L185/K185)</f>
        <v>0.73892490847931402</v>
      </c>
      <c r="M186" s="194"/>
      <c r="N186" s="193">
        <f>N185/F185</f>
        <v>0.12243152597450579</v>
      </c>
      <c r="O186" s="194"/>
      <c r="P186" s="443">
        <f>IF(O185=0,0,P185/O185)</f>
        <v>249.36095006090122</v>
      </c>
      <c r="Q186" s="43">
        <f>Q185/P185</f>
        <v>0.68721370788784608</v>
      </c>
      <c r="R186" s="194"/>
      <c r="S186" s="44">
        <f>IF(R185=0,0,S185/R185)</f>
        <v>26707.670286123128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46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46"/>
        <v>ServiceSous-traitement</v>
      </c>
      <c r="B188" s="11" t="s">
        <v>78</v>
      </c>
      <c r="C188" s="29" t="s">
        <v>89</v>
      </c>
      <c r="D188" s="82"/>
      <c r="E188" s="82">
        <v>7867.7006065373971</v>
      </c>
      <c r="F188" s="82">
        <v>904.78556975180072</v>
      </c>
      <c r="G188" s="60"/>
      <c r="H188" s="82"/>
      <c r="I188" s="82"/>
      <c r="J188" s="60"/>
      <c r="K188" s="30">
        <v>8149.76</v>
      </c>
      <c r="L188" s="33">
        <v>1530.75</v>
      </c>
      <c r="M188" s="84">
        <f>IF(E188=0,0,(K188-E188)/E188)</f>
        <v>3.5850295730398725E-2</v>
      </c>
      <c r="N188" s="59">
        <f>L188-F188</f>
        <v>625.96443024819928</v>
      </c>
      <c r="O188" s="60"/>
      <c r="P188" s="30">
        <v>5830.38</v>
      </c>
      <c r="Q188" s="33">
        <v>1140.3800000000001</v>
      </c>
      <c r="R188" s="157">
        <f>IF(O188=0,0,J188/O188)</f>
        <v>0</v>
      </c>
      <c r="S188" s="85">
        <f>L188-Q188</f>
        <v>390.36999999999989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46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0.115</v>
      </c>
      <c r="G189" s="41"/>
      <c r="H189" s="144"/>
      <c r="I189" s="158"/>
      <c r="J189" s="175"/>
      <c r="K189" s="174"/>
      <c r="L189" s="158">
        <f>IF(L188=0,0,L188/K188)</f>
        <v>0.18782761700958064</v>
      </c>
      <c r="M189" s="175"/>
      <c r="N189" s="176"/>
      <c r="O189" s="175"/>
      <c r="P189" s="174"/>
      <c r="Q189" s="158">
        <f>IFERROR(Q188/P188,0)</f>
        <v>0.19559274009584282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46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46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46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46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46"/>
        <v>ServiceTotal Mécanique</v>
      </c>
      <c r="B194" s="11" t="s">
        <v>78</v>
      </c>
      <c r="C194" s="62" t="s">
        <v>91</v>
      </c>
      <c r="D194" s="63"/>
      <c r="E194" s="63">
        <f>E185+E188+E191</f>
        <v>221674.83790530462</v>
      </c>
      <c r="F194" s="65">
        <f>F185+F188+F191</f>
        <v>146507.42253961897</v>
      </c>
      <c r="G194" s="66"/>
      <c r="H194" s="63"/>
      <c r="I194" s="65"/>
      <c r="J194" s="66"/>
      <c r="K194" s="63">
        <f>K185+K188+K191</f>
        <v>229321.07</v>
      </c>
      <c r="L194" s="65">
        <f>L185+L188+L191</f>
        <v>164959.74</v>
      </c>
      <c r="M194" s="206">
        <f>L195-F195</f>
        <v>5.8428279930117899E-2</v>
      </c>
      <c r="N194" s="65">
        <f>L194-F194</f>
        <v>18452.317460381018</v>
      </c>
      <c r="O194" s="66"/>
      <c r="P194" s="63">
        <f t="shared" ref="P194:Q194" si="48">P185+P188+P191</f>
        <v>210555.71999999991</v>
      </c>
      <c r="Q194" s="65">
        <f t="shared" si="48"/>
        <v>141830.43999999992</v>
      </c>
      <c r="R194" s="206">
        <f>L195-Q195</f>
        <v>4.5739149495202525E-2</v>
      </c>
      <c r="S194" s="68">
        <f>L194-Q194</f>
        <v>23129.300000000076</v>
      </c>
      <c r="T194" s="112"/>
      <c r="U194" s="13"/>
      <c r="V194" s="11" t="s">
        <v>221</v>
      </c>
      <c r="W194" s="497">
        <v>175049</v>
      </c>
      <c r="X194" s="490">
        <f>L194-W194</f>
        <v>-10089.260000000009</v>
      </c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46"/>
        <v>Service</v>
      </c>
      <c r="B195" s="11" t="s">
        <v>78</v>
      </c>
      <c r="C195" s="69"/>
      <c r="D195" s="70"/>
      <c r="E195" s="70"/>
      <c r="F195" s="74">
        <f>F194/E194</f>
        <v>0.66091137778210185</v>
      </c>
      <c r="G195" s="72"/>
      <c r="H195" s="70"/>
      <c r="I195" s="74"/>
      <c r="J195" s="72"/>
      <c r="K195" s="70"/>
      <c r="L195" s="74">
        <f>L194/K194</f>
        <v>0.71933965771221975</v>
      </c>
      <c r="M195" s="73"/>
      <c r="N195" s="74">
        <f>N194/F194</f>
        <v>0.12594800413877386</v>
      </c>
      <c r="O195" s="72"/>
      <c r="P195" s="70"/>
      <c r="Q195" s="74">
        <f>Q194/P194</f>
        <v>0.67360050821701722</v>
      </c>
      <c r="R195" s="73"/>
      <c r="S195" s="75">
        <f>L194/S194</f>
        <v>7.1320679830344824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46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46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46"/>
        <v>ServiceSalaires cadres</v>
      </c>
      <c r="B198" s="11" t="s">
        <v>78</v>
      </c>
      <c r="C198" s="102" t="s">
        <v>40</v>
      </c>
      <c r="D198" s="13"/>
      <c r="E198" s="13"/>
      <c r="F198" s="30">
        <v>10405.606822870617</v>
      </c>
      <c r="G198" s="41"/>
      <c r="H198" s="13"/>
      <c r="I198" s="30"/>
      <c r="J198" s="41"/>
      <c r="K198" s="13"/>
      <c r="L198" s="33">
        <v>11889.91</v>
      </c>
      <c r="M198" s="41"/>
      <c r="N198" s="59">
        <f t="shared" ref="N198:N229" si="49">L198-F198</f>
        <v>1484.3031771293827</v>
      </c>
      <c r="O198" s="41"/>
      <c r="P198" s="13"/>
      <c r="Q198" s="33">
        <v>10212.879999999999</v>
      </c>
      <c r="R198" s="41"/>
      <c r="S198" s="85">
        <f t="shared" ref="S198:S203" si="50">L198-Q198</f>
        <v>1677.0300000000007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46"/>
        <v>ServiceSalaires commis</v>
      </c>
      <c r="B199" s="11" t="s">
        <v>78</v>
      </c>
      <c r="C199" s="103" t="s">
        <v>41</v>
      </c>
      <c r="D199" s="81"/>
      <c r="E199" s="13"/>
      <c r="F199" s="22">
        <v>5619.1369731800769</v>
      </c>
      <c r="G199" s="83"/>
      <c r="H199" s="13"/>
      <c r="I199" s="22"/>
      <c r="J199" s="41"/>
      <c r="K199" s="13"/>
      <c r="L199" s="33">
        <v>5777.88</v>
      </c>
      <c r="M199" s="41"/>
      <c r="N199" s="59">
        <f t="shared" si="49"/>
        <v>158.74302681992322</v>
      </c>
      <c r="O199" s="41"/>
      <c r="P199" s="13"/>
      <c r="Q199" s="33">
        <v>5992.31</v>
      </c>
      <c r="R199" s="41"/>
      <c r="S199" s="85">
        <f t="shared" si="50"/>
        <v>-214.43000000000029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46"/>
        <v>ServiceSalaires autres</v>
      </c>
      <c r="B200" s="11" t="s">
        <v>78</v>
      </c>
      <c r="C200" s="102" t="s">
        <v>42</v>
      </c>
      <c r="D200" s="104"/>
      <c r="E200" s="105"/>
      <c r="F200" s="30">
        <v>4645.6858237547895</v>
      </c>
      <c r="G200" s="106"/>
      <c r="H200" s="105"/>
      <c r="I200" s="30"/>
      <c r="J200" s="107"/>
      <c r="K200" s="105"/>
      <c r="L200" s="108">
        <v>10735.72</v>
      </c>
      <c r="M200" s="107"/>
      <c r="N200" s="109">
        <f t="shared" si="49"/>
        <v>6090.0341762452099</v>
      </c>
      <c r="O200" s="107"/>
      <c r="P200" s="105"/>
      <c r="Q200" s="108">
        <v>7265.5</v>
      </c>
      <c r="R200" s="107"/>
      <c r="S200" s="110">
        <f t="shared" si="50"/>
        <v>3470.2199999999993</v>
      </c>
      <c r="T200" s="13"/>
      <c r="U200" s="13"/>
      <c r="V200" s="462" t="s">
        <v>249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46"/>
        <v>ServiceSalaires spécialistes</v>
      </c>
      <c r="B201" s="11" t="s">
        <v>78</v>
      </c>
      <c r="C201" s="102" t="s">
        <v>43</v>
      </c>
      <c r="D201" s="81"/>
      <c r="E201" s="13"/>
      <c r="F201" s="30">
        <v>14418.309888888889</v>
      </c>
      <c r="G201" s="83"/>
      <c r="H201" s="13"/>
      <c r="I201" s="30"/>
      <c r="J201" s="41"/>
      <c r="K201" s="13"/>
      <c r="L201" s="33">
        <v>16151.34</v>
      </c>
      <c r="M201" s="41"/>
      <c r="N201" s="59">
        <f t="shared" si="49"/>
        <v>1733.0301111111112</v>
      </c>
      <c r="O201" s="41"/>
      <c r="P201" s="13"/>
      <c r="Q201" s="33">
        <v>17092.900000000001</v>
      </c>
      <c r="R201" s="41"/>
      <c r="S201" s="85">
        <f t="shared" si="50"/>
        <v>-941.56000000000131</v>
      </c>
      <c r="T201" s="13"/>
      <c r="U201" s="13"/>
      <c r="V201" s="13" t="s">
        <v>250</v>
      </c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46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49"/>
        <v>0</v>
      </c>
      <c r="O202" s="41"/>
      <c r="P202" s="13"/>
      <c r="Q202" s="33">
        <v>0</v>
      </c>
      <c r="R202" s="41"/>
      <c r="S202" s="85">
        <f t="shared" si="50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46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9"/>
        <v>0</v>
      </c>
      <c r="O203" s="41"/>
      <c r="P203" s="13"/>
      <c r="Q203" s="33">
        <v>0</v>
      </c>
      <c r="R203" s="41"/>
      <c r="S203" s="85">
        <f t="shared" si="50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46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9"/>
        <v>0</v>
      </c>
      <c r="O204" s="41"/>
      <c r="P204" s="13"/>
      <c r="Q204" s="33"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46"/>
        <v>ServiceSalaires en absences</v>
      </c>
      <c r="B205" s="11" t="s">
        <v>78</v>
      </c>
      <c r="C205" s="103" t="s">
        <v>44</v>
      </c>
      <c r="D205" s="81"/>
      <c r="E205" s="13"/>
      <c r="F205" s="30">
        <v>10499.378590832514</v>
      </c>
      <c r="G205" s="83"/>
      <c r="H205" s="13"/>
      <c r="I205" s="30"/>
      <c r="J205" s="41"/>
      <c r="K205" s="13"/>
      <c r="L205" s="33">
        <v>9765.11</v>
      </c>
      <c r="M205" s="41"/>
      <c r="N205" s="59">
        <f t="shared" si="49"/>
        <v>-734.26859083251293</v>
      </c>
      <c r="O205" s="41"/>
      <c r="P205" s="13"/>
      <c r="Q205" s="33">
        <v>8531.0499999999993</v>
      </c>
      <c r="R205" s="41"/>
      <c r="S205" s="85">
        <f>L205-Q205</f>
        <v>1234.0600000000013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46"/>
        <v>ServiceDéduction à la source</v>
      </c>
      <c r="B206" s="11" t="s">
        <v>78</v>
      </c>
      <c r="C206" s="102" t="s">
        <v>45</v>
      </c>
      <c r="D206" s="104"/>
      <c r="E206" s="105"/>
      <c r="F206" s="55">
        <v>12032.856253535499</v>
      </c>
      <c r="G206" s="106"/>
      <c r="H206" s="105"/>
      <c r="I206" s="55"/>
      <c r="J206" s="107"/>
      <c r="K206" s="105"/>
      <c r="L206" s="108">
        <v>15455.73</v>
      </c>
      <c r="M206" s="107"/>
      <c r="N206" s="109">
        <f t="shared" si="49"/>
        <v>3422.8737464645001</v>
      </c>
      <c r="O206" s="107"/>
      <c r="P206" s="105"/>
      <c r="Q206" s="108">
        <v>11863.05</v>
      </c>
      <c r="R206" s="107"/>
      <c r="S206" s="110">
        <f t="shared" ref="S206:S216" si="51">L206-Q206</f>
        <v>3592.6800000000003</v>
      </c>
      <c r="T206" s="13"/>
      <c r="U206" s="13"/>
      <c r="V206" s="462" t="s">
        <v>249</v>
      </c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46"/>
        <v>ServiceBénéfices marginaux</v>
      </c>
      <c r="B207" s="11" t="s">
        <v>78</v>
      </c>
      <c r="C207" s="102" t="s">
        <v>46</v>
      </c>
      <c r="D207" s="81"/>
      <c r="E207" s="13"/>
      <c r="F207" s="30">
        <v>6308.547325782848</v>
      </c>
      <c r="G207" s="83"/>
      <c r="H207" s="13"/>
      <c r="I207" s="30"/>
      <c r="J207" s="41"/>
      <c r="K207" s="13"/>
      <c r="L207" s="33">
        <v>6653.89</v>
      </c>
      <c r="M207" s="41"/>
      <c r="N207" s="59">
        <f t="shared" si="49"/>
        <v>345.34267421715231</v>
      </c>
      <c r="O207" s="41"/>
      <c r="P207" s="13"/>
      <c r="Q207" s="33">
        <v>4322.59</v>
      </c>
      <c r="R207" s="41"/>
      <c r="S207" s="85">
        <f t="shared" si="51"/>
        <v>2331.3000000000002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46"/>
        <v>ServiceCsst</v>
      </c>
      <c r="B208" s="11" t="s">
        <v>78</v>
      </c>
      <c r="C208" s="102" t="s">
        <v>47</v>
      </c>
      <c r="D208" s="81"/>
      <c r="E208" s="13"/>
      <c r="F208" s="30">
        <v>1351.8315698106103</v>
      </c>
      <c r="G208" s="83"/>
      <c r="H208" s="13"/>
      <c r="I208" s="30"/>
      <c r="J208" s="41"/>
      <c r="K208" s="13"/>
      <c r="L208" s="33">
        <v>2353.08</v>
      </c>
      <c r="M208" s="467"/>
      <c r="N208" s="146">
        <f t="shared" si="49"/>
        <v>1001.2484301893896</v>
      </c>
      <c r="O208" s="467"/>
      <c r="P208" s="468"/>
      <c r="Q208" s="22">
        <v>1448.81</v>
      </c>
      <c r="R208" s="467"/>
      <c r="S208" s="469">
        <f t="shared" si="51"/>
        <v>904.27</v>
      </c>
      <c r="T208" s="13"/>
      <c r="U208" s="13"/>
      <c r="V208" s="13" t="s">
        <v>249</v>
      </c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46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49"/>
        <v>0</v>
      </c>
      <c r="O209" s="23"/>
      <c r="P209" s="111"/>
      <c r="Q209" s="33">
        <v>0</v>
      </c>
      <c r="R209" s="23"/>
      <c r="S209" s="92">
        <f t="shared" si="51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46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0.44558393095068116</v>
      </c>
      <c r="F210" s="96">
        <f>+SUM(F198:F209)</f>
        <v>65281.353248655847</v>
      </c>
      <c r="G210" s="97"/>
      <c r="H210" s="95"/>
      <c r="I210" s="96"/>
      <c r="J210" s="97" t="s">
        <v>92</v>
      </c>
      <c r="K210" s="95">
        <f>L210/L$194</f>
        <v>0.47758719794296478</v>
      </c>
      <c r="L210" s="96">
        <f>+SUM(L198:L209)</f>
        <v>78782.66</v>
      </c>
      <c r="M210" s="147"/>
      <c r="N210" s="113">
        <f t="shared" si="49"/>
        <v>13501.306751344157</v>
      </c>
      <c r="O210" s="97" t="s">
        <v>92</v>
      </c>
      <c r="P210" s="95">
        <f>Q210/Q$194</f>
        <v>0.4704849678249608</v>
      </c>
      <c r="Q210" s="96">
        <f>+SUM(Q198:Q209)</f>
        <v>66729.09</v>
      </c>
      <c r="R210" s="147"/>
      <c r="S210" s="114">
        <f t="shared" si="51"/>
        <v>12053.570000000007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46"/>
        <v>ServicePublicité 2</v>
      </c>
      <c r="B211" s="11" t="s">
        <v>78</v>
      </c>
      <c r="C211" s="29" t="s">
        <v>49</v>
      </c>
      <c r="D211" s="81"/>
      <c r="E211" s="13"/>
      <c r="F211" s="30">
        <v>4851.9259817094062</v>
      </c>
      <c r="G211" s="83"/>
      <c r="H211" s="13"/>
      <c r="I211" s="30"/>
      <c r="J211" s="41"/>
      <c r="K211" s="13"/>
      <c r="L211" s="33">
        <v>5952.71</v>
      </c>
      <c r="M211" s="41"/>
      <c r="N211" s="59">
        <f t="shared" si="49"/>
        <v>1100.7840182905938</v>
      </c>
      <c r="O211" s="41"/>
      <c r="P211" s="13"/>
      <c r="Q211" s="33">
        <v>7447.94</v>
      </c>
      <c r="R211" s="41"/>
      <c r="S211" s="85">
        <f t="shared" si="51"/>
        <v>-1495.2299999999996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46"/>
        <v>ServiceService gratuit 2</v>
      </c>
      <c r="B212" s="11" t="s">
        <v>78</v>
      </c>
      <c r="C212" s="29" t="s">
        <v>50</v>
      </c>
      <c r="D212" s="81"/>
      <c r="E212" s="13"/>
      <c r="F212" s="30">
        <v>2758.3333333333335</v>
      </c>
      <c r="G212" s="83"/>
      <c r="H212" s="13"/>
      <c r="I212" s="30"/>
      <c r="J212" s="41"/>
      <c r="K212" s="13"/>
      <c r="L212" s="33">
        <v>3195.41</v>
      </c>
      <c r="M212" s="41"/>
      <c r="N212" s="59">
        <f t="shared" si="49"/>
        <v>437.07666666666637</v>
      </c>
      <c r="O212" s="41"/>
      <c r="P212" s="13"/>
      <c r="Q212" s="33">
        <v>4070.9399999999901</v>
      </c>
      <c r="R212" s="41"/>
      <c r="S212" s="85">
        <f t="shared" si="51"/>
        <v>-875.5299999999902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46"/>
        <v>ServiceFrais véhicules de cie</v>
      </c>
      <c r="B213" s="11" t="s">
        <v>78</v>
      </c>
      <c r="C213" s="86" t="s">
        <v>51</v>
      </c>
      <c r="D213" s="87"/>
      <c r="E213" s="111"/>
      <c r="F213" s="22">
        <v>6592.8333333333339</v>
      </c>
      <c r="G213" s="89"/>
      <c r="H213" s="111"/>
      <c r="I213" s="22"/>
      <c r="J213" s="23"/>
      <c r="K213" s="111"/>
      <c r="L213" s="33">
        <v>8136.62</v>
      </c>
      <c r="M213" s="23"/>
      <c r="N213" s="91">
        <f t="shared" si="49"/>
        <v>1543.786666666666</v>
      </c>
      <c r="O213" s="23"/>
      <c r="P213" s="111"/>
      <c r="Q213" s="33">
        <v>5216.07</v>
      </c>
      <c r="R213" s="23"/>
      <c r="S213" s="92">
        <f t="shared" si="51"/>
        <v>2920.55</v>
      </c>
      <c r="T213" s="13"/>
      <c r="U213" s="13"/>
      <c r="V213" s="462" t="s">
        <v>261</v>
      </c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46"/>
        <v>ServiceInformatique</v>
      </c>
      <c r="B214" s="11" t="s">
        <v>78</v>
      </c>
      <c r="C214" s="29" t="s">
        <v>52</v>
      </c>
      <c r="D214" s="81"/>
      <c r="E214" s="13"/>
      <c r="F214" s="30">
        <v>6033.5</v>
      </c>
      <c r="G214" s="83"/>
      <c r="H214" s="13"/>
      <c r="I214" s="30"/>
      <c r="J214" s="41"/>
      <c r="K214" s="13"/>
      <c r="L214" s="108">
        <v>6275.57</v>
      </c>
      <c r="M214" s="41"/>
      <c r="N214" s="59">
        <f t="shared" si="49"/>
        <v>242.06999999999971</v>
      </c>
      <c r="O214" s="41"/>
      <c r="P214" s="13"/>
      <c r="Q214" s="108">
        <v>5478.25</v>
      </c>
      <c r="R214" s="41"/>
      <c r="S214" s="85">
        <f t="shared" si="51"/>
        <v>797.31999999999971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46"/>
        <v>ServiceFrais de déplacement</v>
      </c>
      <c r="B215" s="11" t="s">
        <v>78</v>
      </c>
      <c r="C215" s="29" t="s">
        <v>53</v>
      </c>
      <c r="D215" s="81"/>
      <c r="E215" s="13"/>
      <c r="F215" s="30">
        <v>458.33333333333331</v>
      </c>
      <c r="G215" s="83"/>
      <c r="H215" s="13"/>
      <c r="I215" s="30"/>
      <c r="J215" s="41"/>
      <c r="K215" s="13"/>
      <c r="L215" s="33">
        <v>275.81</v>
      </c>
      <c r="M215" s="41"/>
      <c r="N215" s="59">
        <f t="shared" si="49"/>
        <v>-182.52333333333331</v>
      </c>
      <c r="O215" s="41"/>
      <c r="P215" s="13"/>
      <c r="Q215" s="33">
        <v>418.95</v>
      </c>
      <c r="R215" s="41"/>
      <c r="S215" s="85">
        <f t="shared" si="51"/>
        <v>-143.13999999999999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46"/>
        <v>ServiceServices extérieurs</v>
      </c>
      <c r="B216" s="11" t="s">
        <v>78</v>
      </c>
      <c r="C216" s="86" t="s">
        <v>54</v>
      </c>
      <c r="D216" s="87"/>
      <c r="E216" s="111"/>
      <c r="F216" s="22">
        <v>5641.5</v>
      </c>
      <c r="G216" s="89"/>
      <c r="H216" s="111"/>
      <c r="I216" s="22"/>
      <c r="J216" s="23"/>
      <c r="K216" s="111"/>
      <c r="L216" s="22">
        <v>2428.63</v>
      </c>
      <c r="M216" s="467"/>
      <c r="N216" s="146">
        <f t="shared" si="49"/>
        <v>-3212.87</v>
      </c>
      <c r="O216" s="467"/>
      <c r="P216" s="468"/>
      <c r="Q216" s="22">
        <v>6675.26</v>
      </c>
      <c r="R216" s="23"/>
      <c r="S216" s="92">
        <f t="shared" si="51"/>
        <v>-4246.63</v>
      </c>
      <c r="T216" s="13"/>
      <c r="U216" s="13"/>
      <c r="V216" s="462" t="s">
        <v>251</v>
      </c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 hidden="1">
      <c r="A217" t="str">
        <f>+B217&amp;C217</f>
        <v>ServiceFournitures d'atelier</v>
      </c>
      <c r="B217" s="11" t="s">
        <v>78</v>
      </c>
      <c r="C217" s="29" t="s">
        <v>93</v>
      </c>
      <c r="D217" s="81"/>
      <c r="E217" s="13"/>
      <c r="F217" s="30"/>
      <c r="G217" s="83"/>
      <c r="H217" s="13"/>
      <c r="I217" s="30"/>
      <c r="J217" s="41"/>
      <c r="K217" s="13"/>
      <c r="L217" s="33">
        <v>0</v>
      </c>
      <c r="M217" s="41"/>
      <c r="N217" s="59">
        <f t="shared" si="49"/>
        <v>0</v>
      </c>
      <c r="O217" s="41"/>
      <c r="P217" s="13"/>
      <c r="Q217" s="33"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ref="A218:A226" si="52">+B218&amp;C218</f>
        <v>ServiceFournitures autres</v>
      </c>
      <c r="B218" s="11" t="s">
        <v>78</v>
      </c>
      <c r="C218" s="29" t="s">
        <v>55</v>
      </c>
      <c r="D218" s="81"/>
      <c r="E218" s="13"/>
      <c r="F218" s="30">
        <v>1100</v>
      </c>
      <c r="G218" s="83"/>
      <c r="H218" s="13"/>
      <c r="I218" s="30"/>
      <c r="J218" s="41"/>
      <c r="K218" s="13"/>
      <c r="L218" s="33">
        <v>2693.81</v>
      </c>
      <c r="M218" s="41"/>
      <c r="N218" s="59">
        <f t="shared" si="49"/>
        <v>1593.81</v>
      </c>
      <c r="O218" s="41"/>
      <c r="P218" s="13"/>
      <c r="Q218" s="33">
        <v>663.88</v>
      </c>
      <c r="R218" s="41"/>
      <c r="S218" s="85">
        <f t="shared" ref="S218:S226" si="53">L218-Q218</f>
        <v>2029.9299999999998</v>
      </c>
      <c r="T218" s="13"/>
      <c r="U218" s="13"/>
      <c r="V218" s="462" t="s">
        <v>252</v>
      </c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52"/>
        <v>ServiceUniformes</v>
      </c>
      <c r="B219" s="11" t="s">
        <v>78</v>
      </c>
      <c r="C219" s="29" t="s">
        <v>56</v>
      </c>
      <c r="D219" s="81"/>
      <c r="E219" s="13"/>
      <c r="F219" s="30">
        <v>1000</v>
      </c>
      <c r="G219" s="83"/>
      <c r="H219" s="13"/>
      <c r="I219" s="30"/>
      <c r="J219" s="41"/>
      <c r="K219" s="13"/>
      <c r="L219" s="33">
        <v>801.81</v>
      </c>
      <c r="M219" s="41"/>
      <c r="N219" s="59">
        <f t="shared" si="49"/>
        <v>-198.19000000000005</v>
      </c>
      <c r="O219" s="41"/>
      <c r="P219" s="13"/>
      <c r="Q219" s="33">
        <v>563.67999999999995</v>
      </c>
      <c r="R219" s="41"/>
      <c r="S219" s="85">
        <f t="shared" si="53"/>
        <v>238.13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52"/>
        <v>ServicePapeterie</v>
      </c>
      <c r="B220" s="11" t="s">
        <v>78</v>
      </c>
      <c r="C220" s="29" t="s">
        <v>57</v>
      </c>
      <c r="D220" s="81"/>
      <c r="E220" s="13"/>
      <c r="F220" s="30">
        <v>393.75</v>
      </c>
      <c r="G220" s="83"/>
      <c r="H220" s="13"/>
      <c r="I220" s="30"/>
      <c r="J220" s="41"/>
      <c r="K220" s="13"/>
      <c r="L220" s="32">
        <v>555</v>
      </c>
      <c r="M220" s="41"/>
      <c r="N220" s="59">
        <f t="shared" si="49"/>
        <v>161.25</v>
      </c>
      <c r="O220" s="41"/>
      <c r="P220" s="13"/>
      <c r="Q220" s="32">
        <v>343.72</v>
      </c>
      <c r="R220" s="41"/>
      <c r="S220" s="85">
        <f t="shared" si="53"/>
        <v>211.27999999999997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52"/>
        <v>ServiceTéléphone</v>
      </c>
      <c r="B221" s="11" t="s">
        <v>78</v>
      </c>
      <c r="C221" s="29" t="s">
        <v>58</v>
      </c>
      <c r="D221" s="81"/>
      <c r="E221" s="13"/>
      <c r="F221" s="30">
        <v>120</v>
      </c>
      <c r="G221" s="83"/>
      <c r="H221" s="13"/>
      <c r="I221" s="30"/>
      <c r="J221" s="41"/>
      <c r="K221" s="13"/>
      <c r="L221" s="33">
        <v>122.83</v>
      </c>
      <c r="M221" s="41"/>
      <c r="N221" s="59">
        <f t="shared" si="49"/>
        <v>2.8299999999999983</v>
      </c>
      <c r="O221" s="41"/>
      <c r="P221" s="13"/>
      <c r="Q221" s="33">
        <v>106.7</v>
      </c>
      <c r="R221" s="41"/>
      <c r="S221" s="85">
        <f t="shared" si="53"/>
        <v>16.129999999999995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52"/>
        <v>ServiceFrais postaux</v>
      </c>
      <c r="B222" s="11" t="s">
        <v>78</v>
      </c>
      <c r="C222" s="29" t="s">
        <v>59</v>
      </c>
      <c r="D222" s="81"/>
      <c r="E222" s="13"/>
      <c r="F222" s="30">
        <v>112.5</v>
      </c>
      <c r="G222" s="83"/>
      <c r="H222" s="13"/>
      <c r="I222" s="30"/>
      <c r="J222" s="41"/>
      <c r="K222" s="13"/>
      <c r="L222" s="33">
        <v>107.17</v>
      </c>
      <c r="M222" s="41"/>
      <c r="N222" s="59">
        <f t="shared" si="49"/>
        <v>-5.3299999999999983</v>
      </c>
      <c r="O222" s="41"/>
      <c r="P222" s="13"/>
      <c r="Q222" s="33">
        <v>226.25</v>
      </c>
      <c r="R222" s="41"/>
      <c r="S222" s="85">
        <f t="shared" si="53"/>
        <v>-119.08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52"/>
        <v>ServiceDivers</v>
      </c>
      <c r="B223" s="11" t="s">
        <v>78</v>
      </c>
      <c r="C223" s="29" t="s">
        <v>60</v>
      </c>
      <c r="D223" s="81"/>
      <c r="E223" s="13"/>
      <c r="F223" s="30">
        <v>435.25</v>
      </c>
      <c r="G223" s="83"/>
      <c r="H223" s="13"/>
      <c r="I223" s="30"/>
      <c r="J223" s="41"/>
      <c r="K223" s="13"/>
      <c r="L223" s="33">
        <v>1481.5</v>
      </c>
      <c r="M223" s="41"/>
      <c r="N223" s="59">
        <f t="shared" si="49"/>
        <v>1046.25</v>
      </c>
      <c r="O223" s="41"/>
      <c r="P223" s="13"/>
      <c r="Q223" s="33">
        <v>325.36</v>
      </c>
      <c r="R223" s="41"/>
      <c r="S223" s="85">
        <f t="shared" si="53"/>
        <v>1156.1399999999999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52"/>
        <v>ServiceFormation</v>
      </c>
      <c r="B224" s="11" t="s">
        <v>78</v>
      </c>
      <c r="C224" s="29" t="s">
        <v>61</v>
      </c>
      <c r="D224" s="81"/>
      <c r="E224" s="13"/>
      <c r="F224" s="30">
        <v>1643.7152833333334</v>
      </c>
      <c r="G224" s="83"/>
      <c r="H224" s="13"/>
      <c r="I224" s="30"/>
      <c r="J224" s="41"/>
      <c r="K224" s="13"/>
      <c r="L224" s="33">
        <v>1729.49</v>
      </c>
      <c r="M224" s="41"/>
      <c r="N224" s="59">
        <f t="shared" si="49"/>
        <v>85.774716666666563</v>
      </c>
      <c r="O224" s="41"/>
      <c r="P224" s="13"/>
      <c r="Q224" s="33">
        <v>3325.27</v>
      </c>
      <c r="R224" s="41"/>
      <c r="S224" s="85">
        <f t="shared" si="53"/>
        <v>-1595.78</v>
      </c>
      <c r="T224" s="13"/>
      <c r="U224" s="13"/>
      <c r="V224" s="462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52"/>
        <v>ServiceFrais bancaires</v>
      </c>
      <c r="B225" s="11" t="s">
        <v>78</v>
      </c>
      <c r="C225" s="29" t="s">
        <v>62</v>
      </c>
      <c r="D225" s="81"/>
      <c r="E225" s="13"/>
      <c r="F225" s="30">
        <v>2351.0646933385674</v>
      </c>
      <c r="G225" s="83"/>
      <c r="H225" s="13"/>
      <c r="I225" s="30"/>
      <c r="J225" s="41"/>
      <c r="K225" s="13"/>
      <c r="L225" s="33">
        <v>2438.04</v>
      </c>
      <c r="M225" s="41"/>
      <c r="N225" s="59">
        <f t="shared" si="49"/>
        <v>86.975306661432569</v>
      </c>
      <c r="O225" s="41"/>
      <c r="P225" s="13"/>
      <c r="Q225" s="33">
        <v>2054.54</v>
      </c>
      <c r="R225" s="41"/>
      <c r="S225" s="85">
        <f t="shared" si="53"/>
        <v>383.5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52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49"/>
        <v>0</v>
      </c>
      <c r="O226" s="41"/>
      <c r="P226" s="13"/>
      <c r="Q226" s="33">
        <v>0</v>
      </c>
      <c r="R226" s="41"/>
      <c r="S226" s="85">
        <f t="shared" si="53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>+B227&amp;C227</f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9"/>
        <v>0</v>
      </c>
      <c r="O227" s="41"/>
      <c r="P227" s="13"/>
      <c r="Q227" s="33"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ref="A228" si="54"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9"/>
        <v>0</v>
      </c>
      <c r="O228" s="41"/>
      <c r="P228" s="13"/>
      <c r="Q228" s="33">
        <v>0</v>
      </c>
      <c r="R228" s="41"/>
      <c r="S228" s="85">
        <f t="shared" ref="S228" si="55">L228-Q228</f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0.22860757071420126</v>
      </c>
      <c r="F229" s="96">
        <f>+SUM(F211:F228)</f>
        <v>33492.70595838131</v>
      </c>
      <c r="G229" s="97"/>
      <c r="H229" s="95"/>
      <c r="I229" s="96"/>
      <c r="J229" s="97" t="s">
        <v>92</v>
      </c>
      <c r="K229" s="95">
        <f>L229/L$194</f>
        <v>0.21941353690300436</v>
      </c>
      <c r="L229" s="96">
        <f>+SUM(L211:L228)</f>
        <v>36194.400000000001</v>
      </c>
      <c r="M229" s="100"/>
      <c r="N229" s="96">
        <f t="shared" si="49"/>
        <v>2701.6940416186917</v>
      </c>
      <c r="O229" s="97" t="s">
        <v>92</v>
      </c>
      <c r="P229" s="95">
        <f>Q229/Q$194</f>
        <v>0.26028834148720126</v>
      </c>
      <c r="Q229" s="96">
        <f>+SUM(Q211:Q228)</f>
        <v>36916.80999999999</v>
      </c>
      <c r="R229" s="100"/>
      <c r="S229" s="101">
        <f>L229-Q229</f>
        <v>-722.40999999998894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0.6741915016648824</v>
      </c>
      <c r="F231" s="96">
        <f>F210+F229</f>
        <v>98774.059207037149</v>
      </c>
      <c r="G231" s="97"/>
      <c r="H231" s="95"/>
      <c r="I231" s="96"/>
      <c r="J231" s="97" t="s">
        <v>38</v>
      </c>
      <c r="K231" s="95">
        <f>L231/L$194</f>
        <v>0.69700073484596914</v>
      </c>
      <c r="L231" s="96">
        <f>L210+L229</f>
        <v>114977.06</v>
      </c>
      <c r="M231" s="100"/>
      <c r="N231" s="113">
        <f>L231-F231</f>
        <v>16203.000792962848</v>
      </c>
      <c r="O231" s="97" t="s">
        <v>38</v>
      </c>
      <c r="P231" s="95">
        <f>Q231/Q$194</f>
        <v>0.73077330931216211</v>
      </c>
      <c r="Q231" s="96">
        <f>Q210+Q229</f>
        <v>103645.9</v>
      </c>
      <c r="R231" s="100"/>
      <c r="S231" s="114">
        <f>L231-Q231</f>
        <v>11331.160000000003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>
        <f>L232-F232</f>
        <v>0</v>
      </c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47733.363332581823</v>
      </c>
      <c r="G233" s="153"/>
      <c r="H233" s="125"/>
      <c r="I233" s="127"/>
      <c r="J233" s="154"/>
      <c r="K233" s="126"/>
      <c r="L233" s="127">
        <f>L194-L231</f>
        <v>49982.679999999993</v>
      </c>
      <c r="M233" s="154"/>
      <c r="N233" s="127">
        <f>L233-F233</f>
        <v>2249.3166674181703</v>
      </c>
      <c r="O233" s="154"/>
      <c r="P233" s="126"/>
      <c r="Q233" s="127">
        <f>Q194-Q231</f>
        <v>38184.539999999921</v>
      </c>
      <c r="R233" s="154"/>
      <c r="S233" s="129">
        <f>L233-Q233</f>
        <v>11798.140000000072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Mai 2025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507" t="s">
        <v>5</v>
      </c>
      <c r="E238" s="508"/>
      <c r="F238" s="509"/>
      <c r="G238" s="510"/>
      <c r="H238" s="508"/>
      <c r="I238" s="509"/>
      <c r="J238" s="510" t="s">
        <v>7</v>
      </c>
      <c r="K238" s="508"/>
      <c r="L238" s="509"/>
      <c r="M238" s="510" t="s">
        <v>213</v>
      </c>
      <c r="N238" s="509"/>
      <c r="O238" s="507" t="s">
        <v>8</v>
      </c>
      <c r="P238" s="508"/>
      <c r="Q238" s="509"/>
      <c r="R238" s="505" t="s">
        <v>214</v>
      </c>
      <c r="S238" s="506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72" si="56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56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56"/>
        <v>CarrosserieM/O Sous-traitement</v>
      </c>
      <c r="B241" s="11" t="s">
        <v>94</v>
      </c>
      <c r="C241" s="29" t="s">
        <v>95</v>
      </c>
      <c r="D241" s="80">
        <v>0</v>
      </c>
      <c r="E241" s="82">
        <v>0</v>
      </c>
      <c r="F241" s="82">
        <v>0</v>
      </c>
      <c r="G241" s="156"/>
      <c r="H241" s="82"/>
      <c r="I241" s="82"/>
      <c r="J241" s="60">
        <v>1</v>
      </c>
      <c r="K241" s="30">
        <v>4637.87</v>
      </c>
      <c r="L241" s="33">
        <v>0</v>
      </c>
      <c r="M241" s="157">
        <f>IFERROR((K241-E241)/E241,0)</f>
        <v>0</v>
      </c>
      <c r="N241" s="59">
        <f>L241-F241</f>
        <v>0</v>
      </c>
      <c r="O241" s="60">
        <v>16</v>
      </c>
      <c r="P241" s="30">
        <v>7000.57</v>
      </c>
      <c r="Q241" s="33">
        <v>827.80999999999904</v>
      </c>
      <c r="R241" s="157">
        <f>IF(O241=0,0,J241/O241)</f>
        <v>6.25E-2</v>
      </c>
      <c r="S241" s="85">
        <f>L241-Q241</f>
        <v>-827.80999999999904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56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</v>
      </c>
      <c r="G242" s="41"/>
      <c r="H242" s="144"/>
      <c r="I242" s="158"/>
      <c r="J242" s="60"/>
      <c r="K242" s="13"/>
      <c r="L242" s="158">
        <f>IFERROR(L241/K241,0)</f>
        <v>0</v>
      </c>
      <c r="M242" s="157"/>
      <c r="N242" s="470">
        <f>IFERROR(N241/M241,0)</f>
        <v>0</v>
      </c>
      <c r="O242" s="60"/>
      <c r="P242" s="13"/>
      <c r="Q242" s="158">
        <f>IFERROR(Q241/P241,0)</f>
        <v>0.11824894258610356</v>
      </c>
      <c r="R242" s="60"/>
      <c r="S242" s="85">
        <f>IFERROR(S241/R241,0)</f>
        <v>-13244.959999999985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56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56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56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56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56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56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56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56"/>
        <v>CarrosserieTotal Mécanique</v>
      </c>
      <c r="B250" s="11" t="s">
        <v>94</v>
      </c>
      <c r="C250" s="62" t="s">
        <v>91</v>
      </c>
      <c r="D250" s="63"/>
      <c r="E250" s="63">
        <f>E244+E247+E241</f>
        <v>0</v>
      </c>
      <c r="F250" s="65">
        <f>F244+F247+F241</f>
        <v>0</v>
      </c>
      <c r="G250" s="66"/>
      <c r="H250" s="63"/>
      <c r="I250" s="65"/>
      <c r="J250" s="66"/>
      <c r="K250" s="63">
        <f>K244+K247+K241</f>
        <v>4637.87</v>
      </c>
      <c r="L250" s="65">
        <f>L244+L247+L241</f>
        <v>0</v>
      </c>
      <c r="M250" s="206" t="e">
        <f>L251-F251</f>
        <v>#DIV/0!</v>
      </c>
      <c r="N250" s="65">
        <f>L250-F250</f>
        <v>0</v>
      </c>
      <c r="O250" s="66"/>
      <c r="P250" s="63">
        <f t="shared" ref="P250:Q250" si="57">P244+P247+P241</f>
        <v>7000.57</v>
      </c>
      <c r="Q250" s="65">
        <f t="shared" si="57"/>
        <v>827.80999999999904</v>
      </c>
      <c r="R250" s="206">
        <f>L251-Q251</f>
        <v>-0.11824894258610356</v>
      </c>
      <c r="S250" s="68">
        <f>L250-Q250</f>
        <v>-827.80999999999904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56"/>
        <v>Carrosserie</v>
      </c>
      <c r="B251" s="11" t="s">
        <v>94</v>
      </c>
      <c r="C251" s="69"/>
      <c r="D251" s="70"/>
      <c r="E251" s="70"/>
      <c r="F251" s="74" t="e">
        <f>F250/E250</f>
        <v>#DIV/0!</v>
      </c>
      <c r="G251" s="72"/>
      <c r="H251" s="70"/>
      <c r="I251" s="74"/>
      <c r="J251" s="72"/>
      <c r="K251" s="70"/>
      <c r="L251" s="74">
        <f>IF(K250=0,0,L250/K250)</f>
        <v>0</v>
      </c>
      <c r="M251" s="73"/>
      <c r="N251" s="74" t="e">
        <f>N250/F250</f>
        <v>#DIV/0!</v>
      </c>
      <c r="O251" s="72"/>
      <c r="P251" s="70"/>
      <c r="Q251" s="74">
        <f>Q250/P250</f>
        <v>0.11824894258610356</v>
      </c>
      <c r="R251" s="73"/>
      <c r="S251" s="75">
        <f>IF(R250=0,0,S250/R250)</f>
        <v>7000.57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56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56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56"/>
        <v>CarrosserieSalaires cadres</v>
      </c>
      <c r="B254" s="11" t="s">
        <v>94</v>
      </c>
      <c r="C254" s="102" t="s">
        <v>40</v>
      </c>
      <c r="D254" s="13"/>
      <c r="E254" s="13"/>
      <c r="F254" s="30">
        <v>0</v>
      </c>
      <c r="G254" s="41"/>
      <c r="H254" s="13"/>
      <c r="I254" s="30"/>
      <c r="J254" s="41"/>
      <c r="K254" s="13"/>
      <c r="L254" s="33">
        <v>0</v>
      </c>
      <c r="M254" s="41"/>
      <c r="N254" s="59">
        <f t="shared" ref="N254:N284" si="58">L254-F254</f>
        <v>0</v>
      </c>
      <c r="O254" s="41"/>
      <c r="P254" s="13"/>
      <c r="Q254" s="33">
        <v>304.27</v>
      </c>
      <c r="R254" s="41"/>
      <c r="S254" s="85">
        <f t="shared" ref="S254" si="59">L254-Q254</f>
        <v>-304.27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56"/>
        <v>CarrosserieSalaires commis</v>
      </c>
      <c r="B255" s="11" t="s">
        <v>94</v>
      </c>
      <c r="C255" s="103" t="s">
        <v>41</v>
      </c>
      <c r="D255" s="81"/>
      <c r="E255" s="13"/>
      <c r="F255" s="22">
        <v>0</v>
      </c>
      <c r="G255" s="83"/>
      <c r="H255" s="13"/>
      <c r="I255" s="22"/>
      <c r="J255" s="41"/>
      <c r="K255" s="13"/>
      <c r="L255" s="33">
        <v>0</v>
      </c>
      <c r="M255" s="41"/>
      <c r="N255" s="59">
        <f t="shared" si="58"/>
        <v>0</v>
      </c>
      <c r="O255" s="41"/>
      <c r="P255" s="13"/>
      <c r="Q255" s="33">
        <v>394.45</v>
      </c>
      <c r="R255" s="41"/>
      <c r="S255" s="85">
        <f>L255-Q255</f>
        <v>-394.45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56"/>
        <v>CarrosserieSalaires autres</v>
      </c>
      <c r="B256" s="11" t="s">
        <v>94</v>
      </c>
      <c r="C256" s="102" t="s">
        <v>42</v>
      </c>
      <c r="D256" s="104"/>
      <c r="E256" s="105"/>
      <c r="F256" s="30">
        <v>0</v>
      </c>
      <c r="G256" s="106"/>
      <c r="H256" s="105"/>
      <c r="I256" s="30"/>
      <c r="J256" s="107"/>
      <c r="K256" s="105"/>
      <c r="L256" s="108">
        <v>0</v>
      </c>
      <c r="M256" s="107"/>
      <c r="N256" s="109">
        <f t="shared" si="58"/>
        <v>0</v>
      </c>
      <c r="O256" s="107"/>
      <c r="P256" s="105"/>
      <c r="Q256" s="108">
        <v>19</v>
      </c>
      <c r="R256" s="107"/>
      <c r="S256" s="110">
        <f t="shared" ref="S256:S272" si="60">L256-Q256</f>
        <v>-19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56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58"/>
        <v>0</v>
      </c>
      <c r="O257" s="41"/>
      <c r="P257" s="13"/>
      <c r="Q257" s="33">
        <v>0</v>
      </c>
      <c r="R257" s="41"/>
      <c r="S257" s="85">
        <f t="shared" si="60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56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8"/>
        <v>0</v>
      </c>
      <c r="O258" s="41"/>
      <c r="P258" s="13"/>
      <c r="Q258" s="33">
        <v>0</v>
      </c>
      <c r="R258" s="41"/>
      <c r="S258" s="85">
        <f t="shared" si="60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56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8"/>
        <v>0</v>
      </c>
      <c r="O259" s="41"/>
      <c r="P259" s="13"/>
      <c r="Q259" s="33">
        <v>0</v>
      </c>
      <c r="R259" s="41"/>
      <c r="S259" s="85">
        <f t="shared" si="60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56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8"/>
        <v>0</v>
      </c>
      <c r="O260" s="41"/>
      <c r="P260" s="13"/>
      <c r="Q260" s="33">
        <v>0</v>
      </c>
      <c r="R260" s="41"/>
      <c r="S260" s="85">
        <f t="shared" si="60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56"/>
        <v>CarrosserieSalaires en absences</v>
      </c>
      <c r="B261" s="11" t="s">
        <v>94</v>
      </c>
      <c r="C261" s="103" t="s">
        <v>44</v>
      </c>
      <c r="D261" s="81"/>
      <c r="E261" s="13"/>
      <c r="F261" s="22">
        <v>0</v>
      </c>
      <c r="G261" s="83"/>
      <c r="H261" s="13"/>
      <c r="I261" s="22"/>
      <c r="J261" s="41"/>
      <c r="K261" s="13"/>
      <c r="L261" s="33">
        <v>0</v>
      </c>
      <c r="M261" s="41"/>
      <c r="N261" s="59">
        <f t="shared" si="58"/>
        <v>0</v>
      </c>
      <c r="O261" s="41"/>
      <c r="P261" s="13"/>
      <c r="Q261" s="33">
        <v>95.24</v>
      </c>
      <c r="R261" s="41"/>
      <c r="S261" s="85">
        <f t="shared" si="60"/>
        <v>-95.24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56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0</v>
      </c>
      <c r="G262" s="106"/>
      <c r="H262" s="105"/>
      <c r="I262" s="30"/>
      <c r="J262" s="107"/>
      <c r="K262" s="105"/>
      <c r="L262" s="108">
        <v>0</v>
      </c>
      <c r="M262" s="107"/>
      <c r="N262" s="109">
        <f t="shared" si="58"/>
        <v>0</v>
      </c>
      <c r="O262" s="107"/>
      <c r="P262" s="105"/>
      <c r="Q262" s="108">
        <v>220.92</v>
      </c>
      <c r="R262" s="107"/>
      <c r="S262" s="110">
        <f t="shared" si="60"/>
        <v>-220.92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56"/>
        <v>CarrosserieBénéfices marginaux</v>
      </c>
      <c r="B263" s="11" t="s">
        <v>94</v>
      </c>
      <c r="C263" s="102" t="s">
        <v>46</v>
      </c>
      <c r="D263" s="81"/>
      <c r="E263" s="13"/>
      <c r="F263" s="30">
        <v>0</v>
      </c>
      <c r="G263" s="83"/>
      <c r="H263" s="13"/>
      <c r="I263" s="30"/>
      <c r="J263" s="41"/>
      <c r="K263" s="13"/>
      <c r="L263" s="33">
        <v>0</v>
      </c>
      <c r="M263" s="41"/>
      <c r="N263" s="59">
        <f t="shared" si="58"/>
        <v>0</v>
      </c>
      <c r="O263" s="41"/>
      <c r="P263" s="13"/>
      <c r="Q263" s="33">
        <v>48.46</v>
      </c>
      <c r="R263" s="41"/>
      <c r="S263" s="85">
        <f t="shared" si="60"/>
        <v>-48.46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56"/>
        <v>CarrosserieCsst</v>
      </c>
      <c r="B264" s="11" t="s">
        <v>94</v>
      </c>
      <c r="C264" s="102" t="s">
        <v>47</v>
      </c>
      <c r="D264" s="81"/>
      <c r="E264" s="13"/>
      <c r="F264" s="30">
        <v>0</v>
      </c>
      <c r="G264" s="83"/>
      <c r="H264" s="13"/>
      <c r="I264" s="30"/>
      <c r="J264" s="41"/>
      <c r="K264" s="13"/>
      <c r="L264" s="33">
        <v>0</v>
      </c>
      <c r="M264" s="467"/>
      <c r="N264" s="146">
        <f t="shared" si="58"/>
        <v>0</v>
      </c>
      <c r="O264" s="41"/>
      <c r="P264" s="13"/>
      <c r="Q264" s="33">
        <v>4.93</v>
      </c>
      <c r="R264" s="41"/>
      <c r="S264" s="85">
        <f t="shared" si="60"/>
        <v>-4.93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56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58"/>
        <v>0</v>
      </c>
      <c r="O265" s="23"/>
      <c r="P265" s="111"/>
      <c r="Q265" s="33">
        <v>0</v>
      </c>
      <c r="R265" s="23"/>
      <c r="S265" s="92">
        <f t="shared" si="60"/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56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0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0</v>
      </c>
      <c r="M266" s="147"/>
      <c r="N266" s="113">
        <f t="shared" si="58"/>
        <v>0</v>
      </c>
      <c r="O266" s="97" t="s">
        <v>38</v>
      </c>
      <c r="P266" s="95">
        <f>IF(Q244=0,0,Q266/Q$244)</f>
        <v>0</v>
      </c>
      <c r="Q266" s="96">
        <f>+SUM(Q254:Q265)</f>
        <v>1087.2700000000002</v>
      </c>
      <c r="R266" s="147"/>
      <c r="S266" s="114">
        <f t="shared" si="60"/>
        <v>-1087.2700000000002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56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0</v>
      </c>
      <c r="M267" s="41"/>
      <c r="N267" s="59">
        <f t="shared" si="58"/>
        <v>0</v>
      </c>
      <c r="O267" s="41"/>
      <c r="P267" s="13"/>
      <c r="Q267" s="33">
        <v>0</v>
      </c>
      <c r="R267" s="41"/>
      <c r="S267" s="85">
        <f t="shared" si="60"/>
        <v>0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56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58"/>
        <v>0</v>
      </c>
      <c r="O268" s="41"/>
      <c r="P268" s="13"/>
      <c r="Q268" s="33">
        <v>28.14</v>
      </c>
      <c r="R268" s="41"/>
      <c r="S268" s="85">
        <f t="shared" si="60"/>
        <v>-28.14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56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0</v>
      </c>
      <c r="G269" s="89"/>
      <c r="H269" s="111"/>
      <c r="I269" s="22"/>
      <c r="J269" s="23"/>
      <c r="K269" s="111"/>
      <c r="L269" s="33">
        <v>0</v>
      </c>
      <c r="M269" s="23"/>
      <c r="N269" s="91">
        <f t="shared" si="58"/>
        <v>0</v>
      </c>
      <c r="O269" s="23"/>
      <c r="P269" s="111"/>
      <c r="Q269" s="33">
        <v>195.31</v>
      </c>
      <c r="R269" s="23"/>
      <c r="S269" s="92">
        <f t="shared" si="60"/>
        <v>-195.31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56"/>
        <v>CarrosserieInformatique</v>
      </c>
      <c r="B270" s="11" t="s">
        <v>94</v>
      </c>
      <c r="C270" s="102" t="s">
        <v>52</v>
      </c>
      <c r="D270" s="81"/>
      <c r="E270" s="13"/>
      <c r="F270" s="30">
        <v>0</v>
      </c>
      <c r="G270" s="83"/>
      <c r="H270" s="13"/>
      <c r="I270" s="30"/>
      <c r="J270" s="41"/>
      <c r="K270" s="13"/>
      <c r="L270" s="108">
        <v>0</v>
      </c>
      <c r="M270" s="41"/>
      <c r="N270" s="59">
        <f t="shared" si="58"/>
        <v>0</v>
      </c>
      <c r="O270" s="41"/>
      <c r="P270" s="13"/>
      <c r="Q270" s="108">
        <v>211.01</v>
      </c>
      <c r="R270" s="41"/>
      <c r="S270" s="85">
        <f t="shared" si="60"/>
        <v>-211.01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56"/>
        <v>CarrosserieFrais de déplacement</v>
      </c>
      <c r="B271" s="11" t="s">
        <v>94</v>
      </c>
      <c r="C271" s="102" t="s">
        <v>53</v>
      </c>
      <c r="D271" s="81"/>
      <c r="E271" s="13"/>
      <c r="F271" s="30">
        <v>0</v>
      </c>
      <c r="G271" s="83"/>
      <c r="H271" s="13"/>
      <c r="I271" s="30"/>
      <c r="J271" s="41"/>
      <c r="K271" s="13"/>
      <c r="L271" s="33">
        <v>0</v>
      </c>
      <c r="M271" s="41"/>
      <c r="N271" s="59">
        <f t="shared" si="58"/>
        <v>0</v>
      </c>
      <c r="O271" s="41"/>
      <c r="P271" s="13"/>
      <c r="Q271" s="33">
        <v>14.79</v>
      </c>
      <c r="R271" s="41"/>
      <c r="S271" s="85">
        <f t="shared" si="60"/>
        <v>-14.79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56"/>
        <v>CarrosserieServices extérieurs</v>
      </c>
      <c r="B272" s="11" t="s">
        <v>94</v>
      </c>
      <c r="C272" s="102" t="s">
        <v>54</v>
      </c>
      <c r="D272" s="87"/>
      <c r="E272" s="111"/>
      <c r="F272" s="22">
        <v>0</v>
      </c>
      <c r="G272" s="89"/>
      <c r="H272" s="111"/>
      <c r="I272" s="22"/>
      <c r="J272" s="23"/>
      <c r="K272" s="111"/>
      <c r="L272" s="33">
        <v>0</v>
      </c>
      <c r="M272" s="23"/>
      <c r="N272" s="91">
        <f t="shared" si="58"/>
        <v>0</v>
      </c>
      <c r="O272" s="23"/>
      <c r="P272" s="111"/>
      <c r="Q272" s="22">
        <v>191.52</v>
      </c>
      <c r="R272" s="23"/>
      <c r="S272" s="92">
        <f t="shared" si="60"/>
        <v>-191.52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58"/>
        <v>0</v>
      </c>
      <c r="O273" s="41"/>
      <c r="P273" s="13"/>
      <c r="Q273" s="33"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ref="A274:A282" si="61">+B274&amp;C274</f>
        <v>CarrosserieFournitures autres</v>
      </c>
      <c r="B274" s="11" t="s">
        <v>94</v>
      </c>
      <c r="C274" s="102" t="s">
        <v>55</v>
      </c>
      <c r="D274" s="81"/>
      <c r="E274" s="13"/>
      <c r="F274" s="30">
        <v>0</v>
      </c>
      <c r="G274" s="83"/>
      <c r="H274" s="13"/>
      <c r="I274" s="30"/>
      <c r="J274" s="41"/>
      <c r="K274" s="13"/>
      <c r="L274" s="33">
        <v>0</v>
      </c>
      <c r="M274" s="41"/>
      <c r="N274" s="59">
        <f t="shared" si="58"/>
        <v>0</v>
      </c>
      <c r="O274" s="41"/>
      <c r="P274" s="13"/>
      <c r="Q274" s="33">
        <v>0</v>
      </c>
      <c r="R274" s="41"/>
      <c r="S274" s="85">
        <f t="shared" ref="S274:S282" si="62">L274-Q274</f>
        <v>0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61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58"/>
        <v>0</v>
      </c>
      <c r="O275" s="41"/>
      <c r="P275" s="13"/>
      <c r="Q275" s="33">
        <v>0</v>
      </c>
      <c r="R275" s="41"/>
      <c r="S275" s="85">
        <f t="shared" si="62"/>
        <v>0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61"/>
        <v>CarrosseriePapeterie</v>
      </c>
      <c r="B276" s="11" t="s">
        <v>94</v>
      </c>
      <c r="C276" s="102" t="s">
        <v>57</v>
      </c>
      <c r="D276" s="81"/>
      <c r="E276" s="13"/>
      <c r="F276" s="30">
        <v>0</v>
      </c>
      <c r="G276" s="83"/>
      <c r="H276" s="13"/>
      <c r="I276" s="30"/>
      <c r="J276" s="41"/>
      <c r="K276" s="13"/>
      <c r="L276" s="32">
        <v>0</v>
      </c>
      <c r="M276" s="41"/>
      <c r="N276" s="59">
        <f t="shared" si="58"/>
        <v>0</v>
      </c>
      <c r="O276" s="41"/>
      <c r="P276" s="13"/>
      <c r="Q276" s="32">
        <v>38.18</v>
      </c>
      <c r="R276" s="41"/>
      <c r="S276" s="85">
        <f t="shared" si="62"/>
        <v>-38.18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61"/>
        <v>CarrosserieTéléphone</v>
      </c>
      <c r="B277" s="11" t="s">
        <v>94</v>
      </c>
      <c r="C277" s="102" t="s">
        <v>58</v>
      </c>
      <c r="D277" s="81"/>
      <c r="E277" s="13"/>
      <c r="F277" s="30">
        <v>0</v>
      </c>
      <c r="G277" s="83"/>
      <c r="H277" s="13"/>
      <c r="I277" s="30"/>
      <c r="J277" s="41"/>
      <c r="K277" s="13"/>
      <c r="L277" s="33">
        <v>0</v>
      </c>
      <c r="M277" s="41"/>
      <c r="N277" s="59">
        <f t="shared" si="58"/>
        <v>0</v>
      </c>
      <c r="O277" s="41"/>
      <c r="P277" s="13"/>
      <c r="Q277" s="33">
        <v>7.75</v>
      </c>
      <c r="R277" s="41"/>
      <c r="S277" s="85">
        <f t="shared" si="62"/>
        <v>-7.75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61"/>
        <v>CarrosserieFrais postaux</v>
      </c>
      <c r="B278" s="11" t="s">
        <v>94</v>
      </c>
      <c r="C278" s="102" t="s">
        <v>59</v>
      </c>
      <c r="D278" s="81"/>
      <c r="E278" s="13"/>
      <c r="F278" s="30">
        <v>0</v>
      </c>
      <c r="G278" s="83"/>
      <c r="H278" s="13"/>
      <c r="I278" s="30"/>
      <c r="J278" s="41"/>
      <c r="K278" s="13"/>
      <c r="L278" s="33">
        <v>0</v>
      </c>
      <c r="M278" s="41"/>
      <c r="N278" s="59">
        <f t="shared" si="58"/>
        <v>0</v>
      </c>
      <c r="O278" s="41"/>
      <c r="P278" s="13"/>
      <c r="Q278" s="33">
        <v>7.64</v>
      </c>
      <c r="R278" s="41"/>
      <c r="S278" s="85">
        <f t="shared" si="62"/>
        <v>-7.64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61"/>
        <v>CarrosserieDivers</v>
      </c>
      <c r="B279" s="11" t="s">
        <v>94</v>
      </c>
      <c r="C279" s="102" t="s">
        <v>60</v>
      </c>
      <c r="D279" s="81"/>
      <c r="E279" s="13"/>
      <c r="F279" s="30">
        <v>0</v>
      </c>
      <c r="G279" s="83"/>
      <c r="H279" s="13"/>
      <c r="I279" s="30"/>
      <c r="J279" s="41"/>
      <c r="K279" s="13"/>
      <c r="L279" s="33">
        <v>0</v>
      </c>
      <c r="M279" s="41"/>
      <c r="N279" s="59">
        <f t="shared" si="58"/>
        <v>0</v>
      </c>
      <c r="O279" s="41"/>
      <c r="P279" s="13"/>
      <c r="Q279" s="33">
        <v>36.14</v>
      </c>
      <c r="R279" s="41"/>
      <c r="S279" s="85">
        <f t="shared" si="62"/>
        <v>-36.14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61"/>
        <v>CarrosserieFormation</v>
      </c>
      <c r="B280" s="11" t="s">
        <v>94</v>
      </c>
      <c r="C280" s="102" t="s">
        <v>61</v>
      </c>
      <c r="D280" s="81"/>
      <c r="E280" s="13"/>
      <c r="F280" s="30">
        <v>0</v>
      </c>
      <c r="G280" s="83"/>
      <c r="H280" s="13"/>
      <c r="I280" s="30"/>
      <c r="J280" s="41"/>
      <c r="K280" s="13"/>
      <c r="L280" s="33">
        <v>0</v>
      </c>
      <c r="M280" s="41"/>
      <c r="N280" s="59">
        <f t="shared" si="58"/>
        <v>0</v>
      </c>
      <c r="O280" s="41"/>
      <c r="P280" s="13"/>
      <c r="Q280" s="33">
        <v>-49.72</v>
      </c>
      <c r="R280" s="41"/>
      <c r="S280" s="85">
        <f t="shared" si="62"/>
        <v>49.72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61"/>
        <v>CarrosserieFrais bancaires</v>
      </c>
      <c r="B281" s="11" t="s">
        <v>94</v>
      </c>
      <c r="C281" s="102" t="s">
        <v>62</v>
      </c>
      <c r="D281" s="81"/>
      <c r="E281" s="13"/>
      <c r="F281" s="30">
        <v>0</v>
      </c>
      <c r="G281" s="83"/>
      <c r="H281" s="13"/>
      <c r="I281" s="30"/>
      <c r="J281" s="41"/>
      <c r="K281" s="13"/>
      <c r="L281" s="33">
        <v>0</v>
      </c>
      <c r="M281" s="41"/>
      <c r="N281" s="59">
        <f t="shared" si="58"/>
        <v>0</v>
      </c>
      <c r="O281" s="41"/>
      <c r="P281" s="13"/>
      <c r="Q281" s="33">
        <v>228.27</v>
      </c>
      <c r="R281" s="41"/>
      <c r="S281" s="85">
        <f t="shared" si="62"/>
        <v>-228.27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61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8"/>
        <v>0</v>
      </c>
      <c r="O282" s="41"/>
      <c r="P282" s="13"/>
      <c r="Q282" s="33">
        <v>0</v>
      </c>
      <c r="R282" s="41"/>
      <c r="S282" s="85">
        <f t="shared" si="62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>+B283&amp;C283</f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8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ref="A284" si="63"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8"/>
        <v>0</v>
      </c>
      <c r="O284" s="41"/>
      <c r="P284" s="13"/>
      <c r="Q284" s="33">
        <v>0</v>
      </c>
      <c r="R284" s="41"/>
      <c r="S284" s="85">
        <f t="shared" ref="S284" si="64">L284-Q284</f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 t="e">
        <f>F285/F$244</f>
        <v>#DIV/0!</v>
      </c>
      <c r="F285" s="96">
        <f>+SUM(F267:F284)</f>
        <v>0</v>
      </c>
      <c r="G285" s="97"/>
      <c r="H285" s="95"/>
      <c r="I285" s="96"/>
      <c r="J285" s="97" t="s">
        <v>38</v>
      </c>
      <c r="K285" s="95">
        <f>IF(L262=0,0,L285/L$244)</f>
        <v>0</v>
      </c>
      <c r="L285" s="96">
        <f>+SUM(L267:L284)</f>
        <v>0</v>
      </c>
      <c r="M285" s="100"/>
      <c r="N285" s="96">
        <f>+SUM(N267:N284)</f>
        <v>0</v>
      </c>
      <c r="O285" s="97" t="s">
        <v>38</v>
      </c>
      <c r="P285" s="95">
        <f>IF(Q$244=0,0,Q285/Q$244)</f>
        <v>0</v>
      </c>
      <c r="Q285" s="96">
        <f>+SUM(Q267:Q284)</f>
        <v>909.02999999999986</v>
      </c>
      <c r="R285" s="100"/>
      <c r="S285" s="101">
        <f>L285-Q285</f>
        <v>-909.02999999999986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 t="e">
        <f>F287/F$244</f>
        <v>#DIV/0!</v>
      </c>
      <c r="F287" s="96">
        <f>F266+F285</f>
        <v>0</v>
      </c>
      <c r="G287" s="97"/>
      <c r="H287" s="95"/>
      <c r="I287" s="96"/>
      <c r="J287" s="97" t="s">
        <v>38</v>
      </c>
      <c r="K287" s="95">
        <f>IF(L264=0,0,L287/L$244)</f>
        <v>0</v>
      </c>
      <c r="L287" s="96">
        <f>L266+L285</f>
        <v>0</v>
      </c>
      <c r="M287" s="100"/>
      <c r="N287" s="113">
        <f>L287-F287</f>
        <v>0</v>
      </c>
      <c r="O287" s="97" t="s">
        <v>38</v>
      </c>
      <c r="P287" s="95">
        <f>IF(Q$244=0,0,Q287/Q$244)</f>
        <v>0</v>
      </c>
      <c r="Q287" s="96">
        <f>Q266+Q285</f>
        <v>1996.3000000000002</v>
      </c>
      <c r="R287" s="100"/>
      <c r="S287" s="114">
        <f>L287-Q287</f>
        <v>-1996.3000000000002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/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0</v>
      </c>
      <c r="G289" s="153"/>
      <c r="H289" s="125"/>
      <c r="I289" s="127"/>
      <c r="J289" s="154"/>
      <c r="K289" s="126"/>
      <c r="L289" s="127">
        <f>L250-L287</f>
        <v>0</v>
      </c>
      <c r="M289" s="154"/>
      <c r="N289" s="127">
        <f>L289-F289</f>
        <v>0</v>
      </c>
      <c r="O289" s="154"/>
      <c r="P289" s="126"/>
      <c r="Q289" s="127">
        <f>Q250-Q287</f>
        <v>-1168.4900000000011</v>
      </c>
      <c r="R289" s="154"/>
      <c r="S289" s="129">
        <f>L289-Q289</f>
        <v>1168.4900000000011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Mai 2025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507" t="s">
        <v>5</v>
      </c>
      <c r="E293" s="508"/>
      <c r="F293" s="509"/>
      <c r="G293" s="510"/>
      <c r="H293" s="508"/>
      <c r="I293" s="509"/>
      <c r="J293" s="510" t="s">
        <v>7</v>
      </c>
      <c r="K293" s="508"/>
      <c r="L293" s="509"/>
      <c r="M293" s="510" t="s">
        <v>213</v>
      </c>
      <c r="N293" s="509"/>
      <c r="O293" s="507" t="s">
        <v>8</v>
      </c>
      <c r="P293" s="508"/>
      <c r="Q293" s="509"/>
      <c r="R293" s="505" t="s">
        <v>214</v>
      </c>
      <c r="S293" s="506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299" si="65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65"/>
        <v>PiècesPièces Ro Clients</v>
      </c>
      <c r="B295" s="11" t="s">
        <v>98</v>
      </c>
      <c r="C295" s="29" t="s">
        <v>100</v>
      </c>
      <c r="D295" s="82">
        <v>98824.078278664252</v>
      </c>
      <c r="E295" s="148">
        <f>IF(D295=0,0,F295/D295)</f>
        <v>0.41</v>
      </c>
      <c r="F295" s="85">
        <v>40517.872094252343</v>
      </c>
      <c r="G295" s="82"/>
      <c r="H295" s="148"/>
      <c r="I295" s="85"/>
      <c r="J295" s="30">
        <v>65511.259999999995</v>
      </c>
      <c r="K295" s="148">
        <f t="shared" ref="K295:K300" si="66">IF(J295&lt;=0,0,L295/J295)</f>
        <v>0.41723987601520707</v>
      </c>
      <c r="L295" s="33">
        <v>27333.909999999993</v>
      </c>
      <c r="M295" s="157">
        <f t="shared" ref="M295:M301" si="67">(+J295-D295)/D295</f>
        <v>-0.33709212227336677</v>
      </c>
      <c r="N295" s="59">
        <f t="shared" ref="N295:N304" si="68">L295-F295</f>
        <v>-13183.962094252351</v>
      </c>
      <c r="O295" s="30">
        <v>101379.69</v>
      </c>
      <c r="P295" s="148">
        <f t="shared" ref="P295:P303" si="69">IF(O295=0,0,Q295/O295)</f>
        <v>0.41161696193783981</v>
      </c>
      <c r="Q295" s="33">
        <v>41729.599999999999</v>
      </c>
      <c r="R295" s="157">
        <f>IF(O295=0,0,(J295-O295)/O295)</f>
        <v>-0.35380291654077861</v>
      </c>
      <c r="S295" s="85">
        <f t="shared" ref="S295:S300" si="70">L295-Q295</f>
        <v>-14395.690000000006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65"/>
        <v>PiècesPièces Ro Carrosserie</v>
      </c>
      <c r="B296" s="11" t="s">
        <v>98</v>
      </c>
      <c r="C296" s="29" t="s">
        <v>101</v>
      </c>
      <c r="D296" s="82">
        <v>0</v>
      </c>
      <c r="E296" s="148">
        <f t="shared" ref="E296:E300" si="71">IF(D296=0,0,F296/D296)</f>
        <v>0</v>
      </c>
      <c r="F296" s="85">
        <v>0</v>
      </c>
      <c r="G296" s="82"/>
      <c r="H296" s="148"/>
      <c r="I296" s="85"/>
      <c r="J296" s="30">
        <v>2268.4899999999998</v>
      </c>
      <c r="K296" s="148">
        <f t="shared" si="66"/>
        <v>0.27864791116557697</v>
      </c>
      <c r="L296" s="33">
        <v>632.10999999999967</v>
      </c>
      <c r="M296" s="157" t="e">
        <f t="shared" si="67"/>
        <v>#DIV/0!</v>
      </c>
      <c r="N296" s="59">
        <f t="shared" si="68"/>
        <v>632.10999999999967</v>
      </c>
      <c r="O296" s="30">
        <v>4095.97</v>
      </c>
      <c r="P296" s="148">
        <f t="shared" si="69"/>
        <v>0.28024375178529137</v>
      </c>
      <c r="Q296" s="33">
        <v>1147.8699999999999</v>
      </c>
      <c r="R296" s="157">
        <f t="shared" ref="R296:R300" si="72">IF(O296=0,0,(J296-O296)/O296)</f>
        <v>-0.44616537718782123</v>
      </c>
      <c r="S296" s="85">
        <f t="shared" si="70"/>
        <v>-515.76000000000022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65"/>
        <v>PiècesP/A Garantie</v>
      </c>
      <c r="B297" s="11" t="s">
        <v>98</v>
      </c>
      <c r="C297" s="29" t="s">
        <v>102</v>
      </c>
      <c r="D297" s="82">
        <v>45442.172409065461</v>
      </c>
      <c r="E297" s="148">
        <f t="shared" si="71"/>
        <v>0.28499999999999998</v>
      </c>
      <c r="F297" s="85">
        <v>12951.019136583654</v>
      </c>
      <c r="G297" s="82"/>
      <c r="H297" s="148"/>
      <c r="I297" s="85"/>
      <c r="J297" s="30">
        <v>83552.850000000006</v>
      </c>
      <c r="K297" s="148">
        <f t="shared" si="66"/>
        <v>0.25316120275969056</v>
      </c>
      <c r="L297" s="33">
        <v>21152.340000000011</v>
      </c>
      <c r="M297" s="157">
        <f t="shared" si="67"/>
        <v>0.83866319699389369</v>
      </c>
      <c r="N297" s="59">
        <f t="shared" si="68"/>
        <v>8201.3208634163566</v>
      </c>
      <c r="O297" s="30">
        <v>45144.229999999901</v>
      </c>
      <c r="P297" s="148">
        <f t="shared" si="69"/>
        <v>0.28611474821920607</v>
      </c>
      <c r="Q297" s="33">
        <v>12916.4299999999</v>
      </c>
      <c r="R297" s="157">
        <f t="shared" si="72"/>
        <v>0.85079798680806362</v>
      </c>
      <c r="S297" s="85">
        <f t="shared" si="70"/>
        <v>8235.9100000001108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65"/>
        <v>PiècesVentes Internes</v>
      </c>
      <c r="B298" s="11" t="s">
        <v>98</v>
      </c>
      <c r="C298" s="29" t="s">
        <v>103</v>
      </c>
      <c r="D298" s="82">
        <v>26504.77188254194</v>
      </c>
      <c r="E298" s="148">
        <f t="shared" si="71"/>
        <v>0.35</v>
      </c>
      <c r="F298" s="85">
        <v>9276.6701588896776</v>
      </c>
      <c r="G298" s="82"/>
      <c r="H298" s="148"/>
      <c r="I298" s="85"/>
      <c r="J298" s="30">
        <v>41963.360000000001</v>
      </c>
      <c r="K298" s="148">
        <f t="shared" si="66"/>
        <v>0.30808829416900846</v>
      </c>
      <c r="L298" s="33">
        <v>12928.420000000002</v>
      </c>
      <c r="M298" s="157">
        <f t="shared" si="67"/>
        <v>0.58323792356953896</v>
      </c>
      <c r="N298" s="59">
        <f t="shared" si="68"/>
        <v>3651.7498411103243</v>
      </c>
      <c r="O298" s="30">
        <v>19700.91</v>
      </c>
      <c r="P298" s="148">
        <f t="shared" si="69"/>
        <v>0.28624109241654322</v>
      </c>
      <c r="Q298" s="33">
        <v>5639.21</v>
      </c>
      <c r="R298" s="157">
        <f t="shared" si="72"/>
        <v>1.130021405102607</v>
      </c>
      <c r="S298" s="85">
        <f t="shared" si="70"/>
        <v>7289.2100000000019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65"/>
        <v>PiècesVentes Détails</v>
      </c>
      <c r="B299" s="11" t="s">
        <v>98</v>
      </c>
      <c r="C299" s="29" t="s">
        <v>104</v>
      </c>
      <c r="D299" s="82">
        <v>26444.432310803884</v>
      </c>
      <c r="E299" s="148">
        <f t="shared" si="71"/>
        <v>0.3</v>
      </c>
      <c r="F299" s="85">
        <v>7933.3296932411649</v>
      </c>
      <c r="G299" s="82"/>
      <c r="H299" s="148"/>
      <c r="I299" s="85"/>
      <c r="J299" s="30">
        <v>22031.260000000002</v>
      </c>
      <c r="K299" s="148">
        <f t="shared" si="66"/>
        <v>0.33702384702463678</v>
      </c>
      <c r="L299" s="33">
        <v>7425.0599999999995</v>
      </c>
      <c r="M299" s="157">
        <f t="shared" si="67"/>
        <v>-0.16688474378785884</v>
      </c>
      <c r="N299" s="59">
        <f t="shared" si="68"/>
        <v>-508.26969324116544</v>
      </c>
      <c r="O299" s="30">
        <v>26564.869999999901</v>
      </c>
      <c r="P299" s="148">
        <f t="shared" si="69"/>
        <v>0.31206363893367522</v>
      </c>
      <c r="Q299" s="33">
        <v>8289.9299999999894</v>
      </c>
      <c r="R299" s="157">
        <f t="shared" si="72"/>
        <v>-0.17066185529987218</v>
      </c>
      <c r="S299" s="85">
        <f t="shared" si="70"/>
        <v>-864.86999999998989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>+B300&amp;C300</f>
        <v>PiècesVentes de Gros</v>
      </c>
      <c r="B300" s="11" t="s">
        <v>98</v>
      </c>
      <c r="C300" s="29" t="s">
        <v>105</v>
      </c>
      <c r="D300" s="82">
        <v>67457.856416273164</v>
      </c>
      <c r="E300" s="148">
        <f t="shared" si="71"/>
        <v>0.2</v>
      </c>
      <c r="F300" s="85">
        <v>13491.571283254634</v>
      </c>
      <c r="G300" s="82"/>
      <c r="H300" s="148"/>
      <c r="I300" s="85"/>
      <c r="J300" s="30">
        <v>83638.080000000002</v>
      </c>
      <c r="K300" s="148">
        <f t="shared" si="66"/>
        <v>0.16678575117936709</v>
      </c>
      <c r="L300" s="33">
        <v>13949.64</v>
      </c>
      <c r="M300" s="157">
        <f t="shared" si="67"/>
        <v>0.23985677048320217</v>
      </c>
      <c r="N300" s="59">
        <f t="shared" si="68"/>
        <v>458.06871674536524</v>
      </c>
      <c r="O300" s="30">
        <v>66902.58</v>
      </c>
      <c r="P300" s="148">
        <f t="shared" si="69"/>
        <v>0.2107130995546061</v>
      </c>
      <c r="Q300" s="33">
        <v>14097.25</v>
      </c>
      <c r="R300" s="157">
        <f t="shared" si="72"/>
        <v>0.25014730373626848</v>
      </c>
      <c r="S300" s="85">
        <f t="shared" si="70"/>
        <v>-147.61000000000058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>+B301&amp;C301</f>
        <v>Pièces[...]</v>
      </c>
      <c r="B301" s="11" t="s">
        <v>98</v>
      </c>
      <c r="C301" s="29" t="s">
        <v>19</v>
      </c>
      <c r="D301" s="82">
        <v>0</v>
      </c>
      <c r="E301" s="148">
        <f>IF(D301=0,0,F301/D301)</f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67"/>
        <v>#DIV/0!</v>
      </c>
      <c r="N301" s="59">
        <f t="shared" si="68"/>
        <v>0</v>
      </c>
      <c r="O301" s="30">
        <v>0</v>
      </c>
      <c r="P301" s="148">
        <f t="shared" si="69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ref="A302:A321" si="73">+B302&amp;C302</f>
        <v>PiècesEscomptes</v>
      </c>
      <c r="B302" s="11" t="s">
        <v>98</v>
      </c>
      <c r="C302" s="29" t="s">
        <v>106</v>
      </c>
      <c r="D302" s="82">
        <v>0</v>
      </c>
      <c r="E302" s="148">
        <f t="shared" ref="E302:E303" si="74">IF(D302=0,0,F302/D302)</f>
        <v>0</v>
      </c>
      <c r="F302" s="85">
        <v>6924.1589126328845</v>
      </c>
      <c r="G302" s="82"/>
      <c r="H302" s="148"/>
      <c r="I302" s="85"/>
      <c r="J302" s="30">
        <v>0</v>
      </c>
      <c r="K302" s="148">
        <f>IF(J302&lt;=0,0,L302/J302)</f>
        <v>0</v>
      </c>
      <c r="L302" s="33">
        <v>5281.11</v>
      </c>
      <c r="M302" s="157"/>
      <c r="N302" s="59">
        <f t="shared" si="68"/>
        <v>-1643.0489126328848</v>
      </c>
      <c r="O302" s="30">
        <v>0</v>
      </c>
      <c r="P302" s="148">
        <f t="shared" si="69"/>
        <v>0</v>
      </c>
      <c r="Q302" s="33">
        <v>7049.22</v>
      </c>
      <c r="R302" s="157">
        <f t="shared" ref="R302:R303" si="75">IF(O302=0,0,(J302-O302)/O302)</f>
        <v>0</v>
      </c>
      <c r="S302" s="85">
        <f>L302-Q302</f>
        <v>-1768.1100000000006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73"/>
        <v>PiècesRectif. Inventaire</v>
      </c>
      <c r="B303" s="11" t="s">
        <v>98</v>
      </c>
      <c r="C303" s="86" t="s">
        <v>107</v>
      </c>
      <c r="D303" s="82">
        <v>0</v>
      </c>
      <c r="E303" s="148">
        <f t="shared" si="74"/>
        <v>0</v>
      </c>
      <c r="F303" s="85">
        <v>0</v>
      </c>
      <c r="G303" s="82"/>
      <c r="H303" s="148"/>
      <c r="I303" s="85"/>
      <c r="J303" s="30">
        <v>0</v>
      </c>
      <c r="K303" s="148">
        <f>IF(J303&lt;=0,0,L303/J303)</f>
        <v>0</v>
      </c>
      <c r="L303" s="33">
        <v>0</v>
      </c>
      <c r="M303" s="157"/>
      <c r="N303" s="59">
        <f t="shared" si="68"/>
        <v>0</v>
      </c>
      <c r="O303" s="30">
        <v>0</v>
      </c>
      <c r="P303" s="148">
        <f t="shared" si="69"/>
        <v>0</v>
      </c>
      <c r="Q303" s="33">
        <v>0</v>
      </c>
      <c r="R303" s="157">
        <f t="shared" si="75"/>
        <v>0</v>
      </c>
      <c r="S303" s="85">
        <f>L303-Q303</f>
        <v>0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73"/>
        <v>PiècesSous-total Pièces</v>
      </c>
      <c r="B304" s="11" t="s">
        <v>98</v>
      </c>
      <c r="C304" s="53" t="s">
        <v>108</v>
      </c>
      <c r="D304" s="195">
        <f>SUM(D295:D303)</f>
        <v>264673.3112973487</v>
      </c>
      <c r="E304" s="213">
        <f>IF(D304&lt;=0,0,F304/D304)</f>
        <v>0.34417758568983031</v>
      </c>
      <c r="F304" s="199">
        <f>SUM(F295:F303)</f>
        <v>91094.621278854363</v>
      </c>
      <c r="G304" s="195"/>
      <c r="H304" s="213"/>
      <c r="I304" s="199"/>
      <c r="J304" s="195">
        <f>SUM(J295:J303)</f>
        <v>298965.30000000005</v>
      </c>
      <c r="K304" s="213">
        <f>IF(J304&lt;=0,0,L304/J304)</f>
        <v>0.29669861351802362</v>
      </c>
      <c r="L304" s="197">
        <f>SUM(L295:L303)</f>
        <v>88702.59</v>
      </c>
      <c r="M304" s="214">
        <f>(+J304-D304)/D304</f>
        <v>0.12956345516879797</v>
      </c>
      <c r="N304" s="197">
        <f t="shared" si="68"/>
        <v>-2392.031278854367</v>
      </c>
      <c r="O304" s="195">
        <f>SUM(O295:O303)</f>
        <v>263788.24999999983</v>
      </c>
      <c r="P304" s="213">
        <f>IF(O304&lt;=0,0,Q304/O304)</f>
        <v>0.34447899025070278</v>
      </c>
      <c r="Q304" s="197">
        <f t="shared" ref="Q304" si="76">SUM(Q295:Q303)</f>
        <v>90869.509999999893</v>
      </c>
      <c r="R304" s="214">
        <f>IF(O304=0,0,(J304-O304)/O304)</f>
        <v>0.13335336202427608</v>
      </c>
      <c r="S304" s="199">
        <f>L304-Q304</f>
        <v>-2166.9199999998964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73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-2.6258754307040794E-2</v>
      </c>
      <c r="O305" s="41"/>
      <c r="P305" s="13"/>
      <c r="Q305" s="40"/>
      <c r="R305" s="41"/>
      <c r="S305" s="44">
        <f>IF(Q304=0,0,S304/Q304)</f>
        <v>-2.3846502528734874E-2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73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73"/>
        <v>PiècesVentes Pneus</v>
      </c>
      <c r="B307" s="11" t="s">
        <v>98</v>
      </c>
      <c r="C307" s="29" t="s">
        <v>109</v>
      </c>
      <c r="D307" s="82">
        <v>78606.103678435378</v>
      </c>
      <c r="E307" s="148">
        <f>IF(D307=0,0,F307/D307)</f>
        <v>0.24</v>
      </c>
      <c r="F307" s="110">
        <v>18865.46488282449</v>
      </c>
      <c r="G307" s="82"/>
      <c r="H307" s="148"/>
      <c r="I307" s="110"/>
      <c r="J307" s="30">
        <v>101694.56</v>
      </c>
      <c r="K307" s="148">
        <f>IF(J307&lt;=0,0,L307/J307)</f>
        <v>0.23758802830751227</v>
      </c>
      <c r="L307" s="33">
        <v>24161.410000000003</v>
      </c>
      <c r="M307" s="157">
        <f>(+J307-D307)/D307</f>
        <v>0.29372345455533189</v>
      </c>
      <c r="N307" s="59">
        <f>L307-F307</f>
        <v>5295.9451171755136</v>
      </c>
      <c r="O307" s="30">
        <v>77451.34</v>
      </c>
      <c r="P307" s="148">
        <f t="shared" ref="P307:P308" si="77">IF(O307=0,0,Q307/O307)</f>
        <v>0.22690775911688424</v>
      </c>
      <c r="Q307" s="33">
        <v>17574.309999999899</v>
      </c>
      <c r="R307" s="157">
        <f>IF(O307=0,0,(J307-O307)/O307)</f>
        <v>0.31301227325440723</v>
      </c>
      <c r="S307" s="85">
        <f>L307-Q307</f>
        <v>6587.100000000104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73"/>
        <v>PiècesHuiles et Graisse</v>
      </c>
      <c r="B308" s="11" t="s">
        <v>98</v>
      </c>
      <c r="C308" s="86" t="s">
        <v>110</v>
      </c>
      <c r="D308" s="82">
        <v>14636.104976159215</v>
      </c>
      <c r="E308" s="148">
        <f>IF(D308=0,0,F308/D308)</f>
        <v>0.34399999999999997</v>
      </c>
      <c r="F308" s="92">
        <v>5034.8201117987692</v>
      </c>
      <c r="G308" s="82"/>
      <c r="H308" s="148"/>
      <c r="I308" s="92"/>
      <c r="J308" s="30">
        <v>14277.5</v>
      </c>
      <c r="K308" s="148">
        <f>IF(J308&lt;=0,0,L308/J308)</f>
        <v>0.3585774820521801</v>
      </c>
      <c r="L308" s="33">
        <v>5119.5900000000011</v>
      </c>
      <c r="M308" s="157">
        <f>(+J308-D308)/D308</f>
        <v>-2.4501394103372948E-2</v>
      </c>
      <c r="N308" s="59">
        <f>L308-F308</f>
        <v>84.769888201231879</v>
      </c>
      <c r="O308" s="30">
        <v>16379.65</v>
      </c>
      <c r="P308" s="148">
        <f t="shared" si="77"/>
        <v>0.34580103970475562</v>
      </c>
      <c r="Q308" s="33">
        <v>5664.1</v>
      </c>
      <c r="R308" s="157">
        <f>IF(O308=0,0,(J308-O308)/O308)</f>
        <v>-0.12833912812544832</v>
      </c>
      <c r="S308" s="85">
        <f>L308-Q308</f>
        <v>-544.50999999999931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73"/>
        <v>PiècesSous-total Pièces et Acc.</v>
      </c>
      <c r="B309" s="11" t="s">
        <v>98</v>
      </c>
      <c r="C309" s="53" t="s">
        <v>111</v>
      </c>
      <c r="D309" s="195">
        <f>D304+D307+D308</f>
        <v>357915.51995194331</v>
      </c>
      <c r="E309" s="213">
        <f>IF(D309&lt;=0,0,F309/D309)</f>
        <v>0.32129063944731368</v>
      </c>
      <c r="F309" s="197">
        <f>F304+F307+F308</f>
        <v>114994.90627347762</v>
      </c>
      <c r="G309" s="198"/>
      <c r="H309" s="213"/>
      <c r="I309" s="197"/>
      <c r="J309" s="198">
        <f>J304+J307+J308</f>
        <v>414937.36000000004</v>
      </c>
      <c r="K309" s="213">
        <f>IF(J309&lt;=0,0,L309/J309)</f>
        <v>0.28434072554951423</v>
      </c>
      <c r="L309" s="197">
        <f>L304+L307+L308</f>
        <v>117983.59</v>
      </c>
      <c r="M309" s="214">
        <f>(+J309-D309)/D309</f>
        <v>0.15931647796584222</v>
      </c>
      <c r="N309" s="197">
        <f>L309-F309</f>
        <v>2988.683726522373</v>
      </c>
      <c r="O309" s="198">
        <f>O304+O307+O308</f>
        <v>357619.23999999987</v>
      </c>
      <c r="P309" s="213">
        <f>IF(O309&lt;=0,0,Q309/O309)</f>
        <v>0.31907656869915568</v>
      </c>
      <c r="Q309" s="197">
        <f t="shared" ref="Q309" si="78">Q304+Q307+Q308</f>
        <v>114107.91999999979</v>
      </c>
      <c r="R309" s="214">
        <f>IF(O309=0,0,(J309-O309)/O309)</f>
        <v>0.16027694706806098</v>
      </c>
      <c r="S309" s="199">
        <f>L309-Q309</f>
        <v>3875.670000000202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73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2.5989705312814207E-2</v>
      </c>
      <c r="O310" s="41"/>
      <c r="P310" s="13"/>
      <c r="Q310" s="40"/>
      <c r="R310" s="41"/>
      <c r="S310" s="44">
        <f>IF(Q309=0,0,S309/Q309)</f>
        <v>3.3964951775478938E-2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73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73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73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73"/>
        <v>PiècesTotal Dépt. Pièces</v>
      </c>
      <c r="B314" s="11" t="s">
        <v>98</v>
      </c>
      <c r="C314" s="62" t="s">
        <v>113</v>
      </c>
      <c r="D314" s="63">
        <f>D309+D312</f>
        <v>357915.51995194331</v>
      </c>
      <c r="E314" s="219">
        <f>IF(D314&lt;=0,0,F314/D314)</f>
        <v>0.32129063944731368</v>
      </c>
      <c r="F314" s="65">
        <f>F309+F312</f>
        <v>114994.90627347762</v>
      </c>
      <c r="G314" s="66"/>
      <c r="H314" s="219"/>
      <c r="I314" s="65"/>
      <c r="J314" s="66">
        <f>J309+J312</f>
        <v>414937.36000000004</v>
      </c>
      <c r="K314" s="219">
        <f>IF(J314&lt;=0,0,L314/J314)</f>
        <v>0.28434072554951423</v>
      </c>
      <c r="L314" s="65">
        <f>L309+L312</f>
        <v>117983.59</v>
      </c>
      <c r="M314" s="220">
        <f>(+J314-D314)/D314</f>
        <v>0.15931647796584222</v>
      </c>
      <c r="N314" s="221">
        <f>L314-F314</f>
        <v>2988.683726522373</v>
      </c>
      <c r="O314" s="66">
        <f>O309+O312</f>
        <v>357619.23999999987</v>
      </c>
      <c r="P314" s="219">
        <f>IF(O314&lt;=0,0,Q314/O314)</f>
        <v>0.31907656869915568</v>
      </c>
      <c r="Q314" s="65">
        <f t="shared" ref="Q314" si="79">Q309+Q312</f>
        <v>114107.91999999979</v>
      </c>
      <c r="R314" s="220">
        <f>IF(O314=0,0,(J314-O314)/O314)</f>
        <v>0.16027694706806098</v>
      </c>
      <c r="S314" s="222">
        <f>L314-Q314</f>
        <v>3875.670000000202</v>
      </c>
      <c r="T314" s="13"/>
      <c r="U314" s="13"/>
      <c r="V314" s="11" t="s">
        <v>221</v>
      </c>
      <c r="W314" s="497">
        <v>120658</v>
      </c>
      <c r="X314" s="490">
        <f>L314-W314</f>
        <v>-2674.4100000000035</v>
      </c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73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2.5989705312814207E-2</v>
      </c>
      <c r="O315" s="227"/>
      <c r="P315" s="225"/>
      <c r="Q315" s="226"/>
      <c r="R315" s="228"/>
      <c r="S315" s="75">
        <f>IF(Q314=0,0,S314/Q314)</f>
        <v>3.3964951775478938E-2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73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73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73"/>
        <v>PiècesSalaires cadres</v>
      </c>
      <c r="B318" s="11" t="s">
        <v>98</v>
      </c>
      <c r="C318" s="102" t="s">
        <v>40</v>
      </c>
      <c r="D318" s="13"/>
      <c r="E318" s="13"/>
      <c r="F318" s="30">
        <v>4274.9142057176541</v>
      </c>
      <c r="G318" s="41"/>
      <c r="H318" s="13"/>
      <c r="I318" s="30"/>
      <c r="J318" s="41"/>
      <c r="K318" s="13"/>
      <c r="L318" s="33">
        <v>2969.49</v>
      </c>
      <c r="M318" s="41"/>
      <c r="N318" s="59">
        <f t="shared" ref="N318:N348" si="80">L318-F318</f>
        <v>-1305.4242057176543</v>
      </c>
      <c r="O318" s="41"/>
      <c r="P318" s="13"/>
      <c r="Q318" s="33">
        <v>4172.8</v>
      </c>
      <c r="R318" s="41"/>
      <c r="S318" s="85">
        <f t="shared" ref="S318:S321" si="81">L318-Q318</f>
        <v>-1203.3100000000004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73"/>
        <v>PiècesSalaires commis</v>
      </c>
      <c r="B319" s="11" t="s">
        <v>98</v>
      </c>
      <c r="C319" s="103" t="s">
        <v>41</v>
      </c>
      <c r="D319" s="81"/>
      <c r="E319" s="13"/>
      <c r="F319" s="22">
        <v>2836.5762452107283</v>
      </c>
      <c r="G319" s="83"/>
      <c r="H319" s="13"/>
      <c r="I319" s="22"/>
      <c r="J319" s="41"/>
      <c r="K319" s="13"/>
      <c r="L319" s="33">
        <v>3144.66</v>
      </c>
      <c r="M319" s="41"/>
      <c r="N319" s="59">
        <f t="shared" si="80"/>
        <v>308.08375478927155</v>
      </c>
      <c r="O319" s="41"/>
      <c r="P319" s="13"/>
      <c r="Q319" s="33">
        <v>3155.8</v>
      </c>
      <c r="R319" s="41"/>
      <c r="S319" s="85">
        <f t="shared" si="81"/>
        <v>-11.140000000000327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73"/>
        <v>PiècesSalaires autres</v>
      </c>
      <c r="B320" s="11" t="s">
        <v>98</v>
      </c>
      <c r="C320" s="102" t="s">
        <v>42</v>
      </c>
      <c r="D320" s="104"/>
      <c r="E320" s="105"/>
      <c r="F320" s="30">
        <v>13715.474406130268</v>
      </c>
      <c r="G320" s="106"/>
      <c r="H320" s="105"/>
      <c r="I320" s="30"/>
      <c r="J320" s="107"/>
      <c r="K320" s="105"/>
      <c r="L320" s="108">
        <v>11625.86</v>
      </c>
      <c r="M320" s="107"/>
      <c r="N320" s="109">
        <f t="shared" si="80"/>
        <v>-2089.6144061302675</v>
      </c>
      <c r="O320" s="107"/>
      <c r="P320" s="105"/>
      <c r="Q320" s="108">
        <v>13222.15</v>
      </c>
      <c r="R320" s="107"/>
      <c r="S320" s="110">
        <f t="shared" si="81"/>
        <v>-1596.2899999999991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 hidden="1">
      <c r="A321" t="str">
        <f t="shared" si="73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80"/>
        <v>0</v>
      </c>
      <c r="O321" s="41"/>
      <c r="P321" s="13"/>
      <c r="Q321" s="33">
        <v>0</v>
      </c>
      <c r="R321" s="41"/>
      <c r="S321" s="85">
        <f t="shared" si="81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>+B322&amp;C322</f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80"/>
        <v>0</v>
      </c>
      <c r="O322" s="41"/>
      <c r="P322" s="13"/>
      <c r="Q322" s="33"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>+B323&amp;C323</f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80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>+B324&amp;C324</f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80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ref="A325:A336" si="82">+B325&amp;C325</f>
        <v>PiècesSalaires en absences</v>
      </c>
      <c r="B325" s="11" t="s">
        <v>98</v>
      </c>
      <c r="C325" s="103" t="s">
        <v>44</v>
      </c>
      <c r="D325" s="81"/>
      <c r="E325" s="13"/>
      <c r="F325" s="22">
        <v>2759.054272306129</v>
      </c>
      <c r="G325" s="83"/>
      <c r="H325" s="13"/>
      <c r="I325" s="22"/>
      <c r="J325" s="41"/>
      <c r="K325" s="13"/>
      <c r="L325" s="33">
        <v>2394.98</v>
      </c>
      <c r="M325" s="41"/>
      <c r="N325" s="59">
        <f t="shared" si="80"/>
        <v>-364.07427230612893</v>
      </c>
      <c r="O325" s="41"/>
      <c r="P325" s="13"/>
      <c r="Q325" s="33">
        <v>4672.66</v>
      </c>
      <c r="R325" s="41"/>
      <c r="S325" s="85">
        <f t="shared" ref="S325:S336" si="83">L325-Q325</f>
        <v>-2277.6799999999998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82"/>
        <v>PiècesDéduction à la source</v>
      </c>
      <c r="B326" s="11" t="s">
        <v>98</v>
      </c>
      <c r="C326" s="102" t="s">
        <v>45</v>
      </c>
      <c r="D326" s="104"/>
      <c r="E326" s="105"/>
      <c r="F326" s="30">
        <v>3162.0255586697735</v>
      </c>
      <c r="G326" s="106"/>
      <c r="H326" s="105"/>
      <c r="I326" s="30"/>
      <c r="J326" s="107"/>
      <c r="K326" s="105"/>
      <c r="L326" s="108">
        <v>3291.54</v>
      </c>
      <c r="M326" s="107"/>
      <c r="N326" s="109">
        <f t="shared" si="80"/>
        <v>129.51444133022642</v>
      </c>
      <c r="O326" s="107"/>
      <c r="P326" s="105"/>
      <c r="Q326" s="108">
        <v>3821.73</v>
      </c>
      <c r="R326" s="107"/>
      <c r="S326" s="110">
        <f t="shared" si="83"/>
        <v>-530.19000000000005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82"/>
        <v>PiècesBénéfices marginaux</v>
      </c>
      <c r="B327" s="11" t="s">
        <v>98</v>
      </c>
      <c r="C327" s="102" t="s">
        <v>46</v>
      </c>
      <c r="D327" s="81"/>
      <c r="E327" s="13"/>
      <c r="F327" s="30">
        <v>1657.7766294134985</v>
      </c>
      <c r="G327" s="83"/>
      <c r="H327" s="13"/>
      <c r="I327" s="30"/>
      <c r="J327" s="41"/>
      <c r="K327" s="13"/>
      <c r="L327" s="33">
        <v>1691.85</v>
      </c>
      <c r="M327" s="41"/>
      <c r="N327" s="59">
        <f t="shared" si="80"/>
        <v>34.073370586501369</v>
      </c>
      <c r="O327" s="41"/>
      <c r="P327" s="13"/>
      <c r="Q327" s="33">
        <v>1865.62</v>
      </c>
      <c r="R327" s="41"/>
      <c r="S327" s="85">
        <f t="shared" si="83"/>
        <v>-173.76999999999998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82"/>
        <v>PiècesCsst</v>
      </c>
      <c r="B328" s="11" t="s">
        <v>98</v>
      </c>
      <c r="C328" s="102" t="s">
        <v>47</v>
      </c>
      <c r="D328" s="81"/>
      <c r="E328" s="13"/>
      <c r="F328" s="30">
        <v>355.23784916003535</v>
      </c>
      <c r="G328" s="83"/>
      <c r="H328" s="13"/>
      <c r="I328" s="30"/>
      <c r="J328" s="41"/>
      <c r="K328" s="13"/>
      <c r="L328" s="33">
        <v>310.98</v>
      </c>
      <c r="M328" s="467"/>
      <c r="N328" s="146">
        <f t="shared" si="80"/>
        <v>-44.257849160035335</v>
      </c>
      <c r="O328" s="41"/>
      <c r="P328" s="13"/>
      <c r="Q328" s="33">
        <v>335.55</v>
      </c>
      <c r="R328" s="41"/>
      <c r="S328" s="85">
        <f t="shared" si="83"/>
        <v>-24.569999999999993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82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80"/>
        <v>0</v>
      </c>
      <c r="O329" s="23"/>
      <c r="P329" s="111"/>
      <c r="Q329" s="33">
        <v>0</v>
      </c>
      <c r="R329" s="23"/>
      <c r="S329" s="92">
        <f t="shared" si="83"/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82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0.25010724473490464</v>
      </c>
      <c r="F330" s="96">
        <f>+SUM(F318:F329)</f>
        <v>28761.059166608091</v>
      </c>
      <c r="G330" s="97"/>
      <c r="H330" s="95"/>
      <c r="I330" s="96"/>
      <c r="J330" s="97" t="s">
        <v>38</v>
      </c>
      <c r="K330" s="95">
        <f>L330/L$314</f>
        <v>0.21553302455027856</v>
      </c>
      <c r="L330" s="96">
        <f>+SUM(L318:L329)</f>
        <v>25429.360000000001</v>
      </c>
      <c r="M330" s="147"/>
      <c r="N330" s="113">
        <f t="shared" si="80"/>
        <v>-3331.6991666080903</v>
      </c>
      <c r="O330" s="97" t="s">
        <v>38</v>
      </c>
      <c r="P330" s="95">
        <f>Q330/Q$314</f>
        <v>0.27383121171606717</v>
      </c>
      <c r="Q330" s="96">
        <f>+SUM(Q318:Q329)</f>
        <v>31246.309999999998</v>
      </c>
      <c r="R330" s="147"/>
      <c r="S330" s="114">
        <f t="shared" si="83"/>
        <v>-5816.9499999999971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82"/>
        <v>PiècesPublicité 2</v>
      </c>
      <c r="B331" s="11" t="s">
        <v>98</v>
      </c>
      <c r="C331" s="211" t="s">
        <v>49</v>
      </c>
      <c r="D331" s="81"/>
      <c r="E331" s="13"/>
      <c r="F331" s="30">
        <v>2612.5755286127569</v>
      </c>
      <c r="G331" s="83"/>
      <c r="H331" s="13"/>
      <c r="I331" s="30"/>
      <c r="J331" s="41"/>
      <c r="K331" s="13"/>
      <c r="L331" s="33">
        <v>2986.44</v>
      </c>
      <c r="M331" s="41"/>
      <c r="N331" s="59">
        <f t="shared" si="80"/>
        <v>373.86447138724316</v>
      </c>
      <c r="O331" s="41"/>
      <c r="P331" s="13"/>
      <c r="Q331" s="33">
        <v>3518.3</v>
      </c>
      <c r="R331" s="41"/>
      <c r="S331" s="85">
        <f t="shared" si="83"/>
        <v>-531.86000000000013</v>
      </c>
      <c r="T331" s="13"/>
      <c r="U331" s="13"/>
      <c r="V331" s="462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82"/>
        <v>PiècesService gratuit 2</v>
      </c>
      <c r="B332" s="11" t="s">
        <v>98</v>
      </c>
      <c r="C332" s="102" t="s">
        <v>50</v>
      </c>
      <c r="D332" s="81"/>
      <c r="E332" s="13"/>
      <c r="F332" s="30">
        <v>575</v>
      </c>
      <c r="G332" s="83"/>
      <c r="H332" s="13"/>
      <c r="I332" s="30"/>
      <c r="J332" s="41"/>
      <c r="K332" s="13"/>
      <c r="L332" s="30">
        <v>231.83999999999997</v>
      </c>
      <c r="M332" s="41"/>
      <c r="N332" s="59">
        <f t="shared" si="80"/>
        <v>-343.16</v>
      </c>
      <c r="O332" s="41"/>
      <c r="P332" s="13"/>
      <c r="Q332" s="33">
        <v>385.10999999999899</v>
      </c>
      <c r="R332" s="41"/>
      <c r="S332" s="85">
        <f t="shared" si="83"/>
        <v>-153.26999999999902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82"/>
        <v>PiècesFrais véhicules de cie</v>
      </c>
      <c r="B333" s="11" t="s">
        <v>98</v>
      </c>
      <c r="C333" s="103" t="s">
        <v>51</v>
      </c>
      <c r="D333" s="87"/>
      <c r="E333" s="111"/>
      <c r="F333" s="22">
        <v>6053.9333333333334</v>
      </c>
      <c r="G333" s="89"/>
      <c r="H333" s="111"/>
      <c r="I333" s="22"/>
      <c r="J333" s="23"/>
      <c r="K333" s="111"/>
      <c r="L333" s="22">
        <v>7331.869999999999</v>
      </c>
      <c r="M333" s="23"/>
      <c r="N333" s="91">
        <f t="shared" si="80"/>
        <v>1277.9366666666656</v>
      </c>
      <c r="O333" s="23"/>
      <c r="P333" s="111"/>
      <c r="Q333" s="33">
        <v>4525.33</v>
      </c>
      <c r="R333" s="23"/>
      <c r="S333" s="92">
        <f t="shared" si="83"/>
        <v>2806.5399999999991</v>
      </c>
      <c r="T333" s="13"/>
      <c r="U333" s="13"/>
      <c r="V333" s="462" t="s">
        <v>261</v>
      </c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82"/>
        <v>PiècesInformatique</v>
      </c>
      <c r="B334" s="11" t="s">
        <v>98</v>
      </c>
      <c r="C334" s="102" t="s">
        <v>52</v>
      </c>
      <c r="D334" s="81"/>
      <c r="E334" s="13"/>
      <c r="F334" s="30">
        <v>1826.8000000000002</v>
      </c>
      <c r="G334" s="83"/>
      <c r="H334" s="13"/>
      <c r="I334" s="30"/>
      <c r="J334" s="41"/>
      <c r="K334" s="13"/>
      <c r="L334" s="108">
        <v>2348.7800000000002</v>
      </c>
      <c r="M334" s="41"/>
      <c r="N334" s="59">
        <f t="shared" si="80"/>
        <v>521.98</v>
      </c>
      <c r="O334" s="41"/>
      <c r="P334" s="13"/>
      <c r="Q334" s="108">
        <v>1829.89</v>
      </c>
      <c r="R334" s="41"/>
      <c r="S334" s="85">
        <f t="shared" si="83"/>
        <v>518.8900000000001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82"/>
        <v>PiècesFrais de déplacement</v>
      </c>
      <c r="B335" s="11" t="s">
        <v>98</v>
      </c>
      <c r="C335" s="102" t="s">
        <v>53</v>
      </c>
      <c r="D335" s="81"/>
      <c r="E335" s="13"/>
      <c r="F335" s="30">
        <v>366.66666666666669</v>
      </c>
      <c r="G335" s="83"/>
      <c r="H335" s="13"/>
      <c r="I335" s="30"/>
      <c r="J335" s="41"/>
      <c r="K335" s="13"/>
      <c r="L335" s="33">
        <v>220.64</v>
      </c>
      <c r="M335" s="41"/>
      <c r="N335" s="59">
        <f t="shared" si="80"/>
        <v>-146.0266666666667</v>
      </c>
      <c r="O335" s="41"/>
      <c r="P335" s="13"/>
      <c r="Q335" s="33">
        <v>167.9</v>
      </c>
      <c r="R335" s="41"/>
      <c r="S335" s="85">
        <f t="shared" si="83"/>
        <v>52.739999999999981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82"/>
        <v>PiècesServices extérieurs</v>
      </c>
      <c r="B336" s="11" t="s">
        <v>98</v>
      </c>
      <c r="C336" s="230" t="s">
        <v>54</v>
      </c>
      <c r="D336" s="87"/>
      <c r="E336" s="111"/>
      <c r="F336" s="22">
        <v>2023.2</v>
      </c>
      <c r="G336" s="89"/>
      <c r="H336" s="111"/>
      <c r="I336" s="22"/>
      <c r="J336" s="23"/>
      <c r="K336" s="111"/>
      <c r="L336" s="48">
        <v>2261.3900000000003</v>
      </c>
      <c r="M336" s="23"/>
      <c r="N336" s="91">
        <f t="shared" si="80"/>
        <v>238.19000000000028</v>
      </c>
      <c r="O336" s="23"/>
      <c r="P336" s="111"/>
      <c r="Q336" s="48">
        <v>2176.35</v>
      </c>
      <c r="R336" s="23"/>
      <c r="S336" s="92">
        <f t="shared" si="83"/>
        <v>85.040000000000418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 hidden="1">
      <c r="A337" t="str">
        <f>+B337&amp;C337</f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80"/>
        <v>0</v>
      </c>
      <c r="O337" s="41"/>
      <c r="P337" s="13"/>
      <c r="Q337" s="33"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ref="A338:A343" si="84">+B338&amp;C338</f>
        <v>PiècesFournitures autres</v>
      </c>
      <c r="B338" s="11" t="s">
        <v>98</v>
      </c>
      <c r="C338" s="102" t="s">
        <v>55</v>
      </c>
      <c r="D338" s="81"/>
      <c r="E338" s="13"/>
      <c r="F338" s="30">
        <v>10</v>
      </c>
      <c r="G338" s="83"/>
      <c r="H338" s="13"/>
      <c r="I338" s="30"/>
      <c r="J338" s="41"/>
      <c r="K338" s="13"/>
      <c r="L338" s="33">
        <v>0</v>
      </c>
      <c r="M338" s="41"/>
      <c r="N338" s="59">
        <f t="shared" si="80"/>
        <v>-10</v>
      </c>
      <c r="O338" s="41"/>
      <c r="P338" s="13"/>
      <c r="Q338" s="33">
        <v>0</v>
      </c>
      <c r="R338" s="41"/>
      <c r="S338" s="85">
        <f t="shared" ref="S338:S343" si="85">L338-Q338</f>
        <v>0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84"/>
        <v>PiècesUniformes</v>
      </c>
      <c r="B339" s="11" t="s">
        <v>98</v>
      </c>
      <c r="C339" s="102" t="s">
        <v>56</v>
      </c>
      <c r="D339" s="81"/>
      <c r="E339" s="13"/>
      <c r="F339" s="30">
        <v>20</v>
      </c>
      <c r="G339" s="83"/>
      <c r="H339" s="13"/>
      <c r="I339" s="30"/>
      <c r="J339" s="41"/>
      <c r="K339" s="13"/>
      <c r="L339" s="33">
        <v>0</v>
      </c>
      <c r="M339" s="41"/>
      <c r="N339" s="59">
        <f t="shared" si="80"/>
        <v>-20</v>
      </c>
      <c r="O339" s="41"/>
      <c r="P339" s="13"/>
      <c r="Q339" s="33">
        <v>0</v>
      </c>
      <c r="R339" s="41"/>
      <c r="S339" s="85">
        <f t="shared" si="85"/>
        <v>0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84"/>
        <v>PiècesPapeterie</v>
      </c>
      <c r="B340" s="11" t="s">
        <v>98</v>
      </c>
      <c r="C340" s="102" t="s">
        <v>57</v>
      </c>
      <c r="D340" s="81"/>
      <c r="E340" s="13"/>
      <c r="F340" s="30">
        <v>315</v>
      </c>
      <c r="G340" s="83"/>
      <c r="H340" s="13"/>
      <c r="I340" s="30"/>
      <c r="J340" s="41"/>
      <c r="K340" s="13"/>
      <c r="L340" s="32">
        <v>558.59</v>
      </c>
      <c r="M340" s="41"/>
      <c r="N340" s="59">
        <f t="shared" si="80"/>
        <v>243.59000000000003</v>
      </c>
      <c r="O340" s="41"/>
      <c r="P340" s="13"/>
      <c r="Q340" s="32">
        <v>305.52999999999997</v>
      </c>
      <c r="R340" s="41"/>
      <c r="S340" s="85">
        <f t="shared" si="85"/>
        <v>253.06000000000006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84"/>
        <v>PiècesTéléphone</v>
      </c>
      <c r="B341" s="11" t="s">
        <v>98</v>
      </c>
      <c r="C341" s="102" t="s">
        <v>58</v>
      </c>
      <c r="D341" s="81"/>
      <c r="E341" s="13"/>
      <c r="F341" s="30">
        <v>118.4</v>
      </c>
      <c r="G341" s="83"/>
      <c r="H341" s="13"/>
      <c r="I341" s="30"/>
      <c r="J341" s="41"/>
      <c r="K341" s="13"/>
      <c r="L341" s="33">
        <v>107.48</v>
      </c>
      <c r="M341" s="41"/>
      <c r="N341" s="59">
        <f t="shared" si="80"/>
        <v>-10.920000000000002</v>
      </c>
      <c r="O341" s="41"/>
      <c r="P341" s="13"/>
      <c r="Q341" s="33">
        <v>108.2</v>
      </c>
      <c r="R341" s="41"/>
      <c r="S341" s="85">
        <f t="shared" si="85"/>
        <v>-0.71999999999999886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84"/>
        <v>PiècesFrais postaux</v>
      </c>
      <c r="B342" s="11" t="s">
        <v>98</v>
      </c>
      <c r="C342" s="102" t="s">
        <v>59</v>
      </c>
      <c r="D342" s="81"/>
      <c r="E342" s="13"/>
      <c r="F342" s="30">
        <v>590</v>
      </c>
      <c r="G342" s="83"/>
      <c r="H342" s="13"/>
      <c r="I342" s="30"/>
      <c r="J342" s="41"/>
      <c r="K342" s="13"/>
      <c r="L342" s="33">
        <v>530.38</v>
      </c>
      <c r="M342" s="41"/>
      <c r="N342" s="59">
        <f t="shared" si="80"/>
        <v>-59.620000000000005</v>
      </c>
      <c r="O342" s="41"/>
      <c r="P342" s="13"/>
      <c r="Q342" s="33">
        <v>-739.36</v>
      </c>
      <c r="R342" s="41"/>
      <c r="S342" s="85">
        <f t="shared" si="85"/>
        <v>1269.74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84"/>
        <v>PiècesDivers</v>
      </c>
      <c r="B343" s="11" t="s">
        <v>98</v>
      </c>
      <c r="C343" s="102" t="s">
        <v>60</v>
      </c>
      <c r="D343" s="81"/>
      <c r="E343" s="13"/>
      <c r="F343" s="30">
        <v>348.20000000000005</v>
      </c>
      <c r="G343" s="83"/>
      <c r="H343" s="13"/>
      <c r="I343" s="30"/>
      <c r="J343" s="41"/>
      <c r="K343" s="13"/>
      <c r="L343" s="33">
        <v>385.18999999999994</v>
      </c>
      <c r="M343" s="41"/>
      <c r="N343" s="59">
        <f t="shared" si="80"/>
        <v>36.989999999999895</v>
      </c>
      <c r="O343" s="41"/>
      <c r="P343" s="13"/>
      <c r="Q343" s="33">
        <v>289.2</v>
      </c>
      <c r="R343" s="41"/>
      <c r="S343" s="85">
        <f t="shared" si="85"/>
        <v>95.989999999999952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>+B344&amp;C344</f>
        <v>PiècesFormation</v>
      </c>
      <c r="B344" s="11" t="s">
        <v>98</v>
      </c>
      <c r="C344" s="102" t="s">
        <v>61</v>
      </c>
      <c r="D344" s="81"/>
      <c r="E344" s="13"/>
      <c r="F344" s="30">
        <v>256.41489333333328</v>
      </c>
      <c r="G344" s="83"/>
      <c r="H344" s="13"/>
      <c r="I344" s="30"/>
      <c r="J344" s="41"/>
      <c r="K344" s="13"/>
      <c r="L344" s="59">
        <v>32.58</v>
      </c>
      <c r="M344" s="41"/>
      <c r="N344" s="59">
        <f t="shared" si="80"/>
        <v>-223.8348933333333</v>
      </c>
      <c r="O344" s="41"/>
      <c r="P344" s="13"/>
      <c r="Q344" s="33">
        <v>-397.61</v>
      </c>
      <c r="R344" s="41"/>
      <c r="S344" s="85">
        <f>L344-Q344</f>
        <v>430.19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>+B345&amp;C345</f>
        <v>PiècesFrais bancaires</v>
      </c>
      <c r="B345" s="11" t="s">
        <v>98</v>
      </c>
      <c r="C345" s="102" t="s">
        <v>62</v>
      </c>
      <c r="D345" s="81"/>
      <c r="E345" s="13"/>
      <c r="F345" s="30">
        <v>1880.851754670854</v>
      </c>
      <c r="G345" s="83"/>
      <c r="H345" s="13"/>
      <c r="I345" s="30"/>
      <c r="J345" s="41"/>
      <c r="K345" s="13"/>
      <c r="L345" s="32">
        <v>1950.43</v>
      </c>
      <c r="M345" s="41"/>
      <c r="N345" s="59">
        <f t="shared" si="80"/>
        <v>69.578245329146057</v>
      </c>
      <c r="O345" s="41"/>
      <c r="P345" s="13"/>
      <c r="Q345" s="33">
        <v>1826.24</v>
      </c>
      <c r="R345" s="41"/>
      <c r="S345" s="85">
        <f>L345-Q345</f>
        <v>124.19000000000005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>+B346&amp;C346</f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80"/>
        <v>0</v>
      </c>
      <c r="O346" s="41"/>
      <c r="P346" s="13"/>
      <c r="Q346" s="33"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80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80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0.14780691360533016</v>
      </c>
      <c r="F349" s="96">
        <f>+SUM(F331:F348)</f>
        <v>16997.042176616946</v>
      </c>
      <c r="G349" s="97"/>
      <c r="H349" s="95"/>
      <c r="I349" s="96"/>
      <c r="J349" s="97" t="s">
        <v>38</v>
      </c>
      <c r="K349" s="95">
        <f>L349/L$314</f>
        <v>0.16057834822622366</v>
      </c>
      <c r="L349" s="96">
        <f>+SUM(L331:L348)</f>
        <v>18945.61</v>
      </c>
      <c r="M349" s="100"/>
      <c r="N349" s="96">
        <f>+SUM(N331:N348)</f>
        <v>1948.5678233830552</v>
      </c>
      <c r="O349" s="97" t="s">
        <v>38</v>
      </c>
      <c r="P349" s="95">
        <f>Q349/Q$314</f>
        <v>0.12264775310951267</v>
      </c>
      <c r="Q349" s="96">
        <f>+SUM(Q331:Q348)</f>
        <v>13995.079999999998</v>
      </c>
      <c r="R349" s="100"/>
      <c r="S349" s="101">
        <f>+SUM(S331:S348)</f>
        <v>4950.5300000000007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0.3979141583402348</v>
      </c>
      <c r="F351" s="96">
        <f>F330+F349</f>
        <v>45758.101343225033</v>
      </c>
      <c r="G351" s="97"/>
      <c r="H351" s="95"/>
      <c r="I351" s="96"/>
      <c r="J351" s="97" t="s">
        <v>38</v>
      </c>
      <c r="K351" s="95">
        <f>L351/L$314</f>
        <v>0.37611137277650225</v>
      </c>
      <c r="L351" s="96">
        <f>L330+L349</f>
        <v>44374.97</v>
      </c>
      <c r="M351" s="100"/>
      <c r="N351" s="113">
        <f>L351-F351</f>
        <v>-1383.1313432250317</v>
      </c>
      <c r="O351" s="97" t="s">
        <v>38</v>
      </c>
      <c r="P351" s="95">
        <f>Q351/Q$314</f>
        <v>0.39647896482557987</v>
      </c>
      <c r="Q351" s="96">
        <f>Q330+Q349</f>
        <v>45241.39</v>
      </c>
      <c r="R351" s="100"/>
      <c r="S351" s="114">
        <f>L351-Q351</f>
        <v>-866.41999999999825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/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69236.804930252591</v>
      </c>
      <c r="G353" s="153"/>
      <c r="H353" s="125"/>
      <c r="I353" s="127"/>
      <c r="J353" s="154"/>
      <c r="K353" s="126"/>
      <c r="L353" s="127">
        <f>L314-L351</f>
        <v>73608.62</v>
      </c>
      <c r="M353" s="154"/>
      <c r="N353" s="127">
        <f>L353-F353</f>
        <v>4371.8150697474048</v>
      </c>
      <c r="O353" s="154"/>
      <c r="P353" s="126"/>
      <c r="Q353" s="127">
        <f>Q314-Q351</f>
        <v>68866.529999999795</v>
      </c>
      <c r="R353" s="154"/>
      <c r="S353" s="129">
        <f>L353-Q353</f>
        <v>4742.0900000002002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Mai 2025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507" t="s">
        <v>5</v>
      </c>
      <c r="E358" s="508"/>
      <c r="F358" s="509"/>
      <c r="G358" s="510"/>
      <c r="H358" s="508"/>
      <c r="I358" s="509"/>
      <c r="J358" s="510" t="s">
        <v>7</v>
      </c>
      <c r="K358" s="508"/>
      <c r="L358" s="509"/>
      <c r="M358" s="510"/>
      <c r="N358" s="509"/>
      <c r="O358" s="507" t="s">
        <v>8</v>
      </c>
      <c r="P358" s="508"/>
      <c r="Q358" s="509"/>
      <c r="R358" s="510" t="s">
        <v>9</v>
      </c>
      <c r="S358" s="514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86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86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86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86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 t="shared" ref="Q362" si="87"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86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86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86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86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88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86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88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86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88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86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8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86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8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86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8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86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88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86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88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86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88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86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8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86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88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86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88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86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88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86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8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86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88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86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88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86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8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86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88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86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88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86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8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86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8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86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8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86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8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86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8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86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8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86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8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86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8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86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8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86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88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>
        <f>F353+F289+F233</f>
        <v>116970.16826283441</v>
      </c>
      <c r="G401" s="13"/>
      <c r="H401" s="13"/>
      <c r="I401" s="13"/>
      <c r="J401" s="13"/>
      <c r="K401" s="13"/>
      <c r="L401" s="82">
        <f>L353+L289+L233</f>
        <v>123591.29999999999</v>
      </c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55"/>
      <c r="G402" s="10"/>
      <c r="H402" s="10"/>
      <c r="I402" s="10"/>
      <c r="J402" s="10"/>
      <c r="K402" s="10"/>
      <c r="L402" s="155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Mai 2025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15" t="s">
        <v>117</v>
      </c>
      <c r="Y404" s="512"/>
      <c r="Z404" s="516"/>
      <c r="AA404" s="511"/>
      <c r="AB404" s="512"/>
      <c r="AC404" s="516"/>
      <c r="AD404" s="511" t="s">
        <v>7</v>
      </c>
      <c r="AE404" s="512"/>
      <c r="AF404" s="516"/>
      <c r="AG404" s="511" t="s">
        <v>213</v>
      </c>
      <c r="AH404" s="512"/>
      <c r="AI404" s="516"/>
      <c r="AJ404" s="511" t="s">
        <v>118</v>
      </c>
      <c r="AK404" s="512"/>
      <c r="AL404" s="512"/>
      <c r="AM404" s="511" t="s">
        <v>119</v>
      </c>
      <c r="AN404" s="512"/>
      <c r="AO404" s="513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89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89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5699550.7717298595</v>
      </c>
      <c r="AA406" s="263"/>
      <c r="AB406" s="263"/>
      <c r="AC406" s="264"/>
      <c r="AD406" s="265"/>
      <c r="AE406" s="266"/>
      <c r="AF406" s="266">
        <f>L5+L93+K194+K250+J314+J362</f>
        <v>6366734.2600000007</v>
      </c>
      <c r="AG406" s="265"/>
      <c r="AH406" s="266"/>
      <c r="AI406" s="267"/>
      <c r="AJ406" s="265"/>
      <c r="AK406" s="266"/>
      <c r="AL406" s="266">
        <f>Q5+Q93+P194+P250+O314+O362</f>
        <v>5500461.7199999904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89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542294.20025272341</v>
      </c>
      <c r="AA407" s="271"/>
      <c r="AB407" s="271"/>
      <c r="AC407" s="272"/>
      <c r="AD407" s="273"/>
      <c r="AE407" s="274"/>
      <c r="AF407" s="274">
        <f>L27+L108+L194+L250+L314+L362</f>
        <v>656700.21999999974</v>
      </c>
      <c r="AG407" s="273"/>
      <c r="AH407" s="274">
        <f>AF407-Z407</f>
        <v>114406.01974727632</v>
      </c>
      <c r="AI407" s="275">
        <f>AH407/Z407</f>
        <v>0.21096670348670538</v>
      </c>
      <c r="AJ407" s="273">
        <f>+AL407/AL406</f>
        <v>0.10364732071983236</v>
      </c>
      <c r="AK407" s="274"/>
      <c r="AL407" s="274">
        <f>Q27+Q108+Q194+Q250+Q314+Q362</f>
        <v>570108.11999999976</v>
      </c>
      <c r="AM407" s="276"/>
      <c r="AN407" s="274">
        <f>AF407-AL407</f>
        <v>86592.099999999977</v>
      </c>
      <c r="AO407" s="277">
        <f>IF(AL407=0,0,AN407/AL407)</f>
        <v>0.15188715431732494</v>
      </c>
      <c r="AP407" s="246"/>
      <c r="AQ407" s="246" t="s">
        <v>221</v>
      </c>
      <c r="AR407" s="310">
        <f>W27+W108+W194+W314</f>
        <v>666307</v>
      </c>
      <c r="AS407" s="310">
        <f>AF407-AR407</f>
        <v>-9606.7800000002608</v>
      </c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89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89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90">Z409/(D$13+D$97)</f>
        <v>929.70199313379658</v>
      </c>
      <c r="Z409" s="280">
        <f t="shared" ref="Z409:Z415" si="91">+SUMIF($C:$C,$V409,F:F)</f>
        <v>51133.60962235881</v>
      </c>
      <c r="AA409" s="279"/>
      <c r="AB409" s="287"/>
      <c r="AC409" s="280"/>
      <c r="AD409" s="288"/>
      <c r="AE409" s="287">
        <f t="shared" ref="AE409:AE414" si="92">IF(AF409=0,0,AF409/(J$13+J$97))</f>
        <v>1137.1908000000001</v>
      </c>
      <c r="AF409" s="280">
        <f t="shared" ref="AF409:AF415" si="93">+SUMIF($C:$C,$V409,L:L)</f>
        <v>56859.54</v>
      </c>
      <c r="AG409" s="281">
        <f t="shared" ref="AG409:AH424" si="94">AE409-Y409</f>
        <v>207.4888068662035</v>
      </c>
      <c r="AH409" s="282">
        <f t="shared" si="94"/>
        <v>5725.9303776411907</v>
      </c>
      <c r="AI409" s="283">
        <f t="shared" ref="AI409:AI418" si="95">IF(Z409=0,0,AH409/Z409)</f>
        <v>0.111979780420928</v>
      </c>
      <c r="AJ409" s="288"/>
      <c r="AK409" s="282">
        <f t="shared" ref="AK409:AK418" si="96">AL409/(O$13+O$97)</f>
        <v>1151.3363793103447</v>
      </c>
      <c r="AL409" s="280">
        <f t="shared" ref="AL409:AL414" si="97">+SUMIF($C:$C,$V409,Q:Q)</f>
        <v>66777.509999999995</v>
      </c>
      <c r="AM409" s="284">
        <f t="shared" ref="AM409:AM414" si="98">AE409-Y409</f>
        <v>207.4888068662035</v>
      </c>
      <c r="AN409" s="282">
        <f t="shared" ref="AN409:AN414" si="99">AF409-AL409</f>
        <v>-9917.9699999999939</v>
      </c>
      <c r="AO409" s="289">
        <f t="shared" ref="AO409:AO431" si="100">IF(AL409=0,0,AN409/AL409)</f>
        <v>-0.14852260888433838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89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90"/>
        <v>471.9</v>
      </c>
      <c r="Z410" s="264">
        <f t="shared" si="91"/>
        <v>25954.5</v>
      </c>
      <c r="AA410" s="263"/>
      <c r="AB410" s="291"/>
      <c r="AC410" s="264"/>
      <c r="AD410" s="292"/>
      <c r="AE410" s="291">
        <f t="shared" si="92"/>
        <v>872.74540000000013</v>
      </c>
      <c r="AF410" s="264">
        <f t="shared" si="93"/>
        <v>43637.270000000004</v>
      </c>
      <c r="AG410" s="265">
        <f t="shared" si="94"/>
        <v>400.84540000000015</v>
      </c>
      <c r="AH410" s="266">
        <f t="shared" si="94"/>
        <v>17682.770000000004</v>
      </c>
      <c r="AI410" s="293">
        <f t="shared" si="95"/>
        <v>0.6812988113814562</v>
      </c>
      <c r="AJ410" s="292"/>
      <c r="AK410" s="266">
        <f t="shared" si="96"/>
        <v>652.03344827586216</v>
      </c>
      <c r="AL410" s="264">
        <f t="shared" si="97"/>
        <v>37817.94</v>
      </c>
      <c r="AM410" s="268">
        <f t="shared" si="98"/>
        <v>400.84540000000015</v>
      </c>
      <c r="AN410" s="266">
        <f t="shared" si="99"/>
        <v>5819.3300000000017</v>
      </c>
      <c r="AO410" s="294">
        <f t="shared" si="100"/>
        <v>0.15387749835131162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89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90"/>
        <v>124.36363636363636</v>
      </c>
      <c r="Z411" s="280">
        <f t="shared" si="91"/>
        <v>6840</v>
      </c>
      <c r="AA411" s="279"/>
      <c r="AB411" s="287"/>
      <c r="AC411" s="280"/>
      <c r="AD411" s="288"/>
      <c r="AE411" s="287">
        <f t="shared" si="92"/>
        <v>105.62540000000001</v>
      </c>
      <c r="AF411" s="280">
        <f t="shared" si="93"/>
        <v>5281.27</v>
      </c>
      <c r="AG411" s="281">
        <f t="shared" si="94"/>
        <v>-18.738236363636346</v>
      </c>
      <c r="AH411" s="282">
        <f t="shared" si="94"/>
        <v>-1558.7299999999996</v>
      </c>
      <c r="AI411" s="283">
        <f t="shared" si="95"/>
        <v>-0.22788450292397655</v>
      </c>
      <c r="AJ411" s="288"/>
      <c r="AK411" s="282">
        <f t="shared" si="96"/>
        <v>95.484310344827591</v>
      </c>
      <c r="AL411" s="280">
        <f t="shared" si="97"/>
        <v>5538.09</v>
      </c>
      <c r="AM411" s="284">
        <f t="shared" si="98"/>
        <v>-18.738236363636346</v>
      </c>
      <c r="AN411" s="282">
        <f t="shared" si="99"/>
        <v>-256.81999999999971</v>
      </c>
      <c r="AO411" s="289">
        <f t="shared" si="100"/>
        <v>-4.6373388659266948E-2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89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148</v>
      </c>
      <c r="X412" s="279"/>
      <c r="Y412" s="287">
        <f t="shared" si="90"/>
        <v>65.236363636363635</v>
      </c>
      <c r="Z412" s="280">
        <f t="shared" si="91"/>
        <v>3588</v>
      </c>
      <c r="AA412" s="279"/>
      <c r="AB412" s="287"/>
      <c r="AC412" s="280"/>
      <c r="AD412" s="288"/>
      <c r="AE412" s="287">
        <f t="shared" si="92"/>
        <v>56.821000000000005</v>
      </c>
      <c r="AF412" s="280">
        <f t="shared" si="93"/>
        <v>2841.05</v>
      </c>
      <c r="AG412" s="281">
        <f t="shared" si="94"/>
        <v>-8.4153636363636295</v>
      </c>
      <c r="AH412" s="282">
        <f t="shared" si="94"/>
        <v>-746.94999999999982</v>
      </c>
      <c r="AI412" s="283">
        <f t="shared" si="95"/>
        <v>-0.20818004459308803</v>
      </c>
      <c r="AJ412" s="288"/>
      <c r="AK412" s="282">
        <f t="shared" si="96"/>
        <v>66.592758620689651</v>
      </c>
      <c r="AL412" s="280">
        <f t="shared" si="97"/>
        <v>3862.38</v>
      </c>
      <c r="AM412" s="284">
        <f t="shared" si="98"/>
        <v>-8.4153636363636295</v>
      </c>
      <c r="AN412" s="282">
        <f t="shared" si="99"/>
        <v>-1021.3299999999999</v>
      </c>
      <c r="AO412" s="295">
        <f t="shared" si="100"/>
        <v>-0.26443022178035303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89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 t="s">
        <v>222</v>
      </c>
      <c r="X413" s="263"/>
      <c r="Y413" s="291">
        <f t="shared" si="90"/>
        <v>74</v>
      </c>
      <c r="Z413" s="264">
        <f t="shared" si="91"/>
        <v>4070</v>
      </c>
      <c r="AA413" s="263"/>
      <c r="AB413" s="291"/>
      <c r="AC413" s="264"/>
      <c r="AD413" s="292"/>
      <c r="AE413" s="291">
        <f t="shared" si="92"/>
        <v>82.560999999999979</v>
      </c>
      <c r="AF413" s="264">
        <f t="shared" si="93"/>
        <v>4128.0499999999993</v>
      </c>
      <c r="AG413" s="265">
        <f t="shared" si="94"/>
        <v>8.5609999999999786</v>
      </c>
      <c r="AH413" s="266">
        <f t="shared" si="94"/>
        <v>58.049999999999272</v>
      </c>
      <c r="AI413" s="293">
        <f t="shared" si="95"/>
        <v>1.4262899262899083E-2</v>
      </c>
      <c r="AJ413" s="292"/>
      <c r="AK413" s="266">
        <f t="shared" si="96"/>
        <v>54.979655172413793</v>
      </c>
      <c r="AL413" s="264">
        <f t="shared" si="97"/>
        <v>3188.82</v>
      </c>
      <c r="AM413" s="268">
        <f t="shared" si="98"/>
        <v>8.5609999999999786</v>
      </c>
      <c r="AN413" s="266">
        <f t="shared" si="99"/>
        <v>939.22999999999911</v>
      </c>
      <c r="AO413" s="294">
        <f t="shared" si="100"/>
        <v>0.29453841859998342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89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223</v>
      </c>
      <c r="X414" s="283"/>
      <c r="Y414" s="287">
        <f t="shared" si="90"/>
        <v>449.59893048128339</v>
      </c>
      <c r="Z414" s="280">
        <f t="shared" si="91"/>
        <v>24727.941176470587</v>
      </c>
      <c r="AA414" s="283"/>
      <c r="AB414" s="287"/>
      <c r="AC414" s="280"/>
      <c r="AD414" s="288"/>
      <c r="AE414" s="287">
        <f t="shared" si="92"/>
        <v>505.8818</v>
      </c>
      <c r="AF414" s="280">
        <f t="shared" si="93"/>
        <v>25294.09</v>
      </c>
      <c r="AG414" s="281">
        <f t="shared" si="94"/>
        <v>56.282869518716609</v>
      </c>
      <c r="AH414" s="282">
        <f t="shared" si="94"/>
        <v>566.14882352941277</v>
      </c>
      <c r="AI414" s="283">
        <f t="shared" si="95"/>
        <v>2.289510556051149E-2</v>
      </c>
      <c r="AJ414" s="288"/>
      <c r="AK414" s="282">
        <f t="shared" si="96"/>
        <v>381.64948275862065</v>
      </c>
      <c r="AL414" s="280">
        <f t="shared" si="97"/>
        <v>22135.67</v>
      </c>
      <c r="AM414" s="284">
        <f t="shared" si="98"/>
        <v>56.282869518716609</v>
      </c>
      <c r="AN414" s="282">
        <f t="shared" si="99"/>
        <v>3158.4200000000019</v>
      </c>
      <c r="AO414" s="289">
        <f t="shared" si="100"/>
        <v>0.14268463525160982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89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224</v>
      </c>
      <c r="X415" s="279"/>
      <c r="Y415" s="287">
        <f t="shared" si="90"/>
        <v>640.00271924876358</v>
      </c>
      <c r="Z415" s="280">
        <f t="shared" si="91"/>
        <v>35200.149558681995</v>
      </c>
      <c r="AA415" s="279"/>
      <c r="AB415" s="287"/>
      <c r="AC415" s="280"/>
      <c r="AD415" s="288"/>
      <c r="AE415" s="287">
        <f>IF(AF415=0,0,AF415/(J$13+J$13))</f>
        <v>444.1142857142857</v>
      </c>
      <c r="AF415" s="280">
        <f t="shared" si="93"/>
        <v>31088</v>
      </c>
      <c r="AG415" s="281">
        <f t="shared" si="94"/>
        <v>-195.88843353447788</v>
      </c>
      <c r="AH415" s="282">
        <f t="shared" si="94"/>
        <v>-4112.1495586819947</v>
      </c>
      <c r="AI415" s="283">
        <f t="shared" si="95"/>
        <v>-0.11682193428828053</v>
      </c>
      <c r="AJ415" s="288"/>
      <c r="AK415" s="282">
        <f t="shared" si="96"/>
        <v>765.02103448275864</v>
      </c>
      <c r="AL415" s="280">
        <f>IFERROR(SUMIF($C:$C,$V415,Q:Q),0)</f>
        <v>44371.22</v>
      </c>
      <c r="AM415" s="284">
        <f>AE415-Y415</f>
        <v>-195.88843353447788</v>
      </c>
      <c r="AN415" s="282">
        <f>AF415-AL415</f>
        <v>-13283.220000000001</v>
      </c>
      <c r="AO415" s="294">
        <f t="shared" si="100"/>
        <v>-0.29936566990945934</v>
      </c>
      <c r="AP415" s="246"/>
      <c r="AQ415" s="246">
        <v>31088</v>
      </c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>
      <c r="A416" t="str">
        <f t="shared" si="89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90"/>
        <v>0</v>
      </c>
      <c r="Z416" s="280">
        <f>IFERROR(SUMIF($C:$C,$V416,F:F),0)</f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>IFERROR(SUMIF($C:$C,$V416,L:L),0)</f>
        <v>0</v>
      </c>
      <c r="AG416" s="281">
        <f t="shared" si="94"/>
        <v>0</v>
      </c>
      <c r="AH416" s="282">
        <f t="shared" si="94"/>
        <v>0</v>
      </c>
      <c r="AI416" s="283">
        <f t="shared" si="95"/>
        <v>0</v>
      </c>
      <c r="AJ416" s="288"/>
      <c r="AK416" s="282">
        <f t="shared" si="96"/>
        <v>0</v>
      </c>
      <c r="AL416" s="280">
        <f>IFERROR(SUMIF($C:$C,$V416,Q:Q),0)</f>
        <v>0</v>
      </c>
      <c r="AM416" s="284">
        <f>AE416-Y416</f>
        <v>0</v>
      </c>
      <c r="AN416" s="282">
        <f>AF416-AL416</f>
        <v>0</v>
      </c>
      <c r="AO416" s="289">
        <f t="shared" si="100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>
      <c r="A417" t="str">
        <f t="shared" si="89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90"/>
        <v>0</v>
      </c>
      <c r="Z417" s="280">
        <f>IFERROR(SUMIF($C:$C,$V417,F:F),0)</f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>IFERROR(SUMIF($C:$C,$V417,L:L),0)</f>
        <v>0</v>
      </c>
      <c r="AG417" s="281">
        <f t="shared" si="94"/>
        <v>0</v>
      </c>
      <c r="AH417" s="282">
        <f t="shared" si="94"/>
        <v>0</v>
      </c>
      <c r="AI417" s="283">
        <f t="shared" si="95"/>
        <v>0</v>
      </c>
      <c r="AJ417" s="288"/>
      <c r="AK417" s="282">
        <f t="shared" si="96"/>
        <v>0</v>
      </c>
      <c r="AL417" s="280">
        <f>IFERROR(SUMIF($C:$C,$V417,Q:Q),0)</f>
        <v>0</v>
      </c>
      <c r="AM417" s="284">
        <f>AE417-Y417</f>
        <v>0</v>
      </c>
      <c r="AN417" s="282">
        <f>AF417-AL417</f>
        <v>0</v>
      </c>
      <c r="AO417" s="289">
        <f t="shared" si="100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>
      <c r="A418" t="str">
        <f t="shared" si="89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90"/>
        <v>0</v>
      </c>
      <c r="Z418" s="280">
        <f>IFERROR(SUMIF($C:$C,$V418,F:F),0)</f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>IFERROR(SUMIF($C:$C,$V418,L:L),0)</f>
        <v>0</v>
      </c>
      <c r="AG418" s="281">
        <f t="shared" si="94"/>
        <v>0</v>
      </c>
      <c r="AH418" s="282">
        <f t="shared" si="94"/>
        <v>0</v>
      </c>
      <c r="AI418" s="283">
        <f t="shared" si="95"/>
        <v>0</v>
      </c>
      <c r="AJ418" s="288"/>
      <c r="AK418" s="282">
        <f t="shared" si="96"/>
        <v>0</v>
      </c>
      <c r="AL418" s="280">
        <f>IFERROR(SUMIF($C:$C,$V418,Q:Q),0)</f>
        <v>0</v>
      </c>
      <c r="AM418" s="284">
        <f>AE418-Y418</f>
        <v>0</v>
      </c>
      <c r="AN418" s="282">
        <f>AF418-AL418</f>
        <v>0</v>
      </c>
      <c r="AO418" s="289">
        <f t="shared" si="100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89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0.27939483823891492</v>
      </c>
      <c r="Y419" s="297"/>
      <c r="Z419" s="299">
        <f>SUM(Z409:Z418)</f>
        <v>151514.20035751141</v>
      </c>
      <c r="AA419" s="298"/>
      <c r="AB419" s="297"/>
      <c r="AC419" s="299"/>
      <c r="AD419" s="300">
        <f>AF419/AF407</f>
        <v>0.25754410437078901</v>
      </c>
      <c r="AE419" s="297"/>
      <c r="AF419" s="299">
        <f>SUM(AF409:AF418)</f>
        <v>169129.27000000002</v>
      </c>
      <c r="AG419" s="301"/>
      <c r="AH419" s="302">
        <f t="shared" si="94"/>
        <v>17615.069642488612</v>
      </c>
      <c r="AI419" s="298">
        <f>AH419/Z419</f>
        <v>0.11626018948009011</v>
      </c>
      <c r="AJ419" s="300">
        <f>IF($AL$407=0,0,AL419/$AL$407)</f>
        <v>0.32220490036170696</v>
      </c>
      <c r="AK419" s="297"/>
      <c r="AL419" s="299">
        <f>SUM(AL409:AL418)</f>
        <v>183691.63</v>
      </c>
      <c r="AM419" s="303"/>
      <c r="AN419" s="302">
        <f t="shared" ref="AN419:AN431" si="101">AF419-AL419</f>
        <v>-14562.359999999986</v>
      </c>
      <c r="AO419" s="277">
        <f t="shared" si="100"/>
        <v>-7.9276121617517278E-2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89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137</v>
      </c>
      <c r="X420" s="279"/>
      <c r="Y420" s="279"/>
      <c r="Z420" s="280">
        <v>14277.792101385206</v>
      </c>
      <c r="AA420" s="279"/>
      <c r="AB420" s="279"/>
      <c r="AC420" s="280"/>
      <c r="AD420" s="288"/>
      <c r="AE420" s="287"/>
      <c r="AF420" s="280">
        <v>15867.169999999998</v>
      </c>
      <c r="AG420" s="281"/>
      <c r="AH420" s="282">
        <f t="shared" si="94"/>
        <v>1589.3778986147918</v>
      </c>
      <c r="AI420" s="283">
        <f t="shared" ref="AI420:AI432" si="102">IF(Z420=0,0,AH420/Z420)</f>
        <v>0.11131818472553562</v>
      </c>
      <c r="AJ420" s="288"/>
      <c r="AK420" s="279"/>
      <c r="AL420" s="280">
        <v>13896.78</v>
      </c>
      <c r="AM420" s="284"/>
      <c r="AN420" s="282">
        <f t="shared" si="101"/>
        <v>1970.3899999999976</v>
      </c>
      <c r="AO420" s="289">
        <f t="shared" si="100"/>
        <v>0.14178752200149944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89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140</v>
      </c>
      <c r="X421" s="279"/>
      <c r="Y421" s="279"/>
      <c r="Z421" s="280">
        <f t="shared" ref="Z421:Z431" si="103">+SUMIF($C:$C,$V421,F:F)</f>
        <v>32291.453433539642</v>
      </c>
      <c r="AA421" s="279"/>
      <c r="AB421" s="279"/>
      <c r="AC421" s="280"/>
      <c r="AD421" s="288"/>
      <c r="AE421" s="287"/>
      <c r="AF421" s="280">
        <f t="shared" ref="AF421:AF432" si="104">+SUMIF($C:$C,$V421,L:L)</f>
        <v>34438.83</v>
      </c>
      <c r="AG421" s="281"/>
      <c r="AH421" s="282">
        <f t="shared" si="94"/>
        <v>2147.3765664603598</v>
      </c>
      <c r="AI421" s="283">
        <f t="shared" si="102"/>
        <v>6.6499842470081533E-2</v>
      </c>
      <c r="AJ421" s="288"/>
      <c r="AK421" s="279"/>
      <c r="AL421" s="280">
        <f t="shared" ref="AL421:AL429" si="105">+SUMIF($C:$C,$V421,Q:Q)</f>
        <v>31911.299999999996</v>
      </c>
      <c r="AM421" s="284"/>
      <c r="AN421" s="282">
        <f t="shared" si="101"/>
        <v>2527.5300000000061</v>
      </c>
      <c r="AO421" s="289">
        <f t="shared" si="100"/>
        <v>7.9204858467063599E-2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89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103"/>
        <v>20084.55076628353</v>
      </c>
      <c r="AA422" s="263"/>
      <c r="AB422" s="263"/>
      <c r="AC422" s="264"/>
      <c r="AD422" s="292"/>
      <c r="AE422" s="291"/>
      <c r="AF422" s="264">
        <f t="shared" si="104"/>
        <v>22482.82</v>
      </c>
      <c r="AG422" s="265"/>
      <c r="AH422" s="266">
        <f t="shared" si="94"/>
        <v>2398.2692337164699</v>
      </c>
      <c r="AI422" s="293">
        <f t="shared" si="102"/>
        <v>0.11940865701325559</v>
      </c>
      <c r="AJ422" s="292"/>
      <c r="AK422" s="263"/>
      <c r="AL422" s="264">
        <f t="shared" si="105"/>
        <v>22622.29</v>
      </c>
      <c r="AM422" s="268"/>
      <c r="AN422" s="266">
        <f t="shared" si="101"/>
        <v>-139.47000000000116</v>
      </c>
      <c r="AO422" s="269">
        <f t="shared" si="100"/>
        <v>-6.1651583460384058E-3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89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103"/>
        <v>21512.160229885056</v>
      </c>
      <c r="AA423" s="279"/>
      <c r="AB423" s="279"/>
      <c r="AC423" s="280"/>
      <c r="AD423" s="288"/>
      <c r="AE423" s="287"/>
      <c r="AF423" s="280">
        <f t="shared" si="104"/>
        <v>25512.58</v>
      </c>
      <c r="AG423" s="281"/>
      <c r="AH423" s="282">
        <f t="shared" si="94"/>
        <v>4000.419770114946</v>
      </c>
      <c r="AI423" s="283">
        <f t="shared" si="102"/>
        <v>0.18596085782949381</v>
      </c>
      <c r="AJ423" s="288"/>
      <c r="AK423" s="279"/>
      <c r="AL423" s="280">
        <f t="shared" si="105"/>
        <v>23657.65</v>
      </c>
      <c r="AM423" s="284"/>
      <c r="AN423" s="282">
        <f t="shared" si="101"/>
        <v>1854.9300000000003</v>
      </c>
      <c r="AO423" s="289">
        <f t="shared" si="100"/>
        <v>7.8407195981004041E-2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89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225</v>
      </c>
      <c r="X424" s="279"/>
      <c r="Y424" s="279"/>
      <c r="Z424" s="280">
        <f t="shared" si="103"/>
        <v>14418.309888888889</v>
      </c>
      <c r="AA424" s="279"/>
      <c r="AB424" s="279"/>
      <c r="AC424" s="280"/>
      <c r="AD424" s="288"/>
      <c r="AE424" s="287"/>
      <c r="AF424" s="280">
        <f t="shared" si="104"/>
        <v>16151.34</v>
      </c>
      <c r="AG424" s="281"/>
      <c r="AH424" s="282">
        <f t="shared" si="94"/>
        <v>1733.0301111111112</v>
      </c>
      <c r="AI424" s="283">
        <f t="shared" si="102"/>
        <v>0.12019648103462027</v>
      </c>
      <c r="AJ424" s="288"/>
      <c r="AK424" s="279"/>
      <c r="AL424" s="280">
        <f t="shared" si="105"/>
        <v>17092.900000000001</v>
      </c>
      <c r="AM424" s="284"/>
      <c r="AN424" s="282">
        <f t="shared" si="101"/>
        <v>-941.56000000000131</v>
      </c>
      <c r="AO424" s="289">
        <f t="shared" si="100"/>
        <v>-5.5084859795587714E-2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>
      <c r="A425" t="str">
        <f t="shared" si="89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103"/>
        <v>0</v>
      </c>
      <c r="AA425" s="279"/>
      <c r="AB425" s="279"/>
      <c r="AC425" s="282"/>
      <c r="AD425" s="288"/>
      <c r="AE425" s="287"/>
      <c r="AF425" s="280">
        <f t="shared" si="104"/>
        <v>0</v>
      </c>
      <c r="AG425" s="281"/>
      <c r="AH425" s="282">
        <f t="shared" ref="AH425:AH451" si="106">AF425-Z425</f>
        <v>0</v>
      </c>
      <c r="AI425" s="283">
        <f t="shared" si="102"/>
        <v>0</v>
      </c>
      <c r="AJ425" s="288"/>
      <c r="AK425" s="279"/>
      <c r="AL425" s="280">
        <f t="shared" si="105"/>
        <v>0</v>
      </c>
      <c r="AM425" s="284"/>
      <c r="AN425" s="282">
        <f t="shared" si="101"/>
        <v>0</v>
      </c>
      <c r="AO425" s="289">
        <f t="shared" si="100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>
      <c r="A426" t="str">
        <f t="shared" si="89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103"/>
        <v>0</v>
      </c>
      <c r="AA426" s="279"/>
      <c r="AB426" s="279"/>
      <c r="AC426" s="282"/>
      <c r="AD426" s="288"/>
      <c r="AE426" s="287"/>
      <c r="AF426" s="280">
        <f t="shared" si="104"/>
        <v>0</v>
      </c>
      <c r="AG426" s="281"/>
      <c r="AH426" s="282">
        <f t="shared" si="106"/>
        <v>0</v>
      </c>
      <c r="AI426" s="283">
        <f t="shared" si="102"/>
        <v>0</v>
      </c>
      <c r="AJ426" s="288"/>
      <c r="AK426" s="279"/>
      <c r="AL426" s="280">
        <f t="shared" si="105"/>
        <v>0</v>
      </c>
      <c r="AM426" s="284"/>
      <c r="AN426" s="282">
        <f t="shared" si="101"/>
        <v>0</v>
      </c>
      <c r="AO426" s="289">
        <f t="shared" si="100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>
      <c r="A427" t="str">
        <f t="shared" si="89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103"/>
        <v>0</v>
      </c>
      <c r="AA427" s="279"/>
      <c r="AB427" s="279"/>
      <c r="AC427" s="282"/>
      <c r="AD427" s="288"/>
      <c r="AE427" s="287"/>
      <c r="AF427" s="280">
        <f t="shared" si="104"/>
        <v>0</v>
      </c>
      <c r="AG427" s="281"/>
      <c r="AH427" s="282">
        <f t="shared" si="106"/>
        <v>0</v>
      </c>
      <c r="AI427" s="283">
        <f t="shared" si="102"/>
        <v>0</v>
      </c>
      <c r="AJ427" s="288"/>
      <c r="AK427" s="279"/>
      <c r="AL427" s="280">
        <f t="shared" si="105"/>
        <v>0</v>
      </c>
      <c r="AM427" s="284"/>
      <c r="AN427" s="282">
        <f t="shared" si="101"/>
        <v>0</v>
      </c>
      <c r="AO427" s="289">
        <f t="shared" si="100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89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103"/>
        <v>26927.771575120063</v>
      </c>
      <c r="AA428" s="263"/>
      <c r="AB428" s="263"/>
      <c r="AC428" s="264"/>
      <c r="AD428" s="292"/>
      <c r="AE428" s="291"/>
      <c r="AF428" s="264">
        <f t="shared" si="104"/>
        <v>26003.25</v>
      </c>
      <c r="AG428" s="265"/>
      <c r="AH428" s="266">
        <f t="shared" si="106"/>
        <v>-924.52157512006306</v>
      </c>
      <c r="AI428" s="293">
        <f t="shared" si="102"/>
        <v>-3.4333385981864001E-2</v>
      </c>
      <c r="AJ428" s="292"/>
      <c r="AK428" s="263"/>
      <c r="AL428" s="264">
        <f t="shared" si="105"/>
        <v>27309.78</v>
      </c>
      <c r="AM428" s="268"/>
      <c r="AN428" s="266">
        <f t="shared" si="101"/>
        <v>-1306.5299999999988</v>
      </c>
      <c r="AO428" s="294">
        <f t="shared" si="100"/>
        <v>-4.784110307735906E-2</v>
      </c>
      <c r="AP428" s="475"/>
      <c r="AQ428" s="483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89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103"/>
        <v>30860.683971751794</v>
      </c>
      <c r="AA429" s="279"/>
      <c r="AB429" s="279"/>
      <c r="AC429" s="280"/>
      <c r="AD429" s="288"/>
      <c r="AE429" s="287"/>
      <c r="AF429" s="280">
        <f t="shared" si="104"/>
        <v>39922.5</v>
      </c>
      <c r="AG429" s="281"/>
      <c r="AH429" s="282">
        <f t="shared" si="106"/>
        <v>9061.8160282482058</v>
      </c>
      <c r="AI429" s="283">
        <f>IF(Z429=0,0,AH429/Z429)</f>
        <v>0.2936362666667694</v>
      </c>
      <c r="AJ429" s="288"/>
      <c r="AK429" s="279"/>
      <c r="AL429" s="280">
        <f t="shared" si="105"/>
        <v>35683.659999999996</v>
      </c>
      <c r="AM429" s="284"/>
      <c r="AN429" s="282">
        <f t="shared" si="101"/>
        <v>4238.8400000000038</v>
      </c>
      <c r="AO429" s="289">
        <f t="shared" si="100"/>
        <v>0.11878938427280174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89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226</v>
      </c>
      <c r="X430" s="279"/>
      <c r="Y430" s="279"/>
      <c r="Z430" s="280">
        <f t="shared" si="103"/>
        <v>16179.540521363882</v>
      </c>
      <c r="AA430" s="279"/>
      <c r="AB430" s="279"/>
      <c r="AC430" s="280"/>
      <c r="AD430" s="288"/>
      <c r="AE430" s="287"/>
      <c r="AF430" s="280">
        <f t="shared" si="104"/>
        <v>15966.42</v>
      </c>
      <c r="AG430" s="281"/>
      <c r="AH430" s="282">
        <f t="shared" si="106"/>
        <v>-213.12052136388229</v>
      </c>
      <c r="AI430" s="283">
        <f t="shared" si="102"/>
        <v>-1.3172223344814549E-2</v>
      </c>
      <c r="AJ430" s="288"/>
      <c r="AK430" s="279"/>
      <c r="AL430" s="280">
        <f>IFERROR(SUMIF($C:$C,$V430,Q:Q),0)</f>
        <v>14196.18</v>
      </c>
      <c r="AM430" s="284"/>
      <c r="AN430" s="282">
        <f t="shared" si="101"/>
        <v>1770.2399999999998</v>
      </c>
      <c r="AO430" s="289">
        <f t="shared" si="100"/>
        <v>0.12469833434064655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89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 t="s">
        <v>227</v>
      </c>
      <c r="X431" s="279"/>
      <c r="Y431" s="279"/>
      <c r="Z431" s="280">
        <f t="shared" si="103"/>
        <v>3467.0443974351169</v>
      </c>
      <c r="AA431" s="279"/>
      <c r="AB431" s="279"/>
      <c r="AC431" s="280"/>
      <c r="AD431" s="288"/>
      <c r="AE431" s="287"/>
      <c r="AF431" s="280">
        <f t="shared" si="104"/>
        <v>5644.18</v>
      </c>
      <c r="AG431" s="281"/>
      <c r="AH431" s="282">
        <f t="shared" si="106"/>
        <v>2177.1356025648834</v>
      </c>
      <c r="AI431" s="306">
        <f t="shared" si="102"/>
        <v>0.62795146326234108</v>
      </c>
      <c r="AJ431" s="288"/>
      <c r="AK431" s="279"/>
      <c r="AL431" s="280">
        <f>IFERROR(SUMIF($C:$C,$V431,Q:Q),0)</f>
        <v>4332.22</v>
      </c>
      <c r="AM431" s="284"/>
      <c r="AN431" s="282">
        <f t="shared" si="101"/>
        <v>1311.96</v>
      </c>
      <c r="AO431" s="294">
        <f t="shared" si="100"/>
        <v>0.30283780602093152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>
      <c r="A432" t="str">
        <f t="shared" si="89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IFERROR(SUMIF($C:$C,$V432,F:F),0)</f>
        <v>0</v>
      </c>
      <c r="AA432" s="279"/>
      <c r="AB432" s="279"/>
      <c r="AC432" s="282"/>
      <c r="AD432" s="288"/>
      <c r="AE432" s="287"/>
      <c r="AF432" s="280">
        <f t="shared" si="104"/>
        <v>0</v>
      </c>
      <c r="AG432" s="281"/>
      <c r="AH432" s="282">
        <f t="shared" si="106"/>
        <v>0</v>
      </c>
      <c r="AI432" s="283">
        <f t="shared" si="102"/>
        <v>0</v>
      </c>
      <c r="AJ432" s="288"/>
      <c r="AK432" s="279"/>
      <c r="AL432" s="280">
        <f>IFERROR(SUMIF($C:$C,$V432,Q:Q),0)</f>
        <v>0</v>
      </c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89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0.33195875375720307</v>
      </c>
      <c r="Y433" s="297"/>
      <c r="Z433" s="299">
        <f>SUM(Z420:Z432)</f>
        <v>180019.30688565318</v>
      </c>
      <c r="AA433" s="298"/>
      <c r="AB433" s="297"/>
      <c r="AC433" s="299"/>
      <c r="AD433" s="300">
        <f>AF433/AF407</f>
        <v>0.30758188264349917</v>
      </c>
      <c r="AE433" s="307"/>
      <c r="AF433" s="299">
        <f>SUM(AF420:AF432)</f>
        <v>201989.09</v>
      </c>
      <c r="AG433" s="308"/>
      <c r="AH433" s="302">
        <f t="shared" si="106"/>
        <v>21969.783114346821</v>
      </c>
      <c r="AI433" s="298">
        <f>AH433/Z433</f>
        <v>0.12204126043159277</v>
      </c>
      <c r="AJ433" s="300">
        <f>IF($AL$407=0,0,AL433/$AL$407)</f>
        <v>0.33450279571531111</v>
      </c>
      <c r="AK433" s="297"/>
      <c r="AL433" s="299">
        <f>SUM(AL420:AL432)</f>
        <v>190702.75999999998</v>
      </c>
      <c r="AM433" s="309"/>
      <c r="AN433" s="302">
        <f t="shared" ref="AN433:AN447" si="107">AF433-AL433</f>
        <v>11286.330000000016</v>
      </c>
      <c r="AO433" s="277">
        <f>IF(AL433=0,0,AN433/AL433)</f>
        <v>5.9182835109465731E-2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89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228</v>
      </c>
      <c r="X434" s="312"/>
      <c r="Y434" s="312"/>
      <c r="Z434" s="313">
        <f t="shared" ref="Z434:Z448" si="108">+SUMIF($C:$C,$V434,F:F)</f>
        <v>7464.5015103221631</v>
      </c>
      <c r="AA434" s="312"/>
      <c r="AB434" s="312"/>
      <c r="AC434" s="313"/>
      <c r="AD434" s="314"/>
      <c r="AE434" s="315"/>
      <c r="AF434" s="313">
        <f t="shared" ref="AF434:AF451" si="109">+SUMIF($C:$C,$V434,L:L)</f>
        <v>8939.15</v>
      </c>
      <c r="AG434" s="314"/>
      <c r="AH434" s="316">
        <f t="shared" si="106"/>
        <v>1474.6484896778366</v>
      </c>
      <c r="AI434" s="317">
        <f t="shared" ref="AI434:AI451" si="110">IF(Z434=0,0,AH434/Z434)</f>
        <v>0.19755485180606411</v>
      </c>
      <c r="AJ434" s="314"/>
      <c r="AK434" s="312"/>
      <c r="AL434" s="313">
        <f t="shared" ref="AL434:AL448" si="111">+SUMIF($C:$C,$V434,Q:Q)</f>
        <v>10966.24</v>
      </c>
      <c r="AM434" s="318"/>
      <c r="AN434" s="316">
        <f t="shared" si="107"/>
        <v>-2027.0900000000001</v>
      </c>
      <c r="AO434" s="285">
        <f t="shared" ref="AO434:AO447" si="112">IF(AL434=0,0,AN434/AL434)</f>
        <v>-0.18484822509811932</v>
      </c>
      <c r="AP434" s="246"/>
      <c r="AQ434" s="246">
        <f>11894-2955</f>
        <v>8939</v>
      </c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89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148</v>
      </c>
      <c r="X435" s="279"/>
      <c r="Y435" s="279"/>
      <c r="Z435" s="280">
        <f t="shared" si="108"/>
        <v>3333.3333333333335</v>
      </c>
      <c r="AA435" s="279"/>
      <c r="AB435" s="279"/>
      <c r="AC435" s="280"/>
      <c r="AD435" s="288"/>
      <c r="AE435" s="287"/>
      <c r="AF435" s="280">
        <f t="shared" si="109"/>
        <v>3427.25</v>
      </c>
      <c r="AG435" s="281"/>
      <c r="AH435" s="282">
        <f t="shared" si="106"/>
        <v>93.916666666666515</v>
      </c>
      <c r="AI435" s="283">
        <f t="shared" si="110"/>
        <v>2.8174999999999954E-2</v>
      </c>
      <c r="AJ435" s="288"/>
      <c r="AK435" s="279"/>
      <c r="AL435" s="280">
        <f t="shared" si="111"/>
        <v>4484.1899999999887</v>
      </c>
      <c r="AM435" s="284"/>
      <c r="AN435" s="282">
        <f t="shared" si="107"/>
        <v>-1056.9399999999887</v>
      </c>
      <c r="AO435" s="289">
        <f t="shared" si="112"/>
        <v>-0.23570366108483168</v>
      </c>
      <c r="AP435" s="246"/>
      <c r="AQ435" s="246">
        <v>3427</v>
      </c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89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229</v>
      </c>
      <c r="X436" s="263"/>
      <c r="Y436" s="263"/>
      <c r="Z436" s="264">
        <f t="shared" si="108"/>
        <v>20211.333333333332</v>
      </c>
      <c r="AA436" s="263"/>
      <c r="AB436" s="263"/>
      <c r="AC436" s="264"/>
      <c r="AD436" s="292"/>
      <c r="AE436" s="291"/>
      <c r="AF436" s="264">
        <f t="shared" si="109"/>
        <v>26263.68</v>
      </c>
      <c r="AG436" s="265"/>
      <c r="AH436" s="266">
        <f t="shared" si="106"/>
        <v>6052.3466666666682</v>
      </c>
      <c r="AI436" s="293">
        <f t="shared" si="110"/>
        <v>0.29945311211531495</v>
      </c>
      <c r="AJ436" s="292"/>
      <c r="AK436" s="263"/>
      <c r="AL436" s="264">
        <f t="shared" si="111"/>
        <v>19639</v>
      </c>
      <c r="AM436" s="268"/>
      <c r="AN436" s="266">
        <f t="shared" si="107"/>
        <v>6624.68</v>
      </c>
      <c r="AO436" s="269">
        <f t="shared" si="112"/>
        <v>0.33732267427058404</v>
      </c>
      <c r="AP436" s="246"/>
      <c r="AQ436" s="485">
        <v>26264</v>
      </c>
      <c r="AR436" s="485" t="s">
        <v>262</v>
      </c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89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230</v>
      </c>
      <c r="X437" s="279"/>
      <c r="Y437" s="279"/>
      <c r="Z437" s="280">
        <f t="shared" si="108"/>
        <v>14164</v>
      </c>
      <c r="AA437" s="279"/>
      <c r="AB437" s="279"/>
      <c r="AC437" s="280"/>
      <c r="AD437" s="288"/>
      <c r="AE437" s="287"/>
      <c r="AF437" s="280">
        <f t="shared" si="109"/>
        <v>16188.25</v>
      </c>
      <c r="AG437" s="281"/>
      <c r="AH437" s="282">
        <f>AF437-Z437</f>
        <v>2024.25</v>
      </c>
      <c r="AI437" s="283">
        <f t="shared" si="110"/>
        <v>0.14291513696695848</v>
      </c>
      <c r="AJ437" s="288"/>
      <c r="AK437" s="279"/>
      <c r="AL437" s="280">
        <f t="shared" si="111"/>
        <v>14599.039999999999</v>
      </c>
      <c r="AM437" s="284"/>
      <c r="AN437" s="282">
        <f t="shared" si="107"/>
        <v>1589.2100000000009</v>
      </c>
      <c r="AO437" s="289">
        <f t="shared" si="112"/>
        <v>0.10885715773091936</v>
      </c>
      <c r="AP437" s="485"/>
      <c r="AQ437" s="494">
        <v>16188</v>
      </c>
      <c r="AR437" s="494" t="s">
        <v>263</v>
      </c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89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231</v>
      </c>
      <c r="X438" s="279"/>
      <c r="Y438" s="279"/>
      <c r="Z438" s="280">
        <f t="shared" si="108"/>
        <v>1833.3333333333335</v>
      </c>
      <c r="AA438" s="279"/>
      <c r="AB438" s="279"/>
      <c r="AC438" s="280"/>
      <c r="AD438" s="288"/>
      <c r="AE438" s="287"/>
      <c r="AF438" s="280">
        <f t="shared" si="109"/>
        <v>1747.9</v>
      </c>
      <c r="AG438" s="281"/>
      <c r="AH438" s="282">
        <f t="shared" si="106"/>
        <v>-85.433333333333394</v>
      </c>
      <c r="AI438" s="283">
        <f t="shared" si="110"/>
        <v>-4.660000000000003E-2</v>
      </c>
      <c r="AJ438" s="288"/>
      <c r="AK438" s="279"/>
      <c r="AL438" s="280">
        <f t="shared" si="111"/>
        <v>1871.72</v>
      </c>
      <c r="AM438" s="284"/>
      <c r="AN438" s="282">
        <f t="shared" si="107"/>
        <v>-123.81999999999994</v>
      </c>
      <c r="AO438" s="289">
        <f t="shared" si="112"/>
        <v>-6.6153057081187322E-2</v>
      </c>
      <c r="AP438" s="485"/>
      <c r="AQ438" s="494">
        <v>1748</v>
      </c>
      <c r="AR438" s="494">
        <v>1748</v>
      </c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89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232</v>
      </c>
      <c r="X439" s="279"/>
      <c r="Y439" s="279"/>
      <c r="Z439" s="280">
        <f t="shared" si="108"/>
        <v>11716</v>
      </c>
      <c r="AA439" s="279"/>
      <c r="AB439" s="279"/>
      <c r="AC439" s="280"/>
      <c r="AD439" s="288"/>
      <c r="AE439" s="287"/>
      <c r="AF439" s="280">
        <f t="shared" si="109"/>
        <v>8859.35</v>
      </c>
      <c r="AG439" s="281"/>
      <c r="AH439" s="282">
        <f t="shared" si="106"/>
        <v>-2856.6499999999996</v>
      </c>
      <c r="AI439" s="283">
        <f t="shared" si="110"/>
        <v>-0.24382468419255715</v>
      </c>
      <c r="AJ439" s="288"/>
      <c r="AK439" s="279"/>
      <c r="AL439" s="280">
        <f t="shared" si="111"/>
        <v>13586.820000000002</v>
      </c>
      <c r="AM439" s="284"/>
      <c r="AN439" s="282">
        <f t="shared" si="107"/>
        <v>-4727.4700000000012</v>
      </c>
      <c r="AO439" s="289">
        <f t="shared" si="112"/>
        <v>-0.34794528815425541</v>
      </c>
      <c r="AP439" s="246"/>
      <c r="AQ439" s="485">
        <v>8859</v>
      </c>
      <c r="AR439" s="485" t="s">
        <v>264</v>
      </c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 hidden="1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108"/>
        <v>0</v>
      </c>
      <c r="AA440" s="320"/>
      <c r="AB440" s="320"/>
      <c r="AC440" s="321"/>
      <c r="AD440" s="322"/>
      <c r="AE440" s="323"/>
      <c r="AF440" s="321">
        <f t="shared" si="109"/>
        <v>0</v>
      </c>
      <c r="AG440" s="324"/>
      <c r="AH440" s="325">
        <f t="shared" si="106"/>
        <v>0</v>
      </c>
      <c r="AI440" s="326">
        <f t="shared" si="110"/>
        <v>0</v>
      </c>
      <c r="AJ440" s="322"/>
      <c r="AK440" s="320"/>
      <c r="AL440" s="321">
        <f t="shared" si="111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89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108"/>
        <v>1167.5</v>
      </c>
      <c r="AA441" s="279"/>
      <c r="AB441" s="287"/>
      <c r="AC441" s="280"/>
      <c r="AD441" s="288"/>
      <c r="AE441" s="287"/>
      <c r="AF441" s="280">
        <f t="shared" si="109"/>
        <v>2693.81</v>
      </c>
      <c r="AG441" s="281"/>
      <c r="AH441" s="282">
        <f t="shared" si="106"/>
        <v>1526.31</v>
      </c>
      <c r="AI441" s="283">
        <f t="shared" si="110"/>
        <v>1.3073319057815844</v>
      </c>
      <c r="AJ441" s="288"/>
      <c r="AK441" s="279"/>
      <c r="AL441" s="280">
        <f t="shared" si="111"/>
        <v>696.46</v>
      </c>
      <c r="AM441" s="284"/>
      <c r="AN441" s="282">
        <f t="shared" si="107"/>
        <v>1997.35</v>
      </c>
      <c r="AO441" s="289">
        <f t="shared" si="112"/>
        <v>2.8678603222008441</v>
      </c>
      <c r="AP441" s="246"/>
      <c r="AQ441" s="246">
        <f>2496+198</f>
        <v>2694</v>
      </c>
      <c r="AR441" s="485" t="s">
        <v>265</v>
      </c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89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108"/>
        <v>1060</v>
      </c>
      <c r="AA442" s="279"/>
      <c r="AB442" s="279"/>
      <c r="AC442" s="280"/>
      <c r="AD442" s="288"/>
      <c r="AE442" s="287"/>
      <c r="AF442" s="280">
        <f t="shared" si="109"/>
        <v>801.81</v>
      </c>
      <c r="AG442" s="281"/>
      <c r="AH442" s="282">
        <f t="shared" si="106"/>
        <v>-258.19000000000005</v>
      </c>
      <c r="AI442" s="306">
        <f t="shared" si="110"/>
        <v>-0.24357547169811325</v>
      </c>
      <c r="AJ442" s="288"/>
      <c r="AK442" s="279"/>
      <c r="AL442" s="280">
        <f t="shared" si="111"/>
        <v>563.67999999999995</v>
      </c>
      <c r="AM442" s="284"/>
      <c r="AN442" s="282">
        <f t="shared" si="107"/>
        <v>238.13</v>
      </c>
      <c r="AO442" s="289">
        <f t="shared" si="112"/>
        <v>0.42245600340618794</v>
      </c>
      <c r="AP442" s="246"/>
      <c r="AQ442" s="246">
        <v>802</v>
      </c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>+U443&amp;V443</f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108"/>
        <v>1575</v>
      </c>
      <c r="AA443" s="279"/>
      <c r="AB443" s="279"/>
      <c r="AC443" s="280"/>
      <c r="AD443" s="288"/>
      <c r="AE443" s="287"/>
      <c r="AF443" s="280">
        <f t="shared" si="109"/>
        <v>1563.5100000000002</v>
      </c>
      <c r="AG443" s="281"/>
      <c r="AH443" s="282">
        <f t="shared" si="106"/>
        <v>-11.489999999999782</v>
      </c>
      <c r="AI443" s="283">
        <f t="shared" si="110"/>
        <v>-7.2952380952379563E-3</v>
      </c>
      <c r="AJ443" s="288"/>
      <c r="AK443" s="279"/>
      <c r="AL443" s="280">
        <f t="shared" si="111"/>
        <v>1881.23</v>
      </c>
      <c r="AM443" s="284"/>
      <c r="AN443" s="282">
        <f t="shared" si="107"/>
        <v>-317.7199999999998</v>
      </c>
      <c r="AO443" s="289">
        <f t="shared" si="112"/>
        <v>-0.16888950314421936</v>
      </c>
      <c r="AP443" s="246"/>
      <c r="AQ443" s="246">
        <f>3290-1376-350</f>
        <v>1564</v>
      </c>
      <c r="AR443" s="246" t="s">
        <v>266</v>
      </c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89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233</v>
      </c>
      <c r="X444" s="279"/>
      <c r="Y444" s="279"/>
      <c r="Z444" s="280">
        <f t="shared" si="108"/>
        <v>512</v>
      </c>
      <c r="AA444" s="279"/>
      <c r="AB444" s="279"/>
      <c r="AC444" s="280"/>
      <c r="AD444" s="288"/>
      <c r="AE444" s="287"/>
      <c r="AF444" s="280">
        <f t="shared" si="109"/>
        <v>491.29</v>
      </c>
      <c r="AG444" s="281"/>
      <c r="AH444" s="282">
        <f t="shared" si="106"/>
        <v>-20.70999999999998</v>
      </c>
      <c r="AI444" s="306">
        <f t="shared" si="110"/>
        <v>-4.044921874999996E-2</v>
      </c>
      <c r="AJ444" s="288"/>
      <c r="AK444" s="279"/>
      <c r="AL444" s="280">
        <f t="shared" si="111"/>
        <v>531.70000000000005</v>
      </c>
      <c r="AM444" s="284"/>
      <c r="AN444" s="282">
        <f t="shared" si="107"/>
        <v>-40.410000000000025</v>
      </c>
      <c r="AO444" s="289">
        <f t="shared" si="112"/>
        <v>-7.600150460786162E-2</v>
      </c>
      <c r="AP444" s="246"/>
      <c r="AQ444" s="246">
        <v>491</v>
      </c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89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234</v>
      </c>
      <c r="X445" s="279"/>
      <c r="Y445" s="279"/>
      <c r="Z445" s="280">
        <f t="shared" si="108"/>
        <v>950</v>
      </c>
      <c r="AA445" s="279"/>
      <c r="AB445" s="279"/>
      <c r="AC445" s="280"/>
      <c r="AD445" s="288"/>
      <c r="AE445" s="287"/>
      <c r="AF445" s="280">
        <f t="shared" si="109"/>
        <v>918.39</v>
      </c>
      <c r="AG445" s="281"/>
      <c r="AH445" s="282">
        <f t="shared" si="106"/>
        <v>-31.610000000000014</v>
      </c>
      <c r="AI445" s="283">
        <f t="shared" si="110"/>
        <v>-3.327368421052633E-2</v>
      </c>
      <c r="AJ445" s="288"/>
      <c r="AK445" s="279"/>
      <c r="AL445" s="280">
        <f t="shared" si="111"/>
        <v>125.1099999999999</v>
      </c>
      <c r="AM445" s="284"/>
      <c r="AN445" s="282">
        <f t="shared" si="107"/>
        <v>793.28000000000009</v>
      </c>
      <c r="AO445" s="289">
        <f t="shared" si="112"/>
        <v>6.3406602190072796</v>
      </c>
      <c r="AP445" s="246"/>
      <c r="AQ445" s="246">
        <v>918</v>
      </c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89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235</v>
      </c>
      <c r="X446" s="279"/>
      <c r="Y446" s="287"/>
      <c r="Z446" s="280">
        <f t="shared" si="108"/>
        <v>1741.0000000000002</v>
      </c>
      <c r="AA446" s="279"/>
      <c r="AB446" s="287"/>
      <c r="AC446" s="280"/>
      <c r="AD446" s="288"/>
      <c r="AE446" s="287"/>
      <c r="AF446" s="280">
        <f t="shared" si="109"/>
        <v>2925.98</v>
      </c>
      <c r="AG446" s="281"/>
      <c r="AH446" s="282">
        <f t="shared" si="106"/>
        <v>1184.9799999999998</v>
      </c>
      <c r="AI446" s="306">
        <f t="shared" si="110"/>
        <v>0.68063182079264772</v>
      </c>
      <c r="AJ446" s="288"/>
      <c r="AK446" s="279"/>
      <c r="AL446" s="280">
        <f t="shared" si="111"/>
        <v>1446.0000000000002</v>
      </c>
      <c r="AM446" s="284"/>
      <c r="AN446" s="282">
        <f t="shared" si="107"/>
        <v>1479.9799999999998</v>
      </c>
      <c r="AO446" s="289">
        <f t="shared" si="112"/>
        <v>1.0234993084370674</v>
      </c>
      <c r="AP446" s="246"/>
      <c r="AQ446" s="246">
        <f>4156-1230</f>
        <v>2926</v>
      </c>
      <c r="AR446" s="485" t="s">
        <v>267</v>
      </c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89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236</v>
      </c>
      <c r="X447" s="279"/>
      <c r="Y447" s="287"/>
      <c r="Z447" s="280">
        <f t="shared" si="108"/>
        <v>2582.3544666666662</v>
      </c>
      <c r="AA447" s="279"/>
      <c r="AB447" s="287"/>
      <c r="AC447" s="280"/>
      <c r="AD447" s="288"/>
      <c r="AE447" s="287"/>
      <c r="AF447" s="280">
        <f t="shared" si="109"/>
        <v>1851.6599999999999</v>
      </c>
      <c r="AG447" s="281"/>
      <c r="AH447" s="282">
        <f t="shared" si="106"/>
        <v>-730.69446666666636</v>
      </c>
      <c r="AI447" s="283">
        <f t="shared" si="110"/>
        <v>-0.28295668782057465</v>
      </c>
      <c r="AJ447" s="288"/>
      <c r="AK447" s="279"/>
      <c r="AL447" s="280">
        <f t="shared" si="111"/>
        <v>1784.5100000000002</v>
      </c>
      <c r="AM447" s="284"/>
      <c r="AN447" s="282">
        <f t="shared" si="107"/>
        <v>67.149999999999636</v>
      </c>
      <c r="AO447" s="289">
        <f t="shared" si="112"/>
        <v>3.762937725201855E-2</v>
      </c>
      <c r="AP447" s="246"/>
      <c r="AQ447" s="246">
        <f>-148+2000</f>
        <v>1852</v>
      </c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89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237</v>
      </c>
      <c r="X448" s="279"/>
      <c r="Y448" s="287">
        <f>Z448/Z406</f>
        <v>1.6500000000000002E-3</v>
      </c>
      <c r="Z448" s="280">
        <f t="shared" si="108"/>
        <v>9404.2587733542696</v>
      </c>
      <c r="AA448" s="279"/>
      <c r="AB448" s="287"/>
      <c r="AC448" s="280"/>
      <c r="AD448" s="288"/>
      <c r="AE448" s="287"/>
      <c r="AF448" s="280">
        <f t="shared" si="109"/>
        <v>9752.16</v>
      </c>
      <c r="AG448" s="281"/>
      <c r="AH448" s="282">
        <f t="shared" si="106"/>
        <v>347.90122664573028</v>
      </c>
      <c r="AI448" s="283">
        <f t="shared" si="110"/>
        <v>3.6994008249907229E-2</v>
      </c>
      <c r="AJ448" s="288"/>
      <c r="AK448" s="279"/>
      <c r="AL448" s="280">
        <f t="shared" si="111"/>
        <v>9131.2300000000014</v>
      </c>
      <c r="AM448" s="284"/>
      <c r="AN448" s="282">
        <f>AF448-AL448</f>
        <v>620.92999999999847</v>
      </c>
      <c r="AO448" s="289">
        <f>IF(AL448=0,0,AN448/AL448)</f>
        <v>6.8000696510765624E-2</v>
      </c>
      <c r="AP448" s="246"/>
      <c r="AQ448" s="246">
        <v>9752</v>
      </c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>
      <c r="A449" t="str">
        <f t="shared" si="89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>IFERROR(SUMIF($C:$C,$V449,F:F),0)</f>
        <v>0</v>
      </c>
      <c r="AA449" s="279"/>
      <c r="AB449" s="279"/>
      <c r="AC449" s="282"/>
      <c r="AD449" s="288"/>
      <c r="AE449" s="287"/>
      <c r="AF449" s="280">
        <f t="shared" si="109"/>
        <v>0</v>
      </c>
      <c r="AG449" s="281"/>
      <c r="AH449" s="282">
        <f t="shared" si="106"/>
        <v>0</v>
      </c>
      <c r="AI449" s="283">
        <f t="shared" si="110"/>
        <v>0</v>
      </c>
      <c r="AJ449" s="288"/>
      <c r="AK449" s="279"/>
      <c r="AL449" s="280">
        <f>IFERROR(SUMIF($C:$C,$V449,Q:Q),0)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>
      <c r="A450" t="str">
        <f t="shared" si="89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IFERROR(SUMIF($C:$C,$V450,F:F),0)</f>
        <v>0</v>
      </c>
      <c r="AA450" s="279"/>
      <c r="AB450" s="279"/>
      <c r="AC450" s="282"/>
      <c r="AD450" s="288"/>
      <c r="AE450" s="287"/>
      <c r="AF450" s="280">
        <f t="shared" si="109"/>
        <v>0</v>
      </c>
      <c r="AG450" s="281"/>
      <c r="AH450" s="282">
        <f t="shared" si="106"/>
        <v>0</v>
      </c>
      <c r="AI450" s="283">
        <f t="shared" si="110"/>
        <v>0</v>
      </c>
      <c r="AJ450" s="288"/>
      <c r="AK450" s="279"/>
      <c r="AL450" s="280">
        <f>IFERROR(SUMIF($C:$C,$V450,Q:Q),0)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>
      <c r="A451" t="str">
        <f t="shared" si="89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IFERROR(SUMIF($C:$C,$V451,F:F),0)</f>
        <v>0</v>
      </c>
      <c r="AA451" s="279"/>
      <c r="AB451" s="279"/>
      <c r="AC451" s="282"/>
      <c r="AD451" s="288"/>
      <c r="AE451" s="287"/>
      <c r="AF451" s="280">
        <f t="shared" si="109"/>
        <v>0</v>
      </c>
      <c r="AG451" s="281"/>
      <c r="AH451" s="282">
        <f t="shared" si="106"/>
        <v>0</v>
      </c>
      <c r="AI451" s="283">
        <f t="shared" si="110"/>
        <v>0</v>
      </c>
      <c r="AJ451" s="288"/>
      <c r="AK451" s="279"/>
      <c r="AL451" s="280">
        <f>IFERROR(SUMIF($C:$C,$V451,Q:Q),0)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89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0.1433071102625218</v>
      </c>
      <c r="Y452" s="297"/>
      <c r="Z452" s="299">
        <f>+SUM(Z434:Z451)</f>
        <v>77714.614750343113</v>
      </c>
      <c r="AA452" s="298"/>
      <c r="AB452" s="297"/>
      <c r="AC452" s="299"/>
      <c r="AD452" s="300">
        <f>AF452/AF407</f>
        <v>0.13160371714204697</v>
      </c>
      <c r="AE452" s="297"/>
      <c r="AF452" s="299">
        <f>+SUM(AF434:AF451)</f>
        <v>86424.189999999988</v>
      </c>
      <c r="AG452" s="308"/>
      <c r="AH452" s="302">
        <f>+SUM(AH434:AH451)</f>
        <v>8709.5752496569003</v>
      </c>
      <c r="AI452" s="298">
        <f>AH452/Z452</f>
        <v>0.11207126584409205</v>
      </c>
      <c r="AJ452" s="300">
        <f>IF($AL$407=0,0,AL452/$AL$407)</f>
        <v>0.14261668470885841</v>
      </c>
      <c r="AK452" s="298"/>
      <c r="AL452" s="299">
        <f>+SUM(AL434:AL451)</f>
        <v>81306.929999999978</v>
      </c>
      <c r="AM452" s="309"/>
      <c r="AN452" s="302">
        <f>+SUM(AN434:AN451)</f>
        <v>5117.2600000000102</v>
      </c>
      <c r="AO452" s="331">
        <f>IF(AL452=0,0,AN452/AL452)</f>
        <v>6.2937562640724615E-2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89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50000</v>
      </c>
      <c r="AA453" s="279"/>
      <c r="AB453" s="287"/>
      <c r="AC453" s="280"/>
      <c r="AD453" s="288"/>
      <c r="AE453" s="287"/>
      <c r="AF453" s="280">
        <v>50000</v>
      </c>
      <c r="AG453" s="281"/>
      <c r="AH453" s="282">
        <f t="shared" ref="AH453:AH461" si="113">AF453-Z453</f>
        <v>0</v>
      </c>
      <c r="AI453" s="283">
        <f t="shared" ref="AI453:AI461" si="114">IF(Z453=0,0,AH453/Z453)</f>
        <v>0</v>
      </c>
      <c r="AJ453" s="288"/>
      <c r="AK453" s="279"/>
      <c r="AL453" s="280">
        <v>50000</v>
      </c>
      <c r="AM453" s="284"/>
      <c r="AN453" s="282">
        <f>AF453-AL453</f>
        <v>0</v>
      </c>
      <c r="AO453" s="289">
        <f t="shared" ref="AO453:AO461" si="115">IF(AL453=0,0,AN453/AL453)</f>
        <v>0</v>
      </c>
      <c r="AP453" s="246"/>
      <c r="AQ453" s="486">
        <v>50000</v>
      </c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89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5933.07</v>
      </c>
      <c r="AA454" s="279"/>
      <c r="AB454" s="287"/>
      <c r="AC454" s="280"/>
      <c r="AD454" s="288"/>
      <c r="AE454" s="287"/>
      <c r="AF454" s="280">
        <v>6163.5</v>
      </c>
      <c r="AG454" s="281"/>
      <c r="AH454" s="282">
        <f t="shared" si="113"/>
        <v>230.43000000000029</v>
      </c>
      <c r="AI454" s="283">
        <f t="shared" si="114"/>
        <v>3.883824057359854E-2</v>
      </c>
      <c r="AJ454" s="288"/>
      <c r="AK454" s="279"/>
      <c r="AL454" s="280">
        <v>5872.14</v>
      </c>
      <c r="AM454" s="284"/>
      <c r="AN454" s="282">
        <f t="shared" ref="AN454:AN461" si="116">AF454-AL454</f>
        <v>291.35999999999967</v>
      </c>
      <c r="AO454" s="289">
        <f t="shared" si="115"/>
        <v>4.9617345635492284E-2</v>
      </c>
      <c r="AP454" s="246"/>
      <c r="AQ454" s="486">
        <v>6164</v>
      </c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89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2542.75</v>
      </c>
      <c r="AA455" s="263"/>
      <c r="AB455" s="291"/>
      <c r="AC455" s="264"/>
      <c r="AD455" s="292"/>
      <c r="AE455" s="291"/>
      <c r="AF455" s="264">
        <v>2641.5</v>
      </c>
      <c r="AG455" s="265"/>
      <c r="AH455" s="266">
        <f t="shared" si="113"/>
        <v>98.75</v>
      </c>
      <c r="AI455" s="293">
        <f t="shared" si="114"/>
        <v>3.8835906007275586E-2</v>
      </c>
      <c r="AJ455" s="292"/>
      <c r="AK455" s="263"/>
      <c r="AL455" s="264">
        <v>2516.63</v>
      </c>
      <c r="AM455" s="268"/>
      <c r="AN455" s="266">
        <f t="shared" si="116"/>
        <v>124.86999999999989</v>
      </c>
      <c r="AO455" s="269">
        <f t="shared" si="115"/>
        <v>4.9617941453451594E-2</v>
      </c>
      <c r="AP455" s="246"/>
      <c r="AQ455" s="486">
        <v>2642</v>
      </c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 hidden="1">
      <c r="A456" t="str">
        <f t="shared" si="89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113"/>
        <v>0</v>
      </c>
      <c r="AI456" s="283">
        <f t="shared" si="114"/>
        <v>0</v>
      </c>
      <c r="AJ456" s="288"/>
      <c r="AK456" s="279"/>
      <c r="AL456" s="280">
        <v>0</v>
      </c>
      <c r="AM456" s="284"/>
      <c r="AN456" s="282">
        <f t="shared" si="116"/>
        <v>0</v>
      </c>
      <c r="AO456" s="289">
        <f t="shared" si="115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89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4854</v>
      </c>
      <c r="AA457" s="263"/>
      <c r="AB457" s="291"/>
      <c r="AC457" s="264"/>
      <c r="AD457" s="292"/>
      <c r="AE457" s="291"/>
      <c r="AF457" s="264">
        <v>4853.83</v>
      </c>
      <c r="AG457" s="265"/>
      <c r="AH457" s="266">
        <f t="shared" si="113"/>
        <v>-0.17000000000007276</v>
      </c>
      <c r="AI457" s="293">
        <f t="shared" si="114"/>
        <v>-3.5022661722305881E-5</v>
      </c>
      <c r="AJ457" s="292"/>
      <c r="AK457" s="263"/>
      <c r="AL457" s="264">
        <v>4349.75</v>
      </c>
      <c r="AM457" s="268"/>
      <c r="AN457" s="266">
        <f t="shared" si="116"/>
        <v>504.07999999999993</v>
      </c>
      <c r="AO457" s="269">
        <f t="shared" si="115"/>
        <v>0.11588711994942236</v>
      </c>
      <c r="AP457" s="246"/>
      <c r="AQ457" s="486">
        <v>4854</v>
      </c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89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5000</v>
      </c>
      <c r="AA458" s="332"/>
      <c r="AB458" s="333"/>
      <c r="AC458" s="280"/>
      <c r="AD458" s="288"/>
      <c r="AE458" s="287"/>
      <c r="AF458" s="280">
        <v>5414.6</v>
      </c>
      <c r="AG458" s="281"/>
      <c r="AH458" s="282">
        <f t="shared" si="113"/>
        <v>414.60000000000036</v>
      </c>
      <c r="AI458" s="283">
        <f t="shared" si="114"/>
        <v>8.2920000000000077E-2</v>
      </c>
      <c r="AJ458" s="288"/>
      <c r="AK458" s="279"/>
      <c r="AL458" s="280">
        <v>4788.7</v>
      </c>
      <c r="AM458" s="284"/>
      <c r="AN458" s="282">
        <f t="shared" si="116"/>
        <v>625.90000000000055</v>
      </c>
      <c r="AO458" s="289">
        <f t="shared" si="115"/>
        <v>0.13070353122977021</v>
      </c>
      <c r="AP458" s="246"/>
      <c r="AQ458" s="246">
        <v>5415</v>
      </c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89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152</v>
      </c>
      <c r="X459" s="279"/>
      <c r="Y459" s="287"/>
      <c r="Z459" s="280">
        <v>6541.333333333333</v>
      </c>
      <c r="AA459" s="279"/>
      <c r="AB459" s="287"/>
      <c r="AC459" s="280"/>
      <c r="AD459" s="288"/>
      <c r="AE459" s="287"/>
      <c r="AF459" s="280">
        <v>6307.33</v>
      </c>
      <c r="AG459" s="281"/>
      <c r="AH459" s="282">
        <f t="shared" si="113"/>
        <v>-234.0033333333331</v>
      </c>
      <c r="AI459" s="283">
        <f t="shared" si="114"/>
        <v>-3.5773033020790837E-2</v>
      </c>
      <c r="AJ459" s="288"/>
      <c r="AK459" s="279"/>
      <c r="AL459" s="280">
        <v>6307.33</v>
      </c>
      <c r="AM459" s="284"/>
      <c r="AN459" s="282">
        <f t="shared" si="116"/>
        <v>0</v>
      </c>
      <c r="AO459" s="289">
        <f t="shared" si="115"/>
        <v>0</v>
      </c>
      <c r="AP459" s="246"/>
      <c r="AQ459" s="486">
        <v>6307</v>
      </c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89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238</v>
      </c>
      <c r="X460" s="263"/>
      <c r="Y460" s="291"/>
      <c r="Z460" s="264">
        <v>433.33333333333331</v>
      </c>
      <c r="AA460" s="263"/>
      <c r="AB460" s="291"/>
      <c r="AC460" s="264"/>
      <c r="AD460" s="292"/>
      <c r="AE460" s="291"/>
      <c r="AF460" s="264">
        <v>400</v>
      </c>
      <c r="AG460" s="265"/>
      <c r="AH460" s="266">
        <f t="shared" si="113"/>
        <v>-33.333333333333314</v>
      </c>
      <c r="AI460" s="293">
        <f t="shared" si="114"/>
        <v>-7.6923076923076886E-2</v>
      </c>
      <c r="AJ460" s="292"/>
      <c r="AK460" s="263"/>
      <c r="AL460" s="264">
        <v>250</v>
      </c>
      <c r="AM460" s="268"/>
      <c r="AN460" s="266">
        <f t="shared" si="116"/>
        <v>150</v>
      </c>
      <c r="AO460" s="269">
        <f t="shared" si="115"/>
        <v>0.6</v>
      </c>
      <c r="AP460" s="246"/>
      <c r="AQ460" s="246">
        <v>400</v>
      </c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89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212.00000000000003</v>
      </c>
      <c r="AA461" s="279"/>
      <c r="AB461" s="287"/>
      <c r="AC461" s="280"/>
      <c r="AD461" s="288"/>
      <c r="AE461" s="287"/>
      <c r="AF461" s="280">
        <v>218.95999999999998</v>
      </c>
      <c r="AG461" s="281"/>
      <c r="AH461" s="282">
        <f t="shared" si="113"/>
        <v>6.9599999999999511</v>
      </c>
      <c r="AI461" s="335">
        <f t="shared" si="114"/>
        <v>3.2830188679245045E-2</v>
      </c>
      <c r="AJ461" s="279"/>
      <c r="AK461" s="279"/>
      <c r="AL461" s="280">
        <v>173.95999999999901</v>
      </c>
      <c r="AM461" s="284"/>
      <c r="AN461" s="282">
        <f t="shared" si="116"/>
        <v>45.000000000000966</v>
      </c>
      <c r="AO461" s="289">
        <f t="shared" si="115"/>
        <v>0.2586801563577904</v>
      </c>
      <c r="AP461" s="246"/>
      <c r="AQ461" s="246">
        <v>219</v>
      </c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 hidden="1">
      <c r="A462" t="str">
        <f t="shared" si="89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>
      <c r="A463" t="str">
        <f t="shared" si="89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IFERROR(SUMIF($C:$C,$V463,F:F),0)</f>
        <v>0</v>
      </c>
      <c r="AA463" s="279"/>
      <c r="AB463" s="279"/>
      <c r="AC463" s="282"/>
      <c r="AD463" s="288"/>
      <c r="AE463" s="287"/>
      <c r="AF463" s="280">
        <f>+SUMIF($C:$C,$V463,L:L)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IFERROR(SUMIF($C:$C,$V463,Q:Q),0)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>
      <c r="A464" t="str">
        <f t="shared" si="89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IFERROR(SUMIF($C:$C,$V464,F:F),0)</f>
        <v>0</v>
      </c>
      <c r="AA464" s="279"/>
      <c r="AB464" s="279"/>
      <c r="AC464" s="282"/>
      <c r="AD464" s="288"/>
      <c r="AE464" s="287"/>
      <c r="AF464" s="280">
        <f>+SUMIF($C:$C,$V464,L:L)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IFERROR(SUMIF($C:$C,$V464,Q:Q),0)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>
      <c r="A465" t="str">
        <f t="shared" si="89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IFERROR(SUMIF($C:$C,$V465,F:F),0)</f>
        <v>0</v>
      </c>
      <c r="AA465" s="279"/>
      <c r="AB465" s="279"/>
      <c r="AC465" s="282"/>
      <c r="AD465" s="288"/>
      <c r="AE465" s="287"/>
      <c r="AF465" s="280">
        <f>+SUMIF($C:$C,$V465,L:L)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IFERROR(SUMIF($C:$C,$V465,Q:Q),0)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89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0.13925372359039426</v>
      </c>
      <c r="Y466" s="297"/>
      <c r="Z466" s="299">
        <f>SUM(Z453:Z465)</f>
        <v>75516.486666666664</v>
      </c>
      <c r="AA466" s="298"/>
      <c r="AB466" s="297"/>
      <c r="AC466" s="299"/>
      <c r="AD466" s="300">
        <f>AF466/AF407</f>
        <v>0.11572970083670757</v>
      </c>
      <c r="AE466" s="297"/>
      <c r="AF466" s="299">
        <f>SUM(AF453:AF465)</f>
        <v>75999.720000000016</v>
      </c>
      <c r="AG466" s="308"/>
      <c r="AH466" s="302">
        <f>SUM(AH453:AH465)</f>
        <v>483.23333333333414</v>
      </c>
      <c r="AI466" s="298">
        <f>IF(Z466=0,0,AH466/Z466)</f>
        <v>6.3990441645722859E-3</v>
      </c>
      <c r="AJ466" s="300">
        <f>IF($AL$407=0,0,AL466/$AL$407)</f>
        <v>0.13025338070961001</v>
      </c>
      <c r="AK466" s="298"/>
      <c r="AL466" s="299">
        <f>SUM(AL453:AL465)</f>
        <v>74258.509999999995</v>
      </c>
      <c r="AM466" s="309"/>
      <c r="AN466" s="302">
        <f>SUM(AN453:AN465)</f>
        <v>1741.2100000000009</v>
      </c>
      <c r="AO466" s="331">
        <f t="shared" ref="AO466:AO483" si="117">IF(AL466=0,0,AN466/AL466)</f>
        <v>2.3447952295299234E-2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89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118">AF467-Z467</f>
        <v>0</v>
      </c>
      <c r="AI467" s="283"/>
      <c r="AJ467" s="288"/>
      <c r="AK467" s="279"/>
      <c r="AL467" s="336"/>
      <c r="AM467" s="337"/>
      <c r="AN467" s="282">
        <f t="shared" ref="AN467:AN483" si="119">AF467-AL467</f>
        <v>0</v>
      </c>
      <c r="AO467" s="338">
        <f t="shared" si="117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89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0.89391442584903413</v>
      </c>
      <c r="Y468" s="297"/>
      <c r="Z468" s="299">
        <f>Z419+Z433+Z452+Z466</f>
        <v>484764.60866017442</v>
      </c>
      <c r="AA468" s="298"/>
      <c r="AB468" s="297"/>
      <c r="AC468" s="299"/>
      <c r="AD468" s="300">
        <f>AF468/AF407</f>
        <v>0.8124594049930427</v>
      </c>
      <c r="AE468" s="297"/>
      <c r="AF468" s="299">
        <f>AF419+AF433+AF452+AF466</f>
        <v>533542.27</v>
      </c>
      <c r="AG468" s="308"/>
      <c r="AH468" s="302">
        <f t="shared" si="118"/>
        <v>48777.661339825601</v>
      </c>
      <c r="AI468" s="298">
        <f>AH468/Z468</f>
        <v>0.10062133346458736</v>
      </c>
      <c r="AJ468" s="300">
        <f>IF($AL$407=0,0,AL468/$AL$407)</f>
        <v>0.92957776149548643</v>
      </c>
      <c r="AK468" s="298"/>
      <c r="AL468" s="299">
        <f>AL419+AL433+AL452+AL466</f>
        <v>529959.82999999996</v>
      </c>
      <c r="AM468" s="309"/>
      <c r="AN468" s="302">
        <f t="shared" si="119"/>
        <v>3582.4400000000605</v>
      </c>
      <c r="AO468" s="277">
        <f t="shared" si="117"/>
        <v>6.7598330990483952E-3</v>
      </c>
      <c r="AP468" s="310">
        <f>AF468-AF415</f>
        <v>502454.27</v>
      </c>
      <c r="AQ468" s="246" t="s">
        <v>221</v>
      </c>
      <c r="AR468" s="499">
        <v>474742</v>
      </c>
      <c r="AS468" s="310">
        <f>AP468-AR468</f>
        <v>27712.270000000019</v>
      </c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89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0</v>
      </c>
      <c r="AA469" s="339"/>
      <c r="AB469" s="340"/>
      <c r="AC469" s="313"/>
      <c r="AD469" s="341"/>
      <c r="AE469" s="340"/>
      <c r="AF469" s="280">
        <v>1753.82</v>
      </c>
      <c r="AG469" s="342"/>
      <c r="AH469" s="282">
        <f t="shared" si="118"/>
        <v>1753.82</v>
      </c>
      <c r="AI469" s="335" t="e">
        <f>IF(AH469=0,0,AH469/Z469)</f>
        <v>#DIV/0!</v>
      </c>
      <c r="AJ469" s="341"/>
      <c r="AK469" s="339"/>
      <c r="AL469" s="343">
        <v>2924.08</v>
      </c>
      <c r="AM469" s="344"/>
      <c r="AN469" s="282">
        <f t="shared" si="119"/>
        <v>-1170.26</v>
      </c>
      <c r="AO469" s="289">
        <f t="shared" si="117"/>
        <v>-0.40021476840578918</v>
      </c>
      <c r="AP469" s="246"/>
      <c r="AQ469" s="246">
        <v>1754</v>
      </c>
      <c r="AR469" s="246"/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89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>+SUMIF($C:$C,$V470,F:F)</f>
        <v>61606.923054545456</v>
      </c>
      <c r="AA470" s="332"/>
      <c r="AB470" s="333"/>
      <c r="AC470" s="280"/>
      <c r="AD470" s="345"/>
      <c r="AE470" s="333"/>
      <c r="AF470" s="280">
        <f t="shared" ref="AF470:AF476" si="120">+SUMIF($C:$C,$V470,L:L)</f>
        <v>76338.399999999994</v>
      </c>
      <c r="AG470" s="346"/>
      <c r="AH470" s="282">
        <f t="shared" si="118"/>
        <v>14731.476945454539</v>
      </c>
      <c r="AI470" s="306">
        <f>IF(Z470=0,0,AH470/Z470)</f>
        <v>0.23912047891779312</v>
      </c>
      <c r="AJ470" s="345"/>
      <c r="AK470" s="332"/>
      <c r="AL470" s="347">
        <f>+SUMIF($C:$C,$V470,Q:Q)</f>
        <v>57980.4</v>
      </c>
      <c r="AM470" s="348"/>
      <c r="AN470" s="282">
        <f t="shared" si="119"/>
        <v>18357.999999999993</v>
      </c>
      <c r="AO470" s="289">
        <f t="shared" si="117"/>
        <v>0.31662423853578092</v>
      </c>
      <c r="AP470" s="246"/>
      <c r="AQ470" s="246">
        <v>76338</v>
      </c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89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v>56986.403825454545</v>
      </c>
      <c r="AA471" s="332"/>
      <c r="AB471" s="333"/>
      <c r="AC471" s="280"/>
      <c r="AD471" s="345"/>
      <c r="AE471" s="333"/>
      <c r="AF471" s="280">
        <f t="shared" si="120"/>
        <v>64585.66</v>
      </c>
      <c r="AG471" s="346"/>
      <c r="AH471" s="282">
        <f t="shared" si="118"/>
        <v>7599.2561745454586</v>
      </c>
      <c r="AI471" s="306">
        <f t="shared" ref="AI471:AI480" si="121">IF(AH471=0,0,AH471/Z471)</f>
        <v>0.13335209215555099</v>
      </c>
      <c r="AJ471" s="345"/>
      <c r="AK471" s="332"/>
      <c r="AL471" s="347">
        <v>57768.59</v>
      </c>
      <c r="AM471" s="348"/>
      <c r="AN471" s="282">
        <f t="shared" si="119"/>
        <v>6817.070000000007</v>
      </c>
      <c r="AO471" s="289">
        <f t="shared" si="117"/>
        <v>0.11800651530528973</v>
      </c>
      <c r="AP471" s="246"/>
      <c r="AQ471" s="246">
        <v>64585</v>
      </c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>
      <c r="A472" t="str">
        <f t="shared" si="89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>+SUMIF($C:$C,$V472,F:F)</f>
        <v>0</v>
      </c>
      <c r="AA472" s="332"/>
      <c r="AB472" s="333"/>
      <c r="AC472" s="280"/>
      <c r="AD472" s="345"/>
      <c r="AE472" s="333"/>
      <c r="AF472" s="280">
        <f t="shared" si="120"/>
        <v>0</v>
      </c>
      <c r="AG472" s="346"/>
      <c r="AH472" s="282">
        <f t="shared" si="118"/>
        <v>0</v>
      </c>
      <c r="AI472" s="306">
        <f t="shared" si="121"/>
        <v>0</v>
      </c>
      <c r="AJ472" s="345"/>
      <c r="AK472" s="332"/>
      <c r="AL472" s="347">
        <f>+SUMIF($C:$C,$V472,Q:Q)</f>
        <v>0</v>
      </c>
      <c r="AM472" s="348"/>
      <c r="AN472" s="282">
        <f t="shared" si="119"/>
        <v>0</v>
      </c>
      <c r="AO472" s="289">
        <f t="shared" si="117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>
      <c r="A473" t="str">
        <f t="shared" si="89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>+SUMIF($C:$C,$V473,F:F)</f>
        <v>0</v>
      </c>
      <c r="AA473" s="332"/>
      <c r="AB473" s="333"/>
      <c r="AC473" s="280"/>
      <c r="AD473" s="345"/>
      <c r="AE473" s="333"/>
      <c r="AF473" s="280">
        <f t="shared" si="120"/>
        <v>0</v>
      </c>
      <c r="AG473" s="346"/>
      <c r="AH473" s="282">
        <f t="shared" si="118"/>
        <v>0</v>
      </c>
      <c r="AI473" s="306">
        <f t="shared" si="121"/>
        <v>0</v>
      </c>
      <c r="AJ473" s="345"/>
      <c r="AK473" s="332"/>
      <c r="AL473" s="347">
        <f>+SUMIF($C:$C,$V473,Q:Q)</f>
        <v>0</v>
      </c>
      <c r="AM473" s="348"/>
      <c r="AN473" s="282">
        <f t="shared" si="119"/>
        <v>0</v>
      </c>
      <c r="AO473" s="289">
        <f t="shared" si="117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89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v>3000</v>
      </c>
      <c r="AA474" s="332"/>
      <c r="AB474" s="333"/>
      <c r="AC474" s="280"/>
      <c r="AD474" s="345"/>
      <c r="AE474" s="333"/>
      <c r="AF474" s="280">
        <f t="shared" si="120"/>
        <v>0</v>
      </c>
      <c r="AG474" s="346"/>
      <c r="AH474" s="282">
        <f t="shared" si="118"/>
        <v>-3000</v>
      </c>
      <c r="AI474" s="306">
        <f t="shared" si="121"/>
        <v>-1</v>
      </c>
      <c r="AJ474" s="345"/>
      <c r="AK474" s="332"/>
      <c r="AL474" s="347">
        <v>2250</v>
      </c>
      <c r="AM474" s="348"/>
      <c r="AN474" s="282">
        <f t="shared" si="119"/>
        <v>-2250</v>
      </c>
      <c r="AO474" s="289">
        <f t="shared" si="117"/>
        <v>-1</v>
      </c>
      <c r="AP474" s="246"/>
      <c r="AQ474" s="246"/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89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>+SUMIF($C:$C,$V475,F:F)</f>
        <v>1072</v>
      </c>
      <c r="AA475" s="332"/>
      <c r="AB475" s="333"/>
      <c r="AC475" s="280"/>
      <c r="AD475" s="345"/>
      <c r="AE475" s="333"/>
      <c r="AF475" s="280">
        <f t="shared" si="120"/>
        <v>0</v>
      </c>
      <c r="AG475" s="346"/>
      <c r="AH475" s="282">
        <f t="shared" si="118"/>
        <v>-1072</v>
      </c>
      <c r="AI475" s="306">
        <f t="shared" si="121"/>
        <v>-1</v>
      </c>
      <c r="AJ475" s="345"/>
      <c r="AK475" s="332"/>
      <c r="AL475" s="347">
        <f>+SUMIF($C:$C,$V475,Q:Q)</f>
        <v>0</v>
      </c>
      <c r="AM475" s="348"/>
      <c r="AN475" s="282">
        <f t="shared" si="119"/>
        <v>0</v>
      </c>
      <c r="AO475" s="289">
        <f t="shared" si="117"/>
        <v>0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>
      <c r="A476" t="str">
        <f t="shared" si="89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>+SUMIF($C:$C,$V476,F:F)</f>
        <v>0</v>
      </c>
      <c r="AA476" s="332"/>
      <c r="AB476" s="333"/>
      <c r="AC476" s="280"/>
      <c r="AD476" s="345"/>
      <c r="AE476" s="333"/>
      <c r="AF476" s="280">
        <f t="shared" si="120"/>
        <v>0</v>
      </c>
      <c r="AG476" s="346"/>
      <c r="AH476" s="282">
        <f t="shared" si="118"/>
        <v>0</v>
      </c>
      <c r="AI476" s="306">
        <f t="shared" si="121"/>
        <v>0</v>
      </c>
      <c r="AJ476" s="345"/>
      <c r="AK476" s="332"/>
      <c r="AL476" s="347">
        <f>+SUMIF($C:$C,$V476,Q:Q)</f>
        <v>0</v>
      </c>
      <c r="AM476" s="348"/>
      <c r="AN476" s="282">
        <f t="shared" si="119"/>
        <v>0</v>
      </c>
      <c r="AO476" s="289">
        <f t="shared" si="117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89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32343.634603636368</v>
      </c>
      <c r="AA477" s="332"/>
      <c r="AB477" s="333"/>
      <c r="AC477" s="280"/>
      <c r="AD477" s="345"/>
      <c r="AE477" s="333"/>
      <c r="AF477" s="280">
        <v>37391.64</v>
      </c>
      <c r="AG477" s="346"/>
      <c r="AH477" s="282">
        <f t="shared" si="118"/>
        <v>5048.005396363631</v>
      </c>
      <c r="AI477" s="306">
        <f t="shared" si="121"/>
        <v>0.15607415363875302</v>
      </c>
      <c r="AJ477" s="345"/>
      <c r="AK477" s="332"/>
      <c r="AL477" s="347">
        <v>29302.880000000001</v>
      </c>
      <c r="AM477" s="348"/>
      <c r="AN477" s="282">
        <f t="shared" si="119"/>
        <v>8088.7599999999984</v>
      </c>
      <c r="AO477" s="289">
        <f t="shared" si="117"/>
        <v>0.2760397612794373</v>
      </c>
      <c r="AP477" s="246"/>
      <c r="AQ477" s="246">
        <v>37392</v>
      </c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>
      <c r="A478" t="str">
        <f t="shared" si="89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IFERROR(SUMIF($C:$C,$V478,F:F),0)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118"/>
        <v>0</v>
      </c>
      <c r="AI478" s="283">
        <f t="shared" si="121"/>
        <v>0</v>
      </c>
      <c r="AJ478" s="288"/>
      <c r="AK478" s="279"/>
      <c r="AL478" s="280">
        <f>+SUMIF($C:$C,$V478,Q:Q)</f>
        <v>0</v>
      </c>
      <c r="AM478" s="348"/>
      <c r="AN478" s="282">
        <f t="shared" si="119"/>
        <v>0</v>
      </c>
      <c r="AO478" s="289">
        <f t="shared" si="117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>
      <c r="A479" t="str">
        <f t="shared" si="89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IFERROR(SUMIF($C:$C,$V479,F:F),0)</f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118"/>
        <v>0</v>
      </c>
      <c r="AI479" s="283">
        <f t="shared" si="121"/>
        <v>0</v>
      </c>
      <c r="AJ479" s="288"/>
      <c r="AK479" s="279"/>
      <c r="AL479" s="280">
        <f>+SUMIF($C:$C,$V479,Q:Q)</f>
        <v>0</v>
      </c>
      <c r="AM479" s="348"/>
      <c r="AN479" s="282">
        <f t="shared" si="119"/>
        <v>0</v>
      </c>
      <c r="AO479" s="289">
        <f t="shared" si="117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89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+SUMIF($C:$C,$V480,F:F)</f>
        <v>32951.1</v>
      </c>
      <c r="AA480" s="332"/>
      <c r="AB480" s="333"/>
      <c r="AC480" s="280"/>
      <c r="AD480" s="345"/>
      <c r="AE480" s="333"/>
      <c r="AF480" s="280">
        <f>+SUMIF($C:$C,$V480,L:L)</f>
        <v>34510</v>
      </c>
      <c r="AG480" s="346"/>
      <c r="AH480" s="282">
        <f t="shared" si="118"/>
        <v>1558.9000000000015</v>
      </c>
      <c r="AI480" s="306">
        <f t="shared" si="121"/>
        <v>4.730949801372341E-2</v>
      </c>
      <c r="AJ480" s="345"/>
      <c r="AK480" s="332"/>
      <c r="AL480" s="347">
        <v>34510</v>
      </c>
      <c r="AM480" s="348"/>
      <c r="AN480" s="282">
        <f t="shared" si="119"/>
        <v>0</v>
      </c>
      <c r="AO480" s="289">
        <f t="shared" si="117"/>
        <v>0</v>
      </c>
      <c r="AP480" s="246"/>
      <c r="AQ480" s="246">
        <v>34510</v>
      </c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89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0.34660164426623413</v>
      </c>
      <c r="Y481" s="330"/>
      <c r="Z481" s="299">
        <f>SUM(Z469:Z480)</f>
        <v>187960.06148363638</v>
      </c>
      <c r="AA481" s="298"/>
      <c r="AB481" s="330"/>
      <c r="AC481" s="299"/>
      <c r="AD481" s="298">
        <f>AF481/+AF407</f>
        <v>0.32675414666375491</v>
      </c>
      <c r="AE481" s="330"/>
      <c r="AF481" s="299">
        <f>SUM(AF469:AF480)</f>
        <v>214579.52000000002</v>
      </c>
      <c r="AG481" s="308"/>
      <c r="AH481" s="302">
        <f t="shared" si="118"/>
        <v>26619.458516363637</v>
      </c>
      <c r="AI481" s="298">
        <f>AH481/Z481</f>
        <v>0.1416229506749821</v>
      </c>
      <c r="AJ481" s="349"/>
      <c r="AK481" s="350"/>
      <c r="AL481" s="299">
        <f>SUM(AL469:AL480)</f>
        <v>184735.95</v>
      </c>
      <c r="AM481" s="351"/>
      <c r="AN481" s="302">
        <f t="shared" si="119"/>
        <v>29843.570000000007</v>
      </c>
      <c r="AO481" s="331">
        <f t="shared" si="117"/>
        <v>0.16154717043434158</v>
      </c>
      <c r="AP481" s="246"/>
      <c r="AQ481" s="246" t="s">
        <v>221</v>
      </c>
      <c r="AR481" s="499">
        <v>195000</v>
      </c>
      <c r="AS481" s="310">
        <f>AF481-AR481</f>
        <v>19579.520000000019</v>
      </c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89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119"/>
        <v>0</v>
      </c>
      <c r="AO482" s="364">
        <f t="shared" si="117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89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4.3071754758959239E-2</v>
      </c>
      <c r="Z483" s="369">
        <f>Z407-Z468+Z481</f>
        <v>245489.65307618538</v>
      </c>
      <c r="AA483" s="367"/>
      <c r="AB483" s="368"/>
      <c r="AC483" s="369"/>
      <c r="AD483" s="367" t="s">
        <v>180</v>
      </c>
      <c r="AE483" s="368">
        <f>AF483/AF406</f>
        <v>5.3047206967925135E-2</v>
      </c>
      <c r="AF483" s="370">
        <f>AF407-AF468+AF481</f>
        <v>337737.46999999974</v>
      </c>
      <c r="AG483" s="371"/>
      <c r="AH483" s="370">
        <f>AF483-Z483</f>
        <v>92247.81692381436</v>
      </c>
      <c r="AI483" s="487">
        <f>AH483/Z483</f>
        <v>0.37577069244212147</v>
      </c>
      <c r="AJ483" s="373" t="s">
        <v>180</v>
      </c>
      <c r="AK483" s="368">
        <f>IF($AL$406=0,0,AL483/$AL$406)</f>
        <v>4.0884611410403601E-2</v>
      </c>
      <c r="AL483" s="370">
        <f>AL407-AL468+AL481</f>
        <v>224884.23999999982</v>
      </c>
      <c r="AM483" s="374"/>
      <c r="AN483" s="370">
        <f t="shared" si="119"/>
        <v>112853.22999999992</v>
      </c>
      <c r="AO483" s="375">
        <f t="shared" si="117"/>
        <v>0.50182809609068213</v>
      </c>
      <c r="AP483" s="246"/>
      <c r="AQ483" s="246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89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8" si="122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Mai 2025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 hidden="1">
      <c r="A486" t="str">
        <f t="shared" si="122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122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e">
        <f>+U488&amp;#REF!</f>
        <v>#REF!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4.9247706332770459E-2</v>
      </c>
      <c r="Z488" s="449">
        <f>Z489+Z415</f>
        <v>280689.80263486737</v>
      </c>
      <c r="AA488" s="446"/>
      <c r="AB488" s="447"/>
      <c r="AC488" s="448"/>
      <c r="AD488" s="446" t="s">
        <v>180</v>
      </c>
      <c r="AE488" s="447">
        <f>AF488/AF406</f>
        <v>5.7930087064761472E-2</v>
      </c>
      <c r="AF488" s="449">
        <f>AF489+AF415</f>
        <v>368825.46999999974</v>
      </c>
      <c r="AG488" s="450"/>
      <c r="AH488" s="450">
        <f t="shared" ref="AH488" si="123">AF488-Z488</f>
        <v>88135.667365132365</v>
      </c>
      <c r="AI488" s="451">
        <f>AH488/Z488</f>
        <v>0.31399668437468248</v>
      </c>
      <c r="AJ488" s="446" t="s">
        <v>180</v>
      </c>
      <c r="AK488" s="447">
        <f>IF($AL$406=0,0,AL488/$AL$406)</f>
        <v>4.8951428753875648E-2</v>
      </c>
      <c r="AL488" s="449">
        <f>AL489+AL415</f>
        <v>269255.45999999985</v>
      </c>
      <c r="AM488" s="452"/>
      <c r="AN488" s="449">
        <f t="shared" ref="AN488" si="124">AF488-AL488</f>
        <v>99570.009999999893</v>
      </c>
      <c r="AO488" s="453">
        <f t="shared" ref="AO488" si="125">IF(AL488=0,0,AN488/AL488)</f>
        <v>0.36979755210906384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thickTop="1" thickBot="1">
      <c r="A489" t="str">
        <f t="shared" si="122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4.3071754758959239E-2</v>
      </c>
      <c r="Z489" s="381">
        <f>Z483</f>
        <v>245489.65307618538</v>
      </c>
      <c r="AA489" s="379"/>
      <c r="AB489" s="380"/>
      <c r="AC489" s="381"/>
      <c r="AD489" s="379" t="s">
        <v>180</v>
      </c>
      <c r="AE489" s="380">
        <f>AF489/AF406</f>
        <v>5.3047206967925135E-2</v>
      </c>
      <c r="AF489" s="381">
        <f>AF483</f>
        <v>337737.46999999974</v>
      </c>
      <c r="AG489" s="382"/>
      <c r="AH489" s="370">
        <f>AF489-Z489</f>
        <v>92247.81692381436</v>
      </c>
      <c r="AI489" s="487">
        <f>AH489/Z489</f>
        <v>0.37577069244212147</v>
      </c>
      <c r="AJ489" s="379" t="s">
        <v>180</v>
      </c>
      <c r="AK489" s="380">
        <f>IF($AL$406=0,0,AL489/$AL$406)</f>
        <v>4.0884611410403601E-2</v>
      </c>
      <c r="AL489" s="383">
        <f>AL483</f>
        <v>224884.23999999982</v>
      </c>
      <c r="AM489" s="384"/>
      <c r="AN489" s="385">
        <f>AF489-AL489</f>
        <v>112853.22999999992</v>
      </c>
      <c r="AO489" s="386">
        <f>IF(AL489=0,0,AN489/AL489)</f>
        <v>0.50182809609068213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122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122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19300</v>
      </c>
      <c r="AA491" s="279"/>
      <c r="AB491" s="287"/>
      <c r="AC491" s="280"/>
      <c r="AD491" s="279"/>
      <c r="AE491" s="287"/>
      <c r="AF491" s="280">
        <v>19300</v>
      </c>
      <c r="AG491" s="279"/>
      <c r="AH491" s="282">
        <f t="shared" ref="AH491:AH498" si="126">AF491-Z491</f>
        <v>0</v>
      </c>
      <c r="AI491" s="306">
        <f t="shared" ref="AI491:AI497" si="127">IF(Z491=0,0,AH491/Z491)</f>
        <v>0</v>
      </c>
      <c r="AJ491" s="279"/>
      <c r="AK491" s="279"/>
      <c r="AL491" s="280">
        <v>20970</v>
      </c>
      <c r="AM491" s="284"/>
      <c r="AN491" s="282">
        <f t="shared" ref="AN491:AN498" si="128">AF491-AL491</f>
        <v>-1670</v>
      </c>
      <c r="AO491" s="289">
        <f t="shared" ref="AO491:AO498" si="129">IF(AL491=0,0,AN491/AL491)</f>
        <v>-7.9637577491654746E-2</v>
      </c>
      <c r="AP491" s="246"/>
      <c r="AQ491" s="486">
        <v>19300</v>
      </c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 hidden="1">
      <c r="A492" t="str">
        <f t="shared" si="122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126"/>
        <v>0</v>
      </c>
      <c r="AI492" s="306">
        <f t="shared" si="127"/>
        <v>0</v>
      </c>
      <c r="AJ492" s="10"/>
      <c r="AK492" s="10"/>
      <c r="AL492" s="280">
        <v>0</v>
      </c>
      <c r="AM492" s="393"/>
      <c r="AN492" s="282">
        <f t="shared" si="128"/>
        <v>0</v>
      </c>
      <c r="AO492" s="289">
        <f t="shared" si="129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2.5" hidden="1" customHeight="1">
      <c r="A493" t="str">
        <f t="shared" si="122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126"/>
        <v>0</v>
      </c>
      <c r="AI493" s="306">
        <f t="shared" si="127"/>
        <v>0</v>
      </c>
      <c r="AJ493" s="10"/>
      <c r="AK493" s="10"/>
      <c r="AL493" s="280">
        <v>0</v>
      </c>
      <c r="AM493" s="393"/>
      <c r="AN493" s="282">
        <f t="shared" si="128"/>
        <v>0</v>
      </c>
      <c r="AO493" s="289">
        <f t="shared" si="129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 hidden="1">
      <c r="A494" t="str">
        <f t="shared" si="122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126"/>
        <v>0</v>
      </c>
      <c r="AI494" s="306">
        <f t="shared" si="127"/>
        <v>0</v>
      </c>
      <c r="AJ494" s="10"/>
      <c r="AK494" s="10"/>
      <c r="AL494" s="280">
        <v>0</v>
      </c>
      <c r="AM494" s="393"/>
      <c r="AN494" s="282">
        <f t="shared" si="128"/>
        <v>0</v>
      </c>
      <c r="AO494" s="289">
        <f t="shared" si="129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>
      <c r="A495" t="str">
        <f t="shared" si="122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IFERROR(SUMIF($C:$C,$V495,F:F),0)</f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126"/>
        <v>0</v>
      </c>
      <c r="AI495" s="283">
        <f t="shared" si="127"/>
        <v>0</v>
      </c>
      <c r="AJ495" s="288"/>
      <c r="AK495" s="279"/>
      <c r="AL495" s="280"/>
      <c r="AM495" s="393"/>
      <c r="AN495" s="282">
        <f t="shared" si="128"/>
        <v>0</v>
      </c>
      <c r="AO495" s="289">
        <f t="shared" si="129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122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208</v>
      </c>
      <c r="W496" s="13"/>
      <c r="X496" s="13"/>
      <c r="Y496" s="13"/>
      <c r="Z496" s="282">
        <v>-2632.4590163934427</v>
      </c>
      <c r="AA496" s="279"/>
      <c r="AB496" s="279"/>
      <c r="AC496" s="282"/>
      <c r="AD496" s="288"/>
      <c r="AE496" s="287"/>
      <c r="AF496" s="280">
        <v>-2632.46</v>
      </c>
      <c r="AG496" s="281"/>
      <c r="AH496" s="282">
        <f t="shared" si="126"/>
        <v>-9.8360655738360947E-4</v>
      </c>
      <c r="AI496" s="283">
        <f t="shared" si="127"/>
        <v>3.7364553493834957E-7</v>
      </c>
      <c r="AJ496" s="288"/>
      <c r="AK496" s="279"/>
      <c r="AL496" s="280">
        <v>-7311.25</v>
      </c>
      <c r="AM496" s="393"/>
      <c r="AN496" s="282">
        <f t="shared" si="128"/>
        <v>4678.79</v>
      </c>
      <c r="AO496" s="289">
        <f t="shared" si="129"/>
        <v>-0.63994392203795525</v>
      </c>
      <c r="AP496" s="246"/>
      <c r="AQ496" s="495">
        <f>Z496</f>
        <v>-2632.4590163934427</v>
      </c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122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IFERROR(SUMIF($C:$C,$V497,F:F),0)</f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126"/>
        <v>0</v>
      </c>
      <c r="AI497" s="283">
        <f t="shared" si="127"/>
        <v>0</v>
      </c>
      <c r="AJ497" s="288"/>
      <c r="AK497" s="279"/>
      <c r="AL497" s="280"/>
      <c r="AM497" s="393"/>
      <c r="AN497" s="282">
        <f t="shared" si="128"/>
        <v>0</v>
      </c>
      <c r="AO497" s="289">
        <f t="shared" si="129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122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4.0147394287204402E-2</v>
      </c>
      <c r="Z498" s="369">
        <f>Z489-Z491-Z492-Z493-Z497-Z496-Z494-Z495</f>
        <v>228822.11209257881</v>
      </c>
      <c r="AA498" s="367"/>
      <c r="AB498" s="368"/>
      <c r="AC498" s="369"/>
      <c r="AD498" s="367" t="s">
        <v>180</v>
      </c>
      <c r="AE498" s="368">
        <f>AF498/AF406</f>
        <v>5.0429296541740651E-2</v>
      </c>
      <c r="AF498" s="370">
        <f>AF489-AF491-AF492-AF493-AF497-AF496-AF494-AF495</f>
        <v>321069.92999999976</v>
      </c>
      <c r="AG498" s="371"/>
      <c r="AH498" s="370">
        <f t="shared" si="126"/>
        <v>92247.817907420947</v>
      </c>
      <c r="AI498" s="487">
        <f>AH498/Z498</f>
        <v>0.40314206115752715</v>
      </c>
      <c r="AJ498" s="373" t="s">
        <v>180</v>
      </c>
      <c r="AK498" s="368">
        <f>IF($AL$406=0,0,AL498/$AL$406)</f>
        <v>3.840141078192981E-2</v>
      </c>
      <c r="AL498" s="370">
        <f>AL489-AL491-AL492-AL493-AL497-AL496-AL494-AL495</f>
        <v>211225.48999999982</v>
      </c>
      <c r="AM498" s="374"/>
      <c r="AN498" s="370">
        <f t="shared" si="128"/>
        <v>109844.43999999994</v>
      </c>
      <c r="AO498" s="394">
        <f t="shared" si="129"/>
        <v>0.5200340167278108</v>
      </c>
      <c r="AP498" s="310">
        <f>SUM(AF490:AF497)+AF415</f>
        <v>47755.54</v>
      </c>
      <c r="AQ498" s="246" t="s">
        <v>221</v>
      </c>
      <c r="AR498" s="499">
        <v>51868</v>
      </c>
      <c r="AS498" s="310">
        <f>AP498-AR498</f>
        <v>-4112.4599999999991</v>
      </c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>+U499&amp;V488</f>
        <v>BAIIA Corpo</v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239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>
        <v>83478.179999999993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240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237591.74999999977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>
        <f>AR407-AR468+AR481-AR498</f>
        <v>334697</v>
      </c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>
        <f>AF500/AF498</f>
        <v>0.25999999439374488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 t="s">
        <v>241</v>
      </c>
      <c r="AE505" s="246"/>
      <c r="AF505" s="496">
        <v>334697</v>
      </c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>
        <f>AF498-AF505</f>
        <v>-13627.07000000024</v>
      </c>
      <c r="AG507" s="246"/>
      <c r="AH507" s="246"/>
      <c r="AI507" s="246"/>
      <c r="AJ507" s="246" t="e">
        <f>AF513/AJ505</f>
        <v>#DIV/0!</v>
      </c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 t="s">
        <v>243</v>
      </c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 t="s">
        <v>242</v>
      </c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 t="s">
        <v>256</v>
      </c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246"/>
      <c r="X512" s="246"/>
      <c r="Y512" s="246"/>
      <c r="Z512" s="246"/>
      <c r="AA512" s="246"/>
      <c r="AB512" s="246"/>
      <c r="AC512" s="246"/>
      <c r="AD512" s="246" t="s">
        <v>257</v>
      </c>
      <c r="AE512" s="246"/>
      <c r="AF512" s="246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246"/>
      <c r="X513" s="246"/>
      <c r="Y513" s="246"/>
      <c r="Z513" s="246"/>
      <c r="AA513" s="246"/>
      <c r="AB513" s="246"/>
      <c r="AC513" s="246"/>
      <c r="AD513" s="246"/>
      <c r="AE513" s="246"/>
      <c r="AF513" s="310">
        <f>AF498+AF509+AF510+AF511+AF512</f>
        <v>321069.92999999976</v>
      </c>
      <c r="AG513" s="310">
        <f>AF513-AF505</f>
        <v>-13627.07000000024</v>
      </c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310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246"/>
      <c r="AG516" s="246"/>
      <c r="AH516" s="246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246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246"/>
      <c r="D518" s="246"/>
      <c r="E518" s="246"/>
      <c r="F518" s="310"/>
      <c r="G518" s="246"/>
      <c r="H518" s="246"/>
      <c r="I518" s="310"/>
      <c r="J518" s="246"/>
      <c r="K518" s="246"/>
      <c r="L518" s="246"/>
      <c r="M518" s="310"/>
      <c r="N518" s="246"/>
      <c r="O518" s="246"/>
      <c r="P518" s="246"/>
      <c r="Q518" s="310"/>
      <c r="R518" s="310"/>
      <c r="S518" s="310"/>
      <c r="T518" s="334"/>
      <c r="U518" s="334"/>
      <c r="V518" s="246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310"/>
      <c r="AH518" s="310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246"/>
      <c r="D519" s="246"/>
      <c r="E519" s="246"/>
      <c r="F519" s="310"/>
      <c r="G519" s="246"/>
      <c r="H519" s="246"/>
      <c r="I519" s="310"/>
      <c r="J519" s="246"/>
      <c r="K519" s="246"/>
      <c r="L519" s="246"/>
      <c r="M519" s="310"/>
      <c r="N519" s="246"/>
      <c r="O519" s="246"/>
      <c r="P519" s="246"/>
      <c r="Q519" s="310"/>
      <c r="R519" s="310"/>
      <c r="S519" s="310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246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98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310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400"/>
      <c r="D521" s="334"/>
      <c r="E521" s="334"/>
      <c r="F521" s="399"/>
      <c r="G521" s="334"/>
      <c r="H521" s="334"/>
      <c r="I521" s="399"/>
      <c r="J521" s="334"/>
      <c r="K521" s="334"/>
      <c r="L521" s="334"/>
      <c r="M521" s="399"/>
      <c r="N521" s="334"/>
      <c r="O521" s="334"/>
      <c r="P521" s="334"/>
      <c r="Q521" s="399"/>
      <c r="R521" s="399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99"/>
      <c r="G522" s="334"/>
      <c r="H522" s="334"/>
      <c r="I522" s="399"/>
      <c r="J522" s="334"/>
      <c r="K522" s="334"/>
      <c r="L522" s="334"/>
      <c r="M522" s="399"/>
      <c r="N522" s="334"/>
      <c r="O522" s="334"/>
      <c r="P522" s="334"/>
      <c r="Q522" s="399"/>
      <c r="R522" s="399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98"/>
      <c r="K523" s="398"/>
      <c r="L523" s="398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310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99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34"/>
      <c r="K526" s="334"/>
      <c r="L526" s="334"/>
      <c r="M526" s="399"/>
      <c r="N526" s="334"/>
      <c r="O526" s="334"/>
      <c r="P526" s="334"/>
      <c r="Q526" s="334"/>
      <c r="R526" s="334"/>
      <c r="S526" s="399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99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98"/>
      <c r="K528" s="398"/>
      <c r="L528" s="398"/>
      <c r="M528" s="401"/>
      <c r="N528" s="398"/>
      <c r="O528" s="398"/>
      <c r="P528" s="398"/>
      <c r="Q528" s="334"/>
      <c r="R528" s="334"/>
      <c r="S528" s="398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5.75">
      <c r="B530" s="7"/>
      <c r="C530" s="334"/>
      <c r="D530" s="334"/>
      <c r="E530" s="334"/>
      <c r="F530" s="334"/>
      <c r="G530" s="334"/>
      <c r="H530" s="334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8.75">
      <c r="B532" s="7"/>
      <c r="C532" s="402"/>
      <c r="D532" s="403"/>
      <c r="E532" s="403"/>
      <c r="F532" s="403"/>
      <c r="G532" s="403"/>
      <c r="H532" s="403"/>
      <c r="I532" s="403"/>
      <c r="J532" s="403"/>
      <c r="K532" s="403"/>
      <c r="L532" s="403"/>
      <c r="M532" s="403"/>
      <c r="N532" s="403"/>
      <c r="O532" s="403"/>
      <c r="P532" s="403"/>
      <c r="Q532" s="403"/>
      <c r="R532" s="403"/>
      <c r="S532" s="403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334"/>
      <c r="F533" s="334"/>
      <c r="G533" s="334"/>
      <c r="H533" s="334"/>
      <c r="I533" s="334"/>
      <c r="J533" s="334"/>
      <c r="K533" s="334"/>
      <c r="L533" s="334"/>
      <c r="M533" s="334"/>
      <c r="N533" s="334"/>
      <c r="O533" s="334"/>
      <c r="P533" s="334"/>
      <c r="Q533" s="404"/>
      <c r="R533" s="334"/>
      <c r="S533" s="334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334"/>
      <c r="E534" s="334"/>
      <c r="F534" s="334"/>
      <c r="G534" s="334"/>
      <c r="H534" s="334"/>
      <c r="I534" s="334"/>
      <c r="J534" s="334"/>
      <c r="K534" s="334"/>
      <c r="L534" s="405"/>
      <c r="M534" s="406"/>
      <c r="N534" s="406"/>
      <c r="O534" s="334"/>
      <c r="P534" s="405"/>
      <c r="Q534" s="406"/>
      <c r="R534" s="406"/>
      <c r="S534" s="405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34"/>
      <c r="D535" s="334"/>
      <c r="E535" s="405"/>
      <c r="F535" s="407"/>
      <c r="G535" s="334"/>
      <c r="H535" s="405"/>
      <c r="I535" s="407"/>
      <c r="J535" s="406"/>
      <c r="K535" s="398"/>
      <c r="L535" s="405"/>
      <c r="M535" s="406"/>
      <c r="N535" s="406"/>
      <c r="O535" s="398"/>
      <c r="P535" s="405"/>
      <c r="Q535" s="406"/>
      <c r="R535" s="406"/>
      <c r="S535" s="405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408"/>
      <c r="E536" s="407"/>
      <c r="F536" s="407"/>
      <c r="G536" s="408"/>
      <c r="H536" s="407"/>
      <c r="I536" s="407"/>
      <c r="J536" s="407"/>
      <c r="K536" s="407"/>
      <c r="L536" s="407"/>
      <c r="M536" s="407"/>
      <c r="N536" s="407"/>
      <c r="O536" s="407"/>
      <c r="P536" s="407"/>
      <c r="Q536" s="407"/>
      <c r="R536" s="407"/>
      <c r="S536" s="407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98"/>
      <c r="D537" s="334"/>
      <c r="E537" s="334"/>
      <c r="F537" s="334"/>
      <c r="G537" s="334"/>
      <c r="H537" s="334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34"/>
      <c r="F538" s="334"/>
      <c r="G538" s="334"/>
      <c r="H538" s="334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99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09"/>
      <c r="G543" s="334"/>
      <c r="H543" s="399"/>
      <c r="I543" s="409"/>
      <c r="J543" s="409"/>
      <c r="K543" s="399"/>
      <c r="L543" s="409"/>
      <c r="M543" s="399"/>
      <c r="N543" s="409"/>
      <c r="O543" s="399"/>
      <c r="P543" s="409"/>
      <c r="Q543" s="399"/>
      <c r="R543" s="399"/>
      <c r="S543" s="334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34"/>
      <c r="D544" s="334"/>
      <c r="E544" s="399"/>
      <c r="F544" s="409"/>
      <c r="G544" s="334"/>
      <c r="H544" s="399"/>
      <c r="I544" s="409"/>
      <c r="J544" s="409"/>
      <c r="K544" s="399"/>
      <c r="L544" s="409"/>
      <c r="M544" s="399"/>
      <c r="N544" s="409"/>
      <c r="O544" s="399"/>
      <c r="P544" s="409"/>
      <c r="Q544" s="399"/>
      <c r="R544" s="399"/>
      <c r="S544" s="399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410"/>
      <c r="G545" s="334"/>
      <c r="H545" s="399"/>
      <c r="I545" s="410"/>
      <c r="J545" s="409"/>
      <c r="K545" s="399"/>
      <c r="L545" s="409"/>
      <c r="M545" s="399"/>
      <c r="N545" s="409"/>
      <c r="O545" s="399"/>
      <c r="P545" s="334"/>
      <c r="Q545" s="334"/>
      <c r="R545" s="399"/>
      <c r="S545" s="399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98"/>
      <c r="D546" s="398"/>
      <c r="E546" s="401"/>
      <c r="F546" s="411"/>
      <c r="G546" s="398"/>
      <c r="H546" s="401"/>
      <c r="I546" s="411"/>
      <c r="J546" s="411"/>
      <c r="K546" s="401"/>
      <c r="L546" s="411"/>
      <c r="M546" s="401"/>
      <c r="N546" s="411"/>
      <c r="O546" s="401"/>
      <c r="P546" s="411"/>
      <c r="Q546" s="401"/>
      <c r="R546" s="401"/>
      <c r="S546" s="398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34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98"/>
      <c r="Q547" s="411"/>
      <c r="R547" s="411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99"/>
      <c r="F548" s="334"/>
      <c r="G548" s="334"/>
      <c r="H548" s="399"/>
      <c r="I548" s="334"/>
      <c r="J548" s="409"/>
      <c r="K548" s="399"/>
      <c r="L548" s="409"/>
      <c r="M548" s="399"/>
      <c r="N548" s="409"/>
      <c r="O548" s="399"/>
      <c r="P548" s="334"/>
      <c r="Q548" s="334"/>
      <c r="R548" s="399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98"/>
      <c r="D549" s="334"/>
      <c r="E549" s="399"/>
      <c r="F549" s="334"/>
      <c r="G549" s="334"/>
      <c r="H549" s="399"/>
      <c r="I549" s="334"/>
      <c r="J549" s="409"/>
      <c r="K549" s="399"/>
      <c r="L549" s="409"/>
      <c r="M549" s="399"/>
      <c r="N549" s="409"/>
      <c r="O549" s="399"/>
      <c r="P549" s="334"/>
      <c r="Q549" s="334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34"/>
      <c r="F550" s="334"/>
      <c r="G550" s="334"/>
      <c r="H550" s="334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09"/>
      <c r="G551" s="334"/>
      <c r="H551" s="399"/>
      <c r="I551" s="409"/>
      <c r="J551" s="409"/>
      <c r="K551" s="334"/>
      <c r="L551" s="409"/>
      <c r="M551" s="334"/>
      <c r="N551" s="409"/>
      <c r="O551" s="334"/>
      <c r="P551" s="409"/>
      <c r="Q551" s="399"/>
      <c r="R551" s="399"/>
      <c r="S551" s="334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10"/>
      <c r="G552" s="334"/>
      <c r="H552" s="399"/>
      <c r="I552" s="410"/>
      <c r="J552" s="409"/>
      <c r="K552" s="399"/>
      <c r="L552" s="409"/>
      <c r="M552" s="399"/>
      <c r="N552" s="409"/>
      <c r="O552" s="399"/>
      <c r="P552" s="334"/>
      <c r="Q552" s="409"/>
      <c r="R552" s="409"/>
      <c r="S552" s="399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34"/>
      <c r="D553" s="334"/>
      <c r="E553" s="399"/>
      <c r="F553" s="410"/>
      <c r="G553" s="334"/>
      <c r="H553" s="399"/>
      <c r="I553" s="410"/>
      <c r="J553" s="409"/>
      <c r="K553" s="399"/>
      <c r="L553" s="409"/>
      <c r="M553" s="399"/>
      <c r="N553" s="409"/>
      <c r="O553" s="399"/>
      <c r="P553" s="334"/>
      <c r="Q553" s="334"/>
      <c r="R553" s="399"/>
      <c r="S553" s="399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99"/>
      <c r="F554" s="409"/>
      <c r="G554" s="334"/>
      <c r="H554" s="399"/>
      <c r="I554" s="409"/>
      <c r="J554" s="409"/>
      <c r="K554" s="399"/>
      <c r="L554" s="409"/>
      <c r="M554" s="399"/>
      <c r="N554" s="409"/>
      <c r="O554" s="399"/>
      <c r="P554" s="334"/>
      <c r="Q554" s="334"/>
      <c r="R554" s="399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98"/>
      <c r="D555" s="398"/>
      <c r="E555" s="401"/>
      <c r="F555" s="411"/>
      <c r="G555" s="398"/>
      <c r="H555" s="401"/>
      <c r="I555" s="411"/>
      <c r="J555" s="411"/>
      <c r="K555" s="401"/>
      <c r="L555" s="411"/>
      <c r="M555" s="401"/>
      <c r="N555" s="411"/>
      <c r="O555" s="401"/>
      <c r="P555" s="411"/>
      <c r="Q555" s="398"/>
      <c r="R555" s="401"/>
      <c r="S555" s="398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34"/>
      <c r="D556" s="334"/>
      <c r="E556" s="334"/>
      <c r="F556" s="334"/>
      <c r="G556" s="334"/>
      <c r="H556" s="334"/>
      <c r="I556" s="334"/>
      <c r="J556" s="334"/>
      <c r="K556" s="334"/>
      <c r="L556" s="334"/>
      <c r="M556" s="334"/>
      <c r="N556" s="334"/>
      <c r="O556" s="334"/>
      <c r="P556" s="398"/>
      <c r="Q556" s="411"/>
      <c r="R556" s="411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98"/>
      <c r="D558" s="334"/>
      <c r="E558" s="399"/>
      <c r="F558" s="409"/>
      <c r="G558" s="334"/>
      <c r="H558" s="399"/>
      <c r="I558" s="409"/>
      <c r="J558" s="409"/>
      <c r="K558" s="399"/>
      <c r="L558" s="409"/>
      <c r="M558" s="399"/>
      <c r="N558" s="409"/>
      <c r="O558" s="399"/>
      <c r="P558" s="334"/>
      <c r="Q558" s="334"/>
      <c r="R558" s="399"/>
      <c r="S558" s="334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99"/>
      <c r="F559" s="409"/>
      <c r="G559" s="334"/>
      <c r="H559" s="399"/>
      <c r="I559" s="409"/>
      <c r="J559" s="409"/>
      <c r="K559" s="399"/>
      <c r="L559" s="409"/>
      <c r="M559" s="399"/>
      <c r="N559" s="409"/>
      <c r="O559" s="399"/>
      <c r="P559" s="334"/>
      <c r="Q559" s="334"/>
      <c r="R559" s="399"/>
      <c r="S559" s="334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34"/>
      <c r="D566" s="334"/>
      <c r="E566" s="334"/>
      <c r="F566" s="334"/>
      <c r="G566" s="334"/>
      <c r="H566" s="334"/>
      <c r="I566" s="334"/>
      <c r="J566" s="334"/>
      <c r="K566" s="334"/>
      <c r="L566" s="334"/>
      <c r="M566" s="334"/>
      <c r="N566" s="334"/>
      <c r="O566" s="334"/>
      <c r="P566" s="409"/>
      <c r="Q566" s="399"/>
      <c r="R566" s="334"/>
      <c r="S566" s="399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09"/>
      <c r="Q567" s="399"/>
      <c r="R567" s="334"/>
      <c r="S567" s="399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98"/>
      <c r="D568" s="398"/>
      <c r="E568" s="334"/>
      <c r="F568" s="334"/>
      <c r="G568" s="398"/>
      <c r="H568" s="334"/>
      <c r="I568" s="334"/>
      <c r="J568" s="334"/>
      <c r="K568" s="334"/>
      <c r="L568" s="334"/>
      <c r="M568" s="334"/>
      <c r="N568" s="334"/>
      <c r="O568" s="334"/>
      <c r="P568" s="411"/>
      <c r="Q568" s="401"/>
      <c r="R568" s="334"/>
      <c r="S568" s="401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11"/>
      <c r="Q569" s="411"/>
      <c r="R569" s="334"/>
      <c r="S569" s="334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34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09"/>
      <c r="Q570" s="399"/>
      <c r="R570" s="334"/>
      <c r="S570" s="399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09"/>
      <c r="Q571" s="399"/>
      <c r="R571" s="334"/>
      <c r="S571" s="399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98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11"/>
      <c r="Q572" s="401"/>
      <c r="R572" s="334"/>
      <c r="S572" s="401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34"/>
      <c r="D573" s="334"/>
      <c r="E573" s="334"/>
      <c r="F573" s="334"/>
      <c r="G573" s="334"/>
      <c r="H573" s="334"/>
      <c r="I573" s="334"/>
      <c r="J573" s="334"/>
      <c r="K573" s="334"/>
      <c r="L573" s="334"/>
      <c r="M573" s="334"/>
      <c r="N573" s="334"/>
      <c r="O573" s="334"/>
      <c r="P573" s="411"/>
      <c r="Q573" s="411"/>
      <c r="R573" s="334"/>
      <c r="S573" s="334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09"/>
      <c r="Q574" s="399"/>
      <c r="R574" s="334"/>
      <c r="S574" s="399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98"/>
      <c r="D575" s="398"/>
      <c r="E575" s="334"/>
      <c r="F575" s="334"/>
      <c r="G575" s="398"/>
      <c r="H575" s="334"/>
      <c r="I575" s="334"/>
      <c r="J575" s="334"/>
      <c r="K575" s="334"/>
      <c r="L575" s="334"/>
      <c r="M575" s="334"/>
      <c r="N575" s="334"/>
      <c r="O575" s="334"/>
      <c r="P575" s="411"/>
      <c r="Q575" s="401"/>
      <c r="R575" s="334"/>
      <c r="S575" s="401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34"/>
      <c r="D576" s="334"/>
      <c r="E576" s="334"/>
      <c r="F576" s="334"/>
      <c r="G576" s="334"/>
      <c r="H576" s="334"/>
      <c r="I576" s="334"/>
      <c r="J576" s="334"/>
      <c r="K576" s="334"/>
      <c r="L576" s="334"/>
      <c r="M576" s="334"/>
      <c r="N576" s="334"/>
      <c r="O576" s="334"/>
      <c r="P576" s="411"/>
      <c r="Q576" s="411"/>
      <c r="R576" s="334"/>
      <c r="S576" s="334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409"/>
      <c r="K577" s="399"/>
      <c r="L577" s="409"/>
      <c r="M577" s="399"/>
      <c r="N577" s="409"/>
      <c r="O577" s="399"/>
      <c r="P577" s="409"/>
      <c r="Q577" s="399"/>
      <c r="R577" s="399"/>
      <c r="S577" s="334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98"/>
      <c r="D578" s="398"/>
      <c r="E578" s="401"/>
      <c r="F578" s="411"/>
      <c r="G578" s="398"/>
      <c r="H578" s="401"/>
      <c r="I578" s="411"/>
      <c r="J578" s="411"/>
      <c r="K578" s="401"/>
      <c r="L578" s="411"/>
      <c r="M578" s="401"/>
      <c r="N578" s="411"/>
      <c r="O578" s="401"/>
      <c r="P578" s="411"/>
      <c r="Q578" s="401"/>
      <c r="R578" s="401"/>
      <c r="S578" s="401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99"/>
      <c r="F579" s="409"/>
      <c r="G579" s="334"/>
      <c r="H579" s="399"/>
      <c r="I579" s="409"/>
      <c r="J579" s="399"/>
      <c r="K579" s="409"/>
      <c r="L579" s="399"/>
      <c r="M579" s="334"/>
      <c r="N579" s="399"/>
      <c r="O579" s="409"/>
      <c r="P579" s="401"/>
      <c r="Q579" s="411"/>
      <c r="R579" s="411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34"/>
      <c r="F581" s="334"/>
      <c r="G581" s="334"/>
      <c r="H581" s="334"/>
      <c r="I581" s="334"/>
      <c r="J581" s="334"/>
      <c r="K581" s="334"/>
      <c r="L581" s="334"/>
      <c r="M581" s="334"/>
      <c r="N581" s="334"/>
      <c r="O581" s="334"/>
      <c r="P581" s="334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99"/>
      <c r="F587" s="409"/>
      <c r="G587" s="334"/>
      <c r="H587" s="399"/>
      <c r="I587" s="409"/>
      <c r="J587" s="399"/>
      <c r="K587" s="409"/>
      <c r="L587" s="399"/>
      <c r="M587" s="334"/>
      <c r="N587" s="399"/>
      <c r="O587" s="409"/>
      <c r="P587" s="399"/>
      <c r="Q587" s="334"/>
      <c r="R587" s="409"/>
      <c r="S587" s="399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99"/>
      <c r="F588" s="409"/>
      <c r="G588" s="334"/>
      <c r="H588" s="399"/>
      <c r="I588" s="409"/>
      <c r="J588" s="399"/>
      <c r="K588" s="409"/>
      <c r="L588" s="399"/>
      <c r="M588" s="334"/>
      <c r="N588" s="399"/>
      <c r="O588" s="409"/>
      <c r="P588" s="399"/>
      <c r="Q588" s="334"/>
      <c r="R588" s="409"/>
      <c r="S588" s="399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15.75">
      <c r="B650" s="7"/>
      <c r="C650" s="334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5.75">
      <c r="B651" s="7"/>
      <c r="C651" s="334"/>
      <c r="D651" s="334"/>
      <c r="E651" s="334"/>
      <c r="F651" s="334"/>
      <c r="G651" s="334"/>
      <c r="H651" s="334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30">
      <c r="B652" s="7"/>
      <c r="C652" s="412"/>
      <c r="D652" s="334"/>
      <c r="E652" s="334"/>
      <c r="F652" s="334"/>
      <c r="G652" s="334"/>
      <c r="H652" s="334"/>
      <c r="I652" s="334"/>
      <c r="J652" s="334"/>
      <c r="K652" s="334"/>
      <c r="L652" s="334"/>
      <c r="M652" s="334"/>
      <c r="N652" s="334"/>
      <c r="O652" s="413"/>
      <c r="P652" s="334"/>
      <c r="Q652" s="334"/>
      <c r="R652" s="334"/>
      <c r="S652" s="334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8.75">
      <c r="B653" s="7"/>
      <c r="C653" s="402"/>
      <c r="D653" s="406"/>
      <c r="E653" s="406"/>
      <c r="F653" s="406"/>
      <c r="G653" s="406"/>
      <c r="H653" s="406"/>
      <c r="I653" s="406"/>
      <c r="J653" s="406"/>
      <c r="K653" s="406"/>
      <c r="L653" s="406"/>
      <c r="M653" s="406"/>
      <c r="N653" s="406"/>
      <c r="O653" s="406"/>
      <c r="P653" s="406"/>
      <c r="Q653" s="414"/>
      <c r="R653" s="406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403"/>
      <c r="E654" s="403"/>
      <c r="F654" s="415"/>
      <c r="G654" s="403"/>
      <c r="H654" s="403"/>
      <c r="I654" s="415"/>
      <c r="J654" s="407"/>
      <c r="K654" s="407"/>
      <c r="L654" s="416"/>
      <c r="M654" s="407"/>
      <c r="N654" s="407"/>
      <c r="O654" s="407"/>
      <c r="P654" s="407"/>
      <c r="Q654" s="404"/>
      <c r="R654" s="403"/>
      <c r="S654" s="415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417"/>
      <c r="D655" s="334"/>
      <c r="E655" s="334"/>
      <c r="F655" s="406"/>
      <c r="G655" s="334"/>
      <c r="H655" s="334"/>
      <c r="I655" s="406"/>
      <c r="J655" s="406"/>
      <c r="K655" s="406"/>
      <c r="L655" s="334"/>
      <c r="M655" s="406"/>
      <c r="N655" s="406"/>
      <c r="O655" s="334"/>
      <c r="P655" s="406"/>
      <c r="Q655" s="406"/>
      <c r="R655" s="334"/>
      <c r="S655" s="406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99"/>
      <c r="G656" s="334"/>
      <c r="H656" s="334"/>
      <c r="I656" s="399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98"/>
      <c r="D657" s="398"/>
      <c r="E657" s="398"/>
      <c r="F657" s="401"/>
      <c r="G657" s="398"/>
      <c r="H657" s="398"/>
      <c r="I657" s="401"/>
      <c r="J657" s="401"/>
      <c r="K657" s="401"/>
      <c r="L657" s="401"/>
      <c r="M657" s="401"/>
      <c r="N657" s="401"/>
      <c r="O657" s="401"/>
      <c r="P657" s="401"/>
      <c r="Q657" s="401"/>
      <c r="R657" s="401"/>
      <c r="S657" s="401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99"/>
      <c r="K658" s="399"/>
      <c r="L658" s="399"/>
      <c r="M658" s="399"/>
      <c r="N658" s="399"/>
      <c r="O658" s="399"/>
      <c r="P658" s="399"/>
      <c r="Q658" s="399"/>
      <c r="R658" s="399"/>
      <c r="S658" s="399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399"/>
      <c r="M662" s="334"/>
      <c r="N662" s="399"/>
      <c r="O662" s="399"/>
      <c r="P662" s="334"/>
      <c r="Q662" s="399"/>
      <c r="R662" s="399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99"/>
      <c r="L664" s="401"/>
      <c r="M664" s="334"/>
      <c r="N664" s="399"/>
      <c r="O664" s="399"/>
      <c r="P664" s="334"/>
      <c r="Q664" s="399"/>
      <c r="R664" s="401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399"/>
      <c r="L665" s="399"/>
      <c r="M665" s="334"/>
      <c r="N665" s="399"/>
      <c r="O665" s="399"/>
      <c r="P665" s="334"/>
      <c r="Q665" s="399"/>
      <c r="R665" s="399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34"/>
      <c r="L666" s="334"/>
      <c r="M666" s="334"/>
      <c r="N666" s="401"/>
      <c r="O666" s="401"/>
      <c r="P666" s="334"/>
      <c r="Q666" s="401"/>
      <c r="R666" s="334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401"/>
      <c r="L667" s="401"/>
      <c r="M667" s="334"/>
      <c r="N667" s="399"/>
      <c r="O667" s="399"/>
      <c r="P667" s="334"/>
      <c r="Q667" s="399"/>
      <c r="R667" s="401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399"/>
      <c r="O674" s="399"/>
      <c r="P674" s="334"/>
      <c r="Q674" s="399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399"/>
      <c r="L675" s="399"/>
      <c r="M675" s="334"/>
      <c r="N675" s="399"/>
      <c r="O675" s="399"/>
      <c r="P675" s="334"/>
      <c r="Q675" s="399"/>
      <c r="R675" s="399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401"/>
      <c r="O676" s="401"/>
      <c r="P676" s="334"/>
      <c r="Q676" s="401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401"/>
      <c r="L677" s="401"/>
      <c r="M677" s="334"/>
      <c r="N677" s="399"/>
      <c r="O677" s="399"/>
      <c r="P677" s="334"/>
      <c r="Q677" s="399"/>
      <c r="R677" s="401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99"/>
      <c r="O689" s="399"/>
      <c r="P689" s="334"/>
      <c r="Q689" s="399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399"/>
      <c r="O690" s="399"/>
      <c r="P690" s="334"/>
      <c r="Q690" s="399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99"/>
      <c r="L691" s="399"/>
      <c r="M691" s="334"/>
      <c r="N691" s="334"/>
      <c r="O691" s="334"/>
      <c r="P691" s="334"/>
      <c r="Q691" s="334"/>
      <c r="R691" s="399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399"/>
      <c r="L692" s="399"/>
      <c r="M692" s="334"/>
      <c r="N692" s="401"/>
      <c r="O692" s="401"/>
      <c r="P692" s="334"/>
      <c r="Q692" s="401"/>
      <c r="R692" s="399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34"/>
      <c r="L693" s="334"/>
      <c r="M693" s="334"/>
      <c r="N693" s="399"/>
      <c r="O693" s="399"/>
      <c r="P693" s="334"/>
      <c r="Q693" s="399"/>
      <c r="R693" s="334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401"/>
      <c r="L694" s="401"/>
      <c r="M694" s="334"/>
      <c r="N694" s="399"/>
      <c r="O694" s="399"/>
      <c r="P694" s="334"/>
      <c r="Q694" s="399"/>
      <c r="R694" s="401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399"/>
      <c r="M699" s="334"/>
      <c r="N699" s="399"/>
      <c r="O699" s="399"/>
      <c r="P699" s="334"/>
      <c r="Q699" s="399"/>
      <c r="R699" s="399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401"/>
      <c r="M701" s="334"/>
      <c r="N701" s="399"/>
      <c r="O701" s="399"/>
      <c r="P701" s="334"/>
      <c r="Q701" s="399"/>
      <c r="R701" s="401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399"/>
      <c r="O702" s="399"/>
      <c r="P702" s="334"/>
      <c r="Q702" s="399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  <row r="703" spans="2:62" ht="15.75">
      <c r="B703" s="7"/>
      <c r="C703" s="334"/>
      <c r="D703" s="334"/>
      <c r="E703" s="334"/>
      <c r="F703" s="334"/>
      <c r="G703" s="334"/>
      <c r="H703" s="334"/>
      <c r="I703" s="334"/>
      <c r="J703" s="334"/>
      <c r="K703" s="399"/>
      <c r="L703" s="399"/>
      <c r="M703" s="334"/>
      <c r="N703" s="399"/>
      <c r="O703" s="399"/>
      <c r="P703" s="334"/>
      <c r="Q703" s="399"/>
      <c r="R703" s="399"/>
      <c r="S703" s="334"/>
      <c r="T703" s="334"/>
      <c r="U703" s="334"/>
      <c r="V703" s="334"/>
      <c r="W703" s="334"/>
      <c r="X703" s="334"/>
      <c r="Y703" s="246"/>
      <c r="Z703" s="246"/>
      <c r="AA703" s="246"/>
      <c r="AB703" s="246"/>
      <c r="AC703" s="246"/>
      <c r="AD703" s="246"/>
      <c r="AE703" s="246"/>
      <c r="AF703" s="246"/>
      <c r="AG703" s="246"/>
      <c r="AH703" s="246"/>
      <c r="AI703" s="246"/>
      <c r="AJ703" s="246"/>
      <c r="AK703" s="246"/>
      <c r="AL703" s="246"/>
      <c r="AM703" s="246"/>
      <c r="AN703" s="246"/>
      <c r="AO703" s="246"/>
      <c r="AP703" s="246"/>
      <c r="AQ703" s="246"/>
      <c r="AR703" s="246"/>
      <c r="AS703" s="246"/>
      <c r="AT703" s="246"/>
      <c r="AU703" s="246"/>
      <c r="AV703" s="246"/>
      <c r="AW703" s="246"/>
      <c r="AX703" s="246"/>
      <c r="AY703" s="246"/>
      <c r="AZ703" s="246"/>
      <c r="BA703" s="246"/>
      <c r="BB703" s="246"/>
      <c r="BC703" s="246"/>
      <c r="BD703" s="246"/>
      <c r="BE703" s="246"/>
      <c r="BF703" s="246"/>
      <c r="BG703" s="246"/>
      <c r="BH703" s="246"/>
      <c r="BI703" s="246"/>
      <c r="BJ703" s="246"/>
    </row>
    <row r="704" spans="2:62" ht="15.75">
      <c r="B704" s="7"/>
      <c r="C704" s="334"/>
      <c r="D704" s="334"/>
      <c r="E704" s="334"/>
      <c r="F704" s="334"/>
      <c r="G704" s="334"/>
      <c r="H704" s="334"/>
      <c r="I704" s="334"/>
      <c r="J704" s="334"/>
      <c r="K704" s="399"/>
      <c r="L704" s="399"/>
      <c r="M704" s="334"/>
      <c r="N704" s="401"/>
      <c r="O704" s="401"/>
      <c r="P704" s="334"/>
      <c r="Q704" s="401"/>
      <c r="R704" s="399"/>
      <c r="S704" s="334"/>
      <c r="T704" s="334"/>
      <c r="U704" s="334"/>
      <c r="V704" s="334"/>
      <c r="W704" s="334"/>
      <c r="X704" s="334"/>
      <c r="Y704" s="246"/>
      <c r="Z704" s="246"/>
      <c r="AA704" s="246"/>
      <c r="AB704" s="246"/>
      <c r="AC704" s="246"/>
      <c r="AD704" s="246"/>
      <c r="AE704" s="246"/>
      <c r="AF704" s="246"/>
      <c r="AG704" s="246"/>
      <c r="AH704" s="246"/>
      <c r="AI704" s="246"/>
      <c r="AJ704" s="246"/>
      <c r="AK704" s="246"/>
      <c r="AL704" s="246"/>
      <c r="AM704" s="246"/>
      <c r="AN704" s="246"/>
      <c r="AO704" s="246"/>
      <c r="AP704" s="246"/>
      <c r="AQ704" s="246"/>
      <c r="AR704" s="246"/>
      <c r="AS704" s="246"/>
      <c r="AT704" s="246"/>
      <c r="AU704" s="246"/>
      <c r="AV704" s="246"/>
      <c r="AW704" s="246"/>
      <c r="AX704" s="246"/>
      <c r="AY704" s="246"/>
      <c r="AZ704" s="246"/>
      <c r="BA704" s="246"/>
      <c r="BB704" s="246"/>
      <c r="BC704" s="246"/>
      <c r="BD704" s="246"/>
      <c r="BE704" s="246"/>
      <c r="BF704" s="246"/>
      <c r="BG704" s="246"/>
      <c r="BH704" s="246"/>
      <c r="BI704" s="246"/>
      <c r="BJ704" s="246"/>
    </row>
  </sheetData>
  <mergeCells count="42"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225" priority="6" stopIfTrue="1">
      <formula>"esterreur(reference)"</formula>
    </cfRule>
  </conditionalFormatting>
  <conditionalFormatting sqref="D112:D113">
    <cfRule type="expression" dxfId="224" priority="1" stopIfTrue="1">
      <formula>"esterreur(reference)"</formula>
    </cfRule>
  </conditionalFormatting>
  <conditionalFormatting sqref="F5">
    <cfRule type="expression" dxfId="223" priority="67" stopIfTrue="1">
      <formula>"esterreur(reference)"</formula>
    </cfRule>
  </conditionalFormatting>
  <conditionalFormatting sqref="F184">
    <cfRule type="expression" dxfId="222" priority="77" stopIfTrue="1">
      <formula>"esterreur(reference)"</formula>
    </cfRule>
  </conditionalFormatting>
  <conditionalFormatting sqref="G31:G32">
    <cfRule type="expression" dxfId="221" priority="5" stopIfTrue="1">
      <formula>"esterreur(reference)"</formula>
    </cfRule>
  </conditionalFormatting>
  <conditionalFormatting sqref="G112:G113">
    <cfRule type="expression" dxfId="220" priority="2" stopIfTrue="1">
      <formula>"esterreur(reference)"</formula>
    </cfRule>
  </conditionalFormatting>
  <conditionalFormatting sqref="H136:H152">
    <cfRule type="expression" dxfId="219" priority="31" stopIfTrue="1">
      <formula>"esterreur(reference)"</formula>
    </cfRule>
  </conditionalFormatting>
  <conditionalFormatting sqref="H360">
    <cfRule type="expression" dxfId="218" priority="110" stopIfTrue="1">
      <formula>"esterreur(reference)"</formula>
    </cfRule>
  </conditionalFormatting>
  <conditionalFormatting sqref="H197:L197">
    <cfRule type="expression" dxfId="217" priority="112" stopIfTrue="1">
      <formula>"esterreur(reference)"</formula>
    </cfRule>
  </conditionalFormatting>
  <conditionalFormatting sqref="H396:L399">
    <cfRule type="expression" dxfId="216" priority="108" stopIfTrue="1">
      <formula>"esterreur(reference)"</formula>
    </cfRule>
  </conditionalFormatting>
  <conditionalFormatting sqref="I377:L377 H378:H395">
    <cfRule type="expression" dxfId="215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4" priority="102" stopIfTrue="1">
      <formula>"esterreur(reference)"</formula>
    </cfRule>
  </conditionalFormatting>
  <conditionalFormatting sqref="J55:K71">
    <cfRule type="expression" dxfId="213" priority="113" stopIfTrue="1">
      <formula>"esterreur(reference)"</formula>
    </cfRule>
  </conditionalFormatting>
  <conditionalFormatting sqref="J102:L104">
    <cfRule type="expression" dxfId="212" priority="98" stopIfTrue="1">
      <formula>"esterreur(reference)"</formula>
    </cfRule>
  </conditionalFormatting>
  <conditionalFormatting sqref="J149:L152">
    <cfRule type="expression" dxfId="211" priority="30" stopIfTrue="1">
      <formula>"esterreur(reference)"</formula>
    </cfRule>
  </conditionalFormatting>
  <conditionalFormatting sqref="J295:L303">
    <cfRule type="expression" dxfId="210" priority="94" stopIfTrue="1">
      <formula>"esterreur(reference)"</formula>
    </cfRule>
  </conditionalFormatting>
  <conditionalFormatting sqref="J307:L308">
    <cfRule type="expression" dxfId="209" priority="84" stopIfTrue="1">
      <formula>"esterreur(reference)"</formula>
    </cfRule>
  </conditionalFormatting>
  <conditionalFormatting sqref="J360:L360">
    <cfRule type="expression" dxfId="208" priority="76" stopIfTrue="1">
      <formula>"esterreur(reference)"</formula>
    </cfRule>
  </conditionalFormatting>
  <conditionalFormatting sqref="J365:L376">
    <cfRule type="expression" dxfId="207" priority="81" stopIfTrue="1">
      <formula>"esterreur(reference)"</formula>
    </cfRule>
  </conditionalFormatting>
  <conditionalFormatting sqref="J378:L394">
    <cfRule type="expression" dxfId="206" priority="80" stopIfTrue="1">
      <formula>"esterreur(reference)"</formula>
    </cfRule>
  </conditionalFormatting>
  <conditionalFormatting sqref="J312:M312">
    <cfRule type="expression" dxfId="205" priority="82" stopIfTrue="1">
      <formula>"esterreur(reference)"</formula>
    </cfRule>
  </conditionalFormatting>
  <conditionalFormatting sqref="J112:Q121">
    <cfRule type="expression" dxfId="204" priority="3" stopIfTrue="1">
      <formula>"esterreur(reference)"</formula>
    </cfRule>
  </conditionalFormatting>
  <conditionalFormatting sqref="J123:Q134">
    <cfRule type="expression" dxfId="203" priority="57" stopIfTrue="1">
      <formula>"esterreur(reference)"</formula>
    </cfRule>
  </conditionalFormatting>
  <conditionalFormatting sqref="K5">
    <cfRule type="expression" dxfId="202" priority="91" stopIfTrue="1">
      <formula>"esterreur(reference)"</formula>
    </cfRule>
  </conditionalFormatting>
  <conditionalFormatting sqref="K175">
    <cfRule type="expression" dxfId="201" priority="88" stopIfTrue="1">
      <formula>"esterreur(reference)"</formula>
    </cfRule>
  </conditionalFormatting>
  <conditionalFormatting sqref="K183:K184">
    <cfRule type="expression" dxfId="200" priority="90" stopIfTrue="1">
      <formula>"esterreur(reference)"</formula>
    </cfRule>
  </conditionalFormatting>
  <conditionalFormatting sqref="K287">
    <cfRule type="expression" dxfId="199" priority="74" stopIfTrue="1">
      <formula>"esterreur(reference)"</formula>
    </cfRule>
  </conditionalFormatting>
  <conditionalFormatting sqref="K395">
    <cfRule type="expression" dxfId="198" priority="111" stopIfTrue="1">
      <formula>"esterreur(reference)"</formula>
    </cfRule>
  </conditionalFormatting>
  <conditionalFormatting sqref="K93:L96">
    <cfRule type="expression" dxfId="197" priority="79" stopIfTrue="1">
      <formula>"esterreur(reference)"</formula>
    </cfRule>
  </conditionalFormatting>
  <conditionalFormatting sqref="K99:L100">
    <cfRule type="expression" dxfId="196" priority="99" stopIfTrue="1">
      <formula>"esterreur(reference)"</formula>
    </cfRule>
  </conditionalFormatting>
  <conditionalFormatting sqref="K171:L173">
    <cfRule type="expression" dxfId="195" priority="89" stopIfTrue="1">
      <formula>"esterreur(reference)"</formula>
    </cfRule>
  </conditionalFormatting>
  <conditionalFormatting sqref="K176:L182">
    <cfRule type="expression" dxfId="194" priority="87" stopIfTrue="1">
      <formula>"esterreur(reference)"</formula>
    </cfRule>
  </conditionalFormatting>
  <conditionalFormatting sqref="K185:L196">
    <cfRule type="expression" dxfId="193" priority="83" stopIfTrue="1">
      <formula>"esterreur(reference)"</formula>
    </cfRule>
  </conditionalFormatting>
  <conditionalFormatting sqref="K239:L241">
    <cfRule type="expression" dxfId="192" priority="78" stopIfTrue="1">
      <formula>"esterreur(reference)"</formula>
    </cfRule>
  </conditionalFormatting>
  <conditionalFormatting sqref="K244:L244">
    <cfRule type="expression" dxfId="191" priority="86" stopIfTrue="1">
      <formula>"esterreur(reference)"</formula>
    </cfRule>
  </conditionalFormatting>
  <conditionalFormatting sqref="K247:L247">
    <cfRule type="expression" dxfId="190" priority="85" stopIfTrue="1">
      <formula>"esterreur(reference)"</formula>
    </cfRule>
  </conditionalFormatting>
  <conditionalFormatting sqref="L16:L24">
    <cfRule type="expression" dxfId="189" priority="101" stopIfTrue="1">
      <formula>"esterreur(reference)"</formula>
    </cfRule>
  </conditionalFormatting>
  <conditionalFormatting sqref="L42:L48">
    <cfRule type="expression" dxfId="188" priority="100" stopIfTrue="1">
      <formula>"esterreur(reference)"</formula>
    </cfRule>
  </conditionalFormatting>
  <conditionalFormatting sqref="L55:L66">
    <cfRule type="expression" dxfId="187" priority="68" stopIfTrue="1">
      <formula>"esterreur(reference)"</formula>
    </cfRule>
  </conditionalFormatting>
  <conditionalFormatting sqref="L68:L71">
    <cfRule type="expression" dxfId="186" priority="32" stopIfTrue="1">
      <formula>"esterreur(reference)"</formula>
    </cfRule>
  </conditionalFormatting>
  <conditionalFormatting sqref="L75:L82">
    <cfRule type="expression" dxfId="185" priority="69" stopIfTrue="1">
      <formula>"esterreur(reference)"</formula>
    </cfRule>
  </conditionalFormatting>
  <conditionalFormatting sqref="L136:L147">
    <cfRule type="expression" dxfId="184" priority="73" stopIfTrue="1">
      <formula>"esterreur(reference)"</formula>
    </cfRule>
  </conditionalFormatting>
  <conditionalFormatting sqref="L174:L175">
    <cfRule type="expression" dxfId="183" priority="97" stopIfTrue="1">
      <formula>"esterreur(reference)"</formula>
    </cfRule>
  </conditionalFormatting>
  <conditionalFormatting sqref="L198:L209">
    <cfRule type="expression" dxfId="182" priority="96" stopIfTrue="1">
      <formula>"esterreur(reference)"</formula>
    </cfRule>
  </conditionalFormatting>
  <conditionalFormatting sqref="L211:L228">
    <cfRule type="expression" dxfId="181" priority="72" stopIfTrue="1">
      <formula>"esterreur(reference)"</formula>
    </cfRule>
  </conditionalFormatting>
  <conditionalFormatting sqref="L254:L265">
    <cfRule type="expression" dxfId="180" priority="95" stopIfTrue="1">
      <formula>"esterreur(reference)"</formula>
    </cfRule>
  </conditionalFormatting>
  <conditionalFormatting sqref="L267:L284">
    <cfRule type="expression" dxfId="179" priority="71" stopIfTrue="1">
      <formula>"esterreur(reference)"</formula>
    </cfRule>
  </conditionalFormatting>
  <conditionalFormatting sqref="L318:L329">
    <cfRule type="expression" dxfId="178" priority="93" stopIfTrue="1">
      <formula>"esterreur(reference)"</formula>
    </cfRule>
  </conditionalFormatting>
  <conditionalFormatting sqref="L331">
    <cfRule type="expression" dxfId="177" priority="70" stopIfTrue="1">
      <formula>"esterreur(reference)"</formula>
    </cfRule>
  </conditionalFormatting>
  <conditionalFormatting sqref="L334:L343 L345:L348">
    <cfRule type="expression" dxfId="176" priority="92" stopIfTrue="1">
      <formula>"esterreur(reference)"</formula>
    </cfRule>
  </conditionalFormatting>
  <conditionalFormatting sqref="L356:L357 H357:I357 K357 J357:J358 H359:L359">
    <cfRule type="expression" dxfId="175" priority="107" stopIfTrue="1">
      <formula>"esterreur(reference)"</formula>
    </cfRule>
  </conditionalFormatting>
  <conditionalFormatting sqref="L5:Q14">
    <cfRule type="expression" dxfId="174" priority="62" stopIfTrue="1">
      <formula>"esterreur(reference)"</formula>
    </cfRule>
  </conditionalFormatting>
  <conditionalFormatting sqref="L156:Q162">
    <cfRule type="expression" dxfId="173" priority="28" stopIfTrue="1">
      <formula>"esterreur(reference)"</formula>
    </cfRule>
  </conditionalFormatting>
  <conditionalFormatting sqref="M95:M97">
    <cfRule type="expression" dxfId="172" priority="103" stopIfTrue="1">
      <formula>"esterreur(reference)"</formula>
    </cfRule>
  </conditionalFormatting>
  <conditionalFormatting sqref="O13:O14 O16 O18:O24 O83:Q85">
    <cfRule type="expression" dxfId="171" priority="66" stopIfTrue="1">
      <formula>"esterreur(reference)"</formula>
    </cfRule>
  </conditionalFormatting>
  <conditionalFormatting sqref="O172:O196 Q183 O198:P229 O232:Q232 O233:P233">
    <cfRule type="expression" dxfId="170" priority="55" stopIfTrue="1">
      <formula>"esterreur(reference)"</formula>
    </cfRule>
  </conditionalFormatting>
  <conditionalFormatting sqref="O318:P348 O349:Q349 O352:Q352 O353:P353">
    <cfRule type="expression" dxfId="169" priority="39" stopIfTrue="1">
      <formula>"esterreur(reference)"</formula>
    </cfRule>
  </conditionalFormatting>
  <conditionalFormatting sqref="O25:Q72">
    <cfRule type="expression" dxfId="168" priority="4" stopIfTrue="1">
      <formula>"esterreur(reference)"</formula>
    </cfRule>
  </conditionalFormatting>
  <conditionalFormatting sqref="O97:Q98 O122:Q122 O156:P157 O164:Q164 O165:P165">
    <cfRule type="expression" dxfId="167" priority="61" stopIfTrue="1">
      <formula>"esterreur(reference)"</formula>
    </cfRule>
  </conditionalFormatting>
  <conditionalFormatting sqref="O101:Q111">
    <cfRule type="expression" dxfId="166" priority="59" stopIfTrue="1">
      <formula>"esterreur(reference)"</formula>
    </cfRule>
  </conditionalFormatting>
  <conditionalFormatting sqref="O135:Q153">
    <cfRule type="expression" dxfId="165" priority="29" stopIfTrue="1">
      <formula>"esterreur(reference)"</formula>
    </cfRule>
  </conditionalFormatting>
  <conditionalFormatting sqref="O197:Q197">
    <cfRule type="expression" dxfId="164" priority="56" stopIfTrue="1">
      <formula>"esterreur(reference)"</formula>
    </cfRule>
  </conditionalFormatting>
  <conditionalFormatting sqref="O243:Q243 O252:Q253 O254:P284 O285:Q285 O288:Q288 O289:P289">
    <cfRule type="expression" dxfId="163" priority="46" stopIfTrue="1">
      <formula>"esterreur(reference)"</formula>
    </cfRule>
  </conditionalFormatting>
  <conditionalFormatting sqref="O295:Q317">
    <cfRule type="expression" dxfId="162" priority="37" stopIfTrue="1">
      <formula>"esterreur(reference)"</formula>
    </cfRule>
  </conditionalFormatting>
  <conditionalFormatting sqref="O359:Q394">
    <cfRule type="expression" dxfId="161" priority="33" stopIfTrue="1">
      <formula>"esterreur(reference)"</formula>
    </cfRule>
  </conditionalFormatting>
  <conditionalFormatting sqref="O396:Q399">
    <cfRule type="expression" dxfId="160" priority="34" stopIfTrue="1">
      <formula>"esterreur(reference)"</formula>
    </cfRule>
  </conditionalFormatting>
  <conditionalFormatting sqref="P5">
    <cfRule type="expression" dxfId="159" priority="63" stopIfTrue="1">
      <formula>"esterreur(reference)"</formula>
    </cfRule>
  </conditionalFormatting>
  <conditionalFormatting sqref="P175">
    <cfRule type="expression" dxfId="158" priority="50" stopIfTrue="1">
      <formula>"esterreur(reference)"</formula>
    </cfRule>
  </conditionalFormatting>
  <conditionalFormatting sqref="P183:P184">
    <cfRule type="expression" dxfId="157" priority="52" stopIfTrue="1">
      <formula>"esterreur(reference)"</formula>
    </cfRule>
  </conditionalFormatting>
  <conditionalFormatting sqref="P287">
    <cfRule type="expression" dxfId="156" priority="41" stopIfTrue="1">
      <formula>"esterreur(reference)"</formula>
    </cfRule>
  </conditionalFormatting>
  <conditionalFormatting sqref="P395">
    <cfRule type="expression" dxfId="155" priority="35" stopIfTrue="1">
      <formula>"esterreur(reference)"</formula>
    </cfRule>
  </conditionalFormatting>
  <conditionalFormatting sqref="P93:Q96">
    <cfRule type="expression" dxfId="154" priority="58" stopIfTrue="1">
      <formula>"esterreur(reference)"</formula>
    </cfRule>
  </conditionalFormatting>
  <conditionalFormatting sqref="P99:Q100">
    <cfRule type="expression" dxfId="153" priority="60" stopIfTrue="1">
      <formula>"esterreur(reference)"</formula>
    </cfRule>
  </conditionalFormatting>
  <conditionalFormatting sqref="P172:Q173">
    <cfRule type="expression" dxfId="152" priority="51" stopIfTrue="1">
      <formula>"esterreur(reference)"</formula>
    </cfRule>
  </conditionalFormatting>
  <conditionalFormatting sqref="P176:Q182">
    <cfRule type="expression" dxfId="151" priority="49" stopIfTrue="1">
      <formula>"esterreur(reference)"</formula>
    </cfRule>
  </conditionalFormatting>
  <conditionalFormatting sqref="P185:Q196">
    <cfRule type="expression" dxfId="150" priority="48" stopIfTrue="1">
      <formula>"esterreur(reference)"</formula>
    </cfRule>
  </conditionalFormatting>
  <conditionalFormatting sqref="P241:Q241">
    <cfRule type="expression" dxfId="149" priority="42" stopIfTrue="1">
      <formula>"esterreur(reference)"</formula>
    </cfRule>
  </conditionalFormatting>
  <conditionalFormatting sqref="P244:Q244">
    <cfRule type="expression" dxfId="148" priority="44" stopIfTrue="1">
      <formula>"esterreur(reference)"</formula>
    </cfRule>
  </conditionalFormatting>
  <conditionalFormatting sqref="P247:Q247">
    <cfRule type="expression" dxfId="147" priority="43" stopIfTrue="1">
      <formula>"esterreur(reference)"</formula>
    </cfRule>
  </conditionalFormatting>
  <conditionalFormatting sqref="Q16:Q24">
    <cfRule type="expression" dxfId="146" priority="65" stopIfTrue="1">
      <formula>"esterreur(reference)"</formula>
    </cfRule>
  </conditionalFormatting>
  <conditionalFormatting sqref="Q75:Q82">
    <cfRule type="expression" dxfId="145" priority="64" stopIfTrue="1">
      <formula>"esterreur(reference)"</formula>
    </cfRule>
  </conditionalFormatting>
  <conditionalFormatting sqref="Q174:Q175">
    <cfRule type="expression" dxfId="144" priority="54" stopIfTrue="1">
      <formula>"esterreur(reference)"</formula>
    </cfRule>
  </conditionalFormatting>
  <conditionalFormatting sqref="Q198:Q209">
    <cfRule type="expression" dxfId="143" priority="53" stopIfTrue="1">
      <formula>"esterreur(reference)"</formula>
    </cfRule>
  </conditionalFormatting>
  <conditionalFormatting sqref="Q211:Q228">
    <cfRule type="expression" dxfId="142" priority="47" stopIfTrue="1">
      <formula>"esterreur(reference)"</formula>
    </cfRule>
  </conditionalFormatting>
  <conditionalFormatting sqref="Q254:Q265">
    <cfRule type="expression" dxfId="141" priority="45" stopIfTrue="1">
      <formula>"esterreur(reference)"</formula>
    </cfRule>
  </conditionalFormatting>
  <conditionalFormatting sqref="Q267:Q284">
    <cfRule type="expression" dxfId="140" priority="40" stopIfTrue="1">
      <formula>"esterreur(reference)"</formula>
    </cfRule>
  </conditionalFormatting>
  <conditionalFormatting sqref="Q318:Q329">
    <cfRule type="expression" dxfId="139" priority="38" stopIfTrue="1">
      <formula>"esterreur(reference)"</formula>
    </cfRule>
  </conditionalFormatting>
  <conditionalFormatting sqref="Q331:Q348">
    <cfRule type="expression" dxfId="138" priority="36" stopIfTrue="1">
      <formula>"esterreur(reference)"</formula>
    </cfRule>
  </conditionalFormatting>
  <conditionalFormatting sqref="R312">
    <cfRule type="expression" dxfId="137" priority="104" stopIfTrue="1">
      <formula>"esterreur(reference)"</formula>
    </cfRule>
  </conditionalFormatting>
  <conditionalFormatting sqref="S186">
    <cfRule type="expression" dxfId="136" priority="75" stopIfTrue="1">
      <formula>"esterreur(reference)"</formula>
    </cfRule>
  </conditionalFormatting>
  <conditionalFormatting sqref="Z425:Z427">
    <cfRule type="cellIs" dxfId="135" priority="24" operator="greaterThan">
      <formula>0</formula>
    </cfRule>
  </conditionalFormatting>
  <conditionalFormatting sqref="Z432">
    <cfRule type="cellIs" dxfId="134" priority="21" operator="greaterThan">
      <formula>0</formula>
    </cfRule>
  </conditionalFormatting>
  <conditionalFormatting sqref="Z449:Z451">
    <cfRule type="cellIs" dxfId="133" priority="17" operator="greaterThan">
      <formula>0</formula>
    </cfRule>
  </conditionalFormatting>
  <conditionalFormatting sqref="Z463:Z465">
    <cfRule type="cellIs" dxfId="132" priority="13" operator="greaterThan">
      <formula>0</formula>
    </cfRule>
  </conditionalFormatting>
  <conditionalFormatting sqref="Z478:Z479">
    <cfRule type="cellIs" dxfId="131" priority="10" operator="greaterThan">
      <formula>0</formula>
    </cfRule>
  </conditionalFormatting>
  <conditionalFormatting sqref="Z495:Z497">
    <cfRule type="cellIs" dxfId="130" priority="7" operator="greaterThan">
      <formula>0</formula>
    </cfRule>
  </conditionalFormatting>
  <conditionalFormatting sqref="AC425:AC427">
    <cfRule type="cellIs" dxfId="129" priority="25" operator="greaterThan">
      <formula>0</formula>
    </cfRule>
  </conditionalFormatting>
  <conditionalFormatting sqref="AC432">
    <cfRule type="cellIs" dxfId="128" priority="22" operator="greaterThan">
      <formula>0</formula>
    </cfRule>
  </conditionalFormatting>
  <conditionalFormatting sqref="AC449:AC451">
    <cfRule type="cellIs" dxfId="127" priority="18" operator="greaterThan">
      <formula>0</formula>
    </cfRule>
  </conditionalFormatting>
  <conditionalFormatting sqref="AC463:AC465">
    <cfRule type="cellIs" dxfId="126" priority="14" operator="greaterThan">
      <formula>0</formula>
    </cfRule>
  </conditionalFormatting>
  <conditionalFormatting sqref="AC478:AC479">
    <cfRule type="cellIs" dxfId="125" priority="11" operator="greaterThan">
      <formula>0</formula>
    </cfRule>
  </conditionalFormatting>
  <conditionalFormatting sqref="AC495:AC497">
    <cfRule type="cellIs" dxfId="124" priority="8" operator="greaterThan">
      <formula>0</formula>
    </cfRule>
  </conditionalFormatting>
  <conditionalFormatting sqref="AG409:AI418">
    <cfRule type="cellIs" dxfId="123" priority="27" operator="greaterThan">
      <formula>0</formula>
    </cfRule>
  </conditionalFormatting>
  <conditionalFormatting sqref="AH449:AH452">
    <cfRule type="cellIs" dxfId="122" priority="19" operator="greaterThan">
      <formula>0</formula>
    </cfRule>
  </conditionalFormatting>
  <conditionalFormatting sqref="AH461:AH466">
    <cfRule type="cellIs" dxfId="121" priority="15" operator="greaterThan">
      <formula>0</formula>
    </cfRule>
  </conditionalFormatting>
  <conditionalFormatting sqref="AH420:AI448">
    <cfRule type="cellIs" dxfId="120" priority="23" operator="greaterThan">
      <formula>0</formula>
    </cfRule>
  </conditionalFormatting>
  <conditionalFormatting sqref="AH453:AI460 AH467:AI468">
    <cfRule type="cellIs" dxfId="119" priority="105" operator="greaterThan">
      <formula>0</formula>
    </cfRule>
  </conditionalFormatting>
  <conditionalFormatting sqref="AH469:AI477 AH480:AI480">
    <cfRule type="cellIs" dxfId="118" priority="106" operator="lessThan">
      <formula>0</formula>
    </cfRule>
  </conditionalFormatting>
  <conditionalFormatting sqref="AH478:AI479">
    <cfRule type="cellIs" dxfId="117" priority="12" operator="greaterThan">
      <formula>0</formula>
    </cfRule>
  </conditionalFormatting>
  <conditionalFormatting sqref="AH491:AI497">
    <cfRule type="cellIs" dxfId="116" priority="9" operator="greaterThan">
      <formula>0</formula>
    </cfRule>
  </conditionalFormatting>
  <conditionalFormatting sqref="AI449:AI451">
    <cfRule type="cellIs" dxfId="115" priority="20" operator="greaterThan">
      <formula>0</formula>
    </cfRule>
  </conditionalFormatting>
  <conditionalFormatting sqref="AI463:AI465">
    <cfRule type="cellIs" dxfId="114" priority="16" operator="greaterThan">
      <formula>0</formula>
    </cfRule>
  </conditionalFormatting>
  <conditionalFormatting sqref="AO409:AO418">
    <cfRule type="cellIs" dxfId="113" priority="26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7">
    <tabColor rgb="FF00B050"/>
    <pageSetUpPr fitToPage="1"/>
  </sheetPr>
  <dimension ref="A1:BJ704"/>
  <sheetViews>
    <sheetView topLeftCell="Q483" zoomScale="70" zoomScaleNormal="70" workbookViewId="0">
      <selection activeCell="Q483" sqref="A1:XFD1048576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277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56" t="s">
        <v>2</v>
      </c>
      <c r="E2" s="456" t="s">
        <v>3</v>
      </c>
      <c r="F2" s="456" t="s">
        <v>4</v>
      </c>
      <c r="G2" s="456"/>
      <c r="H2" s="456"/>
      <c r="I2" s="456"/>
      <c r="J2" s="456" t="s">
        <v>211</v>
      </c>
      <c r="K2" s="456"/>
      <c r="L2" s="456" t="s">
        <v>212</v>
      </c>
      <c r="M2" s="457"/>
      <c r="N2" s="457"/>
      <c r="O2" s="456" t="s">
        <v>2</v>
      </c>
      <c r="P2" s="456" t="s">
        <v>3</v>
      </c>
      <c r="Q2" s="456" t="s">
        <v>4</v>
      </c>
      <c r="R2" s="10"/>
      <c r="S2" s="10"/>
      <c r="T2" s="10"/>
      <c r="U2" s="10"/>
    </row>
    <row r="3" spans="1:40" ht="21" thickTop="1">
      <c r="B3" s="11"/>
      <c r="C3" s="12"/>
      <c r="D3" s="507" t="s">
        <v>5</v>
      </c>
      <c r="E3" s="508"/>
      <c r="F3" s="509"/>
      <c r="G3" s="510"/>
      <c r="H3" s="508"/>
      <c r="I3" s="509"/>
      <c r="J3" s="510" t="s">
        <v>7</v>
      </c>
      <c r="K3" s="508"/>
      <c r="L3" s="509"/>
      <c r="M3" s="510" t="s">
        <v>213</v>
      </c>
      <c r="N3" s="509"/>
      <c r="O3" s="507" t="s">
        <v>8</v>
      </c>
      <c r="P3" s="508"/>
      <c r="Q3" s="509"/>
      <c r="R3" s="505" t="s">
        <v>214</v>
      </c>
      <c r="S3" s="506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2132666.7331516137</v>
      </c>
      <c r="G5" s="23"/>
      <c r="H5" s="21"/>
      <c r="I5" s="24"/>
      <c r="J5" s="23"/>
      <c r="K5" s="25"/>
      <c r="L5" s="22">
        <v>1932819.0399999998</v>
      </c>
      <c r="M5" s="26"/>
      <c r="N5" s="27"/>
      <c r="O5" s="23"/>
      <c r="P5" s="25"/>
      <c r="Q5" s="22">
        <v>1710445.63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7</v>
      </c>
      <c r="E6" s="30">
        <f>IF(D6=0,0,F6/D6)</f>
        <v>4306.395348837209</v>
      </c>
      <c r="F6" s="30">
        <v>30144.767441860462</v>
      </c>
      <c r="G6" s="31"/>
      <c r="H6" s="30"/>
      <c r="I6" s="30"/>
      <c r="J6" s="31">
        <v>9</v>
      </c>
      <c r="K6" s="30">
        <f>IF(J6=0,0,L6/J6)</f>
        <v>5820.626666666667</v>
      </c>
      <c r="L6" s="32">
        <v>52385.64</v>
      </c>
      <c r="M6" s="31">
        <f t="shared" ref="M6:M12" si="2">J6-D6</f>
        <v>2</v>
      </c>
      <c r="N6" s="33">
        <f t="shared" ref="N6:N12" si="3">L6-F6</f>
        <v>22240.872558139537</v>
      </c>
      <c r="O6" s="31">
        <v>7</v>
      </c>
      <c r="P6" s="30">
        <f t="shared" ref="P6:P12" si="4">IF(O6=0,0,Q6/O6)</f>
        <v>4333.9528571428573</v>
      </c>
      <c r="Q6" s="32">
        <v>30337.67</v>
      </c>
      <c r="R6" s="31">
        <f>J6-O6</f>
        <v>2</v>
      </c>
      <c r="S6" s="34">
        <f>L6-Q6</f>
        <v>22047.97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13</v>
      </c>
      <c r="E7" s="30">
        <f t="shared" ref="E7:E12" si="5">IF(D7=0,0,F7/D7)</f>
        <v>4000.3311258278145</v>
      </c>
      <c r="F7" s="30">
        <v>52004.304635761589</v>
      </c>
      <c r="G7" s="31"/>
      <c r="H7" s="30"/>
      <c r="I7" s="30"/>
      <c r="J7" s="31">
        <v>7</v>
      </c>
      <c r="K7" s="30">
        <f t="shared" ref="K7:K12" si="6">IF(J7=0,0,L7/J7)</f>
        <v>3544.4671428571519</v>
      </c>
      <c r="L7" s="32">
        <v>24811.270000000062</v>
      </c>
      <c r="M7" s="31">
        <f t="shared" si="2"/>
        <v>-6</v>
      </c>
      <c r="N7" s="33">
        <f t="shared" si="3"/>
        <v>-27193.034635761527</v>
      </c>
      <c r="O7" s="31">
        <v>10</v>
      </c>
      <c r="P7" s="30">
        <f t="shared" si="4"/>
        <v>4305.3519999999899</v>
      </c>
      <c r="Q7" s="32">
        <v>43053.519999999902</v>
      </c>
      <c r="R7" s="31">
        <f t="shared" ref="R7:R12" si="7">J7-O7</f>
        <v>-3</v>
      </c>
      <c r="S7" s="34">
        <f t="shared" ref="S7:S12" si="8">L7-Q7</f>
        <v>-18242.24999999984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ref="A12:A36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20</v>
      </c>
      <c r="E13" s="36">
        <f>IF(D13&lt;=0,0,F13/D13)</f>
        <v>4107.4536038811029</v>
      </c>
      <c r="F13" s="37">
        <f>+SUM(F6:F12)</f>
        <v>82149.072077622055</v>
      </c>
      <c r="G13" s="38"/>
      <c r="H13" s="36"/>
      <c r="I13" s="37"/>
      <c r="J13" s="38">
        <f>+SUM(J6:J12)</f>
        <v>16</v>
      </c>
      <c r="K13" s="36">
        <f>IF(J13&lt;=0,0,L13/J13)</f>
        <v>4824.8068750000039</v>
      </c>
      <c r="L13" s="37">
        <f>+SUM(L6:L12)</f>
        <v>77196.910000000062</v>
      </c>
      <c r="M13" s="38">
        <f>+SUM(M6:M12)</f>
        <v>-4</v>
      </c>
      <c r="N13" s="37">
        <f t="shared" ref="N13" si="10">+SUM(N6:N12)</f>
        <v>-4952.1620776219897</v>
      </c>
      <c r="O13" s="38">
        <f>+SUM(O6:O12)</f>
        <v>17</v>
      </c>
      <c r="P13" s="36">
        <f>IF(O13&lt;=0,0,Q13/O13)</f>
        <v>4317.128823529406</v>
      </c>
      <c r="Q13" s="37">
        <f t="shared" ref="Q13" si="11">+SUM(Q6:Q12)</f>
        <v>73391.1899999999</v>
      </c>
      <c r="R13" s="38">
        <f>+SUM(R6:R12)</f>
        <v>-1</v>
      </c>
      <c r="S13" s="39">
        <f>+SUM(S6:S12)</f>
        <v>3805.7200000001612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-0.2</v>
      </c>
      <c r="N14" s="43">
        <f>IF(F13=0,0,N13/F13)</f>
        <v>-6.0282629521885872E-2</v>
      </c>
      <c r="O14" s="41"/>
      <c r="P14" s="30"/>
      <c r="Q14" s="40"/>
      <c r="R14" s="42">
        <f>R13/O13</f>
        <v>-5.8823529411764705E-2</v>
      </c>
      <c r="S14" s="44">
        <f>IF(Q13=0,0,(S13/Q13))</f>
        <v>5.1855270366922328E-2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3</v>
      </c>
      <c r="E15" s="25">
        <f>IF(D15=0,0,F15/D15)</f>
        <v>750</v>
      </c>
      <c r="F15" s="22">
        <v>2250</v>
      </c>
      <c r="G15" s="46"/>
      <c r="H15" s="47"/>
      <c r="I15" s="48"/>
      <c r="J15" s="49">
        <v>4</v>
      </c>
      <c r="K15" s="50">
        <f>IF(J15=0,0,L15/J15)</f>
        <v>2445.1974999999948</v>
      </c>
      <c r="L15" s="50">
        <v>9780.789999999979</v>
      </c>
      <c r="M15" s="51">
        <f>J15-D15</f>
        <v>1</v>
      </c>
      <c r="N15" s="48">
        <f>L15-F15</f>
        <v>7530.789999999979</v>
      </c>
      <c r="O15" s="49">
        <v>1</v>
      </c>
      <c r="P15" s="50">
        <f>IF(O15=0,0,Q15/O15)</f>
        <v>1250</v>
      </c>
      <c r="Q15" s="50">
        <v>1250</v>
      </c>
      <c r="R15" s="51">
        <f>J15-O15</f>
        <v>3</v>
      </c>
      <c r="S15" s="52">
        <f>L15-Q15</f>
        <v>8530.789999999979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0</v>
      </c>
      <c r="E17" s="30">
        <f>IF(D17=0,0,F17/D17)</f>
        <v>0</v>
      </c>
      <c r="F17" s="30">
        <v>0</v>
      </c>
      <c r="G17" s="31"/>
      <c r="H17" s="30"/>
      <c r="I17" s="30"/>
      <c r="J17" s="51">
        <v>0</v>
      </c>
      <c r="K17" s="30">
        <f>IF(J17=0,0,L17/J17)</f>
        <v>0</v>
      </c>
      <c r="L17" s="33">
        <v>0</v>
      </c>
      <c r="M17" s="51">
        <f>J17-D17</f>
        <v>0</v>
      </c>
      <c r="N17" s="33">
        <f>L17-F17</f>
        <v>0</v>
      </c>
      <c r="O17" s="51">
        <v>0</v>
      </c>
      <c r="P17" s="30">
        <f>IF(O17=0,0,Q17/O17)</f>
        <v>0</v>
      </c>
      <c r="Q17" s="33">
        <v>0</v>
      </c>
      <c r="R17" s="31">
        <f>J17-O17</f>
        <v>0</v>
      </c>
      <c r="S17" s="34">
        <f>L17-Q17</f>
        <v>0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9"/>
        <v>Véhicules neufsRachat bail</v>
      </c>
      <c r="B19" s="11" t="str">
        <f t="shared" si="0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3007.1266755289494</v>
      </c>
      <c r="G19" s="31"/>
      <c r="H19" s="30"/>
      <c r="I19" s="30"/>
      <c r="J19" s="46"/>
      <c r="K19" s="30"/>
      <c r="L19" s="33">
        <v>563.25</v>
      </c>
      <c r="M19" s="31"/>
      <c r="N19" s="33">
        <f>L19-F19</f>
        <v>-2443.8766755289494</v>
      </c>
      <c r="O19" s="46"/>
      <c r="P19" s="30"/>
      <c r="Q19" s="33">
        <v>5993.8999999999896</v>
      </c>
      <c r="R19" s="31">
        <f>O19-K19</f>
        <v>0</v>
      </c>
      <c r="S19" s="34">
        <f>L19-Q19</f>
        <v>-5430.6499999999896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9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v>575</v>
      </c>
      <c r="G21" s="41"/>
      <c r="H21" s="30"/>
      <c r="I21" s="30"/>
      <c r="J21" s="31"/>
      <c r="K21" s="30">
        <f>IF(J13=0,0,L21/(J13+J15))</f>
        <v>0</v>
      </c>
      <c r="L21" s="33">
        <v>0</v>
      </c>
      <c r="M21" s="31"/>
      <c r="N21" s="33">
        <f>L21-F21</f>
        <v>-575</v>
      </c>
      <c r="O21" s="31"/>
      <c r="P21" s="30"/>
      <c r="Q21" s="33">
        <v>0</v>
      </c>
      <c r="R21" s="31">
        <f>O21-K21</f>
        <v>0</v>
      </c>
      <c r="S21" s="34">
        <f>L21-Q21</f>
        <v>0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v>26450</v>
      </c>
      <c r="G22" s="41"/>
      <c r="H22" s="30"/>
      <c r="I22" s="30"/>
      <c r="J22" s="31"/>
      <c r="K22" s="30">
        <f>IF(J13=0,0,L22/(J13+J15))</f>
        <v>1336.1695</v>
      </c>
      <c r="L22" s="33">
        <v>26723.39</v>
      </c>
      <c r="M22" s="31"/>
      <c r="N22" s="33">
        <f>L22-F22</f>
        <v>273.38999999999942</v>
      </c>
      <c r="O22" s="31"/>
      <c r="P22" s="30"/>
      <c r="Q22" s="33">
        <v>20125.699999999899</v>
      </c>
      <c r="R22" s="31">
        <f>O22-K22</f>
        <v>-1336.1695</v>
      </c>
      <c r="S22" s="34">
        <f>L22-Q22</f>
        <v>6597.6900000001006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v>11040</v>
      </c>
      <c r="G23" s="41"/>
      <c r="H23" s="30"/>
      <c r="I23" s="30"/>
      <c r="J23" s="31"/>
      <c r="K23" s="30">
        <f>IF(J13=0,0,L23/(J13+J15))</f>
        <v>902.67049999999995</v>
      </c>
      <c r="L23" s="33">
        <v>18053.41</v>
      </c>
      <c r="M23" s="51"/>
      <c r="N23" s="33">
        <f>L23-F23</f>
        <v>7013.41</v>
      </c>
      <c r="O23" s="31"/>
      <c r="P23" s="30"/>
      <c r="Q23" s="33">
        <v>9662.0999999999894</v>
      </c>
      <c r="R23" s="31">
        <f>O23-K23</f>
        <v>-902.67049999999995</v>
      </c>
      <c r="S23" s="34">
        <f>L23-Q23</f>
        <v>8391.3100000000104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23</v>
      </c>
      <c r="E24" s="36">
        <f>IF(D24&lt;=0,0,F24/D24)</f>
        <v>1655</v>
      </c>
      <c r="F24" s="37">
        <f>F21+F22+F23</f>
        <v>38065</v>
      </c>
      <c r="G24" s="38"/>
      <c r="H24" s="36"/>
      <c r="I24" s="37"/>
      <c r="J24" s="38">
        <f>+J15+J13</f>
        <v>20</v>
      </c>
      <c r="K24" s="36">
        <f>IF(J24&lt;=0,0,L24/J24)</f>
        <v>2238.84</v>
      </c>
      <c r="L24" s="37">
        <f>L21+L22+L23</f>
        <v>44776.800000000003</v>
      </c>
      <c r="M24" s="58">
        <f>J24-D24</f>
        <v>-3</v>
      </c>
      <c r="N24" s="37">
        <f>L24-F24</f>
        <v>6711.8000000000029</v>
      </c>
      <c r="O24" s="38">
        <f>+O15+O13</f>
        <v>18</v>
      </c>
      <c r="P24" s="36">
        <f>IF(O24&lt;=0,0,Q24/O24)</f>
        <v>1654.8777777777714</v>
      </c>
      <c r="Q24" s="37">
        <f>Q21+Q22+Q23</f>
        <v>29787.799999999886</v>
      </c>
      <c r="R24" s="56"/>
      <c r="S24" s="39">
        <f>L24-Q24</f>
        <v>14989.000000000116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0.17632470773676615</v>
      </c>
      <c r="O25" s="41"/>
      <c r="P25" s="13"/>
      <c r="Q25" s="59"/>
      <c r="R25" s="60"/>
      <c r="S25" s="44">
        <f>IF(Q24=0,0,(S24/Q24))</f>
        <v>0.50319258219808694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23</v>
      </c>
      <c r="E27" s="64">
        <f>IF(D27&lt;=0,0,F27/D27)</f>
        <v>5455.2695110065661</v>
      </c>
      <c r="F27" s="65">
        <f>F13+F17+F24+F19+F15</f>
        <v>125471.19875315101</v>
      </c>
      <c r="G27" s="66"/>
      <c r="H27" s="67"/>
      <c r="I27" s="65"/>
      <c r="J27" s="66">
        <f>+J13+J15+J17</f>
        <v>20</v>
      </c>
      <c r="K27" s="67">
        <f>IF(J27&lt;=0,0,L27/J27)</f>
        <v>6615.8875000000025</v>
      </c>
      <c r="L27" s="65">
        <f>L13+L17+L24+L19+L15</f>
        <v>132317.75000000006</v>
      </c>
      <c r="M27" s="66">
        <f>J27-D27</f>
        <v>-3</v>
      </c>
      <c r="N27" s="65">
        <f>L27-F27</f>
        <v>6846.5512468490488</v>
      </c>
      <c r="O27" s="66">
        <f>+O13+O15+O17</f>
        <v>18</v>
      </c>
      <c r="P27" s="67">
        <f>IF(O27&lt;=0,0,Q27/O27)</f>
        <v>6134.6049999999877</v>
      </c>
      <c r="Q27" s="65">
        <f>Q13+Q17+Q24+Q19+Q15</f>
        <v>110422.88999999978</v>
      </c>
      <c r="R27" s="66">
        <f>J27-O27</f>
        <v>2</v>
      </c>
      <c r="S27" s="68">
        <f>L27-Q27</f>
        <v>21894.860000000277</v>
      </c>
      <c r="T27" s="13"/>
      <c r="U27" s="13"/>
      <c r="V27" s="11" t="s">
        <v>221</v>
      </c>
      <c r="W27" s="497">
        <v>119000</v>
      </c>
      <c r="X27" s="490">
        <f>L27-W27</f>
        <v>13317.750000000058</v>
      </c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-0.13043478260869565</v>
      </c>
      <c r="N28" s="74">
        <f>N27/F27</f>
        <v>5.456671582710218E-2</v>
      </c>
      <c r="O28" s="72"/>
      <c r="P28" s="70"/>
      <c r="Q28" s="71"/>
      <c r="R28" s="73">
        <f>R27/O27</f>
        <v>0.1111111111111111</v>
      </c>
      <c r="S28" s="75">
        <f>IF(Q27=0,0,S27/Q27)</f>
        <v>0.19828189608151281</v>
      </c>
      <c r="T28" s="13"/>
      <c r="U28" s="13"/>
      <c r="V28" s="11"/>
      <c r="W28" s="497">
        <v>20</v>
      </c>
      <c r="X28" s="490">
        <f>J27-W28</f>
        <v>0</v>
      </c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0.29112985857918805</v>
      </c>
      <c r="E31" s="82">
        <f t="shared" ref="E31:E36" si="12">F31/D$24</f>
        <v>1068.3082573118613</v>
      </c>
      <c r="F31" s="30">
        <v>24571.089918172809</v>
      </c>
      <c r="G31" s="157"/>
      <c r="H31" s="82"/>
      <c r="I31" s="30"/>
      <c r="J31" s="157">
        <f>L31/(L13+L15)</f>
        <v>0.25746725884910715</v>
      </c>
      <c r="K31" s="82">
        <f t="shared" ref="K31:K36" si="13">IF(L31=0,0,L31/J$24)</f>
        <v>1119.6955</v>
      </c>
      <c r="L31" s="30">
        <v>22393.91</v>
      </c>
      <c r="M31" s="41"/>
      <c r="N31" s="59">
        <f t="shared" ref="N31:N53" si="14">L31-F31</f>
        <v>-2177.1799181728093</v>
      </c>
      <c r="O31" s="157">
        <f>Q31/(Q13+Q15+Q17)</f>
        <v>0.26405313205751446</v>
      </c>
      <c r="P31" s="82">
        <f t="shared" ref="P31:P40" si="15">Q31/O$24</f>
        <v>1094.9577777777779</v>
      </c>
      <c r="Q31" s="33">
        <v>19709.240000000002</v>
      </c>
      <c r="R31" s="41"/>
      <c r="S31" s="85">
        <f t="shared" ref="S31:S36" si="16">L31-Q31</f>
        <v>2684.6699999999983</v>
      </c>
      <c r="T31" s="13"/>
      <c r="U31" s="13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0.27500000000000002</v>
      </c>
      <c r="E32" s="88">
        <f t="shared" si="12"/>
        <v>455.125</v>
      </c>
      <c r="F32" s="22">
        <v>10467.875</v>
      </c>
      <c r="G32" s="162"/>
      <c r="H32" s="90"/>
      <c r="I32" s="22"/>
      <c r="J32" s="162">
        <f>L32/L24</f>
        <v>0.34309151167568919</v>
      </c>
      <c r="K32" s="88">
        <f t="shared" si="13"/>
        <v>768.12700000000007</v>
      </c>
      <c r="L32" s="22">
        <v>15362.54</v>
      </c>
      <c r="M32" s="23"/>
      <c r="N32" s="91">
        <f t="shared" si="14"/>
        <v>4894.6650000000009</v>
      </c>
      <c r="O32" s="162">
        <f>Q32/Q24</f>
        <v>0.35239091171553594</v>
      </c>
      <c r="P32" s="88">
        <f t="shared" si="15"/>
        <v>583.16388888888889</v>
      </c>
      <c r="Q32" s="22">
        <v>10496.95</v>
      </c>
      <c r="R32" s="23"/>
      <c r="S32" s="92">
        <f t="shared" si="16"/>
        <v>4865.59</v>
      </c>
      <c r="T32" s="13"/>
      <c r="U32" s="13"/>
      <c r="V32" s="11" t="s">
        <v>278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2"/>
        <v>130</v>
      </c>
      <c r="F33" s="30">
        <v>2990</v>
      </c>
      <c r="G33" s="83"/>
      <c r="H33" s="82"/>
      <c r="I33" s="30"/>
      <c r="J33" s="41"/>
      <c r="K33" s="82">
        <f t="shared" si="13"/>
        <v>207.35250000000002</v>
      </c>
      <c r="L33" s="30">
        <v>4147.05</v>
      </c>
      <c r="M33" s="41"/>
      <c r="N33" s="59">
        <f t="shared" si="14"/>
        <v>1157.0500000000002</v>
      </c>
      <c r="O33" s="41"/>
      <c r="P33" s="82">
        <f t="shared" si="15"/>
        <v>105.80833333333334</v>
      </c>
      <c r="Q33" s="33">
        <v>1904.55</v>
      </c>
      <c r="R33" s="41"/>
      <c r="S33" s="85">
        <f t="shared" si="16"/>
        <v>2242.5</v>
      </c>
      <c r="T33" s="13"/>
      <c r="U33" s="13"/>
      <c r="V33" s="11" t="s">
        <v>268</v>
      </c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2"/>
        <v>37</v>
      </c>
      <c r="F34" s="30">
        <v>851</v>
      </c>
      <c r="G34" s="83"/>
      <c r="H34" s="82"/>
      <c r="I34" s="30"/>
      <c r="J34" s="41"/>
      <c r="K34" s="82">
        <f t="shared" si="13"/>
        <v>0</v>
      </c>
      <c r="L34" s="30">
        <v>0</v>
      </c>
      <c r="M34" s="41"/>
      <c r="N34" s="59">
        <f t="shared" si="14"/>
        <v>-851</v>
      </c>
      <c r="O34" s="41"/>
      <c r="P34" s="82">
        <f t="shared" si="15"/>
        <v>18.017777777777777</v>
      </c>
      <c r="Q34" s="33">
        <v>324.32</v>
      </c>
      <c r="R34" s="41"/>
      <c r="S34" s="85">
        <f t="shared" si="16"/>
        <v>-324.32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2"/>
        <v>61.521739130434781</v>
      </c>
      <c r="F35" s="22">
        <v>1415</v>
      </c>
      <c r="G35" s="89"/>
      <c r="H35" s="90"/>
      <c r="I35" s="22"/>
      <c r="J35" s="23"/>
      <c r="K35" s="88">
        <f t="shared" si="13"/>
        <v>103.67249999999999</v>
      </c>
      <c r="L35" s="22">
        <v>2073.4499999999998</v>
      </c>
      <c r="M35" s="23"/>
      <c r="N35" s="91">
        <f t="shared" si="14"/>
        <v>658.44999999999982</v>
      </c>
      <c r="O35" s="23"/>
      <c r="P35" s="88">
        <f t="shared" si="15"/>
        <v>50.046111111111117</v>
      </c>
      <c r="Q35" s="33">
        <v>900.83</v>
      </c>
      <c r="R35" s="23"/>
      <c r="S35" s="92">
        <f t="shared" si="16"/>
        <v>1172.6199999999999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2"/>
        <v>513.97058823529414</v>
      </c>
      <c r="F36" s="30">
        <v>11821.323529411766</v>
      </c>
      <c r="G36" s="83"/>
      <c r="H36" s="82"/>
      <c r="I36" s="30"/>
      <c r="J36" s="41"/>
      <c r="K36" s="82">
        <f t="shared" si="13"/>
        <v>508.93050000000005</v>
      </c>
      <c r="L36" s="459">
        <v>10178.61</v>
      </c>
      <c r="M36" s="13"/>
      <c r="N36" s="59">
        <f t="shared" si="14"/>
        <v>-1642.7135294117652</v>
      </c>
      <c r="O36" s="41"/>
      <c r="P36" s="82">
        <f t="shared" si="15"/>
        <v>750.24333333333334</v>
      </c>
      <c r="Q36" s="55">
        <v>13504.38</v>
      </c>
      <c r="R36" s="41"/>
      <c r="S36" s="85">
        <f t="shared" si="16"/>
        <v>-3325.7699999999986</v>
      </c>
      <c r="T36" s="13"/>
      <c r="U36" s="13"/>
      <c r="V36" s="11"/>
      <c r="W36" s="458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>F37/D$24</f>
        <v>1107.6277490457358</v>
      </c>
      <c r="F37" s="30">
        <v>25475.43822805192</v>
      </c>
      <c r="G37" s="83"/>
      <c r="H37" s="82"/>
      <c r="I37" s="30"/>
      <c r="J37" s="41"/>
      <c r="K37" s="82">
        <f>IF(L37=0,0,L37/J$24)</f>
        <v>1163.8995</v>
      </c>
      <c r="L37" s="460">
        <v>23277.99</v>
      </c>
      <c r="M37" s="13"/>
      <c r="N37" s="59">
        <f t="shared" si="14"/>
        <v>-2197.4482280519187</v>
      </c>
      <c r="O37" s="41"/>
      <c r="P37" s="82">
        <f t="shared" si="15"/>
        <v>1767.2572222222223</v>
      </c>
      <c r="Q37" s="33">
        <v>31810.63</v>
      </c>
      <c r="R37" s="41"/>
      <c r="S37" s="85">
        <f>L37-Q37</f>
        <v>-8532.64</v>
      </c>
      <c r="T37" s="13"/>
      <c r="U37" s="13"/>
      <c r="V37" s="458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>F38/D$24</f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60">
        <v>0</v>
      </c>
      <c r="M38" s="13"/>
      <c r="N38" s="59">
        <f t="shared" si="14"/>
        <v>0</v>
      </c>
      <c r="O38" s="41"/>
      <c r="P38" s="82">
        <f t="shared" si="15"/>
        <v>0</v>
      </c>
      <c r="Q38" s="33"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>F39/D$24</f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60">
        <v>0</v>
      </c>
      <c r="M39" s="13"/>
      <c r="N39" s="59">
        <f t="shared" si="14"/>
        <v>0</v>
      </c>
      <c r="O39" s="41"/>
      <c r="P39" s="82">
        <f t="shared" si="15"/>
        <v>0</v>
      </c>
      <c r="Q39" s="33"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ref="A40:A45" si="17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>F40/D$24</f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61">
        <v>0</v>
      </c>
      <c r="M40" s="13"/>
      <c r="N40" s="59">
        <f t="shared" si="14"/>
        <v>0</v>
      </c>
      <c r="O40" s="41"/>
      <c r="P40" s="82">
        <f t="shared" si="15"/>
        <v>0</v>
      </c>
      <c r="Q40" s="33"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7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0.61840268879783777</v>
      </c>
      <c r="F41" s="96">
        <f>SUM(F31:F40)</f>
        <v>77591.726675636499</v>
      </c>
      <c r="G41" s="97"/>
      <c r="H41" s="95"/>
      <c r="I41" s="96"/>
      <c r="J41" s="97" t="s">
        <v>38</v>
      </c>
      <c r="K41" s="95">
        <f>L41/L$27</f>
        <v>0.58520908948345907</v>
      </c>
      <c r="L41" s="96">
        <f>SUM(L31:L40)</f>
        <v>77433.55</v>
      </c>
      <c r="M41" s="98"/>
      <c r="N41" s="96">
        <f t="shared" si="14"/>
        <v>-158.17667563649593</v>
      </c>
      <c r="O41" s="97" t="s">
        <v>38</v>
      </c>
      <c r="P41" s="95">
        <f>Q41/Q$27</f>
        <v>0.71226989259201734</v>
      </c>
      <c r="Q41" s="99">
        <f>SUM(Q31:Q40)</f>
        <v>78650.899999999994</v>
      </c>
      <c r="R41" s="100"/>
      <c r="S41" s="101">
        <f t="shared" ref="S41:S45" si="18">L41-Q41</f>
        <v>-1217.3499999999913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7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12382.762643678161</v>
      </c>
      <c r="G42" s="41"/>
      <c r="H42" s="13"/>
      <c r="I42" s="30"/>
      <c r="J42" s="41"/>
      <c r="K42" s="13"/>
      <c r="L42" s="33">
        <v>12424.49</v>
      </c>
      <c r="M42" s="41"/>
      <c r="N42" s="59">
        <f t="shared" si="14"/>
        <v>41.72735632183867</v>
      </c>
      <c r="O42" s="41"/>
      <c r="P42" s="13"/>
      <c r="Q42" s="33">
        <v>9969.7000000000007</v>
      </c>
      <c r="R42" s="41"/>
      <c r="S42" s="85">
        <f t="shared" si="18"/>
        <v>2454.7899999999991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7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9357.4172413793131</v>
      </c>
      <c r="G43" s="83"/>
      <c r="H43" s="13"/>
      <c r="I43" s="22"/>
      <c r="J43" s="41"/>
      <c r="K43" s="13"/>
      <c r="L43" s="33">
        <v>8970.8700000000008</v>
      </c>
      <c r="M43" s="41"/>
      <c r="N43" s="59">
        <f t="shared" si="14"/>
        <v>-386.54724137931225</v>
      </c>
      <c r="O43" s="41"/>
      <c r="P43" s="13"/>
      <c r="Q43" s="33">
        <v>8615.69</v>
      </c>
      <c r="R43" s="41"/>
      <c r="S43" s="85">
        <f t="shared" si="18"/>
        <v>355.18000000000029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7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342</v>
      </c>
      <c r="G44" s="106"/>
      <c r="H44" s="105"/>
      <c r="I44" s="30"/>
      <c r="J44" s="107"/>
      <c r="K44" s="105"/>
      <c r="L44" s="108">
        <v>342</v>
      </c>
      <c r="M44" s="107"/>
      <c r="N44" s="109">
        <f t="shared" si="14"/>
        <v>0</v>
      </c>
      <c r="O44" s="107"/>
      <c r="P44" s="105"/>
      <c r="Q44" s="108">
        <v>342</v>
      </c>
      <c r="R44" s="107"/>
      <c r="S44" s="110">
        <f t="shared" si="18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 hidden="1">
      <c r="A45" t="str">
        <f t="shared" si="17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4"/>
        <v>0</v>
      </c>
      <c r="O45" s="41"/>
      <c r="P45" s="13"/>
      <c r="Q45" s="33">
        <v>0</v>
      </c>
      <c r="R45" s="41"/>
      <c r="S45" s="85">
        <f t="shared" si="18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4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4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4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ref="A49:A66" si="19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7379.7220053243154</v>
      </c>
      <c r="G49" s="83"/>
      <c r="H49" s="13"/>
      <c r="I49" s="22"/>
      <c r="J49" s="41"/>
      <c r="K49" s="13"/>
      <c r="L49" s="22">
        <v>9776.36</v>
      </c>
      <c r="M49" s="41"/>
      <c r="N49" s="59">
        <f t="shared" si="14"/>
        <v>2396.6379946756851</v>
      </c>
      <c r="O49" s="41"/>
      <c r="P49" s="13"/>
      <c r="Q49" s="22">
        <v>10700.38</v>
      </c>
      <c r="R49" s="41"/>
      <c r="S49" s="85">
        <f t="shared" ref="S49:S53" si="20">L49-Q49</f>
        <v>-924.01999999999862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9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8488.1399217230446</v>
      </c>
      <c r="G50" s="106"/>
      <c r="H50" s="105"/>
      <c r="I50" s="30"/>
      <c r="J50" s="107"/>
      <c r="K50" s="105"/>
      <c r="L50" s="33">
        <v>11933.83</v>
      </c>
      <c r="M50" s="107"/>
      <c r="N50" s="109">
        <f t="shared" si="14"/>
        <v>3445.6900782769553</v>
      </c>
      <c r="O50" s="107"/>
      <c r="P50" s="105"/>
      <c r="Q50" s="33">
        <v>8568.67</v>
      </c>
      <c r="R50" s="107"/>
      <c r="S50" s="110">
        <f t="shared" si="20"/>
        <v>3365.16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9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4434.1029441836799</v>
      </c>
      <c r="G51" s="83"/>
      <c r="H51" s="13"/>
      <c r="I51" s="30"/>
      <c r="J51" s="41"/>
      <c r="K51" s="13"/>
      <c r="L51" s="33">
        <v>4599.38</v>
      </c>
      <c r="M51" s="41"/>
      <c r="N51" s="59">
        <f t="shared" si="14"/>
        <v>165.27705581632017</v>
      </c>
      <c r="O51" s="41"/>
      <c r="P51" s="13"/>
      <c r="Q51" s="33">
        <v>4031.8</v>
      </c>
      <c r="R51" s="41"/>
      <c r="S51" s="85">
        <f t="shared" si="20"/>
        <v>567.57999999999993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9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950.16491661078851</v>
      </c>
      <c r="G52" s="83"/>
      <c r="H52" s="13"/>
      <c r="I52" s="30"/>
      <c r="J52" s="41"/>
      <c r="K52" s="13"/>
      <c r="L52" s="33">
        <v>3165.52</v>
      </c>
      <c r="M52" s="41"/>
      <c r="N52" s="59">
        <f t="shared" si="14"/>
        <v>2215.3550833892114</v>
      </c>
      <c r="O52" s="41"/>
      <c r="P52" s="13"/>
      <c r="Q52" s="33">
        <v>1229.54</v>
      </c>
      <c r="R52" s="41"/>
      <c r="S52" s="85">
        <f t="shared" si="20"/>
        <v>1935.98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9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4"/>
        <v>0</v>
      </c>
      <c r="O53" s="23"/>
      <c r="P53" s="111"/>
      <c r="Q53" s="33">
        <v>0</v>
      </c>
      <c r="R53" s="23"/>
      <c r="S53" s="92">
        <f t="shared" si="20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9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0.34537256440941616</v>
      </c>
      <c r="F54" s="96">
        <f>+SUM(F42:F53)</f>
        <v>43334.309672899304</v>
      </c>
      <c r="G54" s="97"/>
      <c r="H54" s="95"/>
      <c r="I54" s="96"/>
      <c r="J54" s="97" t="s">
        <v>38</v>
      </c>
      <c r="K54" s="95">
        <f>L54/L$27</f>
        <v>0.38704142112452772</v>
      </c>
      <c r="L54" s="96">
        <f>+SUM(L42:L53)</f>
        <v>51212.45</v>
      </c>
      <c r="M54" s="100"/>
      <c r="N54" s="96">
        <f>+SUM(N42:N53)</f>
        <v>7878.1403271006984</v>
      </c>
      <c r="O54" s="97" t="s">
        <v>38</v>
      </c>
      <c r="P54" s="95">
        <f>Q54/Q$27</f>
        <v>0.3935577125358708</v>
      </c>
      <c r="Q54" s="96">
        <f>+SUM(Q42:Q53)</f>
        <v>43457.78</v>
      </c>
      <c r="R54" s="100"/>
      <c r="S54" s="101">
        <f>+SUM(S42:S53)</f>
        <v>7754.67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 hidden="1">
      <c r="A55" t="str">
        <f t="shared" si="19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21">L55-F55</f>
        <v>0</v>
      </c>
      <c r="O55" s="41"/>
      <c r="P55" s="13"/>
      <c r="Q55" s="33">
        <v>0</v>
      </c>
      <c r="R55" s="41"/>
      <c r="S55" s="85">
        <f t="shared" ref="S55:S66" si="22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 hidden="1">
      <c r="A56" t="str">
        <f t="shared" si="19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21"/>
        <v>0</v>
      </c>
      <c r="O56" s="41"/>
      <c r="P56" s="13"/>
      <c r="Q56" s="33">
        <v>0</v>
      </c>
      <c r="R56" s="41"/>
      <c r="S56" s="85">
        <f t="shared" si="22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9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6620.9333333333325</v>
      </c>
      <c r="G57" s="89"/>
      <c r="H57" s="111"/>
      <c r="I57" s="22"/>
      <c r="J57" s="23"/>
      <c r="K57" s="111"/>
      <c r="L57" s="22">
        <v>9596.17</v>
      </c>
      <c r="M57" s="23"/>
      <c r="N57" s="91">
        <f t="shared" si="21"/>
        <v>2975.2366666666676</v>
      </c>
      <c r="O57" s="23"/>
      <c r="P57" s="111"/>
      <c r="Q57" s="22">
        <v>7316.83</v>
      </c>
      <c r="R57" s="23"/>
      <c r="S57" s="92">
        <f t="shared" si="22"/>
        <v>2279.34</v>
      </c>
      <c r="T57" s="112"/>
      <c r="U57" s="13"/>
      <c r="V57" s="11" t="s">
        <v>259</v>
      </c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9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4878.3</v>
      </c>
      <c r="G58" s="83"/>
      <c r="H58" s="13"/>
      <c r="I58" s="30"/>
      <c r="J58" s="41"/>
      <c r="K58" s="13"/>
      <c r="L58" s="33">
        <v>4851.72</v>
      </c>
      <c r="M58" s="41"/>
      <c r="N58" s="59">
        <f t="shared" si="21"/>
        <v>-26.579999999999927</v>
      </c>
      <c r="O58" s="41"/>
      <c r="P58" s="13"/>
      <c r="Q58" s="33">
        <v>4468.3500000000004</v>
      </c>
      <c r="R58" s="41"/>
      <c r="S58" s="85">
        <f t="shared" si="22"/>
        <v>383.36999999999989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9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825</v>
      </c>
      <c r="G59" s="83"/>
      <c r="H59" s="13"/>
      <c r="I59" s="30"/>
      <c r="J59" s="41"/>
      <c r="K59" s="13"/>
      <c r="L59" s="33">
        <v>429.47</v>
      </c>
      <c r="M59" s="41"/>
      <c r="N59" s="59">
        <f t="shared" si="21"/>
        <v>-395.53</v>
      </c>
      <c r="O59" s="41"/>
      <c r="P59" s="13"/>
      <c r="Q59" s="33">
        <v>1461.62</v>
      </c>
      <c r="R59" s="41"/>
      <c r="S59" s="85">
        <f t="shared" si="22"/>
        <v>-1032.1499999999999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9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3314.7000000000003</v>
      </c>
      <c r="G60" s="89"/>
      <c r="H60" s="111"/>
      <c r="I60" s="22"/>
      <c r="J60" s="23"/>
      <c r="K60" s="111"/>
      <c r="L60" s="22">
        <v>2489.44</v>
      </c>
      <c r="M60" s="23"/>
      <c r="N60" s="91">
        <f t="shared" si="21"/>
        <v>-825.26000000000022</v>
      </c>
      <c r="O60" s="23"/>
      <c r="P60" s="111"/>
      <c r="Q60" s="22">
        <v>3629.84</v>
      </c>
      <c r="R60" s="23"/>
      <c r="S60" s="92">
        <f t="shared" si="22"/>
        <v>-1140.4000000000001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9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40</v>
      </c>
      <c r="G61" s="83"/>
      <c r="H61" s="13"/>
      <c r="I61" s="30"/>
      <c r="J61" s="41"/>
      <c r="K61" s="13"/>
      <c r="L61" s="33">
        <v>138.66</v>
      </c>
      <c r="M61" s="41"/>
      <c r="N61" s="59">
        <f t="shared" si="21"/>
        <v>98.66</v>
      </c>
      <c r="O61" s="41"/>
      <c r="P61" s="13"/>
      <c r="Q61" s="33">
        <v>0</v>
      </c>
      <c r="R61" s="41"/>
      <c r="S61" s="85">
        <f t="shared" si="22"/>
        <v>138.66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9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30</v>
      </c>
      <c r="G62" s="83"/>
      <c r="H62" s="13"/>
      <c r="I62" s="30"/>
      <c r="J62" s="41"/>
      <c r="K62" s="13"/>
      <c r="L62" s="33">
        <v>0</v>
      </c>
      <c r="M62" s="41"/>
      <c r="N62" s="59">
        <f t="shared" si="21"/>
        <v>-30</v>
      </c>
      <c r="O62" s="41"/>
      <c r="P62" s="13"/>
      <c r="Q62" s="33">
        <v>78.08</v>
      </c>
      <c r="R62" s="41"/>
      <c r="S62" s="85">
        <f t="shared" si="22"/>
        <v>-78.08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9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708.75</v>
      </c>
      <c r="G63" s="83"/>
      <c r="H63" s="13"/>
      <c r="I63" s="30"/>
      <c r="J63" s="41"/>
      <c r="K63" s="13"/>
      <c r="L63" s="32">
        <v>735.07</v>
      </c>
      <c r="M63" s="41"/>
      <c r="N63" s="59">
        <f t="shared" si="21"/>
        <v>26.32000000000005</v>
      </c>
      <c r="O63" s="41"/>
      <c r="P63" s="13"/>
      <c r="Q63" s="32">
        <v>502.79</v>
      </c>
      <c r="R63" s="41"/>
      <c r="S63" s="85">
        <f t="shared" si="22"/>
        <v>232.28000000000003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9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210.4</v>
      </c>
      <c r="G64" s="83"/>
      <c r="H64" s="13"/>
      <c r="I64" s="30"/>
      <c r="J64" s="41"/>
      <c r="K64" s="13"/>
      <c r="L64" s="33">
        <v>183.2</v>
      </c>
      <c r="M64" s="41"/>
      <c r="N64" s="59">
        <f t="shared" si="21"/>
        <v>-27.200000000000017</v>
      </c>
      <c r="O64" s="41"/>
      <c r="P64" s="13"/>
      <c r="Q64" s="33">
        <v>364.45</v>
      </c>
      <c r="R64" s="41"/>
      <c r="S64" s="85">
        <f t="shared" si="22"/>
        <v>-181.25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9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202.5</v>
      </c>
      <c r="G65" s="83"/>
      <c r="H65" s="13"/>
      <c r="I65" s="30"/>
      <c r="J65" s="41"/>
      <c r="K65" s="13"/>
      <c r="L65" s="33">
        <v>309.75</v>
      </c>
      <c r="M65" s="41"/>
      <c r="N65" s="59">
        <f t="shared" si="21"/>
        <v>107.25</v>
      </c>
      <c r="O65" s="41"/>
      <c r="P65" s="13"/>
      <c r="Q65" s="33">
        <v>82.69</v>
      </c>
      <c r="R65" s="41"/>
      <c r="S65" s="85">
        <f t="shared" si="22"/>
        <v>227.06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9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783.45</v>
      </c>
      <c r="G66" s="83"/>
      <c r="H66" s="13"/>
      <c r="I66" s="30"/>
      <c r="J66" s="41"/>
      <c r="K66" s="13"/>
      <c r="L66" s="33">
        <v>1827.48</v>
      </c>
      <c r="M66" s="41"/>
      <c r="N66" s="59">
        <f t="shared" si="21"/>
        <v>1044.03</v>
      </c>
      <c r="O66" s="41"/>
      <c r="P66" s="13"/>
      <c r="Q66" s="33">
        <v>650.70000000000005</v>
      </c>
      <c r="R66" s="41"/>
      <c r="S66" s="85">
        <f t="shared" si="22"/>
        <v>1176.78</v>
      </c>
      <c r="T66" s="13"/>
      <c r="U66" s="13"/>
      <c r="V66" s="11" t="s">
        <v>269</v>
      </c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558.18350999999984</v>
      </c>
      <c r="G67" s="83"/>
      <c r="H67" s="13"/>
      <c r="I67" s="30"/>
      <c r="J67" s="41"/>
      <c r="K67" s="13"/>
      <c r="L67" s="59">
        <v>517.53</v>
      </c>
      <c r="M67" s="41"/>
      <c r="N67" s="59">
        <f t="shared" si="21"/>
        <v>-40.653509999999869</v>
      </c>
      <c r="O67" s="41"/>
      <c r="P67" s="13"/>
      <c r="Q67" s="33">
        <v>-312.31</v>
      </c>
      <c r="R67" s="41"/>
      <c r="S67" s="85">
        <f>L67-Q67</f>
        <v>829.83999999999992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2960.1436751398351</v>
      </c>
      <c r="G68" s="83"/>
      <c r="H68" s="13"/>
      <c r="I68" s="30"/>
      <c r="J68" s="41"/>
      <c r="K68" s="13"/>
      <c r="L68" s="32">
        <v>2634.17</v>
      </c>
      <c r="M68" s="41"/>
      <c r="N68" s="59">
        <f t="shared" si="21"/>
        <v>-325.973675139835</v>
      </c>
      <c r="O68" s="41"/>
      <c r="P68" s="13"/>
      <c r="Q68" s="33">
        <v>2461.66</v>
      </c>
      <c r="R68" s="41"/>
      <c r="S68" s="85">
        <f>L68-Q68</f>
        <v>172.51000000000022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21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ref="A70:A78" si="23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21"/>
        <v>0</v>
      </c>
      <c r="O70" s="41"/>
      <c r="P70" s="13"/>
      <c r="Q70" s="33">
        <v>0</v>
      </c>
      <c r="R70" s="41"/>
      <c r="S70" s="85">
        <f t="shared" ref="S70:S71" si="24">L70-Q70</f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23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21"/>
        <v>0</v>
      </c>
      <c r="O71" s="41"/>
      <c r="P71" s="13"/>
      <c r="Q71" s="33">
        <v>0</v>
      </c>
      <c r="R71" s="41"/>
      <c r="S71" s="85">
        <f t="shared" si="24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23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0.16842399473721825</v>
      </c>
      <c r="F72" s="96">
        <f>+SUM(F55:F71)</f>
        <v>21132.360518473171</v>
      </c>
      <c r="G72" s="97"/>
      <c r="H72" s="95"/>
      <c r="I72" s="96"/>
      <c r="J72" s="97" t="s">
        <v>38</v>
      </c>
      <c r="K72" s="95">
        <f>L72/L$27</f>
        <v>0.179209969939785</v>
      </c>
      <c r="L72" s="96">
        <f>+SUM(L55:L71)</f>
        <v>23712.659999999996</v>
      </c>
      <c r="M72" s="100"/>
      <c r="N72" s="96">
        <f>+SUM(N55:N71)</f>
        <v>2580.299481526833</v>
      </c>
      <c r="O72" s="97" t="s">
        <v>38</v>
      </c>
      <c r="P72" s="95">
        <f>Q72/Q$27</f>
        <v>0.18750369601809952</v>
      </c>
      <c r="Q72" s="96">
        <f>+SUM(Q55:Q71)</f>
        <v>20704.7</v>
      </c>
      <c r="R72" s="100"/>
      <c r="S72" s="101">
        <f>+SUM(S55:S71)</f>
        <v>3007.96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23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23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1.1321992479444722</v>
      </c>
      <c r="F74" s="96">
        <f>F41+F54+F72</f>
        <v>142058.39686700897</v>
      </c>
      <c r="G74" s="97"/>
      <c r="H74" s="95"/>
      <c r="I74" s="96"/>
      <c r="J74" s="97" t="s">
        <v>38</v>
      </c>
      <c r="K74" s="95">
        <f>L74/L$27</f>
        <v>1.1514604805477717</v>
      </c>
      <c r="L74" s="96">
        <f>L41+L54+L72</f>
        <v>152358.66</v>
      </c>
      <c r="M74" s="100"/>
      <c r="N74" s="113">
        <f t="shared" ref="N74:N82" si="25">L74-F74</f>
        <v>10300.263132991036</v>
      </c>
      <c r="O74" s="97" t="s">
        <v>38</v>
      </c>
      <c r="P74" s="95">
        <f>Q74/Q$27</f>
        <v>1.2933313011459879</v>
      </c>
      <c r="Q74" s="96">
        <f>Q41+Q54+Q72</f>
        <v>142813.38</v>
      </c>
      <c r="R74" s="100"/>
      <c r="S74" s="114">
        <f>L74-Q74</f>
        <v>9545.2799999999988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23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v>36407.980221818179</v>
      </c>
      <c r="G75" s="83"/>
      <c r="H75" s="13"/>
      <c r="I75" s="30"/>
      <c r="J75" s="41"/>
      <c r="K75" s="13"/>
      <c r="L75" s="32">
        <v>38986.85</v>
      </c>
      <c r="M75" s="41"/>
      <c r="N75" s="59">
        <f t="shared" si="25"/>
        <v>2578.8697781818191</v>
      </c>
      <c r="O75" s="41"/>
      <c r="P75" s="13"/>
      <c r="Q75" s="32">
        <v>27489.53</v>
      </c>
      <c r="R75" s="41"/>
      <c r="S75" s="85">
        <f>L75-Q75</f>
        <v>11497.32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23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5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23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5"/>
        <v>0</v>
      </c>
      <c r="O77" s="41"/>
      <c r="P77" s="13"/>
      <c r="Q77" s="32">
        <v>0</v>
      </c>
      <c r="R77" s="41"/>
      <c r="S77" s="85">
        <f t="shared" ref="S77:S78" si="26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23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39359.97861818182</v>
      </c>
      <c r="G78" s="83"/>
      <c r="H78" s="13"/>
      <c r="I78" s="30"/>
      <c r="J78" s="41"/>
      <c r="K78" s="13"/>
      <c r="L78" s="33">
        <v>30943.4</v>
      </c>
      <c r="M78" s="41"/>
      <c r="N78" s="59">
        <f t="shared" si="25"/>
        <v>-8416.5786181818185</v>
      </c>
      <c r="O78" s="41"/>
      <c r="P78" s="13"/>
      <c r="Q78" s="32">
        <v>37435.699999999997</v>
      </c>
      <c r="R78" s="41"/>
      <c r="S78" s="85">
        <f t="shared" si="26"/>
        <v>-6492.2999999999956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5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5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5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ref="A82:A85" si="27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13479.725</v>
      </c>
      <c r="G82" s="83"/>
      <c r="H82" s="13"/>
      <c r="I82" s="30"/>
      <c r="J82" s="41"/>
      <c r="K82" s="13"/>
      <c r="L82" s="32">
        <v>11900</v>
      </c>
      <c r="M82" s="41"/>
      <c r="N82" s="59">
        <f t="shared" si="25"/>
        <v>-1579.7250000000004</v>
      </c>
      <c r="O82" s="41"/>
      <c r="P82" s="13"/>
      <c r="Q82" s="32">
        <v>10710</v>
      </c>
      <c r="R82" s="41"/>
      <c r="S82" s="85">
        <f t="shared" ref="S82" si="28">L82-Q82</f>
        <v>1190</v>
      </c>
      <c r="T82" s="13"/>
      <c r="U82" s="13"/>
      <c r="V82" s="11">
        <f>L82/595</f>
        <v>20</v>
      </c>
      <c r="W82" s="489">
        <f>V82/J27</f>
        <v>1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27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89247.683840000012</v>
      </c>
      <c r="G83" s="97"/>
      <c r="H83" s="95"/>
      <c r="I83" s="96"/>
      <c r="J83" s="97"/>
      <c r="K83" s="95"/>
      <c r="L83" s="96">
        <f>+SUM(L75:L82)</f>
        <v>81830.25</v>
      </c>
      <c r="M83" s="100"/>
      <c r="N83" s="96">
        <f>+SUM(N75:N82)</f>
        <v>-7417.4338399999997</v>
      </c>
      <c r="O83" s="97"/>
      <c r="P83" s="95"/>
      <c r="Q83" s="96">
        <f>+SUM(Q75:Q82)</f>
        <v>75635.23</v>
      </c>
      <c r="R83" s="100"/>
      <c r="S83" s="101">
        <f>+SUM(S75:S82)</f>
        <v>6195.0200000000041</v>
      </c>
      <c r="T83" s="13"/>
      <c r="U83" s="13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27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27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72660.485726142055</v>
      </c>
      <c r="G85" s="128"/>
      <c r="H85" s="126"/>
      <c r="I85" s="127"/>
      <c r="J85" s="128"/>
      <c r="K85" s="125"/>
      <c r="L85" s="127">
        <f>L27-L74+L83</f>
        <v>61789.340000000055</v>
      </c>
      <c r="M85" s="128"/>
      <c r="N85" s="127">
        <f>N27-N41-N54-N72+N83</f>
        <v>-10871.145726141986</v>
      </c>
      <c r="O85" s="128"/>
      <c r="P85" s="125"/>
      <c r="Q85" s="127">
        <f>Q27-Q74+Q83</f>
        <v>43244.739999999772</v>
      </c>
      <c r="R85" s="128"/>
      <c r="S85" s="129">
        <f>S27-S41-S54-S72+S83</f>
        <v>18544.600000000271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Juin 2025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507" t="s">
        <v>5</v>
      </c>
      <c r="E91" s="508"/>
      <c r="F91" s="509"/>
      <c r="G91" s="510"/>
      <c r="H91" s="508"/>
      <c r="I91" s="509"/>
      <c r="J91" s="510" t="s">
        <v>7</v>
      </c>
      <c r="K91" s="508"/>
      <c r="L91" s="509"/>
      <c r="M91" s="510" t="s">
        <v>213</v>
      </c>
      <c r="N91" s="509"/>
      <c r="O91" s="507" t="s">
        <v>8</v>
      </c>
      <c r="P91" s="508"/>
      <c r="Q91" s="509"/>
      <c r="R91" s="505" t="s">
        <v>214</v>
      </c>
      <c r="S91" s="506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17" si="29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1409176.4705882352</v>
      </c>
      <c r="G93" s="46"/>
      <c r="H93" s="25"/>
      <c r="I93" s="22"/>
      <c r="J93" s="23"/>
      <c r="K93" s="25"/>
      <c r="L93" s="22">
        <v>1387819.46</v>
      </c>
      <c r="M93" s="137"/>
      <c r="N93" s="138"/>
      <c r="O93" s="23"/>
      <c r="P93" s="25"/>
      <c r="Q93" s="22">
        <v>1477403.5899999901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9"/>
        <v>Véhicules usagésCertifié</v>
      </c>
      <c r="B94" s="11" t="s">
        <v>70</v>
      </c>
      <c r="C94" s="29" t="s">
        <v>72</v>
      </c>
      <c r="D94" s="30">
        <v>6</v>
      </c>
      <c r="E94" s="30">
        <f>IF(D94=0,0,F94/D94)</f>
        <v>2300</v>
      </c>
      <c r="F94" s="30">
        <v>13800</v>
      </c>
      <c r="G94" s="31"/>
      <c r="H94" s="30"/>
      <c r="I94" s="30"/>
      <c r="J94" s="31">
        <v>6</v>
      </c>
      <c r="K94" s="30">
        <f>IF(J94=0,0,L94/J94)</f>
        <v>2132.8233333333337</v>
      </c>
      <c r="L94" s="33">
        <v>12796.940000000002</v>
      </c>
      <c r="M94" s="31">
        <f>J94-D94</f>
        <v>0</v>
      </c>
      <c r="N94" s="33">
        <f>L94-F94</f>
        <v>-1003.0599999999977</v>
      </c>
      <c r="O94" s="31">
        <v>9</v>
      </c>
      <c r="P94" s="30">
        <f t="shared" ref="P94:P96" si="30">IF(O94=0,0,Q94/O94)</f>
        <v>2507.0399999999886</v>
      </c>
      <c r="Q94" s="33">
        <v>22563.359999999899</v>
      </c>
      <c r="R94" s="31">
        <f>J94-O94</f>
        <v>-3</v>
      </c>
      <c r="S94" s="34">
        <f>L94-Q94</f>
        <v>-9766.4199999998964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9"/>
        <v>Véhicules usagésNon Certifié</v>
      </c>
      <c r="B95" s="11" t="s">
        <v>70</v>
      </c>
      <c r="C95" s="29" t="s">
        <v>73</v>
      </c>
      <c r="D95" s="30">
        <v>6</v>
      </c>
      <c r="E95" s="30">
        <f t="shared" ref="E95:E100" si="31">IF(D95=0,0,F95/D95)</f>
        <v>1600</v>
      </c>
      <c r="F95" s="30">
        <v>9600</v>
      </c>
      <c r="G95" s="31"/>
      <c r="H95" s="30"/>
      <c r="I95" s="30"/>
      <c r="J95" s="31">
        <v>13</v>
      </c>
      <c r="K95" s="30">
        <f>IF(J95=0,0,L95/J95)</f>
        <v>1919.1207692307698</v>
      </c>
      <c r="L95" s="32">
        <v>24948.570000000007</v>
      </c>
      <c r="M95" s="31">
        <f>J95-D95</f>
        <v>7</v>
      </c>
      <c r="N95" s="33">
        <f>L95-F95</f>
        <v>15348.570000000007</v>
      </c>
      <c r="O95" s="31">
        <v>5</v>
      </c>
      <c r="P95" s="30">
        <f t="shared" si="30"/>
        <v>1368.929999999996</v>
      </c>
      <c r="Q95" s="32">
        <v>6844.6499999999796</v>
      </c>
      <c r="R95" s="31">
        <f>J95-O95</f>
        <v>8</v>
      </c>
      <c r="S95" s="34">
        <f>L95-Q95</f>
        <v>18103.920000000027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 t="shared" si="29"/>
        <v>Véhicules usagésAutres marques</v>
      </c>
      <c r="B96" s="11" t="s">
        <v>70</v>
      </c>
      <c r="C96" s="29" t="s">
        <v>207</v>
      </c>
      <c r="D96" s="30">
        <v>6</v>
      </c>
      <c r="E96" s="25">
        <f t="shared" si="31"/>
        <v>1500</v>
      </c>
      <c r="F96" s="30">
        <v>9000</v>
      </c>
      <c r="G96" s="31"/>
      <c r="H96" s="30"/>
      <c r="I96" s="30"/>
      <c r="J96" s="31">
        <v>6</v>
      </c>
      <c r="K96" s="30">
        <f>IF(J96=0,0,L96/J96)</f>
        <v>1460.9366666666658</v>
      </c>
      <c r="L96" s="32">
        <v>8765.6199999999953</v>
      </c>
      <c r="M96" s="31">
        <f>J96-D96</f>
        <v>0</v>
      </c>
      <c r="N96" s="33">
        <f>L96-F96</f>
        <v>-234.38000000000466</v>
      </c>
      <c r="O96" s="31">
        <v>5</v>
      </c>
      <c r="P96" s="30">
        <f t="shared" si="30"/>
        <v>1005.798</v>
      </c>
      <c r="Q96" s="32">
        <v>5028.99</v>
      </c>
      <c r="R96" s="31">
        <f>J96-O96</f>
        <v>1</v>
      </c>
      <c r="S96" s="34">
        <f>L96-Q96</f>
        <v>3736.6299999999956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9"/>
        <v>Véhicules usagésTotal Usagés</v>
      </c>
      <c r="B97" s="11" t="s">
        <v>70</v>
      </c>
      <c r="C97" s="35" t="s">
        <v>74</v>
      </c>
      <c r="D97" s="36">
        <f>+D95+D94+D96</f>
        <v>18</v>
      </c>
      <c r="E97" s="30">
        <f t="shared" si="31"/>
        <v>1800</v>
      </c>
      <c r="F97" s="37">
        <f>+F94+F95+F96</f>
        <v>32400</v>
      </c>
      <c r="G97" s="38"/>
      <c r="H97" s="36"/>
      <c r="I97" s="37"/>
      <c r="J97" s="38">
        <f>+J94+J95+J96</f>
        <v>25</v>
      </c>
      <c r="K97" s="36">
        <f>IF(J97&lt;=0,0,L97/J97)</f>
        <v>1860.4452000000001</v>
      </c>
      <c r="L97" s="37">
        <f>+L94+L95+L96</f>
        <v>46511.130000000005</v>
      </c>
      <c r="M97" s="38">
        <f>J97-D97</f>
        <v>7</v>
      </c>
      <c r="N97" s="37">
        <f>L97-F97</f>
        <v>14111.130000000005</v>
      </c>
      <c r="O97" s="38">
        <f>+O95+O94+O96</f>
        <v>19</v>
      </c>
      <c r="P97" s="36">
        <f>IF(O97=0,0,Q97/O97)</f>
        <v>1812.4736842105199</v>
      </c>
      <c r="Q97" s="37">
        <f>+Q94+Q95+Q96</f>
        <v>34436.999999999876</v>
      </c>
      <c r="R97" s="38">
        <f>J97-O97</f>
        <v>6</v>
      </c>
      <c r="S97" s="39">
        <f>S94+S95</f>
        <v>8337.500000000131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9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0.3888888888888889</v>
      </c>
      <c r="N98" s="43">
        <f>N97/F97</f>
        <v>0.43552870370370383</v>
      </c>
      <c r="O98" s="41"/>
      <c r="P98" s="13"/>
      <c r="Q98" s="40"/>
      <c r="R98" s="42">
        <f>R97/O97</f>
        <v>0.31578947368421051</v>
      </c>
      <c r="S98" s="44">
        <f>IF(Q97=0,0,(S97/Q97))</f>
        <v>0.24210877834887362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9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9"/>
        <v>Véhicules usagésVentes au Gros</v>
      </c>
      <c r="B100" s="11" t="s">
        <v>70</v>
      </c>
      <c r="C100" s="29" t="s">
        <v>75</v>
      </c>
      <c r="D100" s="30">
        <v>19</v>
      </c>
      <c r="E100" s="30">
        <f t="shared" si="31"/>
        <v>350</v>
      </c>
      <c r="F100" s="30">
        <v>6650</v>
      </c>
      <c r="G100" s="31"/>
      <c r="H100" s="30"/>
      <c r="I100" s="30"/>
      <c r="J100" s="31">
        <v>11</v>
      </c>
      <c r="K100" s="30">
        <f>IF(J100=0,0,L100/J100)</f>
        <v>-175.90818181818096</v>
      </c>
      <c r="L100" s="33">
        <v>-1934.9899999999907</v>
      </c>
      <c r="M100" s="31">
        <f>J100-D100</f>
        <v>-8</v>
      </c>
      <c r="N100" s="33">
        <f>L100-F100</f>
        <v>-8584.9899999999907</v>
      </c>
      <c r="O100" s="31">
        <v>27</v>
      </c>
      <c r="P100" s="30">
        <f>IF(O100=0,0,Q100/O100)</f>
        <v>42.867407407406667</v>
      </c>
      <c r="Q100" s="33">
        <v>1157.4199999999801</v>
      </c>
      <c r="R100" s="31">
        <f>J100-O100</f>
        <v>-16</v>
      </c>
      <c r="S100" s="34">
        <f>L100-Q100</f>
        <v>-3092.4099999999708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9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9"/>
        <v>Véhicules usagésRev. Finances</v>
      </c>
      <c r="B102" s="11" t="s">
        <v>70</v>
      </c>
      <c r="C102" s="29" t="s">
        <v>24</v>
      </c>
      <c r="D102" s="30">
        <v>0</v>
      </c>
      <c r="E102" s="30">
        <f t="shared" ref="E102:E105" si="32">IF(D102=0,0,F102/D102)</f>
        <v>0</v>
      </c>
      <c r="F102" s="33">
        <v>6840</v>
      </c>
      <c r="G102" s="31"/>
      <c r="H102" s="30"/>
      <c r="I102" s="30"/>
      <c r="J102" s="31"/>
      <c r="K102" s="30">
        <f>IF(J97=0,0,L102/J97)</f>
        <v>336.26800000000003</v>
      </c>
      <c r="L102" s="33">
        <v>8406.7000000000007</v>
      </c>
      <c r="M102" s="31"/>
      <c r="N102" s="33">
        <f>L102-F102</f>
        <v>1566.7000000000007</v>
      </c>
      <c r="O102" s="31"/>
      <c r="P102" s="30"/>
      <c r="Q102" s="33">
        <v>7455.96</v>
      </c>
      <c r="R102" s="31">
        <f>O102-K102</f>
        <v>-336.26800000000003</v>
      </c>
      <c r="S102" s="34">
        <f>L102-Q102</f>
        <v>950.74000000000069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9"/>
        <v>Véhicules usagésRev. Protections</v>
      </c>
      <c r="B103" s="11" t="s">
        <v>70</v>
      </c>
      <c r="C103" s="29" t="s">
        <v>25</v>
      </c>
      <c r="D103" s="30">
        <v>0</v>
      </c>
      <c r="E103" s="30">
        <f t="shared" si="32"/>
        <v>0</v>
      </c>
      <c r="F103" s="33">
        <v>15300</v>
      </c>
      <c r="G103" s="31"/>
      <c r="H103" s="30"/>
      <c r="I103" s="30"/>
      <c r="J103" s="31"/>
      <c r="K103" s="30">
        <f>IF(J97=0,0,L103/J97)</f>
        <v>1091.8920000000001</v>
      </c>
      <c r="L103" s="33">
        <v>27297.300000000003</v>
      </c>
      <c r="M103" s="31"/>
      <c r="N103" s="33">
        <f>L103-F103</f>
        <v>11997.300000000003</v>
      </c>
      <c r="O103" s="31"/>
      <c r="P103" s="30"/>
      <c r="Q103" s="33">
        <v>10611</v>
      </c>
      <c r="R103" s="31">
        <f>O103-K103</f>
        <v>-1091.8920000000001</v>
      </c>
      <c r="S103" s="34">
        <f>L103-Q103</f>
        <v>16686.300000000003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9"/>
        <v>Véhicules usagésRev. Autres</v>
      </c>
      <c r="B104" s="11" t="s">
        <v>70</v>
      </c>
      <c r="C104" s="29" t="s">
        <v>26</v>
      </c>
      <c r="D104" s="30">
        <v>0</v>
      </c>
      <c r="E104" s="25">
        <f t="shared" si="32"/>
        <v>0</v>
      </c>
      <c r="F104" s="33">
        <v>3960</v>
      </c>
      <c r="G104" s="31"/>
      <c r="H104" s="47"/>
      <c r="I104" s="30"/>
      <c r="J104" s="31"/>
      <c r="K104" s="47">
        <f>IF(J97=0,0,L104/J97)</f>
        <v>340.77799999999996</v>
      </c>
      <c r="L104" s="33">
        <v>8519.4499999999989</v>
      </c>
      <c r="M104" s="51"/>
      <c r="N104" s="33">
        <f>L104-F104</f>
        <v>4559.4499999999989</v>
      </c>
      <c r="O104" s="31"/>
      <c r="P104" s="47"/>
      <c r="Q104" s="33">
        <v>1327</v>
      </c>
      <c r="R104" s="31">
        <f>O104-K104</f>
        <v>-340.77799999999996</v>
      </c>
      <c r="S104" s="34">
        <f>L104-Q104</f>
        <v>7192.4499999999989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9"/>
        <v>Véhicules usagésTotal F&amp;I</v>
      </c>
      <c r="B105" s="11" t="s">
        <v>70</v>
      </c>
      <c r="C105" s="35" t="s">
        <v>27</v>
      </c>
      <c r="D105" s="36">
        <f>D97</f>
        <v>18</v>
      </c>
      <c r="E105" s="30">
        <f t="shared" si="32"/>
        <v>1450</v>
      </c>
      <c r="F105" s="37">
        <f>F102+F103+F104</f>
        <v>26100</v>
      </c>
      <c r="G105" s="38"/>
      <c r="H105" s="36"/>
      <c r="I105" s="37"/>
      <c r="J105" s="38">
        <f>J97</f>
        <v>25</v>
      </c>
      <c r="K105" s="36">
        <f>IF(J105&lt;=0,0,L105/J105)</f>
        <v>1768.9379999999999</v>
      </c>
      <c r="L105" s="37">
        <f>L102+L103+L104</f>
        <v>44223.45</v>
      </c>
      <c r="M105" s="31">
        <f>J105-D105</f>
        <v>7</v>
      </c>
      <c r="N105" s="37">
        <f>L105-F105</f>
        <v>18123.449999999997</v>
      </c>
      <c r="O105" s="38">
        <f>O97</f>
        <v>19</v>
      </c>
      <c r="P105" s="36">
        <f t="shared" ref="P105" si="33">IF(O105=0,0,Q105/O105)</f>
        <v>1020.7347368421052</v>
      </c>
      <c r="Q105" s="37">
        <f>Q102+Q103+Q104</f>
        <v>19393.96</v>
      </c>
      <c r="R105" s="56"/>
      <c r="S105" s="39">
        <f>L105-Q105</f>
        <v>24829.489999999998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9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0.69438505747126422</v>
      </c>
      <c r="O106" s="41"/>
      <c r="P106" s="13"/>
      <c r="Q106" s="59"/>
      <c r="R106" s="60"/>
      <c r="S106" s="44">
        <f>IF(Q105=0,0,(S105/Q105))</f>
        <v>1.2802692178389561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9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9"/>
        <v>Véhicules usagésTotal Dépt. Usagés</v>
      </c>
      <c r="B108" s="11" t="s">
        <v>70</v>
      </c>
      <c r="C108" s="62" t="s">
        <v>76</v>
      </c>
      <c r="D108" s="63">
        <f>D97+D100</f>
        <v>37</v>
      </c>
      <c r="E108" s="67">
        <f>IF(D108&lt;=0,0,F108/D108)</f>
        <v>1760.8108108108108</v>
      </c>
      <c r="F108" s="65">
        <f>F97+F105+F100</f>
        <v>65150</v>
      </c>
      <c r="G108" s="66"/>
      <c r="H108" s="67"/>
      <c r="I108" s="65"/>
      <c r="J108" s="66">
        <f>J97+J100</f>
        <v>36</v>
      </c>
      <c r="K108" s="67">
        <f>IF(J108&lt;=0,0,L108/J108)</f>
        <v>2466.6552777777779</v>
      </c>
      <c r="L108" s="65">
        <f>L97+L105+L100</f>
        <v>88799.590000000011</v>
      </c>
      <c r="M108" s="66">
        <f>J108-D108</f>
        <v>-1</v>
      </c>
      <c r="N108" s="65">
        <f>L108-F108</f>
        <v>23649.590000000011</v>
      </c>
      <c r="O108" s="66">
        <f>O97+O100</f>
        <v>46</v>
      </c>
      <c r="P108" s="67">
        <f>IF(O108&lt;=0,0,Q108/O108)</f>
        <v>1195.3995652173883</v>
      </c>
      <c r="Q108" s="65">
        <f>Q97+Q105+Q100</f>
        <v>54988.379999999859</v>
      </c>
      <c r="R108" s="66">
        <f>J108-O108</f>
        <v>-10</v>
      </c>
      <c r="S108" s="68">
        <f>L108-Q108</f>
        <v>33811.210000000152</v>
      </c>
      <c r="T108" s="13"/>
      <c r="U108" s="13"/>
      <c r="V108" s="11" t="s">
        <v>221</v>
      </c>
      <c r="W108" s="497">
        <v>97750</v>
      </c>
      <c r="X108" s="490">
        <f>L108-W108</f>
        <v>-8950.4099999999889</v>
      </c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9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-2.7027027027027029E-2</v>
      </c>
      <c r="N109" s="74">
        <f>N108/F108</f>
        <v>0.36300214888718357</v>
      </c>
      <c r="O109" s="72"/>
      <c r="P109" s="70"/>
      <c r="Q109" s="71"/>
      <c r="R109" s="73">
        <f>O108/R108</f>
        <v>-4.5999999999999996</v>
      </c>
      <c r="S109" s="145">
        <f>IF(Q108=0,0,(S108/Q108))</f>
        <v>0.61487917992856378</v>
      </c>
      <c r="T109" s="13"/>
      <c r="U109" s="13"/>
      <c r="V109" s="13"/>
      <c r="W109" s="498">
        <v>25</v>
      </c>
      <c r="X109" s="30">
        <f>J97-W109</f>
        <v>0</v>
      </c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9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9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9"/>
        <v>Véhicules usagésComm. vendeurs</v>
      </c>
      <c r="B112" s="11" t="s">
        <v>70</v>
      </c>
      <c r="C112" s="29" t="s">
        <v>30</v>
      </c>
      <c r="D112" s="148">
        <f>F112/(F97+F105)</f>
        <v>0.19118577463405048</v>
      </c>
      <c r="E112" s="82">
        <f t="shared" ref="E112:E121" si="34">F112/D$97</f>
        <v>621.3537675606641</v>
      </c>
      <c r="F112" s="30">
        <v>11184.367816091954</v>
      </c>
      <c r="G112" s="157"/>
      <c r="H112" s="82"/>
      <c r="I112" s="30"/>
      <c r="J112" s="157">
        <f>L112/L97</f>
        <v>0.3751390258632718</v>
      </c>
      <c r="K112" s="82">
        <f>IF($J$97=0,0,L112/(J$94+J$95+J96))</f>
        <v>697.92560000000003</v>
      </c>
      <c r="L112" s="33">
        <v>17448.14</v>
      </c>
      <c r="M112" s="41"/>
      <c r="N112" s="59">
        <f t="shared" ref="N112:N153" si="35">L112-F112</f>
        <v>6263.7721839080459</v>
      </c>
      <c r="O112" s="157">
        <f>Q112/Q97</f>
        <v>0.32761767865958247</v>
      </c>
      <c r="P112" s="82">
        <f t="shared" ref="P112:P121" si="36">Q112/O$97</f>
        <v>593.79842105263162</v>
      </c>
      <c r="Q112" s="33">
        <v>11282.17</v>
      </c>
      <c r="R112" s="41"/>
      <c r="S112" s="85">
        <f t="shared" ref="S112:S117" si="37">L112-Q112</f>
        <v>6165.9699999999993</v>
      </c>
      <c r="T112" s="13"/>
      <c r="U112" s="13"/>
      <c r="V112" s="1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9"/>
        <v>Véhicules usagésComm. F&amp;I</v>
      </c>
      <c r="B113" s="11" t="s">
        <v>70</v>
      </c>
      <c r="C113" s="86" t="s">
        <v>31</v>
      </c>
      <c r="D113" s="218">
        <f>F113/(F105+F19)</f>
        <v>0.2465890941421674</v>
      </c>
      <c r="E113" s="88">
        <f t="shared" si="34"/>
        <v>398.75</v>
      </c>
      <c r="F113" s="22">
        <v>7177.5</v>
      </c>
      <c r="G113" s="162"/>
      <c r="H113" s="88"/>
      <c r="I113" s="22"/>
      <c r="J113" s="162">
        <f>L113/L105</f>
        <v>0.26403616181008044</v>
      </c>
      <c r="K113" s="88">
        <f>IF($J$97=0,0,L113/(J$94+J$95+J96))</f>
        <v>467.06360000000001</v>
      </c>
      <c r="L113" s="33">
        <v>11676.59</v>
      </c>
      <c r="M113" s="23"/>
      <c r="N113" s="91">
        <f t="shared" si="35"/>
        <v>4499.09</v>
      </c>
      <c r="O113" s="162">
        <f>Q113/(Q105+Q19)</f>
        <v>0.23294558895472098</v>
      </c>
      <c r="P113" s="88">
        <f t="shared" si="36"/>
        <v>311.26263157894738</v>
      </c>
      <c r="Q113" s="33">
        <v>5913.99</v>
      </c>
      <c r="R113" s="23"/>
      <c r="S113" s="92">
        <f t="shared" si="37"/>
        <v>5762.6</v>
      </c>
      <c r="T113" s="13"/>
      <c r="U113" s="13"/>
      <c r="V113" s="11" t="s">
        <v>279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9"/>
        <v>Véhicules usagésFrais de livraison</v>
      </c>
      <c r="B114" s="11" t="s">
        <v>70</v>
      </c>
      <c r="C114" s="29" t="s">
        <v>32</v>
      </c>
      <c r="D114" s="81"/>
      <c r="E114" s="82">
        <f t="shared" si="34"/>
        <v>90</v>
      </c>
      <c r="F114" s="30">
        <v>1620</v>
      </c>
      <c r="G114" s="83"/>
      <c r="H114" s="82"/>
      <c r="I114" s="30"/>
      <c r="J114" s="41"/>
      <c r="K114" s="82">
        <f>IF($J$97=0,0,L114/(J$94+J$95+J96))</f>
        <v>60.966000000000001</v>
      </c>
      <c r="L114" s="108">
        <v>1524.15</v>
      </c>
      <c r="M114" s="41"/>
      <c r="N114" s="59">
        <f t="shared" si="35"/>
        <v>-95.849999999999909</v>
      </c>
      <c r="O114" s="41"/>
      <c r="P114" s="82">
        <f t="shared" si="36"/>
        <v>124.51684210526317</v>
      </c>
      <c r="Q114" s="108">
        <v>2365.8200000000002</v>
      </c>
      <c r="R114" s="41"/>
      <c r="S114" s="85">
        <f t="shared" si="37"/>
        <v>-841.67000000000007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9"/>
        <v>Véhicules usagésService gratuit 1</v>
      </c>
      <c r="B115" s="11" t="s">
        <v>70</v>
      </c>
      <c r="C115" s="29" t="s">
        <v>33</v>
      </c>
      <c r="D115" s="81"/>
      <c r="E115" s="82">
        <f t="shared" si="34"/>
        <v>94</v>
      </c>
      <c r="F115" s="30">
        <v>1692</v>
      </c>
      <c r="G115" s="83"/>
      <c r="H115" s="82"/>
      <c r="I115" s="30"/>
      <c r="J115" s="41"/>
      <c r="K115" s="82">
        <f>IF($J$97=0,0,L115/(J$94+J$95+J96))</f>
        <v>79.516800000000003</v>
      </c>
      <c r="L115" s="33">
        <v>1987.92</v>
      </c>
      <c r="M115" s="41"/>
      <c r="N115" s="59">
        <f t="shared" si="35"/>
        <v>295.92000000000007</v>
      </c>
      <c r="O115" s="41"/>
      <c r="P115" s="82">
        <f t="shared" si="36"/>
        <v>126.25947368421052</v>
      </c>
      <c r="Q115" s="33">
        <v>2398.9299999999998</v>
      </c>
      <c r="R115" s="41"/>
      <c r="S115" s="85">
        <f t="shared" si="37"/>
        <v>-411.00999999999976</v>
      </c>
      <c r="T115" s="13"/>
      <c r="U115" s="13"/>
      <c r="V115" s="462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9"/>
        <v>Véhicules usagésEntretien stock</v>
      </c>
      <c r="B116" s="11" t="s">
        <v>70</v>
      </c>
      <c r="C116" s="86" t="s">
        <v>34</v>
      </c>
      <c r="D116" s="87"/>
      <c r="E116" s="88">
        <f t="shared" si="34"/>
        <v>104.44444444444444</v>
      </c>
      <c r="F116" s="22">
        <v>1880</v>
      </c>
      <c r="G116" s="89"/>
      <c r="H116" s="88"/>
      <c r="I116" s="22"/>
      <c r="J116" s="23"/>
      <c r="K116" s="88">
        <f>IF($J$97=0,0,L116/(J$94+J$95+J96))</f>
        <v>128.67439999999999</v>
      </c>
      <c r="L116" s="48">
        <v>3216.86</v>
      </c>
      <c r="M116" s="23"/>
      <c r="N116" s="91">
        <f t="shared" si="35"/>
        <v>1336.8600000000001</v>
      </c>
      <c r="O116" s="23"/>
      <c r="P116" s="88">
        <f t="shared" si="36"/>
        <v>84.85368421052631</v>
      </c>
      <c r="Q116" s="48">
        <v>1612.22</v>
      </c>
      <c r="R116" s="23"/>
      <c r="S116" s="92">
        <f t="shared" si="37"/>
        <v>1604.64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9"/>
        <v>Véhicules usagésPublicité 1</v>
      </c>
      <c r="B117" s="11" t="s">
        <v>70</v>
      </c>
      <c r="C117" s="29" t="s">
        <v>35</v>
      </c>
      <c r="D117" s="81"/>
      <c r="E117" s="82">
        <f t="shared" si="34"/>
        <v>379.16666666666669</v>
      </c>
      <c r="F117" s="30">
        <v>6825</v>
      </c>
      <c r="G117" s="83"/>
      <c r="H117" s="82"/>
      <c r="I117" s="30"/>
      <c r="J117" s="41"/>
      <c r="K117" s="82">
        <f>IF($J$97=0,0,L117/(J$94+J$95+J96))</f>
        <v>270.50959999999998</v>
      </c>
      <c r="L117" s="33">
        <v>6762.74</v>
      </c>
      <c r="M117" s="41"/>
      <c r="N117" s="59">
        <f t="shared" si="35"/>
        <v>-62.260000000000218</v>
      </c>
      <c r="O117" s="41"/>
      <c r="P117" s="82">
        <f t="shared" si="36"/>
        <v>122.36947368421052</v>
      </c>
      <c r="Q117" s="33">
        <v>2325.02</v>
      </c>
      <c r="R117" s="41"/>
      <c r="S117" s="85">
        <f t="shared" si="37"/>
        <v>4437.7199999999993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>+B118&amp;C118</f>
        <v>Véhicules usagésIntérêt de gros</v>
      </c>
      <c r="B118" s="11" t="s">
        <v>70</v>
      </c>
      <c r="C118" s="29" t="s">
        <v>36</v>
      </c>
      <c r="D118" s="81"/>
      <c r="E118" s="82">
        <f t="shared" si="34"/>
        <v>266.18618852459014</v>
      </c>
      <c r="F118" s="30">
        <v>4791.3513934426228</v>
      </c>
      <c r="G118" s="83"/>
      <c r="H118" s="82"/>
      <c r="I118" s="30"/>
      <c r="J118" s="41"/>
      <c r="K118" s="82">
        <f>IF($J$97=0,0,L118/(J$94+J$95+J96))</f>
        <v>214.69119999999998</v>
      </c>
      <c r="L118" s="33">
        <v>5367.28</v>
      </c>
      <c r="M118" s="41"/>
      <c r="N118" s="59">
        <f t="shared" si="35"/>
        <v>575.92860655737695</v>
      </c>
      <c r="O118" s="41"/>
      <c r="P118" s="82">
        <f t="shared" si="36"/>
        <v>456.71157894736842</v>
      </c>
      <c r="Q118" s="33">
        <v>8677.52</v>
      </c>
      <c r="R118" s="41"/>
      <c r="S118" s="85">
        <f>L118-Q118</f>
        <v>-3310.2400000000007</v>
      </c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>+B119&amp;C119</f>
        <v>Véhicules usagés[...]</v>
      </c>
      <c r="B119" s="11" t="s">
        <v>70</v>
      </c>
      <c r="C119" s="29" t="s">
        <v>19</v>
      </c>
      <c r="D119" s="81"/>
      <c r="E119" s="82">
        <f t="shared" si="34"/>
        <v>0</v>
      </c>
      <c r="F119" s="30">
        <v>0</v>
      </c>
      <c r="G119" s="83"/>
      <c r="H119" s="82"/>
      <c r="I119" s="30"/>
      <c r="J119" s="41"/>
      <c r="K119" s="82">
        <f t="shared" ref="K119:K121" si="38">IF($J$97=0,0,L119/(J$94+J$95))</f>
        <v>0</v>
      </c>
      <c r="L119" s="33">
        <v>0</v>
      </c>
      <c r="M119" s="41"/>
      <c r="N119" s="59">
        <f t="shared" si="35"/>
        <v>0</v>
      </c>
      <c r="O119" s="41"/>
      <c r="P119" s="82">
        <f t="shared" si="36"/>
        <v>0</v>
      </c>
      <c r="Q119" s="33"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4"/>
        <v>0</v>
      </c>
      <c r="F120" s="30">
        <v>0</v>
      </c>
      <c r="G120" s="83"/>
      <c r="H120" s="82"/>
      <c r="I120" s="30"/>
      <c r="J120" s="41"/>
      <c r="K120" s="82">
        <f t="shared" si="38"/>
        <v>0</v>
      </c>
      <c r="L120" s="33">
        <v>0</v>
      </c>
      <c r="M120" s="41"/>
      <c r="N120" s="59">
        <f t="shared" si="35"/>
        <v>0</v>
      </c>
      <c r="O120" s="41"/>
      <c r="P120" s="82">
        <f t="shared" si="36"/>
        <v>0</v>
      </c>
      <c r="Q120" s="33"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4"/>
        <v>0</v>
      </c>
      <c r="F121" s="30">
        <v>0</v>
      </c>
      <c r="G121" s="83"/>
      <c r="H121" s="82"/>
      <c r="I121" s="30"/>
      <c r="J121" s="41"/>
      <c r="K121" s="82">
        <f t="shared" si="38"/>
        <v>0</v>
      </c>
      <c r="L121" s="33">
        <v>0</v>
      </c>
      <c r="M121" s="41"/>
      <c r="N121" s="59">
        <f t="shared" si="35"/>
        <v>0</v>
      </c>
      <c r="O121" s="41"/>
      <c r="P121" s="82">
        <f t="shared" si="36"/>
        <v>0</v>
      </c>
      <c r="Q121" s="33">
        <v>0</v>
      </c>
      <c r="R121" s="41"/>
      <c r="S121" s="85">
        <f t="shared" ref="S121:S126" si="39">L121-Q121</f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ref="A122:A126" si="40">+B122&amp;C122</f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0.53983452355386918</v>
      </c>
      <c r="F122" s="96">
        <f>SUM(F112:F121)</f>
        <v>35170.219209534574</v>
      </c>
      <c r="G122" s="97"/>
      <c r="H122" s="95"/>
      <c r="I122" s="96"/>
      <c r="J122" s="97" t="s">
        <v>38</v>
      </c>
      <c r="K122" s="95">
        <f>L122/L$108</f>
        <v>0.54035925165870691</v>
      </c>
      <c r="L122" s="96">
        <f>SUM(L112:L121)</f>
        <v>47983.68</v>
      </c>
      <c r="M122" s="100"/>
      <c r="N122" s="96">
        <f t="shared" si="35"/>
        <v>12813.460790465426</v>
      </c>
      <c r="O122" s="97" t="s">
        <v>38</v>
      </c>
      <c r="P122" s="95">
        <f>Q122/Q$108</f>
        <v>0.6287813898136313</v>
      </c>
      <c r="Q122" s="96">
        <f>SUM(Q112:Q121)</f>
        <v>34575.67</v>
      </c>
      <c r="R122" s="100"/>
      <c r="S122" s="101">
        <f t="shared" si="39"/>
        <v>13408.010000000002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40"/>
        <v>Véhicules usagésSalaires cadres</v>
      </c>
      <c r="B123" s="11" t="s">
        <v>70</v>
      </c>
      <c r="C123" s="102" t="s">
        <v>40</v>
      </c>
      <c r="D123" s="13"/>
      <c r="E123" s="13"/>
      <c r="F123" s="30">
        <v>4935.6145004420869</v>
      </c>
      <c r="G123" s="41"/>
      <c r="H123" s="13"/>
      <c r="I123" s="30"/>
      <c r="J123" s="41"/>
      <c r="K123" s="13"/>
      <c r="L123" s="33">
        <v>6180.53</v>
      </c>
      <c r="M123" s="41"/>
      <c r="N123" s="59">
        <f t="shared" si="35"/>
        <v>1244.9154995579129</v>
      </c>
      <c r="O123" s="41"/>
      <c r="P123" s="13"/>
      <c r="Q123" s="33">
        <v>2909.35</v>
      </c>
      <c r="R123" s="41"/>
      <c r="S123" s="85">
        <f t="shared" si="39"/>
        <v>3271.18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40"/>
        <v>Véhicules usagésSalaires commis</v>
      </c>
      <c r="B124" s="11" t="s">
        <v>70</v>
      </c>
      <c r="C124" s="103" t="s">
        <v>41</v>
      </c>
      <c r="D124" s="81"/>
      <c r="E124" s="13"/>
      <c r="F124" s="22">
        <v>2769.1867816091954</v>
      </c>
      <c r="G124" s="83"/>
      <c r="H124" s="13"/>
      <c r="I124" s="22"/>
      <c r="J124" s="41"/>
      <c r="K124" s="13"/>
      <c r="L124" s="22">
        <v>2757.87</v>
      </c>
      <c r="M124" s="41"/>
      <c r="N124" s="59">
        <f t="shared" si="35"/>
        <v>-11.316781609195459</v>
      </c>
      <c r="O124" s="41"/>
      <c r="P124" s="13"/>
      <c r="Q124" s="22">
        <v>2701.3</v>
      </c>
      <c r="R124" s="41"/>
      <c r="S124" s="85">
        <f t="shared" si="39"/>
        <v>56.569999999999709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40"/>
        <v>Véhicules usagésSalaires autres</v>
      </c>
      <c r="B125" s="11" t="s">
        <v>70</v>
      </c>
      <c r="C125" s="102" t="s">
        <v>42</v>
      </c>
      <c r="D125" s="104"/>
      <c r="E125" s="105"/>
      <c r="F125" s="30">
        <v>2809</v>
      </c>
      <c r="G125" s="106"/>
      <c r="H125" s="105"/>
      <c r="I125" s="30"/>
      <c r="J125" s="107"/>
      <c r="K125" s="105"/>
      <c r="L125" s="33">
        <v>2809</v>
      </c>
      <c r="M125" s="107"/>
      <c r="N125" s="109">
        <f t="shared" si="35"/>
        <v>0</v>
      </c>
      <c r="O125" s="107"/>
      <c r="P125" s="105"/>
      <c r="Q125" s="33">
        <v>2809</v>
      </c>
      <c r="R125" s="107"/>
      <c r="S125" s="110">
        <f t="shared" si="39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 hidden="1">
      <c r="A126" t="str">
        <f t="shared" si="40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35"/>
        <v>0</v>
      </c>
      <c r="O126" s="41"/>
      <c r="P126" s="13"/>
      <c r="Q126" s="33">
        <v>0</v>
      </c>
      <c r="R126" s="41"/>
      <c r="S126" s="85">
        <f t="shared" si="39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>+B127&amp;C127</f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5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5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5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ref="A130:A148" si="41">+B130&amp;C130</f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3525.1782461664598</v>
      </c>
      <c r="G130" s="83"/>
      <c r="H130" s="13"/>
      <c r="I130" s="30"/>
      <c r="J130" s="41"/>
      <c r="K130" s="13"/>
      <c r="L130" s="33">
        <v>4970.03</v>
      </c>
      <c r="M130" s="41"/>
      <c r="N130" s="59">
        <f t="shared" si="35"/>
        <v>1444.85175383354</v>
      </c>
      <c r="O130" s="41"/>
      <c r="P130" s="13"/>
      <c r="Q130" s="33">
        <v>5315.87</v>
      </c>
      <c r="R130" s="41"/>
      <c r="S130" s="85">
        <f>L130-Q130</f>
        <v>-345.84000000000015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41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4054.6522187267901</v>
      </c>
      <c r="G131" s="106"/>
      <c r="H131" s="105"/>
      <c r="I131" s="54"/>
      <c r="J131" s="107"/>
      <c r="K131" s="105"/>
      <c r="L131" s="55">
        <v>5186.22</v>
      </c>
      <c r="M131" s="107"/>
      <c r="N131" s="109">
        <f t="shared" si="35"/>
        <v>1131.5677812732101</v>
      </c>
      <c r="O131" s="107"/>
      <c r="P131" s="105"/>
      <c r="Q131" s="55">
        <v>3396.29</v>
      </c>
      <c r="R131" s="107"/>
      <c r="S131" s="110">
        <f t="shared" ref="S131:S148" si="42">L131-Q131</f>
        <v>1789.9300000000003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41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2118.10190530504</v>
      </c>
      <c r="G132" s="83"/>
      <c r="H132" s="13"/>
      <c r="I132" s="30"/>
      <c r="J132" s="41"/>
      <c r="K132" s="13"/>
      <c r="L132" s="33">
        <v>2416.08</v>
      </c>
      <c r="M132" s="41"/>
      <c r="N132" s="59">
        <f t="shared" si="35"/>
        <v>297.97809469495996</v>
      </c>
      <c r="O132" s="41"/>
      <c r="P132" s="13"/>
      <c r="Q132" s="33">
        <v>2149.19</v>
      </c>
      <c r="R132" s="41"/>
      <c r="S132" s="85">
        <f t="shared" si="42"/>
        <v>266.88999999999987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41"/>
        <v>Véhicules usagésCsst</v>
      </c>
      <c r="B133" s="11" t="s">
        <v>70</v>
      </c>
      <c r="C133" s="102" t="s">
        <v>47</v>
      </c>
      <c r="D133" s="81"/>
      <c r="E133" s="13"/>
      <c r="F133" s="30">
        <v>453.87897970822274</v>
      </c>
      <c r="G133" s="83"/>
      <c r="H133" s="13"/>
      <c r="I133" s="30"/>
      <c r="J133" s="41"/>
      <c r="K133" s="13"/>
      <c r="L133" s="33">
        <v>1281.33</v>
      </c>
      <c r="M133" s="41"/>
      <c r="N133" s="59">
        <f t="shared" si="35"/>
        <v>827.45102029177724</v>
      </c>
      <c r="O133" s="41"/>
      <c r="P133" s="13"/>
      <c r="Q133" s="33">
        <v>637.46</v>
      </c>
      <c r="R133" s="41"/>
      <c r="S133" s="85">
        <f t="shared" si="42"/>
        <v>643.86999999999989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41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35"/>
        <v>0</v>
      </c>
      <c r="O134" s="23"/>
      <c r="P134" s="111"/>
      <c r="Q134" s="33">
        <v>0</v>
      </c>
      <c r="R134" s="23"/>
      <c r="S134" s="92">
        <f t="shared" si="42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41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0.31720050087425627</v>
      </c>
      <c r="F135" s="96">
        <f>+SUM(F123:F134)</f>
        <v>20665.612631957796</v>
      </c>
      <c r="G135" s="97"/>
      <c r="H135" s="95"/>
      <c r="I135" s="96"/>
      <c r="J135" s="97" t="s">
        <v>38</v>
      </c>
      <c r="K135" s="95">
        <f>L135/L$108</f>
        <v>0.28830155634727594</v>
      </c>
      <c r="L135" s="96">
        <f>SUM(L123:L134)</f>
        <v>25601.060000000005</v>
      </c>
      <c r="M135" s="463"/>
      <c r="N135" s="464">
        <f t="shared" si="35"/>
        <v>4935.4473680422088</v>
      </c>
      <c r="O135" s="97" t="s">
        <v>38</v>
      </c>
      <c r="P135" s="95">
        <f>Q135/Q$108</f>
        <v>0.36223034757525224</v>
      </c>
      <c r="Q135" s="96">
        <f>+SUM(Q123:Q134)</f>
        <v>19918.46</v>
      </c>
      <c r="R135" s="147"/>
      <c r="S135" s="114">
        <f t="shared" si="42"/>
        <v>5682.6000000000058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 hidden="1">
      <c r="A136" t="str">
        <f t="shared" si="41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35"/>
        <v>0</v>
      </c>
      <c r="O136" s="41"/>
      <c r="P136" s="13"/>
      <c r="Q136" s="33">
        <v>0</v>
      </c>
      <c r="R136" s="41"/>
      <c r="S136" s="85">
        <f t="shared" si="42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 hidden="1">
      <c r="A137" t="str">
        <f t="shared" si="41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5"/>
        <v>0</v>
      </c>
      <c r="O137" s="41"/>
      <c r="P137" s="13"/>
      <c r="Q137" s="33">
        <v>0</v>
      </c>
      <c r="R137" s="41"/>
      <c r="S137" s="85">
        <f t="shared" si="42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41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943.63333333333344</v>
      </c>
      <c r="G138" s="89"/>
      <c r="H138" s="111"/>
      <c r="I138" s="22"/>
      <c r="J138" s="23"/>
      <c r="K138" s="111"/>
      <c r="L138" s="22">
        <v>944.98</v>
      </c>
      <c r="M138" s="23"/>
      <c r="N138" s="91">
        <f t="shared" si="35"/>
        <v>1.3466666666665787</v>
      </c>
      <c r="O138" s="23"/>
      <c r="P138" s="111"/>
      <c r="Q138" s="22">
        <v>1088.93</v>
      </c>
      <c r="R138" s="23"/>
      <c r="S138" s="92">
        <f t="shared" si="42"/>
        <v>-143.95000000000005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41"/>
        <v>Véhicules usagésInformatique</v>
      </c>
      <c r="B139" s="11" t="s">
        <v>70</v>
      </c>
      <c r="C139" s="29" t="s">
        <v>52</v>
      </c>
      <c r="D139" s="81"/>
      <c r="E139" s="13"/>
      <c r="F139" s="30">
        <v>1425.4</v>
      </c>
      <c r="G139" s="83"/>
      <c r="H139" s="13"/>
      <c r="I139" s="30"/>
      <c r="J139" s="41"/>
      <c r="K139" s="13"/>
      <c r="L139" s="33">
        <v>1418.33</v>
      </c>
      <c r="M139" s="41"/>
      <c r="N139" s="59">
        <f t="shared" si="35"/>
        <v>-7.0700000000001637</v>
      </c>
      <c r="O139" s="41"/>
      <c r="P139" s="13"/>
      <c r="Q139" s="33">
        <v>1618.64</v>
      </c>
      <c r="R139" s="41"/>
      <c r="S139" s="85">
        <f t="shared" si="42"/>
        <v>-200.31000000000017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41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183.33333333333334</v>
      </c>
      <c r="G140" s="83"/>
      <c r="H140" s="13"/>
      <c r="I140" s="30"/>
      <c r="J140" s="41"/>
      <c r="K140" s="13"/>
      <c r="L140" s="33">
        <v>95.44</v>
      </c>
      <c r="M140" s="41"/>
      <c r="N140" s="59">
        <f t="shared" si="35"/>
        <v>-87.893333333333345</v>
      </c>
      <c r="O140" s="41"/>
      <c r="P140" s="13"/>
      <c r="Q140" s="33">
        <v>82.33</v>
      </c>
      <c r="R140" s="41"/>
      <c r="S140" s="85">
        <f t="shared" si="42"/>
        <v>13.11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41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736.6</v>
      </c>
      <c r="G141" s="89"/>
      <c r="H141" s="111"/>
      <c r="I141" s="22"/>
      <c r="J141" s="23"/>
      <c r="K141" s="111"/>
      <c r="L141" s="22">
        <v>553.22</v>
      </c>
      <c r="M141" s="23"/>
      <c r="N141" s="91">
        <f t="shared" si="35"/>
        <v>-183.38</v>
      </c>
      <c r="O141" s="23"/>
      <c r="P141" s="111"/>
      <c r="Q141" s="22">
        <v>1004.86</v>
      </c>
      <c r="R141" s="23"/>
      <c r="S141" s="92">
        <f t="shared" si="42"/>
        <v>-451.64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41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17.5</v>
      </c>
      <c r="G142" s="83"/>
      <c r="H142" s="13"/>
      <c r="I142" s="30"/>
      <c r="J142" s="41"/>
      <c r="K142" s="13"/>
      <c r="L142" s="33">
        <v>30.81</v>
      </c>
      <c r="M142" s="41"/>
      <c r="N142" s="59">
        <f t="shared" si="35"/>
        <v>13.309999999999999</v>
      </c>
      <c r="O142" s="41"/>
      <c r="P142" s="13"/>
      <c r="Q142" s="33">
        <v>0</v>
      </c>
      <c r="R142" s="41"/>
      <c r="S142" s="85">
        <f t="shared" si="42"/>
        <v>30.81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41"/>
        <v>Véhicules usagésUniformes</v>
      </c>
      <c r="B143" s="11" t="s">
        <v>70</v>
      </c>
      <c r="C143" s="29" t="s">
        <v>56</v>
      </c>
      <c r="D143" s="81"/>
      <c r="E143" s="13"/>
      <c r="F143" s="30">
        <v>10</v>
      </c>
      <c r="G143" s="83"/>
      <c r="H143" s="13"/>
      <c r="I143" s="30"/>
      <c r="J143" s="41"/>
      <c r="K143" s="13"/>
      <c r="L143" s="33">
        <v>0</v>
      </c>
      <c r="M143" s="41"/>
      <c r="N143" s="59">
        <f t="shared" si="35"/>
        <v>-10</v>
      </c>
      <c r="O143" s="41"/>
      <c r="P143" s="13"/>
      <c r="Q143" s="33">
        <v>17.350000000000001</v>
      </c>
      <c r="R143" s="41"/>
      <c r="S143" s="85">
        <f t="shared" si="42"/>
        <v>-17.350000000000001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41"/>
        <v>Véhicules usagésPapeterie</v>
      </c>
      <c r="B144" s="11" t="s">
        <v>70</v>
      </c>
      <c r="C144" s="29" t="s">
        <v>57</v>
      </c>
      <c r="D144" s="81"/>
      <c r="E144" s="13"/>
      <c r="F144" s="30">
        <v>157.5</v>
      </c>
      <c r="G144" s="83"/>
      <c r="H144" s="13"/>
      <c r="I144" s="30"/>
      <c r="J144" s="41"/>
      <c r="K144" s="13"/>
      <c r="L144" s="32">
        <v>163.36000000000001</v>
      </c>
      <c r="M144" s="41"/>
      <c r="N144" s="59">
        <f t="shared" si="35"/>
        <v>5.8600000000000136</v>
      </c>
      <c r="O144" s="41"/>
      <c r="P144" s="13"/>
      <c r="Q144" s="32">
        <v>111.73</v>
      </c>
      <c r="R144" s="41"/>
      <c r="S144" s="85">
        <f t="shared" si="42"/>
        <v>51.63000000000001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41"/>
        <v>Véhicules usagésTéléphone</v>
      </c>
      <c r="B145" s="11" t="s">
        <v>70</v>
      </c>
      <c r="C145" s="29" t="s">
        <v>58</v>
      </c>
      <c r="D145" s="81"/>
      <c r="E145" s="13"/>
      <c r="F145" s="30">
        <v>63.2</v>
      </c>
      <c r="G145" s="83"/>
      <c r="H145" s="13"/>
      <c r="I145" s="30"/>
      <c r="J145" s="41"/>
      <c r="K145" s="13"/>
      <c r="L145" s="33">
        <v>60.38</v>
      </c>
      <c r="M145" s="41"/>
      <c r="N145" s="59">
        <f t="shared" si="35"/>
        <v>-2.8200000000000003</v>
      </c>
      <c r="O145" s="41"/>
      <c r="P145" s="13"/>
      <c r="Q145" s="33">
        <v>104.99</v>
      </c>
      <c r="R145" s="41"/>
      <c r="S145" s="85">
        <f t="shared" si="42"/>
        <v>-44.609999999999992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41"/>
        <v>Véhicules usagésFrais postaux</v>
      </c>
      <c r="B146" s="11" t="s">
        <v>70</v>
      </c>
      <c r="C146" s="29" t="s">
        <v>59</v>
      </c>
      <c r="D146" s="81"/>
      <c r="E146" s="13"/>
      <c r="F146" s="30">
        <v>45</v>
      </c>
      <c r="G146" s="83"/>
      <c r="H146" s="13"/>
      <c r="I146" s="30"/>
      <c r="J146" s="41"/>
      <c r="K146" s="13"/>
      <c r="L146" s="33">
        <v>221.08</v>
      </c>
      <c r="M146" s="41"/>
      <c r="N146" s="59">
        <f t="shared" si="35"/>
        <v>176.08</v>
      </c>
      <c r="O146" s="41"/>
      <c r="P146" s="13"/>
      <c r="Q146" s="33">
        <v>302.58999999999997</v>
      </c>
      <c r="R146" s="41"/>
      <c r="S146" s="85">
        <f t="shared" si="42"/>
        <v>-81.509999999999962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41"/>
        <v>Véhicules usagésDivers</v>
      </c>
      <c r="B147" s="11" t="s">
        <v>70</v>
      </c>
      <c r="C147" s="29" t="s">
        <v>60</v>
      </c>
      <c r="D147" s="81"/>
      <c r="E147" s="13"/>
      <c r="F147" s="30">
        <v>174.10000000000002</v>
      </c>
      <c r="G147" s="83"/>
      <c r="H147" s="13"/>
      <c r="I147" s="30"/>
      <c r="J147" s="41"/>
      <c r="K147" s="13"/>
      <c r="L147" s="33">
        <v>406.11</v>
      </c>
      <c r="M147" s="41"/>
      <c r="N147" s="59">
        <f t="shared" si="35"/>
        <v>232.01</v>
      </c>
      <c r="O147" s="41"/>
      <c r="P147" s="13"/>
      <c r="Q147" s="33">
        <v>144.6</v>
      </c>
      <c r="R147" s="41"/>
      <c r="S147" s="85">
        <f t="shared" si="42"/>
        <v>261.51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41"/>
        <v>Véhicules usagésFormation</v>
      </c>
      <c r="B148" s="11" t="s">
        <v>70</v>
      </c>
      <c r="C148" s="29" t="s">
        <v>61</v>
      </c>
      <c r="D148" s="81"/>
      <c r="E148" s="13"/>
      <c r="F148" s="30">
        <v>124.04077999999998</v>
      </c>
      <c r="G148" s="83"/>
      <c r="H148" s="13"/>
      <c r="I148" s="30"/>
      <c r="J148" s="41"/>
      <c r="K148" s="13"/>
      <c r="L148" s="59">
        <v>115</v>
      </c>
      <c r="M148" s="41"/>
      <c r="N148" s="59">
        <f t="shared" si="35"/>
        <v>-9.0407799999999838</v>
      </c>
      <c r="O148" s="41"/>
      <c r="P148" s="13"/>
      <c r="Q148" s="33">
        <v>-10.73</v>
      </c>
      <c r="R148" s="41"/>
      <c r="S148" s="85">
        <f t="shared" si="42"/>
        <v>125.73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>+B149&amp;C149</f>
        <v>Véhicules usagésFrais bancaires</v>
      </c>
      <c r="B149" s="11" t="s">
        <v>70</v>
      </c>
      <c r="C149" s="29" t="s">
        <v>62</v>
      </c>
      <c r="D149" s="81"/>
      <c r="E149" s="13"/>
      <c r="F149" s="30">
        <v>657.80970558663012</v>
      </c>
      <c r="G149" s="83"/>
      <c r="H149" s="13"/>
      <c r="I149" s="30"/>
      <c r="J149" s="41"/>
      <c r="K149" s="13"/>
      <c r="L149" s="33">
        <v>585.38</v>
      </c>
      <c r="M149" s="41"/>
      <c r="N149" s="59">
        <f t="shared" si="35"/>
        <v>-72.429705586630121</v>
      </c>
      <c r="O149" s="41"/>
      <c r="P149" s="13"/>
      <c r="Q149" s="33">
        <v>547.04</v>
      </c>
      <c r="R149" s="41"/>
      <c r="S149" s="85">
        <f>L149-Q149</f>
        <v>38.340000000000032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>+B150&amp;C150</f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35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5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5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ref="A153:A158" si="43">+B153&amp;C153</f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6.96564413239186E-2</v>
      </c>
      <c r="F153" s="96">
        <f>+SUM(F136:F152)</f>
        <v>4538.1171522532968</v>
      </c>
      <c r="G153" s="97"/>
      <c r="H153" s="95"/>
      <c r="I153" s="96"/>
      <c r="J153" s="97" t="s">
        <v>38</v>
      </c>
      <c r="K153" s="95">
        <f>L153/L$108</f>
        <v>5.1735486616548559E-2</v>
      </c>
      <c r="L153" s="96">
        <f>+SUM(L136:L152)</f>
        <v>4594.09</v>
      </c>
      <c r="M153" s="100"/>
      <c r="N153" s="96">
        <f t="shared" si="35"/>
        <v>55.972847746703337</v>
      </c>
      <c r="O153" s="97" t="s">
        <v>38</v>
      </c>
      <c r="P153" s="95">
        <f>Q153/Q$108</f>
        <v>9.1152530771046791E-2</v>
      </c>
      <c r="Q153" s="96">
        <f>+SUM(Q136:Q152)</f>
        <v>5012.3300000000008</v>
      </c>
      <c r="R153" s="100"/>
      <c r="S153" s="101">
        <f>L153-Q153</f>
        <v>-418.24000000000069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43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43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0.92669146575204397</v>
      </c>
      <c r="F155" s="96">
        <f>F122+F135+F153</f>
        <v>60373.948993745667</v>
      </c>
      <c r="G155" s="97"/>
      <c r="H155" s="95"/>
      <c r="I155" s="96"/>
      <c r="J155" s="97" t="s">
        <v>38</v>
      </c>
      <c r="K155" s="95">
        <f>L155/L$108</f>
        <v>0.88039629462253144</v>
      </c>
      <c r="L155" s="96">
        <f>L122+L135+L153</f>
        <v>78178.83</v>
      </c>
      <c r="M155" s="100"/>
      <c r="N155" s="113">
        <f t="shared" ref="N155:N162" si="44">L155-F155</f>
        <v>17804.881006254334</v>
      </c>
      <c r="O155" s="97" t="s">
        <v>38</v>
      </c>
      <c r="P155" s="95">
        <f>Q155/Q$108</f>
        <v>1.0821642681599304</v>
      </c>
      <c r="Q155" s="96">
        <f>Q122+Q135+Q153</f>
        <v>59506.46</v>
      </c>
      <c r="R155" s="100"/>
      <c r="S155" s="114">
        <f t="shared" ref="S155:S162" si="45">L155-Q155</f>
        <v>18672.370000000003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43"/>
        <v>Véhicules usagésRBSC used</v>
      </c>
      <c r="B156" s="11" t="s">
        <v>70</v>
      </c>
      <c r="C156" s="29" t="s">
        <v>218</v>
      </c>
      <c r="D156" s="149"/>
      <c r="E156" s="150"/>
      <c r="F156" s="30">
        <v>2250</v>
      </c>
      <c r="G156" s="151"/>
      <c r="H156" s="150"/>
      <c r="I156" s="30"/>
      <c r="J156" s="151"/>
      <c r="K156" s="150"/>
      <c r="L156" s="32">
        <v>1400</v>
      </c>
      <c r="M156" s="41"/>
      <c r="N156" s="59">
        <f t="shared" si="44"/>
        <v>-850</v>
      </c>
      <c r="O156" s="151"/>
      <c r="P156" s="150"/>
      <c r="Q156" s="33">
        <v>3375</v>
      </c>
      <c r="R156" s="41"/>
      <c r="S156" s="85">
        <f t="shared" si="45"/>
        <v>-1975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43"/>
        <v>Véhicules usagésProgramme 360</v>
      </c>
      <c r="B157" s="11" t="s">
        <v>70</v>
      </c>
      <c r="C157" s="29" t="s">
        <v>219</v>
      </c>
      <c r="D157" s="149"/>
      <c r="E157" s="150"/>
      <c r="F157" s="30">
        <v>804</v>
      </c>
      <c r="G157" s="151"/>
      <c r="H157" s="150"/>
      <c r="I157" s="30"/>
      <c r="J157" s="151"/>
      <c r="K157" s="150"/>
      <c r="L157" s="33">
        <v>0</v>
      </c>
      <c r="M157" s="41"/>
      <c r="N157" s="59">
        <f t="shared" si="44"/>
        <v>-804</v>
      </c>
      <c r="O157" s="151"/>
      <c r="P157" s="150"/>
      <c r="Q157" s="33">
        <v>0</v>
      </c>
      <c r="R157" s="41"/>
      <c r="S157" s="85">
        <f t="shared" si="45"/>
        <v>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43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44"/>
        <v>0</v>
      </c>
      <c r="O158" s="41"/>
      <c r="P158" s="13"/>
      <c r="Q158" s="33">
        <v>0</v>
      </c>
      <c r="R158" s="41"/>
      <c r="S158" s="85">
        <f t="shared" si="45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8889.2999999999993</v>
      </c>
      <c r="G159" s="83"/>
      <c r="H159" s="13"/>
      <c r="I159" s="30"/>
      <c r="J159" s="41"/>
      <c r="K159" s="13"/>
      <c r="L159" s="32">
        <v>14280</v>
      </c>
      <c r="M159" s="41"/>
      <c r="N159" s="59">
        <f t="shared" si="44"/>
        <v>5390.7000000000007</v>
      </c>
      <c r="O159" s="41"/>
      <c r="P159" s="13"/>
      <c r="Q159" s="33">
        <v>9520</v>
      </c>
      <c r="R159" s="41"/>
      <c r="S159" s="85">
        <f t="shared" si="45"/>
        <v>4760</v>
      </c>
      <c r="T159" s="112"/>
      <c r="U159" s="13"/>
      <c r="V159" s="11">
        <f>L159/595</f>
        <v>24</v>
      </c>
      <c r="W159" s="489">
        <f>V159/J97</f>
        <v>0.96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4"/>
        <v>0</v>
      </c>
      <c r="O160" s="41"/>
      <c r="P160" s="13"/>
      <c r="Q160" s="33">
        <v>0</v>
      </c>
      <c r="R160" s="41"/>
      <c r="S160" s="85">
        <f t="shared" si="45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4"/>
        <v>0</v>
      </c>
      <c r="O161" s="41"/>
      <c r="P161" s="13"/>
      <c r="Q161" s="33">
        <v>0</v>
      </c>
      <c r="R161" s="41"/>
      <c r="S161" s="85">
        <f t="shared" si="45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4"/>
        <v>0</v>
      </c>
      <c r="O162" s="41"/>
      <c r="P162" s="13"/>
      <c r="Q162" s="33">
        <v>0</v>
      </c>
      <c r="R162" s="41"/>
      <c r="S162" s="85">
        <f t="shared" si="45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11943.3</v>
      </c>
      <c r="G163" s="97"/>
      <c r="H163" s="95"/>
      <c r="I163" s="96"/>
      <c r="J163" s="97"/>
      <c r="K163" s="95"/>
      <c r="L163" s="96">
        <f>+SUM(L156:L162)</f>
        <v>15680</v>
      </c>
      <c r="M163" s="100"/>
      <c r="N163" s="96">
        <f>SUM(N156:N159)</f>
        <v>3736.7000000000007</v>
      </c>
      <c r="O163" s="97"/>
      <c r="P163" s="95"/>
      <c r="Q163" s="96">
        <f>+SUM(Q156:Q162)</f>
        <v>12895</v>
      </c>
      <c r="R163" s="100"/>
      <c r="S163" s="101">
        <f>+SUM(S156:S162)</f>
        <v>2785</v>
      </c>
      <c r="T163" s="11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16719.351006254332</v>
      </c>
      <c r="G165" s="153"/>
      <c r="H165" s="125"/>
      <c r="I165" s="127"/>
      <c r="J165" s="154"/>
      <c r="K165" s="126"/>
      <c r="L165" s="127">
        <f>L108-L155+L163</f>
        <v>26300.760000000009</v>
      </c>
      <c r="M165" s="154"/>
      <c r="N165" s="127">
        <f>L165-F165</f>
        <v>9581.4089937456774</v>
      </c>
      <c r="O165" s="154"/>
      <c r="P165" s="126"/>
      <c r="Q165" s="127">
        <f>Q108-Q155+Q163</f>
        <v>8376.91999999986</v>
      </c>
      <c r="R165" s="154"/>
      <c r="S165" s="129">
        <f>L165-Q165</f>
        <v>17923.840000000149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Juin 2025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507" t="s">
        <v>5</v>
      </c>
      <c r="E170" s="508"/>
      <c r="F170" s="509"/>
      <c r="G170" s="510"/>
      <c r="H170" s="508"/>
      <c r="I170" s="509"/>
      <c r="J170" s="510" t="s">
        <v>7</v>
      </c>
      <c r="K170" s="508"/>
      <c r="L170" s="509"/>
      <c r="M170" s="510" t="s">
        <v>213</v>
      </c>
      <c r="N170" s="509"/>
      <c r="O170" s="507" t="s">
        <v>8</v>
      </c>
      <c r="P170" s="508"/>
      <c r="Q170" s="509"/>
      <c r="R170" s="505" t="s">
        <v>214</v>
      </c>
      <c r="S170" s="506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16" si="46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46"/>
        <v>ServiceM/O Client</v>
      </c>
      <c r="B172" s="11" t="s">
        <v>78</v>
      </c>
      <c r="C172" s="29" t="s">
        <v>81</v>
      </c>
      <c r="D172" s="491">
        <v>191.01536724403653</v>
      </c>
      <c r="E172" s="82">
        <v>64945.22486297242</v>
      </c>
      <c r="F172" s="82">
        <v>50917.056292570378</v>
      </c>
      <c r="G172" s="156"/>
      <c r="H172" s="82"/>
      <c r="I172" s="82"/>
      <c r="J172" s="60">
        <v>158</v>
      </c>
      <c r="K172" s="30">
        <v>59393.53</v>
      </c>
      <c r="L172" s="33">
        <v>48037.3</v>
      </c>
      <c r="M172" s="157">
        <f>(K172-E172)/E172</f>
        <v>-8.5482726015437036E-2</v>
      </c>
      <c r="N172" s="59">
        <f>L172-F172</f>
        <v>-2879.7562925703751</v>
      </c>
      <c r="O172" s="60">
        <v>157</v>
      </c>
      <c r="P172" s="30">
        <v>53893.73</v>
      </c>
      <c r="Q172" s="33">
        <v>42144.95</v>
      </c>
      <c r="R172" s="157">
        <f>IF(O172=0,0,J172/O172)</f>
        <v>1.0063694267515924</v>
      </c>
      <c r="S172" s="85">
        <f>L172-Q172</f>
        <v>5892.3500000000058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46"/>
        <v>Service% profit / ventes</v>
      </c>
      <c r="B173" s="11" t="s">
        <v>78</v>
      </c>
      <c r="C173" s="29" t="s">
        <v>82</v>
      </c>
      <c r="D173" s="491"/>
      <c r="E173" s="144"/>
      <c r="F173" s="158">
        <f>F172/E172</f>
        <v>0.78400000000000003</v>
      </c>
      <c r="G173" s="41"/>
      <c r="H173" s="144"/>
      <c r="I173" s="158"/>
      <c r="J173" s="60"/>
      <c r="K173" s="13"/>
      <c r="L173" s="158">
        <f>IF(L172=0,0,L172/K172)</f>
        <v>0.80879685043135174</v>
      </c>
      <c r="M173" s="157"/>
      <c r="N173" s="59"/>
      <c r="O173" s="60"/>
      <c r="P173" s="13"/>
      <c r="Q173" s="158">
        <f>Q172/P172</f>
        <v>0.78200098601451407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46"/>
        <v>Service</v>
      </c>
      <c r="B174" s="11" t="s">
        <v>78</v>
      </c>
      <c r="C174" s="86"/>
      <c r="D174" s="492"/>
      <c r="E174" s="159">
        <f>IFERROR(E172/D172,0)</f>
        <v>340</v>
      </c>
      <c r="F174" s="160"/>
      <c r="G174" s="23"/>
      <c r="H174" s="159"/>
      <c r="I174" s="160"/>
      <c r="J174" s="161"/>
      <c r="K174" s="465">
        <f>IFERROR(K172/J172,0)</f>
        <v>375.90841772151896</v>
      </c>
      <c r="L174" s="160"/>
      <c r="M174" s="162"/>
      <c r="N174" s="91"/>
      <c r="O174" s="161"/>
      <c r="P174" s="465">
        <f>IFERROR(P172/O172,0)</f>
        <v>343.27216560509555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46"/>
        <v>ServiceM/O Garantie</v>
      </c>
      <c r="B175" s="11" t="s">
        <v>78</v>
      </c>
      <c r="C175" s="14" t="s">
        <v>83</v>
      </c>
      <c r="D175" s="493">
        <v>193.47905926431406</v>
      </c>
      <c r="E175" s="82">
        <v>28247.942652589849</v>
      </c>
      <c r="F175" s="82">
        <v>18078.683297657502</v>
      </c>
      <c r="G175" s="164"/>
      <c r="H175" s="82"/>
      <c r="I175" s="82"/>
      <c r="J175" s="164">
        <v>251</v>
      </c>
      <c r="K175" s="165">
        <v>50362.03</v>
      </c>
      <c r="L175" s="33">
        <v>35338.44</v>
      </c>
      <c r="M175" s="157">
        <f>(K175-E175)/E175</f>
        <v>0.78285656479066346</v>
      </c>
      <c r="N175" s="109">
        <f>L175-F175</f>
        <v>17259.7567023425</v>
      </c>
      <c r="O175" s="164">
        <v>170</v>
      </c>
      <c r="P175" s="165">
        <v>28704.47</v>
      </c>
      <c r="Q175" s="33">
        <v>19244.02</v>
      </c>
      <c r="R175" s="157">
        <f>IF(O175=0,0,J175/O175)</f>
        <v>1.4764705882352942</v>
      </c>
      <c r="S175" s="85">
        <f>L175-Q175</f>
        <v>16094.420000000002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46"/>
        <v>Service% profit / ventes</v>
      </c>
      <c r="B176" s="11" t="s">
        <v>78</v>
      </c>
      <c r="C176" s="29" t="s">
        <v>82</v>
      </c>
      <c r="D176" s="491"/>
      <c r="E176" s="13"/>
      <c r="F176" s="158">
        <f>F175/E175</f>
        <v>0.64</v>
      </c>
      <c r="G176" s="41"/>
      <c r="H176" s="13"/>
      <c r="I176" s="158"/>
      <c r="J176" s="41"/>
      <c r="K176" s="13"/>
      <c r="L176" s="158">
        <f>IF(L175=0,0,L175/K175)</f>
        <v>0.70168815673236373</v>
      </c>
      <c r="M176" s="42"/>
      <c r="N176" s="43"/>
      <c r="O176" s="41"/>
      <c r="P176" s="13"/>
      <c r="Q176" s="158">
        <f>Q175/P175</f>
        <v>0.67041892778372147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46"/>
        <v>Service</v>
      </c>
      <c r="B177" s="11" t="s">
        <v>78</v>
      </c>
      <c r="C177" s="86"/>
      <c r="D177" s="492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>
        <f>IFERROR(P175/O175,0)</f>
        <v>168.84982352941176</v>
      </c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46"/>
        <v>ServiceM/O Interne</v>
      </c>
      <c r="B178" s="11" t="s">
        <v>78</v>
      </c>
      <c r="C178" s="29" t="s">
        <v>84</v>
      </c>
      <c r="D178" s="491">
        <v>175.35485044255384</v>
      </c>
      <c r="E178" s="82">
        <v>42085.164106212927</v>
      </c>
      <c r="F178" s="82">
        <v>28407.485771693729</v>
      </c>
      <c r="G178" s="41"/>
      <c r="H178" s="82"/>
      <c r="I178" s="82"/>
      <c r="J178" s="60">
        <v>173</v>
      </c>
      <c r="K178" s="165">
        <v>76166.460000000006</v>
      </c>
      <c r="L178" s="33">
        <v>61651.01</v>
      </c>
      <c r="M178" s="157">
        <f>(K178-E178)/E178</f>
        <v>0.8098173457937341</v>
      </c>
      <c r="N178" s="59">
        <f>L178-F178</f>
        <v>33243.524228306269</v>
      </c>
      <c r="O178" s="60">
        <v>145</v>
      </c>
      <c r="P178" s="165">
        <v>32149.02</v>
      </c>
      <c r="Q178" s="33">
        <v>19018.77</v>
      </c>
      <c r="R178" s="157">
        <f>IF(O178=0,0,J178/O178)</f>
        <v>1.193103448275862</v>
      </c>
      <c r="S178" s="85">
        <f>L178-Q178</f>
        <v>42632.240000000005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46"/>
        <v>Service% profit / ventes</v>
      </c>
      <c r="B179" s="11" t="s">
        <v>78</v>
      </c>
      <c r="C179" s="29" t="s">
        <v>82</v>
      </c>
      <c r="D179" s="491"/>
      <c r="E179" s="144"/>
      <c r="F179" s="158">
        <f>F178/E178</f>
        <v>0.67500000000000004</v>
      </c>
      <c r="G179" s="41"/>
      <c r="H179" s="144"/>
      <c r="I179" s="158"/>
      <c r="J179" s="60"/>
      <c r="K179" s="144"/>
      <c r="L179" s="158">
        <f>IF(L178=0,0,L178/K178)</f>
        <v>0.8094246470165477</v>
      </c>
      <c r="M179" s="157"/>
      <c r="N179" s="59">
        <f>L179-F179</f>
        <v>0.13442464701654766</v>
      </c>
      <c r="O179" s="60"/>
      <c r="P179" s="144"/>
      <c r="Q179" s="158">
        <f>Q178/P178</f>
        <v>0.59158164074674746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46"/>
        <v>Service</v>
      </c>
      <c r="B180" s="11" t="s">
        <v>78</v>
      </c>
      <c r="C180" s="29"/>
      <c r="D180" s="491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>
        <f>IFERROR(P178/O178,0)</f>
        <v>221.71737931034482</v>
      </c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46"/>
        <v>ServiceM/O Esthétique</v>
      </c>
      <c r="B181" s="11" t="s">
        <v>78</v>
      </c>
      <c r="C181" s="14" t="s">
        <v>85</v>
      </c>
      <c r="D181" s="493">
        <v>59.560397210779449</v>
      </c>
      <c r="E181" s="82">
        <v>11912.079442155889</v>
      </c>
      <c r="F181" s="82">
        <v>4764.8317768623556</v>
      </c>
      <c r="G181" s="107"/>
      <c r="H181" s="82"/>
      <c r="I181" s="82"/>
      <c r="J181" s="164">
        <v>37</v>
      </c>
      <c r="K181" s="165">
        <v>7395.25</v>
      </c>
      <c r="L181" s="108">
        <v>5104.9699999999993</v>
      </c>
      <c r="M181" s="173">
        <f>IF(E181=0,0,(K181-E181)/E181)</f>
        <v>-0.37918060101002971</v>
      </c>
      <c r="N181" s="109">
        <f>L181-F181</f>
        <v>340.13822313764376</v>
      </c>
      <c r="O181" s="164">
        <v>47</v>
      </c>
      <c r="P181" s="165">
        <v>9411.9299999999894</v>
      </c>
      <c r="Q181" s="108">
        <v>3425.9399999999901</v>
      </c>
      <c r="R181" s="157">
        <f>IF(O181=0,0,J181/O181)</f>
        <v>0.78723404255319152</v>
      </c>
      <c r="S181" s="110">
        <f>L181-Q181</f>
        <v>1679.0300000000093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46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0.39999999999999997</v>
      </c>
      <c r="G182" s="78"/>
      <c r="H182" s="174"/>
      <c r="I182" s="158"/>
      <c r="J182" s="175"/>
      <c r="K182" s="174"/>
      <c r="L182" s="158">
        <f>IF(L181=0,0,L181/K181)</f>
        <v>0.69030391129441182</v>
      </c>
      <c r="M182" s="60">
        <f>J182-D182</f>
        <v>0</v>
      </c>
      <c r="N182" s="176"/>
      <c r="O182" s="175"/>
      <c r="P182" s="174"/>
      <c r="Q182" s="158">
        <f>IFERROR(Q181/P181,0)</f>
        <v>0.36399973225470161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46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>
        <f>IFERROR(P181/O181,0)</f>
        <v>200.25382978723383</v>
      </c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46"/>
        <v>ServiceAjustement M/O</v>
      </c>
      <c r="B184" s="11" t="s">
        <v>78</v>
      </c>
      <c r="C184" s="29" t="s">
        <v>86</v>
      </c>
      <c r="D184" s="13"/>
      <c r="E184" s="13"/>
      <c r="F184" s="59">
        <v>-2869.5791746708996</v>
      </c>
      <c r="G184" s="41"/>
      <c r="H184" s="82"/>
      <c r="I184" s="82"/>
      <c r="J184" s="60"/>
      <c r="K184" s="82"/>
      <c r="L184" s="82">
        <v>-1666.92</v>
      </c>
      <c r="M184" s="175"/>
      <c r="N184" s="59">
        <f>L184-F184</f>
        <v>1202.6591746708996</v>
      </c>
      <c r="O184" s="60"/>
      <c r="P184" s="82"/>
      <c r="Q184" s="82">
        <v>-1991.54</v>
      </c>
      <c r="R184" s="184"/>
      <c r="S184" s="85">
        <f>L184-Q184</f>
        <v>324.61999999999989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46"/>
        <v>ServiceSous-total M/O</v>
      </c>
      <c r="B185" s="11" t="s">
        <v>78</v>
      </c>
      <c r="C185" s="185" t="s">
        <v>87</v>
      </c>
      <c r="D185" s="186">
        <f>D172+D175+D178+D181+D184</f>
        <v>619.40967416168382</v>
      </c>
      <c r="E185" s="186">
        <f>E172+E175+E178+E181+E184</f>
        <v>147190.4110639311</v>
      </c>
      <c r="F185" s="187">
        <f>F172+F175+F178+F181+F184</f>
        <v>99298.477964113059</v>
      </c>
      <c r="G185" s="188"/>
      <c r="H185" s="186"/>
      <c r="I185" s="187"/>
      <c r="J185" s="188">
        <f>J172+J175+J178+J181+J184</f>
        <v>619</v>
      </c>
      <c r="K185" s="186">
        <f>K172+K175+K178+K181+K184</f>
        <v>193317.27000000002</v>
      </c>
      <c r="L185" s="187">
        <f>L172+L175+L178+L181+L184</f>
        <v>148464.79999999999</v>
      </c>
      <c r="M185" s="189">
        <f>(K185-E185)/E185</f>
        <v>0.31338222784114689</v>
      </c>
      <c r="N185" s="187">
        <f>L185-F185</f>
        <v>49166.322035886929</v>
      </c>
      <c r="O185" s="188">
        <f t="shared" ref="O185:Q185" si="47">O172+O175+O178+O181+O184</f>
        <v>519</v>
      </c>
      <c r="P185" s="186">
        <f t="shared" si="47"/>
        <v>124159.15000000001</v>
      </c>
      <c r="Q185" s="187">
        <f t="shared" si="47"/>
        <v>81842.14</v>
      </c>
      <c r="R185" s="42">
        <f>IF(O185=0,0,J185/O185)</f>
        <v>1.1926782273603083</v>
      </c>
      <c r="S185" s="190">
        <f>L185-Q185</f>
        <v>66622.659999999989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46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0.67462599802770762</v>
      </c>
      <c r="G186" s="194"/>
      <c r="H186" s="192"/>
      <c r="I186" s="43"/>
      <c r="J186" s="194"/>
      <c r="K186" s="443">
        <f>IF(J185=0,0,K185/J185)</f>
        <v>312.30576736672054</v>
      </c>
      <c r="L186" s="43">
        <f>IF(L185=0,0,L185/K185)</f>
        <v>0.76798518828659212</v>
      </c>
      <c r="M186" s="194"/>
      <c r="N186" s="193">
        <f>N185/F185</f>
        <v>0.49513671351192184</v>
      </c>
      <c r="O186" s="194"/>
      <c r="P186" s="443">
        <f>IF(O185=0,0,P185/O185)</f>
        <v>239.22764932562623</v>
      </c>
      <c r="Q186" s="43">
        <f>Q185/P185</f>
        <v>0.65917123305048397</v>
      </c>
      <c r="R186" s="194"/>
      <c r="S186" s="44">
        <f>IF(R185=0,0,S185/R185)</f>
        <v>55859.71008077544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46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46"/>
        <v>ServiceSous-traitement</v>
      </c>
      <c r="B188" s="11" t="s">
        <v>78</v>
      </c>
      <c r="C188" s="29" t="s">
        <v>89</v>
      </c>
      <c r="D188" s="82"/>
      <c r="E188" s="82">
        <v>6925.6374211423772</v>
      </c>
      <c r="F188" s="82">
        <v>796.44830343137346</v>
      </c>
      <c r="G188" s="60"/>
      <c r="H188" s="82"/>
      <c r="I188" s="82"/>
      <c r="J188" s="60"/>
      <c r="K188" s="30">
        <v>7824.33</v>
      </c>
      <c r="L188" s="33">
        <v>238.01999999999953</v>
      </c>
      <c r="M188" s="84">
        <f>IF(E188=0,0,(K188-E188)/E188)</f>
        <v>0.12976315741192587</v>
      </c>
      <c r="N188" s="59">
        <f>L188-F188</f>
        <v>-558.42830343137393</v>
      </c>
      <c r="O188" s="60"/>
      <c r="P188" s="30">
        <v>1414.9</v>
      </c>
      <c r="Q188" s="33">
        <v>139.59</v>
      </c>
      <c r="R188" s="157">
        <f>IF(O188=0,0,J188/O188)</f>
        <v>0</v>
      </c>
      <c r="S188" s="85">
        <f>L188-Q188</f>
        <v>98.429999999999524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46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0.115</v>
      </c>
      <c r="G189" s="41"/>
      <c r="H189" s="144"/>
      <c r="I189" s="158"/>
      <c r="J189" s="175"/>
      <c r="K189" s="174"/>
      <c r="L189" s="158">
        <f>IF(L188=0,0,L188/K188)</f>
        <v>3.0420496068033879E-2</v>
      </c>
      <c r="M189" s="175"/>
      <c r="N189" s="176"/>
      <c r="O189" s="175"/>
      <c r="P189" s="174"/>
      <c r="Q189" s="158">
        <f>IFERROR(Q188/P188,0)</f>
        <v>9.8657148915117676E-2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46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46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46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46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46"/>
        <v>ServiceTotal Mécanique</v>
      </c>
      <c r="B194" s="11" t="s">
        <v>78</v>
      </c>
      <c r="C194" s="62" t="s">
        <v>91</v>
      </c>
      <c r="D194" s="63"/>
      <c r="E194" s="63">
        <f>E185+E188+E191</f>
        <v>154116.04848507346</v>
      </c>
      <c r="F194" s="65">
        <f>F185+F188+F191</f>
        <v>100094.92626754443</v>
      </c>
      <c r="G194" s="66"/>
      <c r="H194" s="63"/>
      <c r="I194" s="65"/>
      <c r="J194" s="66"/>
      <c r="K194" s="63">
        <f>K185+K188+K191</f>
        <v>201141.6</v>
      </c>
      <c r="L194" s="65">
        <f>L185+L188+L191</f>
        <v>148702.81999999998</v>
      </c>
      <c r="M194" s="206">
        <f>L195-F195</f>
        <v>8.9816576369788348E-2</v>
      </c>
      <c r="N194" s="65">
        <f>L194-F194</f>
        <v>48607.893732455545</v>
      </c>
      <c r="O194" s="66"/>
      <c r="P194" s="63">
        <f t="shared" ref="P194:Q194" si="48">P185+P188+P191</f>
        <v>125574.05</v>
      </c>
      <c r="Q194" s="65">
        <f t="shared" si="48"/>
        <v>81981.73</v>
      </c>
      <c r="R194" s="206">
        <f>L195-Q195</f>
        <v>8.6438543015876057E-2</v>
      </c>
      <c r="S194" s="68">
        <f>L194-Q194</f>
        <v>66721.089999999982</v>
      </c>
      <c r="T194" s="112"/>
      <c r="U194" s="13"/>
      <c r="V194" s="11" t="s">
        <v>221</v>
      </c>
      <c r="W194" s="497">
        <v>149988</v>
      </c>
      <c r="X194" s="490">
        <f>L194-W194</f>
        <v>-1285.1800000000221</v>
      </c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46"/>
        <v>Service</v>
      </c>
      <c r="B195" s="11" t="s">
        <v>78</v>
      </c>
      <c r="C195" s="69"/>
      <c r="D195" s="70"/>
      <c r="E195" s="70"/>
      <c r="F195" s="74">
        <f>F194/E194</f>
        <v>0.64947763228719746</v>
      </c>
      <c r="G195" s="72"/>
      <c r="H195" s="70"/>
      <c r="I195" s="74"/>
      <c r="J195" s="72"/>
      <c r="K195" s="70"/>
      <c r="L195" s="74">
        <f>L194/K194</f>
        <v>0.73929420865698581</v>
      </c>
      <c r="M195" s="73"/>
      <c r="N195" s="74">
        <f>N194/F194</f>
        <v>0.48561795832219468</v>
      </c>
      <c r="O195" s="72"/>
      <c r="P195" s="70"/>
      <c r="Q195" s="74">
        <f>Q194/P194</f>
        <v>0.65285566564110975</v>
      </c>
      <c r="R195" s="73"/>
      <c r="S195" s="75">
        <f>L194/S194</f>
        <v>2.2287228820752181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46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46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46"/>
        <v>ServiceSalaires cadres</v>
      </c>
      <c r="B198" s="11" t="s">
        <v>78</v>
      </c>
      <c r="C198" s="102" t="s">
        <v>40</v>
      </c>
      <c r="D198" s="13"/>
      <c r="E198" s="13"/>
      <c r="F198" s="30">
        <v>10201.276967285588</v>
      </c>
      <c r="G198" s="41"/>
      <c r="H198" s="13"/>
      <c r="I198" s="30"/>
      <c r="J198" s="41"/>
      <c r="K198" s="13"/>
      <c r="L198" s="33">
        <v>11518.62</v>
      </c>
      <c r="M198" s="41"/>
      <c r="N198" s="59">
        <f t="shared" ref="N198:N229" si="49">L198-F198</f>
        <v>1317.3430327144124</v>
      </c>
      <c r="O198" s="41"/>
      <c r="P198" s="13"/>
      <c r="Q198" s="33">
        <v>6087.28</v>
      </c>
      <c r="R198" s="41"/>
      <c r="S198" s="85">
        <f t="shared" ref="S198:S203" si="50">L198-Q198</f>
        <v>5431.3400000000011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46"/>
        <v>ServiceSalaires commis</v>
      </c>
      <c r="B199" s="11" t="s">
        <v>78</v>
      </c>
      <c r="C199" s="103" t="s">
        <v>41</v>
      </c>
      <c r="D199" s="81"/>
      <c r="E199" s="13"/>
      <c r="F199" s="22">
        <v>5517.6724137931033</v>
      </c>
      <c r="G199" s="83"/>
      <c r="H199" s="13"/>
      <c r="I199" s="22"/>
      <c r="J199" s="41"/>
      <c r="K199" s="13"/>
      <c r="L199" s="33">
        <v>5194.9399999999996</v>
      </c>
      <c r="M199" s="41"/>
      <c r="N199" s="59">
        <f t="shared" si="49"/>
        <v>-322.73241379310366</v>
      </c>
      <c r="O199" s="41"/>
      <c r="P199" s="13"/>
      <c r="Q199" s="33">
        <v>4698.12</v>
      </c>
      <c r="R199" s="41"/>
      <c r="S199" s="85">
        <f t="shared" si="50"/>
        <v>496.81999999999971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46"/>
        <v>ServiceSalaires autres</v>
      </c>
      <c r="B200" s="11" t="s">
        <v>78</v>
      </c>
      <c r="C200" s="102" t="s">
        <v>42</v>
      </c>
      <c r="D200" s="104"/>
      <c r="E200" s="105"/>
      <c r="F200" s="30">
        <v>4488.6091954022986</v>
      </c>
      <c r="G200" s="106"/>
      <c r="H200" s="105"/>
      <c r="I200" s="30"/>
      <c r="J200" s="107"/>
      <c r="K200" s="105"/>
      <c r="L200" s="108">
        <v>9055.86</v>
      </c>
      <c r="M200" s="107"/>
      <c r="N200" s="109">
        <f t="shared" si="49"/>
        <v>4567.250804597702</v>
      </c>
      <c r="O200" s="107"/>
      <c r="P200" s="105"/>
      <c r="Q200" s="108">
        <v>4219.9399999999996</v>
      </c>
      <c r="R200" s="107"/>
      <c r="S200" s="110">
        <f t="shared" si="50"/>
        <v>4835.920000000001</v>
      </c>
      <c r="T200" s="13"/>
      <c r="U200" s="13"/>
      <c r="V200" s="462" t="s">
        <v>249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46"/>
        <v>ServiceSalaires spécialistes</v>
      </c>
      <c r="B201" s="11" t="s">
        <v>78</v>
      </c>
      <c r="C201" s="102" t="s">
        <v>43</v>
      </c>
      <c r="D201" s="81"/>
      <c r="E201" s="13"/>
      <c r="F201" s="30">
        <v>14133.754333333332</v>
      </c>
      <c r="G201" s="83"/>
      <c r="H201" s="13"/>
      <c r="I201" s="30"/>
      <c r="J201" s="41"/>
      <c r="K201" s="13"/>
      <c r="L201" s="33">
        <v>12665.43</v>
      </c>
      <c r="M201" s="41"/>
      <c r="N201" s="59">
        <f t="shared" si="49"/>
        <v>-1468.3243333333321</v>
      </c>
      <c r="O201" s="41"/>
      <c r="P201" s="13"/>
      <c r="Q201" s="33">
        <v>14791.16</v>
      </c>
      <c r="R201" s="41"/>
      <c r="S201" s="85">
        <f t="shared" si="50"/>
        <v>-2125.7299999999996</v>
      </c>
      <c r="T201" s="13"/>
      <c r="U201" s="13"/>
      <c r="V201" s="13" t="s">
        <v>285</v>
      </c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46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49"/>
        <v>0</v>
      </c>
      <c r="O202" s="41"/>
      <c r="P202" s="13"/>
      <c r="Q202" s="33">
        <v>0</v>
      </c>
      <c r="R202" s="41"/>
      <c r="S202" s="85">
        <f t="shared" si="50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46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9"/>
        <v>0</v>
      </c>
      <c r="O203" s="41"/>
      <c r="P203" s="13"/>
      <c r="Q203" s="33">
        <v>0</v>
      </c>
      <c r="R203" s="41"/>
      <c r="S203" s="85">
        <f t="shared" si="50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46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9"/>
        <v>0</v>
      </c>
      <c r="O204" s="41"/>
      <c r="P204" s="13"/>
      <c r="Q204" s="33"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46"/>
        <v>ServiceSalaires en absences</v>
      </c>
      <c r="B205" s="11" t="s">
        <v>78</v>
      </c>
      <c r="C205" s="103" t="s">
        <v>44</v>
      </c>
      <c r="D205" s="81"/>
      <c r="E205" s="13"/>
      <c r="F205" s="30">
        <v>10113.733087016699</v>
      </c>
      <c r="G205" s="83"/>
      <c r="H205" s="13"/>
      <c r="I205" s="30"/>
      <c r="J205" s="41"/>
      <c r="K205" s="13"/>
      <c r="L205" s="33">
        <v>13496.62</v>
      </c>
      <c r="M205" s="41"/>
      <c r="N205" s="59">
        <f t="shared" si="49"/>
        <v>3382.886912983302</v>
      </c>
      <c r="O205" s="41"/>
      <c r="P205" s="13"/>
      <c r="Q205" s="33">
        <v>6304.75</v>
      </c>
      <c r="R205" s="41"/>
      <c r="S205" s="85">
        <f>L205-Q205</f>
        <v>7191.8700000000008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46"/>
        <v>ServiceDéduction à la source</v>
      </c>
      <c r="B206" s="11" t="s">
        <v>78</v>
      </c>
      <c r="C206" s="102" t="s">
        <v>45</v>
      </c>
      <c r="D206" s="104"/>
      <c r="E206" s="105"/>
      <c r="F206" s="55">
        <v>11632.793418454114</v>
      </c>
      <c r="G206" s="106"/>
      <c r="H206" s="105"/>
      <c r="I206" s="55"/>
      <c r="J206" s="107"/>
      <c r="K206" s="105"/>
      <c r="L206" s="108">
        <v>13675</v>
      </c>
      <c r="M206" s="107"/>
      <c r="N206" s="109">
        <f t="shared" si="49"/>
        <v>2042.2065815458864</v>
      </c>
      <c r="O206" s="107"/>
      <c r="P206" s="105"/>
      <c r="Q206" s="108">
        <v>9477.68</v>
      </c>
      <c r="R206" s="107"/>
      <c r="S206" s="110">
        <f t="shared" ref="S206:S216" si="51">L206-Q206</f>
        <v>4197.32</v>
      </c>
      <c r="T206" s="13"/>
      <c r="U206" s="13"/>
      <c r="V206" s="462" t="s">
        <v>249</v>
      </c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46"/>
        <v>ServiceBénéfices marginaux</v>
      </c>
      <c r="B207" s="11" t="s">
        <v>78</v>
      </c>
      <c r="C207" s="102" t="s">
        <v>46</v>
      </c>
      <c r="D207" s="81"/>
      <c r="E207" s="13"/>
      <c r="F207" s="30">
        <v>6076.8323827745371</v>
      </c>
      <c r="G207" s="83"/>
      <c r="H207" s="13"/>
      <c r="I207" s="30"/>
      <c r="J207" s="41"/>
      <c r="K207" s="13"/>
      <c r="L207" s="33">
        <v>5750.48</v>
      </c>
      <c r="M207" s="41"/>
      <c r="N207" s="59">
        <f t="shared" si="49"/>
        <v>-326.35238277453755</v>
      </c>
      <c r="O207" s="41"/>
      <c r="P207" s="13"/>
      <c r="Q207" s="33">
        <v>3595.46</v>
      </c>
      <c r="R207" s="41"/>
      <c r="S207" s="85">
        <f t="shared" si="51"/>
        <v>2155.0199999999995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46"/>
        <v>ServiceCsst</v>
      </c>
      <c r="B208" s="11" t="s">
        <v>78</v>
      </c>
      <c r="C208" s="102" t="s">
        <v>47</v>
      </c>
      <c r="D208" s="81"/>
      <c r="E208" s="13"/>
      <c r="F208" s="30">
        <v>1302.1783677374005</v>
      </c>
      <c r="G208" s="83"/>
      <c r="H208" s="13"/>
      <c r="I208" s="30"/>
      <c r="J208" s="41"/>
      <c r="K208" s="13"/>
      <c r="L208" s="33">
        <v>2741.43</v>
      </c>
      <c r="M208" s="467"/>
      <c r="N208" s="146">
        <f t="shared" si="49"/>
        <v>1439.2516322625993</v>
      </c>
      <c r="O208" s="467"/>
      <c r="P208" s="468"/>
      <c r="Q208" s="22">
        <v>1114.99</v>
      </c>
      <c r="R208" s="467"/>
      <c r="S208" s="469">
        <f t="shared" si="51"/>
        <v>1626.4399999999998</v>
      </c>
      <c r="T208" s="13"/>
      <c r="U208" s="13"/>
      <c r="V208" s="13" t="s">
        <v>249</v>
      </c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46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49"/>
        <v>0</v>
      </c>
      <c r="O209" s="23"/>
      <c r="P209" s="111"/>
      <c r="Q209" s="33">
        <v>0</v>
      </c>
      <c r="R209" s="23"/>
      <c r="S209" s="92">
        <f t="shared" si="51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46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0.63406660589524877</v>
      </c>
      <c r="F210" s="96">
        <f>+SUM(F198:F209)</f>
        <v>63466.850165797077</v>
      </c>
      <c r="G210" s="97"/>
      <c r="H210" s="95"/>
      <c r="I210" s="96"/>
      <c r="J210" s="97" t="s">
        <v>92</v>
      </c>
      <c r="K210" s="95">
        <f>L210/L$194</f>
        <v>0.49829841828150939</v>
      </c>
      <c r="L210" s="96">
        <f>+SUM(L198:L209)</f>
        <v>74098.37999999999</v>
      </c>
      <c r="M210" s="147"/>
      <c r="N210" s="113">
        <f t="shared" si="49"/>
        <v>10631.529834202913</v>
      </c>
      <c r="O210" s="97" t="s">
        <v>92</v>
      </c>
      <c r="P210" s="95">
        <f>Q210/Q$194</f>
        <v>0.61342179531951813</v>
      </c>
      <c r="Q210" s="96">
        <f>+SUM(Q198:Q209)</f>
        <v>50289.38</v>
      </c>
      <c r="R210" s="147"/>
      <c r="S210" s="114">
        <f t="shared" si="51"/>
        <v>23808.999999999993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46"/>
        <v>ServicePublicité 2</v>
      </c>
      <c r="B211" s="11" t="s">
        <v>78</v>
      </c>
      <c r="C211" s="29" t="s">
        <v>49</v>
      </c>
      <c r="D211" s="81"/>
      <c r="E211" s="13"/>
      <c r="F211" s="30">
        <v>4707.9549009934026</v>
      </c>
      <c r="G211" s="83"/>
      <c r="H211" s="13"/>
      <c r="I211" s="30"/>
      <c r="J211" s="41"/>
      <c r="K211" s="13"/>
      <c r="L211" s="33">
        <v>4428.6099999999997</v>
      </c>
      <c r="M211" s="41"/>
      <c r="N211" s="59">
        <f t="shared" si="49"/>
        <v>-279.34490099340292</v>
      </c>
      <c r="O211" s="41"/>
      <c r="P211" s="13"/>
      <c r="Q211" s="33">
        <v>4098.54</v>
      </c>
      <c r="R211" s="41"/>
      <c r="S211" s="85">
        <f t="shared" si="51"/>
        <v>330.06999999999971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46"/>
        <v>ServiceService gratuit 2</v>
      </c>
      <c r="B212" s="11" t="s">
        <v>78</v>
      </c>
      <c r="C212" s="29" t="s">
        <v>50</v>
      </c>
      <c r="D212" s="81"/>
      <c r="E212" s="13"/>
      <c r="F212" s="30">
        <v>2758.3333333333335</v>
      </c>
      <c r="G212" s="83"/>
      <c r="H212" s="13"/>
      <c r="I212" s="30"/>
      <c r="J212" s="41"/>
      <c r="K212" s="13"/>
      <c r="L212" s="33">
        <v>6361.0400000000009</v>
      </c>
      <c r="M212" s="41"/>
      <c r="N212" s="59">
        <f t="shared" si="49"/>
        <v>3602.7066666666674</v>
      </c>
      <c r="O212" s="41"/>
      <c r="P212" s="13"/>
      <c r="Q212" s="33">
        <v>2633</v>
      </c>
      <c r="R212" s="41"/>
      <c r="S212" s="85">
        <f t="shared" si="51"/>
        <v>3728.0400000000009</v>
      </c>
      <c r="T212" s="13"/>
      <c r="U212" s="13"/>
      <c r="V212" s="13" t="s">
        <v>270</v>
      </c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46"/>
        <v>ServiceFrais véhicules de cie</v>
      </c>
      <c r="B213" s="11" t="s">
        <v>78</v>
      </c>
      <c r="C213" s="86" t="s">
        <v>51</v>
      </c>
      <c r="D213" s="87"/>
      <c r="E213" s="111"/>
      <c r="F213" s="22">
        <v>5292.8333333333339</v>
      </c>
      <c r="G213" s="89"/>
      <c r="H213" s="111"/>
      <c r="I213" s="22"/>
      <c r="J213" s="23"/>
      <c r="K213" s="111"/>
      <c r="L213" s="33">
        <v>4629.1000000000004</v>
      </c>
      <c r="M213" s="23"/>
      <c r="N213" s="91">
        <f t="shared" si="49"/>
        <v>-663.73333333333358</v>
      </c>
      <c r="O213" s="23"/>
      <c r="P213" s="111"/>
      <c r="Q213" s="33">
        <v>5432.36</v>
      </c>
      <c r="R213" s="23"/>
      <c r="S213" s="92">
        <f t="shared" si="51"/>
        <v>-803.25999999999931</v>
      </c>
      <c r="T213" s="13"/>
      <c r="U213" s="13"/>
      <c r="V213" s="462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46"/>
        <v>ServiceInformatique</v>
      </c>
      <c r="B214" s="11" t="s">
        <v>78</v>
      </c>
      <c r="C214" s="29" t="s">
        <v>52</v>
      </c>
      <c r="D214" s="81"/>
      <c r="E214" s="13"/>
      <c r="F214" s="30">
        <v>6033.5</v>
      </c>
      <c r="G214" s="83"/>
      <c r="H214" s="13"/>
      <c r="I214" s="30"/>
      <c r="J214" s="41"/>
      <c r="K214" s="13"/>
      <c r="L214" s="108">
        <v>5994.52</v>
      </c>
      <c r="M214" s="41"/>
      <c r="N214" s="59">
        <f t="shared" si="49"/>
        <v>-38.979999999999563</v>
      </c>
      <c r="O214" s="41"/>
      <c r="P214" s="13"/>
      <c r="Q214" s="108">
        <v>5512.51</v>
      </c>
      <c r="R214" s="41"/>
      <c r="S214" s="85">
        <f t="shared" si="51"/>
        <v>482.01000000000022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46"/>
        <v>ServiceFrais de déplacement</v>
      </c>
      <c r="B215" s="11" t="s">
        <v>78</v>
      </c>
      <c r="C215" s="29" t="s">
        <v>53</v>
      </c>
      <c r="D215" s="81"/>
      <c r="E215" s="13"/>
      <c r="F215" s="30">
        <v>458.33333333333331</v>
      </c>
      <c r="G215" s="83"/>
      <c r="H215" s="13"/>
      <c r="I215" s="30"/>
      <c r="J215" s="41"/>
      <c r="K215" s="13"/>
      <c r="L215" s="33">
        <v>324.36</v>
      </c>
      <c r="M215" s="41"/>
      <c r="N215" s="59">
        <f t="shared" si="49"/>
        <v>-133.9733333333333</v>
      </c>
      <c r="O215" s="41"/>
      <c r="P215" s="13"/>
      <c r="Q215" s="33">
        <v>240.52</v>
      </c>
      <c r="R215" s="41"/>
      <c r="S215" s="85">
        <f t="shared" si="51"/>
        <v>83.84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46"/>
        <v>ServiceServices extérieurs</v>
      </c>
      <c r="B216" s="11" t="s">
        <v>78</v>
      </c>
      <c r="C216" s="86" t="s">
        <v>54</v>
      </c>
      <c r="D216" s="87"/>
      <c r="E216" s="111"/>
      <c r="F216" s="22">
        <v>5641.5</v>
      </c>
      <c r="G216" s="89"/>
      <c r="H216" s="111"/>
      <c r="I216" s="22"/>
      <c r="J216" s="23"/>
      <c r="K216" s="111"/>
      <c r="L216" s="22">
        <v>1417.29</v>
      </c>
      <c r="M216" s="467"/>
      <c r="N216" s="146">
        <f t="shared" si="49"/>
        <v>-4224.21</v>
      </c>
      <c r="O216" s="467"/>
      <c r="P216" s="468"/>
      <c r="Q216" s="22">
        <v>7189.94</v>
      </c>
      <c r="R216" s="23"/>
      <c r="S216" s="92">
        <f t="shared" si="51"/>
        <v>-5772.65</v>
      </c>
      <c r="T216" s="13"/>
      <c r="U216" s="13"/>
      <c r="V216" s="462" t="s">
        <v>251</v>
      </c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 hidden="1">
      <c r="A217" t="str">
        <f>+B217&amp;C217</f>
        <v>ServiceFournitures d'atelier</v>
      </c>
      <c r="B217" s="11" t="s">
        <v>78</v>
      </c>
      <c r="C217" s="29" t="s">
        <v>93</v>
      </c>
      <c r="D217" s="81"/>
      <c r="E217" s="13"/>
      <c r="F217" s="30"/>
      <c r="G217" s="83"/>
      <c r="H217" s="13"/>
      <c r="I217" s="30"/>
      <c r="J217" s="41"/>
      <c r="K217" s="13"/>
      <c r="L217" s="33">
        <v>0</v>
      </c>
      <c r="M217" s="41"/>
      <c r="N217" s="59">
        <f t="shared" si="49"/>
        <v>0</v>
      </c>
      <c r="O217" s="41"/>
      <c r="P217" s="13"/>
      <c r="Q217" s="33"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ref="A218:A226" si="52">+B218&amp;C218</f>
        <v>ServiceFournitures autres</v>
      </c>
      <c r="B218" s="11" t="s">
        <v>78</v>
      </c>
      <c r="C218" s="29" t="s">
        <v>55</v>
      </c>
      <c r="D218" s="81"/>
      <c r="E218" s="13"/>
      <c r="F218" s="30">
        <v>1100</v>
      </c>
      <c r="G218" s="83"/>
      <c r="H218" s="13"/>
      <c r="I218" s="30"/>
      <c r="J218" s="41"/>
      <c r="K218" s="13"/>
      <c r="L218" s="33">
        <v>3555.28</v>
      </c>
      <c r="M218" s="41"/>
      <c r="N218" s="59">
        <f t="shared" si="49"/>
        <v>2455.2800000000002</v>
      </c>
      <c r="O218" s="41"/>
      <c r="P218" s="13"/>
      <c r="Q218" s="33">
        <v>765.73</v>
      </c>
      <c r="R218" s="41"/>
      <c r="S218" s="85">
        <f t="shared" ref="S218:S226" si="53">L218-Q218</f>
        <v>2789.55</v>
      </c>
      <c r="T218" s="13"/>
      <c r="U218" s="13"/>
      <c r="V218" s="462" t="s">
        <v>252</v>
      </c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52"/>
        <v>ServiceUniformes</v>
      </c>
      <c r="B219" s="11" t="s">
        <v>78</v>
      </c>
      <c r="C219" s="29" t="s">
        <v>56</v>
      </c>
      <c r="D219" s="81"/>
      <c r="E219" s="13"/>
      <c r="F219" s="30">
        <v>1000</v>
      </c>
      <c r="G219" s="83"/>
      <c r="H219" s="13"/>
      <c r="I219" s="30"/>
      <c r="J219" s="41"/>
      <c r="K219" s="13"/>
      <c r="L219" s="33">
        <v>478.84</v>
      </c>
      <c r="M219" s="41"/>
      <c r="N219" s="59">
        <f t="shared" si="49"/>
        <v>-521.16000000000008</v>
      </c>
      <c r="O219" s="41"/>
      <c r="P219" s="13"/>
      <c r="Q219" s="33">
        <v>1192.3800000000001</v>
      </c>
      <c r="R219" s="41"/>
      <c r="S219" s="85">
        <f t="shared" si="53"/>
        <v>-713.54000000000019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52"/>
        <v>ServicePapeterie</v>
      </c>
      <c r="B220" s="11" t="s">
        <v>78</v>
      </c>
      <c r="C220" s="29" t="s">
        <v>57</v>
      </c>
      <c r="D220" s="81"/>
      <c r="E220" s="13"/>
      <c r="F220" s="30">
        <v>393.75</v>
      </c>
      <c r="G220" s="83"/>
      <c r="H220" s="13"/>
      <c r="I220" s="30"/>
      <c r="J220" s="41"/>
      <c r="K220" s="13"/>
      <c r="L220" s="32">
        <v>1097.3900000000001</v>
      </c>
      <c r="M220" s="41"/>
      <c r="N220" s="59">
        <f t="shared" si="49"/>
        <v>703.6400000000001</v>
      </c>
      <c r="O220" s="41"/>
      <c r="P220" s="13"/>
      <c r="Q220" s="32">
        <v>251.4</v>
      </c>
      <c r="R220" s="41"/>
      <c r="S220" s="85">
        <f t="shared" si="53"/>
        <v>845.99000000000012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52"/>
        <v>ServiceTéléphone</v>
      </c>
      <c r="B221" s="11" t="s">
        <v>78</v>
      </c>
      <c r="C221" s="29" t="s">
        <v>58</v>
      </c>
      <c r="D221" s="81"/>
      <c r="E221" s="13"/>
      <c r="F221" s="30">
        <v>120</v>
      </c>
      <c r="G221" s="83"/>
      <c r="H221" s="13"/>
      <c r="I221" s="30"/>
      <c r="J221" s="41"/>
      <c r="K221" s="13"/>
      <c r="L221" s="33">
        <v>106.68</v>
      </c>
      <c r="M221" s="41"/>
      <c r="N221" s="59">
        <f t="shared" si="49"/>
        <v>-13.319999999999993</v>
      </c>
      <c r="O221" s="41"/>
      <c r="P221" s="13"/>
      <c r="Q221" s="33">
        <v>166.04</v>
      </c>
      <c r="R221" s="41"/>
      <c r="S221" s="85">
        <f t="shared" si="53"/>
        <v>-59.359999999999985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52"/>
        <v>ServiceFrais postaux</v>
      </c>
      <c r="B222" s="11" t="s">
        <v>78</v>
      </c>
      <c r="C222" s="29" t="s">
        <v>59</v>
      </c>
      <c r="D222" s="81"/>
      <c r="E222" s="13"/>
      <c r="F222" s="30">
        <v>112.5</v>
      </c>
      <c r="G222" s="83"/>
      <c r="H222" s="13"/>
      <c r="I222" s="30"/>
      <c r="J222" s="41"/>
      <c r="K222" s="13"/>
      <c r="L222" s="33">
        <v>18.25</v>
      </c>
      <c r="M222" s="41"/>
      <c r="N222" s="59">
        <f t="shared" si="49"/>
        <v>-94.25</v>
      </c>
      <c r="O222" s="41"/>
      <c r="P222" s="13"/>
      <c r="Q222" s="33">
        <v>101.88</v>
      </c>
      <c r="R222" s="41"/>
      <c r="S222" s="85">
        <f t="shared" si="53"/>
        <v>-83.63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52"/>
        <v>ServiceDivers</v>
      </c>
      <c r="B223" s="11" t="s">
        <v>78</v>
      </c>
      <c r="C223" s="29" t="s">
        <v>60</v>
      </c>
      <c r="D223" s="81"/>
      <c r="E223" s="13"/>
      <c r="F223" s="30">
        <v>435.25</v>
      </c>
      <c r="G223" s="83"/>
      <c r="H223" s="13"/>
      <c r="I223" s="30"/>
      <c r="J223" s="41"/>
      <c r="K223" s="13"/>
      <c r="L223" s="33">
        <v>2015.27</v>
      </c>
      <c r="M223" s="41"/>
      <c r="N223" s="59">
        <f t="shared" si="49"/>
        <v>1580.02</v>
      </c>
      <c r="O223" s="41"/>
      <c r="P223" s="13"/>
      <c r="Q223" s="33">
        <v>325.36</v>
      </c>
      <c r="R223" s="41"/>
      <c r="S223" s="85">
        <f t="shared" si="53"/>
        <v>1689.9099999999999</v>
      </c>
      <c r="T223" s="13"/>
      <c r="U223" s="13"/>
      <c r="V223" s="11" t="s">
        <v>271</v>
      </c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52"/>
        <v>ServiceFormation</v>
      </c>
      <c r="B224" s="11" t="s">
        <v>78</v>
      </c>
      <c r="C224" s="29" t="s">
        <v>61</v>
      </c>
      <c r="D224" s="81"/>
      <c r="E224" s="13"/>
      <c r="F224" s="30">
        <v>1643.7152833333334</v>
      </c>
      <c r="G224" s="83"/>
      <c r="H224" s="13"/>
      <c r="I224" s="30"/>
      <c r="J224" s="41"/>
      <c r="K224" s="13"/>
      <c r="L224" s="33">
        <v>1374.52</v>
      </c>
      <c r="M224" s="41"/>
      <c r="N224" s="59">
        <f t="shared" si="49"/>
        <v>-269.19528333333346</v>
      </c>
      <c r="O224" s="41"/>
      <c r="P224" s="13"/>
      <c r="Q224" s="33">
        <v>1291.02</v>
      </c>
      <c r="R224" s="41"/>
      <c r="S224" s="85">
        <f t="shared" si="53"/>
        <v>83.5</v>
      </c>
      <c r="T224" s="13"/>
      <c r="U224" s="13"/>
      <c r="V224" s="462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52"/>
        <v>ServiceFrais bancaires</v>
      </c>
      <c r="B225" s="11" t="s">
        <v>78</v>
      </c>
      <c r="C225" s="29" t="s">
        <v>62</v>
      </c>
      <c r="D225" s="81"/>
      <c r="E225" s="13"/>
      <c r="F225" s="30">
        <v>1644.5242639665751</v>
      </c>
      <c r="G225" s="83"/>
      <c r="H225" s="13"/>
      <c r="I225" s="30"/>
      <c r="J225" s="41"/>
      <c r="K225" s="13"/>
      <c r="L225" s="33">
        <v>1463.43</v>
      </c>
      <c r="M225" s="41"/>
      <c r="N225" s="59">
        <f t="shared" si="49"/>
        <v>-181.094263966575</v>
      </c>
      <c r="O225" s="41"/>
      <c r="P225" s="13"/>
      <c r="Q225" s="33">
        <v>1230.82</v>
      </c>
      <c r="R225" s="41"/>
      <c r="S225" s="85">
        <f t="shared" si="53"/>
        <v>232.61000000000013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52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49"/>
        <v>0</v>
      </c>
      <c r="O226" s="41"/>
      <c r="P226" s="13"/>
      <c r="Q226" s="33">
        <v>0</v>
      </c>
      <c r="R226" s="41"/>
      <c r="S226" s="85">
        <f t="shared" si="53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>+B227&amp;C227</f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9"/>
        <v>0</v>
      </c>
      <c r="O227" s="41"/>
      <c r="P227" s="13"/>
      <c r="Q227" s="33"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ref="A228" si="54"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9"/>
        <v>0</v>
      </c>
      <c r="O228" s="41"/>
      <c r="P228" s="13"/>
      <c r="Q228" s="33">
        <v>0</v>
      </c>
      <c r="R228" s="41"/>
      <c r="S228" s="85">
        <f t="shared" ref="S228" si="55">L228-Q228</f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0.31312470688592686</v>
      </c>
      <c r="F229" s="96">
        <f>+SUM(F211:F228)</f>
        <v>31342.19444829331</v>
      </c>
      <c r="G229" s="97"/>
      <c r="H229" s="95"/>
      <c r="I229" s="96"/>
      <c r="J229" s="97" t="s">
        <v>92</v>
      </c>
      <c r="K229" s="95">
        <f>L229/L$194</f>
        <v>0.22369838043421103</v>
      </c>
      <c r="L229" s="96">
        <f>+SUM(L211:L228)</f>
        <v>33264.58</v>
      </c>
      <c r="M229" s="100"/>
      <c r="N229" s="96">
        <f t="shared" si="49"/>
        <v>1922.3855517066913</v>
      </c>
      <c r="O229" s="97" t="s">
        <v>92</v>
      </c>
      <c r="P229" s="95">
        <f>Q229/Q$194</f>
        <v>0.37119855850809691</v>
      </c>
      <c r="Q229" s="96">
        <f>+SUM(Q211:Q228)</f>
        <v>30431.500000000004</v>
      </c>
      <c r="R229" s="100"/>
      <c r="S229" s="101">
        <f>L229-Q229</f>
        <v>2833.0799999999981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0.94719131278117552</v>
      </c>
      <c r="F231" s="96">
        <f>F210+F229</f>
        <v>94809.04461409038</v>
      </c>
      <c r="G231" s="97"/>
      <c r="H231" s="95"/>
      <c r="I231" s="96"/>
      <c r="J231" s="97" t="s">
        <v>38</v>
      </c>
      <c r="K231" s="95">
        <f>L231/L$194</f>
        <v>0.72199679871572042</v>
      </c>
      <c r="L231" s="96">
        <f>L210+L229</f>
        <v>107362.95999999999</v>
      </c>
      <c r="M231" s="100"/>
      <c r="N231" s="113">
        <f>L231-F231</f>
        <v>12553.915385909611</v>
      </c>
      <c r="O231" s="97" t="s">
        <v>38</v>
      </c>
      <c r="P231" s="95">
        <f>Q231/Q$194</f>
        <v>0.98462035382761515</v>
      </c>
      <c r="Q231" s="96">
        <f>Q210+Q229</f>
        <v>80720.88</v>
      </c>
      <c r="R231" s="100"/>
      <c r="S231" s="114">
        <f>L231-Q231</f>
        <v>26642.079999999987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/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5285.8816534540529</v>
      </c>
      <c r="G233" s="153"/>
      <c r="H233" s="125"/>
      <c r="I233" s="127"/>
      <c r="J233" s="154"/>
      <c r="K233" s="126"/>
      <c r="L233" s="127">
        <f>L194-L231</f>
        <v>41339.859999999986</v>
      </c>
      <c r="M233" s="154"/>
      <c r="N233" s="127">
        <f>L233-F233</f>
        <v>36053.978346545933</v>
      </c>
      <c r="O233" s="154"/>
      <c r="P233" s="126"/>
      <c r="Q233" s="127">
        <f>Q194-Q231</f>
        <v>1260.8499999999913</v>
      </c>
      <c r="R233" s="154"/>
      <c r="S233" s="129">
        <f>L233-Q233</f>
        <v>40079.009999999995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Juin 2025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507" t="s">
        <v>5</v>
      </c>
      <c r="E238" s="508"/>
      <c r="F238" s="509"/>
      <c r="G238" s="510"/>
      <c r="H238" s="508"/>
      <c r="I238" s="509"/>
      <c r="J238" s="510" t="s">
        <v>7</v>
      </c>
      <c r="K238" s="508"/>
      <c r="L238" s="509"/>
      <c r="M238" s="510" t="s">
        <v>213</v>
      </c>
      <c r="N238" s="509"/>
      <c r="O238" s="507" t="s">
        <v>8</v>
      </c>
      <c r="P238" s="508"/>
      <c r="Q238" s="509"/>
      <c r="R238" s="505" t="s">
        <v>214</v>
      </c>
      <c r="S238" s="506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72" si="56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56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56"/>
        <v>CarrosserieM/O Sous-traitement</v>
      </c>
      <c r="B241" s="11" t="s">
        <v>94</v>
      </c>
      <c r="C241" s="29" t="s">
        <v>95</v>
      </c>
      <c r="D241" s="80">
        <v>0</v>
      </c>
      <c r="E241" s="82">
        <v>0</v>
      </c>
      <c r="F241" s="82">
        <v>0</v>
      </c>
      <c r="G241" s="156"/>
      <c r="H241" s="82"/>
      <c r="I241" s="82"/>
      <c r="J241" s="60">
        <v>0</v>
      </c>
      <c r="K241" s="30">
        <v>0</v>
      </c>
      <c r="L241" s="33">
        <v>0</v>
      </c>
      <c r="M241" s="157">
        <f>IFERROR((K241-E241)/E241,0)</f>
        <v>0</v>
      </c>
      <c r="N241" s="59">
        <f>L241-F241</f>
        <v>0</v>
      </c>
      <c r="O241" s="60">
        <v>5</v>
      </c>
      <c r="P241" s="30">
        <v>1103.3</v>
      </c>
      <c r="Q241" s="33">
        <v>167.969999999999</v>
      </c>
      <c r="R241" s="157">
        <f>IF(O241=0,0,J241/O241)</f>
        <v>0</v>
      </c>
      <c r="S241" s="85">
        <f>L241-Q241</f>
        <v>-167.969999999999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56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</v>
      </c>
      <c r="G242" s="41"/>
      <c r="H242" s="144"/>
      <c r="I242" s="158"/>
      <c r="J242" s="60"/>
      <c r="K242" s="13"/>
      <c r="L242" s="158">
        <f>IFERROR(L241/K241,0)</f>
        <v>0</v>
      </c>
      <c r="M242" s="157"/>
      <c r="N242" s="470">
        <f>IFERROR(N241/M241,0)</f>
        <v>0</v>
      </c>
      <c r="O242" s="60"/>
      <c r="P242" s="13"/>
      <c r="Q242" s="158">
        <f>IFERROR(Q241/P241,0)</f>
        <v>0.15224327018943082</v>
      </c>
      <c r="R242" s="60"/>
      <c r="S242" s="85">
        <f>IFERROR(S241/R241,0)</f>
        <v>0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56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56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56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56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56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56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56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56"/>
        <v>CarrosserieTotal Mécanique</v>
      </c>
      <c r="B250" s="11" t="s">
        <v>94</v>
      </c>
      <c r="C250" s="62" t="s">
        <v>91</v>
      </c>
      <c r="D250" s="63"/>
      <c r="E250" s="63">
        <f>E244+E247+E241</f>
        <v>0</v>
      </c>
      <c r="F250" s="65">
        <f>F244+F247+F241</f>
        <v>0</v>
      </c>
      <c r="G250" s="66"/>
      <c r="H250" s="63"/>
      <c r="I250" s="65"/>
      <c r="J250" s="66"/>
      <c r="K250" s="63">
        <f>K244+K247+K241</f>
        <v>0</v>
      </c>
      <c r="L250" s="65">
        <f>L244+L247+L241</f>
        <v>0</v>
      </c>
      <c r="M250" s="206" t="e">
        <f>L251-F251</f>
        <v>#DIV/0!</v>
      </c>
      <c r="N250" s="65">
        <f>L250-F250</f>
        <v>0</v>
      </c>
      <c r="O250" s="66"/>
      <c r="P250" s="63">
        <f t="shared" ref="P250:Q250" si="57">P244+P247+P241</f>
        <v>1103.3</v>
      </c>
      <c r="Q250" s="65">
        <f t="shared" si="57"/>
        <v>167.969999999999</v>
      </c>
      <c r="R250" s="206">
        <f>L251-Q251</f>
        <v>-0.15224327018943082</v>
      </c>
      <c r="S250" s="68">
        <f>L250-Q250</f>
        <v>-167.969999999999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56"/>
        <v>Carrosserie</v>
      </c>
      <c r="B251" s="11" t="s">
        <v>94</v>
      </c>
      <c r="C251" s="69"/>
      <c r="D251" s="70"/>
      <c r="E251" s="70"/>
      <c r="F251" s="74" t="e">
        <f>F250/E250</f>
        <v>#DIV/0!</v>
      </c>
      <c r="G251" s="72"/>
      <c r="H251" s="70"/>
      <c r="I251" s="74"/>
      <c r="J251" s="72"/>
      <c r="K251" s="70"/>
      <c r="L251" s="74">
        <f>IF(K250=0,0,L250/K250)</f>
        <v>0</v>
      </c>
      <c r="M251" s="73"/>
      <c r="N251" s="74" t="e">
        <f>N250/F250</f>
        <v>#DIV/0!</v>
      </c>
      <c r="O251" s="72"/>
      <c r="P251" s="70"/>
      <c r="Q251" s="74">
        <f>Q250/P250</f>
        <v>0.15224327018943082</v>
      </c>
      <c r="R251" s="73"/>
      <c r="S251" s="75">
        <f>IF(R250=0,0,S250/R250)</f>
        <v>1103.3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56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56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56"/>
        <v>CarrosserieSalaires cadres</v>
      </c>
      <c r="B254" s="11" t="s">
        <v>94</v>
      </c>
      <c r="C254" s="102" t="s">
        <v>40</v>
      </c>
      <c r="D254" s="13"/>
      <c r="E254" s="13"/>
      <c r="F254" s="30">
        <v>0</v>
      </c>
      <c r="G254" s="41"/>
      <c r="H254" s="13"/>
      <c r="I254" s="30"/>
      <c r="J254" s="41"/>
      <c r="K254" s="13"/>
      <c r="L254" s="33">
        <v>0</v>
      </c>
      <c r="M254" s="41"/>
      <c r="N254" s="59">
        <f t="shared" ref="N254:N284" si="58">L254-F254</f>
        <v>0</v>
      </c>
      <c r="O254" s="41"/>
      <c r="P254" s="13"/>
      <c r="Q254" s="33">
        <v>304.27</v>
      </c>
      <c r="R254" s="41"/>
      <c r="S254" s="85">
        <f t="shared" ref="S254" si="59">L254-Q254</f>
        <v>-304.27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56"/>
        <v>CarrosserieSalaires commis</v>
      </c>
      <c r="B255" s="11" t="s">
        <v>94</v>
      </c>
      <c r="C255" s="103" t="s">
        <v>41</v>
      </c>
      <c r="D255" s="81"/>
      <c r="E255" s="13"/>
      <c r="F255" s="22">
        <v>0</v>
      </c>
      <c r="G255" s="83"/>
      <c r="H255" s="13"/>
      <c r="I255" s="22"/>
      <c r="J255" s="41"/>
      <c r="K255" s="13"/>
      <c r="L255" s="33">
        <v>0</v>
      </c>
      <c r="M255" s="41"/>
      <c r="N255" s="59">
        <f t="shared" si="58"/>
        <v>0</v>
      </c>
      <c r="O255" s="41"/>
      <c r="P255" s="13"/>
      <c r="Q255" s="33">
        <v>340.43</v>
      </c>
      <c r="R255" s="41"/>
      <c r="S255" s="85">
        <f>L255-Q255</f>
        <v>-340.43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56"/>
        <v>CarrosserieSalaires autres</v>
      </c>
      <c r="B256" s="11" t="s">
        <v>94</v>
      </c>
      <c r="C256" s="102" t="s">
        <v>42</v>
      </c>
      <c r="D256" s="104"/>
      <c r="E256" s="105"/>
      <c r="F256" s="30">
        <v>0</v>
      </c>
      <c r="G256" s="106"/>
      <c r="H256" s="105"/>
      <c r="I256" s="30"/>
      <c r="J256" s="107"/>
      <c r="K256" s="105"/>
      <c r="L256" s="108">
        <v>0</v>
      </c>
      <c r="M256" s="107"/>
      <c r="N256" s="109">
        <f t="shared" si="58"/>
        <v>0</v>
      </c>
      <c r="O256" s="107"/>
      <c r="P256" s="105"/>
      <c r="Q256" s="108">
        <v>19</v>
      </c>
      <c r="R256" s="107"/>
      <c r="S256" s="110">
        <f t="shared" ref="S256:S272" si="60">L256-Q256</f>
        <v>-19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56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58"/>
        <v>0</v>
      </c>
      <c r="O257" s="41"/>
      <c r="P257" s="13"/>
      <c r="Q257" s="33">
        <v>0</v>
      </c>
      <c r="R257" s="41"/>
      <c r="S257" s="85">
        <f t="shared" si="60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56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8"/>
        <v>0</v>
      </c>
      <c r="O258" s="41"/>
      <c r="P258" s="13"/>
      <c r="Q258" s="33">
        <v>0</v>
      </c>
      <c r="R258" s="41"/>
      <c r="S258" s="85">
        <f t="shared" si="60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56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8"/>
        <v>0</v>
      </c>
      <c r="O259" s="41"/>
      <c r="P259" s="13"/>
      <c r="Q259" s="33">
        <v>0</v>
      </c>
      <c r="R259" s="41"/>
      <c r="S259" s="85">
        <f t="shared" si="60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56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8"/>
        <v>0</v>
      </c>
      <c r="O260" s="41"/>
      <c r="P260" s="13"/>
      <c r="Q260" s="33">
        <v>0</v>
      </c>
      <c r="R260" s="41"/>
      <c r="S260" s="85">
        <f t="shared" si="60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56"/>
        <v>CarrosserieSalaires en absences</v>
      </c>
      <c r="B261" s="11" t="s">
        <v>94</v>
      </c>
      <c r="C261" s="103" t="s">
        <v>44</v>
      </c>
      <c r="D261" s="81"/>
      <c r="E261" s="13"/>
      <c r="F261" s="22">
        <v>0</v>
      </c>
      <c r="G261" s="83"/>
      <c r="H261" s="13"/>
      <c r="I261" s="22"/>
      <c r="J261" s="41"/>
      <c r="K261" s="13"/>
      <c r="L261" s="33">
        <v>0</v>
      </c>
      <c r="M261" s="41"/>
      <c r="N261" s="59">
        <f t="shared" si="58"/>
        <v>0</v>
      </c>
      <c r="O261" s="41"/>
      <c r="P261" s="13"/>
      <c r="Q261" s="33">
        <v>78.34</v>
      </c>
      <c r="R261" s="41"/>
      <c r="S261" s="85">
        <f t="shared" si="60"/>
        <v>-78.34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56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0</v>
      </c>
      <c r="G262" s="106"/>
      <c r="H262" s="105"/>
      <c r="I262" s="30"/>
      <c r="J262" s="107"/>
      <c r="K262" s="105"/>
      <c r="L262" s="108">
        <v>0</v>
      </c>
      <c r="M262" s="107"/>
      <c r="N262" s="109">
        <f t="shared" si="58"/>
        <v>0</v>
      </c>
      <c r="O262" s="107"/>
      <c r="P262" s="105"/>
      <c r="Q262" s="108">
        <v>213.89</v>
      </c>
      <c r="R262" s="107"/>
      <c r="S262" s="110">
        <f t="shared" si="60"/>
        <v>-213.89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56"/>
        <v>CarrosserieBénéfices marginaux</v>
      </c>
      <c r="B263" s="11" t="s">
        <v>94</v>
      </c>
      <c r="C263" s="102" t="s">
        <v>46</v>
      </c>
      <c r="D263" s="81"/>
      <c r="E263" s="13"/>
      <c r="F263" s="30">
        <v>0</v>
      </c>
      <c r="G263" s="83"/>
      <c r="H263" s="13"/>
      <c r="I263" s="30"/>
      <c r="J263" s="41"/>
      <c r="K263" s="13"/>
      <c r="L263" s="33">
        <v>0</v>
      </c>
      <c r="M263" s="41"/>
      <c r="N263" s="59">
        <f t="shared" si="58"/>
        <v>0</v>
      </c>
      <c r="O263" s="41"/>
      <c r="P263" s="13"/>
      <c r="Q263" s="33">
        <v>3.82</v>
      </c>
      <c r="R263" s="41"/>
      <c r="S263" s="85">
        <f t="shared" si="60"/>
        <v>-3.82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56"/>
        <v>CarrosserieCsst</v>
      </c>
      <c r="B264" s="11" t="s">
        <v>94</v>
      </c>
      <c r="C264" s="102" t="s">
        <v>47</v>
      </c>
      <c r="D264" s="81"/>
      <c r="E264" s="13"/>
      <c r="F264" s="30">
        <v>0</v>
      </c>
      <c r="G264" s="83"/>
      <c r="H264" s="13"/>
      <c r="I264" s="30"/>
      <c r="J264" s="41"/>
      <c r="K264" s="13"/>
      <c r="L264" s="33">
        <v>0</v>
      </c>
      <c r="M264" s="467"/>
      <c r="N264" s="146">
        <f t="shared" si="58"/>
        <v>0</v>
      </c>
      <c r="O264" s="41"/>
      <c r="P264" s="13"/>
      <c r="Q264" s="33">
        <v>4.3600000000000003</v>
      </c>
      <c r="R264" s="41"/>
      <c r="S264" s="85">
        <f t="shared" si="60"/>
        <v>-4.3600000000000003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56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58"/>
        <v>0</v>
      </c>
      <c r="O265" s="23"/>
      <c r="P265" s="111"/>
      <c r="Q265" s="33">
        <v>0</v>
      </c>
      <c r="R265" s="23"/>
      <c r="S265" s="92">
        <f t="shared" si="60"/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56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0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0</v>
      </c>
      <c r="M266" s="147"/>
      <c r="N266" s="113">
        <f t="shared" si="58"/>
        <v>0</v>
      </c>
      <c r="O266" s="97" t="s">
        <v>38</v>
      </c>
      <c r="P266" s="95">
        <f>IF(Q244=0,0,Q266/Q$244)</f>
        <v>0</v>
      </c>
      <c r="Q266" s="96">
        <f>+SUM(Q254:Q265)</f>
        <v>964.11000000000013</v>
      </c>
      <c r="R266" s="147"/>
      <c r="S266" s="114">
        <f t="shared" si="60"/>
        <v>-964.11000000000013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56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0</v>
      </c>
      <c r="M267" s="41"/>
      <c r="N267" s="59">
        <f t="shared" si="58"/>
        <v>0</v>
      </c>
      <c r="O267" s="41"/>
      <c r="P267" s="13"/>
      <c r="Q267" s="33">
        <v>37.5</v>
      </c>
      <c r="R267" s="41"/>
      <c r="S267" s="85">
        <f t="shared" si="60"/>
        <v>-37.5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56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58"/>
        <v>0</v>
      </c>
      <c r="O268" s="41"/>
      <c r="P268" s="13"/>
      <c r="Q268" s="33">
        <v>8.15</v>
      </c>
      <c r="R268" s="41"/>
      <c r="S268" s="85">
        <f t="shared" si="60"/>
        <v>-8.15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56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0</v>
      </c>
      <c r="G269" s="89"/>
      <c r="H269" s="111"/>
      <c r="I269" s="22"/>
      <c r="J269" s="23"/>
      <c r="K269" s="111"/>
      <c r="L269" s="33">
        <v>0</v>
      </c>
      <c r="M269" s="23"/>
      <c r="N269" s="91">
        <f t="shared" si="58"/>
        <v>0</v>
      </c>
      <c r="O269" s="23"/>
      <c r="P269" s="111"/>
      <c r="Q269" s="33">
        <v>169.54</v>
      </c>
      <c r="R269" s="23"/>
      <c r="S269" s="92">
        <f t="shared" si="60"/>
        <v>-169.54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56"/>
        <v>CarrosserieInformatique</v>
      </c>
      <c r="B270" s="11" t="s">
        <v>94</v>
      </c>
      <c r="C270" s="102" t="s">
        <v>52</v>
      </c>
      <c r="D270" s="81"/>
      <c r="E270" s="13"/>
      <c r="F270" s="30">
        <v>0</v>
      </c>
      <c r="G270" s="83"/>
      <c r="H270" s="13"/>
      <c r="I270" s="30"/>
      <c r="J270" s="41"/>
      <c r="K270" s="13"/>
      <c r="L270" s="108">
        <v>0</v>
      </c>
      <c r="M270" s="41"/>
      <c r="N270" s="59">
        <f t="shared" si="58"/>
        <v>0</v>
      </c>
      <c r="O270" s="41"/>
      <c r="P270" s="13"/>
      <c r="Q270" s="108">
        <v>213.65</v>
      </c>
      <c r="R270" s="41"/>
      <c r="S270" s="85">
        <f t="shared" si="60"/>
        <v>-213.65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56"/>
        <v>CarrosserieFrais de déplacement</v>
      </c>
      <c r="B271" s="11" t="s">
        <v>94</v>
      </c>
      <c r="C271" s="102" t="s">
        <v>53</v>
      </c>
      <c r="D271" s="81"/>
      <c r="E271" s="13"/>
      <c r="F271" s="30">
        <v>0</v>
      </c>
      <c r="G271" s="83"/>
      <c r="H271" s="13"/>
      <c r="I271" s="30"/>
      <c r="J271" s="41"/>
      <c r="K271" s="13"/>
      <c r="L271" s="33">
        <v>0</v>
      </c>
      <c r="M271" s="41"/>
      <c r="N271" s="59">
        <f t="shared" si="58"/>
        <v>0</v>
      </c>
      <c r="O271" s="41"/>
      <c r="P271" s="13"/>
      <c r="Q271" s="33">
        <v>18.3</v>
      </c>
      <c r="R271" s="41"/>
      <c r="S271" s="85">
        <f t="shared" si="60"/>
        <v>-18.3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56"/>
        <v>CarrosserieServices extérieurs</v>
      </c>
      <c r="B272" s="11" t="s">
        <v>94</v>
      </c>
      <c r="C272" s="102" t="s">
        <v>54</v>
      </c>
      <c r="D272" s="87"/>
      <c r="E272" s="111"/>
      <c r="F272" s="22">
        <v>0</v>
      </c>
      <c r="G272" s="89"/>
      <c r="H272" s="111"/>
      <c r="I272" s="22"/>
      <c r="J272" s="23"/>
      <c r="K272" s="111"/>
      <c r="L272" s="33">
        <v>0</v>
      </c>
      <c r="M272" s="23"/>
      <c r="N272" s="91">
        <f t="shared" si="58"/>
        <v>0</v>
      </c>
      <c r="O272" s="23"/>
      <c r="P272" s="111"/>
      <c r="Q272" s="22">
        <v>176.85</v>
      </c>
      <c r="R272" s="23"/>
      <c r="S272" s="92">
        <f t="shared" si="60"/>
        <v>-176.85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58"/>
        <v>0</v>
      </c>
      <c r="O273" s="41"/>
      <c r="P273" s="13"/>
      <c r="Q273" s="33"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ref="A274:A282" si="61">+B274&amp;C274</f>
        <v>CarrosserieFournitures autres</v>
      </c>
      <c r="B274" s="11" t="s">
        <v>94</v>
      </c>
      <c r="C274" s="102" t="s">
        <v>55</v>
      </c>
      <c r="D274" s="81"/>
      <c r="E274" s="13"/>
      <c r="F274" s="30">
        <v>0</v>
      </c>
      <c r="G274" s="83"/>
      <c r="H274" s="13"/>
      <c r="I274" s="30"/>
      <c r="J274" s="41"/>
      <c r="K274" s="13"/>
      <c r="L274" s="33">
        <v>0</v>
      </c>
      <c r="M274" s="41"/>
      <c r="N274" s="59">
        <f t="shared" si="58"/>
        <v>0</v>
      </c>
      <c r="O274" s="41"/>
      <c r="P274" s="13"/>
      <c r="Q274" s="33">
        <v>0</v>
      </c>
      <c r="R274" s="41"/>
      <c r="S274" s="85">
        <f t="shared" ref="S274:S282" si="62">L274-Q274</f>
        <v>0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61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58"/>
        <v>0</v>
      </c>
      <c r="O275" s="41"/>
      <c r="P275" s="13"/>
      <c r="Q275" s="33">
        <v>4.33</v>
      </c>
      <c r="R275" s="41"/>
      <c r="S275" s="85">
        <f t="shared" si="62"/>
        <v>-4.33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61"/>
        <v>CarrosseriePapeterie</v>
      </c>
      <c r="B276" s="11" t="s">
        <v>94</v>
      </c>
      <c r="C276" s="102" t="s">
        <v>57</v>
      </c>
      <c r="D276" s="81"/>
      <c r="E276" s="13"/>
      <c r="F276" s="30">
        <v>0</v>
      </c>
      <c r="G276" s="83"/>
      <c r="H276" s="13"/>
      <c r="I276" s="30"/>
      <c r="J276" s="41"/>
      <c r="K276" s="13"/>
      <c r="L276" s="32">
        <v>0</v>
      </c>
      <c r="M276" s="41"/>
      <c r="N276" s="59">
        <f t="shared" si="58"/>
        <v>0</v>
      </c>
      <c r="O276" s="41"/>
      <c r="P276" s="13"/>
      <c r="Q276" s="32">
        <v>27.94</v>
      </c>
      <c r="R276" s="41"/>
      <c r="S276" s="85">
        <f t="shared" si="62"/>
        <v>-27.94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61"/>
        <v>CarrosserieTéléphone</v>
      </c>
      <c r="B277" s="11" t="s">
        <v>94</v>
      </c>
      <c r="C277" s="102" t="s">
        <v>58</v>
      </c>
      <c r="D277" s="81"/>
      <c r="E277" s="13"/>
      <c r="F277" s="30">
        <v>0</v>
      </c>
      <c r="G277" s="83"/>
      <c r="H277" s="13"/>
      <c r="I277" s="30"/>
      <c r="J277" s="41"/>
      <c r="K277" s="13"/>
      <c r="L277" s="33">
        <v>0</v>
      </c>
      <c r="M277" s="41"/>
      <c r="N277" s="59">
        <f t="shared" si="58"/>
        <v>0</v>
      </c>
      <c r="O277" s="41"/>
      <c r="P277" s="13"/>
      <c r="Q277" s="33">
        <v>15.16</v>
      </c>
      <c r="R277" s="41"/>
      <c r="S277" s="85">
        <f t="shared" si="62"/>
        <v>-15.16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61"/>
        <v>CarrosserieFrais postaux</v>
      </c>
      <c r="B278" s="11" t="s">
        <v>94</v>
      </c>
      <c r="C278" s="102" t="s">
        <v>59</v>
      </c>
      <c r="D278" s="81"/>
      <c r="E278" s="13"/>
      <c r="F278" s="30">
        <v>0</v>
      </c>
      <c r="G278" s="83"/>
      <c r="H278" s="13"/>
      <c r="I278" s="30"/>
      <c r="J278" s="41"/>
      <c r="K278" s="13"/>
      <c r="L278" s="33">
        <v>0</v>
      </c>
      <c r="M278" s="41"/>
      <c r="N278" s="59">
        <f t="shared" si="58"/>
        <v>0</v>
      </c>
      <c r="O278" s="41"/>
      <c r="P278" s="13"/>
      <c r="Q278" s="33">
        <v>3.77</v>
      </c>
      <c r="R278" s="41"/>
      <c r="S278" s="85">
        <f t="shared" si="62"/>
        <v>-3.77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61"/>
        <v>CarrosserieDivers</v>
      </c>
      <c r="B279" s="11" t="s">
        <v>94</v>
      </c>
      <c r="C279" s="102" t="s">
        <v>60</v>
      </c>
      <c r="D279" s="81"/>
      <c r="E279" s="13"/>
      <c r="F279" s="30">
        <v>0</v>
      </c>
      <c r="G279" s="83"/>
      <c r="H279" s="13"/>
      <c r="I279" s="30"/>
      <c r="J279" s="41"/>
      <c r="K279" s="13"/>
      <c r="L279" s="33">
        <v>0</v>
      </c>
      <c r="M279" s="41"/>
      <c r="N279" s="59">
        <f t="shared" si="58"/>
        <v>0</v>
      </c>
      <c r="O279" s="41"/>
      <c r="P279" s="13"/>
      <c r="Q279" s="33">
        <v>36.14</v>
      </c>
      <c r="R279" s="41"/>
      <c r="S279" s="85">
        <f t="shared" si="62"/>
        <v>-36.14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61"/>
        <v>CarrosserieFormation</v>
      </c>
      <c r="B280" s="11" t="s">
        <v>94</v>
      </c>
      <c r="C280" s="102" t="s">
        <v>61</v>
      </c>
      <c r="D280" s="81"/>
      <c r="E280" s="13"/>
      <c r="F280" s="30">
        <v>0</v>
      </c>
      <c r="G280" s="83"/>
      <c r="H280" s="13"/>
      <c r="I280" s="30"/>
      <c r="J280" s="41"/>
      <c r="K280" s="13"/>
      <c r="L280" s="33">
        <v>0</v>
      </c>
      <c r="M280" s="41"/>
      <c r="N280" s="59">
        <f t="shared" si="58"/>
        <v>0</v>
      </c>
      <c r="O280" s="41"/>
      <c r="P280" s="13"/>
      <c r="Q280" s="33">
        <v>-2.7</v>
      </c>
      <c r="R280" s="41"/>
      <c r="S280" s="85">
        <f t="shared" si="62"/>
        <v>2.7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61"/>
        <v>CarrosserieFrais bancaires</v>
      </c>
      <c r="B281" s="11" t="s">
        <v>94</v>
      </c>
      <c r="C281" s="102" t="s">
        <v>62</v>
      </c>
      <c r="D281" s="81"/>
      <c r="E281" s="13"/>
      <c r="F281" s="30">
        <v>0</v>
      </c>
      <c r="G281" s="83"/>
      <c r="H281" s="13"/>
      <c r="I281" s="30"/>
      <c r="J281" s="41"/>
      <c r="K281" s="13"/>
      <c r="L281" s="33">
        <v>0</v>
      </c>
      <c r="M281" s="41"/>
      <c r="N281" s="59">
        <f t="shared" si="58"/>
        <v>0</v>
      </c>
      <c r="O281" s="41"/>
      <c r="P281" s="13"/>
      <c r="Q281" s="33">
        <v>136.72999999999999</v>
      </c>
      <c r="R281" s="41"/>
      <c r="S281" s="85">
        <f t="shared" si="62"/>
        <v>-136.72999999999999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61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8"/>
        <v>0</v>
      </c>
      <c r="O282" s="41"/>
      <c r="P282" s="13"/>
      <c r="Q282" s="33">
        <v>0</v>
      </c>
      <c r="R282" s="41"/>
      <c r="S282" s="85">
        <f t="shared" si="62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>+B283&amp;C283</f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8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ref="A284" si="63"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8"/>
        <v>0</v>
      </c>
      <c r="O284" s="41"/>
      <c r="P284" s="13"/>
      <c r="Q284" s="33">
        <v>0</v>
      </c>
      <c r="R284" s="41"/>
      <c r="S284" s="85">
        <f t="shared" ref="S284" si="64">L284-Q284</f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 t="e">
        <f>F285/F$244</f>
        <v>#DIV/0!</v>
      </c>
      <c r="F285" s="96">
        <f>+SUM(F267:F284)</f>
        <v>0</v>
      </c>
      <c r="G285" s="97"/>
      <c r="H285" s="95"/>
      <c r="I285" s="96"/>
      <c r="J285" s="97" t="s">
        <v>38</v>
      </c>
      <c r="K285" s="95">
        <f>IF(L262=0,0,L285/L$244)</f>
        <v>0</v>
      </c>
      <c r="L285" s="96">
        <f>+SUM(L267:L284)</f>
        <v>0</v>
      </c>
      <c r="M285" s="100"/>
      <c r="N285" s="96">
        <f>+SUM(N267:N284)</f>
        <v>0</v>
      </c>
      <c r="O285" s="97" t="s">
        <v>38</v>
      </c>
      <c r="P285" s="95">
        <f>IF(Q$244=0,0,Q285/Q$244)</f>
        <v>0</v>
      </c>
      <c r="Q285" s="96">
        <f>+SUM(Q267:Q284)</f>
        <v>845.36</v>
      </c>
      <c r="R285" s="100"/>
      <c r="S285" s="101">
        <f>L285-Q285</f>
        <v>-845.36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 t="e">
        <f>F287/F$244</f>
        <v>#DIV/0!</v>
      </c>
      <c r="F287" s="96">
        <f>F266+F285</f>
        <v>0</v>
      </c>
      <c r="G287" s="97"/>
      <c r="H287" s="95"/>
      <c r="I287" s="96"/>
      <c r="J287" s="97" t="s">
        <v>38</v>
      </c>
      <c r="K287" s="95">
        <f>IF(L264=0,0,L287/L$244)</f>
        <v>0</v>
      </c>
      <c r="L287" s="96">
        <f>L266+L285</f>
        <v>0</v>
      </c>
      <c r="M287" s="100"/>
      <c r="N287" s="113">
        <f>L287-F287</f>
        <v>0</v>
      </c>
      <c r="O287" s="97" t="s">
        <v>38</v>
      </c>
      <c r="P287" s="95">
        <f>IF(Q$244=0,0,Q287/Q$244)</f>
        <v>0</v>
      </c>
      <c r="Q287" s="96">
        <f>Q266+Q285</f>
        <v>1809.4700000000003</v>
      </c>
      <c r="R287" s="100"/>
      <c r="S287" s="114">
        <f>L287-Q287</f>
        <v>-1809.4700000000003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/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0</v>
      </c>
      <c r="G289" s="153"/>
      <c r="H289" s="125"/>
      <c r="I289" s="127"/>
      <c r="J289" s="154"/>
      <c r="K289" s="126"/>
      <c r="L289" s="127">
        <f>L250-L287</f>
        <v>0</v>
      </c>
      <c r="M289" s="154"/>
      <c r="N289" s="127">
        <f>L289-F289</f>
        <v>0</v>
      </c>
      <c r="O289" s="154"/>
      <c r="P289" s="126"/>
      <c r="Q289" s="127">
        <f>Q250-Q287</f>
        <v>-1641.5000000000014</v>
      </c>
      <c r="R289" s="154"/>
      <c r="S289" s="129">
        <f>L289-Q289</f>
        <v>1641.5000000000014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Juin 2025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507" t="s">
        <v>5</v>
      </c>
      <c r="E293" s="508"/>
      <c r="F293" s="509"/>
      <c r="G293" s="510"/>
      <c r="H293" s="508"/>
      <c r="I293" s="509"/>
      <c r="J293" s="510" t="s">
        <v>7</v>
      </c>
      <c r="K293" s="508"/>
      <c r="L293" s="509"/>
      <c r="M293" s="510" t="s">
        <v>213</v>
      </c>
      <c r="N293" s="509"/>
      <c r="O293" s="507" t="s">
        <v>8</v>
      </c>
      <c r="P293" s="508"/>
      <c r="Q293" s="509"/>
      <c r="R293" s="505" t="s">
        <v>214</v>
      </c>
      <c r="S293" s="506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299" si="65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65"/>
        <v>PiècesPièces Ro Clients</v>
      </c>
      <c r="B295" s="11" t="s">
        <v>98</v>
      </c>
      <c r="C295" s="29" t="s">
        <v>100</v>
      </c>
      <c r="D295" s="82">
        <v>73437.477357331052</v>
      </c>
      <c r="E295" s="148">
        <f>IF(D295=0,0,F295/D295)</f>
        <v>0.41</v>
      </c>
      <c r="F295" s="85">
        <v>30109.36571650573</v>
      </c>
      <c r="G295" s="82"/>
      <c r="H295" s="148"/>
      <c r="I295" s="85"/>
      <c r="J295" s="30">
        <v>60262.31</v>
      </c>
      <c r="K295" s="148">
        <f t="shared" ref="K295:K300" si="66">IF(J295&lt;=0,0,L295/J295)</f>
        <v>0.40968940619767141</v>
      </c>
      <c r="L295" s="33">
        <v>24688.829999999994</v>
      </c>
      <c r="M295" s="157">
        <f t="shared" ref="M295:M301" si="67">(+J295-D295)/D295</f>
        <v>-0.17940658954314986</v>
      </c>
      <c r="N295" s="59">
        <f t="shared" ref="N295:N304" si="68">L295-F295</f>
        <v>-5420.5357165057358</v>
      </c>
      <c r="O295" s="30">
        <v>61151.799999999901</v>
      </c>
      <c r="P295" s="148">
        <f t="shared" ref="P295:P303" si="69">IF(O295=0,0,Q295/O295)</f>
        <v>0.40306450505136299</v>
      </c>
      <c r="Q295" s="33">
        <v>24648.119999999901</v>
      </c>
      <c r="R295" s="157">
        <f>IF(O295=0,0,(J295-O295)/O295)</f>
        <v>-1.4545606180029121E-2</v>
      </c>
      <c r="S295" s="85">
        <f t="shared" ref="S295:S300" si="70">L295-Q295</f>
        <v>40.710000000093714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65"/>
        <v>PiècesPièces Ro Carrosserie</v>
      </c>
      <c r="B296" s="11" t="s">
        <v>98</v>
      </c>
      <c r="C296" s="29" t="s">
        <v>101</v>
      </c>
      <c r="D296" s="82">
        <v>0</v>
      </c>
      <c r="E296" s="148">
        <f t="shared" ref="E296:E300" si="71">IF(D296=0,0,F296/D296)</f>
        <v>0</v>
      </c>
      <c r="F296" s="85">
        <v>0</v>
      </c>
      <c r="G296" s="82"/>
      <c r="H296" s="148"/>
      <c r="I296" s="85"/>
      <c r="J296" s="30">
        <v>3058.82</v>
      </c>
      <c r="K296" s="148">
        <f t="shared" si="66"/>
        <v>0.28573436815504022</v>
      </c>
      <c r="L296" s="33">
        <v>874.01000000000022</v>
      </c>
      <c r="M296" s="157" t="e">
        <f t="shared" si="67"/>
        <v>#DIV/0!</v>
      </c>
      <c r="N296" s="59">
        <f t="shared" si="68"/>
        <v>874.01000000000022</v>
      </c>
      <c r="O296" s="30">
        <v>0</v>
      </c>
      <c r="P296" s="148">
        <f t="shared" si="69"/>
        <v>0</v>
      </c>
      <c r="Q296" s="33">
        <v>0</v>
      </c>
      <c r="R296" s="157">
        <f t="shared" ref="R296:R300" si="72">IF(O296=0,0,(J296-O296)/O296)</f>
        <v>0</v>
      </c>
      <c r="S296" s="85">
        <f t="shared" si="70"/>
        <v>874.01000000000022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65"/>
        <v>PiècesP/A Garantie</v>
      </c>
      <c r="B297" s="11" t="s">
        <v>98</v>
      </c>
      <c r="C297" s="29" t="s">
        <v>102</v>
      </c>
      <c r="D297" s="82">
        <v>53061.793248402479</v>
      </c>
      <c r="E297" s="148">
        <f t="shared" si="71"/>
        <v>0.28499999999999998</v>
      </c>
      <c r="F297" s="85">
        <v>15122.611075794704</v>
      </c>
      <c r="G297" s="82"/>
      <c r="H297" s="148"/>
      <c r="I297" s="85"/>
      <c r="J297" s="30">
        <v>66450.84</v>
      </c>
      <c r="K297" s="148">
        <f t="shared" si="66"/>
        <v>0.28603746769792537</v>
      </c>
      <c r="L297" s="33">
        <v>19007.430000000008</v>
      </c>
      <c r="M297" s="157">
        <f t="shared" si="67"/>
        <v>0.25232933023801679</v>
      </c>
      <c r="N297" s="59">
        <f t="shared" si="68"/>
        <v>3884.8189242053031</v>
      </c>
      <c r="O297" s="30">
        <v>52884.57</v>
      </c>
      <c r="P297" s="148">
        <f t="shared" si="69"/>
        <v>0.2864154894329291</v>
      </c>
      <c r="Q297" s="33">
        <v>15146.96</v>
      </c>
      <c r="R297" s="157">
        <f t="shared" si="72"/>
        <v>0.25652605287326713</v>
      </c>
      <c r="S297" s="85">
        <f t="shared" si="70"/>
        <v>3860.4700000000084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65"/>
        <v>PiècesVentes Internes</v>
      </c>
      <c r="B298" s="11" t="s">
        <v>98</v>
      </c>
      <c r="C298" s="29" t="s">
        <v>103</v>
      </c>
      <c r="D298" s="82">
        <v>16304.778677468865</v>
      </c>
      <c r="E298" s="148">
        <f t="shared" si="71"/>
        <v>0.35</v>
      </c>
      <c r="F298" s="85">
        <v>5706.6725371141019</v>
      </c>
      <c r="G298" s="82"/>
      <c r="H298" s="148"/>
      <c r="I298" s="85"/>
      <c r="J298" s="30">
        <v>23272.43</v>
      </c>
      <c r="K298" s="148">
        <f t="shared" si="66"/>
        <v>0.32713128796606117</v>
      </c>
      <c r="L298" s="33">
        <v>7613.1400000000012</v>
      </c>
      <c r="M298" s="157">
        <f t="shared" si="67"/>
        <v>0.42733798847325327</v>
      </c>
      <c r="N298" s="59">
        <f t="shared" si="68"/>
        <v>1906.4674628858993</v>
      </c>
      <c r="O298" s="30">
        <v>12460.92</v>
      </c>
      <c r="P298" s="148">
        <f t="shared" si="69"/>
        <v>0.2860117872516636</v>
      </c>
      <c r="Q298" s="33">
        <v>3563.97</v>
      </c>
      <c r="R298" s="157">
        <f t="shared" si="72"/>
        <v>0.86763336896473131</v>
      </c>
      <c r="S298" s="85">
        <f t="shared" si="70"/>
        <v>4049.1700000000014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65"/>
        <v>PiècesVentes Détails</v>
      </c>
      <c r="B299" s="11" t="s">
        <v>98</v>
      </c>
      <c r="C299" s="29" t="s">
        <v>104</v>
      </c>
      <c r="D299" s="82">
        <v>27408.664282225782</v>
      </c>
      <c r="E299" s="148">
        <f t="shared" si="71"/>
        <v>0.3</v>
      </c>
      <c r="F299" s="85">
        <v>8222.5992846677345</v>
      </c>
      <c r="G299" s="82"/>
      <c r="H299" s="148"/>
      <c r="I299" s="85"/>
      <c r="J299" s="30">
        <v>18082.54</v>
      </c>
      <c r="K299" s="148">
        <f t="shared" si="66"/>
        <v>0.32192103542975714</v>
      </c>
      <c r="L299" s="33">
        <v>5821.1500000000015</v>
      </c>
      <c r="M299" s="157">
        <f t="shared" si="67"/>
        <v>-0.34026190354243824</v>
      </c>
      <c r="N299" s="59">
        <f t="shared" si="68"/>
        <v>-2401.4492846677331</v>
      </c>
      <c r="O299" s="30">
        <v>23921.72</v>
      </c>
      <c r="P299" s="148">
        <f t="shared" si="69"/>
        <v>0.29105850248226295</v>
      </c>
      <c r="Q299" s="33">
        <v>6962.62</v>
      </c>
      <c r="R299" s="157">
        <f t="shared" si="72"/>
        <v>-0.24409532424925967</v>
      </c>
      <c r="S299" s="85">
        <f t="shared" si="70"/>
        <v>-1141.4699999999984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>+B300&amp;C300</f>
        <v>PiècesVentes de Gros</v>
      </c>
      <c r="B300" s="11" t="s">
        <v>98</v>
      </c>
      <c r="C300" s="29" t="s">
        <v>105</v>
      </c>
      <c r="D300" s="82">
        <v>56812.803074842457</v>
      </c>
      <c r="E300" s="148">
        <f t="shared" si="71"/>
        <v>0.2</v>
      </c>
      <c r="F300" s="85">
        <v>11362.560614968492</v>
      </c>
      <c r="G300" s="82"/>
      <c r="H300" s="148"/>
      <c r="I300" s="85"/>
      <c r="J300" s="30">
        <v>56850.57</v>
      </c>
      <c r="K300" s="148">
        <f t="shared" si="66"/>
        <v>0.18463948558475315</v>
      </c>
      <c r="L300" s="33">
        <v>10496.86</v>
      </c>
      <c r="M300" s="157">
        <f t="shared" si="67"/>
        <v>6.6476081294193916E-4</v>
      </c>
      <c r="N300" s="59">
        <f t="shared" si="68"/>
        <v>-865.70061496849121</v>
      </c>
      <c r="O300" s="30">
        <v>58077.85</v>
      </c>
      <c r="P300" s="148">
        <f t="shared" si="69"/>
        <v>0.20469146154687201</v>
      </c>
      <c r="Q300" s="33">
        <v>11888.04</v>
      </c>
      <c r="R300" s="157">
        <f t="shared" si="72"/>
        <v>-2.1131636243421525E-2</v>
      </c>
      <c r="S300" s="85">
        <f t="shared" si="70"/>
        <v>-1391.1800000000003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>+B301&amp;C301</f>
        <v>Pièces[...]</v>
      </c>
      <c r="B301" s="11" t="s">
        <v>98</v>
      </c>
      <c r="C301" s="29" t="s">
        <v>19</v>
      </c>
      <c r="D301" s="82">
        <v>0</v>
      </c>
      <c r="E301" s="148">
        <f>IF(D301=0,0,F301/D301)</f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67"/>
        <v>#DIV/0!</v>
      </c>
      <c r="N301" s="59">
        <f t="shared" si="68"/>
        <v>0</v>
      </c>
      <c r="O301" s="30">
        <v>0</v>
      </c>
      <c r="P301" s="148">
        <f t="shared" si="69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ref="A302:A321" si="73">+B302&amp;C302</f>
        <v>PiècesEscomptes</v>
      </c>
      <c r="B302" s="11" t="s">
        <v>98</v>
      </c>
      <c r="C302" s="29" t="s">
        <v>106</v>
      </c>
      <c r="D302" s="82">
        <v>0</v>
      </c>
      <c r="E302" s="148">
        <f t="shared" ref="E302:E303" si="74">IF(D302=0,0,F302/D302)</f>
        <v>0</v>
      </c>
      <c r="F302" s="85">
        <v>5939.2492077668803</v>
      </c>
      <c r="G302" s="82"/>
      <c r="H302" s="148"/>
      <c r="I302" s="85"/>
      <c r="J302" s="30">
        <v>0</v>
      </c>
      <c r="K302" s="148">
        <f>IF(J302&lt;=0,0,L302/J302)</f>
        <v>0</v>
      </c>
      <c r="L302" s="33">
        <v>4225.6499999999996</v>
      </c>
      <c r="M302" s="157"/>
      <c r="N302" s="59">
        <f t="shared" si="68"/>
        <v>-1713.5992077668807</v>
      </c>
      <c r="O302" s="30">
        <v>0</v>
      </c>
      <c r="P302" s="148">
        <f t="shared" si="69"/>
        <v>0</v>
      </c>
      <c r="Q302" s="33">
        <v>3795.3</v>
      </c>
      <c r="R302" s="157">
        <f t="shared" ref="R302:R303" si="75">IF(O302=0,0,(J302-O302)/O302)</f>
        <v>0</v>
      </c>
      <c r="S302" s="85">
        <f>L302-Q302</f>
        <v>430.34999999999945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73"/>
        <v>PiècesRectif. Inventaire</v>
      </c>
      <c r="B303" s="11" t="s">
        <v>98</v>
      </c>
      <c r="C303" s="86" t="s">
        <v>107</v>
      </c>
      <c r="D303" s="82">
        <v>0</v>
      </c>
      <c r="E303" s="148">
        <f t="shared" si="74"/>
        <v>0</v>
      </c>
      <c r="F303" s="85">
        <v>0</v>
      </c>
      <c r="G303" s="82"/>
      <c r="H303" s="148"/>
      <c r="I303" s="85"/>
      <c r="J303" s="30">
        <v>0</v>
      </c>
      <c r="K303" s="148">
        <f>IF(J303&lt;=0,0,L303/J303)</f>
        <v>0</v>
      </c>
      <c r="L303" s="33">
        <v>0</v>
      </c>
      <c r="M303" s="157"/>
      <c r="N303" s="59">
        <f t="shared" si="68"/>
        <v>0</v>
      </c>
      <c r="O303" s="30">
        <v>0</v>
      </c>
      <c r="P303" s="148">
        <f t="shared" si="69"/>
        <v>0</v>
      </c>
      <c r="Q303" s="33">
        <v>0</v>
      </c>
      <c r="R303" s="157">
        <f t="shared" si="75"/>
        <v>0</v>
      </c>
      <c r="S303" s="85">
        <f>L303-Q303</f>
        <v>0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73"/>
        <v>PiècesSous-total Pièces</v>
      </c>
      <c r="B304" s="11" t="s">
        <v>98</v>
      </c>
      <c r="C304" s="53" t="s">
        <v>108</v>
      </c>
      <c r="D304" s="195">
        <f>SUM(D295:D303)</f>
        <v>227025.51664027062</v>
      </c>
      <c r="E304" s="213">
        <f>IF(D304&lt;=0,0,F304/D304)</f>
        <v>0.33680380764412432</v>
      </c>
      <c r="F304" s="199">
        <f>SUM(F295:F303)</f>
        <v>76463.05843681765</v>
      </c>
      <c r="G304" s="195"/>
      <c r="H304" s="213"/>
      <c r="I304" s="199"/>
      <c r="J304" s="195">
        <f>SUM(J295:J303)</f>
        <v>227977.51</v>
      </c>
      <c r="K304" s="213">
        <f>IF(J304&lt;=0,0,L304/J304)</f>
        <v>0.31900984443597091</v>
      </c>
      <c r="L304" s="197">
        <f>SUM(L295:L303)</f>
        <v>72727.070000000007</v>
      </c>
      <c r="M304" s="214">
        <f>(+J304-D304)/D304</f>
        <v>4.1933319823156722E-3</v>
      </c>
      <c r="N304" s="197">
        <f t="shared" si="68"/>
        <v>-3735.9884368176427</v>
      </c>
      <c r="O304" s="195">
        <f>SUM(O295:O303)</f>
        <v>208496.8599999999</v>
      </c>
      <c r="P304" s="213">
        <f>IF(O304&lt;=0,0,Q304/O304)</f>
        <v>0.31657555897964096</v>
      </c>
      <c r="Q304" s="197">
        <f t="shared" ref="Q304" si="76">SUM(Q295:Q303)</f>
        <v>66005.009999999907</v>
      </c>
      <c r="R304" s="214">
        <f>IF(O304=0,0,(J304-O304)/O304)</f>
        <v>9.3433781208983768E-2</v>
      </c>
      <c r="S304" s="199">
        <f>L304-Q304</f>
        <v>6722.0600000000995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73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-4.8860044486773113E-2</v>
      </c>
      <c r="O305" s="41"/>
      <c r="P305" s="13"/>
      <c r="Q305" s="40"/>
      <c r="R305" s="41"/>
      <c r="S305" s="44">
        <f>IF(Q304=0,0,S304/Q304)</f>
        <v>0.10184166323132303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73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73"/>
        <v>PiècesVentes Pneus</v>
      </c>
      <c r="B307" s="11" t="s">
        <v>98</v>
      </c>
      <c r="C307" s="29" t="s">
        <v>109</v>
      </c>
      <c r="D307" s="82">
        <v>50681.855057798777</v>
      </c>
      <c r="E307" s="148">
        <f>IF(D307=0,0,F307/D307)</f>
        <v>0.24000000000000002</v>
      </c>
      <c r="F307" s="110">
        <v>12163.645213871707</v>
      </c>
      <c r="G307" s="82"/>
      <c r="H307" s="148"/>
      <c r="I307" s="110"/>
      <c r="J307" s="30">
        <v>52130.46</v>
      </c>
      <c r="K307" s="148">
        <f>IF(J307&lt;=0,0,L307/J307)</f>
        <v>0.26498864579364917</v>
      </c>
      <c r="L307" s="33">
        <v>13813.979999999996</v>
      </c>
      <c r="M307" s="157">
        <f>(+J307-D307)/D307</f>
        <v>2.858231887031757E-2</v>
      </c>
      <c r="N307" s="59">
        <f>L307-F307</f>
        <v>1650.3347861282891</v>
      </c>
      <c r="O307" s="30">
        <v>46274.18</v>
      </c>
      <c r="P307" s="148">
        <f t="shared" ref="P307:P308" si="77">IF(O307=0,0,Q307/O307)</f>
        <v>0.24318291539688008</v>
      </c>
      <c r="Q307" s="33">
        <v>11253.09</v>
      </c>
      <c r="R307" s="157">
        <f>IF(O307=0,0,(J307-O307)/O307)</f>
        <v>0.12655610537020859</v>
      </c>
      <c r="S307" s="85">
        <f>L307-Q307</f>
        <v>2560.8899999999958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73"/>
        <v>PiècesHuiles et Graisse</v>
      </c>
      <c r="B308" s="11" t="s">
        <v>98</v>
      </c>
      <c r="C308" s="86" t="s">
        <v>110</v>
      </c>
      <c r="D308" s="82">
        <v>13058.864480826443</v>
      </c>
      <c r="E308" s="148">
        <f>IF(D308=0,0,F308/D308)</f>
        <v>0.34399999999999997</v>
      </c>
      <c r="F308" s="92">
        <v>4492.2493814042964</v>
      </c>
      <c r="G308" s="82"/>
      <c r="H308" s="148"/>
      <c r="I308" s="92"/>
      <c r="J308" s="30">
        <v>11683.48</v>
      </c>
      <c r="K308" s="148">
        <f>IF(J308&lt;=0,0,L308/J308)</f>
        <v>0.35906082776706943</v>
      </c>
      <c r="L308" s="33">
        <v>4195.08</v>
      </c>
      <c r="M308" s="157">
        <f>(+J308-D308)/D308</f>
        <v>-0.10532190473726405</v>
      </c>
      <c r="N308" s="59">
        <f>L308-F308</f>
        <v>-297.16938140429647</v>
      </c>
      <c r="O308" s="30">
        <v>10745.01</v>
      </c>
      <c r="P308" s="148">
        <f t="shared" si="77"/>
        <v>0.35992241980230821</v>
      </c>
      <c r="Q308" s="33">
        <v>3867.37</v>
      </c>
      <c r="R308" s="157">
        <f>IF(O308=0,0,(J308-O308)/O308)</f>
        <v>8.7340076928732441E-2</v>
      </c>
      <c r="S308" s="85">
        <f>L308-Q308</f>
        <v>327.71000000000004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73"/>
        <v>PiècesSous-total Pièces et Acc.</v>
      </c>
      <c r="B309" s="11" t="s">
        <v>98</v>
      </c>
      <c r="C309" s="53" t="s">
        <v>111</v>
      </c>
      <c r="D309" s="195">
        <f>D304+D307+D308</f>
        <v>290766.23617889581</v>
      </c>
      <c r="E309" s="213">
        <f>IF(D309&lt;=0,0,F309/D309)</f>
        <v>0.3202536658169679</v>
      </c>
      <c r="F309" s="197">
        <f>F304+F307+F308</f>
        <v>93118.953032093661</v>
      </c>
      <c r="G309" s="198"/>
      <c r="H309" s="213"/>
      <c r="I309" s="197"/>
      <c r="J309" s="198">
        <f>J304+J307+J308</f>
        <v>291791.45</v>
      </c>
      <c r="K309" s="213">
        <f>IF(J309&lt;=0,0,L309/J309)</f>
        <v>0.3109622643158324</v>
      </c>
      <c r="L309" s="197">
        <f>L304+L307+L308</f>
        <v>90736.13</v>
      </c>
      <c r="M309" s="214">
        <f>(+J309-D309)/D309</f>
        <v>3.5259039514939912E-3</v>
      </c>
      <c r="N309" s="197">
        <f>L309-F309</f>
        <v>-2382.8230320936564</v>
      </c>
      <c r="O309" s="198">
        <f>O304+O307+O308</f>
        <v>265516.04999999987</v>
      </c>
      <c r="P309" s="213">
        <f>IF(O309&lt;=0,0,Q309/O309)</f>
        <v>0.30553885537239628</v>
      </c>
      <c r="Q309" s="197">
        <f t="shared" ref="Q309" si="78">Q304+Q307+Q308</f>
        <v>81125.469999999899</v>
      </c>
      <c r="R309" s="214">
        <f>IF(O309=0,0,(J309-O309)/O309)</f>
        <v>9.8959742734950118E-2</v>
      </c>
      <c r="S309" s="199">
        <f>L309-Q309</f>
        <v>9610.6600000001054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73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-2.5589023013096065E-2</v>
      </c>
      <c r="O310" s="41"/>
      <c r="P310" s="13"/>
      <c r="Q310" s="40"/>
      <c r="R310" s="41"/>
      <c r="S310" s="44">
        <f>IF(Q309=0,0,S309/Q309)</f>
        <v>0.11846661720419145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73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73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73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73"/>
        <v>PiècesTotal Dépt. Pièces</v>
      </c>
      <c r="B314" s="11" t="s">
        <v>98</v>
      </c>
      <c r="C314" s="62" t="s">
        <v>113</v>
      </c>
      <c r="D314" s="63">
        <f>D309+D312</f>
        <v>290766.23617889581</v>
      </c>
      <c r="E314" s="219">
        <f>IF(D314&lt;=0,0,F314/D314)</f>
        <v>0.3202536658169679</v>
      </c>
      <c r="F314" s="65">
        <f>F309+F312</f>
        <v>93118.953032093661</v>
      </c>
      <c r="G314" s="66"/>
      <c r="H314" s="219"/>
      <c r="I314" s="65"/>
      <c r="J314" s="66">
        <f>J309+J312</f>
        <v>291791.45</v>
      </c>
      <c r="K314" s="219">
        <f>IF(J314&lt;=0,0,L314/J314)</f>
        <v>0.3109622643158324</v>
      </c>
      <c r="L314" s="65">
        <f>L309+L312</f>
        <v>90736.13</v>
      </c>
      <c r="M314" s="220">
        <f>(+J314-D314)/D314</f>
        <v>3.5259039514939912E-3</v>
      </c>
      <c r="N314" s="221">
        <f>L314-F314</f>
        <v>-2382.8230320936564</v>
      </c>
      <c r="O314" s="66">
        <f>O309+O312</f>
        <v>265516.04999999987</v>
      </c>
      <c r="P314" s="219">
        <f>IF(O314&lt;=0,0,Q314/O314)</f>
        <v>0.30553885537239628</v>
      </c>
      <c r="Q314" s="65">
        <f t="shared" ref="Q314" si="79">Q309+Q312</f>
        <v>81125.469999999899</v>
      </c>
      <c r="R314" s="220">
        <f>IF(O314=0,0,(J314-O314)/O314)</f>
        <v>9.8959742734950118E-2</v>
      </c>
      <c r="S314" s="222">
        <f>L314-Q314</f>
        <v>9610.6600000001054</v>
      </c>
      <c r="T314" s="13"/>
      <c r="U314" s="13"/>
      <c r="V314" s="11" t="s">
        <v>221</v>
      </c>
      <c r="W314" s="497">
        <v>89806</v>
      </c>
      <c r="X314" s="490">
        <f>L314-W314</f>
        <v>930.13000000000466</v>
      </c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73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-2.5589023013096065E-2</v>
      </c>
      <c r="O315" s="227"/>
      <c r="P315" s="225"/>
      <c r="Q315" s="226"/>
      <c r="R315" s="228"/>
      <c r="S315" s="75">
        <f>IF(Q314=0,0,S314/Q314)</f>
        <v>0.11846661720419145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73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73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73"/>
        <v>PiècesSalaires cadres</v>
      </c>
      <c r="B318" s="11" t="s">
        <v>98</v>
      </c>
      <c r="C318" s="102" t="s">
        <v>40</v>
      </c>
      <c r="D318" s="13"/>
      <c r="E318" s="13"/>
      <c r="F318" s="30">
        <v>4223.8317418213974</v>
      </c>
      <c r="G318" s="41"/>
      <c r="H318" s="13"/>
      <c r="I318" s="30"/>
      <c r="J318" s="41"/>
      <c r="K318" s="13"/>
      <c r="L318" s="33">
        <v>4248.16</v>
      </c>
      <c r="M318" s="41"/>
      <c r="N318" s="59">
        <f t="shared" ref="N318:N348" si="80">L318-F318</f>
        <v>24.328258178602482</v>
      </c>
      <c r="O318" s="41"/>
      <c r="P318" s="13"/>
      <c r="Q318" s="33">
        <v>3141.4</v>
      </c>
      <c r="R318" s="41"/>
      <c r="S318" s="85">
        <f t="shared" ref="S318:S321" si="81">L318-Q318</f>
        <v>1106.7599999999998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73"/>
        <v>PiècesSalaires commis</v>
      </c>
      <c r="B319" s="11" t="s">
        <v>98</v>
      </c>
      <c r="C319" s="103" t="s">
        <v>41</v>
      </c>
      <c r="D319" s="81"/>
      <c r="E319" s="13"/>
      <c r="F319" s="22">
        <v>2755.4045977011497</v>
      </c>
      <c r="G319" s="83"/>
      <c r="H319" s="13"/>
      <c r="I319" s="22"/>
      <c r="J319" s="41"/>
      <c r="K319" s="13"/>
      <c r="L319" s="33">
        <v>2912.87</v>
      </c>
      <c r="M319" s="41"/>
      <c r="N319" s="59">
        <f t="shared" si="80"/>
        <v>157.46540229885022</v>
      </c>
      <c r="O319" s="41"/>
      <c r="P319" s="13"/>
      <c r="Q319" s="33">
        <v>2723.56</v>
      </c>
      <c r="R319" s="41"/>
      <c r="S319" s="85">
        <f t="shared" si="81"/>
        <v>189.30999999999995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73"/>
        <v>PiècesSalaires autres</v>
      </c>
      <c r="B320" s="11" t="s">
        <v>98</v>
      </c>
      <c r="C320" s="102" t="s">
        <v>42</v>
      </c>
      <c r="D320" s="104"/>
      <c r="E320" s="105"/>
      <c r="F320" s="30">
        <v>13251.390114942529</v>
      </c>
      <c r="G320" s="106"/>
      <c r="H320" s="105"/>
      <c r="I320" s="30"/>
      <c r="J320" s="107"/>
      <c r="K320" s="105"/>
      <c r="L320" s="108">
        <v>14404.7</v>
      </c>
      <c r="M320" s="107"/>
      <c r="N320" s="109">
        <f t="shared" si="80"/>
        <v>1153.3098850574715</v>
      </c>
      <c r="O320" s="107"/>
      <c r="P320" s="105"/>
      <c r="Q320" s="108">
        <v>10283.9</v>
      </c>
      <c r="R320" s="107"/>
      <c r="S320" s="110">
        <f t="shared" si="81"/>
        <v>4120.8000000000011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 hidden="1">
      <c r="A321" t="str">
        <f t="shared" si="73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80"/>
        <v>0</v>
      </c>
      <c r="O321" s="41"/>
      <c r="P321" s="13"/>
      <c r="Q321" s="33">
        <v>0</v>
      </c>
      <c r="R321" s="41"/>
      <c r="S321" s="85">
        <f t="shared" si="81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>+B322&amp;C322</f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80"/>
        <v>0</v>
      </c>
      <c r="O322" s="41"/>
      <c r="P322" s="13"/>
      <c r="Q322" s="33"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>+B323&amp;C323</f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80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>+B324&amp;C324</f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80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ref="A325:A336" si="82">+B325&amp;C325</f>
        <v>PiècesSalaires en absences</v>
      </c>
      <c r="B325" s="11" t="s">
        <v>98</v>
      </c>
      <c r="C325" s="103" t="s">
        <v>44</v>
      </c>
      <c r="D325" s="81"/>
      <c r="E325" s="13"/>
      <c r="F325" s="22">
        <v>2679.1297096568574</v>
      </c>
      <c r="G325" s="83"/>
      <c r="H325" s="13"/>
      <c r="I325" s="22"/>
      <c r="J325" s="41"/>
      <c r="K325" s="13"/>
      <c r="L325" s="33">
        <v>2715.79</v>
      </c>
      <c r="M325" s="41"/>
      <c r="N325" s="59">
        <f t="shared" si="80"/>
        <v>36.660290343142606</v>
      </c>
      <c r="O325" s="41"/>
      <c r="P325" s="13"/>
      <c r="Q325" s="33">
        <v>1995.77</v>
      </c>
      <c r="R325" s="41"/>
      <c r="S325" s="85">
        <f t="shared" ref="S325:S336" si="83">L325-Q325</f>
        <v>720.02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82"/>
        <v>PiècesDéduction à la source</v>
      </c>
      <c r="B326" s="11" t="s">
        <v>98</v>
      </c>
      <c r="C326" s="102" t="s">
        <v>45</v>
      </c>
      <c r="D326" s="104"/>
      <c r="E326" s="105"/>
      <c r="F326" s="30">
        <v>3081.5290640495141</v>
      </c>
      <c r="G326" s="106"/>
      <c r="H326" s="105"/>
      <c r="I326" s="30"/>
      <c r="J326" s="107"/>
      <c r="K326" s="105"/>
      <c r="L326" s="108">
        <v>3673.68</v>
      </c>
      <c r="M326" s="107"/>
      <c r="N326" s="109">
        <f t="shared" si="80"/>
        <v>592.15093595048575</v>
      </c>
      <c r="O326" s="107"/>
      <c r="P326" s="105"/>
      <c r="Q326" s="108">
        <v>3366.27</v>
      </c>
      <c r="R326" s="107"/>
      <c r="S326" s="110">
        <f t="shared" si="83"/>
        <v>307.40999999999985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82"/>
        <v>PiècesBénéfices marginaux</v>
      </c>
      <c r="B327" s="11" t="s">
        <v>98</v>
      </c>
      <c r="C327" s="102" t="s">
        <v>46</v>
      </c>
      <c r="D327" s="81"/>
      <c r="E327" s="13"/>
      <c r="F327" s="30">
        <v>1609.7539886825821</v>
      </c>
      <c r="G327" s="83"/>
      <c r="H327" s="13"/>
      <c r="I327" s="30"/>
      <c r="J327" s="41"/>
      <c r="K327" s="13"/>
      <c r="L327" s="33">
        <v>1683.65</v>
      </c>
      <c r="M327" s="41"/>
      <c r="N327" s="59">
        <f t="shared" si="80"/>
        <v>73.896011317418015</v>
      </c>
      <c r="O327" s="41"/>
      <c r="P327" s="13"/>
      <c r="Q327" s="33">
        <v>1348.9</v>
      </c>
      <c r="R327" s="41"/>
      <c r="S327" s="85">
        <f t="shared" si="83"/>
        <v>334.75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82"/>
        <v>PiècesCsst</v>
      </c>
      <c r="B328" s="11" t="s">
        <v>98</v>
      </c>
      <c r="C328" s="102" t="s">
        <v>47</v>
      </c>
      <c r="D328" s="81"/>
      <c r="E328" s="13"/>
      <c r="F328" s="30">
        <v>344.94728328912464</v>
      </c>
      <c r="G328" s="83"/>
      <c r="H328" s="13"/>
      <c r="I328" s="30"/>
      <c r="J328" s="41"/>
      <c r="K328" s="13"/>
      <c r="L328" s="33">
        <v>934.32</v>
      </c>
      <c r="M328" s="467"/>
      <c r="N328" s="146">
        <f t="shared" si="80"/>
        <v>589.37271671087547</v>
      </c>
      <c r="O328" s="41"/>
      <c r="P328" s="13"/>
      <c r="Q328" s="33">
        <v>272.83</v>
      </c>
      <c r="R328" s="41"/>
      <c r="S328" s="85">
        <f t="shared" si="83"/>
        <v>661.49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82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80"/>
        <v>0</v>
      </c>
      <c r="O329" s="23"/>
      <c r="P329" s="111"/>
      <c r="Q329" s="33">
        <v>0</v>
      </c>
      <c r="R329" s="23"/>
      <c r="S329" s="92">
        <f t="shared" si="83"/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82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0.30011061755077412</v>
      </c>
      <c r="F330" s="96">
        <f>+SUM(F318:F329)</f>
        <v>27945.986500143157</v>
      </c>
      <c r="G330" s="97"/>
      <c r="H330" s="95"/>
      <c r="I330" s="96"/>
      <c r="J330" s="97" t="s">
        <v>38</v>
      </c>
      <c r="K330" s="95">
        <f>L330/L$314</f>
        <v>0.33694593322417432</v>
      </c>
      <c r="L330" s="96">
        <f>+SUM(L318:L329)</f>
        <v>30573.170000000002</v>
      </c>
      <c r="M330" s="147"/>
      <c r="N330" s="113">
        <f t="shared" si="80"/>
        <v>2627.1834998568447</v>
      </c>
      <c r="O330" s="97" t="s">
        <v>38</v>
      </c>
      <c r="P330" s="95">
        <f>Q330/Q$314</f>
        <v>0.2851463295066276</v>
      </c>
      <c r="Q330" s="96">
        <f>+SUM(Q318:Q329)</f>
        <v>23132.630000000005</v>
      </c>
      <c r="R330" s="147"/>
      <c r="S330" s="114">
        <f t="shared" si="83"/>
        <v>7440.5399999999972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82"/>
        <v>PiècesPublicité 2</v>
      </c>
      <c r="B331" s="11" t="s">
        <v>98</v>
      </c>
      <c r="C331" s="211" t="s">
        <v>49</v>
      </c>
      <c r="D331" s="81"/>
      <c r="E331" s="13"/>
      <c r="F331" s="30">
        <v>2535.0526389964471</v>
      </c>
      <c r="G331" s="83"/>
      <c r="H331" s="13"/>
      <c r="I331" s="30"/>
      <c r="J331" s="41"/>
      <c r="K331" s="13"/>
      <c r="L331" s="33">
        <v>2208.88</v>
      </c>
      <c r="M331" s="41"/>
      <c r="N331" s="59">
        <f t="shared" si="80"/>
        <v>-326.17263899644695</v>
      </c>
      <c r="O331" s="41"/>
      <c r="P331" s="13"/>
      <c r="Q331" s="33">
        <v>2182.64</v>
      </c>
      <c r="R331" s="41"/>
      <c r="S331" s="85">
        <f t="shared" si="83"/>
        <v>26.240000000000236</v>
      </c>
      <c r="T331" s="13"/>
      <c r="U331" s="13"/>
      <c r="V331" s="462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82"/>
        <v>PiècesService gratuit 2</v>
      </c>
      <c r="B332" s="11" t="s">
        <v>98</v>
      </c>
      <c r="C332" s="102" t="s">
        <v>50</v>
      </c>
      <c r="D332" s="81"/>
      <c r="E332" s="13"/>
      <c r="F332" s="30">
        <v>575</v>
      </c>
      <c r="G332" s="83"/>
      <c r="H332" s="13"/>
      <c r="I332" s="30"/>
      <c r="J332" s="41"/>
      <c r="K332" s="13"/>
      <c r="L332" s="30">
        <v>447.1</v>
      </c>
      <c r="M332" s="41"/>
      <c r="N332" s="59">
        <f t="shared" si="80"/>
        <v>-127.89999999999998</v>
      </c>
      <c r="O332" s="41"/>
      <c r="P332" s="13"/>
      <c r="Q332" s="33">
        <v>118.54</v>
      </c>
      <c r="R332" s="41"/>
      <c r="S332" s="85">
        <f t="shared" si="83"/>
        <v>328.56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82"/>
        <v>PiècesFrais véhicules de cie</v>
      </c>
      <c r="B333" s="11" t="s">
        <v>98</v>
      </c>
      <c r="C333" s="103" t="s">
        <v>51</v>
      </c>
      <c r="D333" s="87"/>
      <c r="E333" s="111"/>
      <c r="F333" s="22">
        <v>4753.9333333333334</v>
      </c>
      <c r="G333" s="89"/>
      <c r="H333" s="111"/>
      <c r="I333" s="22"/>
      <c r="J333" s="23"/>
      <c r="K333" s="111"/>
      <c r="L333" s="22">
        <v>3862.5299999999997</v>
      </c>
      <c r="M333" s="23"/>
      <c r="N333" s="91">
        <f t="shared" si="80"/>
        <v>-891.40333333333365</v>
      </c>
      <c r="O333" s="23"/>
      <c r="P333" s="111"/>
      <c r="Q333" s="33">
        <v>4832.04</v>
      </c>
      <c r="R333" s="23"/>
      <c r="S333" s="92">
        <f t="shared" si="83"/>
        <v>-969.51000000000022</v>
      </c>
      <c r="T333" s="13"/>
      <c r="U333" s="13"/>
      <c r="V333" s="462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82"/>
        <v>PiècesInformatique</v>
      </c>
      <c r="B334" s="11" t="s">
        <v>98</v>
      </c>
      <c r="C334" s="102" t="s">
        <v>52</v>
      </c>
      <c r="D334" s="81"/>
      <c r="E334" s="13"/>
      <c r="F334" s="30">
        <v>1826.8000000000002</v>
      </c>
      <c r="G334" s="83"/>
      <c r="H334" s="13"/>
      <c r="I334" s="30"/>
      <c r="J334" s="41"/>
      <c r="K334" s="13"/>
      <c r="L334" s="108">
        <v>1841.62</v>
      </c>
      <c r="M334" s="41"/>
      <c r="N334" s="59">
        <f t="shared" si="80"/>
        <v>14.819999999999709</v>
      </c>
      <c r="O334" s="41"/>
      <c r="P334" s="13"/>
      <c r="Q334" s="108">
        <v>1709.27</v>
      </c>
      <c r="R334" s="41"/>
      <c r="S334" s="85">
        <f t="shared" si="83"/>
        <v>132.34999999999991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82"/>
        <v>PiècesFrais de déplacement</v>
      </c>
      <c r="B335" s="11" t="s">
        <v>98</v>
      </c>
      <c r="C335" s="102" t="s">
        <v>53</v>
      </c>
      <c r="D335" s="81"/>
      <c r="E335" s="13"/>
      <c r="F335" s="30">
        <v>366.66666666666669</v>
      </c>
      <c r="G335" s="83"/>
      <c r="H335" s="13"/>
      <c r="I335" s="30"/>
      <c r="J335" s="41"/>
      <c r="K335" s="13"/>
      <c r="L335" s="33">
        <v>190.86</v>
      </c>
      <c r="M335" s="41"/>
      <c r="N335" s="59">
        <f t="shared" si="80"/>
        <v>-175.80666666666667</v>
      </c>
      <c r="O335" s="41"/>
      <c r="P335" s="13"/>
      <c r="Q335" s="33">
        <v>146.58000000000001</v>
      </c>
      <c r="R335" s="41"/>
      <c r="S335" s="85">
        <f t="shared" si="83"/>
        <v>44.28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82"/>
        <v>PiècesServices extérieurs</v>
      </c>
      <c r="B336" s="11" t="s">
        <v>98</v>
      </c>
      <c r="C336" s="230" t="s">
        <v>54</v>
      </c>
      <c r="D336" s="87"/>
      <c r="E336" s="111"/>
      <c r="F336" s="22">
        <v>2023.2</v>
      </c>
      <c r="G336" s="89"/>
      <c r="H336" s="111"/>
      <c r="I336" s="22"/>
      <c r="J336" s="23"/>
      <c r="K336" s="111"/>
      <c r="L336" s="48">
        <v>1633.15</v>
      </c>
      <c r="M336" s="23"/>
      <c r="N336" s="91">
        <f t="shared" si="80"/>
        <v>-390.04999999999995</v>
      </c>
      <c r="O336" s="23"/>
      <c r="P336" s="111"/>
      <c r="Q336" s="48">
        <v>1830.59</v>
      </c>
      <c r="R336" s="23"/>
      <c r="S336" s="92">
        <f t="shared" si="83"/>
        <v>-197.43999999999983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 hidden="1">
      <c r="A337" t="str">
        <f>+B337&amp;C337</f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80"/>
        <v>0</v>
      </c>
      <c r="O337" s="41"/>
      <c r="P337" s="13"/>
      <c r="Q337" s="33"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ref="A338:A343" si="84">+B338&amp;C338</f>
        <v>PiècesFournitures autres</v>
      </c>
      <c r="B338" s="11" t="s">
        <v>98</v>
      </c>
      <c r="C338" s="102" t="s">
        <v>55</v>
      </c>
      <c r="D338" s="81"/>
      <c r="E338" s="13"/>
      <c r="F338" s="30">
        <v>10</v>
      </c>
      <c r="G338" s="83"/>
      <c r="H338" s="13"/>
      <c r="I338" s="30"/>
      <c r="J338" s="41"/>
      <c r="K338" s="13"/>
      <c r="L338" s="33">
        <v>61.61</v>
      </c>
      <c r="M338" s="41"/>
      <c r="N338" s="59">
        <f t="shared" si="80"/>
        <v>51.61</v>
      </c>
      <c r="O338" s="41"/>
      <c r="P338" s="13"/>
      <c r="Q338" s="33">
        <v>0</v>
      </c>
      <c r="R338" s="41"/>
      <c r="S338" s="85">
        <f t="shared" ref="S338:S343" si="85">L338-Q338</f>
        <v>61.61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84"/>
        <v>PiècesUniformes</v>
      </c>
      <c r="B339" s="11" t="s">
        <v>98</v>
      </c>
      <c r="C339" s="102" t="s">
        <v>56</v>
      </c>
      <c r="D339" s="81"/>
      <c r="E339" s="13"/>
      <c r="F339" s="30">
        <v>20</v>
      </c>
      <c r="G339" s="83"/>
      <c r="H339" s="13"/>
      <c r="I339" s="30"/>
      <c r="J339" s="41"/>
      <c r="K339" s="13"/>
      <c r="L339" s="33">
        <v>0</v>
      </c>
      <c r="M339" s="41"/>
      <c r="N339" s="59">
        <f t="shared" si="80"/>
        <v>-20</v>
      </c>
      <c r="O339" s="41"/>
      <c r="P339" s="13"/>
      <c r="Q339" s="33">
        <v>34.700000000000003</v>
      </c>
      <c r="R339" s="41"/>
      <c r="S339" s="85">
        <f t="shared" si="85"/>
        <v>-34.700000000000003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84"/>
        <v>PiècesPapeterie</v>
      </c>
      <c r="B340" s="11" t="s">
        <v>98</v>
      </c>
      <c r="C340" s="102" t="s">
        <v>57</v>
      </c>
      <c r="D340" s="81"/>
      <c r="E340" s="13"/>
      <c r="F340" s="30">
        <v>315</v>
      </c>
      <c r="G340" s="83"/>
      <c r="H340" s="13"/>
      <c r="I340" s="30"/>
      <c r="J340" s="41"/>
      <c r="K340" s="13"/>
      <c r="L340" s="32">
        <v>326.68</v>
      </c>
      <c r="M340" s="41"/>
      <c r="N340" s="59">
        <f t="shared" si="80"/>
        <v>11.680000000000007</v>
      </c>
      <c r="O340" s="41"/>
      <c r="P340" s="13"/>
      <c r="Q340" s="32">
        <v>223.46</v>
      </c>
      <c r="R340" s="41"/>
      <c r="S340" s="85">
        <f t="shared" si="85"/>
        <v>103.22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84"/>
        <v>PiècesTéléphone</v>
      </c>
      <c r="B341" s="11" t="s">
        <v>98</v>
      </c>
      <c r="C341" s="102" t="s">
        <v>58</v>
      </c>
      <c r="D341" s="81"/>
      <c r="E341" s="13"/>
      <c r="F341" s="30">
        <v>118.4</v>
      </c>
      <c r="G341" s="83"/>
      <c r="H341" s="13"/>
      <c r="I341" s="30"/>
      <c r="J341" s="41"/>
      <c r="K341" s="13"/>
      <c r="L341" s="33">
        <v>106.04</v>
      </c>
      <c r="M341" s="41"/>
      <c r="N341" s="59">
        <f t="shared" si="80"/>
        <v>-12.36</v>
      </c>
      <c r="O341" s="41"/>
      <c r="P341" s="13"/>
      <c r="Q341" s="33">
        <v>165.65</v>
      </c>
      <c r="R341" s="41"/>
      <c r="S341" s="85">
        <f t="shared" si="85"/>
        <v>-59.61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84"/>
        <v>PiècesFrais postaux</v>
      </c>
      <c r="B342" s="11" t="s">
        <v>98</v>
      </c>
      <c r="C342" s="102" t="s">
        <v>59</v>
      </c>
      <c r="D342" s="81"/>
      <c r="E342" s="13"/>
      <c r="F342" s="30">
        <v>590</v>
      </c>
      <c r="G342" s="83"/>
      <c r="H342" s="13"/>
      <c r="I342" s="30"/>
      <c r="J342" s="41"/>
      <c r="K342" s="13"/>
      <c r="L342" s="33">
        <v>480.69</v>
      </c>
      <c r="M342" s="41"/>
      <c r="N342" s="59">
        <f t="shared" si="80"/>
        <v>-109.31</v>
      </c>
      <c r="O342" s="41"/>
      <c r="P342" s="13"/>
      <c r="Q342" s="33">
        <v>375.15</v>
      </c>
      <c r="R342" s="41"/>
      <c r="S342" s="85">
        <f t="shared" si="85"/>
        <v>105.54000000000002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84"/>
        <v>PiècesDivers</v>
      </c>
      <c r="B343" s="11" t="s">
        <v>98</v>
      </c>
      <c r="C343" s="102" t="s">
        <v>60</v>
      </c>
      <c r="D343" s="81"/>
      <c r="E343" s="13"/>
      <c r="F343" s="30">
        <v>348.20000000000005</v>
      </c>
      <c r="G343" s="83"/>
      <c r="H343" s="13"/>
      <c r="I343" s="30"/>
      <c r="J343" s="41"/>
      <c r="K343" s="13"/>
      <c r="L343" s="33">
        <v>812.2</v>
      </c>
      <c r="M343" s="41"/>
      <c r="N343" s="59">
        <f t="shared" si="80"/>
        <v>464</v>
      </c>
      <c r="O343" s="41"/>
      <c r="P343" s="13"/>
      <c r="Q343" s="33">
        <v>289.2</v>
      </c>
      <c r="R343" s="41"/>
      <c r="S343" s="85">
        <f t="shared" si="85"/>
        <v>523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>+B344&amp;C344</f>
        <v>PiècesFormation</v>
      </c>
      <c r="B344" s="11" t="s">
        <v>98</v>
      </c>
      <c r="C344" s="102" t="s">
        <v>61</v>
      </c>
      <c r="D344" s="81"/>
      <c r="E344" s="13"/>
      <c r="F344" s="30">
        <v>256.41489333333328</v>
      </c>
      <c r="G344" s="83"/>
      <c r="H344" s="13"/>
      <c r="I344" s="30"/>
      <c r="J344" s="41"/>
      <c r="K344" s="13"/>
      <c r="L344" s="59">
        <v>230.03</v>
      </c>
      <c r="M344" s="41"/>
      <c r="N344" s="59">
        <f t="shared" si="80"/>
        <v>-26.384893333333281</v>
      </c>
      <c r="O344" s="41"/>
      <c r="P344" s="13"/>
      <c r="Q344" s="33">
        <v>-21.47</v>
      </c>
      <c r="R344" s="41"/>
      <c r="S344" s="85">
        <f>L344-Q344</f>
        <v>251.5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>+B345&amp;C345</f>
        <v>PiècesFrais bancaires</v>
      </c>
      <c r="B345" s="11" t="s">
        <v>98</v>
      </c>
      <c r="C345" s="102" t="s">
        <v>62</v>
      </c>
      <c r="D345" s="81"/>
      <c r="E345" s="13"/>
      <c r="F345" s="30">
        <v>1315.6194111732602</v>
      </c>
      <c r="G345" s="83"/>
      <c r="H345" s="13"/>
      <c r="I345" s="30"/>
      <c r="J345" s="41"/>
      <c r="K345" s="13"/>
      <c r="L345" s="32">
        <v>1170.72</v>
      </c>
      <c r="M345" s="41"/>
      <c r="N345" s="59">
        <f t="shared" si="80"/>
        <v>-144.89941117326021</v>
      </c>
      <c r="O345" s="41"/>
      <c r="P345" s="13"/>
      <c r="Q345" s="33">
        <v>1094.07</v>
      </c>
      <c r="R345" s="41"/>
      <c r="S345" s="85">
        <f>L345-Q345</f>
        <v>76.650000000000091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>+B346&amp;C346</f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80"/>
        <v>0</v>
      </c>
      <c r="O346" s="41"/>
      <c r="P346" s="13"/>
      <c r="Q346" s="33"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80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80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0.161667270231384</v>
      </c>
      <c r="F349" s="96">
        <f>+SUM(F331:F348)</f>
        <v>15054.286943503041</v>
      </c>
      <c r="G349" s="97"/>
      <c r="H349" s="95"/>
      <c r="I349" s="96"/>
      <c r="J349" s="97" t="s">
        <v>38</v>
      </c>
      <c r="K349" s="95">
        <f>L349/L$314</f>
        <v>0.1473735985874646</v>
      </c>
      <c r="L349" s="96">
        <f>+SUM(L331:L348)</f>
        <v>13372.110000000004</v>
      </c>
      <c r="M349" s="100"/>
      <c r="N349" s="96">
        <f>+SUM(N331:N348)</f>
        <v>-1682.176943503041</v>
      </c>
      <c r="O349" s="97" t="s">
        <v>38</v>
      </c>
      <c r="P349" s="95">
        <f>Q349/Q$314</f>
        <v>0.1600042502065013</v>
      </c>
      <c r="Q349" s="96">
        <f>+SUM(Q331:Q348)</f>
        <v>12980.42</v>
      </c>
      <c r="R349" s="100"/>
      <c r="S349" s="101">
        <f>+SUM(S331:S348)</f>
        <v>391.69000000000011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0.46177788778215811</v>
      </c>
      <c r="F351" s="96">
        <f>F330+F349</f>
        <v>43000.273443646198</v>
      </c>
      <c r="G351" s="97"/>
      <c r="H351" s="95"/>
      <c r="I351" s="96"/>
      <c r="J351" s="97" t="s">
        <v>38</v>
      </c>
      <c r="K351" s="95">
        <f>L351/L$314</f>
        <v>0.48431953181163889</v>
      </c>
      <c r="L351" s="96">
        <f>L330+L349</f>
        <v>43945.280000000006</v>
      </c>
      <c r="M351" s="100"/>
      <c r="N351" s="113">
        <f>L351-F351</f>
        <v>945.00655635380826</v>
      </c>
      <c r="O351" s="97" t="s">
        <v>38</v>
      </c>
      <c r="P351" s="95">
        <f>Q351/Q$314</f>
        <v>0.44515057971312888</v>
      </c>
      <c r="Q351" s="96">
        <f>Q330+Q349</f>
        <v>36113.050000000003</v>
      </c>
      <c r="R351" s="100"/>
      <c r="S351" s="114">
        <f>L351-Q351</f>
        <v>7832.2300000000032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/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50118.679588447463</v>
      </c>
      <c r="G353" s="153"/>
      <c r="H353" s="125"/>
      <c r="I353" s="127"/>
      <c r="J353" s="154"/>
      <c r="K353" s="126"/>
      <c r="L353" s="127">
        <f>L314-L351</f>
        <v>46790.85</v>
      </c>
      <c r="M353" s="154"/>
      <c r="N353" s="127">
        <f>L353-F353</f>
        <v>-3327.8295884474646</v>
      </c>
      <c r="O353" s="154"/>
      <c r="P353" s="126"/>
      <c r="Q353" s="127">
        <f>Q314-Q351</f>
        <v>45012.419999999896</v>
      </c>
      <c r="R353" s="154"/>
      <c r="S353" s="129">
        <f>L353-Q353</f>
        <v>1778.4300000001022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Juin 2025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507" t="s">
        <v>5</v>
      </c>
      <c r="E358" s="508"/>
      <c r="F358" s="509"/>
      <c r="G358" s="510"/>
      <c r="H358" s="508"/>
      <c r="I358" s="509"/>
      <c r="J358" s="510" t="s">
        <v>7</v>
      </c>
      <c r="K358" s="508"/>
      <c r="L358" s="509"/>
      <c r="M358" s="510"/>
      <c r="N358" s="509"/>
      <c r="O358" s="507" t="s">
        <v>8</v>
      </c>
      <c r="P358" s="508"/>
      <c r="Q358" s="509"/>
      <c r="R358" s="510" t="s">
        <v>9</v>
      </c>
      <c r="S358" s="514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86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86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86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86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 t="shared" ref="Q362" si="87"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86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86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86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86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88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86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88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86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88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86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8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86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8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86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8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86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88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86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88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86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88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86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8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86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88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86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88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86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88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86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8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86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88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86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88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86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8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86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88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86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88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86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8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86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8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86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8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86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8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86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8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86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8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86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8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86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8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86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8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86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88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>
        <f>F353+F289+F233</f>
        <v>55404.561241901516</v>
      </c>
      <c r="G401" s="13"/>
      <c r="H401" s="13"/>
      <c r="I401" s="13"/>
      <c r="J401" s="13"/>
      <c r="K401" s="13"/>
      <c r="L401" s="82">
        <f>L353+L289+L233</f>
        <v>88130.709999999992</v>
      </c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55"/>
      <c r="G402" s="10"/>
      <c r="H402" s="10"/>
      <c r="I402" s="10"/>
      <c r="J402" s="10"/>
      <c r="K402" s="10"/>
      <c r="L402" s="155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Juin 2025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15" t="s">
        <v>117</v>
      </c>
      <c r="Y404" s="512"/>
      <c r="Z404" s="516"/>
      <c r="AA404" s="511"/>
      <c r="AB404" s="512"/>
      <c r="AC404" s="516"/>
      <c r="AD404" s="511" t="s">
        <v>7</v>
      </c>
      <c r="AE404" s="512"/>
      <c r="AF404" s="516"/>
      <c r="AG404" s="511" t="s">
        <v>213</v>
      </c>
      <c r="AH404" s="512"/>
      <c r="AI404" s="516"/>
      <c r="AJ404" s="511" t="s">
        <v>118</v>
      </c>
      <c r="AK404" s="512"/>
      <c r="AL404" s="512"/>
      <c r="AM404" s="511" t="s">
        <v>119</v>
      </c>
      <c r="AN404" s="512"/>
      <c r="AO404" s="513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89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89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3986725.4884038181</v>
      </c>
      <c r="AA406" s="263"/>
      <c r="AB406" s="263"/>
      <c r="AC406" s="264"/>
      <c r="AD406" s="265"/>
      <c r="AE406" s="266"/>
      <c r="AF406" s="266">
        <f>L5+L93+K194+K250+J314+J362</f>
        <v>3813571.5500000003</v>
      </c>
      <c r="AG406" s="265"/>
      <c r="AH406" s="266"/>
      <c r="AI406" s="267"/>
      <c r="AJ406" s="265"/>
      <c r="AK406" s="266"/>
      <c r="AL406" s="266">
        <f>Q5+Q93+P194+P250+O314+O362</f>
        <v>3580042.6199999894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89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383835.07805278909</v>
      </c>
      <c r="AA407" s="271"/>
      <c r="AB407" s="271"/>
      <c r="AC407" s="272"/>
      <c r="AD407" s="273"/>
      <c r="AE407" s="274"/>
      <c r="AF407" s="274">
        <f>L27+L108+L194+L250+L314+L362</f>
        <v>460556.29000000004</v>
      </c>
      <c r="AG407" s="273"/>
      <c r="AH407" s="274">
        <f>AF407-Z407</f>
        <v>76721.211947210948</v>
      </c>
      <c r="AI407" s="275">
        <f>AH407/Z407</f>
        <v>0.19988066837564916</v>
      </c>
      <c r="AJ407" s="273">
        <f>+AL407/AL406</f>
        <v>9.1810761738920443E-2</v>
      </c>
      <c r="AK407" s="274"/>
      <c r="AL407" s="274">
        <f>Q27+Q108+Q194+Q250+Q314+Q362</f>
        <v>328686.43999999954</v>
      </c>
      <c r="AM407" s="276"/>
      <c r="AN407" s="274">
        <f>AF407-AL407</f>
        <v>131869.8500000005</v>
      </c>
      <c r="AO407" s="277">
        <f>IF(AL407=0,0,AN407/AL407)</f>
        <v>0.40120258687885235</v>
      </c>
      <c r="AP407" s="246"/>
      <c r="AQ407" s="246" t="s">
        <v>221</v>
      </c>
      <c r="AR407" s="310">
        <f>W27+W108+W194+W314</f>
        <v>456544</v>
      </c>
      <c r="AS407" s="310">
        <f>AF407-AR407</f>
        <v>4012.2900000000373</v>
      </c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89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89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90">Z409/(D$13+D$97)</f>
        <v>940.93309827012524</v>
      </c>
      <c r="Z409" s="280">
        <f t="shared" ref="Z409:Z415" si="91">+SUMIF($C:$C,$V409,F:F)</f>
        <v>35755.457734264761</v>
      </c>
      <c r="AA409" s="279"/>
      <c r="AB409" s="287"/>
      <c r="AC409" s="280"/>
      <c r="AD409" s="288"/>
      <c r="AE409" s="287">
        <f t="shared" ref="AE409:AE414" si="92">IF(AF409=0,0,AF409/(J$13+J$97))</f>
        <v>971.75731707317084</v>
      </c>
      <c r="AF409" s="280">
        <f t="shared" ref="AF409:AF415" si="93">+SUMIF($C:$C,$V409,L:L)</f>
        <v>39842.050000000003</v>
      </c>
      <c r="AG409" s="281">
        <f t="shared" ref="AG409:AH424" si="94">AE409-Y409</f>
        <v>30.824218803045596</v>
      </c>
      <c r="AH409" s="282">
        <f t="shared" si="94"/>
        <v>4086.5922657352421</v>
      </c>
      <c r="AI409" s="283">
        <f t="shared" ref="AI409:AI418" si="95">IF(Z409=0,0,AH409/Z409)</f>
        <v>0.11429282477955878</v>
      </c>
      <c r="AJ409" s="288"/>
      <c r="AK409" s="282">
        <f t="shared" ref="AK409:AK418" si="96">AL409/(O$13+O$97)</f>
        <v>860.87250000000006</v>
      </c>
      <c r="AL409" s="280">
        <f t="shared" ref="AL409:AL414" si="97">+SUMIF($C:$C,$V409,Q:Q)</f>
        <v>30991.410000000003</v>
      </c>
      <c r="AM409" s="284">
        <f t="shared" ref="AM409:AM414" si="98">AE409-Y409</f>
        <v>30.824218803045596</v>
      </c>
      <c r="AN409" s="282">
        <f t="shared" ref="AN409:AN414" si="99">AF409-AL409</f>
        <v>8850.64</v>
      </c>
      <c r="AO409" s="289">
        <f t="shared" ref="AO409:AO431" si="100">IF(AL409=0,0,AN409/AL409)</f>
        <v>0.2855836504373308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89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90"/>
        <v>464.35197368421052</v>
      </c>
      <c r="Z410" s="264">
        <f t="shared" si="91"/>
        <v>17645.375</v>
      </c>
      <c r="AA410" s="263"/>
      <c r="AB410" s="291"/>
      <c r="AC410" s="264"/>
      <c r="AD410" s="292"/>
      <c r="AE410" s="291">
        <f t="shared" si="92"/>
        <v>659.49097560975611</v>
      </c>
      <c r="AF410" s="264">
        <f t="shared" si="93"/>
        <v>27039.13</v>
      </c>
      <c r="AG410" s="265">
        <f t="shared" si="94"/>
        <v>195.13900192554559</v>
      </c>
      <c r="AH410" s="266">
        <f t="shared" si="94"/>
        <v>9393.755000000001</v>
      </c>
      <c r="AI410" s="293">
        <f t="shared" si="95"/>
        <v>0.53236357969156234</v>
      </c>
      <c r="AJ410" s="292"/>
      <c r="AK410" s="266">
        <f t="shared" si="96"/>
        <v>455.85944444444453</v>
      </c>
      <c r="AL410" s="264">
        <f t="shared" si="97"/>
        <v>16410.940000000002</v>
      </c>
      <c r="AM410" s="268">
        <f t="shared" si="98"/>
        <v>195.13900192554559</v>
      </c>
      <c r="AN410" s="266">
        <f t="shared" si="99"/>
        <v>10628.189999999999</v>
      </c>
      <c r="AO410" s="294">
        <f t="shared" si="100"/>
        <v>0.64762835035653032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89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90"/>
        <v>121.31578947368421</v>
      </c>
      <c r="Z411" s="280">
        <f t="shared" si="91"/>
        <v>4610</v>
      </c>
      <c r="AA411" s="279"/>
      <c r="AB411" s="287"/>
      <c r="AC411" s="280"/>
      <c r="AD411" s="288"/>
      <c r="AE411" s="287">
        <f t="shared" si="92"/>
        <v>138.32195121951221</v>
      </c>
      <c r="AF411" s="280">
        <f t="shared" si="93"/>
        <v>5671.2000000000007</v>
      </c>
      <c r="AG411" s="281">
        <f t="shared" si="94"/>
        <v>17.00616174582801</v>
      </c>
      <c r="AH411" s="282">
        <f t="shared" si="94"/>
        <v>1061.2000000000007</v>
      </c>
      <c r="AI411" s="283">
        <f t="shared" si="95"/>
        <v>0.23019522776572685</v>
      </c>
      <c r="AJ411" s="288"/>
      <c r="AK411" s="282">
        <f t="shared" si="96"/>
        <v>118.62138888888889</v>
      </c>
      <c r="AL411" s="280">
        <f t="shared" si="97"/>
        <v>4270.37</v>
      </c>
      <c r="AM411" s="284">
        <f t="shared" si="98"/>
        <v>17.00616174582801</v>
      </c>
      <c r="AN411" s="282">
        <f t="shared" si="99"/>
        <v>1400.8300000000008</v>
      </c>
      <c r="AO411" s="289">
        <f t="shared" si="100"/>
        <v>0.32803480728836165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89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148</v>
      </c>
      <c r="X412" s="279"/>
      <c r="Y412" s="287">
        <f t="shared" si="90"/>
        <v>66.921052631578945</v>
      </c>
      <c r="Z412" s="280">
        <f t="shared" si="91"/>
        <v>2543</v>
      </c>
      <c r="AA412" s="279"/>
      <c r="AB412" s="287"/>
      <c r="AC412" s="280"/>
      <c r="AD412" s="288"/>
      <c r="AE412" s="287">
        <f t="shared" si="92"/>
        <v>48.485853658536584</v>
      </c>
      <c r="AF412" s="280">
        <f t="shared" si="93"/>
        <v>1987.92</v>
      </c>
      <c r="AG412" s="281">
        <f t="shared" si="94"/>
        <v>-18.435198973042361</v>
      </c>
      <c r="AH412" s="282">
        <f t="shared" si="94"/>
        <v>-555.07999999999993</v>
      </c>
      <c r="AI412" s="283">
        <f t="shared" si="95"/>
        <v>-0.21827762485253635</v>
      </c>
      <c r="AJ412" s="288"/>
      <c r="AK412" s="282">
        <f t="shared" si="96"/>
        <v>75.645833333333329</v>
      </c>
      <c r="AL412" s="280">
        <f t="shared" si="97"/>
        <v>2723.25</v>
      </c>
      <c r="AM412" s="284">
        <f t="shared" si="98"/>
        <v>-18.435198973042361</v>
      </c>
      <c r="AN412" s="282">
        <f t="shared" si="99"/>
        <v>-735.32999999999993</v>
      </c>
      <c r="AO412" s="295">
        <f t="shared" si="100"/>
        <v>-0.27001927843569262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89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 t="s">
        <v>222</v>
      </c>
      <c r="X413" s="263"/>
      <c r="Y413" s="291">
        <f t="shared" si="90"/>
        <v>86.71052631578948</v>
      </c>
      <c r="Z413" s="264">
        <f t="shared" si="91"/>
        <v>3295</v>
      </c>
      <c r="AA413" s="263"/>
      <c r="AB413" s="291"/>
      <c r="AC413" s="264"/>
      <c r="AD413" s="292"/>
      <c r="AE413" s="291">
        <f t="shared" si="92"/>
        <v>129.03195121951219</v>
      </c>
      <c r="AF413" s="264">
        <f t="shared" si="93"/>
        <v>5290.3099999999995</v>
      </c>
      <c r="AG413" s="265">
        <f t="shared" si="94"/>
        <v>42.321424903722715</v>
      </c>
      <c r="AH413" s="266">
        <f t="shared" si="94"/>
        <v>1995.3099999999995</v>
      </c>
      <c r="AI413" s="293">
        <f t="shared" si="95"/>
        <v>0.60555690440060683</v>
      </c>
      <c r="AJ413" s="292"/>
      <c r="AK413" s="266">
        <f t="shared" si="96"/>
        <v>69.806944444444454</v>
      </c>
      <c r="AL413" s="264">
        <f t="shared" si="97"/>
        <v>2513.0500000000002</v>
      </c>
      <c r="AM413" s="268">
        <f t="shared" si="98"/>
        <v>42.321424903722715</v>
      </c>
      <c r="AN413" s="266">
        <f t="shared" si="99"/>
        <v>2777.2599999999993</v>
      </c>
      <c r="AO413" s="294">
        <f t="shared" si="100"/>
        <v>1.1051351942858276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89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223</v>
      </c>
      <c r="X414" s="283"/>
      <c r="Y414" s="287">
        <f t="shared" si="90"/>
        <v>490.69272445820434</v>
      </c>
      <c r="Z414" s="280">
        <f t="shared" si="91"/>
        <v>18646.323529411766</v>
      </c>
      <c r="AA414" s="283"/>
      <c r="AB414" s="287"/>
      <c r="AC414" s="280"/>
      <c r="AD414" s="288"/>
      <c r="AE414" s="287">
        <f t="shared" si="92"/>
        <v>413.20365853658535</v>
      </c>
      <c r="AF414" s="280">
        <f t="shared" si="93"/>
        <v>16941.349999999999</v>
      </c>
      <c r="AG414" s="281">
        <f t="shared" si="94"/>
        <v>-77.489065921618987</v>
      </c>
      <c r="AH414" s="282">
        <f t="shared" si="94"/>
        <v>-1704.9735294117672</v>
      </c>
      <c r="AI414" s="283">
        <f t="shared" si="95"/>
        <v>-9.1437517252257711E-2</v>
      </c>
      <c r="AJ414" s="288"/>
      <c r="AK414" s="282">
        <f t="shared" si="96"/>
        <v>439.70555555555552</v>
      </c>
      <c r="AL414" s="280">
        <f t="shared" si="97"/>
        <v>15829.4</v>
      </c>
      <c r="AM414" s="284">
        <f t="shared" si="98"/>
        <v>-77.489065921618987</v>
      </c>
      <c r="AN414" s="282">
        <f t="shared" si="99"/>
        <v>1111.9499999999989</v>
      </c>
      <c r="AO414" s="289">
        <f t="shared" si="100"/>
        <v>7.0245871605998891E-2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89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224</v>
      </c>
      <c r="X415" s="279"/>
      <c r="Y415" s="287">
        <f t="shared" si="90"/>
        <v>796.49446372354066</v>
      </c>
      <c r="Z415" s="280">
        <f t="shared" si="91"/>
        <v>30266.789621494543</v>
      </c>
      <c r="AA415" s="279"/>
      <c r="AB415" s="287"/>
      <c r="AC415" s="280"/>
      <c r="AD415" s="288"/>
      <c r="AE415" s="287">
        <f>IF(AF415=0,0,AF415/(J$13+J$13))</f>
        <v>895.16468750000001</v>
      </c>
      <c r="AF415" s="280">
        <f t="shared" si="93"/>
        <v>28645.27</v>
      </c>
      <c r="AG415" s="281">
        <f t="shared" si="94"/>
        <v>98.670223776459352</v>
      </c>
      <c r="AH415" s="282">
        <f t="shared" si="94"/>
        <v>-1621.5196214945427</v>
      </c>
      <c r="AI415" s="283">
        <f t="shared" si="95"/>
        <v>-5.3574219194459573E-2</v>
      </c>
      <c r="AJ415" s="288"/>
      <c r="AK415" s="282">
        <f t="shared" si="96"/>
        <v>1124.6708333333333</v>
      </c>
      <c r="AL415" s="280">
        <f>IFERROR(SUMIF($C:$C,$V415,Q:Q),0)</f>
        <v>40488.15</v>
      </c>
      <c r="AM415" s="284">
        <f>AE415-Y415</f>
        <v>98.670223776459352</v>
      </c>
      <c r="AN415" s="282">
        <f>AF415-AL415</f>
        <v>-11842.880000000001</v>
      </c>
      <c r="AO415" s="294">
        <f t="shared" si="100"/>
        <v>-0.29250237415144925</v>
      </c>
      <c r="AP415" s="246"/>
      <c r="AQ415" s="246">
        <v>28645</v>
      </c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>
      <c r="A416" t="str">
        <f t="shared" si="89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90"/>
        <v>0</v>
      </c>
      <c r="Z416" s="280">
        <f>IFERROR(SUMIF($C:$C,$V416,F:F),0)</f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>IFERROR(SUMIF($C:$C,$V416,L:L),0)</f>
        <v>0</v>
      </c>
      <c r="AG416" s="281">
        <f t="shared" si="94"/>
        <v>0</v>
      </c>
      <c r="AH416" s="282">
        <f t="shared" si="94"/>
        <v>0</v>
      </c>
      <c r="AI416" s="283">
        <f t="shared" si="95"/>
        <v>0</v>
      </c>
      <c r="AJ416" s="288"/>
      <c r="AK416" s="282">
        <f t="shared" si="96"/>
        <v>0</v>
      </c>
      <c r="AL416" s="280">
        <f>IFERROR(SUMIF($C:$C,$V416,Q:Q),0)</f>
        <v>0</v>
      </c>
      <c r="AM416" s="284">
        <f>AE416-Y416</f>
        <v>0</v>
      </c>
      <c r="AN416" s="282">
        <f>AF416-AL416</f>
        <v>0</v>
      </c>
      <c r="AO416" s="289">
        <f t="shared" si="100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>
      <c r="A417" t="str">
        <f t="shared" si="89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90"/>
        <v>0</v>
      </c>
      <c r="Z417" s="280">
        <f>IFERROR(SUMIF($C:$C,$V417,F:F),0)</f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>IFERROR(SUMIF($C:$C,$V417,L:L),0)</f>
        <v>0</v>
      </c>
      <c r="AG417" s="281">
        <f t="shared" si="94"/>
        <v>0</v>
      </c>
      <c r="AH417" s="282">
        <f t="shared" si="94"/>
        <v>0</v>
      </c>
      <c r="AI417" s="283">
        <f t="shared" si="95"/>
        <v>0</v>
      </c>
      <c r="AJ417" s="288"/>
      <c r="AK417" s="282">
        <f t="shared" si="96"/>
        <v>0</v>
      </c>
      <c r="AL417" s="280">
        <f>IFERROR(SUMIF($C:$C,$V417,Q:Q),0)</f>
        <v>0</v>
      </c>
      <c r="AM417" s="284">
        <f>AE417-Y417</f>
        <v>0</v>
      </c>
      <c r="AN417" s="282">
        <f>AF417-AL417</f>
        <v>0</v>
      </c>
      <c r="AO417" s="289">
        <f t="shared" si="100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>
      <c r="A418" t="str">
        <f t="shared" si="89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90"/>
        <v>0</v>
      </c>
      <c r="Z418" s="280">
        <f>IFERROR(SUMIF($C:$C,$V418,F:F),0)</f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>IFERROR(SUMIF($C:$C,$V418,L:L),0)</f>
        <v>0</v>
      </c>
      <c r="AG418" s="281">
        <f t="shared" si="94"/>
        <v>0</v>
      </c>
      <c r="AH418" s="282">
        <f t="shared" si="94"/>
        <v>0</v>
      </c>
      <c r="AI418" s="283">
        <f t="shared" si="95"/>
        <v>0</v>
      </c>
      <c r="AJ418" s="288"/>
      <c r="AK418" s="282">
        <f t="shared" si="96"/>
        <v>0</v>
      </c>
      <c r="AL418" s="280">
        <f>IFERROR(SUMIF($C:$C,$V418,Q:Q),0)</f>
        <v>0</v>
      </c>
      <c r="AM418" s="284">
        <f>AE418-Y418</f>
        <v>0</v>
      </c>
      <c r="AN418" s="282">
        <f>AF418-AL418</f>
        <v>0</v>
      </c>
      <c r="AO418" s="289">
        <f t="shared" si="100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89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0.29377707336499048</v>
      </c>
      <c r="Y419" s="297"/>
      <c r="Z419" s="299">
        <f>SUM(Z409:Z418)</f>
        <v>112761.94588517107</v>
      </c>
      <c r="AA419" s="298"/>
      <c r="AB419" s="297"/>
      <c r="AC419" s="299"/>
      <c r="AD419" s="300">
        <f>AF419/AF407</f>
        <v>0.27231683232466541</v>
      </c>
      <c r="AE419" s="297"/>
      <c r="AF419" s="299">
        <f>SUM(AF409:AF418)</f>
        <v>125417.23</v>
      </c>
      <c r="AG419" s="301"/>
      <c r="AH419" s="302">
        <f t="shared" si="94"/>
        <v>12655.28411482893</v>
      </c>
      <c r="AI419" s="298">
        <f>AH419/Z419</f>
        <v>0.11223009691333451</v>
      </c>
      <c r="AJ419" s="300">
        <f>IF($AL$407=0,0,AL419/$AL$407)</f>
        <v>0.34448202365756303</v>
      </c>
      <c r="AK419" s="297"/>
      <c r="AL419" s="299">
        <f>SUM(AL409:AL418)</f>
        <v>113226.57</v>
      </c>
      <c r="AM419" s="303"/>
      <c r="AN419" s="302">
        <f t="shared" ref="AN419:AN431" si="101">AF419-AL419</f>
        <v>12190.659999999989</v>
      </c>
      <c r="AO419" s="277">
        <f t="shared" si="100"/>
        <v>0.107666071664981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89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137</v>
      </c>
      <c r="X420" s="279"/>
      <c r="Y420" s="279"/>
      <c r="Z420" s="280">
        <v>13829.29549071618</v>
      </c>
      <c r="AA420" s="279"/>
      <c r="AB420" s="279"/>
      <c r="AC420" s="280"/>
      <c r="AD420" s="288"/>
      <c r="AE420" s="287"/>
      <c r="AF420" s="280">
        <v>13693.94</v>
      </c>
      <c r="AG420" s="281"/>
      <c r="AH420" s="282">
        <f t="shared" si="94"/>
        <v>-135.3554907161797</v>
      </c>
      <c r="AI420" s="283">
        <f t="shared" ref="AI420:AI432" si="102">IF(Z420=0,0,AH420/Z420)</f>
        <v>-9.7875911905307058E-3</v>
      </c>
      <c r="AJ420" s="288"/>
      <c r="AK420" s="279"/>
      <c r="AL420" s="280">
        <v>12851.1699999999</v>
      </c>
      <c r="AM420" s="284"/>
      <c r="AN420" s="282">
        <f t="shared" si="101"/>
        <v>842.77000000010048</v>
      </c>
      <c r="AO420" s="289">
        <f t="shared" si="100"/>
        <v>6.557924297944133E-2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89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140</v>
      </c>
      <c r="X421" s="279"/>
      <c r="Y421" s="279"/>
      <c r="Z421" s="280">
        <f t="shared" ref="Z421:Z431" si="103">+SUMIF($C:$C,$V421,F:F)</f>
        <v>31743.485853227234</v>
      </c>
      <c r="AA421" s="279"/>
      <c r="AB421" s="279"/>
      <c r="AC421" s="280"/>
      <c r="AD421" s="288"/>
      <c r="AE421" s="287"/>
      <c r="AF421" s="280">
        <f t="shared" ref="AF421:AF432" si="104">+SUMIF($C:$C,$V421,L:L)</f>
        <v>34371.800000000003</v>
      </c>
      <c r="AG421" s="281"/>
      <c r="AH421" s="282">
        <f t="shared" si="94"/>
        <v>2628.3141467727692</v>
      </c>
      <c r="AI421" s="283">
        <f t="shared" si="102"/>
        <v>8.2798535703524787E-2</v>
      </c>
      <c r="AJ421" s="288"/>
      <c r="AK421" s="279"/>
      <c r="AL421" s="280">
        <f t="shared" ref="AL421:AL429" si="105">+SUMIF($C:$C,$V421,Q:Q)</f>
        <v>22412.000000000004</v>
      </c>
      <c r="AM421" s="284"/>
      <c r="AN421" s="282">
        <f t="shared" si="101"/>
        <v>11959.8</v>
      </c>
      <c r="AO421" s="289">
        <f t="shared" si="100"/>
        <v>0.53363376762448678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89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103"/>
        <v>20399.681034482761</v>
      </c>
      <c r="AA422" s="263"/>
      <c r="AB422" s="263"/>
      <c r="AC422" s="264"/>
      <c r="AD422" s="292"/>
      <c r="AE422" s="291"/>
      <c r="AF422" s="264">
        <f t="shared" si="104"/>
        <v>19836.55</v>
      </c>
      <c r="AG422" s="265"/>
      <c r="AH422" s="266">
        <f t="shared" si="94"/>
        <v>-563.13103448276161</v>
      </c>
      <c r="AI422" s="293">
        <f t="shared" si="102"/>
        <v>-2.7604894092749226E-2</v>
      </c>
      <c r="AJ422" s="292"/>
      <c r="AK422" s="263"/>
      <c r="AL422" s="264">
        <f t="shared" si="105"/>
        <v>19079.100000000002</v>
      </c>
      <c r="AM422" s="268"/>
      <c r="AN422" s="266">
        <f t="shared" si="101"/>
        <v>757.44999999999709</v>
      </c>
      <c r="AO422" s="269">
        <f t="shared" si="100"/>
        <v>3.9700509982126882E-2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89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103"/>
        <v>20890.999310344829</v>
      </c>
      <c r="AA423" s="279"/>
      <c r="AB423" s="279"/>
      <c r="AC423" s="280"/>
      <c r="AD423" s="288"/>
      <c r="AE423" s="287"/>
      <c r="AF423" s="280">
        <f t="shared" si="104"/>
        <v>26611.56</v>
      </c>
      <c r="AG423" s="281"/>
      <c r="AH423" s="282">
        <f t="shared" si="94"/>
        <v>5720.5606896551726</v>
      </c>
      <c r="AI423" s="283">
        <f t="shared" si="102"/>
        <v>0.27382896359689501</v>
      </c>
      <c r="AJ423" s="288"/>
      <c r="AK423" s="279"/>
      <c r="AL423" s="280">
        <f t="shared" si="105"/>
        <v>17673.84</v>
      </c>
      <c r="AM423" s="284"/>
      <c r="AN423" s="282">
        <f t="shared" si="101"/>
        <v>8937.7200000000012</v>
      </c>
      <c r="AO423" s="289">
        <f t="shared" si="100"/>
        <v>0.50570334460422872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89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225</v>
      </c>
      <c r="X424" s="279"/>
      <c r="Y424" s="279"/>
      <c r="Z424" s="280">
        <f t="shared" si="103"/>
        <v>14133.754333333332</v>
      </c>
      <c r="AA424" s="279"/>
      <c r="AB424" s="279"/>
      <c r="AC424" s="280"/>
      <c r="AD424" s="288"/>
      <c r="AE424" s="287"/>
      <c r="AF424" s="280">
        <f t="shared" si="104"/>
        <v>12665.43</v>
      </c>
      <c r="AG424" s="281"/>
      <c r="AH424" s="282">
        <f t="shared" si="94"/>
        <v>-1468.3243333333321</v>
      </c>
      <c r="AI424" s="283">
        <f t="shared" si="102"/>
        <v>-0.10388777805981857</v>
      </c>
      <c r="AJ424" s="288"/>
      <c r="AK424" s="279"/>
      <c r="AL424" s="280">
        <f t="shared" si="105"/>
        <v>14791.16</v>
      </c>
      <c r="AM424" s="284"/>
      <c r="AN424" s="282">
        <f t="shared" si="101"/>
        <v>-2125.7299999999996</v>
      </c>
      <c r="AO424" s="289">
        <f t="shared" si="100"/>
        <v>-0.1437162467311556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>
      <c r="A425" t="str">
        <f t="shared" si="89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103"/>
        <v>0</v>
      </c>
      <c r="AA425" s="279"/>
      <c r="AB425" s="279"/>
      <c r="AC425" s="282"/>
      <c r="AD425" s="288"/>
      <c r="AE425" s="287"/>
      <c r="AF425" s="280">
        <f t="shared" si="104"/>
        <v>0</v>
      </c>
      <c r="AG425" s="281"/>
      <c r="AH425" s="282">
        <f t="shared" ref="AH425:AH451" si="106">AF425-Z425</f>
        <v>0</v>
      </c>
      <c r="AI425" s="283">
        <f t="shared" si="102"/>
        <v>0</v>
      </c>
      <c r="AJ425" s="288"/>
      <c r="AK425" s="279"/>
      <c r="AL425" s="280">
        <f t="shared" si="105"/>
        <v>0</v>
      </c>
      <c r="AM425" s="284"/>
      <c r="AN425" s="282">
        <f t="shared" si="101"/>
        <v>0</v>
      </c>
      <c r="AO425" s="289">
        <f t="shared" si="100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>
      <c r="A426" t="str">
        <f t="shared" si="89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103"/>
        <v>0</v>
      </c>
      <c r="AA426" s="279"/>
      <c r="AB426" s="279"/>
      <c r="AC426" s="282"/>
      <c r="AD426" s="288"/>
      <c r="AE426" s="287"/>
      <c r="AF426" s="280">
        <f t="shared" si="104"/>
        <v>0</v>
      </c>
      <c r="AG426" s="281"/>
      <c r="AH426" s="282">
        <f t="shared" si="106"/>
        <v>0</v>
      </c>
      <c r="AI426" s="283">
        <f t="shared" si="102"/>
        <v>0</v>
      </c>
      <c r="AJ426" s="288"/>
      <c r="AK426" s="279"/>
      <c r="AL426" s="280">
        <f t="shared" si="105"/>
        <v>0</v>
      </c>
      <c r="AM426" s="284"/>
      <c r="AN426" s="282">
        <f t="shared" si="101"/>
        <v>0</v>
      </c>
      <c r="AO426" s="289">
        <f t="shared" si="100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>
      <c r="A427" t="str">
        <f t="shared" si="89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103"/>
        <v>0</v>
      </c>
      <c r="AA427" s="279"/>
      <c r="AB427" s="279"/>
      <c r="AC427" s="282"/>
      <c r="AD427" s="288"/>
      <c r="AE427" s="287"/>
      <c r="AF427" s="280">
        <f t="shared" si="104"/>
        <v>0</v>
      </c>
      <c r="AG427" s="281"/>
      <c r="AH427" s="282">
        <f t="shared" si="106"/>
        <v>0</v>
      </c>
      <c r="AI427" s="283">
        <f t="shared" si="102"/>
        <v>0</v>
      </c>
      <c r="AJ427" s="288"/>
      <c r="AK427" s="279"/>
      <c r="AL427" s="280">
        <f t="shared" si="105"/>
        <v>0</v>
      </c>
      <c r="AM427" s="284"/>
      <c r="AN427" s="282">
        <f t="shared" si="101"/>
        <v>0</v>
      </c>
      <c r="AO427" s="289">
        <f t="shared" si="100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89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103"/>
        <v>23697.763048164332</v>
      </c>
      <c r="AA428" s="263"/>
      <c r="AB428" s="263"/>
      <c r="AC428" s="264"/>
      <c r="AD428" s="292"/>
      <c r="AE428" s="291"/>
      <c r="AF428" s="264">
        <f t="shared" si="104"/>
        <v>30958.800000000003</v>
      </c>
      <c r="AG428" s="265"/>
      <c r="AH428" s="266">
        <f t="shared" si="106"/>
        <v>7261.0369518356711</v>
      </c>
      <c r="AI428" s="293">
        <f t="shared" si="102"/>
        <v>0.30640178725215683</v>
      </c>
      <c r="AJ428" s="292"/>
      <c r="AK428" s="263"/>
      <c r="AL428" s="264">
        <f t="shared" si="105"/>
        <v>24395.11</v>
      </c>
      <c r="AM428" s="268"/>
      <c r="AN428" s="266">
        <f t="shared" si="101"/>
        <v>6563.6900000000023</v>
      </c>
      <c r="AO428" s="294">
        <f t="shared" si="100"/>
        <v>0.26905761031616593</v>
      </c>
      <c r="AP428" s="475"/>
      <c r="AQ428" s="483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89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103"/>
        <v>27257.114622953464</v>
      </c>
      <c r="AA429" s="279"/>
      <c r="AB429" s="279"/>
      <c r="AC429" s="280"/>
      <c r="AD429" s="288"/>
      <c r="AE429" s="287"/>
      <c r="AF429" s="280">
        <f t="shared" si="104"/>
        <v>34468.729999999996</v>
      </c>
      <c r="AG429" s="281"/>
      <c r="AH429" s="282">
        <f t="shared" si="106"/>
        <v>7211.6153770465316</v>
      </c>
      <c r="AI429" s="283">
        <f>IF(Z429=0,0,AH429/Z429)</f>
        <v>0.26457735812482386</v>
      </c>
      <c r="AJ429" s="288"/>
      <c r="AK429" s="279"/>
      <c r="AL429" s="280">
        <f t="shared" si="105"/>
        <v>25022.799999999999</v>
      </c>
      <c r="AM429" s="284"/>
      <c r="AN429" s="282">
        <f t="shared" si="101"/>
        <v>9445.9299999999967</v>
      </c>
      <c r="AO429" s="289">
        <f t="shared" si="100"/>
        <v>0.37749292645107652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89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226</v>
      </c>
      <c r="X430" s="279"/>
      <c r="Y430" s="279"/>
      <c r="Z430" s="280">
        <f t="shared" si="103"/>
        <v>14238.791220945839</v>
      </c>
      <c r="AA430" s="279"/>
      <c r="AB430" s="279"/>
      <c r="AC430" s="280"/>
      <c r="AD430" s="288"/>
      <c r="AE430" s="287"/>
      <c r="AF430" s="280">
        <f t="shared" si="104"/>
        <v>14449.589999999998</v>
      </c>
      <c r="AG430" s="281"/>
      <c r="AH430" s="282">
        <f t="shared" si="106"/>
        <v>210.79877905415924</v>
      </c>
      <c r="AI430" s="283">
        <f t="shared" si="102"/>
        <v>1.4804541746778735E-2</v>
      </c>
      <c r="AJ430" s="288"/>
      <c r="AK430" s="279"/>
      <c r="AL430" s="280">
        <f>IFERROR(SUMIF($C:$C,$V430,Q:Q),0)</f>
        <v>11129.17</v>
      </c>
      <c r="AM430" s="284"/>
      <c r="AN430" s="282">
        <f t="shared" si="101"/>
        <v>3320.4199999999983</v>
      </c>
      <c r="AO430" s="289">
        <f t="shared" si="100"/>
        <v>0.29835288705267315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89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 t="s">
        <v>227</v>
      </c>
      <c r="X431" s="279"/>
      <c r="Y431" s="279"/>
      <c r="Z431" s="280">
        <f t="shared" si="103"/>
        <v>3051.1695473455366</v>
      </c>
      <c r="AA431" s="279"/>
      <c r="AB431" s="279"/>
      <c r="AC431" s="280"/>
      <c r="AD431" s="288"/>
      <c r="AE431" s="287"/>
      <c r="AF431" s="280">
        <f t="shared" si="104"/>
        <v>8122.6</v>
      </c>
      <c r="AG431" s="281"/>
      <c r="AH431" s="282">
        <f t="shared" si="106"/>
        <v>5071.4304526544638</v>
      </c>
      <c r="AI431" s="306">
        <f t="shared" si="102"/>
        <v>1.6621267268043227</v>
      </c>
      <c r="AJ431" s="288"/>
      <c r="AK431" s="279"/>
      <c r="AL431" s="280">
        <f>IFERROR(SUMIF($C:$C,$V431,Q:Q),0)</f>
        <v>3259.18</v>
      </c>
      <c r="AM431" s="284"/>
      <c r="AN431" s="282">
        <f t="shared" si="101"/>
        <v>4863.42</v>
      </c>
      <c r="AO431" s="294">
        <f t="shared" si="100"/>
        <v>1.4922219699433601</v>
      </c>
      <c r="AP431" s="475"/>
      <c r="AQ431" s="474" t="s">
        <v>272</v>
      </c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>
      <c r="A432" t="str">
        <f t="shared" si="89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IFERROR(SUMIF($C:$C,$V432,F:F),0)</f>
        <v>0</v>
      </c>
      <c r="AA432" s="279"/>
      <c r="AB432" s="279"/>
      <c r="AC432" s="282"/>
      <c r="AD432" s="288"/>
      <c r="AE432" s="287"/>
      <c r="AF432" s="280">
        <f t="shared" si="104"/>
        <v>0</v>
      </c>
      <c r="AG432" s="281"/>
      <c r="AH432" s="282">
        <f t="shared" si="106"/>
        <v>0</v>
      </c>
      <c r="AI432" s="283">
        <f t="shared" si="102"/>
        <v>0</v>
      </c>
      <c r="AJ432" s="288"/>
      <c r="AK432" s="279"/>
      <c r="AL432" s="280">
        <f>IFERROR(SUMIF($C:$C,$V432,Q:Q),0)</f>
        <v>0</v>
      </c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89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0.44092388668613952</v>
      </c>
      <c r="Y433" s="297"/>
      <c r="Z433" s="299">
        <f>SUM(Z420:Z432)</f>
        <v>169242.0544615135</v>
      </c>
      <c r="AA433" s="298"/>
      <c r="AB433" s="297"/>
      <c r="AC433" s="299"/>
      <c r="AD433" s="300">
        <f>AF433/AF407</f>
        <v>0.42378967400488654</v>
      </c>
      <c r="AE433" s="307"/>
      <c r="AF433" s="299">
        <f>SUM(AF420:AF432)</f>
        <v>195179</v>
      </c>
      <c r="AG433" s="308"/>
      <c r="AH433" s="302">
        <f t="shared" si="106"/>
        <v>25936.9455384865</v>
      </c>
      <c r="AI433" s="298">
        <f>AH433/Z433</f>
        <v>0.15325354930848284</v>
      </c>
      <c r="AJ433" s="300">
        <f>IF($AL$407=0,0,AL433/$AL$407)</f>
        <v>0.45822860839650131</v>
      </c>
      <c r="AK433" s="297"/>
      <c r="AL433" s="299">
        <f>SUM(AL420:AL432)</f>
        <v>150613.52999999991</v>
      </c>
      <c r="AM433" s="309"/>
      <c r="AN433" s="302">
        <f t="shared" ref="AN433:AN447" si="107">AF433-AL433</f>
        <v>44565.470000000088</v>
      </c>
      <c r="AO433" s="277">
        <f>IF(AL433=0,0,AN433/AL433)</f>
        <v>0.29589287230702394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89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228</v>
      </c>
      <c r="X434" s="312"/>
      <c r="Y434" s="312"/>
      <c r="Z434" s="313">
        <f t="shared" ref="Z434:Z448" si="108">+SUMIF($C:$C,$V434,F:F)</f>
        <v>7243.0075399898496</v>
      </c>
      <c r="AA434" s="312"/>
      <c r="AB434" s="312"/>
      <c r="AC434" s="313"/>
      <c r="AD434" s="314"/>
      <c r="AE434" s="315"/>
      <c r="AF434" s="313">
        <f t="shared" ref="AF434:AF451" si="109">+SUMIF($C:$C,$V434,L:L)</f>
        <v>6637.49</v>
      </c>
      <c r="AG434" s="314"/>
      <c r="AH434" s="316">
        <f t="shared" si="106"/>
        <v>-605.51753998984987</v>
      </c>
      <c r="AI434" s="317">
        <f t="shared" ref="AI434:AI451" si="110">IF(Z434=0,0,AH434/Z434)</f>
        <v>-8.3600291266671581E-2</v>
      </c>
      <c r="AJ434" s="314"/>
      <c r="AK434" s="312"/>
      <c r="AL434" s="313">
        <f t="shared" ref="AL434:AL448" si="111">+SUMIF($C:$C,$V434,Q:Q)</f>
        <v>6318.68</v>
      </c>
      <c r="AM434" s="318"/>
      <c r="AN434" s="316">
        <f t="shared" si="107"/>
        <v>318.80999999999949</v>
      </c>
      <c r="AO434" s="285">
        <f t="shared" ref="AO434:AO447" si="112">IF(AL434=0,0,AN434/AL434)</f>
        <v>5.0455158355859051E-2</v>
      </c>
      <c r="AP434" s="246"/>
      <c r="AQ434" s="246">
        <v>6637</v>
      </c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89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148</v>
      </c>
      <c r="X435" s="279"/>
      <c r="Y435" s="279"/>
      <c r="Z435" s="280">
        <f t="shared" si="108"/>
        <v>3333.3333333333335</v>
      </c>
      <c r="AA435" s="279"/>
      <c r="AB435" s="279"/>
      <c r="AC435" s="280"/>
      <c r="AD435" s="288"/>
      <c r="AE435" s="287"/>
      <c r="AF435" s="280">
        <f t="shared" si="109"/>
        <v>6808.1400000000012</v>
      </c>
      <c r="AG435" s="281"/>
      <c r="AH435" s="282">
        <f t="shared" si="106"/>
        <v>3474.8066666666678</v>
      </c>
      <c r="AI435" s="283">
        <f t="shared" si="110"/>
        <v>1.0424420000000003</v>
      </c>
      <c r="AJ435" s="288"/>
      <c r="AK435" s="279"/>
      <c r="AL435" s="280">
        <f t="shared" si="111"/>
        <v>2759.69</v>
      </c>
      <c r="AM435" s="284"/>
      <c r="AN435" s="282">
        <f t="shared" si="107"/>
        <v>4048.4500000000012</v>
      </c>
      <c r="AO435" s="289">
        <f t="shared" si="112"/>
        <v>1.4669944812642004</v>
      </c>
      <c r="AP435" s="246"/>
      <c r="AQ435" s="246">
        <v>6808</v>
      </c>
      <c r="AR435" s="246" t="s">
        <v>280</v>
      </c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89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229</v>
      </c>
      <c r="X436" s="263"/>
      <c r="Y436" s="263"/>
      <c r="Z436" s="264">
        <f t="shared" si="108"/>
        <v>17611.333333333332</v>
      </c>
      <c r="AA436" s="263"/>
      <c r="AB436" s="263"/>
      <c r="AC436" s="264"/>
      <c r="AD436" s="292"/>
      <c r="AE436" s="291"/>
      <c r="AF436" s="264">
        <f t="shared" si="109"/>
        <v>19032.78</v>
      </c>
      <c r="AG436" s="265"/>
      <c r="AH436" s="266">
        <f t="shared" si="106"/>
        <v>1421.4466666666667</v>
      </c>
      <c r="AI436" s="293">
        <f t="shared" si="110"/>
        <v>8.0712041488435485E-2</v>
      </c>
      <c r="AJ436" s="292"/>
      <c r="AK436" s="263"/>
      <c r="AL436" s="264">
        <f t="shared" si="111"/>
        <v>18839.7</v>
      </c>
      <c r="AM436" s="268"/>
      <c r="AN436" s="266">
        <f t="shared" si="107"/>
        <v>193.07999999999811</v>
      </c>
      <c r="AO436" s="269">
        <f t="shared" si="112"/>
        <v>1.024857083711514E-2</v>
      </c>
      <c r="AP436" s="246"/>
      <c r="AQ436" s="485">
        <f>19783-750</f>
        <v>19033</v>
      </c>
      <c r="AR436" s="485" t="s">
        <v>281</v>
      </c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89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230</v>
      </c>
      <c r="X437" s="279"/>
      <c r="Y437" s="279"/>
      <c r="Z437" s="280">
        <f t="shared" si="108"/>
        <v>14164</v>
      </c>
      <c r="AA437" s="279"/>
      <c r="AB437" s="279"/>
      <c r="AC437" s="280"/>
      <c r="AD437" s="288"/>
      <c r="AE437" s="287"/>
      <c r="AF437" s="280">
        <f t="shared" si="109"/>
        <v>14106.189999999999</v>
      </c>
      <c r="AG437" s="281"/>
      <c r="AH437" s="282">
        <f>AF437-Z437</f>
        <v>-57.81000000000131</v>
      </c>
      <c r="AI437" s="283">
        <f t="shared" si="110"/>
        <v>-4.0814741598419451E-3</v>
      </c>
      <c r="AJ437" s="288"/>
      <c r="AK437" s="279"/>
      <c r="AL437" s="280">
        <f t="shared" si="111"/>
        <v>13522.42</v>
      </c>
      <c r="AM437" s="284"/>
      <c r="AN437" s="282">
        <f t="shared" si="107"/>
        <v>583.76999999999862</v>
      </c>
      <c r="AO437" s="289">
        <f t="shared" si="112"/>
        <v>4.3170527168953386E-2</v>
      </c>
      <c r="AP437" s="485"/>
      <c r="AQ437" s="494">
        <v>14106</v>
      </c>
      <c r="AR437" s="494"/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89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231</v>
      </c>
      <c r="X438" s="279"/>
      <c r="Y438" s="279"/>
      <c r="Z438" s="280">
        <f t="shared" si="108"/>
        <v>1833.3333333333335</v>
      </c>
      <c r="AA438" s="279"/>
      <c r="AB438" s="279"/>
      <c r="AC438" s="280"/>
      <c r="AD438" s="288"/>
      <c r="AE438" s="287"/>
      <c r="AF438" s="280">
        <f t="shared" si="109"/>
        <v>1040.1300000000001</v>
      </c>
      <c r="AG438" s="281"/>
      <c r="AH438" s="282">
        <f t="shared" si="106"/>
        <v>-793.20333333333338</v>
      </c>
      <c r="AI438" s="283">
        <f t="shared" si="110"/>
        <v>-0.43265636363636362</v>
      </c>
      <c r="AJ438" s="288"/>
      <c r="AK438" s="279"/>
      <c r="AL438" s="280">
        <f t="shared" si="111"/>
        <v>1949.3499999999997</v>
      </c>
      <c r="AM438" s="284"/>
      <c r="AN438" s="282">
        <f t="shared" si="107"/>
        <v>-909.21999999999957</v>
      </c>
      <c r="AO438" s="289">
        <f t="shared" si="112"/>
        <v>-0.46642214071357102</v>
      </c>
      <c r="AP438" s="485"/>
      <c r="AQ438" s="246">
        <f>688+351.64</f>
        <v>1039.6399999999999</v>
      </c>
      <c r="AR438" s="494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89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232</v>
      </c>
      <c r="X439" s="279"/>
      <c r="Y439" s="279"/>
      <c r="Z439" s="280">
        <f t="shared" si="108"/>
        <v>11716</v>
      </c>
      <c r="AA439" s="279"/>
      <c r="AB439" s="279"/>
      <c r="AC439" s="280"/>
      <c r="AD439" s="288"/>
      <c r="AE439" s="287"/>
      <c r="AF439" s="280">
        <f t="shared" si="109"/>
        <v>6093.1</v>
      </c>
      <c r="AG439" s="281"/>
      <c r="AH439" s="282">
        <f t="shared" si="106"/>
        <v>-5622.9</v>
      </c>
      <c r="AI439" s="283">
        <f t="shared" si="110"/>
        <v>-0.47993342437692044</v>
      </c>
      <c r="AJ439" s="288"/>
      <c r="AK439" s="279"/>
      <c r="AL439" s="280">
        <f t="shared" si="111"/>
        <v>13832.08</v>
      </c>
      <c r="AM439" s="284"/>
      <c r="AN439" s="282">
        <f t="shared" si="107"/>
        <v>-7738.98</v>
      </c>
      <c r="AO439" s="289">
        <f t="shared" si="112"/>
        <v>-0.55949502894720093</v>
      </c>
      <c r="AP439" s="246"/>
      <c r="AQ439" s="485">
        <f>5593+500</f>
        <v>6093</v>
      </c>
      <c r="AR439" s="485" t="s">
        <v>282</v>
      </c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 hidden="1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108"/>
        <v>0</v>
      </c>
      <c r="AA440" s="320"/>
      <c r="AB440" s="320"/>
      <c r="AC440" s="321"/>
      <c r="AD440" s="322"/>
      <c r="AE440" s="323"/>
      <c r="AF440" s="321">
        <f t="shared" si="109"/>
        <v>0</v>
      </c>
      <c r="AG440" s="324"/>
      <c r="AH440" s="325">
        <f t="shared" si="106"/>
        <v>0</v>
      </c>
      <c r="AI440" s="326">
        <f t="shared" si="110"/>
        <v>0</v>
      </c>
      <c r="AJ440" s="322"/>
      <c r="AK440" s="320"/>
      <c r="AL440" s="321">
        <f t="shared" si="111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89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108"/>
        <v>1167.5</v>
      </c>
      <c r="AA441" s="279"/>
      <c r="AB441" s="287"/>
      <c r="AC441" s="280"/>
      <c r="AD441" s="288"/>
      <c r="AE441" s="287"/>
      <c r="AF441" s="280">
        <f t="shared" si="109"/>
        <v>3786.36</v>
      </c>
      <c r="AG441" s="281"/>
      <c r="AH441" s="282">
        <f t="shared" si="106"/>
        <v>2618.86</v>
      </c>
      <c r="AI441" s="283">
        <f t="shared" si="110"/>
        <v>2.2431349036402572</v>
      </c>
      <c r="AJ441" s="288"/>
      <c r="AK441" s="279"/>
      <c r="AL441" s="280">
        <f t="shared" si="111"/>
        <v>765.73</v>
      </c>
      <c r="AM441" s="284"/>
      <c r="AN441" s="282">
        <f t="shared" si="107"/>
        <v>3020.63</v>
      </c>
      <c r="AO441" s="289">
        <f t="shared" si="112"/>
        <v>3.944771655805571</v>
      </c>
      <c r="AP441" s="246"/>
      <c r="AQ441" s="246">
        <v>3786</v>
      </c>
      <c r="AR441" s="485" t="s">
        <v>283</v>
      </c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89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108"/>
        <v>1060</v>
      </c>
      <c r="AA442" s="279"/>
      <c r="AB442" s="279"/>
      <c r="AC442" s="280"/>
      <c r="AD442" s="288"/>
      <c r="AE442" s="287"/>
      <c r="AF442" s="280">
        <f t="shared" si="109"/>
        <v>478.84</v>
      </c>
      <c r="AG442" s="281"/>
      <c r="AH442" s="282">
        <f t="shared" si="106"/>
        <v>-581.16000000000008</v>
      </c>
      <c r="AI442" s="306">
        <f t="shared" si="110"/>
        <v>-0.54826415094339631</v>
      </c>
      <c r="AJ442" s="288"/>
      <c r="AK442" s="279"/>
      <c r="AL442" s="280">
        <f t="shared" si="111"/>
        <v>1326.8400000000001</v>
      </c>
      <c r="AM442" s="284"/>
      <c r="AN442" s="282">
        <f t="shared" si="107"/>
        <v>-848.00000000000023</v>
      </c>
      <c r="AO442" s="289">
        <f t="shared" si="112"/>
        <v>-0.63911247776672409</v>
      </c>
      <c r="AP442" s="246"/>
      <c r="AQ442" s="246">
        <v>479</v>
      </c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>+U443&amp;V443</f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108"/>
        <v>1575</v>
      </c>
      <c r="AA443" s="279"/>
      <c r="AB443" s="279"/>
      <c r="AC443" s="280"/>
      <c r="AD443" s="288"/>
      <c r="AE443" s="287"/>
      <c r="AF443" s="280">
        <f t="shared" si="109"/>
        <v>2322.5</v>
      </c>
      <c r="AG443" s="281"/>
      <c r="AH443" s="282">
        <f t="shared" si="106"/>
        <v>747.5</v>
      </c>
      <c r="AI443" s="283">
        <f t="shared" si="110"/>
        <v>0.47460317460317458</v>
      </c>
      <c r="AJ443" s="288"/>
      <c r="AK443" s="279"/>
      <c r="AL443" s="280">
        <f t="shared" si="111"/>
        <v>1117.32</v>
      </c>
      <c r="AM443" s="284"/>
      <c r="AN443" s="282">
        <f t="shared" si="107"/>
        <v>1205.18</v>
      </c>
      <c r="AO443" s="289">
        <f t="shared" si="112"/>
        <v>1.0786345899115743</v>
      </c>
      <c r="AP443" s="246"/>
      <c r="AQ443" s="246">
        <v>2323</v>
      </c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89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233</v>
      </c>
      <c r="X444" s="279"/>
      <c r="Y444" s="279"/>
      <c r="Z444" s="280">
        <f t="shared" si="108"/>
        <v>512</v>
      </c>
      <c r="AA444" s="279"/>
      <c r="AB444" s="279"/>
      <c r="AC444" s="280"/>
      <c r="AD444" s="288"/>
      <c r="AE444" s="287"/>
      <c r="AF444" s="280">
        <f t="shared" si="109"/>
        <v>456.3</v>
      </c>
      <c r="AG444" s="281"/>
      <c r="AH444" s="282">
        <f t="shared" si="106"/>
        <v>-55.699999999999989</v>
      </c>
      <c r="AI444" s="306">
        <f t="shared" si="110"/>
        <v>-0.10878906249999998</v>
      </c>
      <c r="AJ444" s="288"/>
      <c r="AK444" s="279"/>
      <c r="AL444" s="280">
        <f t="shared" si="111"/>
        <v>816.29</v>
      </c>
      <c r="AM444" s="284"/>
      <c r="AN444" s="282">
        <f t="shared" si="107"/>
        <v>-359.98999999999995</v>
      </c>
      <c r="AO444" s="289">
        <f t="shared" si="112"/>
        <v>-0.44100748508495752</v>
      </c>
      <c r="AP444" s="246"/>
      <c r="AQ444" s="246">
        <v>456</v>
      </c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89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234</v>
      </c>
      <c r="X445" s="279"/>
      <c r="Y445" s="279"/>
      <c r="Z445" s="280">
        <f t="shared" si="108"/>
        <v>950</v>
      </c>
      <c r="AA445" s="279"/>
      <c r="AB445" s="279"/>
      <c r="AC445" s="280"/>
      <c r="AD445" s="288"/>
      <c r="AE445" s="287"/>
      <c r="AF445" s="280">
        <f t="shared" si="109"/>
        <v>1029.77</v>
      </c>
      <c r="AG445" s="281"/>
      <c r="AH445" s="282">
        <f t="shared" si="106"/>
        <v>79.769999999999982</v>
      </c>
      <c r="AI445" s="283">
        <f t="shared" si="110"/>
        <v>8.3968421052631553E-2</v>
      </c>
      <c r="AJ445" s="288"/>
      <c r="AK445" s="279"/>
      <c r="AL445" s="280">
        <f t="shared" si="111"/>
        <v>866.07999999999993</v>
      </c>
      <c r="AM445" s="284"/>
      <c r="AN445" s="282">
        <f t="shared" si="107"/>
        <v>163.69000000000005</v>
      </c>
      <c r="AO445" s="289">
        <f t="shared" si="112"/>
        <v>0.18900101607241834</v>
      </c>
      <c r="AP445" s="246"/>
      <c r="AQ445" s="246">
        <v>1030</v>
      </c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89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235</v>
      </c>
      <c r="X446" s="279"/>
      <c r="Y446" s="287"/>
      <c r="Z446" s="280">
        <f t="shared" si="108"/>
        <v>1741.0000000000002</v>
      </c>
      <c r="AA446" s="279"/>
      <c r="AB446" s="287"/>
      <c r="AC446" s="280"/>
      <c r="AD446" s="288"/>
      <c r="AE446" s="287"/>
      <c r="AF446" s="280">
        <f t="shared" si="109"/>
        <v>5061.0600000000004</v>
      </c>
      <c r="AG446" s="281"/>
      <c r="AH446" s="282">
        <f t="shared" si="106"/>
        <v>3320.0600000000004</v>
      </c>
      <c r="AI446" s="306">
        <f t="shared" si="110"/>
        <v>1.9069844916714531</v>
      </c>
      <c r="AJ446" s="288"/>
      <c r="AK446" s="279"/>
      <c r="AL446" s="280">
        <f t="shared" si="111"/>
        <v>1446.0000000000002</v>
      </c>
      <c r="AM446" s="284"/>
      <c r="AN446" s="282">
        <f t="shared" si="107"/>
        <v>3615.0600000000004</v>
      </c>
      <c r="AO446" s="289">
        <f t="shared" si="112"/>
        <v>2.5000414937759334</v>
      </c>
      <c r="AP446" s="246"/>
      <c r="AQ446" s="246">
        <v>5061</v>
      </c>
      <c r="AR446" s="485" t="s">
        <v>284</v>
      </c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89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236</v>
      </c>
      <c r="X447" s="279"/>
      <c r="Y447" s="287"/>
      <c r="Z447" s="280">
        <f t="shared" si="108"/>
        <v>2582.3544666666662</v>
      </c>
      <c r="AA447" s="279"/>
      <c r="AB447" s="287"/>
      <c r="AC447" s="280"/>
      <c r="AD447" s="288"/>
      <c r="AE447" s="287"/>
      <c r="AF447" s="280">
        <f t="shared" si="109"/>
        <v>2237.08</v>
      </c>
      <c r="AG447" s="281"/>
      <c r="AH447" s="282">
        <f t="shared" si="106"/>
        <v>-345.27446666666629</v>
      </c>
      <c r="AI447" s="283">
        <f t="shared" si="110"/>
        <v>-0.13370529535100992</v>
      </c>
      <c r="AJ447" s="288"/>
      <c r="AK447" s="279"/>
      <c r="AL447" s="280">
        <f t="shared" si="111"/>
        <v>943.81</v>
      </c>
      <c r="AM447" s="284"/>
      <c r="AN447" s="282">
        <f t="shared" si="107"/>
        <v>1293.27</v>
      </c>
      <c r="AO447" s="289">
        <f t="shared" si="112"/>
        <v>1.3702652016825421</v>
      </c>
      <c r="AP447" s="246"/>
      <c r="AQ447" s="246">
        <v>2237</v>
      </c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89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237</v>
      </c>
      <c r="X448" s="279"/>
      <c r="Y448" s="287">
        <f>Z448/Z406</f>
        <v>1.65E-3</v>
      </c>
      <c r="Z448" s="280">
        <f t="shared" si="108"/>
        <v>6578.0970558663003</v>
      </c>
      <c r="AA448" s="279"/>
      <c r="AB448" s="287"/>
      <c r="AC448" s="280"/>
      <c r="AD448" s="288"/>
      <c r="AE448" s="287"/>
      <c r="AF448" s="280">
        <f t="shared" si="109"/>
        <v>5853.7000000000007</v>
      </c>
      <c r="AG448" s="281"/>
      <c r="AH448" s="282">
        <f t="shared" si="106"/>
        <v>-724.39705586629952</v>
      </c>
      <c r="AI448" s="283">
        <f t="shared" si="110"/>
        <v>-0.11012258556147136</v>
      </c>
      <c r="AJ448" s="288"/>
      <c r="AK448" s="279"/>
      <c r="AL448" s="280">
        <f t="shared" si="111"/>
        <v>5470.3199999999988</v>
      </c>
      <c r="AM448" s="284"/>
      <c r="AN448" s="282">
        <f>AF448-AL448</f>
        <v>383.38000000000193</v>
      </c>
      <c r="AO448" s="289">
        <f>IF(AL448=0,0,AN448/AL448)</f>
        <v>7.008365141344601E-2</v>
      </c>
      <c r="AP448" s="246"/>
      <c r="AQ448" s="246">
        <v>5854</v>
      </c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>
      <c r="A449" t="str">
        <f t="shared" si="89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>IFERROR(SUMIF($C:$C,$V449,F:F),0)</f>
        <v>0</v>
      </c>
      <c r="AA449" s="279"/>
      <c r="AB449" s="279"/>
      <c r="AC449" s="282"/>
      <c r="AD449" s="288"/>
      <c r="AE449" s="287"/>
      <c r="AF449" s="280">
        <f t="shared" si="109"/>
        <v>0</v>
      </c>
      <c r="AG449" s="281"/>
      <c r="AH449" s="282">
        <f t="shared" si="106"/>
        <v>0</v>
      </c>
      <c r="AI449" s="283">
        <f t="shared" si="110"/>
        <v>0</v>
      </c>
      <c r="AJ449" s="288"/>
      <c r="AK449" s="279"/>
      <c r="AL449" s="280">
        <f>IFERROR(SUMIF($C:$C,$V449,Q:Q),0)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>
      <c r="A450" t="str">
        <f t="shared" si="89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IFERROR(SUMIF($C:$C,$V450,F:F),0)</f>
        <v>0</v>
      </c>
      <c r="AA450" s="279"/>
      <c r="AB450" s="279"/>
      <c r="AC450" s="282"/>
      <c r="AD450" s="288"/>
      <c r="AE450" s="287"/>
      <c r="AF450" s="280">
        <f t="shared" si="109"/>
        <v>0</v>
      </c>
      <c r="AG450" s="281"/>
      <c r="AH450" s="282">
        <f t="shared" si="106"/>
        <v>0</v>
      </c>
      <c r="AI450" s="283">
        <f t="shared" si="110"/>
        <v>0</v>
      </c>
      <c r="AJ450" s="288"/>
      <c r="AK450" s="279"/>
      <c r="AL450" s="280">
        <f>IFERROR(SUMIF($C:$C,$V450,Q:Q),0)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>
      <c r="A451" t="str">
        <f t="shared" si="89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IFERROR(SUMIF($C:$C,$V451,F:F),0)</f>
        <v>0</v>
      </c>
      <c r="AA451" s="279"/>
      <c r="AB451" s="279"/>
      <c r="AC451" s="282"/>
      <c r="AD451" s="288"/>
      <c r="AE451" s="287"/>
      <c r="AF451" s="280">
        <f t="shared" si="109"/>
        <v>0</v>
      </c>
      <c r="AG451" s="281"/>
      <c r="AH451" s="282">
        <f t="shared" si="106"/>
        <v>0</v>
      </c>
      <c r="AI451" s="283">
        <f t="shared" si="110"/>
        <v>0</v>
      </c>
      <c r="AJ451" s="288"/>
      <c r="AK451" s="279"/>
      <c r="AL451" s="280">
        <f>IFERROR(SUMIF($C:$C,$V451,Q:Q),0)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89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0.18775501037612669</v>
      </c>
      <c r="Y452" s="297"/>
      <c r="Z452" s="299">
        <f>+SUM(Z434:Z451)</f>
        <v>72066.959062522816</v>
      </c>
      <c r="AA452" s="298"/>
      <c r="AB452" s="297"/>
      <c r="AC452" s="299"/>
      <c r="AD452" s="300">
        <f>AF452/AF407</f>
        <v>0.16272373568060483</v>
      </c>
      <c r="AE452" s="297"/>
      <c r="AF452" s="299">
        <f>+SUM(AF434:AF451)</f>
        <v>74943.439999999988</v>
      </c>
      <c r="AG452" s="308"/>
      <c r="AH452" s="302">
        <f>+SUM(AH434:AH451)</f>
        <v>2876.4809374771853</v>
      </c>
      <c r="AI452" s="298">
        <f>AH452/Z452</f>
        <v>3.9914004627025393E-2</v>
      </c>
      <c r="AJ452" s="300">
        <f>IF($AL$407=0,0,AL452/$AL$407)</f>
        <v>0.21289077212920648</v>
      </c>
      <c r="AK452" s="298"/>
      <c r="AL452" s="299">
        <f>+SUM(AL434:AL451)</f>
        <v>69974.31</v>
      </c>
      <c r="AM452" s="309"/>
      <c r="AN452" s="302">
        <f>+SUM(AN434:AN451)</f>
        <v>4969.13</v>
      </c>
      <c r="AO452" s="331">
        <f>IF(AL452=0,0,AN452/AL452)</f>
        <v>7.1013633432040993E-2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89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50000</v>
      </c>
      <c r="AA453" s="279"/>
      <c r="AB453" s="287"/>
      <c r="AC453" s="280"/>
      <c r="AD453" s="288"/>
      <c r="AE453" s="287"/>
      <c r="AF453" s="280">
        <v>50000</v>
      </c>
      <c r="AG453" s="281"/>
      <c r="AH453" s="282">
        <f t="shared" ref="AH453:AH461" si="113">AF453-Z453</f>
        <v>0</v>
      </c>
      <c r="AI453" s="283">
        <f t="shared" ref="AI453:AI461" si="114">IF(Z453=0,0,AH453/Z453)</f>
        <v>0</v>
      </c>
      <c r="AJ453" s="288"/>
      <c r="AK453" s="279"/>
      <c r="AL453" s="280">
        <v>50000</v>
      </c>
      <c r="AM453" s="284"/>
      <c r="AN453" s="282">
        <f>AF453-AL453</f>
        <v>0</v>
      </c>
      <c r="AO453" s="289">
        <f t="shared" ref="AO453:AO461" si="115">IF(AL453=0,0,AN453/AL453)</f>
        <v>0</v>
      </c>
      <c r="AP453" s="246"/>
      <c r="AQ453" s="486">
        <v>50000</v>
      </c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89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5933.07</v>
      </c>
      <c r="AA454" s="279"/>
      <c r="AB454" s="287"/>
      <c r="AC454" s="280"/>
      <c r="AD454" s="288"/>
      <c r="AE454" s="287"/>
      <c r="AF454" s="280">
        <v>6163.5</v>
      </c>
      <c r="AG454" s="281"/>
      <c r="AH454" s="282">
        <f t="shared" si="113"/>
        <v>230.43000000000029</v>
      </c>
      <c r="AI454" s="283">
        <f t="shared" si="114"/>
        <v>3.883824057359854E-2</v>
      </c>
      <c r="AJ454" s="288"/>
      <c r="AK454" s="279"/>
      <c r="AL454" s="280">
        <v>5872.14</v>
      </c>
      <c r="AM454" s="284"/>
      <c r="AN454" s="282">
        <f t="shared" ref="AN454:AN461" si="116">AF454-AL454</f>
        <v>291.35999999999967</v>
      </c>
      <c r="AO454" s="289">
        <f t="shared" si="115"/>
        <v>4.9617345635492284E-2</v>
      </c>
      <c r="AP454" s="246"/>
      <c r="AQ454" s="486">
        <v>6164</v>
      </c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89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2542.75</v>
      </c>
      <c r="AA455" s="263"/>
      <c r="AB455" s="291"/>
      <c r="AC455" s="264"/>
      <c r="AD455" s="292"/>
      <c r="AE455" s="291"/>
      <c r="AF455" s="264">
        <v>2641.5</v>
      </c>
      <c r="AG455" s="265"/>
      <c r="AH455" s="266">
        <f t="shared" si="113"/>
        <v>98.75</v>
      </c>
      <c r="AI455" s="293">
        <f t="shared" si="114"/>
        <v>3.8835906007275586E-2</v>
      </c>
      <c r="AJ455" s="292"/>
      <c r="AK455" s="263"/>
      <c r="AL455" s="264">
        <v>2516.63</v>
      </c>
      <c r="AM455" s="268"/>
      <c r="AN455" s="266">
        <f t="shared" si="116"/>
        <v>124.86999999999989</v>
      </c>
      <c r="AO455" s="269">
        <f t="shared" si="115"/>
        <v>4.9617941453451594E-2</v>
      </c>
      <c r="AP455" s="246"/>
      <c r="AQ455" s="486">
        <v>2642</v>
      </c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 hidden="1">
      <c r="A456" t="str">
        <f t="shared" si="89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113"/>
        <v>0</v>
      </c>
      <c r="AI456" s="283">
        <f t="shared" si="114"/>
        <v>0</v>
      </c>
      <c r="AJ456" s="288"/>
      <c r="AK456" s="279"/>
      <c r="AL456" s="280">
        <v>0</v>
      </c>
      <c r="AM456" s="284"/>
      <c r="AN456" s="282">
        <f t="shared" si="116"/>
        <v>0</v>
      </c>
      <c r="AO456" s="289">
        <f t="shared" si="115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89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4854</v>
      </c>
      <c r="AA457" s="263"/>
      <c r="AB457" s="291"/>
      <c r="AC457" s="264"/>
      <c r="AD457" s="292"/>
      <c r="AE457" s="291"/>
      <c r="AF457" s="264">
        <v>4853.83</v>
      </c>
      <c r="AG457" s="265"/>
      <c r="AH457" s="266">
        <f t="shared" si="113"/>
        <v>-0.17000000000007276</v>
      </c>
      <c r="AI457" s="293">
        <f t="shared" si="114"/>
        <v>-3.5022661722305881E-5</v>
      </c>
      <c r="AJ457" s="292"/>
      <c r="AK457" s="263"/>
      <c r="AL457" s="264">
        <v>4349.75</v>
      </c>
      <c r="AM457" s="268"/>
      <c r="AN457" s="266">
        <f t="shared" si="116"/>
        <v>504.07999999999993</v>
      </c>
      <c r="AO457" s="269">
        <f t="shared" si="115"/>
        <v>0.11588711994942236</v>
      </c>
      <c r="AP457" s="246"/>
      <c r="AQ457" s="486">
        <v>4854</v>
      </c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89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5000</v>
      </c>
      <c r="AA458" s="332"/>
      <c r="AB458" s="333"/>
      <c r="AC458" s="280"/>
      <c r="AD458" s="288"/>
      <c r="AE458" s="287"/>
      <c r="AF458" s="280">
        <v>5363.8</v>
      </c>
      <c r="AG458" s="281"/>
      <c r="AH458" s="282">
        <f t="shared" si="113"/>
        <v>363.80000000000018</v>
      </c>
      <c r="AI458" s="283">
        <f t="shared" si="114"/>
        <v>7.2760000000000033E-2</v>
      </c>
      <c r="AJ458" s="288"/>
      <c r="AK458" s="279"/>
      <c r="AL458" s="280">
        <v>4297.29</v>
      </c>
      <c r="AM458" s="284"/>
      <c r="AN458" s="282">
        <f t="shared" si="116"/>
        <v>1066.5100000000002</v>
      </c>
      <c r="AO458" s="289">
        <f t="shared" si="115"/>
        <v>0.24818199376816558</v>
      </c>
      <c r="AP458" s="246"/>
      <c r="AQ458" s="246">
        <f>5114+250</f>
        <v>5364</v>
      </c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89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152</v>
      </c>
      <c r="X459" s="279"/>
      <c r="Y459" s="287"/>
      <c r="Z459" s="280">
        <v>6541.333333333333</v>
      </c>
      <c r="AA459" s="279"/>
      <c r="AB459" s="287"/>
      <c r="AC459" s="280"/>
      <c r="AD459" s="288"/>
      <c r="AE459" s="287"/>
      <c r="AF459" s="280">
        <v>6307.33</v>
      </c>
      <c r="AG459" s="281"/>
      <c r="AH459" s="282">
        <f t="shared" si="113"/>
        <v>-234.0033333333331</v>
      </c>
      <c r="AI459" s="283">
        <f t="shared" si="114"/>
        <v>-3.5773033020790837E-2</v>
      </c>
      <c r="AJ459" s="288"/>
      <c r="AK459" s="279"/>
      <c r="AL459" s="280">
        <v>6307.33</v>
      </c>
      <c r="AM459" s="284"/>
      <c r="AN459" s="282">
        <f t="shared" si="116"/>
        <v>0</v>
      </c>
      <c r="AO459" s="289">
        <f t="shared" si="115"/>
        <v>0</v>
      </c>
      <c r="AP459" s="246"/>
      <c r="AQ459" s="486">
        <v>6307</v>
      </c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89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238</v>
      </c>
      <c r="X460" s="263"/>
      <c r="Y460" s="291"/>
      <c r="Z460" s="264">
        <v>433.33333333333331</v>
      </c>
      <c r="AA460" s="263"/>
      <c r="AB460" s="291"/>
      <c r="AC460" s="264"/>
      <c r="AD460" s="292"/>
      <c r="AE460" s="291"/>
      <c r="AF460" s="264">
        <v>400</v>
      </c>
      <c r="AG460" s="265"/>
      <c r="AH460" s="266">
        <f t="shared" si="113"/>
        <v>-33.333333333333314</v>
      </c>
      <c r="AI460" s="293">
        <f t="shared" si="114"/>
        <v>-7.6923076923076886E-2</v>
      </c>
      <c r="AJ460" s="292"/>
      <c r="AK460" s="263"/>
      <c r="AL460" s="264">
        <v>250</v>
      </c>
      <c r="AM460" s="268"/>
      <c r="AN460" s="266">
        <f t="shared" si="116"/>
        <v>150</v>
      </c>
      <c r="AO460" s="269">
        <f t="shared" si="115"/>
        <v>0.6</v>
      </c>
      <c r="AP460" s="246"/>
      <c r="AQ460" s="246">
        <v>400</v>
      </c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89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212.00000000000003</v>
      </c>
      <c r="AA461" s="279"/>
      <c r="AB461" s="287"/>
      <c r="AC461" s="280"/>
      <c r="AD461" s="288"/>
      <c r="AE461" s="287"/>
      <c r="AF461" s="280">
        <v>221.18</v>
      </c>
      <c r="AG461" s="281"/>
      <c r="AH461" s="282">
        <f t="shared" si="113"/>
        <v>9.1799999999999784</v>
      </c>
      <c r="AI461" s="335">
        <f t="shared" si="114"/>
        <v>4.3301886792452719E-2</v>
      </c>
      <c r="AJ461" s="279"/>
      <c r="AK461" s="279"/>
      <c r="AL461" s="280">
        <v>173.96</v>
      </c>
      <c r="AM461" s="284"/>
      <c r="AN461" s="282">
        <f t="shared" si="116"/>
        <v>47.22</v>
      </c>
      <c r="AO461" s="289">
        <f t="shared" si="115"/>
        <v>0.27144171073810069</v>
      </c>
      <c r="AP461" s="246"/>
      <c r="AQ461" s="246">
        <v>221</v>
      </c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 hidden="1">
      <c r="A462" t="str">
        <f t="shared" si="89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>
      <c r="A463" t="str">
        <f t="shared" si="89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IFERROR(SUMIF($C:$C,$V463,F:F),0)</f>
        <v>0</v>
      </c>
      <c r="AA463" s="279"/>
      <c r="AB463" s="279"/>
      <c r="AC463" s="282"/>
      <c r="AD463" s="288"/>
      <c r="AE463" s="287"/>
      <c r="AF463" s="280">
        <f>+SUMIF($C:$C,$V463,L:L)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IFERROR(SUMIF($C:$C,$V463,Q:Q),0)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>
      <c r="A464" t="str">
        <f t="shared" si="89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IFERROR(SUMIF($C:$C,$V464,F:F),0)</f>
        <v>0</v>
      </c>
      <c r="AA464" s="279"/>
      <c r="AB464" s="279"/>
      <c r="AC464" s="282"/>
      <c r="AD464" s="288"/>
      <c r="AE464" s="287"/>
      <c r="AF464" s="280">
        <f>+SUMIF($C:$C,$V464,L:L)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IFERROR(SUMIF($C:$C,$V464,Q:Q),0)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>
      <c r="A465" t="str">
        <f t="shared" si="89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IFERROR(SUMIF($C:$C,$V465,F:F),0)</f>
        <v>0</v>
      </c>
      <c r="AA465" s="279"/>
      <c r="AB465" s="279"/>
      <c r="AC465" s="282"/>
      <c r="AD465" s="288"/>
      <c r="AE465" s="287"/>
      <c r="AF465" s="280">
        <f>+SUMIF($C:$C,$V465,L:L)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IFERROR(SUMIF($C:$C,$V465,Q:Q),0)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89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0.19674201495539403</v>
      </c>
      <c r="Y466" s="297"/>
      <c r="Z466" s="299">
        <f>SUM(Z453:Z465)</f>
        <v>75516.486666666664</v>
      </c>
      <c r="AA466" s="298"/>
      <c r="AB466" s="297"/>
      <c r="AC466" s="299"/>
      <c r="AD466" s="300">
        <f>AF466/AF407</f>
        <v>0.16491174184158899</v>
      </c>
      <c r="AE466" s="297"/>
      <c r="AF466" s="299">
        <f>SUM(AF453:AF465)</f>
        <v>75951.14</v>
      </c>
      <c r="AG466" s="308"/>
      <c r="AH466" s="302">
        <f>SUM(AH453:AH465)</f>
        <v>434.65333333333399</v>
      </c>
      <c r="AI466" s="298">
        <f>IF(Z466=0,0,AH466/Z466)</f>
        <v>5.7557409318035983E-3</v>
      </c>
      <c r="AJ466" s="300">
        <f>IF($AL$407=0,0,AL466/$AL$407)</f>
        <v>0.22443000690871248</v>
      </c>
      <c r="AK466" s="298"/>
      <c r="AL466" s="299">
        <f>SUM(AL453:AL465)</f>
        <v>73767.100000000006</v>
      </c>
      <c r="AM466" s="309"/>
      <c r="AN466" s="302">
        <f>SUM(AN453:AN465)</f>
        <v>2184.0399999999995</v>
      </c>
      <c r="AO466" s="331">
        <f t="shared" ref="AO466:AO483" si="117">IF(AL466=0,0,AN466/AL466)</f>
        <v>2.9607236830511155E-2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89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118">AF467-Z467</f>
        <v>0</v>
      </c>
      <c r="AI467" s="283"/>
      <c r="AJ467" s="288"/>
      <c r="AK467" s="279"/>
      <c r="AL467" s="336"/>
      <c r="AM467" s="337"/>
      <c r="AN467" s="282">
        <f t="shared" ref="AN467:AN483" si="119">AF467-AL467</f>
        <v>0</v>
      </c>
      <c r="AO467" s="338">
        <f t="shared" si="117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89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1.1191979853826506</v>
      </c>
      <c r="Y468" s="297"/>
      <c r="Z468" s="299">
        <f>Z419+Z433+Z452+Z466</f>
        <v>429587.44607587403</v>
      </c>
      <c r="AA468" s="298"/>
      <c r="AB468" s="297"/>
      <c r="AC468" s="299"/>
      <c r="AD468" s="300">
        <f>AF468/AF407</f>
        <v>1.0237419838517459</v>
      </c>
      <c r="AE468" s="297"/>
      <c r="AF468" s="299">
        <f>AF419+AF433+AF452+AF466</f>
        <v>471490.81</v>
      </c>
      <c r="AG468" s="308"/>
      <c r="AH468" s="302">
        <f t="shared" si="118"/>
        <v>41903.363924125966</v>
      </c>
      <c r="AI468" s="298">
        <f>AH468/Z468</f>
        <v>9.7543269261935003E-2</v>
      </c>
      <c r="AJ468" s="300">
        <f>IF($AL$407=0,0,AL468/$AL$407)</f>
        <v>1.2400314110919832</v>
      </c>
      <c r="AK468" s="298"/>
      <c r="AL468" s="299">
        <f>AL419+AL433+AL452+AL466</f>
        <v>407581.50999999989</v>
      </c>
      <c r="AM468" s="309"/>
      <c r="AN468" s="302">
        <f t="shared" si="119"/>
        <v>63909.300000000105</v>
      </c>
      <c r="AO468" s="277">
        <f t="shared" si="117"/>
        <v>0.15680127393413926</v>
      </c>
      <c r="AP468" s="310">
        <f>AF468-AF415</f>
        <v>442845.54</v>
      </c>
      <c r="AQ468" s="246" t="s">
        <v>221</v>
      </c>
      <c r="AR468" s="499">
        <v>417396</v>
      </c>
      <c r="AS468" s="310">
        <f>AP468-AR468</f>
        <v>25449.539999999979</v>
      </c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89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0</v>
      </c>
      <c r="AA469" s="339"/>
      <c r="AB469" s="340"/>
      <c r="AC469" s="313"/>
      <c r="AD469" s="341"/>
      <c r="AE469" s="340"/>
      <c r="AF469" s="280">
        <v>1033.1599999999999</v>
      </c>
      <c r="AG469" s="342"/>
      <c r="AH469" s="282">
        <f t="shared" si="118"/>
        <v>1033.1599999999999</v>
      </c>
      <c r="AI469" s="335" t="e">
        <f>IF(AH469=0,0,AH469/Z469)</f>
        <v>#DIV/0!</v>
      </c>
      <c r="AJ469" s="341"/>
      <c r="AK469" s="339"/>
      <c r="AL469" s="343">
        <v>882.81</v>
      </c>
      <c r="AM469" s="344"/>
      <c r="AN469" s="282">
        <f t="shared" si="119"/>
        <v>150.34999999999991</v>
      </c>
      <c r="AO469" s="289">
        <f t="shared" si="117"/>
        <v>0.17030844689117694</v>
      </c>
      <c r="AP469" s="246"/>
      <c r="AQ469" s="246">
        <v>1033</v>
      </c>
      <c r="AR469" s="246" t="s">
        <v>273</v>
      </c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89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>+SUMIF($C:$C,$V470,F:F)</f>
        <v>39359.97861818182</v>
      </c>
      <c r="AA470" s="332"/>
      <c r="AB470" s="333"/>
      <c r="AC470" s="280"/>
      <c r="AD470" s="345"/>
      <c r="AE470" s="333"/>
      <c r="AF470" s="280">
        <f t="shared" ref="AF470:AF476" si="120">+SUMIF($C:$C,$V470,L:L)</f>
        <v>30943.4</v>
      </c>
      <c r="AG470" s="346"/>
      <c r="AH470" s="282">
        <f t="shared" si="118"/>
        <v>-8416.5786181818185</v>
      </c>
      <c r="AI470" s="306">
        <f>IF(Z470=0,0,AH470/Z470)</f>
        <v>-0.21383595504022687</v>
      </c>
      <c r="AJ470" s="345"/>
      <c r="AK470" s="332"/>
      <c r="AL470" s="347">
        <f>+SUMIF($C:$C,$V470,Q:Q)</f>
        <v>37435.699999999997</v>
      </c>
      <c r="AM470" s="348"/>
      <c r="AN470" s="282">
        <f t="shared" si="119"/>
        <v>-6492.2999999999956</v>
      </c>
      <c r="AO470" s="289">
        <f t="shared" si="117"/>
        <v>-0.17342536669542699</v>
      </c>
      <c r="AP470" s="246"/>
      <c r="AQ470" s="246">
        <v>30943</v>
      </c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89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v>36407.980221818179</v>
      </c>
      <c r="AA471" s="332"/>
      <c r="AB471" s="333"/>
      <c r="AC471" s="280"/>
      <c r="AD471" s="345"/>
      <c r="AE471" s="333"/>
      <c r="AF471" s="280">
        <f t="shared" si="120"/>
        <v>38986.85</v>
      </c>
      <c r="AG471" s="346"/>
      <c r="AH471" s="282">
        <f t="shared" si="118"/>
        <v>2578.8697781818191</v>
      </c>
      <c r="AI471" s="306">
        <f t="shared" ref="AI471:AI480" si="121">IF(AH471=0,0,AH471/Z471)</f>
        <v>7.0832541724915085E-2</v>
      </c>
      <c r="AJ471" s="345"/>
      <c r="AK471" s="332"/>
      <c r="AL471" s="347">
        <v>27489.53</v>
      </c>
      <c r="AM471" s="348"/>
      <c r="AN471" s="282">
        <f t="shared" si="119"/>
        <v>11497.32</v>
      </c>
      <c r="AO471" s="289">
        <f t="shared" si="117"/>
        <v>0.41824360038167258</v>
      </c>
      <c r="AP471" s="246"/>
      <c r="AQ471" s="246">
        <v>38987</v>
      </c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>
      <c r="A472" t="str">
        <f t="shared" si="89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>+SUMIF($C:$C,$V472,F:F)</f>
        <v>0</v>
      </c>
      <c r="AA472" s="332"/>
      <c r="AB472" s="333"/>
      <c r="AC472" s="280"/>
      <c r="AD472" s="345"/>
      <c r="AE472" s="333"/>
      <c r="AF472" s="280">
        <f t="shared" si="120"/>
        <v>0</v>
      </c>
      <c r="AG472" s="346"/>
      <c r="AH472" s="282">
        <f t="shared" si="118"/>
        <v>0</v>
      </c>
      <c r="AI472" s="306">
        <f t="shared" si="121"/>
        <v>0</v>
      </c>
      <c r="AJ472" s="345"/>
      <c r="AK472" s="332"/>
      <c r="AL472" s="347">
        <f>+SUMIF($C:$C,$V472,Q:Q)</f>
        <v>0</v>
      </c>
      <c r="AM472" s="348"/>
      <c r="AN472" s="282">
        <f t="shared" si="119"/>
        <v>0</v>
      </c>
      <c r="AO472" s="289">
        <f t="shared" si="117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>
      <c r="A473" t="str">
        <f t="shared" si="89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>+SUMIF($C:$C,$V473,F:F)</f>
        <v>0</v>
      </c>
      <c r="AA473" s="332"/>
      <c r="AB473" s="333"/>
      <c r="AC473" s="280"/>
      <c r="AD473" s="345"/>
      <c r="AE473" s="333"/>
      <c r="AF473" s="280">
        <f t="shared" si="120"/>
        <v>0</v>
      </c>
      <c r="AG473" s="346"/>
      <c r="AH473" s="282">
        <f t="shared" si="118"/>
        <v>0</v>
      </c>
      <c r="AI473" s="306">
        <f t="shared" si="121"/>
        <v>0</v>
      </c>
      <c r="AJ473" s="345"/>
      <c r="AK473" s="332"/>
      <c r="AL473" s="347">
        <f>+SUMIF($C:$C,$V473,Q:Q)</f>
        <v>0</v>
      </c>
      <c r="AM473" s="348"/>
      <c r="AN473" s="282">
        <f t="shared" si="119"/>
        <v>0</v>
      </c>
      <c r="AO473" s="289">
        <f t="shared" si="117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89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v>2250</v>
      </c>
      <c r="AA474" s="332"/>
      <c r="AB474" s="333"/>
      <c r="AC474" s="280"/>
      <c r="AD474" s="345"/>
      <c r="AE474" s="333"/>
      <c r="AF474" s="280">
        <f t="shared" si="120"/>
        <v>1400</v>
      </c>
      <c r="AG474" s="346"/>
      <c r="AH474" s="282">
        <f t="shared" si="118"/>
        <v>-850</v>
      </c>
      <c r="AI474" s="306">
        <f t="shared" si="121"/>
        <v>-0.37777777777777777</v>
      </c>
      <c r="AJ474" s="345"/>
      <c r="AK474" s="332"/>
      <c r="AL474" s="347">
        <v>3375</v>
      </c>
      <c r="AM474" s="348"/>
      <c r="AN474" s="282">
        <f t="shared" si="119"/>
        <v>-1975</v>
      </c>
      <c r="AO474" s="289">
        <f t="shared" si="117"/>
        <v>-0.58518518518518514</v>
      </c>
      <c r="AP474" s="246"/>
      <c r="AQ474" s="246">
        <v>1400</v>
      </c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89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>+SUMIF($C:$C,$V475,F:F)</f>
        <v>804</v>
      </c>
      <c r="AA475" s="332"/>
      <c r="AB475" s="333"/>
      <c r="AC475" s="280"/>
      <c r="AD475" s="345"/>
      <c r="AE475" s="333"/>
      <c r="AF475" s="280">
        <f t="shared" si="120"/>
        <v>0</v>
      </c>
      <c r="AG475" s="346"/>
      <c r="AH475" s="282">
        <f t="shared" si="118"/>
        <v>-804</v>
      </c>
      <c r="AI475" s="306">
        <f t="shared" si="121"/>
        <v>-1</v>
      </c>
      <c r="AJ475" s="345"/>
      <c r="AK475" s="332"/>
      <c r="AL475" s="347">
        <f>+SUMIF($C:$C,$V475,Q:Q)</f>
        <v>0</v>
      </c>
      <c r="AM475" s="348"/>
      <c r="AN475" s="282">
        <f t="shared" si="119"/>
        <v>0</v>
      </c>
      <c r="AO475" s="289">
        <f t="shared" si="117"/>
        <v>0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>
      <c r="A476" t="str">
        <f t="shared" si="89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>+SUMIF($C:$C,$V476,F:F)</f>
        <v>0</v>
      </c>
      <c r="AA476" s="332"/>
      <c r="AB476" s="333"/>
      <c r="AC476" s="280"/>
      <c r="AD476" s="345"/>
      <c r="AE476" s="333"/>
      <c r="AF476" s="280">
        <f t="shared" si="120"/>
        <v>0</v>
      </c>
      <c r="AG476" s="346"/>
      <c r="AH476" s="282">
        <f t="shared" si="118"/>
        <v>0</v>
      </c>
      <c r="AI476" s="306">
        <f t="shared" si="121"/>
        <v>0</v>
      </c>
      <c r="AJ476" s="345"/>
      <c r="AK476" s="332"/>
      <c r="AL476" s="347">
        <f>+SUMIF($C:$C,$V476,Q:Q)</f>
        <v>0</v>
      </c>
      <c r="AM476" s="348"/>
      <c r="AN476" s="282">
        <f t="shared" si="119"/>
        <v>0</v>
      </c>
      <c r="AO476" s="289">
        <f t="shared" si="117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89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20663.988774545454</v>
      </c>
      <c r="AA477" s="332"/>
      <c r="AB477" s="333"/>
      <c r="AC477" s="280"/>
      <c r="AD477" s="345"/>
      <c r="AE477" s="333"/>
      <c r="AF477" s="280">
        <v>19152.21</v>
      </c>
      <c r="AG477" s="346"/>
      <c r="AH477" s="282">
        <f t="shared" si="118"/>
        <v>-1511.7787745454552</v>
      </c>
      <c r="AI477" s="306">
        <f t="shared" si="121"/>
        <v>-7.3160065611713426E-2</v>
      </c>
      <c r="AJ477" s="345"/>
      <c r="AK477" s="332"/>
      <c r="AL477" s="347">
        <v>14882.07</v>
      </c>
      <c r="AM477" s="348"/>
      <c r="AN477" s="282">
        <f t="shared" si="119"/>
        <v>4270.1399999999994</v>
      </c>
      <c r="AO477" s="289">
        <f t="shared" si="117"/>
        <v>0.28693185826971646</v>
      </c>
      <c r="AP477" s="246"/>
      <c r="AQ477" s="246">
        <v>19152</v>
      </c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>
      <c r="A478" t="str">
        <f t="shared" si="89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IFERROR(SUMIF($C:$C,$V478,F:F),0)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118"/>
        <v>0</v>
      </c>
      <c r="AI478" s="283">
        <f t="shared" si="121"/>
        <v>0</v>
      </c>
      <c r="AJ478" s="288"/>
      <c r="AK478" s="279"/>
      <c r="AL478" s="280">
        <f>+SUMIF($C:$C,$V478,Q:Q)</f>
        <v>0</v>
      </c>
      <c r="AM478" s="348"/>
      <c r="AN478" s="282">
        <f t="shared" si="119"/>
        <v>0</v>
      </c>
      <c r="AO478" s="289">
        <f t="shared" si="117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>
      <c r="A479" t="str">
        <f t="shared" si="89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IFERROR(SUMIF($C:$C,$V479,F:F),0)</f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118"/>
        <v>0</v>
      </c>
      <c r="AI479" s="283">
        <f t="shared" si="121"/>
        <v>0</v>
      </c>
      <c r="AJ479" s="288"/>
      <c r="AK479" s="279"/>
      <c r="AL479" s="280">
        <f>+SUMIF($C:$C,$V479,Q:Q)</f>
        <v>0</v>
      </c>
      <c r="AM479" s="348"/>
      <c r="AN479" s="282">
        <f t="shared" si="119"/>
        <v>0</v>
      </c>
      <c r="AO479" s="289">
        <f t="shared" si="117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89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+SUMIF($C:$C,$V480,F:F)</f>
        <v>22369.025000000001</v>
      </c>
      <c r="AA480" s="332"/>
      <c r="AB480" s="333"/>
      <c r="AC480" s="280"/>
      <c r="AD480" s="345"/>
      <c r="AE480" s="333"/>
      <c r="AF480" s="280">
        <f>+SUMIF($C:$C,$V480,L:L)</f>
        <v>26180</v>
      </c>
      <c r="AG480" s="346"/>
      <c r="AH480" s="282">
        <f t="shared" si="118"/>
        <v>3810.9749999999985</v>
      </c>
      <c r="AI480" s="306">
        <f t="shared" si="121"/>
        <v>0.17036840005319848</v>
      </c>
      <c r="AJ480" s="345"/>
      <c r="AK480" s="332"/>
      <c r="AL480" s="347">
        <v>20230</v>
      </c>
      <c r="AM480" s="348"/>
      <c r="AN480" s="282">
        <f t="shared" si="119"/>
        <v>5950</v>
      </c>
      <c r="AO480" s="289">
        <f t="shared" si="117"/>
        <v>0.29411764705882354</v>
      </c>
      <c r="AP480" s="246"/>
      <c r="AQ480" s="246">
        <v>26180</v>
      </c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89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0.31746700492492941</v>
      </c>
      <c r="Y481" s="330"/>
      <c r="Z481" s="299">
        <f>SUM(Z469:Z480)</f>
        <v>121854.97261454546</v>
      </c>
      <c r="AA481" s="298"/>
      <c r="AB481" s="330"/>
      <c r="AC481" s="299"/>
      <c r="AD481" s="298">
        <f>AF481/+AF407</f>
        <v>0.25555099898863609</v>
      </c>
      <c r="AE481" s="330"/>
      <c r="AF481" s="299">
        <f>SUM(AF469:AF480)</f>
        <v>117695.62</v>
      </c>
      <c r="AG481" s="308"/>
      <c r="AH481" s="302">
        <f t="shared" si="118"/>
        <v>-4159.3526145454671</v>
      </c>
      <c r="AI481" s="298">
        <f>AH481/Z481</f>
        <v>-3.4133630538840873E-2</v>
      </c>
      <c r="AJ481" s="349"/>
      <c r="AK481" s="350"/>
      <c r="AL481" s="299">
        <f>SUM(AL469:AL480)</f>
        <v>104295.10999999999</v>
      </c>
      <c r="AM481" s="351"/>
      <c r="AN481" s="302">
        <f t="shared" si="119"/>
        <v>13400.510000000009</v>
      </c>
      <c r="AO481" s="331">
        <f t="shared" si="117"/>
        <v>0.12848646499342117</v>
      </c>
      <c r="AP481" s="246"/>
      <c r="AQ481" s="246" t="s">
        <v>221</v>
      </c>
      <c r="AR481" s="499">
        <v>101000</v>
      </c>
      <c r="AS481" s="310">
        <f>AF481-AR481</f>
        <v>16695.619999999995</v>
      </c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89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119"/>
        <v>0</v>
      </c>
      <c r="AO482" s="364">
        <f t="shared" si="117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89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1.9089000437281182E-2</v>
      </c>
      <c r="Z483" s="369">
        <f>Z407-Z468+Z481</f>
        <v>76102.60459146052</v>
      </c>
      <c r="AA483" s="367"/>
      <c r="AB483" s="368"/>
      <c r="AC483" s="369"/>
      <c r="AD483" s="367" t="s">
        <v>180</v>
      </c>
      <c r="AE483" s="368">
        <f>AF483/AF406</f>
        <v>2.7995043124338398E-2</v>
      </c>
      <c r="AF483" s="370">
        <f>AF407-AF468+AF481</f>
        <v>106761.10000000003</v>
      </c>
      <c r="AG483" s="371"/>
      <c r="AH483" s="370">
        <f>AF483-Z483</f>
        <v>30658.495408539515</v>
      </c>
      <c r="AI483" s="487">
        <f>AH483/Z483</f>
        <v>0.40285737358297596</v>
      </c>
      <c r="AJ483" s="373" t="s">
        <v>180</v>
      </c>
      <c r="AK483" s="368">
        <f>IF($AL$406=0,0,AL483/$AL$406)</f>
        <v>7.0948987752552806E-3</v>
      </c>
      <c r="AL483" s="370">
        <f>AL407-AL468+AL481</f>
        <v>25400.03999999963</v>
      </c>
      <c r="AM483" s="374"/>
      <c r="AN483" s="370">
        <f t="shared" si="119"/>
        <v>81361.060000000405</v>
      </c>
      <c r="AO483" s="375">
        <f t="shared" si="117"/>
        <v>3.2031862941948748</v>
      </c>
      <c r="AP483" s="246"/>
      <c r="AQ483" s="246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89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8" si="122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Juin 2025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 hidden="1">
      <c r="A486" t="str">
        <f t="shared" si="122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122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e">
        <f>+U488&amp;#REF!</f>
        <v>#REF!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2.6680892507485537E-2</v>
      </c>
      <c r="Z488" s="449">
        <f>Z489+Z415</f>
        <v>106369.39421295506</v>
      </c>
      <c r="AA488" s="446"/>
      <c r="AB488" s="447"/>
      <c r="AC488" s="448"/>
      <c r="AD488" s="446" t="s">
        <v>180</v>
      </c>
      <c r="AE488" s="447">
        <f>AF488/AF406</f>
        <v>3.5506445394999871E-2</v>
      </c>
      <c r="AF488" s="449">
        <f>AF489+AF415</f>
        <v>135406.37000000002</v>
      </c>
      <c r="AG488" s="450"/>
      <c r="AH488" s="449">
        <f t="shared" ref="AH488" si="123">AF488-Z488</f>
        <v>29036.975787044968</v>
      </c>
      <c r="AI488" s="500">
        <f>AH488/Z488</f>
        <v>0.27298243072543948</v>
      </c>
      <c r="AJ488" s="446" t="s">
        <v>180</v>
      </c>
      <c r="AK488" s="447">
        <f>IF($AL$406=0,0,AL488/$AL$406)</f>
        <v>1.8404303242624473E-2</v>
      </c>
      <c r="AL488" s="449">
        <f>AL489+AL415</f>
        <v>65888.189999999624</v>
      </c>
      <c r="AM488" s="452"/>
      <c r="AN488" s="449">
        <f t="shared" ref="AN488" si="124">AF488-AL488</f>
        <v>69518.1800000004</v>
      </c>
      <c r="AO488" s="453">
        <f t="shared" ref="AO488" si="125">IF(AL488=0,0,AN488/AL488)</f>
        <v>1.0550931813425259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thickTop="1" thickBot="1">
      <c r="A489" t="str">
        <f t="shared" si="122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1.9089000437281182E-2</v>
      </c>
      <c r="Z489" s="381">
        <f>Z483</f>
        <v>76102.60459146052</v>
      </c>
      <c r="AA489" s="379"/>
      <c r="AB489" s="380"/>
      <c r="AC489" s="381"/>
      <c r="AD489" s="379" t="s">
        <v>180</v>
      </c>
      <c r="AE489" s="380">
        <f>AF489/AF406</f>
        <v>2.7995043124338398E-2</v>
      </c>
      <c r="AF489" s="381">
        <f>AF483</f>
        <v>106761.10000000003</v>
      </c>
      <c r="AG489" s="382"/>
      <c r="AH489" s="370">
        <f>AF489-Z489</f>
        <v>30658.495408539515</v>
      </c>
      <c r="AI489" s="487">
        <f>AH489/Z489</f>
        <v>0.40285737358297596</v>
      </c>
      <c r="AJ489" s="379" t="s">
        <v>180</v>
      </c>
      <c r="AK489" s="380">
        <f>IF($AL$406=0,0,AL489/$AL$406)</f>
        <v>7.0948987752552806E-3</v>
      </c>
      <c r="AL489" s="383">
        <f>AL483</f>
        <v>25400.03999999963</v>
      </c>
      <c r="AM489" s="384"/>
      <c r="AN489" s="385">
        <f>AF489-AL489</f>
        <v>81361.060000000405</v>
      </c>
      <c r="AO489" s="386">
        <f>IF(AL489=0,0,AN489/AL489)</f>
        <v>3.2031862941948748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122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122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19300</v>
      </c>
      <c r="AA491" s="279"/>
      <c r="AB491" s="287"/>
      <c r="AC491" s="280"/>
      <c r="AD491" s="279"/>
      <c r="AE491" s="287"/>
      <c r="AF491" s="280">
        <v>19300</v>
      </c>
      <c r="AG491" s="279"/>
      <c r="AH491" s="282">
        <f t="shared" ref="AH491:AH498" si="126">AF491-Z491</f>
        <v>0</v>
      </c>
      <c r="AI491" s="306">
        <f t="shared" ref="AI491:AI497" si="127">IF(Z491=0,0,AH491/Z491)</f>
        <v>0</v>
      </c>
      <c r="AJ491" s="279"/>
      <c r="AK491" s="279"/>
      <c r="AL491" s="280">
        <v>20970</v>
      </c>
      <c r="AM491" s="284"/>
      <c r="AN491" s="282">
        <f t="shared" ref="AN491:AN498" si="128">AF491-AL491</f>
        <v>-1670</v>
      </c>
      <c r="AO491" s="289">
        <f t="shared" ref="AO491:AO498" si="129">IF(AL491=0,0,AN491/AL491)</f>
        <v>-7.9637577491654746E-2</v>
      </c>
      <c r="AP491" s="246"/>
      <c r="AQ491" s="486">
        <v>19300</v>
      </c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 hidden="1">
      <c r="A492" t="str">
        <f t="shared" si="122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126"/>
        <v>0</v>
      </c>
      <c r="AI492" s="306">
        <f t="shared" si="127"/>
        <v>0</v>
      </c>
      <c r="AJ492" s="10"/>
      <c r="AK492" s="10"/>
      <c r="AL492" s="280">
        <v>0</v>
      </c>
      <c r="AM492" s="393"/>
      <c r="AN492" s="282">
        <f t="shared" si="128"/>
        <v>0</v>
      </c>
      <c r="AO492" s="289">
        <f t="shared" si="129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2.5" hidden="1" customHeight="1">
      <c r="A493" t="str">
        <f t="shared" si="122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126"/>
        <v>0</v>
      </c>
      <c r="AI493" s="306">
        <f t="shared" si="127"/>
        <v>0</v>
      </c>
      <c r="AJ493" s="10"/>
      <c r="AK493" s="10"/>
      <c r="AL493" s="280">
        <v>0</v>
      </c>
      <c r="AM493" s="393"/>
      <c r="AN493" s="282">
        <f t="shared" si="128"/>
        <v>0</v>
      </c>
      <c r="AO493" s="289">
        <f t="shared" si="129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 hidden="1">
      <c r="A494" t="str">
        <f t="shared" si="122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126"/>
        <v>0</v>
      </c>
      <c r="AI494" s="306">
        <f t="shared" si="127"/>
        <v>0</v>
      </c>
      <c r="AJ494" s="10"/>
      <c r="AK494" s="10"/>
      <c r="AL494" s="280">
        <v>0</v>
      </c>
      <c r="AM494" s="393"/>
      <c r="AN494" s="282">
        <f t="shared" si="128"/>
        <v>0</v>
      </c>
      <c r="AO494" s="289">
        <f t="shared" si="129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>
      <c r="A495" t="str">
        <f t="shared" si="122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IFERROR(SUMIF($C:$C,$V495,F:F),0)</f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126"/>
        <v>0</v>
      </c>
      <c r="AI495" s="283">
        <f t="shared" si="127"/>
        <v>0</v>
      </c>
      <c r="AJ495" s="288"/>
      <c r="AK495" s="279"/>
      <c r="AL495" s="280"/>
      <c r="AM495" s="393"/>
      <c r="AN495" s="282">
        <f t="shared" si="128"/>
        <v>0</v>
      </c>
      <c r="AO495" s="289">
        <f t="shared" si="129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122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208</v>
      </c>
      <c r="W496" s="13"/>
      <c r="X496" s="13"/>
      <c r="Y496" s="13"/>
      <c r="Z496" s="282">
        <v>-2547.5409836065573</v>
      </c>
      <c r="AA496" s="279"/>
      <c r="AB496" s="279"/>
      <c r="AC496" s="282"/>
      <c r="AD496" s="288"/>
      <c r="AE496" s="287"/>
      <c r="AF496" s="280">
        <v>-2547.54</v>
      </c>
      <c r="AG496" s="281"/>
      <c r="AH496" s="282">
        <f t="shared" si="126"/>
        <v>9.8360655738360947E-4</v>
      </c>
      <c r="AI496" s="283">
        <f t="shared" si="127"/>
        <v>-3.8610038610296127E-7</v>
      </c>
      <c r="AJ496" s="288"/>
      <c r="AK496" s="279"/>
      <c r="AL496" s="280">
        <v>-6915.57</v>
      </c>
      <c r="AM496" s="393"/>
      <c r="AN496" s="282">
        <f t="shared" si="128"/>
        <v>4368.03</v>
      </c>
      <c r="AO496" s="289">
        <f t="shared" si="129"/>
        <v>-0.63162255605828588</v>
      </c>
      <c r="AP496" s="246"/>
      <c r="AQ496" s="495">
        <f>Z496</f>
        <v>-2547.5409836065573</v>
      </c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122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IFERROR(SUMIF($C:$C,$V497,F:F),0)</f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126"/>
        <v>0</v>
      </c>
      <c r="AI497" s="283">
        <f t="shared" si="127"/>
        <v>0</v>
      </c>
      <c r="AJ497" s="288"/>
      <c r="AK497" s="279"/>
      <c r="AL497" s="280"/>
      <c r="AM497" s="393"/>
      <c r="AN497" s="282">
        <f t="shared" si="128"/>
        <v>0</v>
      </c>
      <c r="AO497" s="289">
        <f t="shared" si="129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122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1.4886940610207237E-2</v>
      </c>
      <c r="Z498" s="369">
        <f>Z489-Z491-Z492-Z493-Z497-Z496-Z494-Z495</f>
        <v>59350.145575067079</v>
      </c>
      <c r="AA498" s="367"/>
      <c r="AB498" s="368"/>
      <c r="AC498" s="369"/>
      <c r="AD498" s="367" t="s">
        <v>180</v>
      </c>
      <c r="AE498" s="368">
        <f>AF498/AF406</f>
        <v>2.3602189920889256E-2</v>
      </c>
      <c r="AF498" s="370">
        <f>AF489-AF491-AF492-AF493-AF497-AF496-AF494-AF495</f>
        <v>90008.640000000029</v>
      </c>
      <c r="AG498" s="371"/>
      <c r="AH498" s="370">
        <f t="shared" si="126"/>
        <v>30658.494424932949</v>
      </c>
      <c r="AI498" s="487">
        <f>AH498/Z498</f>
        <v>0.51656982687861419</v>
      </c>
      <c r="AJ498" s="373" t="s">
        <v>180</v>
      </c>
      <c r="AK498" s="368">
        <f>IF($AL$406=0,0,AL498/$AL$406)</f>
        <v>3.1691270759228178E-3</v>
      </c>
      <c r="AL498" s="370">
        <f>AL489-AL491-AL492-AL493-AL497-AL496-AL494-AL495</f>
        <v>11345.60999999963</v>
      </c>
      <c r="AM498" s="374"/>
      <c r="AN498" s="370">
        <f t="shared" si="128"/>
        <v>78663.030000000406</v>
      </c>
      <c r="AO498" s="394">
        <f t="shared" si="129"/>
        <v>6.933345144069202</v>
      </c>
      <c r="AP498" s="310">
        <f>SUM(AF490:AF497)+AF415</f>
        <v>45397.729999999996</v>
      </c>
      <c r="AQ498" s="246" t="s">
        <v>221</v>
      </c>
      <c r="AR498" s="499">
        <v>47019</v>
      </c>
      <c r="AS498" s="310">
        <f>AP498-AR498</f>
        <v>-1621.2700000000041</v>
      </c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>+U499&amp;V488</f>
        <v>BAIIA Corpo</v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239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>
        <v>23402.25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240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66606.390000000029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>
        <f>AR407-AR468+AR481-AR498</f>
        <v>93129</v>
      </c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>
        <f>AF500/AF498</f>
        <v>0.26000003999616028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 t="s">
        <v>241</v>
      </c>
      <c r="AE505" s="246"/>
      <c r="AF505" s="496">
        <v>93129</v>
      </c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>
        <f>AF498-AF505</f>
        <v>-3120.3599999999715</v>
      </c>
      <c r="AG507" s="246"/>
      <c r="AH507" s="246"/>
      <c r="AI507" s="246"/>
      <c r="AJ507" s="246" t="e">
        <f>AF513/AJ505</f>
        <v>#DIV/0!</v>
      </c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 t="s">
        <v>243</v>
      </c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 t="s">
        <v>242</v>
      </c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 t="s">
        <v>256</v>
      </c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246"/>
      <c r="X512" s="246"/>
      <c r="Y512" s="246"/>
      <c r="Z512" s="246"/>
      <c r="AA512" s="246"/>
      <c r="AB512" s="246"/>
      <c r="AC512" s="246"/>
      <c r="AD512" s="246" t="s">
        <v>257</v>
      </c>
      <c r="AE512" s="246"/>
      <c r="AF512" s="246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246"/>
      <c r="X513" s="246"/>
      <c r="Y513" s="246"/>
      <c r="Z513" s="246"/>
      <c r="AA513" s="246"/>
      <c r="AB513" s="246"/>
      <c r="AC513" s="246"/>
      <c r="AD513" s="246"/>
      <c r="AE513" s="246"/>
      <c r="AF513" s="310">
        <f>AF498+AF509+AF510+AF511+AF512</f>
        <v>90008.640000000029</v>
      </c>
      <c r="AG513" s="310">
        <f>AF513-AF505</f>
        <v>-3120.3599999999715</v>
      </c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310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246"/>
      <c r="AG516" s="246"/>
      <c r="AH516" s="246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246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246"/>
      <c r="D518" s="246"/>
      <c r="E518" s="246"/>
      <c r="F518" s="310"/>
      <c r="G518" s="246"/>
      <c r="H518" s="246"/>
      <c r="I518" s="310"/>
      <c r="J518" s="246"/>
      <c r="K518" s="246"/>
      <c r="L518" s="246"/>
      <c r="M518" s="310"/>
      <c r="N518" s="246"/>
      <c r="O518" s="246"/>
      <c r="P518" s="246"/>
      <c r="Q518" s="310"/>
      <c r="R518" s="310"/>
      <c r="S518" s="310"/>
      <c r="T518" s="334"/>
      <c r="U518" s="334"/>
      <c r="V518" s="246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310"/>
      <c r="AH518" s="310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246"/>
      <c r="D519" s="246"/>
      <c r="E519" s="246"/>
      <c r="F519" s="310"/>
      <c r="G519" s="246"/>
      <c r="H519" s="246"/>
      <c r="I519" s="310"/>
      <c r="J519" s="246"/>
      <c r="K519" s="246"/>
      <c r="L519" s="246"/>
      <c r="M519" s="310"/>
      <c r="N519" s="246"/>
      <c r="O519" s="246"/>
      <c r="P519" s="246"/>
      <c r="Q519" s="310"/>
      <c r="R519" s="310"/>
      <c r="S519" s="310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246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98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310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400"/>
      <c r="D521" s="334"/>
      <c r="E521" s="334"/>
      <c r="F521" s="399"/>
      <c r="G521" s="334"/>
      <c r="H521" s="334"/>
      <c r="I521" s="399"/>
      <c r="J521" s="334"/>
      <c r="K521" s="334"/>
      <c r="L521" s="334"/>
      <c r="M521" s="399"/>
      <c r="N521" s="334"/>
      <c r="O521" s="334"/>
      <c r="P521" s="334"/>
      <c r="Q521" s="399"/>
      <c r="R521" s="399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99"/>
      <c r="G522" s="334"/>
      <c r="H522" s="334"/>
      <c r="I522" s="399"/>
      <c r="J522" s="334"/>
      <c r="K522" s="334"/>
      <c r="L522" s="334"/>
      <c r="M522" s="399"/>
      <c r="N522" s="334"/>
      <c r="O522" s="334"/>
      <c r="P522" s="334"/>
      <c r="Q522" s="399"/>
      <c r="R522" s="399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98"/>
      <c r="K523" s="398"/>
      <c r="L523" s="398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310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99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34"/>
      <c r="K526" s="334"/>
      <c r="L526" s="334"/>
      <c r="M526" s="399"/>
      <c r="N526" s="334"/>
      <c r="O526" s="334"/>
      <c r="P526" s="334"/>
      <c r="Q526" s="334"/>
      <c r="R526" s="334"/>
      <c r="S526" s="399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99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98"/>
      <c r="K528" s="398"/>
      <c r="L528" s="398"/>
      <c r="M528" s="401"/>
      <c r="N528" s="398"/>
      <c r="O528" s="398"/>
      <c r="P528" s="398"/>
      <c r="Q528" s="334"/>
      <c r="R528" s="334"/>
      <c r="S528" s="398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5.75">
      <c r="B530" s="7"/>
      <c r="C530" s="334"/>
      <c r="D530" s="334"/>
      <c r="E530" s="334"/>
      <c r="F530" s="334"/>
      <c r="G530" s="334"/>
      <c r="H530" s="334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8.75">
      <c r="B532" s="7"/>
      <c r="C532" s="402"/>
      <c r="D532" s="403"/>
      <c r="E532" s="403"/>
      <c r="F532" s="403"/>
      <c r="G532" s="403"/>
      <c r="H532" s="403"/>
      <c r="I532" s="403"/>
      <c r="J532" s="403"/>
      <c r="K532" s="403"/>
      <c r="L532" s="403"/>
      <c r="M532" s="403"/>
      <c r="N532" s="403"/>
      <c r="O532" s="403"/>
      <c r="P532" s="403"/>
      <c r="Q532" s="403"/>
      <c r="R532" s="403"/>
      <c r="S532" s="403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334"/>
      <c r="F533" s="334"/>
      <c r="G533" s="334"/>
      <c r="H533" s="334"/>
      <c r="I533" s="334"/>
      <c r="J533" s="334"/>
      <c r="K533" s="334"/>
      <c r="L533" s="334"/>
      <c r="M533" s="334"/>
      <c r="N533" s="334"/>
      <c r="O533" s="334"/>
      <c r="P533" s="334"/>
      <c r="Q533" s="404"/>
      <c r="R533" s="334"/>
      <c r="S533" s="334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334"/>
      <c r="E534" s="334"/>
      <c r="F534" s="334"/>
      <c r="G534" s="334"/>
      <c r="H534" s="334"/>
      <c r="I534" s="334"/>
      <c r="J534" s="334"/>
      <c r="K534" s="334"/>
      <c r="L534" s="405"/>
      <c r="M534" s="406"/>
      <c r="N534" s="406"/>
      <c r="O534" s="334"/>
      <c r="P534" s="405"/>
      <c r="Q534" s="406"/>
      <c r="R534" s="406"/>
      <c r="S534" s="405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34"/>
      <c r="D535" s="334"/>
      <c r="E535" s="405"/>
      <c r="F535" s="407"/>
      <c r="G535" s="334"/>
      <c r="H535" s="405"/>
      <c r="I535" s="407"/>
      <c r="J535" s="406"/>
      <c r="K535" s="398"/>
      <c r="L535" s="405"/>
      <c r="M535" s="406"/>
      <c r="N535" s="406"/>
      <c r="O535" s="398"/>
      <c r="P535" s="405"/>
      <c r="Q535" s="406"/>
      <c r="R535" s="406"/>
      <c r="S535" s="405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408"/>
      <c r="E536" s="407"/>
      <c r="F536" s="407"/>
      <c r="G536" s="408"/>
      <c r="H536" s="407"/>
      <c r="I536" s="407"/>
      <c r="J536" s="407"/>
      <c r="K536" s="407"/>
      <c r="L536" s="407"/>
      <c r="M536" s="407"/>
      <c r="N536" s="407"/>
      <c r="O536" s="407"/>
      <c r="P536" s="407"/>
      <c r="Q536" s="407"/>
      <c r="R536" s="407"/>
      <c r="S536" s="407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98"/>
      <c r="D537" s="334"/>
      <c r="E537" s="334"/>
      <c r="F537" s="334"/>
      <c r="G537" s="334"/>
      <c r="H537" s="334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34"/>
      <c r="F538" s="334"/>
      <c r="G538" s="334"/>
      <c r="H538" s="334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99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09"/>
      <c r="G543" s="334"/>
      <c r="H543" s="399"/>
      <c r="I543" s="409"/>
      <c r="J543" s="409"/>
      <c r="K543" s="399"/>
      <c r="L543" s="409"/>
      <c r="M543" s="399"/>
      <c r="N543" s="409"/>
      <c r="O543" s="399"/>
      <c r="P543" s="409"/>
      <c r="Q543" s="399"/>
      <c r="R543" s="399"/>
      <c r="S543" s="334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34"/>
      <c r="D544" s="334"/>
      <c r="E544" s="399"/>
      <c r="F544" s="409"/>
      <c r="G544" s="334"/>
      <c r="H544" s="399"/>
      <c r="I544" s="409"/>
      <c r="J544" s="409"/>
      <c r="K544" s="399"/>
      <c r="L544" s="409"/>
      <c r="M544" s="399"/>
      <c r="N544" s="409"/>
      <c r="O544" s="399"/>
      <c r="P544" s="409"/>
      <c r="Q544" s="399"/>
      <c r="R544" s="399"/>
      <c r="S544" s="399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410"/>
      <c r="G545" s="334"/>
      <c r="H545" s="399"/>
      <c r="I545" s="410"/>
      <c r="J545" s="409"/>
      <c r="K545" s="399"/>
      <c r="L545" s="409"/>
      <c r="M545" s="399"/>
      <c r="N545" s="409"/>
      <c r="O545" s="399"/>
      <c r="P545" s="334"/>
      <c r="Q545" s="334"/>
      <c r="R545" s="399"/>
      <c r="S545" s="399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98"/>
      <c r="D546" s="398"/>
      <c r="E546" s="401"/>
      <c r="F546" s="411"/>
      <c r="G546" s="398"/>
      <c r="H546" s="401"/>
      <c r="I546" s="411"/>
      <c r="J546" s="411"/>
      <c r="K546" s="401"/>
      <c r="L546" s="411"/>
      <c r="M546" s="401"/>
      <c r="N546" s="411"/>
      <c r="O546" s="401"/>
      <c r="P546" s="411"/>
      <c r="Q546" s="401"/>
      <c r="R546" s="401"/>
      <c r="S546" s="398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34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98"/>
      <c r="Q547" s="411"/>
      <c r="R547" s="411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99"/>
      <c r="F548" s="334"/>
      <c r="G548" s="334"/>
      <c r="H548" s="399"/>
      <c r="I548" s="334"/>
      <c r="J548" s="409"/>
      <c r="K548" s="399"/>
      <c r="L548" s="409"/>
      <c r="M548" s="399"/>
      <c r="N548" s="409"/>
      <c r="O548" s="399"/>
      <c r="P548" s="334"/>
      <c r="Q548" s="334"/>
      <c r="R548" s="399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98"/>
      <c r="D549" s="334"/>
      <c r="E549" s="399"/>
      <c r="F549" s="334"/>
      <c r="G549" s="334"/>
      <c r="H549" s="399"/>
      <c r="I549" s="334"/>
      <c r="J549" s="409"/>
      <c r="K549" s="399"/>
      <c r="L549" s="409"/>
      <c r="M549" s="399"/>
      <c r="N549" s="409"/>
      <c r="O549" s="399"/>
      <c r="P549" s="334"/>
      <c r="Q549" s="334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34"/>
      <c r="F550" s="334"/>
      <c r="G550" s="334"/>
      <c r="H550" s="334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09"/>
      <c r="G551" s="334"/>
      <c r="H551" s="399"/>
      <c r="I551" s="409"/>
      <c r="J551" s="409"/>
      <c r="K551" s="334"/>
      <c r="L551" s="409"/>
      <c r="M551" s="334"/>
      <c r="N551" s="409"/>
      <c r="O551" s="334"/>
      <c r="P551" s="409"/>
      <c r="Q551" s="399"/>
      <c r="R551" s="399"/>
      <c r="S551" s="334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10"/>
      <c r="G552" s="334"/>
      <c r="H552" s="399"/>
      <c r="I552" s="410"/>
      <c r="J552" s="409"/>
      <c r="K552" s="399"/>
      <c r="L552" s="409"/>
      <c r="M552" s="399"/>
      <c r="N552" s="409"/>
      <c r="O552" s="399"/>
      <c r="P552" s="334"/>
      <c r="Q552" s="409"/>
      <c r="R552" s="409"/>
      <c r="S552" s="399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34"/>
      <c r="D553" s="334"/>
      <c r="E553" s="399"/>
      <c r="F553" s="410"/>
      <c r="G553" s="334"/>
      <c r="H553" s="399"/>
      <c r="I553" s="410"/>
      <c r="J553" s="409"/>
      <c r="K553" s="399"/>
      <c r="L553" s="409"/>
      <c r="M553" s="399"/>
      <c r="N553" s="409"/>
      <c r="O553" s="399"/>
      <c r="P553" s="334"/>
      <c r="Q553" s="334"/>
      <c r="R553" s="399"/>
      <c r="S553" s="399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99"/>
      <c r="F554" s="409"/>
      <c r="G554" s="334"/>
      <c r="H554" s="399"/>
      <c r="I554" s="409"/>
      <c r="J554" s="409"/>
      <c r="K554" s="399"/>
      <c r="L554" s="409"/>
      <c r="M554" s="399"/>
      <c r="N554" s="409"/>
      <c r="O554" s="399"/>
      <c r="P554" s="334"/>
      <c r="Q554" s="334"/>
      <c r="R554" s="399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98"/>
      <c r="D555" s="398"/>
      <c r="E555" s="401"/>
      <c r="F555" s="411"/>
      <c r="G555" s="398"/>
      <c r="H555" s="401"/>
      <c r="I555" s="411"/>
      <c r="J555" s="411"/>
      <c r="K555" s="401"/>
      <c r="L555" s="411"/>
      <c r="M555" s="401"/>
      <c r="N555" s="411"/>
      <c r="O555" s="401"/>
      <c r="P555" s="411"/>
      <c r="Q555" s="398"/>
      <c r="R555" s="401"/>
      <c r="S555" s="398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34"/>
      <c r="D556" s="334"/>
      <c r="E556" s="334"/>
      <c r="F556" s="334"/>
      <c r="G556" s="334"/>
      <c r="H556" s="334"/>
      <c r="I556" s="334"/>
      <c r="J556" s="334"/>
      <c r="K556" s="334"/>
      <c r="L556" s="334"/>
      <c r="M556" s="334"/>
      <c r="N556" s="334"/>
      <c r="O556" s="334"/>
      <c r="P556" s="398"/>
      <c r="Q556" s="411"/>
      <c r="R556" s="411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98"/>
      <c r="D558" s="334"/>
      <c r="E558" s="399"/>
      <c r="F558" s="409"/>
      <c r="G558" s="334"/>
      <c r="H558" s="399"/>
      <c r="I558" s="409"/>
      <c r="J558" s="409"/>
      <c r="K558" s="399"/>
      <c r="L558" s="409"/>
      <c r="M558" s="399"/>
      <c r="N558" s="409"/>
      <c r="O558" s="399"/>
      <c r="P558" s="334"/>
      <c r="Q558" s="334"/>
      <c r="R558" s="399"/>
      <c r="S558" s="334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99"/>
      <c r="F559" s="409"/>
      <c r="G559" s="334"/>
      <c r="H559" s="399"/>
      <c r="I559" s="409"/>
      <c r="J559" s="409"/>
      <c r="K559" s="399"/>
      <c r="L559" s="409"/>
      <c r="M559" s="399"/>
      <c r="N559" s="409"/>
      <c r="O559" s="399"/>
      <c r="P559" s="334"/>
      <c r="Q559" s="334"/>
      <c r="R559" s="399"/>
      <c r="S559" s="334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34"/>
      <c r="D566" s="334"/>
      <c r="E566" s="334"/>
      <c r="F566" s="334"/>
      <c r="G566" s="334"/>
      <c r="H566" s="334"/>
      <c r="I566" s="334"/>
      <c r="J566" s="334"/>
      <c r="K566" s="334"/>
      <c r="L566" s="334"/>
      <c r="M566" s="334"/>
      <c r="N566" s="334"/>
      <c r="O566" s="334"/>
      <c r="P566" s="409"/>
      <c r="Q566" s="399"/>
      <c r="R566" s="334"/>
      <c r="S566" s="399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09"/>
      <c r="Q567" s="399"/>
      <c r="R567" s="334"/>
      <c r="S567" s="399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98"/>
      <c r="D568" s="398"/>
      <c r="E568" s="334"/>
      <c r="F568" s="334"/>
      <c r="G568" s="398"/>
      <c r="H568" s="334"/>
      <c r="I568" s="334"/>
      <c r="J568" s="334"/>
      <c r="K568" s="334"/>
      <c r="L568" s="334"/>
      <c r="M568" s="334"/>
      <c r="N568" s="334"/>
      <c r="O568" s="334"/>
      <c r="P568" s="411"/>
      <c r="Q568" s="401"/>
      <c r="R568" s="334"/>
      <c r="S568" s="401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11"/>
      <c r="Q569" s="411"/>
      <c r="R569" s="334"/>
      <c r="S569" s="334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34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09"/>
      <c r="Q570" s="399"/>
      <c r="R570" s="334"/>
      <c r="S570" s="399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09"/>
      <c r="Q571" s="399"/>
      <c r="R571" s="334"/>
      <c r="S571" s="399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98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11"/>
      <c r="Q572" s="401"/>
      <c r="R572" s="334"/>
      <c r="S572" s="401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34"/>
      <c r="D573" s="334"/>
      <c r="E573" s="334"/>
      <c r="F573" s="334"/>
      <c r="G573" s="334"/>
      <c r="H573" s="334"/>
      <c r="I573" s="334"/>
      <c r="J573" s="334"/>
      <c r="K573" s="334"/>
      <c r="L573" s="334"/>
      <c r="M573" s="334"/>
      <c r="N573" s="334"/>
      <c r="O573" s="334"/>
      <c r="P573" s="411"/>
      <c r="Q573" s="411"/>
      <c r="R573" s="334"/>
      <c r="S573" s="334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09"/>
      <c r="Q574" s="399"/>
      <c r="R574" s="334"/>
      <c r="S574" s="399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98"/>
      <c r="D575" s="398"/>
      <c r="E575" s="334"/>
      <c r="F575" s="334"/>
      <c r="G575" s="398"/>
      <c r="H575" s="334"/>
      <c r="I575" s="334"/>
      <c r="J575" s="334"/>
      <c r="K575" s="334"/>
      <c r="L575" s="334"/>
      <c r="M575" s="334"/>
      <c r="N575" s="334"/>
      <c r="O575" s="334"/>
      <c r="P575" s="411"/>
      <c r="Q575" s="401"/>
      <c r="R575" s="334"/>
      <c r="S575" s="401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34"/>
      <c r="D576" s="334"/>
      <c r="E576" s="334"/>
      <c r="F576" s="334"/>
      <c r="G576" s="334"/>
      <c r="H576" s="334"/>
      <c r="I576" s="334"/>
      <c r="J576" s="334"/>
      <c r="K576" s="334"/>
      <c r="L576" s="334"/>
      <c r="M576" s="334"/>
      <c r="N576" s="334"/>
      <c r="O576" s="334"/>
      <c r="P576" s="411"/>
      <c r="Q576" s="411"/>
      <c r="R576" s="334"/>
      <c r="S576" s="334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409"/>
      <c r="K577" s="399"/>
      <c r="L577" s="409"/>
      <c r="M577" s="399"/>
      <c r="N577" s="409"/>
      <c r="O577" s="399"/>
      <c r="P577" s="409"/>
      <c r="Q577" s="399"/>
      <c r="R577" s="399"/>
      <c r="S577" s="334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98"/>
      <c r="D578" s="398"/>
      <c r="E578" s="401"/>
      <c r="F578" s="411"/>
      <c r="G578" s="398"/>
      <c r="H578" s="401"/>
      <c r="I578" s="411"/>
      <c r="J578" s="411"/>
      <c r="K578" s="401"/>
      <c r="L578" s="411"/>
      <c r="M578" s="401"/>
      <c r="N578" s="411"/>
      <c r="O578" s="401"/>
      <c r="P578" s="411"/>
      <c r="Q578" s="401"/>
      <c r="R578" s="401"/>
      <c r="S578" s="401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99"/>
      <c r="F579" s="409"/>
      <c r="G579" s="334"/>
      <c r="H579" s="399"/>
      <c r="I579" s="409"/>
      <c r="J579" s="399"/>
      <c r="K579" s="409"/>
      <c r="L579" s="399"/>
      <c r="M579" s="334"/>
      <c r="N579" s="399"/>
      <c r="O579" s="409"/>
      <c r="P579" s="401"/>
      <c r="Q579" s="411"/>
      <c r="R579" s="411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34"/>
      <c r="F581" s="334"/>
      <c r="G581" s="334"/>
      <c r="H581" s="334"/>
      <c r="I581" s="334"/>
      <c r="J581" s="334"/>
      <c r="K581" s="334"/>
      <c r="L581" s="334"/>
      <c r="M581" s="334"/>
      <c r="N581" s="334"/>
      <c r="O581" s="334"/>
      <c r="P581" s="334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99"/>
      <c r="F587" s="409"/>
      <c r="G587" s="334"/>
      <c r="H587" s="399"/>
      <c r="I587" s="409"/>
      <c r="J587" s="399"/>
      <c r="K587" s="409"/>
      <c r="L587" s="399"/>
      <c r="M587" s="334"/>
      <c r="N587" s="399"/>
      <c r="O587" s="409"/>
      <c r="P587" s="399"/>
      <c r="Q587" s="334"/>
      <c r="R587" s="409"/>
      <c r="S587" s="399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99"/>
      <c r="F588" s="409"/>
      <c r="G588" s="334"/>
      <c r="H588" s="399"/>
      <c r="I588" s="409"/>
      <c r="J588" s="399"/>
      <c r="K588" s="409"/>
      <c r="L588" s="399"/>
      <c r="M588" s="334"/>
      <c r="N588" s="399"/>
      <c r="O588" s="409"/>
      <c r="P588" s="399"/>
      <c r="Q588" s="334"/>
      <c r="R588" s="409"/>
      <c r="S588" s="399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15.75">
      <c r="B650" s="7"/>
      <c r="C650" s="334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5.75">
      <c r="B651" s="7"/>
      <c r="C651" s="334"/>
      <c r="D651" s="334"/>
      <c r="E651" s="334"/>
      <c r="F651" s="334"/>
      <c r="G651" s="334"/>
      <c r="H651" s="334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30">
      <c r="B652" s="7"/>
      <c r="C652" s="412"/>
      <c r="D652" s="334"/>
      <c r="E652" s="334"/>
      <c r="F652" s="334"/>
      <c r="G652" s="334"/>
      <c r="H652" s="334"/>
      <c r="I652" s="334"/>
      <c r="J652" s="334"/>
      <c r="K652" s="334"/>
      <c r="L652" s="334"/>
      <c r="M652" s="334"/>
      <c r="N652" s="334"/>
      <c r="O652" s="413"/>
      <c r="P652" s="334"/>
      <c r="Q652" s="334"/>
      <c r="R652" s="334"/>
      <c r="S652" s="334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8.75">
      <c r="B653" s="7"/>
      <c r="C653" s="402"/>
      <c r="D653" s="406"/>
      <c r="E653" s="406"/>
      <c r="F653" s="406"/>
      <c r="G653" s="406"/>
      <c r="H653" s="406"/>
      <c r="I653" s="406"/>
      <c r="J653" s="406"/>
      <c r="K653" s="406"/>
      <c r="L653" s="406"/>
      <c r="M653" s="406"/>
      <c r="N653" s="406"/>
      <c r="O653" s="406"/>
      <c r="P653" s="406"/>
      <c r="Q653" s="414"/>
      <c r="R653" s="406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403"/>
      <c r="E654" s="403"/>
      <c r="F654" s="415"/>
      <c r="G654" s="403"/>
      <c r="H654" s="403"/>
      <c r="I654" s="415"/>
      <c r="J654" s="407"/>
      <c r="K654" s="407"/>
      <c r="L654" s="416"/>
      <c r="M654" s="407"/>
      <c r="N654" s="407"/>
      <c r="O654" s="407"/>
      <c r="P654" s="407"/>
      <c r="Q654" s="404"/>
      <c r="R654" s="403"/>
      <c r="S654" s="415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417"/>
      <c r="D655" s="334"/>
      <c r="E655" s="334"/>
      <c r="F655" s="406"/>
      <c r="G655" s="334"/>
      <c r="H655" s="334"/>
      <c r="I655" s="406"/>
      <c r="J655" s="406"/>
      <c r="K655" s="406"/>
      <c r="L655" s="334"/>
      <c r="M655" s="406"/>
      <c r="N655" s="406"/>
      <c r="O655" s="334"/>
      <c r="P655" s="406"/>
      <c r="Q655" s="406"/>
      <c r="R655" s="334"/>
      <c r="S655" s="406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99"/>
      <c r="G656" s="334"/>
      <c r="H656" s="334"/>
      <c r="I656" s="399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98"/>
      <c r="D657" s="398"/>
      <c r="E657" s="398"/>
      <c r="F657" s="401"/>
      <c r="G657" s="398"/>
      <c r="H657" s="398"/>
      <c r="I657" s="401"/>
      <c r="J657" s="401"/>
      <c r="K657" s="401"/>
      <c r="L657" s="401"/>
      <c r="M657" s="401"/>
      <c r="N657" s="401"/>
      <c r="O657" s="401"/>
      <c r="P657" s="401"/>
      <c r="Q657" s="401"/>
      <c r="R657" s="401"/>
      <c r="S657" s="401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99"/>
      <c r="K658" s="399"/>
      <c r="L658" s="399"/>
      <c r="M658" s="399"/>
      <c r="N658" s="399"/>
      <c r="O658" s="399"/>
      <c r="P658" s="399"/>
      <c r="Q658" s="399"/>
      <c r="R658" s="399"/>
      <c r="S658" s="399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399"/>
      <c r="M662" s="334"/>
      <c r="N662" s="399"/>
      <c r="O662" s="399"/>
      <c r="P662" s="334"/>
      <c r="Q662" s="399"/>
      <c r="R662" s="399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99"/>
      <c r="L664" s="401"/>
      <c r="M664" s="334"/>
      <c r="N664" s="399"/>
      <c r="O664" s="399"/>
      <c r="P664" s="334"/>
      <c r="Q664" s="399"/>
      <c r="R664" s="401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399"/>
      <c r="L665" s="399"/>
      <c r="M665" s="334"/>
      <c r="N665" s="399"/>
      <c r="O665" s="399"/>
      <c r="P665" s="334"/>
      <c r="Q665" s="399"/>
      <c r="R665" s="399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34"/>
      <c r="L666" s="334"/>
      <c r="M666" s="334"/>
      <c r="N666" s="401"/>
      <c r="O666" s="401"/>
      <c r="P666" s="334"/>
      <c r="Q666" s="401"/>
      <c r="R666" s="334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401"/>
      <c r="L667" s="401"/>
      <c r="M667" s="334"/>
      <c r="N667" s="399"/>
      <c r="O667" s="399"/>
      <c r="P667" s="334"/>
      <c r="Q667" s="399"/>
      <c r="R667" s="401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399"/>
      <c r="O674" s="399"/>
      <c r="P674" s="334"/>
      <c r="Q674" s="399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399"/>
      <c r="L675" s="399"/>
      <c r="M675" s="334"/>
      <c r="N675" s="399"/>
      <c r="O675" s="399"/>
      <c r="P675" s="334"/>
      <c r="Q675" s="399"/>
      <c r="R675" s="399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401"/>
      <c r="O676" s="401"/>
      <c r="P676" s="334"/>
      <c r="Q676" s="401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401"/>
      <c r="L677" s="401"/>
      <c r="M677" s="334"/>
      <c r="N677" s="399"/>
      <c r="O677" s="399"/>
      <c r="P677" s="334"/>
      <c r="Q677" s="399"/>
      <c r="R677" s="401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99"/>
      <c r="O689" s="399"/>
      <c r="P689" s="334"/>
      <c r="Q689" s="399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399"/>
      <c r="O690" s="399"/>
      <c r="P690" s="334"/>
      <c r="Q690" s="399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99"/>
      <c r="L691" s="399"/>
      <c r="M691" s="334"/>
      <c r="N691" s="334"/>
      <c r="O691" s="334"/>
      <c r="P691" s="334"/>
      <c r="Q691" s="334"/>
      <c r="R691" s="399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399"/>
      <c r="L692" s="399"/>
      <c r="M692" s="334"/>
      <c r="N692" s="401"/>
      <c r="O692" s="401"/>
      <c r="P692" s="334"/>
      <c r="Q692" s="401"/>
      <c r="R692" s="399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34"/>
      <c r="L693" s="334"/>
      <c r="M693" s="334"/>
      <c r="N693" s="399"/>
      <c r="O693" s="399"/>
      <c r="P693" s="334"/>
      <c r="Q693" s="399"/>
      <c r="R693" s="334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401"/>
      <c r="L694" s="401"/>
      <c r="M694" s="334"/>
      <c r="N694" s="399"/>
      <c r="O694" s="399"/>
      <c r="P694" s="334"/>
      <c r="Q694" s="399"/>
      <c r="R694" s="401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399"/>
      <c r="M699" s="334"/>
      <c r="N699" s="399"/>
      <c r="O699" s="399"/>
      <c r="P699" s="334"/>
      <c r="Q699" s="399"/>
      <c r="R699" s="399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401"/>
      <c r="M701" s="334"/>
      <c r="N701" s="399"/>
      <c r="O701" s="399"/>
      <c r="P701" s="334"/>
      <c r="Q701" s="399"/>
      <c r="R701" s="401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399"/>
      <c r="O702" s="399"/>
      <c r="P702" s="334"/>
      <c r="Q702" s="399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  <row r="703" spans="2:62" ht="15.75">
      <c r="B703" s="7"/>
      <c r="C703" s="334"/>
      <c r="D703" s="334"/>
      <c r="E703" s="334"/>
      <c r="F703" s="334"/>
      <c r="G703" s="334"/>
      <c r="H703" s="334"/>
      <c r="I703" s="334"/>
      <c r="J703" s="334"/>
      <c r="K703" s="399"/>
      <c r="L703" s="399"/>
      <c r="M703" s="334"/>
      <c r="N703" s="399"/>
      <c r="O703" s="399"/>
      <c r="P703" s="334"/>
      <c r="Q703" s="399"/>
      <c r="R703" s="399"/>
      <c r="S703" s="334"/>
      <c r="T703" s="334"/>
      <c r="U703" s="334"/>
      <c r="V703" s="334"/>
      <c r="W703" s="334"/>
      <c r="X703" s="334"/>
      <c r="Y703" s="246"/>
      <c r="Z703" s="246"/>
      <c r="AA703" s="246"/>
      <c r="AB703" s="246"/>
      <c r="AC703" s="246"/>
      <c r="AD703" s="246"/>
      <c r="AE703" s="246"/>
      <c r="AF703" s="246"/>
      <c r="AG703" s="246"/>
      <c r="AH703" s="246"/>
      <c r="AI703" s="246"/>
      <c r="AJ703" s="246"/>
      <c r="AK703" s="246"/>
      <c r="AL703" s="246"/>
      <c r="AM703" s="246"/>
      <c r="AN703" s="246"/>
      <c r="AO703" s="246"/>
      <c r="AP703" s="246"/>
      <c r="AQ703" s="246"/>
      <c r="AR703" s="246"/>
      <c r="AS703" s="246"/>
      <c r="AT703" s="246"/>
      <c r="AU703" s="246"/>
      <c r="AV703" s="246"/>
      <c r="AW703" s="246"/>
      <c r="AX703" s="246"/>
      <c r="AY703" s="246"/>
      <c r="AZ703" s="246"/>
      <c r="BA703" s="246"/>
      <c r="BB703" s="246"/>
      <c r="BC703" s="246"/>
      <c r="BD703" s="246"/>
      <c r="BE703" s="246"/>
      <c r="BF703" s="246"/>
      <c r="BG703" s="246"/>
      <c r="BH703" s="246"/>
      <c r="BI703" s="246"/>
      <c r="BJ703" s="246"/>
    </row>
    <row r="704" spans="2:62" ht="15.75">
      <c r="B704" s="7"/>
      <c r="C704" s="334"/>
      <c r="D704" s="334"/>
      <c r="E704" s="334"/>
      <c r="F704" s="334"/>
      <c r="G704" s="334"/>
      <c r="H704" s="334"/>
      <c r="I704" s="334"/>
      <c r="J704" s="334"/>
      <c r="K704" s="399"/>
      <c r="L704" s="399"/>
      <c r="M704" s="334"/>
      <c r="N704" s="401"/>
      <c r="O704" s="401"/>
      <c r="P704" s="334"/>
      <c r="Q704" s="401"/>
      <c r="R704" s="399"/>
      <c r="S704" s="334"/>
      <c r="T704" s="334"/>
      <c r="U704" s="334"/>
      <c r="V704" s="334"/>
      <c r="W704" s="334"/>
      <c r="X704" s="334"/>
      <c r="Y704" s="246"/>
      <c r="Z704" s="246"/>
      <c r="AA704" s="246"/>
      <c r="AB704" s="246"/>
      <c r="AC704" s="246"/>
      <c r="AD704" s="246"/>
      <c r="AE704" s="246"/>
      <c r="AF704" s="246"/>
      <c r="AG704" s="246"/>
      <c r="AH704" s="246"/>
      <c r="AI704" s="246"/>
      <c r="AJ704" s="246"/>
      <c r="AK704" s="246"/>
      <c r="AL704" s="246"/>
      <c r="AM704" s="246"/>
      <c r="AN704" s="246"/>
      <c r="AO704" s="246"/>
      <c r="AP704" s="246"/>
      <c r="AQ704" s="246"/>
      <c r="AR704" s="246"/>
      <c r="AS704" s="246"/>
      <c r="AT704" s="246"/>
      <c r="AU704" s="246"/>
      <c r="AV704" s="246"/>
      <c r="AW704" s="246"/>
      <c r="AX704" s="246"/>
      <c r="AY704" s="246"/>
      <c r="AZ704" s="246"/>
      <c r="BA704" s="246"/>
      <c r="BB704" s="246"/>
      <c r="BC704" s="246"/>
      <c r="BD704" s="246"/>
      <c r="BE704" s="246"/>
      <c r="BF704" s="246"/>
      <c r="BG704" s="246"/>
      <c r="BH704" s="246"/>
      <c r="BI704" s="246"/>
      <c r="BJ704" s="246"/>
    </row>
  </sheetData>
  <mergeCells count="42">
    <mergeCell ref="R91:S91"/>
    <mergeCell ref="D170:F170"/>
    <mergeCell ref="D91:F91"/>
    <mergeCell ref="G91:I91"/>
    <mergeCell ref="J91:L91"/>
    <mergeCell ref="M91:N91"/>
    <mergeCell ref="O91:Q91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  <mergeCell ref="R293:S293"/>
    <mergeCell ref="R238:S238"/>
    <mergeCell ref="R170:S170"/>
    <mergeCell ref="D238:F238"/>
    <mergeCell ref="G238:I238"/>
    <mergeCell ref="J238:L238"/>
    <mergeCell ref="M238:N238"/>
    <mergeCell ref="O238:Q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112" priority="6" stopIfTrue="1">
      <formula>"esterreur(reference)"</formula>
    </cfRule>
  </conditionalFormatting>
  <conditionalFormatting sqref="D112:D113">
    <cfRule type="expression" dxfId="111" priority="1" stopIfTrue="1">
      <formula>"esterreur(reference)"</formula>
    </cfRule>
  </conditionalFormatting>
  <conditionalFormatting sqref="F5">
    <cfRule type="expression" dxfId="110" priority="67" stopIfTrue="1">
      <formula>"esterreur(reference)"</formula>
    </cfRule>
  </conditionalFormatting>
  <conditionalFormatting sqref="F184">
    <cfRule type="expression" dxfId="109" priority="77" stopIfTrue="1">
      <formula>"esterreur(reference)"</formula>
    </cfRule>
  </conditionalFormatting>
  <conditionalFormatting sqref="G31:G32">
    <cfRule type="expression" dxfId="108" priority="5" stopIfTrue="1">
      <formula>"esterreur(reference)"</formula>
    </cfRule>
  </conditionalFormatting>
  <conditionalFormatting sqref="G112:G113">
    <cfRule type="expression" dxfId="107" priority="2" stopIfTrue="1">
      <formula>"esterreur(reference)"</formula>
    </cfRule>
  </conditionalFormatting>
  <conditionalFormatting sqref="H136:H152">
    <cfRule type="expression" dxfId="106" priority="31" stopIfTrue="1">
      <formula>"esterreur(reference)"</formula>
    </cfRule>
  </conditionalFormatting>
  <conditionalFormatting sqref="H360">
    <cfRule type="expression" dxfId="105" priority="110" stopIfTrue="1">
      <formula>"esterreur(reference)"</formula>
    </cfRule>
  </conditionalFormatting>
  <conditionalFormatting sqref="H197:L197">
    <cfRule type="expression" dxfId="104" priority="112" stopIfTrue="1">
      <formula>"esterreur(reference)"</formula>
    </cfRule>
  </conditionalFormatting>
  <conditionalFormatting sqref="H396:L399">
    <cfRule type="expression" dxfId="103" priority="108" stopIfTrue="1">
      <formula>"esterreur(reference)"</formula>
    </cfRule>
  </conditionalFormatting>
  <conditionalFormatting sqref="I377:L377 H378:H395">
    <cfRule type="expression" dxfId="102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1" priority="102" stopIfTrue="1">
      <formula>"esterreur(reference)"</formula>
    </cfRule>
  </conditionalFormatting>
  <conditionalFormatting sqref="J55:K71">
    <cfRule type="expression" dxfId="100" priority="113" stopIfTrue="1">
      <formula>"esterreur(reference)"</formula>
    </cfRule>
  </conditionalFormatting>
  <conditionalFormatting sqref="J102:L104">
    <cfRule type="expression" dxfId="99" priority="98" stopIfTrue="1">
      <formula>"esterreur(reference)"</formula>
    </cfRule>
  </conditionalFormatting>
  <conditionalFormatting sqref="J149:L152">
    <cfRule type="expression" dxfId="98" priority="30" stopIfTrue="1">
      <formula>"esterreur(reference)"</formula>
    </cfRule>
  </conditionalFormatting>
  <conditionalFormatting sqref="J295:L303">
    <cfRule type="expression" dxfId="97" priority="94" stopIfTrue="1">
      <formula>"esterreur(reference)"</formula>
    </cfRule>
  </conditionalFormatting>
  <conditionalFormatting sqref="J307:L308">
    <cfRule type="expression" dxfId="96" priority="84" stopIfTrue="1">
      <formula>"esterreur(reference)"</formula>
    </cfRule>
  </conditionalFormatting>
  <conditionalFormatting sqref="J360:L360">
    <cfRule type="expression" dxfId="95" priority="76" stopIfTrue="1">
      <formula>"esterreur(reference)"</formula>
    </cfRule>
  </conditionalFormatting>
  <conditionalFormatting sqref="J365:L376">
    <cfRule type="expression" dxfId="94" priority="81" stopIfTrue="1">
      <formula>"esterreur(reference)"</formula>
    </cfRule>
  </conditionalFormatting>
  <conditionalFormatting sqref="J378:L394">
    <cfRule type="expression" dxfId="93" priority="80" stopIfTrue="1">
      <formula>"esterreur(reference)"</formula>
    </cfRule>
  </conditionalFormatting>
  <conditionalFormatting sqref="J312:M312">
    <cfRule type="expression" dxfId="92" priority="82" stopIfTrue="1">
      <formula>"esterreur(reference)"</formula>
    </cfRule>
  </conditionalFormatting>
  <conditionalFormatting sqref="J112:Q121">
    <cfRule type="expression" dxfId="91" priority="3" stopIfTrue="1">
      <formula>"esterreur(reference)"</formula>
    </cfRule>
  </conditionalFormatting>
  <conditionalFormatting sqref="J123:Q134">
    <cfRule type="expression" dxfId="90" priority="57" stopIfTrue="1">
      <formula>"esterreur(reference)"</formula>
    </cfRule>
  </conditionalFormatting>
  <conditionalFormatting sqref="K5">
    <cfRule type="expression" dxfId="89" priority="91" stopIfTrue="1">
      <formula>"esterreur(reference)"</formula>
    </cfRule>
  </conditionalFormatting>
  <conditionalFormatting sqref="K175">
    <cfRule type="expression" dxfId="88" priority="88" stopIfTrue="1">
      <formula>"esterreur(reference)"</formula>
    </cfRule>
  </conditionalFormatting>
  <conditionalFormatting sqref="K183:K184">
    <cfRule type="expression" dxfId="87" priority="90" stopIfTrue="1">
      <formula>"esterreur(reference)"</formula>
    </cfRule>
  </conditionalFormatting>
  <conditionalFormatting sqref="K287">
    <cfRule type="expression" dxfId="86" priority="74" stopIfTrue="1">
      <formula>"esterreur(reference)"</formula>
    </cfRule>
  </conditionalFormatting>
  <conditionalFormatting sqref="K395">
    <cfRule type="expression" dxfId="85" priority="111" stopIfTrue="1">
      <formula>"esterreur(reference)"</formula>
    </cfRule>
  </conditionalFormatting>
  <conditionalFormatting sqref="K93:L96">
    <cfRule type="expression" dxfId="84" priority="79" stopIfTrue="1">
      <formula>"esterreur(reference)"</formula>
    </cfRule>
  </conditionalFormatting>
  <conditionalFormatting sqref="K99:L100">
    <cfRule type="expression" dxfId="83" priority="99" stopIfTrue="1">
      <formula>"esterreur(reference)"</formula>
    </cfRule>
  </conditionalFormatting>
  <conditionalFormatting sqref="K171:L173">
    <cfRule type="expression" dxfId="82" priority="89" stopIfTrue="1">
      <formula>"esterreur(reference)"</formula>
    </cfRule>
  </conditionalFormatting>
  <conditionalFormatting sqref="K176:L182">
    <cfRule type="expression" dxfId="81" priority="87" stopIfTrue="1">
      <formula>"esterreur(reference)"</formula>
    </cfRule>
  </conditionalFormatting>
  <conditionalFormatting sqref="K185:L196">
    <cfRule type="expression" dxfId="80" priority="83" stopIfTrue="1">
      <formula>"esterreur(reference)"</formula>
    </cfRule>
  </conditionalFormatting>
  <conditionalFormatting sqref="K239:L241">
    <cfRule type="expression" dxfId="79" priority="78" stopIfTrue="1">
      <formula>"esterreur(reference)"</formula>
    </cfRule>
  </conditionalFormatting>
  <conditionalFormatting sqref="K244:L244">
    <cfRule type="expression" dxfId="78" priority="86" stopIfTrue="1">
      <formula>"esterreur(reference)"</formula>
    </cfRule>
  </conditionalFormatting>
  <conditionalFormatting sqref="K247:L247">
    <cfRule type="expression" dxfId="77" priority="85" stopIfTrue="1">
      <formula>"esterreur(reference)"</formula>
    </cfRule>
  </conditionalFormatting>
  <conditionalFormatting sqref="L16:L24">
    <cfRule type="expression" dxfId="76" priority="101" stopIfTrue="1">
      <formula>"esterreur(reference)"</formula>
    </cfRule>
  </conditionalFormatting>
  <conditionalFormatting sqref="L42:L48">
    <cfRule type="expression" dxfId="75" priority="100" stopIfTrue="1">
      <formula>"esterreur(reference)"</formula>
    </cfRule>
  </conditionalFormatting>
  <conditionalFormatting sqref="L55:L66">
    <cfRule type="expression" dxfId="74" priority="68" stopIfTrue="1">
      <formula>"esterreur(reference)"</formula>
    </cfRule>
  </conditionalFormatting>
  <conditionalFormatting sqref="L68:L71">
    <cfRule type="expression" dxfId="73" priority="32" stopIfTrue="1">
      <formula>"esterreur(reference)"</formula>
    </cfRule>
  </conditionalFormatting>
  <conditionalFormatting sqref="L75:L82">
    <cfRule type="expression" dxfId="72" priority="69" stopIfTrue="1">
      <formula>"esterreur(reference)"</formula>
    </cfRule>
  </conditionalFormatting>
  <conditionalFormatting sqref="L136:L147">
    <cfRule type="expression" dxfId="71" priority="73" stopIfTrue="1">
      <formula>"esterreur(reference)"</formula>
    </cfRule>
  </conditionalFormatting>
  <conditionalFormatting sqref="L174:L175">
    <cfRule type="expression" dxfId="70" priority="97" stopIfTrue="1">
      <formula>"esterreur(reference)"</formula>
    </cfRule>
  </conditionalFormatting>
  <conditionalFormatting sqref="L198:L209">
    <cfRule type="expression" dxfId="69" priority="96" stopIfTrue="1">
      <formula>"esterreur(reference)"</formula>
    </cfRule>
  </conditionalFormatting>
  <conditionalFormatting sqref="L211:L228">
    <cfRule type="expression" dxfId="68" priority="72" stopIfTrue="1">
      <formula>"esterreur(reference)"</formula>
    </cfRule>
  </conditionalFormatting>
  <conditionalFormatting sqref="L254:L265">
    <cfRule type="expression" dxfId="67" priority="95" stopIfTrue="1">
      <formula>"esterreur(reference)"</formula>
    </cfRule>
  </conditionalFormatting>
  <conditionalFormatting sqref="L267:L284">
    <cfRule type="expression" dxfId="66" priority="71" stopIfTrue="1">
      <formula>"esterreur(reference)"</formula>
    </cfRule>
  </conditionalFormatting>
  <conditionalFormatting sqref="L318:L329">
    <cfRule type="expression" dxfId="65" priority="93" stopIfTrue="1">
      <formula>"esterreur(reference)"</formula>
    </cfRule>
  </conditionalFormatting>
  <conditionalFormatting sqref="L331">
    <cfRule type="expression" dxfId="64" priority="70" stopIfTrue="1">
      <formula>"esterreur(reference)"</formula>
    </cfRule>
  </conditionalFormatting>
  <conditionalFormatting sqref="L334:L343 L345:L348">
    <cfRule type="expression" dxfId="63" priority="92" stopIfTrue="1">
      <formula>"esterreur(reference)"</formula>
    </cfRule>
  </conditionalFormatting>
  <conditionalFormatting sqref="L356:L357 H357:I357 K357 J357:J358 H359:L359">
    <cfRule type="expression" dxfId="62" priority="107" stopIfTrue="1">
      <formula>"esterreur(reference)"</formula>
    </cfRule>
  </conditionalFormatting>
  <conditionalFormatting sqref="L5:Q14">
    <cfRule type="expression" dxfId="61" priority="62" stopIfTrue="1">
      <formula>"esterreur(reference)"</formula>
    </cfRule>
  </conditionalFormatting>
  <conditionalFormatting sqref="L156:Q162">
    <cfRule type="expression" dxfId="60" priority="28" stopIfTrue="1">
      <formula>"esterreur(reference)"</formula>
    </cfRule>
  </conditionalFormatting>
  <conditionalFormatting sqref="M95:M97">
    <cfRule type="expression" dxfId="59" priority="103" stopIfTrue="1">
      <formula>"esterreur(reference)"</formula>
    </cfRule>
  </conditionalFormatting>
  <conditionalFormatting sqref="O13:O14 O16 O18:O24 O83:Q85">
    <cfRule type="expression" dxfId="58" priority="66" stopIfTrue="1">
      <formula>"esterreur(reference)"</formula>
    </cfRule>
  </conditionalFormatting>
  <conditionalFormatting sqref="O172:O196 Q183 O198:P229 O232:Q232 O233:P233">
    <cfRule type="expression" dxfId="57" priority="55" stopIfTrue="1">
      <formula>"esterreur(reference)"</formula>
    </cfRule>
  </conditionalFormatting>
  <conditionalFormatting sqref="O318:P348 O349:Q349 O352:Q352 O353:P353">
    <cfRule type="expression" dxfId="56" priority="39" stopIfTrue="1">
      <formula>"esterreur(reference)"</formula>
    </cfRule>
  </conditionalFormatting>
  <conditionalFormatting sqref="O25:Q72">
    <cfRule type="expression" dxfId="55" priority="4" stopIfTrue="1">
      <formula>"esterreur(reference)"</formula>
    </cfRule>
  </conditionalFormatting>
  <conditionalFormatting sqref="O97:Q98 O122:Q122 O156:P157 O164:Q164 O165:P165">
    <cfRule type="expression" dxfId="54" priority="61" stopIfTrue="1">
      <formula>"esterreur(reference)"</formula>
    </cfRule>
  </conditionalFormatting>
  <conditionalFormatting sqref="O101:Q111">
    <cfRule type="expression" dxfId="53" priority="59" stopIfTrue="1">
      <formula>"esterreur(reference)"</formula>
    </cfRule>
  </conditionalFormatting>
  <conditionalFormatting sqref="O135:Q153">
    <cfRule type="expression" dxfId="52" priority="29" stopIfTrue="1">
      <formula>"esterreur(reference)"</formula>
    </cfRule>
  </conditionalFormatting>
  <conditionalFormatting sqref="O197:Q197">
    <cfRule type="expression" dxfId="51" priority="56" stopIfTrue="1">
      <formula>"esterreur(reference)"</formula>
    </cfRule>
  </conditionalFormatting>
  <conditionalFormatting sqref="O243:Q243 O252:Q253 O254:P284 O285:Q285 O288:Q288 O289:P289">
    <cfRule type="expression" dxfId="50" priority="46" stopIfTrue="1">
      <formula>"esterreur(reference)"</formula>
    </cfRule>
  </conditionalFormatting>
  <conditionalFormatting sqref="O295:Q317">
    <cfRule type="expression" dxfId="49" priority="37" stopIfTrue="1">
      <formula>"esterreur(reference)"</formula>
    </cfRule>
  </conditionalFormatting>
  <conditionalFormatting sqref="O359:Q394">
    <cfRule type="expression" dxfId="48" priority="33" stopIfTrue="1">
      <formula>"esterreur(reference)"</formula>
    </cfRule>
  </conditionalFormatting>
  <conditionalFormatting sqref="O396:Q399">
    <cfRule type="expression" dxfId="47" priority="34" stopIfTrue="1">
      <formula>"esterreur(reference)"</formula>
    </cfRule>
  </conditionalFormatting>
  <conditionalFormatting sqref="P5">
    <cfRule type="expression" dxfId="46" priority="63" stopIfTrue="1">
      <formula>"esterreur(reference)"</formula>
    </cfRule>
  </conditionalFormatting>
  <conditionalFormatting sqref="P175">
    <cfRule type="expression" dxfId="45" priority="50" stopIfTrue="1">
      <formula>"esterreur(reference)"</formula>
    </cfRule>
  </conditionalFormatting>
  <conditionalFormatting sqref="P183:P184">
    <cfRule type="expression" dxfId="44" priority="52" stopIfTrue="1">
      <formula>"esterreur(reference)"</formula>
    </cfRule>
  </conditionalFormatting>
  <conditionalFormatting sqref="P287">
    <cfRule type="expression" dxfId="43" priority="41" stopIfTrue="1">
      <formula>"esterreur(reference)"</formula>
    </cfRule>
  </conditionalFormatting>
  <conditionalFormatting sqref="P395">
    <cfRule type="expression" dxfId="42" priority="35" stopIfTrue="1">
      <formula>"esterreur(reference)"</formula>
    </cfRule>
  </conditionalFormatting>
  <conditionalFormatting sqref="P93:Q96">
    <cfRule type="expression" dxfId="41" priority="58" stopIfTrue="1">
      <formula>"esterreur(reference)"</formula>
    </cfRule>
  </conditionalFormatting>
  <conditionalFormatting sqref="P99:Q100">
    <cfRule type="expression" dxfId="40" priority="60" stopIfTrue="1">
      <formula>"esterreur(reference)"</formula>
    </cfRule>
  </conditionalFormatting>
  <conditionalFormatting sqref="P172:Q173">
    <cfRule type="expression" dxfId="39" priority="51" stopIfTrue="1">
      <formula>"esterreur(reference)"</formula>
    </cfRule>
  </conditionalFormatting>
  <conditionalFormatting sqref="P176:Q182">
    <cfRule type="expression" dxfId="38" priority="49" stopIfTrue="1">
      <formula>"esterreur(reference)"</formula>
    </cfRule>
  </conditionalFormatting>
  <conditionalFormatting sqref="P185:Q196">
    <cfRule type="expression" dxfId="37" priority="48" stopIfTrue="1">
      <formula>"esterreur(reference)"</formula>
    </cfRule>
  </conditionalFormatting>
  <conditionalFormatting sqref="P241:Q241">
    <cfRule type="expression" dxfId="36" priority="42" stopIfTrue="1">
      <formula>"esterreur(reference)"</formula>
    </cfRule>
  </conditionalFormatting>
  <conditionalFormatting sqref="P244:Q244">
    <cfRule type="expression" dxfId="35" priority="44" stopIfTrue="1">
      <formula>"esterreur(reference)"</formula>
    </cfRule>
  </conditionalFormatting>
  <conditionalFormatting sqref="P247:Q247">
    <cfRule type="expression" dxfId="34" priority="43" stopIfTrue="1">
      <formula>"esterreur(reference)"</formula>
    </cfRule>
  </conditionalFormatting>
  <conditionalFormatting sqref="Q16:Q24">
    <cfRule type="expression" dxfId="33" priority="65" stopIfTrue="1">
      <formula>"esterreur(reference)"</formula>
    </cfRule>
  </conditionalFormatting>
  <conditionalFormatting sqref="Q75:Q82">
    <cfRule type="expression" dxfId="32" priority="64" stopIfTrue="1">
      <formula>"esterreur(reference)"</formula>
    </cfRule>
  </conditionalFormatting>
  <conditionalFormatting sqref="Q174:Q175">
    <cfRule type="expression" dxfId="31" priority="54" stopIfTrue="1">
      <formula>"esterreur(reference)"</formula>
    </cfRule>
  </conditionalFormatting>
  <conditionalFormatting sqref="Q198:Q209">
    <cfRule type="expression" dxfId="30" priority="53" stopIfTrue="1">
      <formula>"esterreur(reference)"</formula>
    </cfRule>
  </conditionalFormatting>
  <conditionalFormatting sqref="Q211:Q228">
    <cfRule type="expression" dxfId="29" priority="47" stopIfTrue="1">
      <formula>"esterreur(reference)"</formula>
    </cfRule>
  </conditionalFormatting>
  <conditionalFormatting sqref="Q254:Q265">
    <cfRule type="expression" dxfId="28" priority="45" stopIfTrue="1">
      <formula>"esterreur(reference)"</formula>
    </cfRule>
  </conditionalFormatting>
  <conditionalFormatting sqref="Q267:Q284">
    <cfRule type="expression" dxfId="27" priority="40" stopIfTrue="1">
      <formula>"esterreur(reference)"</formula>
    </cfRule>
  </conditionalFormatting>
  <conditionalFormatting sqref="Q318:Q329">
    <cfRule type="expression" dxfId="26" priority="38" stopIfTrue="1">
      <formula>"esterreur(reference)"</formula>
    </cfRule>
  </conditionalFormatting>
  <conditionalFormatting sqref="Q331:Q348">
    <cfRule type="expression" dxfId="25" priority="36" stopIfTrue="1">
      <formula>"esterreur(reference)"</formula>
    </cfRule>
  </conditionalFormatting>
  <conditionalFormatting sqref="R312">
    <cfRule type="expression" dxfId="24" priority="104" stopIfTrue="1">
      <formula>"esterreur(reference)"</formula>
    </cfRule>
  </conditionalFormatting>
  <conditionalFormatting sqref="S186">
    <cfRule type="expression" dxfId="23" priority="75" stopIfTrue="1">
      <formula>"esterreur(reference)"</formula>
    </cfRule>
  </conditionalFormatting>
  <conditionalFormatting sqref="Z425:Z427">
    <cfRule type="cellIs" dxfId="22" priority="24" operator="greaterThan">
      <formula>0</formula>
    </cfRule>
  </conditionalFormatting>
  <conditionalFormatting sqref="Z432">
    <cfRule type="cellIs" dxfId="21" priority="21" operator="greaterThan">
      <formula>0</formula>
    </cfRule>
  </conditionalFormatting>
  <conditionalFormatting sqref="Z449:Z451">
    <cfRule type="cellIs" dxfId="20" priority="17" operator="greaterThan">
      <formula>0</formula>
    </cfRule>
  </conditionalFormatting>
  <conditionalFormatting sqref="Z463:Z465">
    <cfRule type="cellIs" dxfId="19" priority="13" operator="greaterThan">
      <formula>0</formula>
    </cfRule>
  </conditionalFormatting>
  <conditionalFormatting sqref="Z478:Z479">
    <cfRule type="cellIs" dxfId="18" priority="10" operator="greaterThan">
      <formula>0</formula>
    </cfRule>
  </conditionalFormatting>
  <conditionalFormatting sqref="Z495:Z497">
    <cfRule type="cellIs" dxfId="17" priority="7" operator="greaterThan">
      <formula>0</formula>
    </cfRule>
  </conditionalFormatting>
  <conditionalFormatting sqref="AC425:AC427">
    <cfRule type="cellIs" dxfId="16" priority="25" operator="greaterThan">
      <formula>0</formula>
    </cfRule>
  </conditionalFormatting>
  <conditionalFormatting sqref="AC432">
    <cfRule type="cellIs" dxfId="15" priority="22" operator="greaterThan">
      <formula>0</formula>
    </cfRule>
  </conditionalFormatting>
  <conditionalFormatting sqref="AC449:AC451">
    <cfRule type="cellIs" dxfId="14" priority="18" operator="greaterThan">
      <formula>0</formula>
    </cfRule>
  </conditionalFormatting>
  <conditionalFormatting sqref="AC463:AC465">
    <cfRule type="cellIs" dxfId="13" priority="14" operator="greaterThan">
      <formula>0</formula>
    </cfRule>
  </conditionalFormatting>
  <conditionalFormatting sqref="AC478:AC479">
    <cfRule type="cellIs" dxfId="12" priority="11" operator="greaterThan">
      <formula>0</formula>
    </cfRule>
  </conditionalFormatting>
  <conditionalFormatting sqref="AC495:AC497">
    <cfRule type="cellIs" dxfId="11" priority="8" operator="greaterThan">
      <formula>0</formula>
    </cfRule>
  </conditionalFormatting>
  <conditionalFormatting sqref="AG409:AI418">
    <cfRule type="cellIs" dxfId="10" priority="27" operator="greaterThan">
      <formula>0</formula>
    </cfRule>
  </conditionalFormatting>
  <conditionalFormatting sqref="AH449:AH452">
    <cfRule type="cellIs" dxfId="9" priority="19" operator="greaterThan">
      <formula>0</formula>
    </cfRule>
  </conditionalFormatting>
  <conditionalFormatting sqref="AH461:AH466">
    <cfRule type="cellIs" dxfId="8" priority="15" operator="greaterThan">
      <formula>0</formula>
    </cfRule>
  </conditionalFormatting>
  <conditionalFormatting sqref="AH420:AI448">
    <cfRule type="cellIs" dxfId="7" priority="23" operator="greaterThan">
      <formula>0</formula>
    </cfRule>
  </conditionalFormatting>
  <conditionalFormatting sqref="AH453:AI460 AH467:AI468">
    <cfRule type="cellIs" dxfId="6" priority="105" operator="greaterThan">
      <formula>0</formula>
    </cfRule>
  </conditionalFormatting>
  <conditionalFormatting sqref="AH469:AI477 AH480:AI480">
    <cfRule type="cellIs" dxfId="5" priority="106" operator="lessThan">
      <formula>0</formula>
    </cfRule>
  </conditionalFormatting>
  <conditionalFormatting sqref="AH478:AI479">
    <cfRule type="cellIs" dxfId="4" priority="12" operator="greaterThan">
      <formula>0</formula>
    </cfRule>
  </conditionalFormatting>
  <conditionalFormatting sqref="AH491:AI497">
    <cfRule type="cellIs" dxfId="3" priority="9" operator="greaterThan">
      <formula>0</formula>
    </cfRule>
  </conditionalFormatting>
  <conditionalFormatting sqref="AI449:AI451">
    <cfRule type="cellIs" dxfId="2" priority="20" operator="greaterThan">
      <formula>0</formula>
    </cfRule>
  </conditionalFormatting>
  <conditionalFormatting sqref="AI463:AI465">
    <cfRule type="cellIs" dxfId="1" priority="16" operator="greaterThan">
      <formula>0</formula>
    </cfRule>
  </conditionalFormatting>
  <conditionalFormatting sqref="AO409:AO418">
    <cfRule type="cellIs" dxfId="0" priority="26" operator="greaterThan">
      <formula>0</formula>
    </cfRule>
  </conditionalFormatting>
  <printOptions horizontalCentered="1"/>
  <pageMargins left="0.25" right="0.25" top="0.75" bottom="0.75" header="0.3" footer="0.3"/>
  <pageSetup scale="41" fitToHeight="0" orientation="landscape" r:id="rId1"/>
  <rowBreaks count="6" manualBreakCount="6">
    <brk id="86" min="2" max="19" man="1"/>
    <brk id="166" max="16383" man="1"/>
    <brk id="234" max="16383" man="1"/>
    <brk id="290" min="2" max="19" man="1"/>
    <brk id="354" max="16383" man="1"/>
    <brk id="499" max="16383" man="1"/>
  </rowBreaks>
  <colBreaks count="2" manualBreakCount="2">
    <brk id="2" max="1048575" man="1"/>
    <brk id="21" max="696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sqref="A1:XFD1048576"/>
    </sheetView>
  </sheetViews>
  <sheetFormatPr base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Paramètre</vt:lpstr>
      <vt:lpstr>Conso</vt:lpstr>
      <vt:lpstr>START</vt:lpstr>
      <vt:lpstr>Mois 1</vt:lpstr>
      <vt:lpstr>Mois 2</vt:lpstr>
      <vt:lpstr>Mois 3</vt:lpstr>
      <vt:lpstr>END</vt:lpstr>
      <vt:lpstr>Conso!Zone_d_impression</vt:lpstr>
      <vt:lpstr>'Mois 3'!Zone_d_impression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2025-07-10T16:06:56Z</cp:lastPrinted>
  <dcterms:created xsi:type="dcterms:W3CDTF">2021-02-12T03:12:48Z</dcterms:created>
  <dcterms:modified xsi:type="dcterms:W3CDTF">2025-08-06T13:42:02Z</dcterms:modified>
</cp:coreProperties>
</file>