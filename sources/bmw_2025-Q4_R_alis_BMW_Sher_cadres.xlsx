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CABF08EB-50AA-408F-86B9-5F5355742219}" xr6:coauthVersionLast="47" xr6:coauthVersionMax="47" xr10:uidLastSave="{00000000-0000-0000-0000-000000000000}"/>
  <bookViews>
    <workbookView xWindow="-120" yWindow="-120" windowWidth="29040" windowHeight="15720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Conso!$C$1:$S$353,Conso!$V$402:$AO$498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99" i="5" l="1"/>
  <c r="A498" i="5"/>
  <c r="AO497" i="5"/>
  <c r="AN497" i="5"/>
  <c r="A497" i="5"/>
  <c r="AQ496" i="5"/>
  <c r="A496" i="5"/>
  <c r="AO495" i="5"/>
  <c r="AN495" i="5"/>
  <c r="A495" i="5"/>
  <c r="AO494" i="5"/>
  <c r="AH494" i="5"/>
  <c r="AI494" i="5"/>
  <c r="A494" i="5"/>
  <c r="AO493" i="5"/>
  <c r="AI493" i="5"/>
  <c r="A493" i="5"/>
  <c r="AO492" i="5"/>
  <c r="AN492" i="5"/>
  <c r="AI492" i="5"/>
  <c r="A492" i="5"/>
  <c r="AQ491" i="5"/>
  <c r="AN491" i="5"/>
  <c r="AO491" i="5" s="1"/>
  <c r="AH491" i="5"/>
  <c r="AI491" i="5"/>
  <c r="A491" i="5"/>
  <c r="A490" i="5"/>
  <c r="A489" i="5"/>
  <c r="A488" i="5"/>
  <c r="A487" i="5"/>
  <c r="A486" i="5"/>
  <c r="A484" i="5"/>
  <c r="A483" i="5"/>
  <c r="AO482" i="5"/>
  <c r="AN482" i="5"/>
  <c r="A482" i="5"/>
  <c r="A481" i="5"/>
  <c r="AS480" i="5"/>
  <c r="A480" i="5"/>
  <c r="A479" i="5"/>
  <c r="A478" i="5"/>
  <c r="A477" i="5"/>
  <c r="A476" i="5"/>
  <c r="A475" i="5"/>
  <c r="AO474" i="5"/>
  <c r="A474" i="5"/>
  <c r="A473" i="5"/>
  <c r="A472" i="5"/>
  <c r="A471" i="5"/>
  <c r="A470" i="5"/>
  <c r="AN469" i="5"/>
  <c r="A469" i="5"/>
  <c r="A468" i="5"/>
  <c r="AO467" i="5"/>
  <c r="AN467" i="5"/>
  <c r="AH467" i="5"/>
  <c r="A467" i="5"/>
  <c r="A466" i="5"/>
  <c r="A465" i="5"/>
  <c r="A464" i="5"/>
  <c r="A463" i="5"/>
  <c r="A462" i="5"/>
  <c r="AH461" i="5"/>
  <c r="AN461" i="5"/>
  <c r="AO461" i="5" s="1"/>
  <c r="A461" i="5"/>
  <c r="AH460" i="5"/>
  <c r="A460" i="5"/>
  <c r="A459" i="5"/>
  <c r="AN458" i="5"/>
  <c r="AO458" i="5" s="1"/>
  <c r="A458" i="5"/>
  <c r="AH457" i="5"/>
  <c r="AI457" i="5"/>
  <c r="A457" i="5"/>
  <c r="AO456" i="5"/>
  <c r="AH456" i="5"/>
  <c r="AI456" i="5"/>
  <c r="A456" i="5"/>
  <c r="AN455" i="5"/>
  <c r="AO455" i="5" s="1"/>
  <c r="A455" i="5"/>
  <c r="AH454" i="5"/>
  <c r="AI454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H420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R407" i="5"/>
  <c r="AR502" i="5" s="1"/>
  <c r="A407" i="5"/>
  <c r="A406" i="5"/>
  <c r="A405" i="5"/>
  <c r="A404" i="5"/>
  <c r="A394" i="5"/>
  <c r="S394" i="5" s="1"/>
  <c r="A393" i="5"/>
  <c r="S392" i="5"/>
  <c r="A392" i="5"/>
  <c r="A391" i="5"/>
  <c r="S390" i="5"/>
  <c r="A390" i="5"/>
  <c r="A389" i="5"/>
  <c r="S388" i="5"/>
  <c r="A388" i="5"/>
  <c r="A387" i="5"/>
  <c r="S386" i="5"/>
  <c r="A386" i="5"/>
  <c r="A385" i="5"/>
  <c r="A384" i="5"/>
  <c r="A383" i="5"/>
  <c r="S382" i="5"/>
  <c r="A382" i="5"/>
  <c r="A381" i="5"/>
  <c r="S380" i="5"/>
  <c r="A380" i="5"/>
  <c r="A379" i="5"/>
  <c r="S378" i="5"/>
  <c r="A378" i="5"/>
  <c r="A377" i="5"/>
  <c r="A376" i="5"/>
  <c r="S375" i="5"/>
  <c r="A375" i="5"/>
  <c r="A374" i="5"/>
  <c r="S373" i="5"/>
  <c r="A373" i="5"/>
  <c r="A372" i="5"/>
  <c r="A371" i="5"/>
  <c r="S371" i="5" s="1"/>
  <c r="A370" i="5"/>
  <c r="S369" i="5"/>
  <c r="A369" i="5"/>
  <c r="A368" i="5"/>
  <c r="S367" i="5"/>
  <c r="A367" i="5"/>
  <c r="A366" i="5"/>
  <c r="S365" i="5"/>
  <c r="A365" i="5"/>
  <c r="A364" i="5"/>
  <c r="A363" i="5"/>
  <c r="J362" i="5"/>
  <c r="K362" i="5" s="1"/>
  <c r="A362" i="5"/>
  <c r="A361" i="5"/>
  <c r="O362" i="5"/>
  <c r="K360" i="5"/>
  <c r="F362" i="5"/>
  <c r="A360" i="5"/>
  <c r="D362" i="5" s="1"/>
  <c r="E362" i="5" s="1"/>
  <c r="A359" i="5"/>
  <c r="N348" i="5"/>
  <c r="S348" i="5"/>
  <c r="A348" i="5"/>
  <c r="A347" i="5"/>
  <c r="A346" i="5"/>
  <c r="N346" i="5" s="1"/>
  <c r="A345" i="5"/>
  <c r="N344" i="5"/>
  <c r="S344" i="5"/>
  <c r="A344" i="5"/>
  <c r="A343" i="5"/>
  <c r="S342" i="5"/>
  <c r="N342" i="5"/>
  <c r="A342" i="5"/>
  <c r="A341" i="5"/>
  <c r="N340" i="5"/>
  <c r="S340" i="5"/>
  <c r="A340" i="5"/>
  <c r="A339" i="5"/>
  <c r="S338" i="5"/>
  <c r="N338" i="5"/>
  <c r="A338" i="5"/>
  <c r="N337" i="5"/>
  <c r="S337" i="5"/>
  <c r="A337" i="5"/>
  <c r="N336" i="5"/>
  <c r="A336" i="5"/>
  <c r="A335" i="5"/>
  <c r="S334" i="5"/>
  <c r="N334" i="5"/>
  <c r="A334" i="5"/>
  <c r="A333" i="5"/>
  <c r="N332" i="5"/>
  <c r="A332" i="5"/>
  <c r="S332" i="5" s="1"/>
  <c r="A331" i="5"/>
  <c r="A330" i="5"/>
  <c r="S329" i="5"/>
  <c r="A329" i="5"/>
  <c r="N329" i="5" s="1"/>
  <c r="A328" i="5"/>
  <c r="S328" i="5" s="1"/>
  <c r="A327" i="5"/>
  <c r="N327" i="5" s="1"/>
  <c r="A326" i="5"/>
  <c r="N325" i="5"/>
  <c r="A325" i="5"/>
  <c r="A324" i="5"/>
  <c r="N323" i="5"/>
  <c r="A323" i="5"/>
  <c r="A322" i="5"/>
  <c r="S321" i="5"/>
  <c r="A321" i="5"/>
  <c r="N321" i="5" s="1"/>
  <c r="S320" i="5"/>
  <c r="N320" i="5"/>
  <c r="A320" i="5"/>
  <c r="S319" i="5"/>
  <c r="N319" i="5"/>
  <c r="A319" i="5"/>
  <c r="N318" i="5"/>
  <c r="A318" i="5"/>
  <c r="A317" i="5"/>
  <c r="A316" i="5"/>
  <c r="A315" i="5"/>
  <c r="A314" i="5"/>
  <c r="A313" i="5"/>
  <c r="P312" i="5"/>
  <c r="M312" i="5"/>
  <c r="N312" i="5"/>
  <c r="K312" i="5"/>
  <c r="E312" i="5"/>
  <c r="A312" i="5"/>
  <c r="S312" i="5" s="1"/>
  <c r="R312" i="5" s="1"/>
  <c r="A311" i="5"/>
  <c r="A310" i="5"/>
  <c r="A309" i="5"/>
  <c r="S308" i="5"/>
  <c r="K308" i="5"/>
  <c r="A308" i="5"/>
  <c r="R307" i="5"/>
  <c r="N307" i="5"/>
  <c r="A307" i="5"/>
  <c r="E307" i="5" s="1"/>
  <c r="A306" i="5"/>
  <c r="A305" i="5"/>
  <c r="A304" i="5"/>
  <c r="P303" i="5"/>
  <c r="K303" i="5"/>
  <c r="E303" i="5"/>
  <c r="A303" i="5"/>
  <c r="N302" i="5"/>
  <c r="S302" i="5"/>
  <c r="K302" i="5"/>
  <c r="A302" i="5"/>
  <c r="E302" i="5" s="1"/>
  <c r="K301" i="5"/>
  <c r="N301" i="5"/>
  <c r="A301" i="5"/>
  <c r="K300" i="5"/>
  <c r="A300" i="5"/>
  <c r="N299" i="5"/>
  <c r="A299" i="5"/>
  <c r="E299" i="5" s="1"/>
  <c r="A298" i="5"/>
  <c r="S297" i="5"/>
  <c r="K297" i="5"/>
  <c r="A297" i="5"/>
  <c r="R296" i="5"/>
  <c r="N296" i="5"/>
  <c r="A296" i="5"/>
  <c r="A295" i="5"/>
  <c r="A294" i="5"/>
  <c r="L285" i="5"/>
  <c r="N284" i="5"/>
  <c r="A284" i="5"/>
  <c r="A283" i="5"/>
  <c r="A282" i="5"/>
  <c r="A281" i="5"/>
  <c r="A280" i="5"/>
  <c r="S279" i="5"/>
  <c r="A279" i="5"/>
  <c r="A278" i="5"/>
  <c r="A277" i="5"/>
  <c r="S276" i="5"/>
  <c r="N276" i="5"/>
  <c r="A276" i="5"/>
  <c r="S275" i="5"/>
  <c r="N275" i="5"/>
  <c r="A275" i="5"/>
  <c r="S274" i="5"/>
  <c r="N274" i="5"/>
  <c r="A274" i="5"/>
  <c r="N273" i="5"/>
  <c r="A273" i="5"/>
  <c r="S273" i="5" s="1"/>
  <c r="N272" i="5"/>
  <c r="A272" i="5"/>
  <c r="A271" i="5"/>
  <c r="N270" i="5"/>
  <c r="A270" i="5"/>
  <c r="N269" i="5"/>
  <c r="A269" i="5"/>
  <c r="S269" i="5" s="1"/>
  <c r="A268" i="5"/>
  <c r="S267" i="5"/>
  <c r="A267" i="5"/>
  <c r="K266" i="5"/>
  <c r="A266" i="5"/>
  <c r="S265" i="5"/>
  <c r="N265" i="5"/>
  <c r="A265" i="5"/>
  <c r="A264" i="5"/>
  <c r="N264" i="5" s="1"/>
  <c r="A263" i="5"/>
  <c r="A262" i="5"/>
  <c r="A261" i="5"/>
  <c r="A260" i="5"/>
  <c r="S259" i="5"/>
  <c r="N259" i="5"/>
  <c r="A259" i="5"/>
  <c r="S258" i="5"/>
  <c r="N258" i="5"/>
  <c r="A258" i="5"/>
  <c r="N257" i="5"/>
  <c r="A257" i="5"/>
  <c r="A256" i="5"/>
  <c r="S256" i="5" s="1"/>
  <c r="S255" i="5"/>
  <c r="N255" i="5"/>
  <c r="A255" i="5"/>
  <c r="A254" i="5"/>
  <c r="A253" i="5"/>
  <c r="A252" i="5"/>
  <c r="A251" i="5"/>
  <c r="L250" i="5"/>
  <c r="A250" i="5"/>
  <c r="A249" i="5"/>
  <c r="S248" i="5"/>
  <c r="Q248" i="5"/>
  <c r="N248" i="5"/>
  <c r="L248" i="5"/>
  <c r="F248" i="5"/>
  <c r="A248" i="5"/>
  <c r="R247" i="5"/>
  <c r="N247" i="5"/>
  <c r="K250" i="5"/>
  <c r="L251" i="5" s="1"/>
  <c r="A247" i="5"/>
  <c r="A246" i="5"/>
  <c r="L245" i="5"/>
  <c r="A245" i="5"/>
  <c r="P285" i="5"/>
  <c r="R244" i="5"/>
  <c r="N244" i="5"/>
  <c r="N245" i="5" s="1"/>
  <c r="M244" i="5"/>
  <c r="E250" i="5"/>
  <c r="A244" i="5"/>
  <c r="A243" i="5"/>
  <c r="L242" i="5"/>
  <c r="A242" i="5"/>
  <c r="R241" i="5"/>
  <c r="N241" i="5"/>
  <c r="N242" i="5" s="1"/>
  <c r="M241" i="5"/>
  <c r="A241" i="5"/>
  <c r="F242" i="5" s="1"/>
  <c r="A240" i="5"/>
  <c r="A239" i="5"/>
  <c r="A228" i="5"/>
  <c r="S227" i="5"/>
  <c r="A227" i="5"/>
  <c r="A226" i="5"/>
  <c r="N225" i="5"/>
  <c r="S225" i="5"/>
  <c r="A225" i="5"/>
  <c r="S224" i="5"/>
  <c r="A224" i="5"/>
  <c r="N224" i="5" s="1"/>
  <c r="N223" i="5"/>
  <c r="A223" i="5"/>
  <c r="N222" i="5"/>
  <c r="A222" i="5"/>
  <c r="A221" i="5"/>
  <c r="N220" i="5"/>
  <c r="A220" i="5"/>
  <c r="S220" i="5" s="1"/>
  <c r="A219" i="5"/>
  <c r="S218" i="5"/>
  <c r="A218" i="5"/>
  <c r="A217" i="5"/>
  <c r="S216" i="5"/>
  <c r="A216" i="5"/>
  <c r="A215" i="5"/>
  <c r="N215" i="5" s="1"/>
  <c r="S214" i="5"/>
  <c r="A214" i="5"/>
  <c r="N214" i="5" s="1"/>
  <c r="N213" i="5"/>
  <c r="A213" i="5"/>
  <c r="A212" i="5"/>
  <c r="A211" i="5"/>
  <c r="A210" i="5"/>
  <c r="A209" i="5"/>
  <c r="S209" i="5" s="1"/>
  <c r="S208" i="5"/>
  <c r="A208" i="5"/>
  <c r="A207" i="5"/>
  <c r="S206" i="5"/>
  <c r="A206" i="5"/>
  <c r="N205" i="5"/>
  <c r="S205" i="5"/>
  <c r="A205" i="5"/>
  <c r="S204" i="5"/>
  <c r="A204" i="5"/>
  <c r="N203" i="5"/>
  <c r="A203" i="5"/>
  <c r="A202" i="5"/>
  <c r="S201" i="5"/>
  <c r="N201" i="5"/>
  <c r="A201" i="5"/>
  <c r="L210" i="5"/>
  <c r="A200" i="5"/>
  <c r="S199" i="5"/>
  <c r="N199" i="5"/>
  <c r="A199" i="5"/>
  <c r="N198" i="5"/>
  <c r="A198" i="5"/>
  <c r="A197" i="5"/>
  <c r="A196" i="5"/>
  <c r="A195" i="5"/>
  <c r="A194" i="5"/>
  <c r="A193" i="5"/>
  <c r="L192" i="5"/>
  <c r="A192" i="5"/>
  <c r="A191" i="5"/>
  <c r="A190" i="5"/>
  <c r="A189" i="5"/>
  <c r="R188" i="5"/>
  <c r="N188" i="5"/>
  <c r="L189" i="5"/>
  <c r="M188" i="5"/>
  <c r="A188" i="5"/>
  <c r="F189" i="5" s="1"/>
  <c r="A187" i="5"/>
  <c r="A186" i="5"/>
  <c r="L185" i="5"/>
  <c r="K185" i="5"/>
  <c r="A185" i="5"/>
  <c r="A184" i="5"/>
  <c r="A183" i="5"/>
  <c r="M182" i="5"/>
  <c r="L182" i="5"/>
  <c r="A182" i="5"/>
  <c r="A181" i="5"/>
  <c r="A180" i="5"/>
  <c r="R179" i="5"/>
  <c r="A179" i="5"/>
  <c r="R178" i="5"/>
  <c r="P180" i="5"/>
  <c r="N178" i="5"/>
  <c r="L179" i="5"/>
  <c r="N179" i="5" s="1"/>
  <c r="F179" i="5"/>
  <c r="M178" i="5"/>
  <c r="A178" i="5"/>
  <c r="A177" i="5"/>
  <c r="L176" i="5"/>
  <c r="A176" i="5"/>
  <c r="A175" i="5"/>
  <c r="K174" i="5"/>
  <c r="A174" i="5"/>
  <c r="A173" i="5"/>
  <c r="N172" i="5"/>
  <c r="J185" i="5"/>
  <c r="K186" i="5" s="1"/>
  <c r="A172" i="5"/>
  <c r="A171" i="5"/>
  <c r="S162" i="5"/>
  <c r="A162" i="5"/>
  <c r="N161" i="5"/>
  <c r="A161" i="5"/>
  <c r="A160" i="5"/>
  <c r="S159" i="5"/>
  <c r="V159" i="5"/>
  <c r="A159" i="5"/>
  <c r="S158" i="5"/>
  <c r="N158" i="5"/>
  <c r="A158" i="5"/>
  <c r="N157" i="5"/>
  <c r="S157" i="5"/>
  <c r="A157" i="5"/>
  <c r="L163" i="5"/>
  <c r="A156" i="5"/>
  <c r="A155" i="5"/>
  <c r="A154" i="5"/>
  <c r="A153" i="5"/>
  <c r="A152" i="5"/>
  <c r="A151" i="5"/>
  <c r="N150" i="5"/>
  <c r="A150" i="5"/>
  <c r="A149" i="5"/>
  <c r="A148" i="5"/>
  <c r="A147" i="5"/>
  <c r="S147" i="5" s="1"/>
  <c r="S146" i="5"/>
  <c r="N146" i="5"/>
  <c r="A146" i="5"/>
  <c r="S145" i="5"/>
  <c r="N145" i="5"/>
  <c r="A145" i="5"/>
  <c r="S144" i="5"/>
  <c r="N144" i="5"/>
  <c r="A144" i="5"/>
  <c r="N143" i="5"/>
  <c r="A143" i="5"/>
  <c r="A142" i="5"/>
  <c r="S141" i="5"/>
  <c r="N141" i="5"/>
  <c r="A141" i="5"/>
  <c r="A140" i="5"/>
  <c r="A139" i="5"/>
  <c r="S138" i="5"/>
  <c r="A138" i="5"/>
  <c r="A137" i="5"/>
  <c r="A136" i="5"/>
  <c r="A135" i="5"/>
  <c r="S134" i="5"/>
  <c r="N134" i="5"/>
  <c r="A134" i="5"/>
  <c r="S133" i="5"/>
  <c r="N133" i="5"/>
  <c r="A133" i="5"/>
  <c r="A132" i="5"/>
  <c r="N131" i="5"/>
  <c r="A131" i="5"/>
  <c r="S131" i="5" s="1"/>
  <c r="A130" i="5"/>
  <c r="A129" i="5"/>
  <c r="A128" i="5"/>
  <c r="A127" i="5"/>
  <c r="N126" i="5"/>
  <c r="A126" i="5"/>
  <c r="N125" i="5"/>
  <c r="A125" i="5"/>
  <c r="S125" i="5" s="1"/>
  <c r="N124" i="5"/>
  <c r="S124" i="5"/>
  <c r="A124" i="5"/>
  <c r="A123" i="5"/>
  <c r="A122" i="5"/>
  <c r="A121" i="5"/>
  <c r="A120" i="5"/>
  <c r="S119" i="5"/>
  <c r="A119" i="5"/>
  <c r="A118" i="5"/>
  <c r="A117" i="5"/>
  <c r="A116" i="5"/>
  <c r="A115" i="5"/>
  <c r="A114" i="5"/>
  <c r="S113" i="5"/>
  <c r="A113" i="5"/>
  <c r="A112" i="5"/>
  <c r="A111" i="5"/>
  <c r="A110" i="5"/>
  <c r="A109" i="5"/>
  <c r="A108" i="5"/>
  <c r="A107" i="5"/>
  <c r="A106" i="5"/>
  <c r="L105" i="5"/>
  <c r="J113" i="5" s="1"/>
  <c r="A105" i="5"/>
  <c r="S104" i="5"/>
  <c r="E104" i="5"/>
  <c r="A104" i="5"/>
  <c r="Q105" i="5"/>
  <c r="A103" i="5"/>
  <c r="E103" i="5" s="1"/>
  <c r="N102" i="5"/>
  <c r="E102" i="5"/>
  <c r="A102" i="5"/>
  <c r="A101" i="5"/>
  <c r="N100" i="5"/>
  <c r="E100" i="5"/>
  <c r="A100" i="5"/>
  <c r="A99" i="5"/>
  <c r="A98" i="5"/>
  <c r="A97" i="5"/>
  <c r="S96" i="5"/>
  <c r="K96" i="5"/>
  <c r="A96" i="5"/>
  <c r="N95" i="5"/>
  <c r="K95" i="5"/>
  <c r="A95" i="5"/>
  <c r="P94" i="5"/>
  <c r="R94" i="5"/>
  <c r="E94" i="5"/>
  <c r="A94" i="5"/>
  <c r="A93" i="5"/>
  <c r="B85" i="5"/>
  <c r="A85" i="5"/>
  <c r="B84" i="5"/>
  <c r="A84" i="5" s="1"/>
  <c r="B83" i="5"/>
  <c r="A83" i="5" s="1"/>
  <c r="B82" i="5"/>
  <c r="A82" i="5" s="1"/>
  <c r="B81" i="5"/>
  <c r="A81" i="5"/>
  <c r="N80" i="5"/>
  <c r="B80" i="5"/>
  <c r="A80" i="5" s="1"/>
  <c r="B79" i="5"/>
  <c r="B78" i="5"/>
  <c r="A78" i="5" s="1"/>
  <c r="B77" i="5"/>
  <c r="A77" i="5" s="1"/>
  <c r="B76" i="5"/>
  <c r="A76" i="5"/>
  <c r="B75" i="5"/>
  <c r="A75" i="5" s="1"/>
  <c r="B74" i="5"/>
  <c r="A74" i="5"/>
  <c r="B73" i="5"/>
  <c r="A73" i="5" s="1"/>
  <c r="B72" i="5"/>
  <c r="A72" i="5" s="1"/>
  <c r="B71" i="5"/>
  <c r="A71" i="5"/>
  <c r="N70" i="5"/>
  <c r="B70" i="5"/>
  <c r="A70" i="5" s="1"/>
  <c r="B69" i="5"/>
  <c r="A69" i="5" s="1"/>
  <c r="B68" i="5"/>
  <c r="S67" i="5"/>
  <c r="B67" i="5"/>
  <c r="A67" i="5"/>
  <c r="B66" i="5"/>
  <c r="A66" i="5" s="1"/>
  <c r="B65" i="5"/>
  <c r="S64" i="5"/>
  <c r="B64" i="5"/>
  <c r="A64" i="5"/>
  <c r="B63" i="5"/>
  <c r="B62" i="5"/>
  <c r="S61" i="5"/>
  <c r="B61" i="5"/>
  <c r="A61" i="5"/>
  <c r="B60" i="5"/>
  <c r="A60" i="5" s="1"/>
  <c r="B59" i="5"/>
  <c r="B58" i="5"/>
  <c r="A58" i="5"/>
  <c r="B57" i="5"/>
  <c r="B56" i="5"/>
  <c r="B55" i="5"/>
  <c r="A55" i="5"/>
  <c r="B54" i="5"/>
  <c r="A54" i="5" s="1"/>
  <c r="B53" i="5"/>
  <c r="A53" i="5"/>
  <c r="N52" i="5"/>
  <c r="B52" i="5"/>
  <c r="A52" i="5"/>
  <c r="S51" i="5"/>
  <c r="B51" i="5"/>
  <c r="A51" i="5" s="1"/>
  <c r="B50" i="5"/>
  <c r="A50" i="5" s="1"/>
  <c r="N49" i="5"/>
  <c r="B49" i="5"/>
  <c r="A49" i="5"/>
  <c r="B48" i="5"/>
  <c r="A48" i="5" s="1"/>
  <c r="S47" i="5"/>
  <c r="B47" i="5"/>
  <c r="A47" i="5"/>
  <c r="B46" i="5"/>
  <c r="A46" i="5"/>
  <c r="S45" i="5"/>
  <c r="N45" i="5"/>
  <c r="B45" i="5"/>
  <c r="A45" i="5" s="1"/>
  <c r="B44" i="5"/>
  <c r="S43" i="5"/>
  <c r="N43" i="5"/>
  <c r="B43" i="5"/>
  <c r="A43" i="5"/>
  <c r="B42" i="5"/>
  <c r="A42" i="5" s="1"/>
  <c r="B41" i="5"/>
  <c r="A41" i="5"/>
  <c r="B40" i="5"/>
  <c r="A40" i="5"/>
  <c r="K39" i="5"/>
  <c r="B39" i="5"/>
  <c r="A39" i="5"/>
  <c r="B38" i="5"/>
  <c r="K38" i="5" s="1"/>
  <c r="A38" i="5"/>
  <c r="B37" i="5"/>
  <c r="A37" i="5"/>
  <c r="B36" i="5"/>
  <c r="A36" i="5"/>
  <c r="S35" i="5"/>
  <c r="B35" i="5"/>
  <c r="A35" i="5"/>
  <c r="N34" i="5"/>
  <c r="S34" i="5"/>
  <c r="B34" i="5"/>
  <c r="A34" i="5"/>
  <c r="B33" i="5"/>
  <c r="A33" i="5" s="1"/>
  <c r="B32" i="5"/>
  <c r="A32" i="5"/>
  <c r="B31" i="5"/>
  <c r="A31" i="5"/>
  <c r="B30" i="5"/>
  <c r="A30" i="5"/>
  <c r="B29" i="5"/>
  <c r="A29" i="5"/>
  <c r="B28" i="5"/>
  <c r="A28" i="5"/>
  <c r="B27" i="5"/>
  <c r="A27" i="5" s="1"/>
  <c r="B26" i="5"/>
  <c r="A26" i="5"/>
  <c r="B25" i="5"/>
  <c r="A25" i="5"/>
  <c r="B24" i="5"/>
  <c r="A24" i="5" s="1"/>
  <c r="B23" i="5"/>
  <c r="A23" i="5"/>
  <c r="E23" i="5" s="1"/>
  <c r="B22" i="5"/>
  <c r="A22" i="5" s="1"/>
  <c r="S21" i="5"/>
  <c r="B21" i="5"/>
  <c r="A21" i="5"/>
  <c r="E21" i="5" s="1"/>
  <c r="B20" i="5"/>
  <c r="A20" i="5"/>
  <c r="R19" i="5"/>
  <c r="B19" i="5"/>
  <c r="A19" i="5"/>
  <c r="B18" i="5"/>
  <c r="A18" i="5"/>
  <c r="E17" i="5"/>
  <c r="B17" i="5"/>
  <c r="A17" i="5"/>
  <c r="B16" i="5"/>
  <c r="A16" i="5"/>
  <c r="B15" i="5"/>
  <c r="R15" i="5" s="1"/>
  <c r="A15" i="5"/>
  <c r="B14" i="5"/>
  <c r="A14" i="5" s="1"/>
  <c r="B13" i="5"/>
  <c r="A13" i="5"/>
  <c r="B12" i="5"/>
  <c r="P11" i="5"/>
  <c r="R11" i="5"/>
  <c r="E11" i="5"/>
  <c r="B11" i="5"/>
  <c r="A11" i="5"/>
  <c r="P10" i="5"/>
  <c r="S10" i="5"/>
  <c r="E10" i="5"/>
  <c r="B10" i="5"/>
  <c r="R10" i="5" s="1"/>
  <c r="A10" i="5"/>
  <c r="K9" i="5"/>
  <c r="B9" i="5"/>
  <c r="A9" i="5"/>
  <c r="P8" i="5"/>
  <c r="N8" i="5"/>
  <c r="B8" i="5"/>
  <c r="A8" i="5"/>
  <c r="P7" i="5"/>
  <c r="R7" i="5"/>
  <c r="B7" i="5"/>
  <c r="A7" i="5"/>
  <c r="N6" i="5"/>
  <c r="S6" i="5"/>
  <c r="B6" i="5"/>
  <c r="A6" i="5"/>
  <c r="B5" i="5"/>
  <c r="A5" i="5"/>
  <c r="S89" i="5"/>
  <c r="C89" i="5"/>
  <c r="A499" i="15"/>
  <c r="A498" i="15"/>
  <c r="AO497" i="15"/>
  <c r="A497" i="15"/>
  <c r="AN496" i="15"/>
  <c r="AO496" i="15"/>
  <c r="AQ496" i="15"/>
  <c r="A496" i="15"/>
  <c r="AO495" i="15"/>
  <c r="AN495" i="15"/>
  <c r="A495" i="15"/>
  <c r="AO494" i="15"/>
  <c r="AI494" i="15"/>
  <c r="AH494" i="15"/>
  <c r="A494" i="15"/>
  <c r="A493" i="15"/>
  <c r="AN492" i="15"/>
  <c r="AO492" i="15"/>
  <c r="AH492" i="15"/>
  <c r="AI492" i="15"/>
  <c r="A492" i="15"/>
  <c r="AQ491" i="15"/>
  <c r="AH491" i="15"/>
  <c r="AI491" i="15"/>
  <c r="A491" i="15"/>
  <c r="A490" i="15"/>
  <c r="A489" i="15"/>
  <c r="A488" i="15"/>
  <c r="A487" i="15"/>
  <c r="A486" i="15"/>
  <c r="A484" i="15"/>
  <c r="A483" i="15"/>
  <c r="AO482" i="15"/>
  <c r="AN482" i="15"/>
  <c r="A482" i="15"/>
  <c r="A481" i="15"/>
  <c r="AS480" i="15"/>
  <c r="A480" i="15"/>
  <c r="A479" i="15"/>
  <c r="A478" i="15"/>
  <c r="AN477" i="15"/>
  <c r="A477" i="15"/>
  <c r="A476" i="15"/>
  <c r="A475" i="15"/>
  <c r="A474" i="15"/>
  <c r="A473" i="15"/>
  <c r="A472" i="15"/>
  <c r="A471" i="15"/>
  <c r="A470" i="15"/>
  <c r="A469" i="15"/>
  <c r="A468" i="15"/>
  <c r="AO467" i="15"/>
  <c r="AN467" i="15"/>
  <c r="AH467" i="15"/>
  <c r="A467" i="15"/>
  <c r="A466" i="15"/>
  <c r="A465" i="15"/>
  <c r="A464" i="15"/>
  <c r="A463" i="15"/>
  <c r="A462" i="15"/>
  <c r="A461" i="15"/>
  <c r="AO460" i="15"/>
  <c r="AH460" i="15"/>
  <c r="AI460" i="15"/>
  <c r="A460" i="15"/>
  <c r="AN459" i="15"/>
  <c r="AO459" i="15" s="1"/>
  <c r="AH459" i="15"/>
  <c r="AI459" i="15"/>
  <c r="A459" i="15"/>
  <c r="AQ458" i="15"/>
  <c r="A458" i="15"/>
  <c r="A457" i="15"/>
  <c r="AO456" i="15"/>
  <c r="A456" i="15"/>
  <c r="AI456" i="15" s="1"/>
  <c r="A455" i="15"/>
  <c r="A454" i="15"/>
  <c r="A453" i="15"/>
  <c r="A452" i="15"/>
  <c r="A451" i="15"/>
  <c r="A450" i="15"/>
  <c r="A449" i="15"/>
  <c r="AQ448" i="15"/>
  <c r="A448" i="15"/>
  <c r="AQ447" i="15"/>
  <c r="A447" i="15"/>
  <c r="AQ446" i="15"/>
  <c r="A446" i="15"/>
  <c r="A445" i="15"/>
  <c r="A444" i="15"/>
  <c r="AQ443" i="15"/>
  <c r="A443" i="15"/>
  <c r="A442" i="15"/>
  <c r="A441" i="15"/>
  <c r="AQ439" i="15"/>
  <c r="A439" i="15"/>
  <c r="AQ438" i="15"/>
  <c r="A438" i="15"/>
  <c r="AQ437" i="15"/>
  <c r="A437" i="15"/>
  <c r="AQ436" i="15"/>
  <c r="A436" i="15"/>
  <c r="A435" i="15"/>
  <c r="AQ434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H420" i="15"/>
  <c r="AI420" i="15" s="1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R407" i="15"/>
  <c r="AR502" i="15" s="1"/>
  <c r="A407" i="15"/>
  <c r="A406" i="15"/>
  <c r="A405" i="15"/>
  <c r="A404" i="15"/>
  <c r="A394" i="15"/>
  <c r="S393" i="15"/>
  <c r="A393" i="15"/>
  <c r="A392" i="15"/>
  <c r="S391" i="15"/>
  <c r="A391" i="15"/>
  <c r="A390" i="15"/>
  <c r="S389" i="15"/>
  <c r="A389" i="15"/>
  <c r="A388" i="15"/>
  <c r="S387" i="15"/>
  <c r="A387" i="15"/>
  <c r="A386" i="15"/>
  <c r="S385" i="15"/>
  <c r="A385" i="15"/>
  <c r="A384" i="15"/>
  <c r="S383" i="15"/>
  <c r="A383" i="15"/>
  <c r="A382" i="15"/>
  <c r="S381" i="15"/>
  <c r="A381" i="15"/>
  <c r="A380" i="15"/>
  <c r="S379" i="15"/>
  <c r="A379" i="15"/>
  <c r="L395" i="15"/>
  <c r="K395" i="15" s="1"/>
  <c r="A378" i="15"/>
  <c r="Q395" i="15" s="1"/>
  <c r="P395" i="15" s="1"/>
  <c r="A377" i="15"/>
  <c r="S376" i="15"/>
  <c r="A376" i="15"/>
  <c r="A375" i="15"/>
  <c r="S374" i="15"/>
  <c r="A374" i="15"/>
  <c r="A373" i="15"/>
  <c r="A372" i="15"/>
  <c r="A371" i="15"/>
  <c r="A370" i="15"/>
  <c r="A369" i="15"/>
  <c r="S368" i="15"/>
  <c r="A368" i="15"/>
  <c r="A367" i="15"/>
  <c r="S366" i="15"/>
  <c r="A366" i="15"/>
  <c r="A365" i="15"/>
  <c r="A364" i="15"/>
  <c r="A363" i="15"/>
  <c r="O362" i="15"/>
  <c r="R362" i="15" s="1"/>
  <c r="F362" i="15"/>
  <c r="D362" i="15"/>
  <c r="E362" i="15" s="1"/>
  <c r="A362" i="15"/>
  <c r="A361" i="15"/>
  <c r="R360" i="15"/>
  <c r="L362" i="15"/>
  <c r="E360" i="15"/>
  <c r="A360" i="15"/>
  <c r="A359" i="15"/>
  <c r="S348" i="15"/>
  <c r="N348" i="15"/>
  <c r="A348" i="15"/>
  <c r="A347" i="15"/>
  <c r="S347" i="15" s="1"/>
  <c r="S346" i="15"/>
  <c r="A346" i="15"/>
  <c r="N346" i="15" s="1"/>
  <c r="N345" i="15"/>
  <c r="A345" i="15"/>
  <c r="S345" i="15" s="1"/>
  <c r="S344" i="15"/>
  <c r="A344" i="15"/>
  <c r="N344" i="15" s="1"/>
  <c r="A343" i="15"/>
  <c r="S342" i="15"/>
  <c r="N342" i="15"/>
  <c r="A342" i="15"/>
  <c r="N341" i="15"/>
  <c r="A341" i="15"/>
  <c r="S340" i="15"/>
  <c r="A340" i="15"/>
  <c r="A339" i="15"/>
  <c r="S338" i="15"/>
  <c r="A338" i="15"/>
  <c r="A337" i="15"/>
  <c r="S336" i="15"/>
  <c r="N336" i="15"/>
  <c r="A336" i="15"/>
  <c r="A335" i="15"/>
  <c r="S334" i="15"/>
  <c r="A334" i="15"/>
  <c r="N334" i="15" s="1"/>
  <c r="S333" i="15"/>
  <c r="N333" i="15"/>
  <c r="A333" i="15"/>
  <c r="A332" i="15"/>
  <c r="S332" i="15" s="1"/>
  <c r="A331" i="15"/>
  <c r="L330" i="15"/>
  <c r="A330" i="15"/>
  <c r="N329" i="15"/>
  <c r="A329" i="15"/>
  <c r="A328" i="15"/>
  <c r="S327" i="15"/>
  <c r="N327" i="15"/>
  <c r="A327" i="15"/>
  <c r="A326" i="15"/>
  <c r="N325" i="15"/>
  <c r="A325" i="15"/>
  <c r="A324" i="15"/>
  <c r="A323" i="15"/>
  <c r="A322" i="15"/>
  <c r="S321" i="15"/>
  <c r="N321" i="15"/>
  <c r="A321" i="15"/>
  <c r="A320" i="15"/>
  <c r="A319" i="15"/>
  <c r="N318" i="15"/>
  <c r="A318" i="15"/>
  <c r="A317" i="15"/>
  <c r="A316" i="15"/>
  <c r="A315" i="15"/>
  <c r="A314" i="15"/>
  <c r="A313" i="15"/>
  <c r="S312" i="15"/>
  <c r="R312" i="15" s="1"/>
  <c r="K312" i="15"/>
  <c r="A312" i="15"/>
  <c r="A311" i="15"/>
  <c r="A310" i="15"/>
  <c r="A309" i="15"/>
  <c r="P308" i="15"/>
  <c r="N308" i="15"/>
  <c r="K308" i="15"/>
  <c r="E308" i="15"/>
  <c r="M308" i="15"/>
  <c r="A308" i="15"/>
  <c r="A307" i="15"/>
  <c r="A306" i="15"/>
  <c r="A305" i="15"/>
  <c r="A304" i="15"/>
  <c r="N303" i="15"/>
  <c r="S303" i="15"/>
  <c r="K303" i="15"/>
  <c r="E303" i="15"/>
  <c r="A303" i="15"/>
  <c r="K302" i="15"/>
  <c r="A302" i="15"/>
  <c r="P301" i="15"/>
  <c r="E301" i="15"/>
  <c r="A301" i="15"/>
  <c r="N300" i="15"/>
  <c r="K300" i="15"/>
  <c r="M300" i="15"/>
  <c r="E300" i="15"/>
  <c r="A300" i="15"/>
  <c r="A299" i="15"/>
  <c r="P298" i="15"/>
  <c r="R298" i="15"/>
  <c r="A298" i="15"/>
  <c r="P297" i="15"/>
  <c r="N297" i="15"/>
  <c r="K297" i="15"/>
  <c r="M297" i="15"/>
  <c r="E297" i="15"/>
  <c r="A297" i="15"/>
  <c r="K296" i="15"/>
  <c r="A296" i="15"/>
  <c r="A295" i="15"/>
  <c r="A294" i="15"/>
  <c r="K285" i="15"/>
  <c r="N284" i="15"/>
  <c r="A284" i="15"/>
  <c r="S284" i="15" s="1"/>
  <c r="N283" i="15"/>
  <c r="A283" i="15"/>
  <c r="S283" i="15" s="1"/>
  <c r="N282" i="15"/>
  <c r="A282" i="15"/>
  <c r="S281" i="15"/>
  <c r="A281" i="15"/>
  <c r="A280" i="15"/>
  <c r="S279" i="15"/>
  <c r="N279" i="15"/>
  <c r="A279" i="15"/>
  <c r="A278" i="15"/>
  <c r="A277" i="15"/>
  <c r="A276" i="15"/>
  <c r="A275" i="15"/>
  <c r="S274" i="15"/>
  <c r="N274" i="15"/>
  <c r="A274" i="15"/>
  <c r="S273" i="15"/>
  <c r="N273" i="15"/>
  <c r="A273" i="15"/>
  <c r="A272" i="15"/>
  <c r="A271" i="15"/>
  <c r="A270" i="15"/>
  <c r="A269" i="15"/>
  <c r="A268" i="15"/>
  <c r="S267" i="15"/>
  <c r="N267" i="15"/>
  <c r="A267" i="15"/>
  <c r="K266" i="15"/>
  <c r="A266" i="15"/>
  <c r="N265" i="15"/>
  <c r="A265" i="15"/>
  <c r="A264" i="15"/>
  <c r="A263" i="15"/>
  <c r="A262" i="15"/>
  <c r="A261" i="15"/>
  <c r="A260" i="15"/>
  <c r="A259" i="15"/>
  <c r="S258" i="15"/>
  <c r="A258" i="15"/>
  <c r="S257" i="15"/>
  <c r="N257" i="15"/>
  <c r="A257" i="15"/>
  <c r="A256" i="15"/>
  <c r="S255" i="15"/>
  <c r="N255" i="15"/>
  <c r="A255" i="15"/>
  <c r="N254" i="15"/>
  <c r="A254" i="15"/>
  <c r="A253" i="15"/>
  <c r="A252" i="15"/>
  <c r="A251" i="15"/>
  <c r="A250" i="15"/>
  <c r="A249" i="15"/>
  <c r="S248" i="15"/>
  <c r="Q248" i="15"/>
  <c r="N248" i="15"/>
  <c r="L248" i="15"/>
  <c r="F248" i="15"/>
  <c r="A248" i="15"/>
  <c r="R247" i="15"/>
  <c r="N247" i="15"/>
  <c r="M247" i="15"/>
  <c r="S247" i="15"/>
  <c r="A247" i="15"/>
  <c r="A246" i="15"/>
  <c r="F245" i="15"/>
  <c r="A245" i="15"/>
  <c r="P266" i="15"/>
  <c r="R244" i="15"/>
  <c r="E250" i="15"/>
  <c r="A244" i="15"/>
  <c r="F250" i="15" s="1"/>
  <c r="A243" i="15"/>
  <c r="A242" i="15"/>
  <c r="P250" i="15"/>
  <c r="R241" i="15"/>
  <c r="L242" i="15"/>
  <c r="F242" i="15"/>
  <c r="A241" i="15"/>
  <c r="A240" i="15"/>
  <c r="A239" i="15"/>
  <c r="A228" i="15"/>
  <c r="A227" i="15"/>
  <c r="A226" i="15"/>
  <c r="A225" i="15"/>
  <c r="N224" i="15"/>
  <c r="A224" i="15"/>
  <c r="S223" i="15"/>
  <c r="N223" i="15"/>
  <c r="A223" i="15"/>
  <c r="N222" i="15"/>
  <c r="A222" i="15"/>
  <c r="S222" i="15" s="1"/>
  <c r="N221" i="15"/>
  <c r="S221" i="15"/>
  <c r="A221" i="15"/>
  <c r="A220" i="15"/>
  <c r="N220" i="15" s="1"/>
  <c r="A219" i="15"/>
  <c r="N219" i="15" s="1"/>
  <c r="S218" i="15"/>
  <c r="A218" i="15"/>
  <c r="N218" i="15" s="1"/>
  <c r="S217" i="15"/>
  <c r="N217" i="15"/>
  <c r="A217" i="15"/>
  <c r="S216" i="15"/>
  <c r="A216" i="15"/>
  <c r="N216" i="15" s="1"/>
  <c r="S215" i="15"/>
  <c r="A215" i="15"/>
  <c r="A214" i="15"/>
  <c r="N213" i="15"/>
  <c r="A213" i="15"/>
  <c r="S213" i="15" s="1"/>
  <c r="A212" i="15"/>
  <c r="N211" i="15"/>
  <c r="A211" i="15"/>
  <c r="L210" i="15"/>
  <c r="A210" i="15"/>
  <c r="S209" i="15"/>
  <c r="A209" i="15"/>
  <c r="N209" i="15" s="1"/>
  <c r="S208" i="15"/>
  <c r="N208" i="15"/>
  <c r="A208" i="15"/>
  <c r="A207" i="15"/>
  <c r="S206" i="15"/>
  <c r="N206" i="15"/>
  <c r="A206" i="15"/>
  <c r="A205" i="15"/>
  <c r="A204" i="15"/>
  <c r="N203" i="15"/>
  <c r="S203" i="15"/>
  <c r="A203" i="15"/>
  <c r="N202" i="15"/>
  <c r="A202" i="15"/>
  <c r="N201" i="15"/>
  <c r="S201" i="15"/>
  <c r="A201" i="15"/>
  <c r="S200" i="15"/>
  <c r="N200" i="15"/>
  <c r="A200" i="15"/>
  <c r="S199" i="15"/>
  <c r="A199" i="15"/>
  <c r="A198" i="15"/>
  <c r="A197" i="15"/>
  <c r="A196" i="15"/>
  <c r="A195" i="15"/>
  <c r="A194" i="15"/>
  <c r="A193" i="15"/>
  <c r="L192" i="15"/>
  <c r="A192" i="15"/>
  <c r="A191" i="15"/>
  <c r="Q192" i="15" s="1"/>
  <c r="A190" i="15"/>
  <c r="A189" i="15"/>
  <c r="R188" i="15"/>
  <c r="A188" i="15"/>
  <c r="A187" i="15"/>
  <c r="A186" i="15"/>
  <c r="A185" i="15"/>
  <c r="A184" i="15"/>
  <c r="N184" i="15" s="1"/>
  <c r="A183" i="15"/>
  <c r="M182" i="15"/>
  <c r="A182" i="15"/>
  <c r="R181" i="15"/>
  <c r="N181" i="15"/>
  <c r="L182" i="15"/>
  <c r="F182" i="15"/>
  <c r="M181" i="15"/>
  <c r="A181" i="15"/>
  <c r="S181" i="15" s="1"/>
  <c r="A180" i="15"/>
  <c r="R179" i="15"/>
  <c r="A179" i="15"/>
  <c r="R178" i="15"/>
  <c r="L179" i="15"/>
  <c r="A178" i="15"/>
  <c r="A177" i="15"/>
  <c r="A176" i="15"/>
  <c r="R175" i="15"/>
  <c r="L176" i="15"/>
  <c r="M175" i="15"/>
  <c r="F176" i="15"/>
  <c r="A175" i="15"/>
  <c r="K174" i="15"/>
  <c r="A174" i="15"/>
  <c r="A173" i="15"/>
  <c r="N172" i="15"/>
  <c r="L173" i="15"/>
  <c r="J185" i="15"/>
  <c r="A172" i="15"/>
  <c r="A171" i="15"/>
  <c r="A162" i="15"/>
  <c r="S162" i="15" s="1"/>
  <c r="A161" i="15"/>
  <c r="N160" i="15"/>
  <c r="S160" i="15"/>
  <c r="A160" i="15"/>
  <c r="A159" i="15"/>
  <c r="S158" i="15"/>
  <c r="N158" i="15"/>
  <c r="A158" i="15"/>
  <c r="A157" i="15"/>
  <c r="A156" i="15"/>
  <c r="A155" i="15"/>
  <c r="A154" i="15"/>
  <c r="A153" i="15"/>
  <c r="S152" i="15"/>
  <c r="N152" i="15"/>
  <c r="A152" i="15"/>
  <c r="A151" i="15"/>
  <c r="S150" i="15"/>
  <c r="N150" i="15"/>
  <c r="A150" i="15"/>
  <c r="A149" i="15"/>
  <c r="S148" i="15"/>
  <c r="A148" i="15"/>
  <c r="N147" i="15"/>
  <c r="S147" i="15"/>
  <c r="A147" i="15"/>
  <c r="S146" i="15"/>
  <c r="A146" i="15"/>
  <c r="N146" i="15" s="1"/>
  <c r="S145" i="15"/>
  <c r="N145" i="15"/>
  <c r="A145" i="15"/>
  <c r="A144" i="15"/>
  <c r="S144" i="15" s="1"/>
  <c r="N143" i="15"/>
  <c r="A143" i="15"/>
  <c r="N142" i="15"/>
  <c r="A142" i="15"/>
  <c r="S141" i="15"/>
  <c r="A141" i="15"/>
  <c r="N141" i="15" s="1"/>
  <c r="S140" i="15"/>
  <c r="N140" i="15"/>
  <c r="A140" i="15"/>
  <c r="A139" i="15"/>
  <c r="S138" i="15"/>
  <c r="A138" i="15"/>
  <c r="A137" i="15"/>
  <c r="A136" i="15"/>
  <c r="A135" i="15"/>
  <c r="S134" i="15"/>
  <c r="N134" i="15"/>
  <c r="A134" i="15"/>
  <c r="N133" i="15"/>
  <c r="A133" i="15"/>
  <c r="S132" i="15"/>
  <c r="A132" i="15"/>
  <c r="S131" i="15"/>
  <c r="N131" i="15"/>
  <c r="A131" i="15"/>
  <c r="S130" i="15"/>
  <c r="A130" i="15"/>
  <c r="N130" i="15" s="1"/>
  <c r="S129" i="15"/>
  <c r="N129" i="15"/>
  <c r="A129" i="15"/>
  <c r="S128" i="15"/>
  <c r="A128" i="15"/>
  <c r="A127" i="15"/>
  <c r="A126" i="15"/>
  <c r="A125" i="15"/>
  <c r="N125" i="15" s="1"/>
  <c r="S124" i="15"/>
  <c r="A124" i="15"/>
  <c r="N124" i="15" s="1"/>
  <c r="N123" i="15"/>
  <c r="A123" i="15"/>
  <c r="L122" i="15"/>
  <c r="A122" i="15"/>
  <c r="A121" i="15"/>
  <c r="N120" i="15"/>
  <c r="A120" i="15"/>
  <c r="S119" i="15"/>
  <c r="A119" i="15"/>
  <c r="A118" i="15"/>
  <c r="A117" i="15"/>
  <c r="S116" i="15"/>
  <c r="A116" i="15"/>
  <c r="A115" i="15"/>
  <c r="N114" i="15"/>
  <c r="S114" i="15"/>
  <c r="A114" i="15"/>
  <c r="A113" i="15"/>
  <c r="A112" i="15"/>
  <c r="A111" i="15"/>
  <c r="A110" i="15"/>
  <c r="A109" i="15"/>
  <c r="A108" i="15"/>
  <c r="A107" i="15"/>
  <c r="A106" i="15"/>
  <c r="L105" i="15"/>
  <c r="A105" i="15"/>
  <c r="A104" i="15"/>
  <c r="N103" i="15"/>
  <c r="E103" i="15"/>
  <c r="A103" i="15"/>
  <c r="A102" i="15"/>
  <c r="S102" i="15" s="1"/>
  <c r="A101" i="15"/>
  <c r="A100" i="15"/>
  <c r="A99" i="15"/>
  <c r="A98" i="15"/>
  <c r="J97" i="15"/>
  <c r="X109" i="15" s="1"/>
  <c r="A97" i="15"/>
  <c r="P96" i="15"/>
  <c r="R96" i="15"/>
  <c r="F97" i="15"/>
  <c r="A96" i="15"/>
  <c r="O97" i="15"/>
  <c r="P114" i="15" s="1"/>
  <c r="K95" i="15"/>
  <c r="N95" i="15"/>
  <c r="A95" i="15"/>
  <c r="N94" i="15"/>
  <c r="L97" i="15"/>
  <c r="E94" i="15"/>
  <c r="A94" i="15"/>
  <c r="A93" i="15"/>
  <c r="B85" i="15"/>
  <c r="A85" i="15" s="1"/>
  <c r="B84" i="15"/>
  <c r="A84" i="15"/>
  <c r="B83" i="15"/>
  <c r="A83" i="15" s="1"/>
  <c r="V82" i="15"/>
  <c r="B82" i="15"/>
  <c r="A82" i="15"/>
  <c r="B81" i="15"/>
  <c r="B80" i="15"/>
  <c r="B79" i="15"/>
  <c r="A79" i="15"/>
  <c r="S78" i="15"/>
  <c r="B78" i="15"/>
  <c r="A78" i="15"/>
  <c r="B77" i="15"/>
  <c r="S76" i="15"/>
  <c r="N76" i="15"/>
  <c r="B76" i="15"/>
  <c r="A76" i="15"/>
  <c r="B75" i="15"/>
  <c r="A75" i="15"/>
  <c r="B74" i="15"/>
  <c r="A74" i="15"/>
  <c r="B73" i="15"/>
  <c r="A73" i="15" s="1"/>
  <c r="B72" i="15"/>
  <c r="A72" i="15"/>
  <c r="B71" i="15"/>
  <c r="A71" i="15"/>
  <c r="S70" i="15"/>
  <c r="N70" i="15"/>
  <c r="B70" i="15"/>
  <c r="A70" i="15"/>
  <c r="B69" i="15"/>
  <c r="A69" i="15" s="1"/>
  <c r="S69" i="15" s="1"/>
  <c r="B68" i="15"/>
  <c r="N68" i="15" s="1"/>
  <c r="A68" i="15"/>
  <c r="S67" i="15"/>
  <c r="B67" i="15"/>
  <c r="A67" i="15"/>
  <c r="N67" i="15" s="1"/>
  <c r="B66" i="15"/>
  <c r="A66" i="15"/>
  <c r="B65" i="15"/>
  <c r="B64" i="15"/>
  <c r="A64" i="15" s="1"/>
  <c r="B63" i="15"/>
  <c r="S62" i="15"/>
  <c r="N62" i="15"/>
  <c r="B62" i="15"/>
  <c r="A62" i="15"/>
  <c r="B61" i="15"/>
  <c r="S60" i="15"/>
  <c r="N60" i="15"/>
  <c r="B60" i="15"/>
  <c r="A60" i="15"/>
  <c r="B59" i="15"/>
  <c r="A59" i="15" s="1"/>
  <c r="B58" i="15"/>
  <c r="A58" i="15"/>
  <c r="N57" i="15"/>
  <c r="B57" i="15"/>
  <c r="A57" i="15"/>
  <c r="B56" i="15"/>
  <c r="B55" i="15"/>
  <c r="A55" i="15"/>
  <c r="S55" i="15" s="1"/>
  <c r="B54" i="15"/>
  <c r="A54" i="15"/>
  <c r="B53" i="15"/>
  <c r="A53" i="15"/>
  <c r="S52" i="15"/>
  <c r="N52" i="15"/>
  <c r="B52" i="15"/>
  <c r="A52" i="15"/>
  <c r="B51" i="15"/>
  <c r="S51" i="15" s="1"/>
  <c r="A51" i="15"/>
  <c r="B50" i="15"/>
  <c r="A50" i="15"/>
  <c r="S49" i="15"/>
  <c r="B49" i="15"/>
  <c r="A49" i="15"/>
  <c r="S48" i="15"/>
  <c r="B48" i="15"/>
  <c r="A48" i="15"/>
  <c r="B47" i="15"/>
  <c r="A47" i="15"/>
  <c r="S46" i="15"/>
  <c r="B46" i="15"/>
  <c r="A46" i="15"/>
  <c r="B45" i="15"/>
  <c r="A45" i="15" s="1"/>
  <c r="B44" i="15"/>
  <c r="A44" i="15"/>
  <c r="S43" i="15"/>
  <c r="N43" i="15"/>
  <c r="B43" i="15"/>
  <c r="A43" i="15"/>
  <c r="S42" i="15"/>
  <c r="B42" i="15"/>
  <c r="A42" i="15" s="1"/>
  <c r="B41" i="15"/>
  <c r="A41" i="15"/>
  <c r="K40" i="15"/>
  <c r="B40" i="15"/>
  <c r="A40" i="15" s="1"/>
  <c r="B39" i="15"/>
  <c r="B38" i="15"/>
  <c r="A38" i="15"/>
  <c r="B37" i="15"/>
  <c r="A37" i="15" s="1"/>
  <c r="V36" i="15"/>
  <c r="B36" i="15"/>
  <c r="A36" i="15" s="1"/>
  <c r="B35" i="15"/>
  <c r="B34" i="15"/>
  <c r="A34" i="15"/>
  <c r="B33" i="15"/>
  <c r="A33" i="15" s="1"/>
  <c r="B32" i="15"/>
  <c r="A32" i="15"/>
  <c r="B31" i="15"/>
  <c r="A31" i="15" s="1"/>
  <c r="B30" i="15"/>
  <c r="A30" i="15" s="1"/>
  <c r="B29" i="15"/>
  <c r="A29" i="15" s="1"/>
  <c r="B28" i="15"/>
  <c r="A28" i="15" s="1"/>
  <c r="B27" i="15"/>
  <c r="A27" i="15" s="1"/>
  <c r="B26" i="15"/>
  <c r="A26" i="15" s="1"/>
  <c r="B25" i="15"/>
  <c r="A25" i="15"/>
  <c r="B24" i="15"/>
  <c r="A24" i="15" s="1"/>
  <c r="B23" i="15"/>
  <c r="A23" i="15"/>
  <c r="B22" i="15"/>
  <c r="A22" i="15" s="1"/>
  <c r="B21" i="15"/>
  <c r="A21" i="15"/>
  <c r="B20" i="15"/>
  <c r="A20" i="15"/>
  <c r="R19" i="15"/>
  <c r="B19" i="15"/>
  <c r="A19" i="15"/>
  <c r="B18" i="15"/>
  <c r="A18" i="15"/>
  <c r="P17" i="15"/>
  <c r="B17" i="15"/>
  <c r="A17" i="15"/>
  <c r="E17" i="15" s="1"/>
  <c r="B16" i="15"/>
  <c r="A16" i="15"/>
  <c r="S15" i="15"/>
  <c r="B15" i="15"/>
  <c r="A15" i="15"/>
  <c r="B14" i="15"/>
  <c r="A14" i="15" s="1"/>
  <c r="B13" i="15"/>
  <c r="A13" i="15" s="1"/>
  <c r="P12" i="15"/>
  <c r="B12" i="15"/>
  <c r="A12" i="15" s="1"/>
  <c r="S12" i="15" s="1"/>
  <c r="R11" i="15"/>
  <c r="P11" i="15"/>
  <c r="M11" i="15"/>
  <c r="S11" i="15"/>
  <c r="K11" i="15"/>
  <c r="E11" i="15"/>
  <c r="B11" i="15"/>
  <c r="A11" i="15"/>
  <c r="B10" i="15"/>
  <c r="A10" i="15"/>
  <c r="P9" i="15"/>
  <c r="B9" i="15"/>
  <c r="A9" i="15" s="1"/>
  <c r="B8" i="15"/>
  <c r="B7" i="15"/>
  <c r="A7" i="15"/>
  <c r="S6" i="15"/>
  <c r="B6" i="15"/>
  <c r="A6" i="15"/>
  <c r="B5" i="15"/>
  <c r="A5" i="15" s="1"/>
  <c r="S89" i="15"/>
  <c r="P362" i="15" l="1"/>
  <c r="S53" i="5"/>
  <c r="S58" i="5"/>
  <c r="S40" i="5"/>
  <c r="K40" i="5"/>
  <c r="S50" i="5"/>
  <c r="N31" i="5"/>
  <c r="P15" i="5"/>
  <c r="E22" i="5"/>
  <c r="F24" i="5"/>
  <c r="D32" i="5" s="1"/>
  <c r="S22" i="5"/>
  <c r="N50" i="5"/>
  <c r="S69" i="5"/>
  <c r="N69" i="5"/>
  <c r="N7" i="5"/>
  <c r="S7" i="5"/>
  <c r="S82" i="5"/>
  <c r="N82" i="5"/>
  <c r="N60" i="5"/>
  <c r="S116" i="5"/>
  <c r="N23" i="5"/>
  <c r="N38" i="5"/>
  <c r="L72" i="5"/>
  <c r="N19" i="5"/>
  <c r="S19" i="5"/>
  <c r="S11" i="5"/>
  <c r="N66" i="5"/>
  <c r="S80" i="5"/>
  <c r="N58" i="5"/>
  <c r="N64" i="5"/>
  <c r="S103" i="5"/>
  <c r="K17" i="5"/>
  <c r="E19" i="5"/>
  <c r="N21" i="5"/>
  <c r="A57" i="5"/>
  <c r="A63" i="5"/>
  <c r="N78" i="5"/>
  <c r="K94" i="5"/>
  <c r="N118" i="5"/>
  <c r="S118" i="5"/>
  <c r="S130" i="5"/>
  <c r="N130" i="5"/>
  <c r="P6" i="5"/>
  <c r="N10" i="5"/>
  <c r="J13" i="5"/>
  <c r="M17" i="5"/>
  <c r="J32" i="5"/>
  <c r="N47" i="5"/>
  <c r="N51" i="5"/>
  <c r="D53" i="5"/>
  <c r="AL470" i="5"/>
  <c r="S94" i="5"/>
  <c r="L97" i="5"/>
  <c r="N37" i="5"/>
  <c r="S38" i="5"/>
  <c r="N40" i="5"/>
  <c r="M15" i="5"/>
  <c r="N17" i="5"/>
  <c r="L24" i="5"/>
  <c r="N39" i="5"/>
  <c r="A44" i="5"/>
  <c r="N53" i="5"/>
  <c r="A59" i="5"/>
  <c r="A65" i="5"/>
  <c r="N71" i="5"/>
  <c r="N76" i="5"/>
  <c r="M94" i="5"/>
  <c r="M11" i="5"/>
  <c r="E6" i="5"/>
  <c r="E7" i="5"/>
  <c r="N11" i="5"/>
  <c r="S71" i="5"/>
  <c r="S81" i="5"/>
  <c r="N94" i="5"/>
  <c r="Z447" i="5"/>
  <c r="S148" i="5"/>
  <c r="S32" i="5"/>
  <c r="S49" i="5"/>
  <c r="S9" i="5"/>
  <c r="N32" i="5"/>
  <c r="N36" i="5"/>
  <c r="N55" i="5"/>
  <c r="N61" i="5"/>
  <c r="N67" i="5"/>
  <c r="S76" i="5"/>
  <c r="A79" i="5"/>
  <c r="S114" i="5"/>
  <c r="N114" i="5"/>
  <c r="V82" i="5"/>
  <c r="S105" i="5"/>
  <c r="S106" i="5" s="1"/>
  <c r="S156" i="5"/>
  <c r="R6" i="5"/>
  <c r="K11" i="5"/>
  <c r="L13" i="5"/>
  <c r="V485" i="5"/>
  <c r="A485" i="5" s="1"/>
  <c r="V402" i="5"/>
  <c r="C291" i="5"/>
  <c r="C356" i="5" s="1"/>
  <c r="AF451" i="5"/>
  <c r="AF422" i="5"/>
  <c r="AF421" i="5"/>
  <c r="C168" i="5"/>
  <c r="AL475" i="5" s="1"/>
  <c r="AO475" i="5" s="1"/>
  <c r="C236" i="5"/>
  <c r="AF444" i="5" s="1"/>
  <c r="E8" i="5"/>
  <c r="E15" i="5"/>
  <c r="S17" i="5"/>
  <c r="P17" i="5"/>
  <c r="N46" i="5"/>
  <c r="AF416" i="5"/>
  <c r="N81" i="5"/>
  <c r="J97" i="5"/>
  <c r="W159" i="5" s="1"/>
  <c r="K100" i="5"/>
  <c r="R100" i="5"/>
  <c r="M100" i="5"/>
  <c r="Z437" i="5"/>
  <c r="Q153" i="5"/>
  <c r="M7" i="5"/>
  <c r="K8" i="5"/>
  <c r="R8" i="5"/>
  <c r="M10" i="5"/>
  <c r="K10" i="5"/>
  <c r="K15" i="5"/>
  <c r="S23" i="5"/>
  <c r="Z473" i="5"/>
  <c r="F97" i="5"/>
  <c r="E96" i="5"/>
  <c r="S102" i="5"/>
  <c r="N117" i="5"/>
  <c r="S139" i="5"/>
  <c r="L231" i="5"/>
  <c r="AO485" i="5"/>
  <c r="AO402" i="5"/>
  <c r="S356" i="5"/>
  <c r="S291" i="5"/>
  <c r="S168" i="5"/>
  <c r="S236" i="5"/>
  <c r="K6" i="5"/>
  <c r="S8" i="5"/>
  <c r="S55" i="5"/>
  <c r="S95" i="5"/>
  <c r="O113" i="5"/>
  <c r="S128" i="5"/>
  <c r="N128" i="5"/>
  <c r="K7" i="5"/>
  <c r="M6" i="5"/>
  <c r="A12" i="5"/>
  <c r="N35" i="5"/>
  <c r="S39" i="5"/>
  <c r="F41" i="5"/>
  <c r="S46" i="5"/>
  <c r="S52" i="5"/>
  <c r="A56" i="5"/>
  <c r="A62" i="5"/>
  <c r="A68" i="5"/>
  <c r="M96" i="5"/>
  <c r="S115" i="5"/>
  <c r="Q122" i="5"/>
  <c r="S120" i="5"/>
  <c r="F135" i="5"/>
  <c r="S60" i="5"/>
  <c r="S66" i="5"/>
  <c r="S70" i="5"/>
  <c r="P100" i="5"/>
  <c r="N103" i="5"/>
  <c r="N113" i="5"/>
  <c r="N115" i="5"/>
  <c r="S126" i="5"/>
  <c r="S132" i="5"/>
  <c r="N132" i="5"/>
  <c r="L153" i="5"/>
  <c r="N136" i="5"/>
  <c r="S150" i="5"/>
  <c r="M297" i="5"/>
  <c r="S318" i="5"/>
  <c r="N148" i="5"/>
  <c r="R181" i="5"/>
  <c r="M181" i="5"/>
  <c r="S202" i="5"/>
  <c r="N202" i="5"/>
  <c r="R295" i="5"/>
  <c r="S136" i="5"/>
  <c r="N139" i="5"/>
  <c r="S142" i="5"/>
  <c r="N142" i="5"/>
  <c r="N175" i="5"/>
  <c r="D185" i="5"/>
  <c r="S184" i="5"/>
  <c r="S219" i="5"/>
  <c r="N228" i="5"/>
  <c r="K285" i="5"/>
  <c r="N262" i="5"/>
  <c r="N104" i="5"/>
  <c r="L122" i="5"/>
  <c r="N121" i="5"/>
  <c r="S151" i="5"/>
  <c r="S223" i="5"/>
  <c r="S283" i="5"/>
  <c r="R298" i="5"/>
  <c r="N112" i="5"/>
  <c r="N151" i="5"/>
  <c r="P174" i="5"/>
  <c r="K194" i="5"/>
  <c r="S241" i="5"/>
  <c r="S242" i="5" s="1"/>
  <c r="Q250" i="5"/>
  <c r="S250" i="5" s="1"/>
  <c r="Q242" i="5"/>
  <c r="R302" i="5"/>
  <c r="P302" i="5"/>
  <c r="S384" i="5"/>
  <c r="L135" i="5"/>
  <c r="N137" i="5"/>
  <c r="S137" i="5"/>
  <c r="N140" i="5"/>
  <c r="L194" i="5"/>
  <c r="K210" i="5" s="1"/>
  <c r="S372" i="5"/>
  <c r="N123" i="5"/>
  <c r="S140" i="5"/>
  <c r="Q173" i="5"/>
  <c r="Q185" i="5"/>
  <c r="S185" i="5" s="1"/>
  <c r="S200" i="5"/>
  <c r="N200" i="5"/>
  <c r="S217" i="5"/>
  <c r="N217" i="5"/>
  <c r="S221" i="5"/>
  <c r="N221" i="5"/>
  <c r="N226" i="5"/>
  <c r="S226" i="5"/>
  <c r="N119" i="5"/>
  <c r="N120" i="5"/>
  <c r="Q135" i="5"/>
  <c r="N127" i="5"/>
  <c r="N129" i="5"/>
  <c r="N149" i="5"/>
  <c r="S149" i="5"/>
  <c r="S152" i="5"/>
  <c r="S160" i="5"/>
  <c r="Q182" i="5"/>
  <c r="L186" i="5"/>
  <c r="Q192" i="5"/>
  <c r="F192" i="5"/>
  <c r="S100" i="5"/>
  <c r="S112" i="5"/>
  <c r="N116" i="5"/>
  <c r="S123" i="5"/>
  <c r="S129" i="5"/>
  <c r="N147" i="5"/>
  <c r="Q179" i="5"/>
  <c r="L229" i="5"/>
  <c r="S143" i="5"/>
  <c r="E174" i="5"/>
  <c r="M172" i="5"/>
  <c r="F173" i="5"/>
  <c r="S211" i="5"/>
  <c r="S215" i="5"/>
  <c r="F250" i="5"/>
  <c r="F245" i="5"/>
  <c r="S127" i="5"/>
  <c r="F153" i="5"/>
  <c r="N138" i="5"/>
  <c r="P177" i="5"/>
  <c r="R175" i="5"/>
  <c r="M175" i="5"/>
  <c r="Q210" i="5"/>
  <c r="S210" i="5" s="1"/>
  <c r="S198" i="5"/>
  <c r="S207" i="5"/>
  <c r="S212" i="5"/>
  <c r="N212" i="5"/>
  <c r="S264" i="5"/>
  <c r="M299" i="5"/>
  <c r="K299" i="5"/>
  <c r="M301" i="5"/>
  <c r="E301" i="5"/>
  <c r="N308" i="5"/>
  <c r="S324" i="5"/>
  <c r="F330" i="5"/>
  <c r="S161" i="5"/>
  <c r="R172" i="5"/>
  <c r="S203" i="5"/>
  <c r="S213" i="5"/>
  <c r="S222" i="5"/>
  <c r="L266" i="5"/>
  <c r="S257" i="5"/>
  <c r="N268" i="5"/>
  <c r="S272" i="5"/>
  <c r="F285" i="5"/>
  <c r="E285" i="5" s="1"/>
  <c r="N298" i="5"/>
  <c r="N343" i="5"/>
  <c r="S343" i="5"/>
  <c r="AH459" i="5"/>
  <c r="AN459" i="5"/>
  <c r="AO459" i="5" s="1"/>
  <c r="S172" i="5"/>
  <c r="S178" i="5"/>
  <c r="N184" i="5"/>
  <c r="Q189" i="5"/>
  <c r="N207" i="5"/>
  <c r="N209" i="5"/>
  <c r="N219" i="5"/>
  <c r="S228" i="5"/>
  <c r="S245" i="5"/>
  <c r="N254" i="5"/>
  <c r="N256" i="5"/>
  <c r="N260" i="5"/>
  <c r="Q266" i="5"/>
  <c r="P266" i="5"/>
  <c r="S270" i="5"/>
  <c r="N277" i="5"/>
  <c r="S280" i="5"/>
  <c r="N283" i="5"/>
  <c r="M295" i="5"/>
  <c r="P296" i="5"/>
  <c r="M298" i="5"/>
  <c r="R299" i="5"/>
  <c r="N160" i="5"/>
  <c r="S175" i="5"/>
  <c r="S181" i="5"/>
  <c r="S268" i="5"/>
  <c r="K287" i="5"/>
  <c r="L304" i="5"/>
  <c r="P299" i="5"/>
  <c r="N347" i="5"/>
  <c r="S347" i="5"/>
  <c r="S277" i="5"/>
  <c r="N300" i="5"/>
  <c r="S322" i="5"/>
  <c r="N322" i="5"/>
  <c r="N162" i="5"/>
  <c r="L173" i="5"/>
  <c r="S188" i="5"/>
  <c r="N204" i="5"/>
  <c r="S254" i="5"/>
  <c r="S260" i="5"/>
  <c r="N263" i="5"/>
  <c r="S271" i="5"/>
  <c r="N271" i="5"/>
  <c r="N281" i="5"/>
  <c r="P287" i="5"/>
  <c r="F349" i="5"/>
  <c r="N331" i="5"/>
  <c r="N341" i="5"/>
  <c r="N159" i="5"/>
  <c r="S263" i="5"/>
  <c r="S281" i="5"/>
  <c r="S284" i="5"/>
  <c r="P295" i="5"/>
  <c r="S298" i="5"/>
  <c r="N303" i="5"/>
  <c r="M307" i="5"/>
  <c r="K307" i="5"/>
  <c r="S331" i="5"/>
  <c r="R362" i="5"/>
  <c r="P362" i="5"/>
  <c r="N152" i="5"/>
  <c r="N206" i="5"/>
  <c r="N208" i="5"/>
  <c r="N216" i="5"/>
  <c r="N218" i="5"/>
  <c r="N227" i="5"/>
  <c r="N261" i="5"/>
  <c r="N267" i="5"/>
  <c r="S278" i="5"/>
  <c r="N278" i="5"/>
  <c r="N297" i="5"/>
  <c r="S335" i="5"/>
  <c r="P360" i="5"/>
  <c r="Q362" i="5"/>
  <c r="N211" i="5"/>
  <c r="S244" i="5"/>
  <c r="M247" i="5"/>
  <c r="S261" i="5"/>
  <c r="S282" i="5"/>
  <c r="N282" i="5"/>
  <c r="R303" i="5"/>
  <c r="S327" i="5"/>
  <c r="L395" i="5"/>
  <c r="K395" i="5" s="1"/>
  <c r="S300" i="5"/>
  <c r="N339" i="5"/>
  <c r="S339" i="5"/>
  <c r="N345" i="5"/>
  <c r="S247" i="5"/>
  <c r="N279" i="5"/>
  <c r="K296" i="5"/>
  <c r="P301" i="5"/>
  <c r="R301" i="5"/>
  <c r="Q349" i="5"/>
  <c r="N333" i="5"/>
  <c r="S301" i="5"/>
  <c r="S323" i="5"/>
  <c r="Q330" i="5"/>
  <c r="AI459" i="5"/>
  <c r="AO477" i="5"/>
  <c r="J304" i="5"/>
  <c r="L349" i="5"/>
  <c r="L377" i="5"/>
  <c r="S387" i="5"/>
  <c r="AI453" i="5"/>
  <c r="AN496" i="5"/>
  <c r="AO496" i="5" s="1"/>
  <c r="AH496" i="5"/>
  <c r="AI496" i="5" s="1"/>
  <c r="S341" i="5"/>
  <c r="S345" i="5"/>
  <c r="R360" i="5"/>
  <c r="S391" i="5"/>
  <c r="AH453" i="5"/>
  <c r="AH455" i="5"/>
  <c r="AI455" i="5" s="1"/>
  <c r="AH493" i="5"/>
  <c r="S296" i="5"/>
  <c r="S299" i="5"/>
  <c r="S307" i="5"/>
  <c r="N324" i="5"/>
  <c r="S326" i="5"/>
  <c r="N328" i="5"/>
  <c r="N335" i="5"/>
  <c r="AN457" i="5"/>
  <c r="AO457" i="5" s="1"/>
  <c r="K295" i="5"/>
  <c r="E296" i="5"/>
  <c r="K298" i="5"/>
  <c r="N326" i="5"/>
  <c r="S370" i="5"/>
  <c r="S381" i="5"/>
  <c r="AN453" i="5"/>
  <c r="S303" i="5"/>
  <c r="F377" i="5"/>
  <c r="S385" i="5"/>
  <c r="AI460" i="5"/>
  <c r="L330" i="5"/>
  <c r="S346" i="5"/>
  <c r="E360" i="5"/>
  <c r="AI420" i="5"/>
  <c r="AO469" i="5"/>
  <c r="Q377" i="5"/>
  <c r="S368" i="5"/>
  <c r="S376" i="5"/>
  <c r="AH458" i="5"/>
  <c r="AI458" i="5" s="1"/>
  <c r="S336" i="5"/>
  <c r="F395" i="5"/>
  <c r="E395" i="5" s="1"/>
  <c r="S389" i="5"/>
  <c r="AN460" i="5"/>
  <c r="AO460" i="5" s="1"/>
  <c r="S360" i="5"/>
  <c r="L362" i="5"/>
  <c r="S379" i="5"/>
  <c r="AN420" i="5"/>
  <c r="AO420" i="5" s="1"/>
  <c r="AN456" i="5"/>
  <c r="S325" i="5"/>
  <c r="S366" i="5"/>
  <c r="S374" i="5"/>
  <c r="S383" i="5"/>
  <c r="S393" i="5"/>
  <c r="AN454" i="5"/>
  <c r="AO454" i="5" s="1"/>
  <c r="AI461" i="5"/>
  <c r="AN477" i="5"/>
  <c r="AN494" i="5"/>
  <c r="AH469" i="5"/>
  <c r="AI469" i="5" s="1"/>
  <c r="AN493" i="5"/>
  <c r="AH477" i="5"/>
  <c r="AI477" i="5" s="1"/>
  <c r="AH492" i="5"/>
  <c r="L24" i="15"/>
  <c r="E22" i="15"/>
  <c r="N23" i="15"/>
  <c r="R12" i="15"/>
  <c r="N10" i="15"/>
  <c r="S10" i="15"/>
  <c r="F24" i="15"/>
  <c r="N21" i="15"/>
  <c r="S58" i="15"/>
  <c r="N58" i="15"/>
  <c r="S64" i="15"/>
  <c r="N64" i="15"/>
  <c r="R95" i="15"/>
  <c r="M95" i="15"/>
  <c r="N127" i="15"/>
  <c r="P177" i="15"/>
  <c r="N215" i="15"/>
  <c r="N22" i="15"/>
  <c r="N33" i="15"/>
  <c r="S45" i="15"/>
  <c r="S50" i="15"/>
  <c r="N59" i="15"/>
  <c r="S59" i="15"/>
  <c r="N78" i="15"/>
  <c r="F105" i="15"/>
  <c r="N105" i="15" s="1"/>
  <c r="N106" i="15" s="1"/>
  <c r="S168" i="15"/>
  <c r="S175" i="15"/>
  <c r="Q176" i="15"/>
  <c r="L266" i="15"/>
  <c r="K9" i="15"/>
  <c r="N11" i="15"/>
  <c r="N42" i="15"/>
  <c r="N45" i="15"/>
  <c r="AF445" i="15"/>
  <c r="A65" i="15"/>
  <c r="O105" i="15"/>
  <c r="R97" i="15"/>
  <c r="R98" i="15" s="1"/>
  <c r="K120" i="15"/>
  <c r="K114" i="15"/>
  <c r="K112" i="15"/>
  <c r="J108" i="15"/>
  <c r="K121" i="15"/>
  <c r="K115" i="15"/>
  <c r="J105" i="15"/>
  <c r="K117" i="15"/>
  <c r="K102" i="15"/>
  <c r="R102" i="15" s="1"/>
  <c r="K103" i="15"/>
  <c r="R103" i="15" s="1"/>
  <c r="K118" i="15"/>
  <c r="K116" i="15"/>
  <c r="K113" i="15"/>
  <c r="K104" i="15"/>
  <c r="R104" i="15" s="1"/>
  <c r="K97" i="15"/>
  <c r="S115" i="15"/>
  <c r="P115" i="15"/>
  <c r="K287" i="15"/>
  <c r="K38" i="15"/>
  <c r="N40" i="15"/>
  <c r="S53" i="15"/>
  <c r="A56" i="15"/>
  <c r="S66" i="15"/>
  <c r="N66" i="15"/>
  <c r="N69" i="15"/>
  <c r="L72" i="15"/>
  <c r="N97" i="15"/>
  <c r="N98" i="15" s="1"/>
  <c r="P95" i="15"/>
  <c r="S118" i="15"/>
  <c r="P118" i="15"/>
  <c r="S47" i="15"/>
  <c r="M7" i="15"/>
  <c r="R9" i="15"/>
  <c r="N19" i="15"/>
  <c r="E19" i="15"/>
  <c r="E23" i="15"/>
  <c r="D32" i="15"/>
  <c r="S33" i="15"/>
  <c r="N38" i="15"/>
  <c r="D53" i="15"/>
  <c r="M94" i="15"/>
  <c r="S137" i="15"/>
  <c r="N137" i="15"/>
  <c r="S151" i="15"/>
  <c r="N151" i="15"/>
  <c r="K8" i="15"/>
  <c r="K7" i="15"/>
  <c r="N48" i="15"/>
  <c r="N51" i="15"/>
  <c r="N53" i="15"/>
  <c r="N79" i="15"/>
  <c r="S71" i="15"/>
  <c r="F185" i="15"/>
  <c r="E21" i="15"/>
  <c r="N6" i="15"/>
  <c r="S17" i="15"/>
  <c r="A80" i="15"/>
  <c r="P94" i="15"/>
  <c r="S100" i="15"/>
  <c r="N157" i="15"/>
  <c r="S157" i="15"/>
  <c r="E104" i="15"/>
  <c r="Q105" i="15"/>
  <c r="E7" i="15"/>
  <c r="S19" i="15"/>
  <c r="S23" i="15"/>
  <c r="N32" i="15"/>
  <c r="N46" i="15"/>
  <c r="M96" i="15"/>
  <c r="K96" i="15"/>
  <c r="N113" i="15"/>
  <c r="K119" i="15"/>
  <c r="Q135" i="15"/>
  <c r="S123" i="15"/>
  <c r="S188" i="15"/>
  <c r="N188" i="15"/>
  <c r="L189" i="15"/>
  <c r="S22" i="15"/>
  <c r="N7" i="15"/>
  <c r="S7" i="15"/>
  <c r="Z429" i="15"/>
  <c r="R7" i="15"/>
  <c r="P10" i="15"/>
  <c r="E10" i="15"/>
  <c r="N15" i="15"/>
  <c r="M17" i="15"/>
  <c r="R17" i="15"/>
  <c r="N37" i="15"/>
  <c r="S37" i="15"/>
  <c r="Q54" i="15"/>
  <c r="S57" i="15"/>
  <c r="AF425" i="15"/>
  <c r="A81" i="15"/>
  <c r="R94" i="15"/>
  <c r="N100" i="15"/>
  <c r="K100" i="15"/>
  <c r="N47" i="15"/>
  <c r="E12" i="15"/>
  <c r="E9" i="15"/>
  <c r="K15" i="15"/>
  <c r="R15" i="15"/>
  <c r="M15" i="15"/>
  <c r="K17" i="15"/>
  <c r="S44" i="15"/>
  <c r="N44" i="15"/>
  <c r="L54" i="15"/>
  <c r="D97" i="15"/>
  <c r="M97" i="15" s="1"/>
  <c r="M98" i="15" s="1"/>
  <c r="L153" i="15"/>
  <c r="AO485" i="15"/>
  <c r="AO402" i="15"/>
  <c r="S356" i="15"/>
  <c r="S291" i="15"/>
  <c r="S236" i="15"/>
  <c r="A8" i="15"/>
  <c r="M12" i="15"/>
  <c r="K12" i="15"/>
  <c r="N17" i="15"/>
  <c r="A35" i="15"/>
  <c r="A61" i="15"/>
  <c r="N75" i="15"/>
  <c r="L108" i="15"/>
  <c r="S127" i="15"/>
  <c r="S184" i="15"/>
  <c r="N199" i="15"/>
  <c r="S254" i="15"/>
  <c r="V485" i="15"/>
  <c r="A485" i="15" s="1"/>
  <c r="Z410" i="15"/>
  <c r="Z428" i="15"/>
  <c r="Z411" i="15"/>
  <c r="V402" i="15"/>
  <c r="C291" i="15"/>
  <c r="C356" i="15" s="1"/>
  <c r="AF447" i="15"/>
  <c r="AF409" i="15"/>
  <c r="C89" i="15"/>
  <c r="AL412" i="15" s="1"/>
  <c r="C168" i="15"/>
  <c r="AL430" i="15" s="1"/>
  <c r="A63" i="15"/>
  <c r="N71" i="15"/>
  <c r="A77" i="15"/>
  <c r="N96" i="15"/>
  <c r="N119" i="15"/>
  <c r="S125" i="15"/>
  <c r="N132" i="15"/>
  <c r="L135" i="15"/>
  <c r="N148" i="15"/>
  <c r="S204" i="15"/>
  <c r="N272" i="15"/>
  <c r="N116" i="15"/>
  <c r="N138" i="15"/>
  <c r="N178" i="15"/>
  <c r="N227" i="15"/>
  <c r="S227" i="15"/>
  <c r="S272" i="15"/>
  <c r="S337" i="15"/>
  <c r="L13" i="15"/>
  <c r="L27" i="15" s="1"/>
  <c r="J113" i="15"/>
  <c r="K6" i="15"/>
  <c r="A39" i="15"/>
  <c r="N82" i="15"/>
  <c r="E102" i="15"/>
  <c r="N104" i="15"/>
  <c r="P119" i="15"/>
  <c r="S161" i="15"/>
  <c r="N161" i="15"/>
  <c r="L351" i="15"/>
  <c r="J32" i="15"/>
  <c r="F54" i="15"/>
  <c r="S82" i="15"/>
  <c r="P116" i="15"/>
  <c r="N128" i="15"/>
  <c r="S143" i="15"/>
  <c r="F163" i="15"/>
  <c r="S159" i="15"/>
  <c r="S205" i="15"/>
  <c r="N205" i="15"/>
  <c r="Q349" i="15"/>
  <c r="J112" i="15"/>
  <c r="E120" i="15"/>
  <c r="F153" i="15"/>
  <c r="S139" i="15"/>
  <c r="N139" i="15"/>
  <c r="S149" i="15"/>
  <c r="N149" i="15"/>
  <c r="S156" i="15"/>
  <c r="L163" i="15"/>
  <c r="O185" i="15"/>
  <c r="R172" i="15"/>
  <c r="P180" i="15"/>
  <c r="S94" i="15"/>
  <c r="S96" i="15"/>
  <c r="N112" i="15"/>
  <c r="P117" i="15"/>
  <c r="S136" i="15"/>
  <c r="N156" i="15"/>
  <c r="N162" i="15"/>
  <c r="P185" i="15"/>
  <c r="P194" i="15" s="1"/>
  <c r="P174" i="15"/>
  <c r="P183" i="15"/>
  <c r="AL448" i="15"/>
  <c r="K39" i="15"/>
  <c r="S79" i="15"/>
  <c r="N102" i="15"/>
  <c r="S113" i="15"/>
  <c r="S126" i="15"/>
  <c r="S133" i="15"/>
  <c r="N136" i="15"/>
  <c r="N144" i="15"/>
  <c r="Q163" i="15"/>
  <c r="K94" i="15"/>
  <c r="E95" i="15"/>
  <c r="E114" i="15"/>
  <c r="N126" i="15"/>
  <c r="M188" i="15"/>
  <c r="S198" i="15"/>
  <c r="S214" i="15"/>
  <c r="S225" i="15"/>
  <c r="N225" i="15"/>
  <c r="C236" i="15"/>
  <c r="AL434" i="15" s="1"/>
  <c r="N256" i="15"/>
  <c r="S256" i="15"/>
  <c r="E96" i="15"/>
  <c r="S103" i="15"/>
  <c r="S142" i="15"/>
  <c r="Q182" i="15"/>
  <c r="F189" i="15"/>
  <c r="S207" i="15"/>
  <c r="N207" i="15"/>
  <c r="N214" i="15"/>
  <c r="S220" i="15"/>
  <c r="Q242" i="15"/>
  <c r="P285" i="15"/>
  <c r="P287" i="15"/>
  <c r="S245" i="15"/>
  <c r="Q245" i="15"/>
  <c r="Q250" i="15"/>
  <c r="S244" i="15"/>
  <c r="P296" i="15"/>
  <c r="R296" i="15"/>
  <c r="E298" i="15"/>
  <c r="N175" i="15"/>
  <c r="S219" i="15"/>
  <c r="L229" i="15"/>
  <c r="F251" i="15"/>
  <c r="S264" i="15"/>
  <c r="N264" i="15"/>
  <c r="N277" i="15"/>
  <c r="S280" i="15"/>
  <c r="N296" i="15"/>
  <c r="S296" i="15"/>
  <c r="N324" i="15"/>
  <c r="V159" i="15"/>
  <c r="W159" i="15" s="1"/>
  <c r="S212" i="15"/>
  <c r="N269" i="15"/>
  <c r="S269" i="15"/>
  <c r="S278" i="15"/>
  <c r="M295" i="15"/>
  <c r="K295" i="15"/>
  <c r="R303" i="15"/>
  <c r="P303" i="15"/>
  <c r="L349" i="15"/>
  <c r="S331" i="15"/>
  <c r="K185" i="15"/>
  <c r="N212" i="15"/>
  <c r="M244" i="15"/>
  <c r="N259" i="15"/>
  <c r="S259" i="15"/>
  <c r="N262" i="15"/>
  <c r="N275" i="15"/>
  <c r="N278" i="15"/>
  <c r="N295" i="15"/>
  <c r="S295" i="15"/>
  <c r="R297" i="15"/>
  <c r="M301" i="15"/>
  <c r="K301" i="15"/>
  <c r="S318" i="15"/>
  <c r="S325" i="15"/>
  <c r="N338" i="15"/>
  <c r="Q362" i="15"/>
  <c r="S362" i="15" s="1"/>
  <c r="P360" i="15"/>
  <c r="S360" i="15"/>
  <c r="F173" i="15"/>
  <c r="M178" i="15"/>
  <c r="L185" i="15"/>
  <c r="Q189" i="15"/>
  <c r="N228" i="15"/>
  <c r="S241" i="15"/>
  <c r="S242" i="15" s="1"/>
  <c r="L250" i="15"/>
  <c r="L245" i="15"/>
  <c r="S262" i="15"/>
  <c r="S275" i="15"/>
  <c r="N281" i="15"/>
  <c r="S297" i="15"/>
  <c r="N301" i="15"/>
  <c r="S301" i="15"/>
  <c r="S308" i="15"/>
  <c r="S341" i="15"/>
  <c r="S95" i="15"/>
  <c r="F192" i="15"/>
  <c r="N244" i="15"/>
  <c r="N245" i="15" s="1"/>
  <c r="L285" i="15"/>
  <c r="S270" i="15"/>
  <c r="F285" i="15"/>
  <c r="E285" i="15" s="1"/>
  <c r="N307" i="15"/>
  <c r="K307" i="15"/>
  <c r="S307" i="15"/>
  <c r="S319" i="15"/>
  <c r="N319" i="15"/>
  <c r="N322" i="15"/>
  <c r="N332" i="15"/>
  <c r="S335" i="15"/>
  <c r="S202" i="15"/>
  <c r="F229" i="15"/>
  <c r="S265" i="15"/>
  <c r="N270" i="15"/>
  <c r="N299" i="15"/>
  <c r="K299" i="15"/>
  <c r="S299" i="15"/>
  <c r="S300" i="15"/>
  <c r="J304" i="15"/>
  <c r="E312" i="15"/>
  <c r="P312" i="15"/>
  <c r="S326" i="15"/>
  <c r="N326" i="15"/>
  <c r="N226" i="15"/>
  <c r="N260" i="15"/>
  <c r="N263" i="15"/>
  <c r="N276" i="15"/>
  <c r="S276" i="15"/>
  <c r="L304" i="15"/>
  <c r="S323" i="15"/>
  <c r="N323" i="15"/>
  <c r="S339" i="15"/>
  <c r="N204" i="15"/>
  <c r="S226" i="15"/>
  <c r="S228" i="15"/>
  <c r="M241" i="15"/>
  <c r="Q266" i="15"/>
  <c r="S263" i="15"/>
  <c r="M298" i="15"/>
  <c r="K298" i="15"/>
  <c r="R301" i="15"/>
  <c r="R308" i="15"/>
  <c r="S260" i="15"/>
  <c r="S271" i="15"/>
  <c r="N298" i="15"/>
  <c r="S298" i="15"/>
  <c r="P300" i="15"/>
  <c r="N302" i="15"/>
  <c r="E302" i="15"/>
  <c r="S302" i="15"/>
  <c r="N320" i="15"/>
  <c r="S320" i="15"/>
  <c r="S224" i="15"/>
  <c r="N241" i="15"/>
  <c r="K250" i="15"/>
  <c r="L251" i="15" s="1"/>
  <c r="N258" i="15"/>
  <c r="N261" i="15"/>
  <c r="S261" i="15"/>
  <c r="S268" i="15"/>
  <c r="N268" i="15"/>
  <c r="N271" i="15"/>
  <c r="S277" i="15"/>
  <c r="N280" i="15"/>
  <c r="S282" i="15"/>
  <c r="Q304" i="15"/>
  <c r="R300" i="15"/>
  <c r="S329" i="15"/>
  <c r="S371" i="15"/>
  <c r="S382" i="15"/>
  <c r="S388" i="15"/>
  <c r="S394" i="15"/>
  <c r="AN456" i="15"/>
  <c r="AH456" i="15"/>
  <c r="S322" i="15"/>
  <c r="S324" i="15"/>
  <c r="N328" i="15"/>
  <c r="AN453" i="15"/>
  <c r="AO453" i="15" s="1"/>
  <c r="AH453" i="15"/>
  <c r="AI453" i="15" s="1"/>
  <c r="AO491" i="15"/>
  <c r="AN491" i="15"/>
  <c r="J362" i="15"/>
  <c r="K362" i="15" s="1"/>
  <c r="K360" i="15"/>
  <c r="N335" i="15"/>
  <c r="N337" i="15"/>
  <c r="N339" i="15"/>
  <c r="S369" i="15"/>
  <c r="S343" i="15"/>
  <c r="L377" i="15"/>
  <c r="S380" i="15"/>
  <c r="S386" i="15"/>
  <c r="S392" i="15"/>
  <c r="S328" i="15"/>
  <c r="N343" i="15"/>
  <c r="N347" i="15"/>
  <c r="AN457" i="15"/>
  <c r="AO457" i="15" s="1"/>
  <c r="S367" i="15"/>
  <c r="S372" i="15"/>
  <c r="S375" i="15"/>
  <c r="AN454" i="15"/>
  <c r="AO454" i="15" s="1"/>
  <c r="AO458" i="15"/>
  <c r="AO477" i="15"/>
  <c r="S378" i="15"/>
  <c r="S384" i="15"/>
  <c r="S390" i="15"/>
  <c r="AI455" i="15"/>
  <c r="AN458" i="15"/>
  <c r="AO493" i="15"/>
  <c r="N340" i="15"/>
  <c r="S370" i="15"/>
  <c r="S373" i="15"/>
  <c r="AN455" i="15"/>
  <c r="AO455" i="15" s="1"/>
  <c r="AH458" i="15"/>
  <c r="AI458" i="15" s="1"/>
  <c r="AH461" i="15"/>
  <c r="N331" i="15"/>
  <c r="N349" i="15" s="1"/>
  <c r="AH455" i="15"/>
  <c r="AH496" i="15"/>
  <c r="AI496" i="15" s="1"/>
  <c r="AN460" i="15"/>
  <c r="AN497" i="15"/>
  <c r="F395" i="15"/>
  <c r="E395" i="15" s="1"/>
  <c r="AN420" i="15"/>
  <c r="AO420" i="15" s="1"/>
  <c r="AN494" i="15"/>
  <c r="AH477" i="15"/>
  <c r="AI477" i="15" s="1"/>
  <c r="S395" i="5" l="1"/>
  <c r="AE416" i="5"/>
  <c r="Q155" i="5"/>
  <c r="F351" i="5"/>
  <c r="K23" i="5"/>
  <c r="R23" i="5" s="1"/>
  <c r="K22" i="5"/>
  <c r="R22" i="5" s="1"/>
  <c r="K21" i="5"/>
  <c r="R21" i="5" s="1"/>
  <c r="J27" i="5"/>
  <c r="K13" i="5"/>
  <c r="J24" i="5"/>
  <c r="Q351" i="5"/>
  <c r="D304" i="5"/>
  <c r="D97" i="5"/>
  <c r="E95" i="5"/>
  <c r="S77" i="5"/>
  <c r="N77" i="5"/>
  <c r="P95" i="5"/>
  <c r="O97" i="5"/>
  <c r="R95" i="5"/>
  <c r="P96" i="5"/>
  <c r="R96" i="5"/>
  <c r="AF413" i="5"/>
  <c r="Z422" i="5"/>
  <c r="AF428" i="5"/>
  <c r="AL434" i="5"/>
  <c r="AF478" i="5"/>
  <c r="AL424" i="5"/>
  <c r="L27" i="5"/>
  <c r="N9" i="5"/>
  <c r="F163" i="5"/>
  <c r="N156" i="5"/>
  <c r="N163" i="5" s="1"/>
  <c r="R300" i="5"/>
  <c r="P300" i="5"/>
  <c r="F185" i="5"/>
  <c r="F176" i="5"/>
  <c r="S153" i="5"/>
  <c r="N153" i="5"/>
  <c r="L83" i="5"/>
  <c r="S75" i="5"/>
  <c r="N75" i="5"/>
  <c r="Z415" i="5"/>
  <c r="AF436" i="5"/>
  <c r="Z472" i="5"/>
  <c r="Z431" i="5"/>
  <c r="AL437" i="5"/>
  <c r="AF426" i="5"/>
  <c r="AF410" i="5"/>
  <c r="Z480" i="5"/>
  <c r="AL412" i="5"/>
  <c r="F122" i="5"/>
  <c r="P121" i="5"/>
  <c r="R17" i="5"/>
  <c r="F304" i="5"/>
  <c r="F309" i="5" s="1"/>
  <c r="F314" i="5" s="1"/>
  <c r="F353" i="5" s="1"/>
  <c r="N295" i="5"/>
  <c r="S333" i="5"/>
  <c r="E300" i="5"/>
  <c r="M300" i="5"/>
  <c r="N280" i="5"/>
  <c r="L233" i="5"/>
  <c r="L195" i="5"/>
  <c r="X194" i="5"/>
  <c r="E298" i="5"/>
  <c r="P298" i="5"/>
  <c r="S262" i="5"/>
  <c r="F182" i="5"/>
  <c r="Q41" i="5"/>
  <c r="AF427" i="5"/>
  <c r="AF439" i="5"/>
  <c r="Z434" i="5"/>
  <c r="AF443" i="5"/>
  <c r="AF409" i="5"/>
  <c r="Z412" i="5"/>
  <c r="AL428" i="5"/>
  <c r="AF417" i="5"/>
  <c r="S79" i="5"/>
  <c r="N79" i="5"/>
  <c r="F54" i="5"/>
  <c r="E121" i="5"/>
  <c r="E185" i="5"/>
  <c r="F266" i="5"/>
  <c r="K231" i="5"/>
  <c r="AF445" i="5"/>
  <c r="AF425" i="5"/>
  <c r="AF464" i="5"/>
  <c r="Z411" i="5"/>
  <c r="Z430" i="5"/>
  <c r="AF480" i="5"/>
  <c r="Z429" i="5"/>
  <c r="AF435" i="5"/>
  <c r="S163" i="5"/>
  <c r="S33" i="5"/>
  <c r="N33" i="5"/>
  <c r="K33" i="5"/>
  <c r="S121" i="5"/>
  <c r="Q397" i="5"/>
  <c r="P397" i="5" s="1"/>
  <c r="P377" i="5"/>
  <c r="F397" i="5"/>
  <c r="E377" i="5"/>
  <c r="Q245" i="5"/>
  <c r="P250" i="5"/>
  <c r="Q251" i="5" s="1"/>
  <c r="R250" i="5" s="1"/>
  <c r="S251" i="5" s="1"/>
  <c r="AL447" i="5"/>
  <c r="Z446" i="5"/>
  <c r="F229" i="5"/>
  <c r="N181" i="5"/>
  <c r="P183" i="5"/>
  <c r="E9" i="5"/>
  <c r="M9" i="5"/>
  <c r="AF471" i="5"/>
  <c r="Z475" i="5"/>
  <c r="Z428" i="5"/>
  <c r="AF440" i="5"/>
  <c r="Z470" i="5"/>
  <c r="AF463" i="5"/>
  <c r="AL431" i="5"/>
  <c r="AL409" i="5"/>
  <c r="AL430" i="5"/>
  <c r="AF438" i="5"/>
  <c r="Q163" i="5"/>
  <c r="M296" i="5"/>
  <c r="Q285" i="5"/>
  <c r="S285" i="5" s="1"/>
  <c r="Q194" i="5"/>
  <c r="S194" i="5" s="1"/>
  <c r="S195" i="5" s="1"/>
  <c r="Z409" i="5"/>
  <c r="Z440" i="5"/>
  <c r="AI440" i="5" s="1"/>
  <c r="AL476" i="5"/>
  <c r="AO476" i="5" s="1"/>
  <c r="AL473" i="5"/>
  <c r="AO473" i="5" s="1"/>
  <c r="AF434" i="5"/>
  <c r="AF465" i="5"/>
  <c r="AL440" i="5"/>
  <c r="AO440" i="5" s="1"/>
  <c r="AF414" i="5"/>
  <c r="AF450" i="5"/>
  <c r="S42" i="5"/>
  <c r="N42" i="5"/>
  <c r="L54" i="5"/>
  <c r="K54" i="5" s="1"/>
  <c r="N24" i="5"/>
  <c r="N25" i="5" s="1"/>
  <c r="N97" i="5"/>
  <c r="N98" i="5" s="1"/>
  <c r="L108" i="5"/>
  <c r="K153" i="5" s="1"/>
  <c r="J112" i="5"/>
  <c r="Q97" i="5"/>
  <c r="L41" i="5"/>
  <c r="S363" i="5"/>
  <c r="N285" i="5"/>
  <c r="S349" i="5"/>
  <c r="F210" i="5"/>
  <c r="AN466" i="5"/>
  <c r="AO453" i="5"/>
  <c r="N349" i="5"/>
  <c r="N229" i="5"/>
  <c r="K229" i="5"/>
  <c r="O185" i="5"/>
  <c r="AF424" i="5"/>
  <c r="AF430" i="5"/>
  <c r="AL415" i="5"/>
  <c r="AF448" i="5"/>
  <c r="AF437" i="5"/>
  <c r="AF411" i="5"/>
  <c r="Z441" i="5"/>
  <c r="AF470" i="5"/>
  <c r="S78" i="5"/>
  <c r="F105" i="5"/>
  <c r="D112" i="5" s="1"/>
  <c r="N96" i="5"/>
  <c r="J31" i="5"/>
  <c r="E349" i="5"/>
  <c r="Z413" i="5"/>
  <c r="AL410" i="5"/>
  <c r="AF473" i="5"/>
  <c r="M95" i="5"/>
  <c r="R12" i="5"/>
  <c r="K12" i="5"/>
  <c r="N22" i="5"/>
  <c r="S31" i="5"/>
  <c r="AH422" i="5"/>
  <c r="AF429" i="5"/>
  <c r="Q395" i="5"/>
  <c r="P395" i="5" s="1"/>
  <c r="E308" i="5"/>
  <c r="M308" i="5"/>
  <c r="N15" i="5"/>
  <c r="S15" i="5"/>
  <c r="AL429" i="5"/>
  <c r="Z439" i="5"/>
  <c r="AL472" i="5"/>
  <c r="AO472" i="5" s="1"/>
  <c r="Z476" i="5"/>
  <c r="AF446" i="5"/>
  <c r="AF415" i="5"/>
  <c r="Z444" i="5"/>
  <c r="AH444" i="5" s="1"/>
  <c r="AF476" i="5"/>
  <c r="S36" i="5"/>
  <c r="M304" i="5"/>
  <c r="J309" i="5"/>
  <c r="K304" i="5"/>
  <c r="S330" i="5"/>
  <c r="L351" i="5"/>
  <c r="N330" i="5"/>
  <c r="R308" i="5"/>
  <c r="P308" i="5"/>
  <c r="E119" i="5"/>
  <c r="K117" i="5"/>
  <c r="K115" i="5"/>
  <c r="M97" i="5"/>
  <c r="M98" i="5" s="1"/>
  <c r="K119" i="5"/>
  <c r="K97" i="5"/>
  <c r="K120" i="5"/>
  <c r="K102" i="5"/>
  <c r="R102" i="5" s="1"/>
  <c r="J108" i="5"/>
  <c r="K103" i="5"/>
  <c r="R103" i="5" s="1"/>
  <c r="K113" i="5"/>
  <c r="K112" i="5"/>
  <c r="J105" i="5"/>
  <c r="R97" i="5"/>
  <c r="R98" i="5" s="1"/>
  <c r="K118" i="5"/>
  <c r="K114" i="5"/>
  <c r="K104" i="5"/>
  <c r="R104" i="5" s="1"/>
  <c r="K116" i="5"/>
  <c r="K121" i="5"/>
  <c r="X109" i="5"/>
  <c r="AF449" i="5"/>
  <c r="P297" i="5"/>
  <c r="R297" i="5"/>
  <c r="L287" i="5"/>
  <c r="S266" i="5"/>
  <c r="N266" i="5"/>
  <c r="F251" i="5"/>
  <c r="M250" i="5" s="1"/>
  <c r="N250" i="5"/>
  <c r="N251" i="5" s="1"/>
  <c r="N135" i="5"/>
  <c r="S135" i="5"/>
  <c r="K135" i="5"/>
  <c r="Q176" i="5"/>
  <c r="O304" i="5"/>
  <c r="S377" i="5"/>
  <c r="K377" i="5"/>
  <c r="L397" i="5"/>
  <c r="P307" i="5"/>
  <c r="E297" i="5"/>
  <c r="P185" i="5"/>
  <c r="P194" i="5" s="1"/>
  <c r="L155" i="5"/>
  <c r="K122" i="5"/>
  <c r="S122" i="5"/>
  <c r="N122" i="5"/>
  <c r="P117" i="5"/>
  <c r="P12" i="5"/>
  <c r="F13" i="5"/>
  <c r="E12" i="5"/>
  <c r="S117" i="5"/>
  <c r="AL444" i="5"/>
  <c r="AN444" i="5" s="1"/>
  <c r="AF432" i="5"/>
  <c r="AF442" i="5"/>
  <c r="AF412" i="5"/>
  <c r="Z410" i="5"/>
  <c r="Z421" i="5"/>
  <c r="AL446" i="5"/>
  <c r="AF479" i="5"/>
  <c r="W82" i="5"/>
  <c r="S37" i="5"/>
  <c r="R9" i="5"/>
  <c r="P9" i="5"/>
  <c r="K72" i="5"/>
  <c r="Q24" i="5"/>
  <c r="S24" i="5" s="1"/>
  <c r="AH421" i="5"/>
  <c r="AF423" i="5"/>
  <c r="S362" i="5"/>
  <c r="M8" i="5"/>
  <c r="AF474" i="5"/>
  <c r="AL441" i="5"/>
  <c r="AL439" i="5"/>
  <c r="Z414" i="5"/>
  <c r="AF441" i="5"/>
  <c r="AF472" i="5"/>
  <c r="AL422" i="5"/>
  <c r="AL421" i="5"/>
  <c r="AL413" i="5"/>
  <c r="Q304" i="5"/>
  <c r="S295" i="5"/>
  <c r="L309" i="5"/>
  <c r="N304" i="5"/>
  <c r="N305" i="5" s="1"/>
  <c r="P210" i="5"/>
  <c r="Q229" i="5"/>
  <c r="P229" i="5" s="1"/>
  <c r="E295" i="5"/>
  <c r="N48" i="5"/>
  <c r="S48" i="5"/>
  <c r="AF447" i="5"/>
  <c r="AL411" i="5"/>
  <c r="AF431" i="5"/>
  <c r="AL414" i="5"/>
  <c r="AF475" i="5"/>
  <c r="Z424" i="5"/>
  <c r="AF418" i="5"/>
  <c r="O13" i="5"/>
  <c r="S54" i="15"/>
  <c r="Q309" i="15"/>
  <c r="X27" i="15"/>
  <c r="S105" i="15"/>
  <c r="S106" i="15" s="1"/>
  <c r="R302" i="15"/>
  <c r="P302" i="15"/>
  <c r="P299" i="15"/>
  <c r="R299" i="15"/>
  <c r="F330" i="15"/>
  <c r="AF449" i="15"/>
  <c r="Z448" i="15"/>
  <c r="AF451" i="15"/>
  <c r="AF430" i="15"/>
  <c r="Z415" i="15"/>
  <c r="AL437" i="15"/>
  <c r="AF429" i="15"/>
  <c r="P113" i="15"/>
  <c r="O113" i="15"/>
  <c r="E119" i="15"/>
  <c r="N36" i="15"/>
  <c r="S36" i="15"/>
  <c r="S38" i="15"/>
  <c r="S104" i="15"/>
  <c r="S178" i="15"/>
  <c r="Q179" i="15"/>
  <c r="N115" i="15"/>
  <c r="E115" i="15"/>
  <c r="AF415" i="15"/>
  <c r="AL429" i="15"/>
  <c r="AL415" i="15"/>
  <c r="AL472" i="15"/>
  <c r="AO472" i="15" s="1"/>
  <c r="Z440" i="15"/>
  <c r="AI440" i="15" s="1"/>
  <c r="AF440" i="15"/>
  <c r="AL447" i="15"/>
  <c r="Z470" i="15"/>
  <c r="Z439" i="15"/>
  <c r="AF439" i="15"/>
  <c r="E97" i="15"/>
  <c r="D108" i="15"/>
  <c r="D105" i="15"/>
  <c r="E105" i="15" s="1"/>
  <c r="E116" i="15"/>
  <c r="S81" i="15"/>
  <c r="F179" i="15"/>
  <c r="N179" i="15" s="1"/>
  <c r="S34" i="15"/>
  <c r="AH454" i="15"/>
  <c r="AI454" i="15" s="1"/>
  <c r="K194" i="15"/>
  <c r="AL436" i="15"/>
  <c r="N34" i="15"/>
  <c r="K10" i="15"/>
  <c r="R10" i="15"/>
  <c r="M10" i="15"/>
  <c r="P100" i="15"/>
  <c r="R100" i="15"/>
  <c r="P15" i="15"/>
  <c r="K72" i="15"/>
  <c r="N31" i="15"/>
  <c r="L41" i="15"/>
  <c r="J31" i="15"/>
  <c r="S31" i="15"/>
  <c r="AI461" i="15"/>
  <c r="AF464" i="15"/>
  <c r="E174" i="15"/>
  <c r="E185" i="15"/>
  <c r="E194" i="15" s="1"/>
  <c r="AF422" i="15"/>
  <c r="Q173" i="15"/>
  <c r="Q185" i="15"/>
  <c r="S172" i="15"/>
  <c r="Q285" i="15"/>
  <c r="Q287" i="15" s="1"/>
  <c r="Q289" i="15" s="1"/>
  <c r="AF434" i="15"/>
  <c r="AL438" i="15"/>
  <c r="AF465" i="15"/>
  <c r="AF437" i="15"/>
  <c r="AF475" i="15"/>
  <c r="AL444" i="15"/>
  <c r="Z476" i="15"/>
  <c r="Z442" i="15"/>
  <c r="Q97" i="15"/>
  <c r="O112" i="15" s="1"/>
  <c r="S68" i="15"/>
  <c r="E15" i="15"/>
  <c r="N81" i="15"/>
  <c r="S395" i="15"/>
  <c r="N242" i="15"/>
  <c r="S304" i="15"/>
  <c r="S305" i="15" s="1"/>
  <c r="N304" i="15"/>
  <c r="N305" i="15" s="1"/>
  <c r="L309" i="15"/>
  <c r="N312" i="15"/>
  <c r="M312" i="15"/>
  <c r="S250" i="15"/>
  <c r="N250" i="15"/>
  <c r="N251" i="15" s="1"/>
  <c r="S363" i="15"/>
  <c r="D185" i="15"/>
  <c r="Q251" i="15"/>
  <c r="R250" i="15" s="1"/>
  <c r="S251" i="15" s="1"/>
  <c r="N163" i="15"/>
  <c r="R185" i="15"/>
  <c r="P186" i="15"/>
  <c r="F135" i="15"/>
  <c r="AF463" i="15"/>
  <c r="AF441" i="15"/>
  <c r="Z438" i="15"/>
  <c r="AF428" i="15"/>
  <c r="AF478" i="15"/>
  <c r="Z480" i="15"/>
  <c r="Z446" i="15"/>
  <c r="AL421" i="15"/>
  <c r="AL446" i="15"/>
  <c r="X108" i="15"/>
  <c r="N8" i="15"/>
  <c r="N13" i="15" s="1"/>
  <c r="Q13" i="15"/>
  <c r="K54" i="15"/>
  <c r="L83" i="15"/>
  <c r="F108" i="15"/>
  <c r="N108" i="15" s="1"/>
  <c r="N109" i="15" s="1"/>
  <c r="AF446" i="15"/>
  <c r="M108" i="15"/>
  <c r="M109" i="15" s="1"/>
  <c r="K108" i="15"/>
  <c r="Z431" i="15"/>
  <c r="AF443" i="15"/>
  <c r="AF442" i="15"/>
  <c r="M250" i="15"/>
  <c r="F304" i="15"/>
  <c r="F309" i="15" s="1"/>
  <c r="F314" i="15" s="1"/>
  <c r="E295" i="15"/>
  <c r="AN461" i="15"/>
  <c r="AO461" i="15" s="1"/>
  <c r="K377" i="15"/>
  <c r="L397" i="15"/>
  <c r="S211" i="15"/>
  <c r="Q229" i="15"/>
  <c r="P307" i="15"/>
  <c r="R307" i="15"/>
  <c r="Q210" i="15"/>
  <c r="N159" i="15"/>
  <c r="N118" i="15"/>
  <c r="E118" i="15"/>
  <c r="K135" i="15"/>
  <c r="S135" i="15"/>
  <c r="N135" i="15"/>
  <c r="AL422" i="15"/>
  <c r="AL410" i="15"/>
  <c r="AL470" i="15"/>
  <c r="AF431" i="15"/>
  <c r="AF410" i="15"/>
  <c r="Z423" i="15"/>
  <c r="Z497" i="15"/>
  <c r="AF470" i="15"/>
  <c r="N12" i="15"/>
  <c r="S80" i="15"/>
  <c r="N80" i="15"/>
  <c r="M9" i="15"/>
  <c r="N55" i="15"/>
  <c r="AH457" i="15"/>
  <c r="AI457" i="15" s="1"/>
  <c r="M100" i="15"/>
  <c r="E100" i="15"/>
  <c r="S285" i="15"/>
  <c r="E296" i="15"/>
  <c r="M296" i="15"/>
  <c r="AF418" i="15"/>
  <c r="AF450" i="15"/>
  <c r="O304" i="15"/>
  <c r="R295" i="15"/>
  <c r="P295" i="15"/>
  <c r="K304" i="15"/>
  <c r="J309" i="15"/>
  <c r="S349" i="15"/>
  <c r="P120" i="15"/>
  <c r="S120" i="15"/>
  <c r="AF411" i="15"/>
  <c r="AL431" i="15"/>
  <c r="AL428" i="15"/>
  <c r="Z409" i="15"/>
  <c r="Z472" i="15"/>
  <c r="Z434" i="15"/>
  <c r="Z412" i="15"/>
  <c r="AF412" i="15"/>
  <c r="AL424" i="15"/>
  <c r="AL411" i="15"/>
  <c r="AF473" i="15"/>
  <c r="S75" i="15"/>
  <c r="P105" i="15"/>
  <c r="L287" i="15"/>
  <c r="L289" i="15" s="1"/>
  <c r="S266" i="15"/>
  <c r="N50" i="15"/>
  <c r="K122" i="15"/>
  <c r="Z436" i="15"/>
  <c r="F210" i="15"/>
  <c r="K186" i="15"/>
  <c r="AF472" i="15"/>
  <c r="AL440" i="15"/>
  <c r="AO440" i="15" s="1"/>
  <c r="F377" i="15"/>
  <c r="AH469" i="15"/>
  <c r="AI469" i="15" s="1"/>
  <c r="F349" i="15"/>
  <c r="E349" i="15" s="1"/>
  <c r="Q377" i="15"/>
  <c r="S377" i="15" s="1"/>
  <c r="S365" i="15"/>
  <c r="AO469" i="15"/>
  <c r="AN469" i="15"/>
  <c r="M172" i="15"/>
  <c r="S117" i="15"/>
  <c r="S163" i="15"/>
  <c r="F122" i="15"/>
  <c r="E112" i="15"/>
  <c r="D112" i="15"/>
  <c r="AF435" i="15"/>
  <c r="Z444" i="15"/>
  <c r="AL414" i="15"/>
  <c r="AF438" i="15"/>
  <c r="Z414" i="15"/>
  <c r="AF471" i="15"/>
  <c r="AL409" i="15"/>
  <c r="AF416" i="15"/>
  <c r="AF476" i="15"/>
  <c r="P7" i="15"/>
  <c r="F72" i="15"/>
  <c r="N121" i="15"/>
  <c r="E121" i="15"/>
  <c r="O108" i="15"/>
  <c r="N198" i="15"/>
  <c r="E113" i="15"/>
  <c r="D113" i="15"/>
  <c r="F194" i="15"/>
  <c r="E229" i="15" s="1"/>
  <c r="F186" i="15"/>
  <c r="F266" i="15"/>
  <c r="AN493" i="15"/>
  <c r="N9" i="15"/>
  <c r="S9" i="15"/>
  <c r="Q122" i="15"/>
  <c r="P112" i="15"/>
  <c r="S112" i="15"/>
  <c r="Z422" i="15"/>
  <c r="Z475" i="15"/>
  <c r="AL439" i="15"/>
  <c r="Z437" i="15"/>
  <c r="AF421" i="15"/>
  <c r="AF474" i="15"/>
  <c r="AF414" i="15"/>
  <c r="AF479" i="15"/>
  <c r="N49" i="15"/>
  <c r="N54" i="15" s="1"/>
  <c r="S32" i="15"/>
  <c r="J13" i="15"/>
  <c r="AE409" i="15" s="1"/>
  <c r="F13" i="15"/>
  <c r="S121" i="15"/>
  <c r="P121" i="15"/>
  <c r="M105" i="15"/>
  <c r="K105" i="15"/>
  <c r="Q41" i="15"/>
  <c r="AF432" i="15"/>
  <c r="N153" i="15"/>
  <c r="K153" i="15"/>
  <c r="AL475" i="15"/>
  <c r="AO475" i="15" s="1"/>
  <c r="Q330" i="15"/>
  <c r="N229" i="15"/>
  <c r="K229" i="15"/>
  <c r="S229" i="15"/>
  <c r="Q153" i="15"/>
  <c r="S153" i="15" s="1"/>
  <c r="AI493" i="15"/>
  <c r="AH493" i="15"/>
  <c r="L194" i="15"/>
  <c r="N185" i="15"/>
  <c r="N186" i="15" s="1"/>
  <c r="L186" i="15"/>
  <c r="S185" i="15"/>
  <c r="M307" i="15"/>
  <c r="E307" i="15"/>
  <c r="E117" i="15"/>
  <c r="N117" i="15"/>
  <c r="D304" i="15"/>
  <c r="M304" i="15" s="1"/>
  <c r="Z421" i="15"/>
  <c r="Z424" i="15"/>
  <c r="AL423" i="15"/>
  <c r="AL476" i="15"/>
  <c r="AO476" i="15" s="1"/>
  <c r="AF444" i="15"/>
  <c r="AF424" i="15"/>
  <c r="AF480" i="15"/>
  <c r="AF423" i="15"/>
  <c r="D13" i="15"/>
  <c r="D24" i="15" s="1"/>
  <c r="M6" i="15"/>
  <c r="E6" i="15"/>
  <c r="O13" i="15"/>
  <c r="P6" i="15"/>
  <c r="R6" i="15"/>
  <c r="Z445" i="15"/>
  <c r="AH445" i="15" s="1"/>
  <c r="AL445" i="15"/>
  <c r="AN445" i="15" s="1"/>
  <c r="F41" i="15"/>
  <c r="D31" i="15"/>
  <c r="AN466" i="15"/>
  <c r="N285" i="15"/>
  <c r="M299" i="15"/>
  <c r="E299" i="15"/>
  <c r="Z430" i="15"/>
  <c r="AF448" i="15"/>
  <c r="AL442" i="15"/>
  <c r="Z447" i="15"/>
  <c r="AF427" i="15"/>
  <c r="AF413" i="15"/>
  <c r="AF436" i="15"/>
  <c r="AF426" i="15"/>
  <c r="AF417" i="15"/>
  <c r="L155" i="15"/>
  <c r="Q24" i="15"/>
  <c r="S21" i="15"/>
  <c r="N65" i="15"/>
  <c r="S65" i="15"/>
  <c r="S40" i="15"/>
  <c r="L231" i="15"/>
  <c r="S24" i="15"/>
  <c r="N24" i="15"/>
  <c r="N25" i="15" s="1"/>
  <c r="Q399" i="5" l="1"/>
  <c r="R13" i="5"/>
  <c r="R14" i="5" s="1"/>
  <c r="F27" i="5"/>
  <c r="D31" i="5"/>
  <c r="AK411" i="5"/>
  <c r="R185" i="5"/>
  <c r="S186" i="5" s="1"/>
  <c r="P186" i="5"/>
  <c r="L74" i="5"/>
  <c r="K41" i="5"/>
  <c r="S41" i="5"/>
  <c r="N41" i="5"/>
  <c r="AN414" i="5"/>
  <c r="AO414" i="5" s="1"/>
  <c r="AH414" i="5"/>
  <c r="AE414" i="5"/>
  <c r="AH440" i="5"/>
  <c r="AN440" i="5"/>
  <c r="F72" i="5"/>
  <c r="Z435" i="5"/>
  <c r="AH435" i="5" s="1"/>
  <c r="N56" i="5"/>
  <c r="F287" i="5"/>
  <c r="E266" i="5"/>
  <c r="D105" i="5"/>
  <c r="E105" i="5" s="1"/>
  <c r="D108" i="5"/>
  <c r="E97" i="5"/>
  <c r="E115" i="5"/>
  <c r="E116" i="5"/>
  <c r="E120" i="5"/>
  <c r="E117" i="5"/>
  <c r="E114" i="5"/>
  <c r="E113" i="5"/>
  <c r="E118" i="5"/>
  <c r="E112" i="5"/>
  <c r="E330" i="5"/>
  <c r="AH470" i="5"/>
  <c r="AN470" i="5"/>
  <c r="AO470" i="5" s="1"/>
  <c r="AF481" i="5"/>
  <c r="Q72" i="5"/>
  <c r="AL435" i="5"/>
  <c r="AN435" i="5" s="1"/>
  <c r="S56" i="5"/>
  <c r="E194" i="5"/>
  <c r="M185" i="5"/>
  <c r="AN439" i="5"/>
  <c r="AH439" i="5"/>
  <c r="AH428" i="5"/>
  <c r="AI428" i="5" s="1"/>
  <c r="AN428" i="5"/>
  <c r="E304" i="5"/>
  <c r="D309" i="5"/>
  <c r="K34" i="5"/>
  <c r="K24" i="5"/>
  <c r="K31" i="5"/>
  <c r="K36" i="5"/>
  <c r="K32" i="5"/>
  <c r="K35" i="5"/>
  <c r="K37" i="5"/>
  <c r="E351" i="5"/>
  <c r="AN474" i="5"/>
  <c r="AH474" i="5"/>
  <c r="AI474" i="5" s="1"/>
  <c r="N63" i="5"/>
  <c r="Z443" i="5"/>
  <c r="AH443" i="5" s="1"/>
  <c r="O27" i="5"/>
  <c r="R27" i="5" s="1"/>
  <c r="R28" i="5" s="1"/>
  <c r="O24" i="5"/>
  <c r="Z445" i="5"/>
  <c r="N65" i="5"/>
  <c r="AL450" i="5"/>
  <c r="AO450" i="5" s="1"/>
  <c r="S12" i="5"/>
  <c r="S13" i="5" s="1"/>
  <c r="AL418" i="5"/>
  <c r="AN418" i="5" s="1"/>
  <c r="AL451" i="5"/>
  <c r="AL426" i="5"/>
  <c r="AO426" i="5" s="1"/>
  <c r="AL416" i="5"/>
  <c r="AL463" i="5"/>
  <c r="AL432" i="5"/>
  <c r="AL417" i="5"/>
  <c r="AL419" i="5" s="1"/>
  <c r="AL427" i="5"/>
  <c r="AO427" i="5" s="1"/>
  <c r="AL449" i="5"/>
  <c r="AO449" i="5" s="1"/>
  <c r="AL479" i="5"/>
  <c r="AO479" i="5" s="1"/>
  <c r="AL465" i="5"/>
  <c r="AL478" i="5"/>
  <c r="AO478" i="5" s="1"/>
  <c r="AL425" i="5"/>
  <c r="AO425" i="5" s="1"/>
  <c r="AL464" i="5"/>
  <c r="N287" i="5"/>
  <c r="L289" i="5"/>
  <c r="S63" i="5"/>
  <c r="AL443" i="5"/>
  <c r="L165" i="5"/>
  <c r="X108" i="5"/>
  <c r="AF452" i="5"/>
  <c r="AH434" i="5"/>
  <c r="AI434" i="5" s="1"/>
  <c r="AN434" i="5"/>
  <c r="AO434" i="5" s="1"/>
  <c r="AN471" i="5"/>
  <c r="AO471" i="5" s="1"/>
  <c r="AH471" i="5"/>
  <c r="AI471" i="5" s="1"/>
  <c r="AN427" i="5"/>
  <c r="F186" i="5"/>
  <c r="F194" i="5"/>
  <c r="N185" i="5"/>
  <c r="N186" i="5" s="1"/>
  <c r="AI422" i="5"/>
  <c r="F83" i="5"/>
  <c r="AH447" i="5"/>
  <c r="AI447" i="5" s="1"/>
  <c r="AN447" i="5"/>
  <c r="AO447" i="5" s="1"/>
  <c r="Q309" i="5"/>
  <c r="S397" i="5"/>
  <c r="K397" i="5"/>
  <c r="M12" i="5"/>
  <c r="M13" i="5" s="1"/>
  <c r="Q108" i="5"/>
  <c r="P155" i="5" s="1"/>
  <c r="O112" i="5"/>
  <c r="AH473" i="5"/>
  <c r="AI473" i="5" s="1"/>
  <c r="AN473" i="5"/>
  <c r="AL445" i="5"/>
  <c r="AN445" i="5" s="1"/>
  <c r="S65" i="5"/>
  <c r="L399" i="5"/>
  <c r="S399" i="5" s="1"/>
  <c r="AK410" i="5"/>
  <c r="AN411" i="5"/>
  <c r="AO411" i="5" s="1"/>
  <c r="AE411" i="5"/>
  <c r="AH411" i="5"/>
  <c r="AN480" i="5"/>
  <c r="AO480" i="5" s="1"/>
  <c r="AH480" i="5"/>
  <c r="AI480" i="5" s="1"/>
  <c r="E54" i="5"/>
  <c r="Z423" i="5"/>
  <c r="N44" i="5"/>
  <c r="O32" i="5"/>
  <c r="AH413" i="5"/>
  <c r="AN413" i="5"/>
  <c r="AO413" i="5" s="1"/>
  <c r="AE413" i="5"/>
  <c r="Q13" i="5"/>
  <c r="P13" i="5" s="1"/>
  <c r="K27" i="5"/>
  <c r="X28" i="5"/>
  <c r="S229" i="5"/>
  <c r="N12" i="5"/>
  <c r="Z464" i="5"/>
  <c r="AI464" i="5" s="1"/>
  <c r="Z418" i="5"/>
  <c r="Z417" i="5"/>
  <c r="Z465" i="5"/>
  <c r="AI465" i="5" s="1"/>
  <c r="Z449" i="5"/>
  <c r="AI449" i="5" s="1"/>
  <c r="Z463" i="5"/>
  <c r="AH463" i="5" s="1"/>
  <c r="Z425" i="5"/>
  <c r="AI425" i="5" s="1"/>
  <c r="Z416" i="5"/>
  <c r="Z432" i="5"/>
  <c r="AI432" i="5" s="1"/>
  <c r="Z479" i="5"/>
  <c r="AH479" i="5" s="1"/>
  <c r="AI479" i="5" s="1"/>
  <c r="Z478" i="5"/>
  <c r="AH478" i="5" s="1"/>
  <c r="AI478" i="5" s="1"/>
  <c r="Z450" i="5"/>
  <c r="AI450" i="5" s="1"/>
  <c r="Z495" i="5"/>
  <c r="Z426" i="5"/>
  <c r="AI426" i="5" s="1"/>
  <c r="Z427" i="5"/>
  <c r="AI427" i="5" s="1"/>
  <c r="Z497" i="5"/>
  <c r="Z451" i="5"/>
  <c r="M105" i="5"/>
  <c r="K105" i="5"/>
  <c r="Z438" i="5"/>
  <c r="N59" i="5"/>
  <c r="AK413" i="5"/>
  <c r="AH423" i="5"/>
  <c r="AF433" i="5"/>
  <c r="R304" i="5"/>
  <c r="O309" i="5"/>
  <c r="P304" i="5"/>
  <c r="AH476" i="5"/>
  <c r="AI476" i="5" s="1"/>
  <c r="AN476" i="5"/>
  <c r="AI413" i="5"/>
  <c r="AH437" i="5"/>
  <c r="AI437" i="5" s="1"/>
  <c r="AN437" i="5"/>
  <c r="AO437" i="5" s="1"/>
  <c r="S97" i="5"/>
  <c r="S98" i="5" s="1"/>
  <c r="Q54" i="5"/>
  <c r="S44" i="5"/>
  <c r="S54" i="5" s="1"/>
  <c r="AL423" i="5"/>
  <c r="AO421" i="5"/>
  <c r="AI421" i="5"/>
  <c r="AH449" i="5"/>
  <c r="AN449" i="5"/>
  <c r="R108" i="5"/>
  <c r="K108" i="5"/>
  <c r="M108" i="5"/>
  <c r="M109" i="5" s="1"/>
  <c r="AI444" i="5"/>
  <c r="AH429" i="5"/>
  <c r="AI429" i="5" s="1"/>
  <c r="AN429" i="5"/>
  <c r="AO429" i="5" s="1"/>
  <c r="AN448" i="5"/>
  <c r="AH438" i="5"/>
  <c r="E397" i="5"/>
  <c r="F399" i="5"/>
  <c r="AI411" i="5"/>
  <c r="F155" i="5"/>
  <c r="N155" i="5" s="1"/>
  <c r="Z448" i="5"/>
  <c r="N68" i="5"/>
  <c r="AE418" i="5"/>
  <c r="AH418" i="5"/>
  <c r="AO422" i="5"/>
  <c r="AN421" i="5"/>
  <c r="AI410" i="5"/>
  <c r="AH415" i="5"/>
  <c r="AI415" i="5" s="1"/>
  <c r="AE415" i="5"/>
  <c r="AN415" i="5"/>
  <c r="AO415" i="5" s="1"/>
  <c r="AP498" i="5"/>
  <c r="AS498" i="5" s="1"/>
  <c r="AN422" i="5"/>
  <c r="AK415" i="5"/>
  <c r="E210" i="5"/>
  <c r="F231" i="5"/>
  <c r="N210" i="5"/>
  <c r="Z419" i="5"/>
  <c r="AH464" i="5"/>
  <c r="Q74" i="5"/>
  <c r="AK412" i="5"/>
  <c r="S68" i="5"/>
  <c r="AL448" i="5"/>
  <c r="S59" i="5"/>
  <c r="AL438" i="5"/>
  <c r="AN438" i="5" s="1"/>
  <c r="Q231" i="5"/>
  <c r="Q233" i="5" s="1"/>
  <c r="S233" i="5" s="1"/>
  <c r="AH412" i="5"/>
  <c r="AE412" i="5"/>
  <c r="AN412" i="5"/>
  <c r="AO412" i="5" s="1"/>
  <c r="S351" i="5"/>
  <c r="N351" i="5"/>
  <c r="AH446" i="5"/>
  <c r="AN446" i="5"/>
  <c r="AO446" i="5" s="1"/>
  <c r="AN430" i="5"/>
  <c r="AO430" i="5" s="1"/>
  <c r="AH430" i="5"/>
  <c r="AI430" i="5" s="1"/>
  <c r="AK409" i="5"/>
  <c r="AH425" i="5"/>
  <c r="AH417" i="5"/>
  <c r="AE417" i="5"/>
  <c r="Z442" i="5"/>
  <c r="N62" i="5"/>
  <c r="N83" i="5"/>
  <c r="N13" i="5"/>
  <c r="N14" i="5" s="1"/>
  <c r="O108" i="5"/>
  <c r="O105" i="5"/>
  <c r="P105" i="5" s="1"/>
  <c r="P97" i="5"/>
  <c r="P119" i="5"/>
  <c r="P113" i="5"/>
  <c r="P112" i="5"/>
  <c r="P114" i="5"/>
  <c r="P118" i="5"/>
  <c r="P120" i="5"/>
  <c r="P116" i="5"/>
  <c r="P115" i="5"/>
  <c r="Q287" i="5"/>
  <c r="Q289" i="5" s="1"/>
  <c r="AH472" i="5"/>
  <c r="AI472" i="5" s="1"/>
  <c r="AN472" i="5"/>
  <c r="S25" i="5"/>
  <c r="AH475" i="5"/>
  <c r="AI475" i="5" s="1"/>
  <c r="AN475" i="5"/>
  <c r="AH441" i="5"/>
  <c r="AI441" i="5" s="1"/>
  <c r="AN441" i="5"/>
  <c r="AO441" i="5" s="1"/>
  <c r="AH442" i="5"/>
  <c r="S155" i="5"/>
  <c r="K155" i="5"/>
  <c r="AN424" i="5"/>
  <c r="AO424" i="5" s="1"/>
  <c r="AH424" i="5"/>
  <c r="AI424" i="5" s="1"/>
  <c r="N54" i="5"/>
  <c r="Q186" i="5"/>
  <c r="AH445" i="5"/>
  <c r="AO428" i="5"/>
  <c r="S62" i="5"/>
  <c r="AL442" i="5"/>
  <c r="AN410" i="5"/>
  <c r="AO410" i="5" s="1"/>
  <c r="AE410" i="5"/>
  <c r="AH410" i="5"/>
  <c r="S83" i="5"/>
  <c r="D13" i="5"/>
  <c r="Y411" i="5" s="1"/>
  <c r="AK414" i="5"/>
  <c r="L314" i="5"/>
  <c r="K351" i="5" s="1"/>
  <c r="S309" i="5"/>
  <c r="N309" i="5"/>
  <c r="N310" i="5" s="1"/>
  <c r="AI414" i="5"/>
  <c r="Z436" i="5"/>
  <c r="AH436" i="5" s="1"/>
  <c r="N57" i="5"/>
  <c r="AH432" i="5"/>
  <c r="Q195" i="5"/>
  <c r="R194" i="5" s="1"/>
  <c r="AF466" i="5"/>
  <c r="E229" i="5"/>
  <c r="AI412" i="5"/>
  <c r="AH426" i="5"/>
  <c r="AN426" i="5"/>
  <c r="AF407" i="5"/>
  <c r="L85" i="5"/>
  <c r="N27" i="5"/>
  <c r="X27" i="5"/>
  <c r="AH431" i="5"/>
  <c r="AI431" i="5" s="1"/>
  <c r="AN431" i="5"/>
  <c r="AO431" i="5" s="1"/>
  <c r="S304" i="5"/>
  <c r="S305" i="5" s="1"/>
  <c r="AO439" i="5"/>
  <c r="AL436" i="5"/>
  <c r="AN436" i="5" s="1"/>
  <c r="S57" i="5"/>
  <c r="AO444" i="5"/>
  <c r="M309" i="5"/>
  <c r="K309" i="5"/>
  <c r="J314" i="5"/>
  <c r="AI439" i="5"/>
  <c r="D113" i="5"/>
  <c r="N105" i="5"/>
  <c r="N106" i="5" s="1"/>
  <c r="AH450" i="5"/>
  <c r="AI470" i="5"/>
  <c r="Z481" i="5"/>
  <c r="AI446" i="5"/>
  <c r="AH409" i="5"/>
  <c r="AI409" i="5" s="1"/>
  <c r="AN409" i="5"/>
  <c r="AO409" i="5" s="1"/>
  <c r="AF419" i="5"/>
  <c r="AE409" i="5"/>
  <c r="F108" i="5"/>
  <c r="Q83" i="5"/>
  <c r="Q27" i="15"/>
  <c r="O31" i="15"/>
  <c r="AG409" i="15"/>
  <c r="AM409" i="15"/>
  <c r="S289" i="15"/>
  <c r="E24" i="15"/>
  <c r="E33" i="15"/>
  <c r="E38" i="15"/>
  <c r="E32" i="15"/>
  <c r="E31" i="15"/>
  <c r="E40" i="15"/>
  <c r="E34" i="15"/>
  <c r="E36" i="15"/>
  <c r="E37" i="15"/>
  <c r="AN448" i="15"/>
  <c r="AO448" i="15" s="1"/>
  <c r="AH448" i="15"/>
  <c r="N194" i="15"/>
  <c r="N195" i="15" s="1"/>
  <c r="L233" i="15"/>
  <c r="L195" i="15"/>
  <c r="X194" i="15"/>
  <c r="K210" i="15"/>
  <c r="AH476" i="15"/>
  <c r="AI476" i="15" s="1"/>
  <c r="AN476" i="15"/>
  <c r="F155" i="15"/>
  <c r="E155" i="15" s="1"/>
  <c r="E122" i="15"/>
  <c r="N122" i="15"/>
  <c r="Y409" i="15"/>
  <c r="Y410" i="15"/>
  <c r="AH470" i="15"/>
  <c r="AN470" i="15"/>
  <c r="AF481" i="15"/>
  <c r="P8" i="15"/>
  <c r="R8" i="15"/>
  <c r="R13" i="15" s="1"/>
  <c r="R14" i="15" s="1"/>
  <c r="AN428" i="15"/>
  <c r="AH428" i="15"/>
  <c r="AI428" i="15" s="1"/>
  <c r="AN434" i="15"/>
  <c r="AH434" i="15"/>
  <c r="AF452" i="15"/>
  <c r="AL473" i="15"/>
  <c r="AN473" i="15" s="1"/>
  <c r="S77" i="15"/>
  <c r="AI497" i="15"/>
  <c r="AH497" i="15"/>
  <c r="AI470" i="15"/>
  <c r="E330" i="15"/>
  <c r="F351" i="15"/>
  <c r="N330" i="15"/>
  <c r="O27" i="15"/>
  <c r="P27" i="15" s="1"/>
  <c r="P13" i="15"/>
  <c r="Z426" i="15"/>
  <c r="AI426" i="15" s="1"/>
  <c r="S39" i="15"/>
  <c r="AL427" i="15"/>
  <c r="AO427" i="15" s="1"/>
  <c r="AL418" i="15"/>
  <c r="AL417" i="15"/>
  <c r="AL450" i="15"/>
  <c r="AO450" i="15" s="1"/>
  <c r="AL451" i="15"/>
  <c r="AO451" i="15" s="1"/>
  <c r="AL465" i="15"/>
  <c r="AL425" i="15"/>
  <c r="AL478" i="15"/>
  <c r="AO478" i="15" s="1"/>
  <c r="AL432" i="15"/>
  <c r="AL449" i="15"/>
  <c r="AO449" i="15" s="1"/>
  <c r="AL416" i="15"/>
  <c r="AN416" i="15" s="1"/>
  <c r="AL479" i="15"/>
  <c r="AO479" i="15" s="1"/>
  <c r="AL426" i="15"/>
  <c r="AO426" i="15" s="1"/>
  <c r="AL464" i="15"/>
  <c r="AH409" i="15"/>
  <c r="AI409" i="15" s="1"/>
  <c r="E35" i="15"/>
  <c r="Z413" i="15"/>
  <c r="Z419" i="15" s="1"/>
  <c r="N35" i="15"/>
  <c r="AO428" i="15"/>
  <c r="AK409" i="15"/>
  <c r="AN472" i="15"/>
  <c r="AH472" i="15"/>
  <c r="AI472" i="15" s="1"/>
  <c r="S83" i="15"/>
  <c r="AH411" i="15"/>
  <c r="AI411" i="15" s="1"/>
  <c r="AE411" i="15"/>
  <c r="AN411" i="15"/>
  <c r="O309" i="15"/>
  <c r="P304" i="15"/>
  <c r="R304" i="15"/>
  <c r="Z450" i="15"/>
  <c r="AI450" i="15" s="1"/>
  <c r="E39" i="15"/>
  <c r="Z478" i="15"/>
  <c r="AH478" i="15" s="1"/>
  <c r="AI478" i="15" s="1"/>
  <c r="Z425" i="15"/>
  <c r="Z427" i="15"/>
  <c r="AI427" i="15" s="1"/>
  <c r="Z418" i="15"/>
  <c r="Z417" i="15"/>
  <c r="Z451" i="15"/>
  <c r="AI451" i="15" s="1"/>
  <c r="N39" i="15"/>
  <c r="Z495" i="15"/>
  <c r="Z464" i="15"/>
  <c r="AI464" i="15" s="1"/>
  <c r="Z465" i="15"/>
  <c r="AI465" i="15" s="1"/>
  <c r="Z463" i="15"/>
  <c r="AH463" i="15" s="1"/>
  <c r="AH466" i="15" s="1"/>
  <c r="Z432" i="15"/>
  <c r="AI432" i="15" s="1"/>
  <c r="F353" i="15"/>
  <c r="AF419" i="15"/>
  <c r="AF466" i="15"/>
  <c r="AN440" i="15"/>
  <c r="AH440" i="15"/>
  <c r="AH447" i="15"/>
  <c r="AI447" i="15" s="1"/>
  <c r="S35" i="15"/>
  <c r="AL413" i="15"/>
  <c r="AL419" i="15" s="1"/>
  <c r="AF407" i="15"/>
  <c r="AI430" i="15"/>
  <c r="AE416" i="15"/>
  <c r="E377" i="15"/>
  <c r="F397" i="15"/>
  <c r="AH446" i="15"/>
  <c r="AI446" i="15" s="1"/>
  <c r="AN446" i="15"/>
  <c r="S25" i="15"/>
  <c r="E304" i="15"/>
  <c r="D309" i="15"/>
  <c r="P41" i="15"/>
  <c r="O32" i="15"/>
  <c r="K155" i="15"/>
  <c r="N155" i="15"/>
  <c r="Q155" i="15"/>
  <c r="S155" i="15" s="1"/>
  <c r="S122" i="15"/>
  <c r="AN471" i="15"/>
  <c r="AO471" i="15" s="1"/>
  <c r="AH471" i="15"/>
  <c r="AI471" i="15" s="1"/>
  <c r="Q83" i="15"/>
  <c r="AN410" i="15"/>
  <c r="AO410" i="15" s="1"/>
  <c r="AH410" i="15"/>
  <c r="AI410" i="15" s="1"/>
  <c r="AE410" i="15"/>
  <c r="E135" i="15"/>
  <c r="S98" i="15"/>
  <c r="Q108" i="15"/>
  <c r="P122" i="15" s="1"/>
  <c r="S97" i="15"/>
  <c r="P97" i="15"/>
  <c r="S8" i="15"/>
  <c r="S13" i="15" s="1"/>
  <c r="S14" i="15" s="1"/>
  <c r="AN447" i="15"/>
  <c r="AO447" i="15" s="1"/>
  <c r="AH429" i="15"/>
  <c r="AI429" i="15" s="1"/>
  <c r="AN429" i="15"/>
  <c r="AE417" i="15"/>
  <c r="AN417" i="15"/>
  <c r="AH417" i="15"/>
  <c r="AH479" i="15"/>
  <c r="AI479" i="15" s="1"/>
  <c r="Y414" i="15"/>
  <c r="E210" i="15"/>
  <c r="F231" i="15"/>
  <c r="E231" i="15" s="1"/>
  <c r="N210" i="15"/>
  <c r="AE418" i="15"/>
  <c r="AN418" i="15"/>
  <c r="AH418" i="15"/>
  <c r="AN431" i="15"/>
  <c r="AO431" i="15" s="1"/>
  <c r="AH431" i="15"/>
  <c r="AI431" i="15" s="1"/>
  <c r="Q231" i="15"/>
  <c r="S210" i="15"/>
  <c r="AN409" i="15"/>
  <c r="AO409" i="15" s="1"/>
  <c r="L165" i="15"/>
  <c r="AI442" i="15"/>
  <c r="Q186" i="15"/>
  <c r="Q194" i="15"/>
  <c r="P229" i="15" s="1"/>
  <c r="L74" i="15"/>
  <c r="S41" i="15"/>
  <c r="K41" i="15"/>
  <c r="N41" i="15"/>
  <c r="AK412" i="15"/>
  <c r="AH414" i="15"/>
  <c r="AI414" i="15" s="1"/>
  <c r="AE414" i="15"/>
  <c r="AN414" i="15"/>
  <c r="AL435" i="15"/>
  <c r="S56" i="15"/>
  <c r="Q72" i="15"/>
  <c r="P72" i="15" s="1"/>
  <c r="AN438" i="15"/>
  <c r="AO438" i="15" s="1"/>
  <c r="AH438" i="15"/>
  <c r="AI438" i="15" s="1"/>
  <c r="AI436" i="15"/>
  <c r="AO411" i="15"/>
  <c r="AK411" i="15"/>
  <c r="AO470" i="15"/>
  <c r="AN442" i="15"/>
  <c r="AO442" i="15" s="1"/>
  <c r="AH442" i="15"/>
  <c r="F165" i="15"/>
  <c r="AO446" i="15"/>
  <c r="S186" i="15"/>
  <c r="N309" i="15"/>
  <c r="N310" i="15" s="1"/>
  <c r="L314" i="15"/>
  <c r="S309" i="15"/>
  <c r="S310" i="15" s="1"/>
  <c r="AO436" i="15"/>
  <c r="AK415" i="15"/>
  <c r="Y415" i="15"/>
  <c r="AI415" i="15"/>
  <c r="AH436" i="15"/>
  <c r="AN436" i="15"/>
  <c r="AH423" i="15"/>
  <c r="AI423" i="15" s="1"/>
  <c r="AN423" i="15"/>
  <c r="AO423" i="15" s="1"/>
  <c r="AN474" i="15"/>
  <c r="AO474" i="15" s="1"/>
  <c r="AH474" i="15"/>
  <c r="AI474" i="15" s="1"/>
  <c r="N56" i="15"/>
  <c r="N72" i="15" s="1"/>
  <c r="Z435" i="15"/>
  <c r="AH435" i="15" s="1"/>
  <c r="AO414" i="15"/>
  <c r="AK414" i="15"/>
  <c r="AK410" i="15"/>
  <c r="Z479" i="15"/>
  <c r="AN422" i="15"/>
  <c r="AH422" i="15"/>
  <c r="AI422" i="15" s="1"/>
  <c r="E153" i="15"/>
  <c r="AO429" i="15"/>
  <c r="AN430" i="15"/>
  <c r="AO430" i="15" s="1"/>
  <c r="AH430" i="15"/>
  <c r="AE413" i="15"/>
  <c r="AN480" i="15"/>
  <c r="AO480" i="15" s="1"/>
  <c r="AH480" i="15"/>
  <c r="AI480" i="15" s="1"/>
  <c r="Q351" i="15"/>
  <c r="S330" i="15"/>
  <c r="AN421" i="15"/>
  <c r="AO421" i="15" s="1"/>
  <c r="AH421" i="15"/>
  <c r="AI421" i="15" s="1"/>
  <c r="AF433" i="15"/>
  <c r="AI444" i="15"/>
  <c r="AH412" i="15"/>
  <c r="AI412" i="15" s="1"/>
  <c r="AN412" i="15"/>
  <c r="AO412" i="15" s="1"/>
  <c r="AE412" i="15"/>
  <c r="AO422" i="15"/>
  <c r="AN475" i="15"/>
  <c r="AH475" i="15"/>
  <c r="AI475" i="15" s="1"/>
  <c r="M185" i="15"/>
  <c r="AH415" i="15"/>
  <c r="AE415" i="15"/>
  <c r="AN415" i="15"/>
  <c r="AO415" i="15" s="1"/>
  <c r="AP498" i="15"/>
  <c r="AS498" i="15" s="1"/>
  <c r="AN424" i="15"/>
  <c r="AO424" i="15" s="1"/>
  <c r="AH424" i="15"/>
  <c r="AI424" i="15" s="1"/>
  <c r="AI437" i="15"/>
  <c r="F287" i="15"/>
  <c r="N287" i="15" s="1"/>
  <c r="E266" i="15"/>
  <c r="Q397" i="15"/>
  <c r="P377" i="15"/>
  <c r="Y412" i="15"/>
  <c r="AN437" i="15"/>
  <c r="AO437" i="15" s="1"/>
  <c r="AH437" i="15"/>
  <c r="O24" i="15"/>
  <c r="E108" i="15"/>
  <c r="N63" i="15"/>
  <c r="Z443" i="15"/>
  <c r="AI448" i="15"/>
  <c r="Q314" i="15"/>
  <c r="AN444" i="15"/>
  <c r="AO444" i="15" s="1"/>
  <c r="AH444" i="15"/>
  <c r="N14" i="15"/>
  <c r="F27" i="15"/>
  <c r="E72" i="15" s="1"/>
  <c r="N61" i="15"/>
  <c r="Z441" i="15"/>
  <c r="AH441" i="15" s="1"/>
  <c r="S287" i="15"/>
  <c r="AI434" i="15"/>
  <c r="K309" i="15"/>
  <c r="J314" i="15"/>
  <c r="F83" i="15"/>
  <c r="E8" i="15"/>
  <c r="M8" i="15"/>
  <c r="M13" i="15" s="1"/>
  <c r="M14" i="15" s="1"/>
  <c r="AH465" i="15"/>
  <c r="AH464" i="15"/>
  <c r="AL443" i="15"/>
  <c r="S63" i="15"/>
  <c r="AN449" i="15"/>
  <c r="Z416" i="15"/>
  <c r="AH416" i="15" s="1"/>
  <c r="AL463" i="15"/>
  <c r="AL466" i="15" s="1"/>
  <c r="AO466" i="15" s="1"/>
  <c r="AH426" i="15"/>
  <c r="E13" i="15"/>
  <c r="D27" i="15"/>
  <c r="F74" i="15"/>
  <c r="K231" i="15"/>
  <c r="AO445" i="15"/>
  <c r="AI445" i="15"/>
  <c r="K23" i="15"/>
  <c r="R23" i="15" s="1"/>
  <c r="J27" i="15"/>
  <c r="K22" i="15"/>
  <c r="R22" i="15" s="1"/>
  <c r="K13" i="15"/>
  <c r="K21" i="15"/>
  <c r="R21" i="15" s="1"/>
  <c r="J24" i="15"/>
  <c r="F233" i="15"/>
  <c r="F195" i="15"/>
  <c r="S61" i="15"/>
  <c r="AL441" i="15"/>
  <c r="AN441" i="15" s="1"/>
  <c r="N266" i="15"/>
  <c r="Z449" i="15"/>
  <c r="AI449" i="15" s="1"/>
  <c r="S397" i="15"/>
  <c r="K397" i="15"/>
  <c r="L399" i="15"/>
  <c r="R108" i="15"/>
  <c r="R109" i="15" s="1"/>
  <c r="AN478" i="15"/>
  <c r="Y411" i="15"/>
  <c r="AN439" i="15"/>
  <c r="AO439" i="15" s="1"/>
  <c r="AH439" i="15"/>
  <c r="AI439" i="15" s="1"/>
  <c r="N77" i="15"/>
  <c r="N83" i="15" s="1"/>
  <c r="Z473" i="15"/>
  <c r="AH473" i="15" s="1"/>
  <c r="AI473" i="15" s="1"/>
  <c r="AL433" i="5" l="1"/>
  <c r="AL481" i="5"/>
  <c r="AN450" i="5"/>
  <c r="AL433" i="15"/>
  <c r="P210" i="15"/>
  <c r="AN479" i="15"/>
  <c r="AN417" i="5"/>
  <c r="AN427" i="15"/>
  <c r="AN426" i="15"/>
  <c r="P231" i="15"/>
  <c r="Q74" i="15"/>
  <c r="P74" i="15" s="1"/>
  <c r="AN451" i="15"/>
  <c r="AN479" i="5"/>
  <c r="Y409" i="5"/>
  <c r="AN433" i="5"/>
  <c r="AO433" i="5" s="1"/>
  <c r="AD433" i="5"/>
  <c r="AH433" i="5"/>
  <c r="AI433" i="5" s="1"/>
  <c r="Y418" i="5"/>
  <c r="AM418" i="5" s="1"/>
  <c r="AI418" i="5"/>
  <c r="S165" i="5"/>
  <c r="AI445" i="5"/>
  <c r="AN478" i="5"/>
  <c r="AN423" i="5"/>
  <c r="AI495" i="5"/>
  <c r="AH495" i="5"/>
  <c r="Q314" i="5"/>
  <c r="S310" i="5"/>
  <c r="AH427" i="5"/>
  <c r="P24" i="5"/>
  <c r="P35" i="5"/>
  <c r="P33" i="5"/>
  <c r="P38" i="5"/>
  <c r="P39" i="5"/>
  <c r="P40" i="5"/>
  <c r="P34" i="5"/>
  <c r="P36" i="5"/>
  <c r="P31" i="5"/>
  <c r="P32" i="5"/>
  <c r="P37" i="5"/>
  <c r="AL452" i="5"/>
  <c r="S74" i="5"/>
  <c r="N74" i="5"/>
  <c r="K74" i="5"/>
  <c r="AS407" i="5"/>
  <c r="AI423" i="5"/>
  <c r="AK417" i="5"/>
  <c r="AO417" i="5"/>
  <c r="Z406" i="5"/>
  <c r="Y448" i="5" s="1"/>
  <c r="AN443" i="5"/>
  <c r="AO443" i="5" s="1"/>
  <c r="M14" i="5"/>
  <c r="E13" i="5"/>
  <c r="D27" i="5"/>
  <c r="D24" i="5"/>
  <c r="AI442" i="5"/>
  <c r="AO445" i="5"/>
  <c r="Z452" i="5"/>
  <c r="X452" i="5" s="1"/>
  <c r="AM412" i="5"/>
  <c r="AG412" i="5"/>
  <c r="AO448" i="5"/>
  <c r="AN442" i="5"/>
  <c r="AO442" i="5" s="1"/>
  <c r="S289" i="5"/>
  <c r="N289" i="5"/>
  <c r="AL466" i="5"/>
  <c r="AO466" i="5" s="1"/>
  <c r="AI443" i="5"/>
  <c r="F165" i="5"/>
  <c r="N165" i="5" s="1"/>
  <c r="E135" i="5"/>
  <c r="E153" i="5"/>
  <c r="AD466" i="5"/>
  <c r="AR466" i="5"/>
  <c r="E231" i="5"/>
  <c r="N231" i="5"/>
  <c r="L353" i="5"/>
  <c r="N314" i="5"/>
  <c r="N315" i="5" s="1"/>
  <c r="X314" i="5"/>
  <c r="K330" i="5"/>
  <c r="K349" i="5"/>
  <c r="AM409" i="5"/>
  <c r="AG409" i="5"/>
  <c r="M314" i="5"/>
  <c r="K314" i="5"/>
  <c r="AF406" i="5"/>
  <c r="Z433" i="5"/>
  <c r="Y413" i="5"/>
  <c r="AO416" i="5"/>
  <c r="AK416" i="5"/>
  <c r="AN416" i="5"/>
  <c r="E309" i="5"/>
  <c r="D314" i="5"/>
  <c r="E314" i="5" s="1"/>
  <c r="S72" i="5"/>
  <c r="AD419" i="5"/>
  <c r="AF468" i="5"/>
  <c r="AN419" i="5"/>
  <c r="AO419" i="5" s="1"/>
  <c r="AH419" i="5"/>
  <c r="AI419" i="5" s="1"/>
  <c r="N28" i="5"/>
  <c r="N85" i="5"/>
  <c r="AI438" i="5"/>
  <c r="AI416" i="5"/>
  <c r="Y416" i="5"/>
  <c r="AH416" i="5"/>
  <c r="S287" i="5"/>
  <c r="AO435" i="5"/>
  <c r="E287" i="5"/>
  <c r="F289" i="5"/>
  <c r="AN425" i="5"/>
  <c r="AH448" i="5"/>
  <c r="AI448" i="5" s="1"/>
  <c r="AM411" i="5"/>
  <c r="AG411" i="5"/>
  <c r="F233" i="5"/>
  <c r="N233" i="5" s="1"/>
  <c r="F195" i="5"/>
  <c r="M194" i="5" s="1"/>
  <c r="N194" i="5"/>
  <c r="N195" i="5" s="1"/>
  <c r="AH452" i="5"/>
  <c r="AI452" i="5" s="1"/>
  <c r="AO451" i="5"/>
  <c r="AN451" i="5"/>
  <c r="N72" i="5"/>
  <c r="AO418" i="5"/>
  <c r="AK418" i="5"/>
  <c r="AH465" i="5"/>
  <c r="AH466" i="5" s="1"/>
  <c r="AI435" i="5"/>
  <c r="AI463" i="5"/>
  <c r="Z466" i="5"/>
  <c r="Z468" i="5" s="1"/>
  <c r="X468" i="5" s="1"/>
  <c r="S14" i="5"/>
  <c r="Q27" i="5"/>
  <c r="O31" i="5"/>
  <c r="Q165" i="5"/>
  <c r="P135" i="5"/>
  <c r="P153" i="5"/>
  <c r="P122" i="5"/>
  <c r="AD452" i="5"/>
  <c r="AG415" i="5"/>
  <c r="E155" i="5"/>
  <c r="AO423" i="5"/>
  <c r="P309" i="5"/>
  <c r="R309" i="5"/>
  <c r="O314" i="5"/>
  <c r="AI451" i="5"/>
  <c r="AH451" i="5"/>
  <c r="AG413" i="5"/>
  <c r="AM413" i="5"/>
  <c r="Y415" i="5"/>
  <c r="AM415" i="5" s="1"/>
  <c r="S108" i="5"/>
  <c r="S109" i="5" s="1"/>
  <c r="AS481" i="5"/>
  <c r="AH481" i="5"/>
  <c r="AI481" i="5" s="1"/>
  <c r="AD481" i="5"/>
  <c r="AN481" i="5"/>
  <c r="AO481" i="5" s="1"/>
  <c r="E72" i="5"/>
  <c r="F74" i="5"/>
  <c r="E74" i="5" s="1"/>
  <c r="AI436" i="5"/>
  <c r="P231" i="5"/>
  <c r="S231" i="5"/>
  <c r="E122" i="5"/>
  <c r="AI497" i="5"/>
  <c r="AH497" i="5"/>
  <c r="E108" i="5"/>
  <c r="AO436" i="5"/>
  <c r="Y412" i="5"/>
  <c r="Y414" i="5"/>
  <c r="AG414" i="5" s="1"/>
  <c r="P108" i="5"/>
  <c r="R109" i="5"/>
  <c r="AO438" i="5"/>
  <c r="X419" i="5"/>
  <c r="Y410" i="5"/>
  <c r="AG410" i="5" s="1"/>
  <c r="P54" i="5"/>
  <c r="Y417" i="5"/>
  <c r="AM417" i="5" s="1"/>
  <c r="AI417" i="5"/>
  <c r="N108" i="5"/>
  <c r="N109" i="5" s="1"/>
  <c r="Z407" i="5"/>
  <c r="X481" i="5" s="1"/>
  <c r="F85" i="5"/>
  <c r="E41" i="5"/>
  <c r="AL452" i="15"/>
  <c r="S231" i="15"/>
  <c r="Q353" i="15"/>
  <c r="P349" i="15"/>
  <c r="AN413" i="15"/>
  <c r="AO413" i="15" s="1"/>
  <c r="AM414" i="15"/>
  <c r="AG414" i="15"/>
  <c r="AH450" i="15"/>
  <c r="AD466" i="15"/>
  <c r="AR466" i="15"/>
  <c r="Y418" i="15"/>
  <c r="AM418" i="15" s="1"/>
  <c r="AI418" i="15"/>
  <c r="N233" i="15"/>
  <c r="P397" i="15"/>
  <c r="Q399" i="15"/>
  <c r="S399" i="15" s="1"/>
  <c r="AG415" i="15"/>
  <c r="AM415" i="15"/>
  <c r="AO434" i="15"/>
  <c r="E74" i="15"/>
  <c r="AI441" i="15"/>
  <c r="AN419" i="15"/>
  <c r="AO419" i="15" s="1"/>
  <c r="AH419" i="15"/>
  <c r="AI419" i="15" s="1"/>
  <c r="AF468" i="15"/>
  <c r="AF483" i="15" s="1"/>
  <c r="AD419" i="15"/>
  <c r="AI425" i="15"/>
  <c r="AH425" i="15"/>
  <c r="E351" i="15"/>
  <c r="N351" i="15"/>
  <c r="X28" i="15"/>
  <c r="K27" i="15"/>
  <c r="R27" i="15"/>
  <c r="R28" i="15" s="1"/>
  <c r="M27" i="15"/>
  <c r="M28" i="15" s="1"/>
  <c r="W82" i="15"/>
  <c r="AI443" i="15"/>
  <c r="AN435" i="15"/>
  <c r="AO435" i="15" s="1"/>
  <c r="AN433" i="15"/>
  <c r="AD433" i="15"/>
  <c r="AO417" i="15"/>
  <c r="AK417" i="15"/>
  <c r="E287" i="15"/>
  <c r="F289" i="15"/>
  <c r="N289" i="15" s="1"/>
  <c r="K24" i="15"/>
  <c r="K32" i="15"/>
  <c r="M24" i="15"/>
  <c r="K37" i="15"/>
  <c r="K33" i="15"/>
  <c r="K34" i="15"/>
  <c r="K35" i="15"/>
  <c r="K36" i="15"/>
  <c r="K31" i="15"/>
  <c r="E41" i="15"/>
  <c r="E27" i="15"/>
  <c r="Q165" i="15"/>
  <c r="S165" i="15" s="1"/>
  <c r="P135" i="15"/>
  <c r="S108" i="15"/>
  <c r="S109" i="15" s="1"/>
  <c r="D314" i="15"/>
  <c r="E309" i="15"/>
  <c r="AO418" i="15"/>
  <c r="AK418" i="15"/>
  <c r="AI463" i="15"/>
  <c r="Z466" i="15"/>
  <c r="AK413" i="15"/>
  <c r="AS481" i="15"/>
  <c r="AD481" i="15"/>
  <c r="P24" i="15"/>
  <c r="P33" i="15"/>
  <c r="P40" i="15"/>
  <c r="P37" i="15"/>
  <c r="P31" i="15"/>
  <c r="P32" i="15"/>
  <c r="P34" i="15"/>
  <c r="P38" i="15"/>
  <c r="P36" i="15"/>
  <c r="AO433" i="15"/>
  <c r="P155" i="15"/>
  <c r="M314" i="15"/>
  <c r="K314" i="15"/>
  <c r="AF406" i="15"/>
  <c r="P351" i="15"/>
  <c r="S351" i="15"/>
  <c r="L353" i="15"/>
  <c r="S314" i="15"/>
  <c r="S315" i="15" s="1"/>
  <c r="N314" i="15"/>
  <c r="N315" i="15" s="1"/>
  <c r="X314" i="15"/>
  <c r="K330" i="15"/>
  <c r="K351" i="15"/>
  <c r="K349" i="15"/>
  <c r="N74" i="15"/>
  <c r="K74" i="15"/>
  <c r="S74" i="15"/>
  <c r="L85" i="15"/>
  <c r="AM410" i="15"/>
  <c r="AG410" i="15"/>
  <c r="P153" i="15"/>
  <c r="Z433" i="15"/>
  <c r="X433" i="15" s="1"/>
  <c r="AO416" i="15"/>
  <c r="AK416" i="15"/>
  <c r="P39" i="15"/>
  <c r="Z481" i="15"/>
  <c r="X481" i="15" s="1"/>
  <c r="P330" i="15"/>
  <c r="Q195" i="15"/>
  <c r="R194" i="15" s="1"/>
  <c r="Q233" i="15"/>
  <c r="S233" i="15" s="1"/>
  <c r="AG418" i="15"/>
  <c r="P35" i="15"/>
  <c r="AI495" i="15"/>
  <c r="AH495" i="15"/>
  <c r="R309" i="15"/>
  <c r="O314" i="15"/>
  <c r="P309" i="15"/>
  <c r="AH432" i="15"/>
  <c r="S194" i="15"/>
  <c r="S195" i="15" s="1"/>
  <c r="AS407" i="15"/>
  <c r="Y416" i="15"/>
  <c r="AG416" i="15" s="1"/>
  <c r="AI416" i="15"/>
  <c r="M309" i="15"/>
  <c r="AH427" i="15"/>
  <c r="AH451" i="15"/>
  <c r="S72" i="15"/>
  <c r="AM417" i="15"/>
  <c r="AO473" i="15"/>
  <c r="AL481" i="15"/>
  <c r="AN481" i="15" s="1"/>
  <c r="Z407" i="15"/>
  <c r="F85" i="15"/>
  <c r="N27" i="15"/>
  <c r="E54" i="15"/>
  <c r="AM411" i="15"/>
  <c r="AG411" i="15"/>
  <c r="Y413" i="15"/>
  <c r="AG413" i="15" s="1"/>
  <c r="M194" i="15"/>
  <c r="AI435" i="15"/>
  <c r="AO441" i="15"/>
  <c r="AH449" i="15"/>
  <c r="AH443" i="15"/>
  <c r="AH452" i="15" s="1"/>
  <c r="AI452" i="15" s="1"/>
  <c r="N231" i="15"/>
  <c r="Z452" i="15"/>
  <c r="X452" i="15" s="1"/>
  <c r="AG412" i="15"/>
  <c r="AM412" i="15"/>
  <c r="AH413" i="15"/>
  <c r="AI413" i="15" s="1"/>
  <c r="AN443" i="15"/>
  <c r="AO443" i="15" s="1"/>
  <c r="N165" i="15"/>
  <c r="AN450" i="15"/>
  <c r="P108" i="15"/>
  <c r="E397" i="15"/>
  <c r="F399" i="15"/>
  <c r="Y417" i="15"/>
  <c r="AG417" i="15" s="1"/>
  <c r="AI417" i="15"/>
  <c r="AO425" i="15"/>
  <c r="AN425" i="15"/>
  <c r="AR452" i="15"/>
  <c r="AD452" i="15"/>
  <c r="AL407" i="15"/>
  <c r="P54" i="15"/>
  <c r="S27" i="15"/>
  <c r="S28" i="15" s="1"/>
  <c r="Q85" i="15" l="1"/>
  <c r="AL407" i="5"/>
  <c r="Q85" i="5"/>
  <c r="P41" i="5"/>
  <c r="S27" i="5"/>
  <c r="S85" i="5" s="1"/>
  <c r="AP468" i="5"/>
  <c r="AS468" i="5" s="1"/>
  <c r="AH468" i="5"/>
  <c r="AI468" i="5" s="1"/>
  <c r="AD468" i="5"/>
  <c r="AG417" i="5"/>
  <c r="P27" i="5"/>
  <c r="AN452" i="5"/>
  <c r="AO452" i="5" s="1"/>
  <c r="Q353" i="5"/>
  <c r="S353" i="5" s="1"/>
  <c r="P349" i="5"/>
  <c r="P330" i="5"/>
  <c r="P351" i="5"/>
  <c r="AG416" i="5"/>
  <c r="AM416" i="5"/>
  <c r="AH407" i="5"/>
  <c r="AI407" i="5" s="1"/>
  <c r="AM410" i="5"/>
  <c r="AL468" i="5"/>
  <c r="AN468" i="5" s="1"/>
  <c r="AM414" i="5"/>
  <c r="S314" i="5"/>
  <c r="S315" i="5" s="1"/>
  <c r="E24" i="5"/>
  <c r="E32" i="5"/>
  <c r="E38" i="5"/>
  <c r="E31" i="5"/>
  <c r="E34" i="5"/>
  <c r="E35" i="5"/>
  <c r="E36" i="5"/>
  <c r="E37" i="5"/>
  <c r="E39" i="5"/>
  <c r="E33" i="5"/>
  <c r="E40" i="5"/>
  <c r="M24" i="5"/>
  <c r="Z483" i="5"/>
  <c r="P74" i="5"/>
  <c r="X433" i="5"/>
  <c r="E27" i="5"/>
  <c r="M27" i="5"/>
  <c r="M28" i="5" s="1"/>
  <c r="AF483" i="5"/>
  <c r="X466" i="5"/>
  <c r="AI466" i="5"/>
  <c r="R314" i="5"/>
  <c r="P314" i="5"/>
  <c r="AL406" i="5"/>
  <c r="AG418" i="5"/>
  <c r="L401" i="5"/>
  <c r="N353" i="5"/>
  <c r="P72" i="5"/>
  <c r="F401" i="5"/>
  <c r="AF489" i="15"/>
  <c r="AE483" i="15"/>
  <c r="AJ433" i="15"/>
  <c r="AJ419" i="15"/>
  <c r="AJ407" i="15"/>
  <c r="AJ466" i="15"/>
  <c r="AJ452" i="15"/>
  <c r="AH481" i="15"/>
  <c r="AI481" i="15" s="1"/>
  <c r="R314" i="15"/>
  <c r="P314" i="15"/>
  <c r="AL406" i="15"/>
  <c r="AM413" i="15"/>
  <c r="X466" i="15"/>
  <c r="AI466" i="15"/>
  <c r="N28" i="15"/>
  <c r="N85" i="15"/>
  <c r="L401" i="15"/>
  <c r="S353" i="15"/>
  <c r="N353" i="15"/>
  <c r="F401" i="15"/>
  <c r="AN452" i="15"/>
  <c r="AO452" i="15" s="1"/>
  <c r="S85" i="15"/>
  <c r="Z483" i="15"/>
  <c r="AH483" i="15" s="1"/>
  <c r="AI483" i="15" s="1"/>
  <c r="AH407" i="15"/>
  <c r="AI407" i="15" s="1"/>
  <c r="AM416" i="15"/>
  <c r="AO481" i="15"/>
  <c r="AN407" i="15"/>
  <c r="AO407" i="15" s="1"/>
  <c r="AH433" i="15"/>
  <c r="AI433" i="15" s="1"/>
  <c r="AL468" i="15"/>
  <c r="AN468" i="15" s="1"/>
  <c r="E314" i="15"/>
  <c r="Z406" i="15"/>
  <c r="Y448" i="15" s="1"/>
  <c r="Z468" i="15"/>
  <c r="X468" i="15" s="1"/>
  <c r="AP468" i="15"/>
  <c r="AS468" i="15" s="1"/>
  <c r="AH468" i="15"/>
  <c r="AI468" i="15" s="1"/>
  <c r="AD468" i="15"/>
  <c r="X419" i="15"/>
  <c r="AO468" i="5" l="1"/>
  <c r="AF489" i="5"/>
  <c r="AH483" i="5"/>
  <c r="AI483" i="5" s="1"/>
  <c r="AE483" i="5"/>
  <c r="Y483" i="5"/>
  <c r="Z489" i="5"/>
  <c r="S28" i="5"/>
  <c r="AL483" i="5"/>
  <c r="AK483" i="5" s="1"/>
  <c r="AJ433" i="5"/>
  <c r="AJ452" i="5"/>
  <c r="AJ419" i="5"/>
  <c r="AJ407" i="5"/>
  <c r="AJ466" i="5"/>
  <c r="AJ468" i="5"/>
  <c r="AN407" i="5"/>
  <c r="AO407" i="5" s="1"/>
  <c r="AJ468" i="15"/>
  <c r="AO468" i="15"/>
  <c r="Z489" i="15"/>
  <c r="Y483" i="15"/>
  <c r="AL483" i="15"/>
  <c r="AK483" i="15"/>
  <c r="AE489" i="15"/>
  <c r="AF498" i="15"/>
  <c r="AF488" i="15"/>
  <c r="AN483" i="5" l="1"/>
  <c r="Z488" i="5"/>
  <c r="Y488" i="5" s="1"/>
  <c r="Y489" i="5"/>
  <c r="Z498" i="5"/>
  <c r="Y498" i="5" s="1"/>
  <c r="AE489" i="5"/>
  <c r="AF498" i="5"/>
  <c r="AH489" i="5"/>
  <c r="AI489" i="5" s="1"/>
  <c r="AF488" i="5"/>
  <c r="AL489" i="5"/>
  <c r="AO483" i="5"/>
  <c r="AE488" i="15"/>
  <c r="AH488" i="15"/>
  <c r="AI488" i="15" s="1"/>
  <c r="AF513" i="15"/>
  <c r="AG513" i="15" s="1"/>
  <c r="AF507" i="15"/>
  <c r="AH498" i="15"/>
  <c r="AI498" i="15" s="1"/>
  <c r="AF502" i="15"/>
  <c r="AE498" i="15"/>
  <c r="AF504" i="15"/>
  <c r="AO483" i="15"/>
  <c r="AL489" i="15"/>
  <c r="AN483" i="15"/>
  <c r="Z488" i="15"/>
  <c r="Y488" i="15" s="1"/>
  <c r="Y489" i="15"/>
  <c r="Z498" i="15"/>
  <c r="Y498" i="15" s="1"/>
  <c r="AH489" i="15"/>
  <c r="AI489" i="15" s="1"/>
  <c r="AL498" i="5" l="1"/>
  <c r="AL488" i="5"/>
  <c r="AK489" i="5"/>
  <c r="AN489" i="5"/>
  <c r="AO489" i="5" s="1"/>
  <c r="AE488" i="5"/>
  <c r="AN488" i="5"/>
  <c r="AH488" i="5"/>
  <c r="AI488" i="5" s="1"/>
  <c r="AF513" i="5"/>
  <c r="AG513" i="5" s="1"/>
  <c r="AF507" i="5"/>
  <c r="AH498" i="5"/>
  <c r="AI498" i="5" s="1"/>
  <c r="AF502" i="5"/>
  <c r="AE498" i="5"/>
  <c r="AN498" i="5"/>
  <c r="AF504" i="5"/>
  <c r="AL498" i="15"/>
  <c r="AL488" i="15"/>
  <c r="AK489" i="15"/>
  <c r="AN489" i="15"/>
  <c r="AO489" i="15" s="1"/>
  <c r="AO488" i="5" l="1"/>
  <c r="AK488" i="5"/>
  <c r="AO498" i="5"/>
  <c r="AK498" i="5"/>
  <c r="AK488" i="15"/>
  <c r="AN488" i="15"/>
  <c r="AO488" i="15" s="1"/>
  <c r="AK498" i="15"/>
  <c r="AN498" i="15"/>
  <c r="AO498" i="15" s="1"/>
  <c r="AR502" i="6" l="1"/>
  <c r="A499" i="6"/>
  <c r="A498" i="6"/>
  <c r="AO497" i="6"/>
  <c r="A497" i="6"/>
  <c r="A496" i="6"/>
  <c r="AO495" i="6"/>
  <c r="AN495" i="6"/>
  <c r="A495" i="6"/>
  <c r="AO494" i="6"/>
  <c r="AI494" i="6"/>
  <c r="A494" i="6"/>
  <c r="AO493" i="6"/>
  <c r="AN493" i="6"/>
  <c r="AI493" i="6"/>
  <c r="A493" i="6"/>
  <c r="AO492" i="6"/>
  <c r="AH492" i="6"/>
  <c r="AI492" i="6"/>
  <c r="A492" i="6"/>
  <c r="A491" i="6"/>
  <c r="A490" i="6"/>
  <c r="A489" i="6"/>
  <c r="A488" i="6"/>
  <c r="A487" i="6"/>
  <c r="A486" i="6"/>
  <c r="A484" i="6"/>
  <c r="A483" i="6"/>
  <c r="AO482" i="6"/>
  <c r="AN482" i="6"/>
  <c r="A482" i="6"/>
  <c r="A481" i="6"/>
  <c r="A480" i="6"/>
  <c r="A479" i="6"/>
  <c r="A478" i="6"/>
  <c r="A477" i="6"/>
  <c r="A476" i="6"/>
  <c r="A475" i="6"/>
  <c r="AO474" i="6"/>
  <c r="A474" i="6"/>
  <c r="A473" i="6"/>
  <c r="A472" i="6"/>
  <c r="A471" i="6"/>
  <c r="A470" i="6"/>
  <c r="AN469" i="6"/>
  <c r="A469" i="6"/>
  <c r="A468" i="6"/>
  <c r="AO467" i="6"/>
  <c r="AN467" i="6"/>
  <c r="AH467" i="6"/>
  <c r="A467" i="6"/>
  <c r="A466" i="6"/>
  <c r="A465" i="6"/>
  <c r="A464" i="6"/>
  <c r="A463" i="6"/>
  <c r="A462" i="6"/>
  <c r="A461" i="6"/>
  <c r="AN460" i="6"/>
  <c r="A460" i="6"/>
  <c r="A459" i="6"/>
  <c r="AQ458" i="6"/>
  <c r="A458" i="6"/>
  <c r="AN457" i="6"/>
  <c r="AO457" i="6" s="1"/>
  <c r="A457" i="6"/>
  <c r="AO456" i="6"/>
  <c r="AH456" i="6"/>
  <c r="AN456" i="6"/>
  <c r="AI456" i="6"/>
  <c r="A456" i="6"/>
  <c r="A455" i="6"/>
  <c r="AO454" i="6"/>
  <c r="AN454" i="6"/>
  <c r="A454" i="6"/>
  <c r="AH453" i="6"/>
  <c r="AI453" i="6"/>
  <c r="A453" i="6"/>
  <c r="A452" i="6"/>
  <c r="A451" i="6"/>
  <c r="A450" i="6"/>
  <c r="A449" i="6"/>
  <c r="AQ448" i="6"/>
  <c r="A448" i="6"/>
  <c r="A447" i="6"/>
  <c r="A446" i="6"/>
  <c r="A445" i="6"/>
  <c r="A444" i="6"/>
  <c r="A443" i="6"/>
  <c r="A442" i="6"/>
  <c r="A441" i="6"/>
  <c r="A439" i="6"/>
  <c r="A438" i="6"/>
  <c r="AQ437" i="6"/>
  <c r="A437" i="6"/>
  <c r="A436" i="6"/>
  <c r="A435" i="6"/>
  <c r="AQ434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Q414" i="6"/>
  <c r="A414" i="6"/>
  <c r="A413" i="6"/>
  <c r="A412" i="6"/>
  <c r="A411" i="6"/>
  <c r="A410" i="6"/>
  <c r="A409" i="6"/>
  <c r="A408" i="6"/>
  <c r="A407" i="6"/>
  <c r="A406" i="6"/>
  <c r="A405" i="6"/>
  <c r="A404" i="6"/>
  <c r="S394" i="6"/>
  <c r="A394" i="6"/>
  <c r="A393" i="6"/>
  <c r="S393" i="6" s="1"/>
  <c r="S392" i="6"/>
  <c r="A392" i="6"/>
  <c r="A391" i="6"/>
  <c r="S391" i="6" s="1"/>
  <c r="S390" i="6"/>
  <c r="A390" i="6"/>
  <c r="A389" i="6"/>
  <c r="S389" i="6" s="1"/>
  <c r="S388" i="6"/>
  <c r="A388" i="6"/>
  <c r="S387" i="6"/>
  <c r="A387" i="6"/>
  <c r="S386" i="6"/>
  <c r="A386" i="6"/>
  <c r="S385" i="6"/>
  <c r="A385" i="6"/>
  <c r="S384" i="6"/>
  <c r="A384" i="6"/>
  <c r="A383" i="6"/>
  <c r="S382" i="6"/>
  <c r="A382" i="6"/>
  <c r="A381" i="6"/>
  <c r="S380" i="6"/>
  <c r="A380" i="6"/>
  <c r="S379" i="6"/>
  <c r="A379" i="6"/>
  <c r="Q395" i="6"/>
  <c r="P395" i="6" s="1"/>
  <c r="A378" i="6"/>
  <c r="F395" i="6" s="1"/>
  <c r="E395" i="6" s="1"/>
  <c r="A377" i="6"/>
  <c r="A376" i="6"/>
  <c r="S376" i="6" s="1"/>
  <c r="A375" i="6"/>
  <c r="S374" i="6"/>
  <c r="A374" i="6"/>
  <c r="A373" i="6"/>
  <c r="A372" i="6"/>
  <c r="S371" i="6"/>
  <c r="A371" i="6"/>
  <c r="A370" i="6"/>
  <c r="S370" i="6" s="1"/>
  <c r="A369" i="6"/>
  <c r="S368" i="6"/>
  <c r="A368" i="6"/>
  <c r="A367" i="6"/>
  <c r="A366" i="6"/>
  <c r="A365" i="6"/>
  <c r="A364" i="6"/>
  <c r="A363" i="6"/>
  <c r="L362" i="6"/>
  <c r="S362" i="6" s="1"/>
  <c r="A362" i="6"/>
  <c r="A361" i="6"/>
  <c r="S360" i="6"/>
  <c r="Q362" i="6"/>
  <c r="S363" i="6" s="1"/>
  <c r="K360" i="6"/>
  <c r="D362" i="6"/>
  <c r="E362" i="6" s="1"/>
  <c r="A360" i="6"/>
  <c r="F362" i="6" s="1"/>
  <c r="A359" i="6"/>
  <c r="A348" i="6"/>
  <c r="A347" i="6"/>
  <c r="A346" i="6"/>
  <c r="A345" i="6"/>
  <c r="A344" i="6"/>
  <c r="S344" i="6" s="1"/>
  <c r="S343" i="6"/>
  <c r="A343" i="6"/>
  <c r="S342" i="6"/>
  <c r="N342" i="6"/>
  <c r="A342" i="6"/>
  <c r="S341" i="6"/>
  <c r="N341" i="6"/>
  <c r="A341" i="6"/>
  <c r="A340" i="6"/>
  <c r="N340" i="6" s="1"/>
  <c r="S339" i="6"/>
  <c r="N339" i="6"/>
  <c r="A339" i="6"/>
  <c r="S338" i="6"/>
  <c r="A338" i="6"/>
  <c r="S337" i="6"/>
  <c r="N337" i="6"/>
  <c r="A337" i="6"/>
  <c r="S336" i="6"/>
  <c r="A336" i="6"/>
  <c r="A335" i="6"/>
  <c r="A334" i="6"/>
  <c r="N333" i="6"/>
  <c r="S333" i="6"/>
  <c r="A333" i="6"/>
  <c r="A332" i="6"/>
  <c r="A331" i="6"/>
  <c r="A330" i="6"/>
  <c r="S329" i="6"/>
  <c r="N329" i="6"/>
  <c r="A329" i="6"/>
  <c r="A328" i="6"/>
  <c r="S327" i="6"/>
  <c r="A327" i="6"/>
  <c r="A326" i="6"/>
  <c r="A325" i="6"/>
  <c r="S324" i="6"/>
  <c r="A324" i="6"/>
  <c r="N323" i="6"/>
  <c r="A323" i="6"/>
  <c r="S323" i="6" s="1"/>
  <c r="N322" i="6"/>
  <c r="A322" i="6"/>
  <c r="S321" i="6"/>
  <c r="A321" i="6"/>
  <c r="N321" i="6" s="1"/>
  <c r="A320" i="6"/>
  <c r="N320" i="6" s="1"/>
  <c r="A319" i="6"/>
  <c r="S319" i="6" s="1"/>
  <c r="A318" i="6"/>
  <c r="A317" i="6"/>
  <c r="A316" i="6"/>
  <c r="A315" i="6"/>
  <c r="A314" i="6"/>
  <c r="A313" i="6"/>
  <c r="K312" i="6"/>
  <c r="A312" i="6"/>
  <c r="A311" i="6"/>
  <c r="A310" i="6"/>
  <c r="A309" i="6"/>
  <c r="A308" i="6"/>
  <c r="A307" i="6"/>
  <c r="A306" i="6"/>
  <c r="A305" i="6"/>
  <c r="A304" i="6"/>
  <c r="S303" i="6"/>
  <c r="R303" i="6"/>
  <c r="P303" i="6"/>
  <c r="N303" i="6"/>
  <c r="K303" i="6"/>
  <c r="E303" i="6"/>
  <c r="A303" i="6"/>
  <c r="K302" i="6"/>
  <c r="A302" i="6"/>
  <c r="N301" i="6"/>
  <c r="E301" i="6"/>
  <c r="A301" i="6"/>
  <c r="K300" i="6"/>
  <c r="A300" i="6"/>
  <c r="A299" i="6"/>
  <c r="N298" i="6"/>
  <c r="E298" i="6"/>
  <c r="A298" i="6"/>
  <c r="M297" i="6"/>
  <c r="A297" i="6"/>
  <c r="A296" i="6"/>
  <c r="N295" i="6"/>
  <c r="E295" i="6"/>
  <c r="A295" i="6"/>
  <c r="A294" i="6"/>
  <c r="K287" i="6"/>
  <c r="S284" i="6"/>
  <c r="N284" i="6"/>
  <c r="A284" i="6"/>
  <c r="S283" i="6"/>
  <c r="N283" i="6"/>
  <c r="A283" i="6"/>
  <c r="N282" i="6"/>
  <c r="A282" i="6"/>
  <c r="S282" i="6" s="1"/>
  <c r="A281" i="6"/>
  <c r="A280" i="6"/>
  <c r="A279" i="6"/>
  <c r="N278" i="6"/>
  <c r="A278" i="6"/>
  <c r="A277" i="6"/>
  <c r="S276" i="6"/>
  <c r="A276" i="6"/>
  <c r="A275" i="6"/>
  <c r="S274" i="6"/>
  <c r="N274" i="6"/>
  <c r="A274" i="6"/>
  <c r="A273" i="6"/>
  <c r="A272" i="6"/>
  <c r="A271" i="6"/>
  <c r="A270" i="6"/>
  <c r="S269" i="6"/>
  <c r="A269" i="6"/>
  <c r="A268" i="6"/>
  <c r="N267" i="6"/>
  <c r="A267" i="6"/>
  <c r="A266" i="6"/>
  <c r="S265" i="6"/>
  <c r="N265" i="6"/>
  <c r="A265" i="6"/>
  <c r="A264" i="6"/>
  <c r="S264" i="6" s="1"/>
  <c r="A263" i="6"/>
  <c r="A262" i="6"/>
  <c r="A261" i="6"/>
  <c r="S260" i="6"/>
  <c r="N260" i="6"/>
  <c r="A260" i="6"/>
  <c r="A259" i="6"/>
  <c r="S259" i="6" s="1"/>
  <c r="A258" i="6"/>
  <c r="S257" i="6"/>
  <c r="A257" i="6"/>
  <c r="N256" i="6"/>
  <c r="A256" i="6"/>
  <c r="S255" i="6"/>
  <c r="N255" i="6"/>
  <c r="A255" i="6"/>
  <c r="A254" i="6"/>
  <c r="A253" i="6"/>
  <c r="A252" i="6"/>
  <c r="A251" i="6"/>
  <c r="K250" i="6"/>
  <c r="L251" i="6" s="1"/>
  <c r="A250" i="6"/>
  <c r="A249" i="6"/>
  <c r="S248" i="6"/>
  <c r="Q248" i="6"/>
  <c r="N248" i="6"/>
  <c r="L248" i="6"/>
  <c r="F248" i="6"/>
  <c r="A248" i="6"/>
  <c r="R247" i="6"/>
  <c r="M247" i="6"/>
  <c r="A247" i="6"/>
  <c r="A246" i="6"/>
  <c r="Q245" i="6"/>
  <c r="F245" i="6"/>
  <c r="A245" i="6"/>
  <c r="P285" i="6"/>
  <c r="P250" i="6"/>
  <c r="R244" i="6"/>
  <c r="M244" i="6"/>
  <c r="E250" i="6"/>
  <c r="A244" i="6"/>
  <c r="A243" i="6"/>
  <c r="A242" i="6"/>
  <c r="S241" i="6"/>
  <c r="R241" i="6"/>
  <c r="Q242" i="6"/>
  <c r="L242" i="6"/>
  <c r="F242" i="6"/>
  <c r="A241" i="6"/>
  <c r="A240" i="6"/>
  <c r="A239" i="6"/>
  <c r="A228" i="6"/>
  <c r="S228" i="6" s="1"/>
  <c r="A227" i="6"/>
  <c r="S226" i="6"/>
  <c r="N226" i="6"/>
  <c r="A226" i="6"/>
  <c r="N225" i="6"/>
  <c r="S225" i="6"/>
  <c r="A225" i="6"/>
  <c r="S224" i="6"/>
  <c r="N224" i="6"/>
  <c r="A224" i="6"/>
  <c r="N223" i="6"/>
  <c r="A223" i="6"/>
  <c r="S223" i="6" s="1"/>
  <c r="A222" i="6"/>
  <c r="S222" i="6" s="1"/>
  <c r="A221" i="6"/>
  <c r="S220" i="6"/>
  <c r="N220" i="6"/>
  <c r="A220" i="6"/>
  <c r="N219" i="6"/>
  <c r="A219" i="6"/>
  <c r="A218" i="6"/>
  <c r="S217" i="6"/>
  <c r="N217" i="6"/>
  <c r="A217" i="6"/>
  <c r="A216" i="6"/>
  <c r="S216" i="6" s="1"/>
  <c r="N215" i="6"/>
  <c r="A215" i="6"/>
  <c r="A214" i="6"/>
  <c r="S213" i="6"/>
  <c r="N213" i="6"/>
  <c r="A213" i="6"/>
  <c r="A212" i="6"/>
  <c r="N211" i="6"/>
  <c r="A211" i="6"/>
  <c r="A210" i="6"/>
  <c r="S209" i="6"/>
  <c r="A209" i="6"/>
  <c r="S208" i="6"/>
  <c r="N208" i="6"/>
  <c r="A208" i="6"/>
  <c r="A207" i="6"/>
  <c r="S207" i="6" s="1"/>
  <c r="S206" i="6"/>
  <c r="N206" i="6"/>
  <c r="A206" i="6"/>
  <c r="A205" i="6"/>
  <c r="S204" i="6"/>
  <c r="A204" i="6"/>
  <c r="A203" i="6"/>
  <c r="A202" i="6"/>
  <c r="S201" i="6"/>
  <c r="A201" i="6"/>
  <c r="S200" i="6"/>
  <c r="N200" i="6"/>
  <c r="A200" i="6"/>
  <c r="A199" i="6"/>
  <c r="S198" i="6"/>
  <c r="A198" i="6"/>
  <c r="A197" i="6"/>
  <c r="A196" i="6"/>
  <c r="A195" i="6"/>
  <c r="L194" i="6"/>
  <c r="A194" i="6"/>
  <c r="A193" i="6"/>
  <c r="L192" i="6"/>
  <c r="A192" i="6"/>
  <c r="F192" i="6"/>
  <c r="A191" i="6"/>
  <c r="A190" i="6"/>
  <c r="L189" i="6"/>
  <c r="A189" i="6"/>
  <c r="R188" i="6"/>
  <c r="N188" i="6"/>
  <c r="F189" i="6"/>
  <c r="A188" i="6"/>
  <c r="M188" i="6" s="1"/>
  <c r="A187" i="6"/>
  <c r="A186" i="6"/>
  <c r="A185" i="6"/>
  <c r="N184" i="6"/>
  <c r="A184" i="6"/>
  <c r="A183" i="6"/>
  <c r="M182" i="6"/>
  <c r="A182" i="6"/>
  <c r="S181" i="6"/>
  <c r="Q182" i="6"/>
  <c r="R181" i="6"/>
  <c r="L182" i="6"/>
  <c r="M181" i="6"/>
  <c r="A181" i="6"/>
  <c r="A180" i="6"/>
  <c r="R179" i="6"/>
  <c r="A179" i="6"/>
  <c r="M178" i="6"/>
  <c r="A178" i="6"/>
  <c r="F179" i="6" s="1"/>
  <c r="A177" i="6"/>
  <c r="A176" i="6"/>
  <c r="S175" i="6"/>
  <c r="Q176" i="6"/>
  <c r="L176" i="6"/>
  <c r="M175" i="6"/>
  <c r="A175" i="6"/>
  <c r="A174" i="6"/>
  <c r="A173" i="6"/>
  <c r="L185" i="6"/>
  <c r="E185" i="6"/>
  <c r="E194" i="6" s="1"/>
  <c r="A172" i="6"/>
  <c r="A171" i="6"/>
  <c r="A162" i="6"/>
  <c r="A161" i="6"/>
  <c r="S161" i="6" s="1"/>
  <c r="N160" i="6"/>
  <c r="S160" i="6"/>
  <c r="A160" i="6"/>
  <c r="V159" i="6"/>
  <c r="A159" i="6"/>
  <c r="S158" i="6"/>
  <c r="A158" i="6"/>
  <c r="A157" i="6"/>
  <c r="A156" i="6"/>
  <c r="A155" i="6"/>
  <c r="A154" i="6"/>
  <c r="A153" i="6"/>
  <c r="A152" i="6"/>
  <c r="S151" i="6"/>
  <c r="N151" i="6"/>
  <c r="A151" i="6"/>
  <c r="A150" i="6"/>
  <c r="A149" i="6"/>
  <c r="S149" i="6" s="1"/>
  <c r="S148" i="6"/>
  <c r="A148" i="6"/>
  <c r="S147" i="6"/>
  <c r="A147" i="6"/>
  <c r="S146" i="6"/>
  <c r="A146" i="6"/>
  <c r="A145" i="6"/>
  <c r="S144" i="6"/>
  <c r="A144" i="6"/>
  <c r="S143" i="6"/>
  <c r="A143" i="6"/>
  <c r="S142" i="6"/>
  <c r="A142" i="6"/>
  <c r="S141" i="6"/>
  <c r="N141" i="6"/>
  <c r="A141" i="6"/>
  <c r="A140" i="6"/>
  <c r="S139" i="6"/>
  <c r="N139" i="6"/>
  <c r="A139" i="6"/>
  <c r="L153" i="6"/>
  <c r="A138" i="6"/>
  <c r="A137" i="6"/>
  <c r="N136" i="6"/>
  <c r="A136" i="6"/>
  <c r="A135" i="6"/>
  <c r="A134" i="6"/>
  <c r="S133" i="6"/>
  <c r="A133" i="6"/>
  <c r="S132" i="6"/>
  <c r="A132" i="6"/>
  <c r="N131" i="6"/>
  <c r="A131" i="6"/>
  <c r="N130" i="6"/>
  <c r="A130" i="6"/>
  <c r="S129" i="6"/>
  <c r="N129" i="6"/>
  <c r="A129" i="6"/>
  <c r="A128" i="6"/>
  <c r="A127" i="6"/>
  <c r="S126" i="6"/>
  <c r="N126" i="6"/>
  <c r="A126" i="6"/>
  <c r="A125" i="6"/>
  <c r="N124" i="6"/>
  <c r="A124" i="6"/>
  <c r="A123" i="6"/>
  <c r="A122" i="6"/>
  <c r="A121" i="6"/>
  <c r="A120" i="6"/>
  <c r="A119" i="6"/>
  <c r="W118" i="6"/>
  <c r="N118" i="6"/>
  <c r="S118" i="6"/>
  <c r="A118" i="6"/>
  <c r="A117" i="6"/>
  <c r="A116" i="6"/>
  <c r="N115" i="6"/>
  <c r="A115" i="6"/>
  <c r="S114" i="6"/>
  <c r="A114" i="6"/>
  <c r="N114" i="6" s="1"/>
  <c r="S113" i="6"/>
  <c r="A113" i="6"/>
  <c r="N112" i="6"/>
  <c r="S112" i="6"/>
  <c r="A112" i="6"/>
  <c r="A111" i="6"/>
  <c r="A110" i="6"/>
  <c r="A109" i="6"/>
  <c r="A108" i="6"/>
  <c r="A107" i="6"/>
  <c r="A106" i="6"/>
  <c r="A105" i="6"/>
  <c r="S104" i="6"/>
  <c r="N104" i="6"/>
  <c r="E104" i="6"/>
  <c r="A104" i="6"/>
  <c r="N103" i="6"/>
  <c r="A103" i="6"/>
  <c r="E103" i="6" s="1"/>
  <c r="L105" i="6"/>
  <c r="A102" i="6"/>
  <c r="A101" i="6"/>
  <c r="K100" i="6"/>
  <c r="A100" i="6"/>
  <c r="A99" i="6"/>
  <c r="A98" i="6"/>
  <c r="L97" i="6"/>
  <c r="A97" i="6"/>
  <c r="K96" i="6"/>
  <c r="A96" i="6"/>
  <c r="S96" i="6" s="1"/>
  <c r="M95" i="6"/>
  <c r="E95" i="6"/>
  <c r="A95" i="6"/>
  <c r="K94" i="6"/>
  <c r="A94" i="6"/>
  <c r="A93" i="6"/>
  <c r="S89" i="6"/>
  <c r="C89" i="6"/>
  <c r="B85" i="6"/>
  <c r="A85" i="6" s="1"/>
  <c r="B84" i="6"/>
  <c r="A84" i="6" s="1"/>
  <c r="B83" i="6"/>
  <c r="A83" i="6" s="1"/>
  <c r="V82" i="6"/>
  <c r="B82" i="6"/>
  <c r="A82" i="6"/>
  <c r="N81" i="6"/>
  <c r="B81" i="6"/>
  <c r="A81" i="6" s="1"/>
  <c r="B80" i="6"/>
  <c r="A80" i="6" s="1"/>
  <c r="B79" i="6"/>
  <c r="B78" i="6"/>
  <c r="A78" i="6" s="1"/>
  <c r="B77" i="6"/>
  <c r="B76" i="6"/>
  <c r="A76" i="6"/>
  <c r="B75" i="6"/>
  <c r="A75" i="6" s="1"/>
  <c r="B74" i="6"/>
  <c r="A74" i="6"/>
  <c r="B73" i="6"/>
  <c r="A73" i="6" s="1"/>
  <c r="B72" i="6"/>
  <c r="A72" i="6"/>
  <c r="B71" i="6"/>
  <c r="B70" i="6"/>
  <c r="A70" i="6"/>
  <c r="S69" i="6"/>
  <c r="B69" i="6"/>
  <c r="A69" i="6"/>
  <c r="N69" i="6" s="1"/>
  <c r="B68" i="6"/>
  <c r="A68" i="6"/>
  <c r="S67" i="6"/>
  <c r="B67" i="6"/>
  <c r="A67" i="6" s="1"/>
  <c r="B66" i="6"/>
  <c r="B65" i="6"/>
  <c r="A65" i="6" s="1"/>
  <c r="B64" i="6"/>
  <c r="A64" i="6" s="1"/>
  <c r="B63" i="6"/>
  <c r="A63" i="6"/>
  <c r="B62" i="6"/>
  <c r="A62" i="6"/>
  <c r="N61" i="6"/>
  <c r="B61" i="6"/>
  <c r="A61" i="6" s="1"/>
  <c r="B60" i="6"/>
  <c r="A60" i="6" s="1"/>
  <c r="B59" i="6"/>
  <c r="B58" i="6"/>
  <c r="A58" i="6" s="1"/>
  <c r="B57" i="6"/>
  <c r="B56" i="6"/>
  <c r="A56" i="6"/>
  <c r="N55" i="6"/>
  <c r="B55" i="6"/>
  <c r="A55" i="6" s="1"/>
  <c r="B54" i="6"/>
  <c r="A54" i="6" s="1"/>
  <c r="S53" i="6"/>
  <c r="B53" i="6"/>
  <c r="A53" i="6"/>
  <c r="B52" i="6"/>
  <c r="A52" i="6"/>
  <c r="N52" i="6" s="1"/>
  <c r="B51" i="6"/>
  <c r="A51" i="6"/>
  <c r="S51" i="6" s="1"/>
  <c r="B50" i="6"/>
  <c r="B49" i="6"/>
  <c r="B48" i="6"/>
  <c r="B47" i="6"/>
  <c r="A47" i="6"/>
  <c r="B46" i="6"/>
  <c r="S46" i="6" s="1"/>
  <c r="A46" i="6"/>
  <c r="B45" i="6"/>
  <c r="A45" i="6"/>
  <c r="S45" i="6" s="1"/>
  <c r="B44" i="6"/>
  <c r="A44" i="6" s="1"/>
  <c r="B43" i="6"/>
  <c r="B42" i="6"/>
  <c r="B41" i="6"/>
  <c r="A41" i="6" s="1"/>
  <c r="B40" i="6"/>
  <c r="S39" i="6"/>
  <c r="B39" i="6"/>
  <c r="A39" i="6"/>
  <c r="B38" i="6"/>
  <c r="A38" i="6"/>
  <c r="W37" i="6"/>
  <c r="AQ415" i="6" s="1"/>
  <c r="B37" i="6"/>
  <c r="A37" i="6"/>
  <c r="B36" i="6"/>
  <c r="B35" i="6"/>
  <c r="A35" i="6"/>
  <c r="B34" i="6"/>
  <c r="A34" i="6" s="1"/>
  <c r="B33" i="6"/>
  <c r="A33" i="6"/>
  <c r="B32" i="6"/>
  <c r="A32" i="6"/>
  <c r="B31" i="6"/>
  <c r="A31" i="6" s="1"/>
  <c r="B30" i="6"/>
  <c r="A30" i="6"/>
  <c r="B29" i="6"/>
  <c r="A29" i="6" s="1"/>
  <c r="B28" i="6"/>
  <c r="A28" i="6"/>
  <c r="B27" i="6"/>
  <c r="A27" i="6"/>
  <c r="B26" i="6"/>
  <c r="A26" i="6" s="1"/>
  <c r="B25" i="6"/>
  <c r="A25" i="6"/>
  <c r="B24" i="6"/>
  <c r="A24" i="6"/>
  <c r="B23" i="6"/>
  <c r="B22" i="6"/>
  <c r="A22" i="6" s="1"/>
  <c r="B21" i="6"/>
  <c r="A21" i="6"/>
  <c r="B20" i="6"/>
  <c r="A20" i="6" s="1"/>
  <c r="R19" i="6"/>
  <c r="B19" i="6"/>
  <c r="A19" i="6"/>
  <c r="B18" i="6"/>
  <c r="A18" i="6" s="1"/>
  <c r="P17" i="6"/>
  <c r="N17" i="6"/>
  <c r="K17" i="6"/>
  <c r="M17" i="6"/>
  <c r="E17" i="6"/>
  <c r="B17" i="6"/>
  <c r="A17" i="6"/>
  <c r="B16" i="6"/>
  <c r="A16" i="6"/>
  <c r="K15" i="6"/>
  <c r="B15" i="6"/>
  <c r="A15" i="6"/>
  <c r="B14" i="6"/>
  <c r="A14" i="6" s="1"/>
  <c r="B13" i="6"/>
  <c r="A13" i="6"/>
  <c r="N12" i="6"/>
  <c r="B12" i="6"/>
  <c r="A12" i="6"/>
  <c r="E12" i="6" s="1"/>
  <c r="E11" i="6"/>
  <c r="B11" i="6"/>
  <c r="A11" i="6"/>
  <c r="B10" i="6"/>
  <c r="A10" i="6"/>
  <c r="B9" i="6"/>
  <c r="A9" i="6" s="1"/>
  <c r="P8" i="6"/>
  <c r="N8" i="6"/>
  <c r="B8" i="6"/>
  <c r="A8" i="6"/>
  <c r="N7" i="6"/>
  <c r="B7" i="6"/>
  <c r="A7" i="6"/>
  <c r="E7" i="6" s="1"/>
  <c r="E6" i="6"/>
  <c r="B6" i="6"/>
  <c r="A6" i="6"/>
  <c r="B5" i="6"/>
  <c r="S242" i="6" l="1"/>
  <c r="S115" i="6"/>
  <c r="L54" i="6"/>
  <c r="S60" i="6"/>
  <c r="S116" i="6"/>
  <c r="S120" i="6"/>
  <c r="N37" i="6"/>
  <c r="S37" i="6"/>
  <c r="E9" i="6"/>
  <c r="P9" i="6"/>
  <c r="N32" i="6"/>
  <c r="N121" i="6"/>
  <c r="K9" i="6"/>
  <c r="M9" i="6"/>
  <c r="S44" i="6"/>
  <c r="P10" i="6"/>
  <c r="E10" i="6"/>
  <c r="S33" i="6"/>
  <c r="S70" i="6"/>
  <c r="S11" i="6"/>
  <c r="S10" i="6"/>
  <c r="L13" i="6"/>
  <c r="L27" i="6" s="1"/>
  <c r="N6" i="6"/>
  <c r="K40" i="6"/>
  <c r="M7" i="6"/>
  <c r="K11" i="6"/>
  <c r="M11" i="6"/>
  <c r="R11" i="6"/>
  <c r="L24" i="6"/>
  <c r="S52" i="6"/>
  <c r="S80" i="6"/>
  <c r="S47" i="6"/>
  <c r="N47" i="6"/>
  <c r="K38" i="6"/>
  <c r="S38" i="6"/>
  <c r="A5" i="6"/>
  <c r="D53" i="6"/>
  <c r="R7" i="6"/>
  <c r="E22" i="6"/>
  <c r="K153" i="6"/>
  <c r="K6" i="6"/>
  <c r="M6" i="6"/>
  <c r="E15" i="6"/>
  <c r="S22" i="6"/>
  <c r="S63" i="6"/>
  <c r="N63" i="6"/>
  <c r="A40" i="6"/>
  <c r="A57" i="6"/>
  <c r="S61" i="6"/>
  <c r="N68" i="6"/>
  <c r="A77" i="6"/>
  <c r="S81" i="6"/>
  <c r="R95" i="6"/>
  <c r="S124" i="6"/>
  <c r="S127" i="6"/>
  <c r="N127" i="6"/>
  <c r="L135" i="6"/>
  <c r="R175" i="6"/>
  <c r="Q266" i="6"/>
  <c r="S254" i="6"/>
  <c r="N19" i="6"/>
  <c r="N22" i="6"/>
  <c r="S19" i="6"/>
  <c r="N21" i="6"/>
  <c r="N35" i="6"/>
  <c r="N44" i="6"/>
  <c r="N75" i="6"/>
  <c r="N80" i="6"/>
  <c r="N102" i="6"/>
  <c r="S157" i="6"/>
  <c r="N157" i="6"/>
  <c r="S152" i="6"/>
  <c r="N152" i="6"/>
  <c r="M12" i="6"/>
  <c r="N60" i="6"/>
  <c r="K7" i="6"/>
  <c r="P11" i="6"/>
  <c r="K12" i="6"/>
  <c r="M15" i="6"/>
  <c r="S21" i="6"/>
  <c r="A43" i="6"/>
  <c r="A48" i="6"/>
  <c r="N51" i="6"/>
  <c r="A59" i="6"/>
  <c r="N67" i="6"/>
  <c r="S68" i="6"/>
  <c r="N70" i="6"/>
  <c r="A79" i="6"/>
  <c r="N94" i="6"/>
  <c r="K95" i="6"/>
  <c r="N117" i="6"/>
  <c r="E8" i="6"/>
  <c r="R17" i="6"/>
  <c r="S55" i="6"/>
  <c r="N82" i="6"/>
  <c r="F97" i="6"/>
  <c r="N120" i="6"/>
  <c r="N100" i="6"/>
  <c r="N46" i="6"/>
  <c r="S17" i="6"/>
  <c r="AF409" i="6"/>
  <c r="S117" i="6"/>
  <c r="L122" i="6"/>
  <c r="N133" i="6"/>
  <c r="S145" i="6"/>
  <c r="N15" i="6"/>
  <c r="N62" i="6"/>
  <c r="S75" i="6"/>
  <c r="S6" i="6"/>
  <c r="R8" i="6"/>
  <c r="J13" i="6"/>
  <c r="S8" i="6"/>
  <c r="P12" i="6"/>
  <c r="A23" i="6"/>
  <c r="S35" i="6"/>
  <c r="K39" i="6"/>
  <c r="A50" i="6"/>
  <c r="A66" i="6"/>
  <c r="N95" i="6"/>
  <c r="J97" i="6"/>
  <c r="S100" i="6"/>
  <c r="S102" i="6"/>
  <c r="J113" i="6"/>
  <c r="S125" i="6"/>
  <c r="N125" i="6"/>
  <c r="S128" i="6"/>
  <c r="S137" i="6"/>
  <c r="N137" i="6"/>
  <c r="A36" i="6"/>
  <c r="N38" i="6"/>
  <c r="A42" i="6"/>
  <c r="N45" i="6"/>
  <c r="N53" i="6"/>
  <c r="S62" i="6"/>
  <c r="A71" i="6"/>
  <c r="Z472" i="6"/>
  <c r="S82" i="6"/>
  <c r="S94" i="6"/>
  <c r="L108" i="6"/>
  <c r="S150" i="6"/>
  <c r="N150" i="6"/>
  <c r="K8" i="6"/>
  <c r="S15" i="6"/>
  <c r="Z430" i="6"/>
  <c r="V485" i="6"/>
  <c r="A485" i="6" s="1"/>
  <c r="AF475" i="6"/>
  <c r="AL476" i="6"/>
  <c r="AO476" i="6" s="1"/>
  <c r="AL435" i="6"/>
  <c r="V402" i="6"/>
  <c r="AF450" i="6"/>
  <c r="AF425" i="6"/>
  <c r="AF422" i="6"/>
  <c r="AF476" i="6"/>
  <c r="AF447" i="6"/>
  <c r="AF444" i="6"/>
  <c r="Z435" i="6"/>
  <c r="AF417" i="6"/>
  <c r="AF451" i="6"/>
  <c r="AF432" i="6"/>
  <c r="AL430" i="6"/>
  <c r="AL412" i="6"/>
  <c r="Z448" i="6"/>
  <c r="AF442" i="6"/>
  <c r="AF424" i="6"/>
  <c r="Z439" i="6"/>
  <c r="AL434" i="6"/>
  <c r="AF480" i="6"/>
  <c r="C291" i="6"/>
  <c r="C356" i="6" s="1"/>
  <c r="C236" i="6"/>
  <c r="C168" i="6"/>
  <c r="AL472" i="6" s="1"/>
  <c r="AO472" i="6" s="1"/>
  <c r="AF421" i="6"/>
  <c r="AF427" i="6"/>
  <c r="N113" i="6"/>
  <c r="N119" i="6"/>
  <c r="S138" i="6"/>
  <c r="N138" i="6"/>
  <c r="N143" i="6"/>
  <c r="O97" i="6"/>
  <c r="P121" i="6" s="1"/>
  <c r="E94" i="6"/>
  <c r="R94" i="6"/>
  <c r="P95" i="6"/>
  <c r="E100" i="6"/>
  <c r="AO485" i="6"/>
  <c r="S356" i="6"/>
  <c r="AO402" i="6"/>
  <c r="S291" i="6"/>
  <c r="S236" i="6"/>
  <c r="S168" i="6"/>
  <c r="S7" i="6"/>
  <c r="E19" i="6"/>
  <c r="E21" i="6"/>
  <c r="L72" i="6"/>
  <c r="K72" i="6" s="1"/>
  <c r="S95" i="6"/>
  <c r="P96" i="6"/>
  <c r="F105" i="6"/>
  <c r="D113" i="6" s="1"/>
  <c r="E102" i="6"/>
  <c r="O113" i="6"/>
  <c r="S121" i="6"/>
  <c r="S123" i="6"/>
  <c r="L163" i="6"/>
  <c r="S12" i="6"/>
  <c r="R12" i="6"/>
  <c r="A49" i="6"/>
  <c r="S56" i="6"/>
  <c r="S76" i="6"/>
  <c r="Q105" i="6"/>
  <c r="J112" i="6"/>
  <c r="P119" i="6"/>
  <c r="Q163" i="6"/>
  <c r="S156" i="6"/>
  <c r="W159" i="6"/>
  <c r="S131" i="6"/>
  <c r="S136" i="6"/>
  <c r="N146" i="6"/>
  <c r="P295" i="6"/>
  <c r="R295" i="6"/>
  <c r="F185" i="6"/>
  <c r="F173" i="6"/>
  <c r="N175" i="6"/>
  <c r="F176" i="6"/>
  <c r="N181" i="6"/>
  <c r="F182" i="6"/>
  <c r="S221" i="6"/>
  <c r="N221" i="6"/>
  <c r="N254" i="6"/>
  <c r="L266" i="6"/>
  <c r="S256" i="6"/>
  <c r="Q304" i="6"/>
  <c r="R360" i="6"/>
  <c r="P360" i="6"/>
  <c r="O362" i="6"/>
  <c r="N205" i="6"/>
  <c r="S263" i="6"/>
  <c r="N263" i="6"/>
  <c r="J185" i="6"/>
  <c r="S184" i="6"/>
  <c r="Q210" i="6"/>
  <c r="N201" i="6"/>
  <c r="S205" i="6"/>
  <c r="Q229" i="6"/>
  <c r="S214" i="6"/>
  <c r="S218" i="6"/>
  <c r="M296" i="6"/>
  <c r="N134" i="6"/>
  <c r="N144" i="6"/>
  <c r="K185" i="6"/>
  <c r="K174" i="6"/>
  <c r="M172" i="6"/>
  <c r="N178" i="6"/>
  <c r="S211" i="6"/>
  <c r="N279" i="6"/>
  <c r="K296" i="6"/>
  <c r="S318" i="6"/>
  <c r="L186" i="6"/>
  <c r="R178" i="6"/>
  <c r="N212" i="6"/>
  <c r="S219" i="6"/>
  <c r="S267" i="6"/>
  <c r="N318" i="6"/>
  <c r="F330" i="6"/>
  <c r="N128" i="6"/>
  <c r="N132" i="6"/>
  <c r="S134" i="6"/>
  <c r="S140" i="6"/>
  <c r="N140" i="6"/>
  <c r="N142" i="6"/>
  <c r="N158" i="6"/>
  <c r="R172" i="6"/>
  <c r="P177" i="6"/>
  <c r="P183" i="6"/>
  <c r="S272" i="6"/>
  <c r="N272" i="6"/>
  <c r="P298" i="6"/>
  <c r="R298" i="6"/>
  <c r="S188" i="6"/>
  <c r="N199" i="6"/>
  <c r="S199" i="6"/>
  <c r="M307" i="6"/>
  <c r="N345" i="6"/>
  <c r="S345" i="6"/>
  <c r="S130" i="6"/>
  <c r="N148" i="6"/>
  <c r="S162" i="6"/>
  <c r="N162" i="6"/>
  <c r="O185" i="6"/>
  <c r="Q250" i="6"/>
  <c r="S273" i="6"/>
  <c r="K307" i="6"/>
  <c r="X194" i="6"/>
  <c r="S203" i="6"/>
  <c r="N203" i="6"/>
  <c r="N258" i="6"/>
  <c r="S258" i="6"/>
  <c r="N281" i="6"/>
  <c r="S281" i="6"/>
  <c r="S297" i="6"/>
  <c r="K297" i="6"/>
  <c r="P301" i="6"/>
  <c r="R301" i="6"/>
  <c r="Q192" i="6"/>
  <c r="L210" i="6"/>
  <c r="S215" i="6"/>
  <c r="L250" i="6"/>
  <c r="L245" i="6"/>
  <c r="S279" i="6"/>
  <c r="S296" i="6"/>
  <c r="M301" i="6"/>
  <c r="K301" i="6"/>
  <c r="S307" i="6"/>
  <c r="S366" i="6"/>
  <c r="S372" i="6"/>
  <c r="L173" i="6"/>
  <c r="L179" i="6"/>
  <c r="N179" i="6" s="1"/>
  <c r="N207" i="6"/>
  <c r="S212" i="6"/>
  <c r="N214" i="6"/>
  <c r="N244" i="6"/>
  <c r="N245" i="6" s="1"/>
  <c r="S245" i="6"/>
  <c r="S261" i="6"/>
  <c r="N270" i="6"/>
  <c r="N277" i="6"/>
  <c r="P287" i="6"/>
  <c r="M295" i="6"/>
  <c r="K295" i="6"/>
  <c r="O304" i="6"/>
  <c r="S301" i="6"/>
  <c r="J304" i="6"/>
  <c r="N328" i="6"/>
  <c r="S335" i="6"/>
  <c r="S346" i="6"/>
  <c r="N145" i="6"/>
  <c r="N159" i="6"/>
  <c r="N172" i="6"/>
  <c r="N216" i="6"/>
  <c r="N227" i="6"/>
  <c r="L229" i="6"/>
  <c r="M241" i="6"/>
  <c r="F266" i="6"/>
  <c r="N261" i="6"/>
  <c r="K266" i="6"/>
  <c r="N268" i="6"/>
  <c r="N275" i="6"/>
  <c r="S277" i="6"/>
  <c r="S295" i="6"/>
  <c r="L304" i="6"/>
  <c r="N324" i="6"/>
  <c r="S332" i="6"/>
  <c r="N338" i="6"/>
  <c r="N259" i="6"/>
  <c r="E299" i="6"/>
  <c r="S300" i="6"/>
  <c r="N308" i="6"/>
  <c r="N347" i="6"/>
  <c r="S347" i="6"/>
  <c r="S373" i="6"/>
  <c r="N147" i="6"/>
  <c r="N149" i="6"/>
  <c r="N161" i="6"/>
  <c r="E174" i="6"/>
  <c r="N198" i="6"/>
  <c r="N202" i="6"/>
  <c r="N218" i="6"/>
  <c r="N222" i="6"/>
  <c r="N241" i="6"/>
  <c r="N264" i="6"/>
  <c r="S270" i="6"/>
  <c r="N273" i="6"/>
  <c r="N280" i="6"/>
  <c r="N300" i="6"/>
  <c r="N319" i="6"/>
  <c r="S322" i="6"/>
  <c r="N343" i="6"/>
  <c r="N156" i="6"/>
  <c r="S159" i="6"/>
  <c r="P180" i="6"/>
  <c r="S202" i="6"/>
  <c r="N209" i="6"/>
  <c r="S227" i="6"/>
  <c r="N257" i="6"/>
  <c r="P266" i="6"/>
  <c r="S268" i="6"/>
  <c r="S275" i="6"/>
  <c r="S280" i="6"/>
  <c r="N297" i="6"/>
  <c r="K299" i="6"/>
  <c r="S325" i="6"/>
  <c r="S247" i="6"/>
  <c r="N247" i="6"/>
  <c r="S262" i="6"/>
  <c r="S271" i="6"/>
  <c r="N299" i="6"/>
  <c r="F304" i="6"/>
  <c r="F309" i="6" s="1"/>
  <c r="F314" i="6" s="1"/>
  <c r="E302" i="6"/>
  <c r="S302" i="6"/>
  <c r="Q189" i="6"/>
  <c r="N204" i="6"/>
  <c r="N262" i="6"/>
  <c r="F285" i="6"/>
  <c r="E285" i="6" s="1"/>
  <c r="N271" i="6"/>
  <c r="N276" i="6"/>
  <c r="S278" i="6"/>
  <c r="K285" i="6"/>
  <c r="M312" i="6"/>
  <c r="E312" i="6"/>
  <c r="P312" i="6"/>
  <c r="S320" i="6"/>
  <c r="N228" i="6"/>
  <c r="S244" i="6"/>
  <c r="N296" i="6"/>
  <c r="E296" i="6"/>
  <c r="M298" i="6"/>
  <c r="K298" i="6"/>
  <c r="S326" i="6"/>
  <c r="N326" i="6"/>
  <c r="F349" i="6"/>
  <c r="F250" i="6"/>
  <c r="L285" i="6"/>
  <c r="S298" i="6"/>
  <c r="S299" i="6"/>
  <c r="N302" i="6"/>
  <c r="N307" i="6"/>
  <c r="S308" i="6"/>
  <c r="S312" i="6"/>
  <c r="R312" i="6" s="1"/>
  <c r="S331" i="6"/>
  <c r="Q377" i="6"/>
  <c r="S378" i="6"/>
  <c r="S328" i="6"/>
  <c r="AH459" i="6"/>
  <c r="AI459" i="6" s="1"/>
  <c r="AO496" i="6"/>
  <c r="AN496" i="6"/>
  <c r="K308" i="6"/>
  <c r="S340" i="6"/>
  <c r="S369" i="6"/>
  <c r="AO460" i="6"/>
  <c r="S334" i="6"/>
  <c r="N344" i="6"/>
  <c r="AN497" i="6"/>
  <c r="N325" i="6"/>
  <c r="N332" i="6"/>
  <c r="N334" i="6"/>
  <c r="N336" i="6"/>
  <c r="S367" i="6"/>
  <c r="S383" i="6"/>
  <c r="S348" i="6"/>
  <c r="F377" i="6"/>
  <c r="AI455" i="6"/>
  <c r="AI491" i="6"/>
  <c r="L330" i="6"/>
  <c r="N327" i="6"/>
  <c r="N346" i="6"/>
  <c r="N348" i="6"/>
  <c r="E360" i="6"/>
  <c r="S365" i="6"/>
  <c r="AH455" i="6"/>
  <c r="AN477" i="6"/>
  <c r="AO477" i="6" s="1"/>
  <c r="AH477" i="6"/>
  <c r="AI477" i="6" s="1"/>
  <c r="AH491" i="6"/>
  <c r="AH494" i="6"/>
  <c r="J362" i="6"/>
  <c r="K362" i="6" s="1"/>
  <c r="L377" i="6"/>
  <c r="AI458" i="6"/>
  <c r="S375" i="6"/>
  <c r="AN420" i="6"/>
  <c r="AH458" i="6"/>
  <c r="L349" i="6"/>
  <c r="N331" i="6"/>
  <c r="N349" i="6" s="1"/>
  <c r="N335" i="6"/>
  <c r="L395" i="6"/>
  <c r="K395" i="6" s="1"/>
  <c r="S381" i="6"/>
  <c r="AO458" i="6"/>
  <c r="AN453" i="6"/>
  <c r="AO469" i="6"/>
  <c r="AN492" i="6"/>
  <c r="AN459" i="6"/>
  <c r="AN455" i="6"/>
  <c r="AO455" i="6" s="1"/>
  <c r="AN458" i="6"/>
  <c r="AN491" i="6"/>
  <c r="AO491" i="6" s="1"/>
  <c r="AN494" i="6"/>
  <c r="AH454" i="6"/>
  <c r="AI454" i="6" s="1"/>
  <c r="AH457" i="6"/>
  <c r="AI457" i="6" s="1"/>
  <c r="AH493" i="6"/>
  <c r="AH460" i="6"/>
  <c r="AH469" i="6"/>
  <c r="AI469" i="6" s="1"/>
  <c r="S163" i="6" l="1"/>
  <c r="E266" i="6"/>
  <c r="F287" i="6"/>
  <c r="E287" i="6" s="1"/>
  <c r="D112" i="6"/>
  <c r="F108" i="6"/>
  <c r="N97" i="6"/>
  <c r="N98" i="6" s="1"/>
  <c r="R304" i="6"/>
  <c r="P304" i="6"/>
  <c r="O309" i="6"/>
  <c r="AE409" i="6"/>
  <c r="K22" i="6"/>
  <c r="R22" i="6" s="1"/>
  <c r="K21" i="6"/>
  <c r="R21" i="6" s="1"/>
  <c r="K23" i="6"/>
  <c r="R23" i="6" s="1"/>
  <c r="K13" i="6"/>
  <c r="J27" i="6"/>
  <c r="J24" i="6"/>
  <c r="K31" i="6" s="1"/>
  <c r="L397" i="6"/>
  <c r="S377" i="6"/>
  <c r="K377" i="6"/>
  <c r="AE417" i="6"/>
  <c r="Z476" i="6"/>
  <c r="AF473" i="6"/>
  <c r="Z431" i="6"/>
  <c r="Z434" i="6"/>
  <c r="Z443" i="6"/>
  <c r="AF413" i="6"/>
  <c r="AL475" i="6"/>
  <c r="P15" i="6"/>
  <c r="S103" i="6"/>
  <c r="S9" i="6"/>
  <c r="S13" i="6" s="1"/>
  <c r="N9" i="6"/>
  <c r="M94" i="6"/>
  <c r="N11" i="6"/>
  <c r="P297" i="6"/>
  <c r="R297" i="6"/>
  <c r="Q251" i="6"/>
  <c r="R250" i="6" s="1"/>
  <c r="AF430" i="6"/>
  <c r="AL413" i="6"/>
  <c r="Z410" i="6"/>
  <c r="AF479" i="6"/>
  <c r="AF438" i="6"/>
  <c r="AF464" i="6"/>
  <c r="AF437" i="6"/>
  <c r="Z480" i="6"/>
  <c r="N76" i="6"/>
  <c r="P114" i="6"/>
  <c r="N23" i="6"/>
  <c r="E23" i="6"/>
  <c r="S23" i="6"/>
  <c r="R100" i="6"/>
  <c r="P100" i="6"/>
  <c r="N65" i="6"/>
  <c r="S65" i="6"/>
  <c r="P113" i="6"/>
  <c r="S105" i="6"/>
  <c r="S106" i="6" s="1"/>
  <c r="S229" i="6"/>
  <c r="K229" i="6"/>
  <c r="F351" i="6"/>
  <c r="E351" i="6" s="1"/>
  <c r="E330" i="6"/>
  <c r="F397" i="6"/>
  <c r="E377" i="6"/>
  <c r="AL410" i="6"/>
  <c r="S48" i="6"/>
  <c r="N48" i="6"/>
  <c r="K54" i="6"/>
  <c r="Q179" i="6"/>
  <c r="S178" i="6"/>
  <c r="R299" i="6"/>
  <c r="P299" i="6"/>
  <c r="M308" i="6"/>
  <c r="E308" i="6"/>
  <c r="R185" i="6"/>
  <c r="Q231" i="6"/>
  <c r="L287" i="6"/>
  <c r="S266" i="6"/>
  <c r="N266" i="6"/>
  <c r="F163" i="6"/>
  <c r="AF449" i="6"/>
  <c r="AF471" i="6"/>
  <c r="Z423" i="6"/>
  <c r="AF416" i="6"/>
  <c r="Z441" i="6"/>
  <c r="AF418" i="6"/>
  <c r="Z450" i="6"/>
  <c r="AI450" i="6" s="1"/>
  <c r="AL447" i="6"/>
  <c r="AL437" i="6"/>
  <c r="F210" i="6"/>
  <c r="M96" i="6"/>
  <c r="E96" i="6"/>
  <c r="N96" i="6"/>
  <c r="N105" i="6"/>
  <c r="N106" i="6" s="1"/>
  <c r="S32" i="6"/>
  <c r="P308" i="6"/>
  <c r="R308" i="6"/>
  <c r="Q285" i="6"/>
  <c r="Q309" i="6"/>
  <c r="F194" i="6"/>
  <c r="F186" i="6"/>
  <c r="N185" i="6"/>
  <c r="N186" i="6" s="1"/>
  <c r="O108" i="6"/>
  <c r="O105" i="6"/>
  <c r="P105" i="6" s="1"/>
  <c r="P118" i="6"/>
  <c r="P112" i="6"/>
  <c r="AN476" i="6"/>
  <c r="AH476" i="6"/>
  <c r="AI476" i="6" s="1"/>
  <c r="S395" i="6"/>
  <c r="E297" i="6"/>
  <c r="L289" i="6"/>
  <c r="N250" i="6"/>
  <c r="N251" i="6" s="1"/>
  <c r="S250" i="6"/>
  <c r="AL424" i="6"/>
  <c r="AL442" i="6"/>
  <c r="AF435" i="6"/>
  <c r="Z411" i="6"/>
  <c r="AF411" i="6"/>
  <c r="AL470" i="6"/>
  <c r="AF440" i="6"/>
  <c r="Z424" i="6"/>
  <c r="AL440" i="6"/>
  <c r="AO440" i="6" s="1"/>
  <c r="N56" i="6"/>
  <c r="S34" i="6"/>
  <c r="N34" i="6"/>
  <c r="K34" i="6"/>
  <c r="Q287" i="6"/>
  <c r="Q289" i="6" s="1"/>
  <c r="J32" i="6"/>
  <c r="P120" i="6"/>
  <c r="AN480" i="6"/>
  <c r="AO480" i="6" s="1"/>
  <c r="AH480" i="6"/>
  <c r="AI480" i="6" s="1"/>
  <c r="AL444" i="6"/>
  <c r="AN444" i="6" s="1"/>
  <c r="S119" i="6"/>
  <c r="O13" i="6"/>
  <c r="AK412" i="6" s="1"/>
  <c r="P6" i="6"/>
  <c r="P117" i="6"/>
  <c r="AI461" i="6"/>
  <c r="AH461" i="6"/>
  <c r="AI460" i="6"/>
  <c r="Q173" i="6"/>
  <c r="Q185" i="6"/>
  <c r="S172" i="6"/>
  <c r="F229" i="6"/>
  <c r="AO453" i="6"/>
  <c r="AL411" i="6"/>
  <c r="Q397" i="6"/>
  <c r="P377" i="6"/>
  <c r="N269" i="6"/>
  <c r="N285" i="6" s="1"/>
  <c r="D185" i="6"/>
  <c r="M299" i="6"/>
  <c r="K186" i="6"/>
  <c r="Z415" i="6"/>
  <c r="AF423" i="6"/>
  <c r="Z444" i="6"/>
  <c r="AL415" i="6"/>
  <c r="Z413" i="6"/>
  <c r="AF443" i="6"/>
  <c r="Z442" i="6"/>
  <c r="N116" i="6"/>
  <c r="Q153" i="6"/>
  <c r="D31" i="6"/>
  <c r="Q135" i="6"/>
  <c r="S135" i="6" s="1"/>
  <c r="AH424" i="6"/>
  <c r="AH420" i="6"/>
  <c r="AI420" i="6" s="1"/>
  <c r="S349" i="6"/>
  <c r="S285" i="6"/>
  <c r="R302" i="6"/>
  <c r="P302" i="6"/>
  <c r="K194" i="6"/>
  <c r="L195" i="6" s="1"/>
  <c r="M185" i="6"/>
  <c r="N78" i="6"/>
  <c r="S78" i="6"/>
  <c r="AF474" i="6"/>
  <c r="AF436" i="6"/>
  <c r="AF426" i="6"/>
  <c r="AL445" i="6"/>
  <c r="AL439" i="6"/>
  <c r="AF410" i="6"/>
  <c r="AF446" i="6"/>
  <c r="AL443" i="6"/>
  <c r="N108" i="6"/>
  <c r="N109" i="6" s="1"/>
  <c r="L165" i="6"/>
  <c r="Q349" i="6"/>
  <c r="K121" i="6"/>
  <c r="K103" i="6"/>
  <c r="R103" i="6" s="1"/>
  <c r="J105" i="6"/>
  <c r="K115" i="6"/>
  <c r="J108" i="6"/>
  <c r="K118" i="6"/>
  <c r="K112" i="6"/>
  <c r="K116" i="6"/>
  <c r="K119" i="6"/>
  <c r="K113" i="6"/>
  <c r="K97" i="6"/>
  <c r="K104" i="6"/>
  <c r="R104" i="6" s="1"/>
  <c r="K117" i="6"/>
  <c r="K120" i="6"/>
  <c r="K114" i="6"/>
  <c r="R97" i="6"/>
  <c r="R98" i="6" s="1"/>
  <c r="K102" i="6"/>
  <c r="R102" i="6" s="1"/>
  <c r="S79" i="6"/>
  <c r="N79" i="6"/>
  <c r="Q24" i="6"/>
  <c r="O32" i="6" s="1"/>
  <c r="K135" i="6"/>
  <c r="D97" i="6"/>
  <c r="E117" i="6" s="1"/>
  <c r="P116" i="6"/>
  <c r="AI496" i="6"/>
  <c r="AH496" i="6"/>
  <c r="AO420" i="6"/>
  <c r="N312" i="6"/>
  <c r="F289" i="6"/>
  <c r="F251" i="6"/>
  <c r="M250" i="6" s="1"/>
  <c r="M304" i="6"/>
  <c r="J309" i="6"/>
  <c r="K304" i="6"/>
  <c r="L231" i="6"/>
  <c r="S210" i="6"/>
  <c r="N210" i="6"/>
  <c r="K210" i="6"/>
  <c r="D304" i="6"/>
  <c r="N58" i="6"/>
  <c r="S58" i="6"/>
  <c r="F135" i="6"/>
  <c r="E135" i="6" s="1"/>
  <c r="N123" i="6"/>
  <c r="AL409" i="6"/>
  <c r="AF415" i="6"/>
  <c r="AF429" i="6"/>
  <c r="Z447" i="6"/>
  <c r="AF441" i="6"/>
  <c r="AL423" i="6"/>
  <c r="Z412" i="6"/>
  <c r="AF434" i="6"/>
  <c r="Z475" i="6"/>
  <c r="AF472" i="6"/>
  <c r="Z445" i="6"/>
  <c r="M300" i="6"/>
  <c r="E300" i="6"/>
  <c r="Q97" i="6"/>
  <c r="P97" i="6" s="1"/>
  <c r="N39" i="6"/>
  <c r="F72" i="6"/>
  <c r="F13" i="6"/>
  <c r="F122" i="6"/>
  <c r="L83" i="6"/>
  <c r="P115" i="6"/>
  <c r="AH442" i="6"/>
  <c r="AH475" i="6"/>
  <c r="AI475" i="6" s="1"/>
  <c r="AN475" i="6"/>
  <c r="M10" i="6"/>
  <c r="K10" i="6"/>
  <c r="R10" i="6"/>
  <c r="L155" i="6"/>
  <c r="N122" i="6"/>
  <c r="K122" i="6"/>
  <c r="P94" i="6"/>
  <c r="D13" i="6"/>
  <c r="AL427" i="6"/>
  <c r="Z497" i="6"/>
  <c r="R6" i="6"/>
  <c r="M8" i="6"/>
  <c r="P296" i="6"/>
  <c r="R296" i="6"/>
  <c r="Q330" i="6"/>
  <c r="S330" i="6" s="1"/>
  <c r="Z437" i="6"/>
  <c r="AF478" i="6"/>
  <c r="AL431" i="6"/>
  <c r="S64" i="6"/>
  <c r="N64" i="6"/>
  <c r="Q122" i="6"/>
  <c r="M13" i="6"/>
  <c r="Q83" i="6"/>
  <c r="P174" i="6"/>
  <c r="P185" i="6"/>
  <c r="P194" i="6" s="1"/>
  <c r="AN447" i="6"/>
  <c r="AH447" i="6"/>
  <c r="P362" i="6"/>
  <c r="R362" i="6"/>
  <c r="AF445" i="6"/>
  <c r="AF463" i="6"/>
  <c r="AF439" i="6"/>
  <c r="Z409" i="6"/>
  <c r="Z470" i="6"/>
  <c r="AL448" i="6"/>
  <c r="AF428" i="6"/>
  <c r="Z440" i="6"/>
  <c r="AI440" i="6" s="1"/>
  <c r="Z449" i="6"/>
  <c r="AI449" i="6" s="1"/>
  <c r="P300" i="6"/>
  <c r="R300" i="6"/>
  <c r="S71" i="6"/>
  <c r="N71" i="6"/>
  <c r="Q13" i="6"/>
  <c r="O31" i="6" s="1"/>
  <c r="S31" i="6"/>
  <c r="N31" i="6"/>
  <c r="J31" i="6"/>
  <c r="L41" i="6"/>
  <c r="E120" i="6"/>
  <c r="R96" i="6"/>
  <c r="M100" i="6"/>
  <c r="N10" i="6"/>
  <c r="N13" i="6" s="1"/>
  <c r="N33" i="6"/>
  <c r="R9" i="6"/>
  <c r="L351" i="6"/>
  <c r="N330" i="6"/>
  <c r="AH444" i="6"/>
  <c r="E349" i="6"/>
  <c r="R307" i="6"/>
  <c r="P307" i="6"/>
  <c r="N304" i="6"/>
  <c r="N305" i="6" s="1"/>
  <c r="L309" i="6"/>
  <c r="S304" i="6"/>
  <c r="S305" i="6" s="1"/>
  <c r="AO459" i="6"/>
  <c r="AN461" i="6"/>
  <c r="AO461" i="6" s="1"/>
  <c r="E307" i="6"/>
  <c r="N163" i="6"/>
  <c r="N242" i="6"/>
  <c r="F153" i="6"/>
  <c r="R15" i="6"/>
  <c r="AF465" i="6"/>
  <c r="AF414" i="6"/>
  <c r="Z416" i="6"/>
  <c r="AF448" i="6"/>
  <c r="AF470" i="6"/>
  <c r="AF431" i="6"/>
  <c r="AL441" i="6"/>
  <c r="AF412" i="6"/>
  <c r="P7" i="6"/>
  <c r="AI497" i="6" l="1"/>
  <c r="AH497" i="6"/>
  <c r="AO427" i="6"/>
  <c r="AN427" i="6"/>
  <c r="AK410" i="6"/>
  <c r="AN441" i="6"/>
  <c r="AH441" i="6"/>
  <c r="AL416" i="6"/>
  <c r="Y413" i="6"/>
  <c r="AI413" i="6"/>
  <c r="Y411" i="6"/>
  <c r="AL473" i="6"/>
  <c r="AO473" i="6" s="1"/>
  <c r="S77" i="6"/>
  <c r="S83" i="6" s="1"/>
  <c r="AE418" i="6"/>
  <c r="AO475" i="6"/>
  <c r="K27" i="6"/>
  <c r="W82" i="6"/>
  <c r="AO441" i="6"/>
  <c r="E13" i="6"/>
  <c r="M14" i="6"/>
  <c r="D27" i="6"/>
  <c r="D24" i="6"/>
  <c r="Q72" i="6"/>
  <c r="S57" i="6"/>
  <c r="AL436" i="6"/>
  <c r="K108" i="6"/>
  <c r="R108" i="6"/>
  <c r="AH431" i="6"/>
  <c r="AN431" i="6"/>
  <c r="S41" i="6"/>
  <c r="L74" i="6"/>
  <c r="K41" i="6"/>
  <c r="Z465" i="6"/>
  <c r="AI465" i="6" s="1"/>
  <c r="AI447" i="6"/>
  <c r="K231" i="6"/>
  <c r="S231" i="6"/>
  <c r="L233" i="6"/>
  <c r="Q41" i="6"/>
  <c r="AH410" i="6"/>
  <c r="AI410" i="6" s="1"/>
  <c r="AE410" i="6"/>
  <c r="AN410" i="6"/>
  <c r="AO410" i="6" s="1"/>
  <c r="F41" i="6"/>
  <c r="Z464" i="6"/>
  <c r="AI464" i="6" s="1"/>
  <c r="AN435" i="6"/>
  <c r="AO435" i="6" s="1"/>
  <c r="AH435" i="6"/>
  <c r="AI435" i="6" s="1"/>
  <c r="AI441" i="6"/>
  <c r="P186" i="6"/>
  <c r="AH450" i="6"/>
  <c r="Y410" i="6"/>
  <c r="AL464" i="6"/>
  <c r="AN470" i="6"/>
  <c r="AH470" i="6"/>
  <c r="AF481" i="6"/>
  <c r="K105" i="6"/>
  <c r="AK415" i="6"/>
  <c r="P397" i="6"/>
  <c r="Q399" i="6"/>
  <c r="P13" i="6"/>
  <c r="O27" i="6"/>
  <c r="AO442" i="6"/>
  <c r="F195" i="6"/>
  <c r="M194" i="6" s="1"/>
  <c r="N194" i="6"/>
  <c r="N195" i="6" s="1"/>
  <c r="AH416" i="6"/>
  <c r="AE416" i="6"/>
  <c r="AK413" i="6"/>
  <c r="AH413" i="6"/>
  <c r="AE413" i="6"/>
  <c r="AN413" i="6"/>
  <c r="AO413" i="6" s="1"/>
  <c r="Z425" i="6"/>
  <c r="AL451" i="6"/>
  <c r="O314" i="6"/>
  <c r="AL406" i="6" s="1"/>
  <c r="R309" i="6"/>
  <c r="P309" i="6"/>
  <c r="AL479" i="6"/>
  <c r="AO479" i="6" s="1"/>
  <c r="Q108" i="6"/>
  <c r="O112" i="6"/>
  <c r="S97" i="6"/>
  <c r="S98" i="6" s="1"/>
  <c r="AE415" i="6"/>
  <c r="AN415" i="6"/>
  <c r="AO415" i="6" s="1"/>
  <c r="AH415" i="6"/>
  <c r="J314" i="6"/>
  <c r="AF406" i="6" s="1"/>
  <c r="K309" i="6"/>
  <c r="AI444" i="6"/>
  <c r="AK411" i="6"/>
  <c r="Z418" i="6"/>
  <c r="N43" i="6"/>
  <c r="Z422" i="6"/>
  <c r="AI423" i="6"/>
  <c r="E397" i="6"/>
  <c r="F399" i="6"/>
  <c r="AH430" i="6"/>
  <c r="AI430" i="6" s="1"/>
  <c r="AN430" i="6"/>
  <c r="AO430" i="6" s="1"/>
  <c r="P153" i="6"/>
  <c r="S153" i="6"/>
  <c r="AN423" i="6"/>
  <c r="AO423" i="6" s="1"/>
  <c r="AH423" i="6"/>
  <c r="AO444" i="6"/>
  <c r="Q314" i="6"/>
  <c r="P349" i="6" s="1"/>
  <c r="AL422" i="6"/>
  <c r="S43" i="6"/>
  <c r="AN471" i="6"/>
  <c r="AO471" i="6" s="1"/>
  <c r="AH471" i="6"/>
  <c r="AI471" i="6" s="1"/>
  <c r="S24" i="6"/>
  <c r="AN466" i="6"/>
  <c r="Y416" i="6"/>
  <c r="AI416" i="6"/>
  <c r="N309" i="6"/>
  <c r="N310" i="6" s="1"/>
  <c r="L314" i="6"/>
  <c r="S309" i="6"/>
  <c r="S310" i="6" s="1"/>
  <c r="AK409" i="6"/>
  <c r="D108" i="6"/>
  <c r="E108" i="6" s="1"/>
  <c r="E118" i="6"/>
  <c r="E113" i="6"/>
  <c r="E97" i="6"/>
  <c r="D105" i="6"/>
  <c r="E105" i="6" s="1"/>
  <c r="E114" i="6"/>
  <c r="E112" i="6"/>
  <c r="E115" i="6"/>
  <c r="E121" i="6"/>
  <c r="E119" i="6"/>
  <c r="AE414" i="6"/>
  <c r="N351" i="6"/>
  <c r="Z463" i="6"/>
  <c r="K155" i="6"/>
  <c r="AN442" i="6"/>
  <c r="AL414" i="6"/>
  <c r="AN414" i="6" s="1"/>
  <c r="S36" i="6"/>
  <c r="Z426" i="6"/>
  <c r="AI426" i="6" s="1"/>
  <c r="E229" i="6"/>
  <c r="Z479" i="6"/>
  <c r="AH479" i="6" s="1"/>
  <c r="AI479" i="6" s="1"/>
  <c r="N72" i="6"/>
  <c r="E210" i="6"/>
  <c r="F231" i="6"/>
  <c r="E231" i="6" s="1"/>
  <c r="AH449" i="6"/>
  <c r="S251" i="6"/>
  <c r="AI431" i="6"/>
  <c r="AN409" i="6"/>
  <c r="AO409" i="6" s="1"/>
  <c r="AE412" i="6"/>
  <c r="AN412" i="6"/>
  <c r="AO412" i="6" s="1"/>
  <c r="AH412" i="6"/>
  <c r="AL465" i="6"/>
  <c r="AL426" i="6"/>
  <c r="AO426" i="6" s="1"/>
  <c r="AL463" i="6"/>
  <c r="AL478" i="6"/>
  <c r="AO478" i="6" s="1"/>
  <c r="AL418" i="6"/>
  <c r="AL432" i="6"/>
  <c r="S40" i="6"/>
  <c r="AL417" i="6"/>
  <c r="AL449" i="6"/>
  <c r="AO449" i="6" s="1"/>
  <c r="N57" i="6"/>
  <c r="Z436" i="6"/>
  <c r="Z452" i="6" s="1"/>
  <c r="Z473" i="6"/>
  <c r="N77" i="6"/>
  <c r="N83" i="6" s="1"/>
  <c r="K24" i="6"/>
  <c r="M24" i="6"/>
  <c r="K36" i="6"/>
  <c r="K33" i="6"/>
  <c r="K32" i="6"/>
  <c r="K37" i="6"/>
  <c r="K35" i="6"/>
  <c r="Q155" i="6"/>
  <c r="P155" i="6" s="1"/>
  <c r="P122" i="6"/>
  <c r="Q351" i="6"/>
  <c r="S122" i="6"/>
  <c r="AO431" i="6"/>
  <c r="F83" i="6"/>
  <c r="N135" i="6"/>
  <c r="AN436" i="6"/>
  <c r="E36" i="6"/>
  <c r="N36" i="6"/>
  <c r="Z414" i="6"/>
  <c r="Z419" i="6" s="1"/>
  <c r="Y415" i="6"/>
  <c r="AI415" i="6"/>
  <c r="Q54" i="6"/>
  <c r="P54" i="6" s="1"/>
  <c r="AL421" i="6"/>
  <c r="S42" i="6"/>
  <c r="S54" i="6" s="1"/>
  <c r="AN473" i="6"/>
  <c r="AH473" i="6"/>
  <c r="AI473" i="6" s="1"/>
  <c r="AM409" i="6"/>
  <c r="AH443" i="6"/>
  <c r="AI443" i="6" s="1"/>
  <c r="AN443" i="6"/>
  <c r="AO443" i="6" s="1"/>
  <c r="AH465" i="6"/>
  <c r="Q27" i="6"/>
  <c r="S14" i="6"/>
  <c r="N59" i="6"/>
  <c r="Z438" i="6"/>
  <c r="AH438" i="6" s="1"/>
  <c r="N50" i="6"/>
  <c r="Z429" i="6"/>
  <c r="AN478" i="6"/>
  <c r="AH472" i="6"/>
  <c r="AI472" i="6" s="1"/>
  <c r="AN472" i="6"/>
  <c r="AN474" i="6"/>
  <c r="AH474" i="6"/>
  <c r="AI474" i="6" s="1"/>
  <c r="Z451" i="6"/>
  <c r="E116" i="6"/>
  <c r="AL428" i="6"/>
  <c r="S49" i="6"/>
  <c r="Q194" i="6"/>
  <c r="Q186" i="6"/>
  <c r="S185" i="6"/>
  <c r="S186" i="6" s="1"/>
  <c r="AI424" i="6"/>
  <c r="S289" i="6"/>
  <c r="N289" i="6"/>
  <c r="F54" i="6"/>
  <c r="N42" i="6"/>
  <c r="Z421" i="6"/>
  <c r="N229" i="6"/>
  <c r="Z417" i="6"/>
  <c r="AF419" i="6"/>
  <c r="AI470" i="6"/>
  <c r="S59" i="6"/>
  <c r="AL438" i="6"/>
  <c r="AN438" i="6" s="1"/>
  <c r="E153" i="6"/>
  <c r="N153" i="6"/>
  <c r="Z432" i="6"/>
  <c r="AL429" i="6"/>
  <c r="S50" i="6"/>
  <c r="Y409" i="6"/>
  <c r="AG409" i="6" s="1"/>
  <c r="Z478" i="6"/>
  <c r="Z481" i="6" s="1"/>
  <c r="S25" i="6"/>
  <c r="AN424" i="6"/>
  <c r="AO424" i="6" s="1"/>
  <c r="Z428" i="6"/>
  <c r="N49" i="6"/>
  <c r="AH440" i="6"/>
  <c r="AN440" i="6"/>
  <c r="AF433" i="6"/>
  <c r="AH409" i="6"/>
  <c r="AI409" i="6" s="1"/>
  <c r="AN439" i="6"/>
  <c r="AO439" i="6" s="1"/>
  <c r="AH439" i="6"/>
  <c r="AI439" i="6" s="1"/>
  <c r="R13" i="6"/>
  <c r="R14" i="6" s="1"/>
  <c r="N66" i="6"/>
  <c r="Z446" i="6"/>
  <c r="AH446" i="6" s="1"/>
  <c r="F155" i="6"/>
  <c r="E155" i="6" s="1"/>
  <c r="E122" i="6"/>
  <c r="AN434" i="6"/>
  <c r="AH434" i="6"/>
  <c r="AI434" i="6" s="1"/>
  <c r="AF452" i="6"/>
  <c r="D309" i="6"/>
  <c r="E304" i="6"/>
  <c r="M97" i="6"/>
  <c r="M98" i="6" s="1"/>
  <c r="AI442" i="6"/>
  <c r="AO470" i="6"/>
  <c r="S287" i="6"/>
  <c r="N287" i="6"/>
  <c r="AH437" i="6"/>
  <c r="AI437" i="6" s="1"/>
  <c r="AN437" i="6"/>
  <c r="AO437" i="6" s="1"/>
  <c r="O24" i="6"/>
  <c r="P36" i="6" s="1"/>
  <c r="K397" i="6"/>
  <c r="S397" i="6"/>
  <c r="L399" i="6"/>
  <c r="F24" i="6"/>
  <c r="F353" i="6"/>
  <c r="AN445" i="6"/>
  <c r="AO445" i="6" s="1"/>
  <c r="AH445" i="6"/>
  <c r="AI445" i="6" s="1"/>
  <c r="AN448" i="6"/>
  <c r="AO448" i="6" s="1"/>
  <c r="AH448" i="6"/>
  <c r="AI448" i="6" s="1"/>
  <c r="AL450" i="6"/>
  <c r="AH463" i="6"/>
  <c r="AH466" i="6" s="1"/>
  <c r="AF466" i="6"/>
  <c r="E40" i="6"/>
  <c r="N40" i="6"/>
  <c r="AL446" i="6"/>
  <c r="AN446" i="6" s="1"/>
  <c r="S66" i="6"/>
  <c r="N14" i="6"/>
  <c r="F27" i="6"/>
  <c r="AI412" i="6"/>
  <c r="Y412" i="6"/>
  <c r="Z427" i="6"/>
  <c r="P135" i="6"/>
  <c r="AL425" i="6"/>
  <c r="AH411" i="6"/>
  <c r="AI411" i="6" s="1"/>
  <c r="AE411" i="6"/>
  <c r="AN411" i="6"/>
  <c r="AO411" i="6" s="1"/>
  <c r="P108" i="6"/>
  <c r="R109" i="6"/>
  <c r="AO447" i="6"/>
  <c r="AH464" i="6"/>
  <c r="Z495" i="6"/>
  <c r="P330" i="6" l="1"/>
  <c r="P351" i="6"/>
  <c r="AL481" i="6"/>
  <c r="S399" i="6"/>
  <c r="AG412" i="6"/>
  <c r="AM412" i="6"/>
  <c r="F165" i="6"/>
  <c r="N165" i="6" s="1"/>
  <c r="AO417" i="6"/>
  <c r="AK417" i="6"/>
  <c r="AN417" i="6"/>
  <c r="AO414" i="6"/>
  <c r="AK414" i="6"/>
  <c r="S351" i="6"/>
  <c r="AH422" i="6"/>
  <c r="AI422" i="6" s="1"/>
  <c r="AM415" i="6"/>
  <c r="AG415" i="6"/>
  <c r="P27" i="6"/>
  <c r="N74" i="6"/>
  <c r="K74" i="6"/>
  <c r="L85" i="6"/>
  <c r="AI425" i="6"/>
  <c r="AH425" i="6"/>
  <c r="AH481" i="6"/>
  <c r="AI481" i="6" s="1"/>
  <c r="AN481" i="6"/>
  <c r="AO481" i="6" s="1"/>
  <c r="F74" i="6"/>
  <c r="E74" i="6" s="1"/>
  <c r="E41" i="6"/>
  <c r="N41" i="6"/>
  <c r="E27" i="6"/>
  <c r="M27" i="6"/>
  <c r="M28" i="6" s="1"/>
  <c r="AG411" i="6"/>
  <c r="AM411" i="6"/>
  <c r="AH478" i="6"/>
  <c r="AI478" i="6" s="1"/>
  <c r="AH414" i="6"/>
  <c r="AM413" i="6"/>
  <c r="AG413" i="6"/>
  <c r="AG410" i="6"/>
  <c r="AM410" i="6"/>
  <c r="AK416" i="6"/>
  <c r="AO416" i="6"/>
  <c r="Q195" i="6"/>
  <c r="R194" i="6" s="1"/>
  <c r="Q233" i="6"/>
  <c r="S194" i="6"/>
  <c r="S195" i="6" s="1"/>
  <c r="P229" i="6"/>
  <c r="P210" i="6"/>
  <c r="AI418" i="6"/>
  <c r="Y418" i="6"/>
  <c r="AG418" i="6" s="1"/>
  <c r="AN479" i="6"/>
  <c r="AO450" i="6"/>
  <c r="AN450" i="6"/>
  <c r="P24" i="6"/>
  <c r="P38" i="6"/>
  <c r="P39" i="6"/>
  <c r="P37" i="6"/>
  <c r="P33" i="6"/>
  <c r="P35" i="6"/>
  <c r="P34" i="6"/>
  <c r="P32" i="6"/>
  <c r="P31" i="6"/>
  <c r="E309" i="6"/>
  <c r="D314" i="6"/>
  <c r="AF468" i="6"/>
  <c r="AH419" i="6"/>
  <c r="AI419" i="6" s="1"/>
  <c r="AD419" i="6"/>
  <c r="AI438" i="6"/>
  <c r="AN421" i="6"/>
  <c r="AO421" i="6" s="1"/>
  <c r="AL433" i="6"/>
  <c r="AN433" i="6" s="1"/>
  <c r="AK418" i="6"/>
  <c r="AO418" i="6"/>
  <c r="AN449" i="6"/>
  <c r="AN452" i="6" s="1"/>
  <c r="AG414" i="6"/>
  <c r="AM414" i="6"/>
  <c r="Q74" i="6"/>
  <c r="P74" i="6" s="1"/>
  <c r="P41" i="6"/>
  <c r="AI417" i="6"/>
  <c r="Y417" i="6"/>
  <c r="AH417" i="6"/>
  <c r="N155" i="6"/>
  <c r="AH426" i="6"/>
  <c r="Q165" i="6"/>
  <c r="S165" i="6" s="1"/>
  <c r="S108" i="6"/>
  <c r="S109" i="6" s="1"/>
  <c r="S233" i="6"/>
  <c r="N233" i="6"/>
  <c r="AI432" i="6"/>
  <c r="AH432" i="6"/>
  <c r="AL466" i="6"/>
  <c r="AO466" i="6" s="1"/>
  <c r="S155" i="6"/>
  <c r="AL419" i="6"/>
  <c r="AN426" i="6"/>
  <c r="AM416" i="6"/>
  <c r="AG416" i="6"/>
  <c r="N231" i="6"/>
  <c r="AH418" i="6"/>
  <c r="AI495" i="6"/>
  <c r="AH495" i="6"/>
  <c r="AO434" i="6"/>
  <c r="AH421" i="6"/>
  <c r="AI421" i="6" s="1"/>
  <c r="Z433" i="6"/>
  <c r="AI451" i="6"/>
  <c r="AH451" i="6"/>
  <c r="AH452" i="6" s="1"/>
  <c r="AI452" i="6" s="1"/>
  <c r="AL407" i="6"/>
  <c r="S27" i="6"/>
  <c r="S28" i="6" s="1"/>
  <c r="M108" i="6"/>
  <c r="M109" i="6" s="1"/>
  <c r="AN418" i="6"/>
  <c r="AI427" i="6"/>
  <c r="AH427" i="6"/>
  <c r="P231" i="6"/>
  <c r="Z407" i="6"/>
  <c r="F85" i="6"/>
  <c r="N27" i="6"/>
  <c r="N54" i="6"/>
  <c r="AI463" i="6"/>
  <c r="Z466" i="6"/>
  <c r="L353" i="6"/>
  <c r="X314" i="6"/>
  <c r="S314" i="6"/>
  <c r="N314" i="6"/>
  <c r="N315" i="6" s="1"/>
  <c r="K349" i="6"/>
  <c r="K330" i="6"/>
  <c r="AF407" i="6"/>
  <c r="AD481" i="6" s="1"/>
  <c r="AN422" i="6"/>
  <c r="AO422" i="6" s="1"/>
  <c r="AN416" i="6"/>
  <c r="AO436" i="6"/>
  <c r="AL452" i="6"/>
  <c r="AO438" i="6"/>
  <c r="E54" i="6"/>
  <c r="P40" i="6"/>
  <c r="AN428" i="6"/>
  <c r="AO428" i="6" s="1"/>
  <c r="K314" i="6"/>
  <c r="R314" i="6"/>
  <c r="P314" i="6"/>
  <c r="M105" i="6"/>
  <c r="S72" i="6"/>
  <c r="AO425" i="6"/>
  <c r="AN425" i="6"/>
  <c r="AI446" i="6"/>
  <c r="AI436" i="6"/>
  <c r="AH428" i="6"/>
  <c r="AI428" i="6" s="1"/>
  <c r="S315" i="6"/>
  <c r="Q353" i="6"/>
  <c r="M309" i="6"/>
  <c r="AO451" i="6"/>
  <c r="AN451" i="6"/>
  <c r="F233" i="6"/>
  <c r="AH429" i="6"/>
  <c r="AI429" i="6" s="1"/>
  <c r="P72" i="6"/>
  <c r="R27" i="6"/>
  <c r="R28" i="6" s="1"/>
  <c r="Y414" i="6"/>
  <c r="AI414" i="6"/>
  <c r="F401" i="6"/>
  <c r="D32" i="6"/>
  <c r="N24" i="6"/>
  <c r="N25" i="6" s="1"/>
  <c r="AO446" i="6"/>
  <c r="AH436" i="6"/>
  <c r="K351" i="6"/>
  <c r="AN429" i="6"/>
  <c r="AO429" i="6" s="1"/>
  <c r="E24" i="6"/>
  <c r="E35" i="6"/>
  <c r="E37" i="6"/>
  <c r="E32" i="6"/>
  <c r="E34" i="6"/>
  <c r="E38" i="6"/>
  <c r="E33" i="6"/>
  <c r="E39" i="6"/>
  <c r="E31" i="6"/>
  <c r="E72" i="6"/>
  <c r="Q85" i="6" l="1"/>
  <c r="AJ466" i="6"/>
  <c r="AJ419" i="6"/>
  <c r="AJ452" i="6"/>
  <c r="AJ433" i="6"/>
  <c r="AJ407" i="6"/>
  <c r="S74" i="6"/>
  <c r="Z483" i="6"/>
  <c r="E314" i="6"/>
  <c r="Z406" i="6"/>
  <c r="Y448" i="6" s="1"/>
  <c r="AD468" i="6"/>
  <c r="X433" i="6"/>
  <c r="X419" i="6"/>
  <c r="Z468" i="6"/>
  <c r="X468" i="6" s="1"/>
  <c r="N85" i="6"/>
  <c r="N28" i="6"/>
  <c r="M314" i="6"/>
  <c r="AD452" i="6"/>
  <c r="X481" i="6"/>
  <c r="AO433" i="6"/>
  <c r="X452" i="6"/>
  <c r="AF483" i="6"/>
  <c r="AH407" i="6"/>
  <c r="AI407" i="6" s="1"/>
  <c r="AN407" i="6"/>
  <c r="AO407" i="6" s="1"/>
  <c r="AH433" i="6"/>
  <c r="AI433" i="6" s="1"/>
  <c r="AD466" i="6"/>
  <c r="L401" i="6"/>
  <c r="S353" i="6"/>
  <c r="N353" i="6"/>
  <c r="AM417" i="6"/>
  <c r="AG417" i="6"/>
  <c r="AO452" i="6"/>
  <c r="AI466" i="6"/>
  <c r="X466" i="6"/>
  <c r="S85" i="6"/>
  <c r="AM418" i="6"/>
  <c r="AL468" i="6"/>
  <c r="AD433" i="6"/>
  <c r="AN419" i="6"/>
  <c r="AO419" i="6" s="1"/>
  <c r="Y483" i="6" l="1"/>
  <c r="Z489" i="6"/>
  <c r="AJ468" i="6"/>
  <c r="AH468" i="6"/>
  <c r="AI468" i="6" s="1"/>
  <c r="AL483" i="6"/>
  <c r="AE483" i="6"/>
  <c r="AN483" i="6"/>
  <c r="AF489" i="6"/>
  <c r="AH483" i="6"/>
  <c r="AI483" i="6" s="1"/>
  <c r="AN468" i="6"/>
  <c r="AO468" i="6" s="1"/>
  <c r="AF498" i="6" l="1"/>
  <c r="AH489" i="6"/>
  <c r="AI489" i="6" s="1"/>
  <c r="AF488" i="6"/>
  <c r="AE489" i="6"/>
  <c r="AL489" i="6"/>
  <c r="AO483" i="6"/>
  <c r="AK483" i="6"/>
  <c r="Z498" i="6"/>
  <c r="Y498" i="6" s="1"/>
  <c r="Z488" i="6"/>
  <c r="Y488" i="6" s="1"/>
  <c r="Y489" i="6"/>
  <c r="AL488" i="6" l="1"/>
  <c r="AL498" i="6"/>
  <c r="AK489" i="6"/>
  <c r="AN488" i="6"/>
  <c r="AH488" i="6"/>
  <c r="AI488" i="6" s="1"/>
  <c r="AE488" i="6"/>
  <c r="AN489" i="6"/>
  <c r="AO489" i="6" s="1"/>
  <c r="AF513" i="6"/>
  <c r="AG513" i="6" s="1"/>
  <c r="AH498" i="6"/>
  <c r="AI498" i="6" s="1"/>
  <c r="AF507" i="6"/>
  <c r="AE498" i="6"/>
  <c r="AF502" i="6"/>
  <c r="AF504" i="6"/>
  <c r="AK498" i="6" l="1"/>
  <c r="AN498" i="6"/>
  <c r="AO498" i="6" s="1"/>
  <c r="AO488" i="6"/>
  <c r="AK488" i="6"/>
  <c r="AO482" i="1" l="1"/>
  <c r="AN482" i="1"/>
  <c r="AO467" i="1"/>
  <c r="AN467" i="1"/>
  <c r="AO451" i="1"/>
  <c r="AO450" i="1"/>
  <c r="AO427" i="1"/>
  <c r="AO426" i="1"/>
  <c r="AO425" i="1"/>
  <c r="AO418" i="1"/>
  <c r="AO417" i="1"/>
  <c r="AO416" i="1"/>
  <c r="AH467" i="1"/>
  <c r="L329" i="1"/>
  <c r="I329" i="1"/>
  <c r="Q265" i="1"/>
  <c r="L265" i="1"/>
  <c r="I265" i="1"/>
  <c r="F265" i="1"/>
  <c r="N352" i="1"/>
  <c r="N288" i="1"/>
  <c r="N232" i="1"/>
  <c r="M182" i="1"/>
  <c r="R188" i="1"/>
  <c r="R185" i="1"/>
  <c r="S186" i="1" s="1"/>
  <c r="R179" i="1"/>
  <c r="R19" i="1"/>
  <c r="S1" i="1"/>
  <c r="AO485" i="1" s="1"/>
  <c r="AL496" i="1"/>
  <c r="AF496" i="1"/>
  <c r="AC496" i="1"/>
  <c r="S89" i="1" l="1"/>
  <c r="S168" i="1"/>
  <c r="S236" i="1"/>
  <c r="S291" i="1"/>
  <c r="S356" i="1"/>
  <c r="F282" i="1"/>
  <c r="AL460" i="1"/>
  <c r="AN496" i="1"/>
  <c r="AO496" i="1" s="1"/>
  <c r="S265" i="1"/>
  <c r="F140" i="1"/>
  <c r="F329" i="1"/>
  <c r="N329" i="1" s="1"/>
  <c r="N265" i="1"/>
  <c r="AB496" i="1"/>
  <c r="Q144" i="1"/>
  <c r="AL493" i="1"/>
  <c r="AO493" i="1" s="1"/>
  <c r="AL462" i="1"/>
  <c r="AL461" i="1"/>
  <c r="AL459" i="1"/>
  <c r="AL456" i="1"/>
  <c r="AO456" i="1" s="1"/>
  <c r="AL453" i="1"/>
  <c r="AL420" i="1"/>
  <c r="Q348" i="1"/>
  <c r="L348" i="1"/>
  <c r="I348" i="1"/>
  <c r="Q347" i="1"/>
  <c r="L347" i="1"/>
  <c r="I347" i="1"/>
  <c r="Q346" i="1"/>
  <c r="L346" i="1"/>
  <c r="I346" i="1"/>
  <c r="F346" i="1"/>
  <c r="Q284" i="1"/>
  <c r="L284" i="1"/>
  <c r="I284" i="1"/>
  <c r="F284" i="1"/>
  <c r="Q283" i="1"/>
  <c r="L283" i="1"/>
  <c r="I283" i="1"/>
  <c r="F283" i="1"/>
  <c r="Q282" i="1"/>
  <c r="L282" i="1"/>
  <c r="I282" i="1"/>
  <c r="Q228" i="1"/>
  <c r="L228" i="1"/>
  <c r="I228" i="1"/>
  <c r="F228" i="1"/>
  <c r="L227" i="1"/>
  <c r="I227" i="1"/>
  <c r="F227" i="1"/>
  <c r="Q226" i="1"/>
  <c r="L226" i="1"/>
  <c r="I226" i="1"/>
  <c r="F226" i="1"/>
  <c r="L209" i="1"/>
  <c r="I209" i="1"/>
  <c r="F209" i="1"/>
  <c r="Q162" i="1"/>
  <c r="L162" i="1"/>
  <c r="I162" i="1"/>
  <c r="L161" i="1"/>
  <c r="I161" i="1"/>
  <c r="F161" i="1"/>
  <c r="Q160" i="1"/>
  <c r="L160" i="1"/>
  <c r="I160" i="1"/>
  <c r="F160" i="1"/>
  <c r="L159" i="1"/>
  <c r="I159" i="1"/>
  <c r="F159" i="1"/>
  <c r="Q158" i="1"/>
  <c r="L158" i="1"/>
  <c r="I158" i="1"/>
  <c r="F158" i="1"/>
  <c r="Q157" i="1"/>
  <c r="L157" i="1"/>
  <c r="I157" i="1"/>
  <c r="F157" i="1"/>
  <c r="Q156" i="1"/>
  <c r="L156" i="1"/>
  <c r="I156" i="1"/>
  <c r="L152" i="1"/>
  <c r="I152" i="1"/>
  <c r="F152" i="1"/>
  <c r="Q151" i="1"/>
  <c r="L151" i="1"/>
  <c r="I151" i="1"/>
  <c r="F151" i="1"/>
  <c r="Q150" i="1"/>
  <c r="L150" i="1"/>
  <c r="I150" i="1"/>
  <c r="L149" i="1"/>
  <c r="I149" i="1"/>
  <c r="F149" i="1"/>
  <c r="Q148" i="1"/>
  <c r="L148" i="1"/>
  <c r="I148" i="1"/>
  <c r="F148" i="1"/>
  <c r="Q147" i="1"/>
  <c r="L147" i="1"/>
  <c r="I147" i="1"/>
  <c r="F147" i="1"/>
  <c r="Q146" i="1"/>
  <c r="L146" i="1"/>
  <c r="I146" i="1"/>
  <c r="F146" i="1"/>
  <c r="Q145" i="1"/>
  <c r="L145" i="1"/>
  <c r="I145" i="1"/>
  <c r="F145" i="1"/>
  <c r="L144" i="1"/>
  <c r="I144" i="1"/>
  <c r="F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Q139" i="1"/>
  <c r="L139" i="1"/>
  <c r="I139" i="1"/>
  <c r="F139" i="1"/>
  <c r="Q138" i="1"/>
  <c r="L138" i="1"/>
  <c r="I138" i="1"/>
  <c r="F138" i="1"/>
  <c r="Q137" i="1"/>
  <c r="L137" i="1"/>
  <c r="I137" i="1"/>
  <c r="F137" i="1"/>
  <c r="Q136" i="1"/>
  <c r="L136" i="1"/>
  <c r="I136" i="1"/>
  <c r="Q121" i="1"/>
  <c r="L121" i="1"/>
  <c r="I121" i="1"/>
  <c r="F121" i="1"/>
  <c r="Q120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F125" i="1"/>
  <c r="Q124" i="1"/>
  <c r="L124" i="1"/>
  <c r="I124" i="1"/>
  <c r="F124" i="1"/>
  <c r="Q123" i="1"/>
  <c r="L123" i="1"/>
  <c r="I123" i="1"/>
  <c r="Q118" i="1"/>
  <c r="L118" i="1"/>
  <c r="I118" i="1"/>
  <c r="Q117" i="1"/>
  <c r="L117" i="1"/>
  <c r="I117" i="1"/>
  <c r="F117" i="1"/>
  <c r="Q116" i="1"/>
  <c r="L116" i="1"/>
  <c r="I116" i="1"/>
  <c r="F116" i="1"/>
  <c r="Q115" i="1"/>
  <c r="L115" i="1"/>
  <c r="I115" i="1"/>
  <c r="L114" i="1"/>
  <c r="I114" i="1"/>
  <c r="F114" i="1"/>
  <c r="Q113" i="1"/>
  <c r="L113" i="1"/>
  <c r="I113" i="1"/>
  <c r="F113" i="1"/>
  <c r="Q112" i="1"/>
  <c r="L112" i="1"/>
  <c r="I112" i="1"/>
  <c r="F112" i="1"/>
  <c r="AC480" i="1"/>
  <c r="AC479" i="1"/>
  <c r="AC478" i="1"/>
  <c r="AC432" i="1"/>
  <c r="AC431" i="1"/>
  <c r="AC418" i="1"/>
  <c r="AC417" i="1"/>
  <c r="AC416" i="1"/>
  <c r="AB416" i="1" s="1"/>
  <c r="AC497" i="1"/>
  <c r="AF495" i="1"/>
  <c r="AC495" i="1"/>
  <c r="AB495" i="1" s="1"/>
  <c r="AF494" i="1"/>
  <c r="AC494" i="1"/>
  <c r="AF493" i="1"/>
  <c r="AC493" i="1"/>
  <c r="AF492" i="1"/>
  <c r="AC492" i="1"/>
  <c r="AB492" i="1" s="1"/>
  <c r="AF491" i="1"/>
  <c r="AC491" i="1"/>
  <c r="AB491" i="1" s="1"/>
  <c r="F347" i="1" l="1"/>
  <c r="N347" i="1" s="1"/>
  <c r="F118" i="1"/>
  <c r="N118" i="1" s="1"/>
  <c r="F156" i="1"/>
  <c r="N156" i="1" s="1"/>
  <c r="Z496" i="1"/>
  <c r="AH496" i="1" s="1"/>
  <c r="AI496" i="1" s="1"/>
  <c r="S117" i="1"/>
  <c r="N117" i="1"/>
  <c r="N147" i="1"/>
  <c r="S147" i="1"/>
  <c r="AL455" i="1"/>
  <c r="N141" i="1"/>
  <c r="S141" i="1"/>
  <c r="S346" i="1"/>
  <c r="N346" i="1"/>
  <c r="N124" i="1"/>
  <c r="S124" i="1"/>
  <c r="N130" i="1"/>
  <c r="S130" i="1"/>
  <c r="N209" i="1"/>
  <c r="N134" i="1"/>
  <c r="S134" i="1"/>
  <c r="S138" i="1"/>
  <c r="N138" i="1"/>
  <c r="N144" i="1"/>
  <c r="S144" i="1"/>
  <c r="N160" i="1"/>
  <c r="S160" i="1"/>
  <c r="AN493" i="1"/>
  <c r="N114" i="1"/>
  <c r="N151" i="1"/>
  <c r="S151" i="1"/>
  <c r="N157" i="1"/>
  <c r="S157" i="1"/>
  <c r="N226" i="1"/>
  <c r="S226" i="1"/>
  <c r="AL458" i="1"/>
  <c r="S125" i="1"/>
  <c r="N125" i="1"/>
  <c r="S128" i="1"/>
  <c r="N128" i="1"/>
  <c r="N131" i="1"/>
  <c r="F136" i="1"/>
  <c r="N136" i="1" s="1"/>
  <c r="S132" i="1"/>
  <c r="N119" i="1"/>
  <c r="S119" i="1"/>
  <c r="S136" i="1"/>
  <c r="N139" i="1"/>
  <c r="S139" i="1"/>
  <c r="S142" i="1"/>
  <c r="N142" i="1"/>
  <c r="N161" i="1"/>
  <c r="N283" i="1"/>
  <c r="S283" i="1"/>
  <c r="S347" i="1"/>
  <c r="N121" i="1"/>
  <c r="S121" i="1"/>
  <c r="N282" i="1"/>
  <c r="S282" i="1"/>
  <c r="S118" i="1"/>
  <c r="S115" i="1"/>
  <c r="N145" i="1"/>
  <c r="S145" i="1"/>
  <c r="S148" i="1"/>
  <c r="N148" i="1"/>
  <c r="S123" i="1"/>
  <c r="N126" i="1"/>
  <c r="S126" i="1"/>
  <c r="N129" i="1"/>
  <c r="S129" i="1"/>
  <c r="Q152" i="1"/>
  <c r="S152" i="1" s="1"/>
  <c r="S162" i="1"/>
  <c r="S112" i="1"/>
  <c r="N112" i="1"/>
  <c r="N152" i="1"/>
  <c r="S158" i="1"/>
  <c r="N158" i="1"/>
  <c r="N227" i="1"/>
  <c r="Q329" i="1"/>
  <c r="S329" i="1" s="1"/>
  <c r="S116" i="1"/>
  <c r="N116" i="1"/>
  <c r="S146" i="1"/>
  <c r="N146" i="1"/>
  <c r="N149" i="1"/>
  <c r="S348" i="1"/>
  <c r="AL492" i="1"/>
  <c r="AO492" i="1" s="1"/>
  <c r="N133" i="1"/>
  <c r="S133" i="1"/>
  <c r="S120" i="1"/>
  <c r="N120" i="1"/>
  <c r="S137" i="1"/>
  <c r="N137" i="1"/>
  <c r="S140" i="1"/>
  <c r="N140" i="1"/>
  <c r="S143" i="1"/>
  <c r="N143" i="1"/>
  <c r="S228" i="1"/>
  <c r="N228" i="1"/>
  <c r="S284" i="1"/>
  <c r="N284" i="1"/>
  <c r="S127" i="1"/>
  <c r="N127" i="1"/>
  <c r="N113" i="1"/>
  <c r="S113" i="1"/>
  <c r="S150" i="1"/>
  <c r="S156" i="1"/>
  <c r="N159" i="1"/>
  <c r="AL457" i="1"/>
  <c r="F123" i="1"/>
  <c r="N123" i="1" s="1"/>
  <c r="F162" i="1"/>
  <c r="N162" i="1" s="1"/>
  <c r="AL454" i="1"/>
  <c r="Q161" i="1"/>
  <c r="S161" i="1" s="1"/>
  <c r="AL494" i="1"/>
  <c r="AO494" i="1" s="1"/>
  <c r="F150" i="1"/>
  <c r="N150" i="1" s="1"/>
  <c r="F115" i="1"/>
  <c r="N115" i="1" s="1"/>
  <c r="Q131" i="1"/>
  <c r="S131" i="1" s="1"/>
  <c r="F348" i="1"/>
  <c r="N348" i="1" s="1"/>
  <c r="F132" i="1"/>
  <c r="N132" i="1" s="1"/>
  <c r="AB417" i="1"/>
  <c r="Q209" i="1"/>
  <c r="S209" i="1" s="1"/>
  <c r="Q114" i="1"/>
  <c r="S114" i="1" s="1"/>
  <c r="AL469" i="1"/>
  <c r="AL491" i="1"/>
  <c r="AN491" i="1" s="1"/>
  <c r="AO491" i="1" s="1"/>
  <c r="Q159" i="1"/>
  <c r="S159" i="1" s="1"/>
  <c r="Q227" i="1"/>
  <c r="S227" i="1" s="1"/>
  <c r="AB418" i="1"/>
  <c r="AB478" i="1"/>
  <c r="AB494" i="1"/>
  <c r="AB497" i="1"/>
  <c r="AB479" i="1"/>
  <c r="AB493" i="1"/>
  <c r="AB432" i="1"/>
  <c r="AB480" i="1"/>
  <c r="G113" i="1"/>
  <c r="AB431" i="1"/>
  <c r="AC477" i="1"/>
  <c r="AC476" i="1"/>
  <c r="AC475" i="1"/>
  <c r="AB475" i="1" s="1"/>
  <c r="AC474" i="1"/>
  <c r="AB474" i="1" s="1"/>
  <c r="AC473" i="1"/>
  <c r="AC472" i="1"/>
  <c r="AC471" i="1"/>
  <c r="AB471" i="1" s="1"/>
  <c r="AC470" i="1"/>
  <c r="AF469" i="1"/>
  <c r="AC469" i="1"/>
  <c r="AF462" i="1"/>
  <c r="AC462" i="1"/>
  <c r="Z462" i="1"/>
  <c r="AF461" i="1"/>
  <c r="AC461" i="1"/>
  <c r="AB461" i="1" s="1"/>
  <c r="AF460" i="1"/>
  <c r="AC460" i="1"/>
  <c r="AB460" i="1" s="1"/>
  <c r="AF459" i="1"/>
  <c r="AC459" i="1"/>
  <c r="AF458" i="1"/>
  <c r="AC458" i="1"/>
  <c r="AF457" i="1"/>
  <c r="AC457" i="1"/>
  <c r="AB457" i="1" s="1"/>
  <c r="AF456" i="1"/>
  <c r="AC456" i="1"/>
  <c r="AB456" i="1" s="1"/>
  <c r="AF455" i="1"/>
  <c r="AC455" i="1"/>
  <c r="AF454" i="1"/>
  <c r="AC454" i="1"/>
  <c r="AB454" i="1" s="1"/>
  <c r="AF453" i="1"/>
  <c r="AC453" i="1"/>
  <c r="AC451" i="1"/>
  <c r="AC450" i="1"/>
  <c r="AB450" i="1" s="1"/>
  <c r="AC449" i="1"/>
  <c r="AC448" i="1"/>
  <c r="AC447" i="1"/>
  <c r="AB447" i="1" s="1"/>
  <c r="AC446" i="1"/>
  <c r="AB446" i="1" s="1"/>
  <c r="AC445" i="1"/>
  <c r="AB445" i="1" s="1"/>
  <c r="AC444" i="1"/>
  <c r="AC443" i="1"/>
  <c r="AB443" i="1" s="1"/>
  <c r="AC442" i="1"/>
  <c r="AB442" i="1" s="1"/>
  <c r="AC441" i="1"/>
  <c r="AC440" i="1"/>
  <c r="AC439" i="1"/>
  <c r="AC438" i="1"/>
  <c r="AB438" i="1" s="1"/>
  <c r="AC437" i="1"/>
  <c r="AB437" i="1" s="1"/>
  <c r="AC436" i="1"/>
  <c r="AC435" i="1"/>
  <c r="AB435" i="1" s="1"/>
  <c r="AC434" i="1"/>
  <c r="AB434" i="1" s="1"/>
  <c r="AC430" i="1"/>
  <c r="AB430" i="1" s="1"/>
  <c r="AC429" i="1"/>
  <c r="AC428" i="1"/>
  <c r="AB428" i="1" s="1"/>
  <c r="AC427" i="1"/>
  <c r="AC426" i="1"/>
  <c r="AB426" i="1" s="1"/>
  <c r="AC425" i="1"/>
  <c r="AB425" i="1" s="1"/>
  <c r="AC424" i="1"/>
  <c r="AC423" i="1"/>
  <c r="AC422" i="1"/>
  <c r="AB422" i="1" s="1"/>
  <c r="AC421" i="1"/>
  <c r="AB421" i="1" s="1"/>
  <c r="AF420" i="1"/>
  <c r="AC420" i="1"/>
  <c r="AC415" i="1"/>
  <c r="AC414" i="1"/>
  <c r="AC413" i="1"/>
  <c r="AC412" i="1"/>
  <c r="AB412" i="1" s="1"/>
  <c r="AC411" i="1"/>
  <c r="AC410" i="1"/>
  <c r="AC409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60" i="1"/>
  <c r="O360" i="1"/>
  <c r="R360" i="1" s="1"/>
  <c r="L360" i="1"/>
  <c r="J360" i="1"/>
  <c r="I360" i="1"/>
  <c r="G360" i="1"/>
  <c r="F360" i="1"/>
  <c r="D360" i="1"/>
  <c r="L345" i="1"/>
  <c r="I345" i="1"/>
  <c r="F345" i="1"/>
  <c r="Q344" i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L312" i="1"/>
  <c r="J312" i="1"/>
  <c r="K312" i="1" s="1"/>
  <c r="I312" i="1"/>
  <c r="G312" i="1"/>
  <c r="H312" i="1" s="1"/>
  <c r="F312" i="1"/>
  <c r="M312" i="1" s="1"/>
  <c r="D312" i="1"/>
  <c r="E312" i="1" s="1"/>
  <c r="Q311" i="1"/>
  <c r="O311" i="1"/>
  <c r="L311" i="1"/>
  <c r="J311" i="1"/>
  <c r="K311" i="1" s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L303" i="1"/>
  <c r="J303" i="1"/>
  <c r="K303" i="1" s="1"/>
  <c r="I303" i="1"/>
  <c r="G303" i="1"/>
  <c r="H303" i="1" s="1"/>
  <c r="F303" i="1"/>
  <c r="D303" i="1"/>
  <c r="E303" i="1" s="1"/>
  <c r="Q302" i="1"/>
  <c r="O302" i="1"/>
  <c r="R302" i="1" s="1"/>
  <c r="L302" i="1"/>
  <c r="J302" i="1"/>
  <c r="K302" i="1" s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I276" i="1"/>
  <c r="F276" i="1"/>
  <c r="Q275" i="1"/>
  <c r="L275" i="1"/>
  <c r="I275" i="1"/>
  <c r="F275" i="1"/>
  <c r="Q274" i="1"/>
  <c r="L274" i="1"/>
  <c r="I274" i="1"/>
  <c r="F274" i="1"/>
  <c r="Q273" i="1"/>
  <c r="L273" i="1"/>
  <c r="I273" i="1"/>
  <c r="F273" i="1"/>
  <c r="Q272" i="1"/>
  <c r="L272" i="1"/>
  <c r="I272" i="1"/>
  <c r="F272" i="1"/>
  <c r="Q271" i="1"/>
  <c r="L271" i="1"/>
  <c r="I271" i="1"/>
  <c r="F271" i="1"/>
  <c r="Q270" i="1"/>
  <c r="L270" i="1"/>
  <c r="I270" i="1"/>
  <c r="F270" i="1"/>
  <c r="Q269" i="1"/>
  <c r="L269" i="1"/>
  <c r="I269" i="1"/>
  <c r="F269" i="1"/>
  <c r="Q268" i="1"/>
  <c r="L268" i="1"/>
  <c r="I268" i="1"/>
  <c r="F268" i="1"/>
  <c r="Q267" i="1"/>
  <c r="L267" i="1"/>
  <c r="I267" i="1"/>
  <c r="F267" i="1"/>
  <c r="Q264" i="1"/>
  <c r="L264" i="1"/>
  <c r="I264" i="1"/>
  <c r="F264" i="1"/>
  <c r="Q263" i="1"/>
  <c r="L263" i="1"/>
  <c r="I263" i="1"/>
  <c r="F263" i="1"/>
  <c r="Q262" i="1"/>
  <c r="L262" i="1"/>
  <c r="I262" i="1"/>
  <c r="F262" i="1"/>
  <c r="Q261" i="1"/>
  <c r="L261" i="1"/>
  <c r="I261" i="1"/>
  <c r="F261" i="1"/>
  <c r="Q260" i="1"/>
  <c r="L260" i="1"/>
  <c r="I260" i="1"/>
  <c r="F260" i="1"/>
  <c r="Q259" i="1"/>
  <c r="L259" i="1"/>
  <c r="I259" i="1"/>
  <c r="F259" i="1"/>
  <c r="Q258" i="1"/>
  <c r="L258" i="1"/>
  <c r="I258" i="1"/>
  <c r="F258" i="1"/>
  <c r="Q257" i="1"/>
  <c r="L257" i="1"/>
  <c r="I257" i="1"/>
  <c r="F257" i="1"/>
  <c r="Q256" i="1"/>
  <c r="L256" i="1"/>
  <c r="I256" i="1"/>
  <c r="F256" i="1"/>
  <c r="Q255" i="1"/>
  <c r="L255" i="1"/>
  <c r="I255" i="1"/>
  <c r="F255" i="1"/>
  <c r="Q254" i="1"/>
  <c r="L254" i="1"/>
  <c r="I254" i="1"/>
  <c r="F254" i="1"/>
  <c r="Q247" i="1"/>
  <c r="S248" i="1" s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S245" i="1" s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E297" i="1" l="1"/>
  <c r="E300" i="1"/>
  <c r="R102" i="1"/>
  <c r="M175" i="1"/>
  <c r="M241" i="1"/>
  <c r="M244" i="1"/>
  <c r="M247" i="1"/>
  <c r="M178" i="1"/>
  <c r="M172" i="1"/>
  <c r="R296" i="1"/>
  <c r="R299" i="1"/>
  <c r="R308" i="1"/>
  <c r="R104" i="1"/>
  <c r="E296" i="1"/>
  <c r="E299" i="1"/>
  <c r="M300" i="1"/>
  <c r="S360" i="1"/>
  <c r="S223" i="1"/>
  <c r="N223" i="1"/>
  <c r="N103" i="1"/>
  <c r="S103" i="1"/>
  <c r="N220" i="1"/>
  <c r="S220" i="1"/>
  <c r="AN494" i="1"/>
  <c r="N188" i="1"/>
  <c r="S188" i="1"/>
  <c r="N261" i="1"/>
  <c r="S261" i="1"/>
  <c r="N281" i="1"/>
  <c r="AN454" i="1"/>
  <c r="AO454" i="1" s="1"/>
  <c r="AN460" i="1"/>
  <c r="AO460" i="1" s="1"/>
  <c r="S198" i="1"/>
  <c r="N198" i="1"/>
  <c r="N201" i="1"/>
  <c r="S201" i="1"/>
  <c r="S204" i="1"/>
  <c r="N204" i="1"/>
  <c r="N207" i="1"/>
  <c r="S207" i="1"/>
  <c r="N212" i="1"/>
  <c r="S212" i="1"/>
  <c r="N215" i="1"/>
  <c r="S215" i="1"/>
  <c r="S218" i="1"/>
  <c r="N218" i="1"/>
  <c r="S221" i="1"/>
  <c r="N221" i="1"/>
  <c r="S224" i="1"/>
  <c r="N224" i="1"/>
  <c r="M296" i="1"/>
  <c r="M299" i="1"/>
  <c r="M308" i="1"/>
  <c r="N102" i="1"/>
  <c r="S102" i="1"/>
  <c r="S318" i="1"/>
  <c r="N318" i="1"/>
  <c r="S338" i="1"/>
  <c r="N338" i="1"/>
  <c r="N214" i="1"/>
  <c r="S214" i="1"/>
  <c r="S297" i="1"/>
  <c r="N297" i="1"/>
  <c r="N303" i="1"/>
  <c r="S303" i="1"/>
  <c r="AN459" i="1"/>
  <c r="AO459" i="1" s="1"/>
  <c r="R297" i="1"/>
  <c r="P303" i="1"/>
  <c r="R303" i="1"/>
  <c r="S324" i="1"/>
  <c r="N324" i="1"/>
  <c r="S344" i="1"/>
  <c r="N344" i="1"/>
  <c r="N269" i="1"/>
  <c r="S269" i="1"/>
  <c r="N275" i="1"/>
  <c r="S275" i="1"/>
  <c r="S175" i="1"/>
  <c r="N175" i="1"/>
  <c r="N244" i="1"/>
  <c r="N245" i="1" s="1"/>
  <c r="S244" i="1"/>
  <c r="S302" i="1"/>
  <c r="N302" i="1"/>
  <c r="AN455" i="1"/>
  <c r="N206" i="1"/>
  <c r="S206" i="1"/>
  <c r="R175" i="1"/>
  <c r="S322" i="1"/>
  <c r="N322" i="1"/>
  <c r="S333" i="1"/>
  <c r="N333" i="1"/>
  <c r="S336" i="1"/>
  <c r="N336" i="1"/>
  <c r="N342" i="1"/>
  <c r="S342" i="1"/>
  <c r="R300" i="1"/>
  <c r="N321" i="1"/>
  <c r="S321" i="1"/>
  <c r="N335" i="1"/>
  <c r="S335" i="1"/>
  <c r="N255" i="1"/>
  <c r="S255" i="1"/>
  <c r="S272" i="1"/>
  <c r="N272" i="1"/>
  <c r="S247" i="1"/>
  <c r="N248" i="1"/>
  <c r="N247" i="1"/>
  <c r="N296" i="1"/>
  <c r="S296" i="1"/>
  <c r="N299" i="1"/>
  <c r="S299" i="1"/>
  <c r="N308" i="1"/>
  <c r="S308" i="1"/>
  <c r="N184" i="1"/>
  <c r="S184" i="1"/>
  <c r="AN461" i="1"/>
  <c r="AO461" i="1" s="1"/>
  <c r="S163" i="1"/>
  <c r="S172" i="1"/>
  <c r="N172" i="1"/>
  <c r="R241" i="1"/>
  <c r="S319" i="1"/>
  <c r="N319" i="1"/>
  <c r="N345" i="1"/>
  <c r="N202" i="1"/>
  <c r="S202" i="1"/>
  <c r="N208" i="1"/>
  <c r="S208" i="1"/>
  <c r="N219" i="1"/>
  <c r="S219" i="1"/>
  <c r="N225" i="1"/>
  <c r="M295" i="1"/>
  <c r="N100" i="1"/>
  <c r="S100" i="1"/>
  <c r="N104" i="1"/>
  <c r="S104" i="1"/>
  <c r="S203" i="1"/>
  <c r="N203" i="1"/>
  <c r="AN453" i="1"/>
  <c r="AO453" i="1" s="1"/>
  <c r="N332" i="1"/>
  <c r="S332" i="1"/>
  <c r="S258" i="1"/>
  <c r="N258" i="1"/>
  <c r="N163" i="1"/>
  <c r="R181" i="1"/>
  <c r="N256" i="1"/>
  <c r="S256" i="1"/>
  <c r="N259" i="1"/>
  <c r="S259" i="1"/>
  <c r="S262" i="1"/>
  <c r="N262" i="1"/>
  <c r="S267" i="1"/>
  <c r="N267" i="1"/>
  <c r="N270" i="1"/>
  <c r="S270" i="1"/>
  <c r="N273" i="1"/>
  <c r="S273" i="1"/>
  <c r="N276" i="1"/>
  <c r="S276" i="1"/>
  <c r="S279" i="1"/>
  <c r="N279" i="1"/>
  <c r="M100" i="1"/>
  <c r="R100" i="1"/>
  <c r="AN420" i="1"/>
  <c r="AO420" i="1" s="1"/>
  <c r="AN456" i="1"/>
  <c r="N199" i="1"/>
  <c r="S199" i="1"/>
  <c r="S205" i="1"/>
  <c r="N205" i="1"/>
  <c r="S213" i="1"/>
  <c r="N213" i="1"/>
  <c r="N216" i="1"/>
  <c r="S216" i="1"/>
  <c r="N222" i="1"/>
  <c r="S222" i="1"/>
  <c r="K298" i="1"/>
  <c r="M298" i="1"/>
  <c r="K301" i="1"/>
  <c r="M301" i="1"/>
  <c r="M307" i="1"/>
  <c r="F266" i="1"/>
  <c r="N295" i="1"/>
  <c r="S295" i="1"/>
  <c r="N298" i="1"/>
  <c r="S298" i="1"/>
  <c r="N301" i="1"/>
  <c r="S301" i="1"/>
  <c r="N307" i="1"/>
  <c r="S307" i="1"/>
  <c r="S312" i="1"/>
  <c r="R312" i="1" s="1"/>
  <c r="N312" i="1"/>
  <c r="AN457" i="1"/>
  <c r="AO457" i="1" s="1"/>
  <c r="AN492" i="1"/>
  <c r="S211" i="1"/>
  <c r="N211" i="1"/>
  <c r="S300" i="1"/>
  <c r="N300" i="1"/>
  <c r="S178" i="1"/>
  <c r="N178" i="1"/>
  <c r="S181" i="1"/>
  <c r="N181" i="1"/>
  <c r="S325" i="1"/>
  <c r="N325" i="1"/>
  <c r="N328" i="1"/>
  <c r="S328" i="1"/>
  <c r="N339" i="1"/>
  <c r="S339" i="1"/>
  <c r="M188" i="1"/>
  <c r="R295" i="1"/>
  <c r="R298" i="1"/>
  <c r="R307" i="1"/>
  <c r="N320" i="1"/>
  <c r="S320" i="1"/>
  <c r="N323" i="1"/>
  <c r="S323" i="1"/>
  <c r="N326" i="1"/>
  <c r="S326" i="1"/>
  <c r="S331" i="1"/>
  <c r="N331" i="1"/>
  <c r="S334" i="1"/>
  <c r="N334" i="1"/>
  <c r="N337" i="1"/>
  <c r="S337" i="1"/>
  <c r="N340" i="1"/>
  <c r="S340" i="1"/>
  <c r="S343" i="1"/>
  <c r="N343" i="1"/>
  <c r="AN469" i="1"/>
  <c r="AO469" i="1" s="1"/>
  <c r="S200" i="1"/>
  <c r="N200" i="1"/>
  <c r="S217" i="1"/>
  <c r="N217" i="1"/>
  <c r="K297" i="1"/>
  <c r="M297" i="1"/>
  <c r="N327" i="1"/>
  <c r="S327" i="1"/>
  <c r="N341" i="1"/>
  <c r="S341" i="1"/>
  <c r="N264" i="1"/>
  <c r="S264" i="1"/>
  <c r="S278" i="1"/>
  <c r="N278" i="1"/>
  <c r="N241" i="1"/>
  <c r="S241" i="1"/>
  <c r="R172" i="1"/>
  <c r="R178" i="1"/>
  <c r="M181" i="1"/>
  <c r="L266" i="1"/>
  <c r="S254" i="1"/>
  <c r="N254" i="1"/>
  <c r="N257" i="1"/>
  <c r="S257" i="1"/>
  <c r="N260" i="1"/>
  <c r="S260" i="1"/>
  <c r="N263" i="1"/>
  <c r="S263" i="1"/>
  <c r="S268" i="1"/>
  <c r="N268" i="1"/>
  <c r="N271" i="1"/>
  <c r="S271" i="1"/>
  <c r="S274" i="1"/>
  <c r="N274" i="1"/>
  <c r="N277" i="1"/>
  <c r="S277" i="1"/>
  <c r="N280" i="1"/>
  <c r="S280" i="1"/>
  <c r="R103" i="1"/>
  <c r="AN458" i="1"/>
  <c r="AO458" i="1" s="1"/>
  <c r="AB415" i="1"/>
  <c r="P299" i="1"/>
  <c r="AB448" i="1"/>
  <c r="AB476" i="1"/>
  <c r="P308" i="1"/>
  <c r="AB451" i="1"/>
  <c r="P312" i="1"/>
  <c r="P297" i="1"/>
  <c r="P300" i="1"/>
  <c r="E307" i="1"/>
  <c r="AB440" i="1"/>
  <c r="AB449" i="1"/>
  <c r="K307" i="1"/>
  <c r="K296" i="1"/>
  <c r="E298" i="1"/>
  <c r="K299" i="1"/>
  <c r="P307" i="1"/>
  <c r="P296" i="1"/>
  <c r="E308" i="1"/>
  <c r="AB472" i="1"/>
  <c r="F185" i="1"/>
  <c r="P302" i="1"/>
  <c r="P298" i="1"/>
  <c r="K308" i="1"/>
  <c r="AB462" i="1"/>
  <c r="P301" i="1"/>
  <c r="K300" i="1"/>
  <c r="AB410" i="1"/>
  <c r="AB429" i="1"/>
  <c r="AB459" i="1"/>
  <c r="AB469" i="1"/>
  <c r="AB413" i="1"/>
  <c r="AB453" i="1"/>
  <c r="AB455" i="1"/>
  <c r="AB477" i="1"/>
  <c r="AB420" i="1"/>
  <c r="AB423" i="1"/>
  <c r="AB441" i="1"/>
  <c r="AB411" i="1"/>
  <c r="AB427" i="1"/>
  <c r="AB414" i="1"/>
  <c r="AB470" i="1"/>
  <c r="AB424" i="1"/>
  <c r="AB439" i="1"/>
  <c r="AB458" i="1"/>
  <c r="P311" i="1"/>
  <c r="AB473" i="1"/>
  <c r="AB436" i="1"/>
  <c r="AB444" i="1"/>
  <c r="N242" i="1" l="1"/>
  <c r="N266" i="1"/>
  <c r="S242" i="1"/>
  <c r="AN466" i="1"/>
  <c r="N349" i="1"/>
  <c r="AO455" i="1"/>
  <c r="N285" i="1"/>
  <c r="AL448" i="1"/>
  <c r="D96" i="1" l="1"/>
  <c r="F96" i="1"/>
  <c r="G96" i="1"/>
  <c r="H96" i="1" s="1"/>
  <c r="I96" i="1"/>
  <c r="J96" i="1"/>
  <c r="L96" i="1"/>
  <c r="A96" i="1"/>
  <c r="N96" i="1" l="1"/>
  <c r="M96" i="1"/>
  <c r="K96" i="1"/>
  <c r="E96" i="1"/>
  <c r="Z492" i="1"/>
  <c r="Z491" i="1"/>
  <c r="AH491" i="1" s="1"/>
  <c r="AI491" i="1" s="1"/>
  <c r="Z469" i="1"/>
  <c r="AH469" i="1" s="1"/>
  <c r="AI469" i="1" s="1"/>
  <c r="Z461" i="1"/>
  <c r="Z458" i="1"/>
  <c r="AH458" i="1" s="1"/>
  <c r="AI458" i="1" s="1"/>
  <c r="AH461" i="1" l="1"/>
  <c r="AI461" i="1" s="1"/>
  <c r="AI492" i="1"/>
  <c r="AH492" i="1"/>
  <c r="Z420" i="1"/>
  <c r="AH420" i="1" s="1"/>
  <c r="AI420" i="1" s="1"/>
  <c r="Z460" i="1"/>
  <c r="AH460" i="1" s="1"/>
  <c r="AI460" i="1" s="1"/>
  <c r="Z453" i="1"/>
  <c r="AH453" i="1" s="1"/>
  <c r="Z454" i="1"/>
  <c r="AH454" i="1" s="1"/>
  <c r="AI454" i="1" s="1"/>
  <c r="Z455" i="1"/>
  <c r="Z456" i="1"/>
  <c r="Z457" i="1"/>
  <c r="Z493" i="1"/>
  <c r="Z459" i="1"/>
  <c r="AH459" i="1" s="1"/>
  <c r="AI459" i="1" s="1"/>
  <c r="AI493" i="1" l="1"/>
  <c r="AH493" i="1"/>
  <c r="AH457" i="1"/>
  <c r="AI457" i="1" s="1"/>
  <c r="AI456" i="1"/>
  <c r="AH456" i="1"/>
  <c r="AH455" i="1"/>
  <c r="AI455" i="1" s="1"/>
  <c r="AI453" i="1"/>
  <c r="O96" i="1"/>
  <c r="R96" i="1" s="1"/>
  <c r="Q96" i="1"/>
  <c r="S96" i="1" s="1"/>
  <c r="P96" i="1" l="1"/>
  <c r="Q281" i="1" l="1"/>
  <c r="S281" i="1" s="1"/>
  <c r="Q225" i="1"/>
  <c r="S225" i="1" s="1"/>
  <c r="Q345" i="1" l="1"/>
  <c r="S345" i="1" s="1"/>
  <c r="S349" i="1" s="1"/>
  <c r="Q149" i="1"/>
  <c r="S149" i="1" s="1"/>
  <c r="Z495" i="1" l="1"/>
  <c r="Z494" i="1"/>
  <c r="AF424" i="1"/>
  <c r="AF423" i="1"/>
  <c r="AF448" i="1"/>
  <c r="AL464" i="1"/>
  <c r="AF473" i="1"/>
  <c r="AF471" i="1"/>
  <c r="Z476" i="1"/>
  <c r="AF418" i="1"/>
  <c r="AF430" i="1"/>
  <c r="AF449" i="1"/>
  <c r="Z411" i="1"/>
  <c r="AF432" i="1"/>
  <c r="AF475" i="1"/>
  <c r="AF436" i="1"/>
  <c r="AF427" i="1"/>
  <c r="AF435" i="1"/>
  <c r="AF434" i="1"/>
  <c r="AF425" i="1"/>
  <c r="AF409" i="1"/>
  <c r="AF442" i="1"/>
  <c r="AF470" i="1"/>
  <c r="AF410" i="1"/>
  <c r="AL470" i="1"/>
  <c r="AF446" i="1"/>
  <c r="Z412" i="1"/>
  <c r="Z424" i="1"/>
  <c r="AF474" i="1"/>
  <c r="Z436" i="1"/>
  <c r="AF412" i="1"/>
  <c r="AH412" i="1" s="1"/>
  <c r="AF417" i="1"/>
  <c r="Z439" i="1"/>
  <c r="Z447" i="1"/>
  <c r="AF439" i="1"/>
  <c r="AF478" i="1"/>
  <c r="AF414" i="1"/>
  <c r="Z474" i="1"/>
  <c r="AF426" i="1"/>
  <c r="AF445" i="1"/>
  <c r="AF437" i="1"/>
  <c r="Z444" i="1"/>
  <c r="AH439" i="1" l="1"/>
  <c r="AN417" i="1"/>
  <c r="AN418" i="1"/>
  <c r="AN425" i="1"/>
  <c r="AN448" i="1"/>
  <c r="AO448" i="1" s="1"/>
  <c r="AH474" i="1"/>
  <c r="AI474" i="1" s="1"/>
  <c r="AH424" i="1"/>
  <c r="AI424" i="1" s="1"/>
  <c r="AN470" i="1"/>
  <c r="AO470" i="1" s="1"/>
  <c r="AI439" i="1"/>
  <c r="AI412" i="1"/>
  <c r="AI494" i="1"/>
  <c r="AH494" i="1"/>
  <c r="AN427" i="1"/>
  <c r="AH436" i="1"/>
  <c r="AI436" i="1" s="1"/>
  <c r="AN426" i="1"/>
  <c r="AI495" i="1"/>
  <c r="AH495" i="1"/>
  <c r="AF441" i="1"/>
  <c r="AF440" i="1"/>
  <c r="Z413" i="1"/>
  <c r="AF476" i="1"/>
  <c r="Z437" i="1"/>
  <c r="AH437" i="1" s="1"/>
  <c r="Z445" i="1"/>
  <c r="Z409" i="1"/>
  <c r="AH409" i="1" s="1"/>
  <c r="AF421" i="1"/>
  <c r="Z428" i="1"/>
  <c r="Z435" i="1"/>
  <c r="AH435" i="1" s="1"/>
  <c r="AI435" i="1" s="1"/>
  <c r="Z415" i="1"/>
  <c r="AF444" i="1"/>
  <c r="AH444" i="1" s="1"/>
  <c r="AI444" i="1" s="1"/>
  <c r="AF477" i="1"/>
  <c r="Z430" i="1"/>
  <c r="AH430" i="1" s="1"/>
  <c r="AI430" i="1" s="1"/>
  <c r="Z480" i="1"/>
  <c r="AF422" i="1"/>
  <c r="AF438" i="1"/>
  <c r="AF413" i="1"/>
  <c r="Z441" i="1"/>
  <c r="Z497" i="1"/>
  <c r="AI497" i="1" s="1"/>
  <c r="Z431" i="1"/>
  <c r="Z442" i="1"/>
  <c r="AH442" i="1" s="1"/>
  <c r="AI442" i="1" s="1"/>
  <c r="AF429" i="1"/>
  <c r="AF472" i="1"/>
  <c r="Z414" i="1"/>
  <c r="AH414" i="1" s="1"/>
  <c r="AI414" i="1" s="1"/>
  <c r="Z410" i="1"/>
  <c r="AH410" i="1" s="1"/>
  <c r="AI410" i="1" s="1"/>
  <c r="AF416" i="1"/>
  <c r="AF450" i="1"/>
  <c r="Z434" i="1"/>
  <c r="AH434" i="1" s="1"/>
  <c r="AF411" i="1"/>
  <c r="AH411" i="1" s="1"/>
  <c r="AI411" i="1" s="1"/>
  <c r="AF428" i="1"/>
  <c r="AF431" i="1"/>
  <c r="Z422" i="1"/>
  <c r="AF415" i="1"/>
  <c r="Z438" i="1"/>
  <c r="Z421" i="1"/>
  <c r="AF447" i="1"/>
  <c r="AH447" i="1" s="1"/>
  <c r="AI447" i="1" s="1"/>
  <c r="AF480" i="1"/>
  <c r="Z446" i="1"/>
  <c r="AH446" i="1" s="1"/>
  <c r="AI446" i="1" s="1"/>
  <c r="Z475" i="1"/>
  <c r="AH475" i="1" s="1"/>
  <c r="AI475" i="1" s="1"/>
  <c r="AF443" i="1"/>
  <c r="Z470" i="1"/>
  <c r="AH470" i="1" s="1"/>
  <c r="Z429" i="1"/>
  <c r="Z472" i="1"/>
  <c r="Z443" i="1"/>
  <c r="Z448" i="1"/>
  <c r="AH448" i="1" s="1"/>
  <c r="AI448" i="1" s="1"/>
  <c r="AF497" i="1"/>
  <c r="AF451" i="1"/>
  <c r="AE417" i="1"/>
  <c r="AF479" i="1"/>
  <c r="AE418" i="1"/>
  <c r="Z471" i="1"/>
  <c r="AH471" i="1" s="1"/>
  <c r="AI471" i="1" s="1"/>
  <c r="Z423" i="1"/>
  <c r="AH423" i="1" s="1"/>
  <c r="AI423" i="1" s="1"/>
  <c r="Z473" i="1"/>
  <c r="AH473" i="1" s="1"/>
  <c r="AI473" i="1" s="1"/>
  <c r="Z440" i="1"/>
  <c r="AI440" i="1" s="1"/>
  <c r="AL465" i="1"/>
  <c r="AL471" i="1"/>
  <c r="AN471" i="1" s="1"/>
  <c r="AO471" i="1" s="1"/>
  <c r="AL463" i="1"/>
  <c r="AL497" i="1"/>
  <c r="AO497" i="1" s="1"/>
  <c r="AL495" i="1"/>
  <c r="AL479" i="1"/>
  <c r="AO479" i="1" s="1"/>
  <c r="AL472" i="1"/>
  <c r="AO472" i="1" s="1"/>
  <c r="AL477" i="1"/>
  <c r="AL475" i="1"/>
  <c r="AN475" i="1" s="1"/>
  <c r="AO475" i="1" s="1"/>
  <c r="AL474" i="1"/>
  <c r="AN474" i="1" s="1"/>
  <c r="AO474" i="1" s="1"/>
  <c r="AL473" i="1"/>
  <c r="AO473" i="1" s="1"/>
  <c r="AL476" i="1"/>
  <c r="AO476" i="1" s="1"/>
  <c r="AL478" i="1"/>
  <c r="AO478" i="1" s="1"/>
  <c r="Z451" i="1"/>
  <c r="AI451" i="1" s="1"/>
  <c r="Z417" i="1"/>
  <c r="AI417" i="1" s="1"/>
  <c r="Z477" i="1"/>
  <c r="AH413" i="1" l="1"/>
  <c r="AI413" i="1" s="1"/>
  <c r="AN478" i="1"/>
  <c r="AH440" i="1"/>
  <c r="AH441" i="1"/>
  <c r="AI441" i="1" s="1"/>
  <c r="AH429" i="1"/>
  <c r="AI429" i="1" s="1"/>
  <c r="AI434" i="1"/>
  <c r="AH480" i="1"/>
  <c r="AI480" i="1" s="1"/>
  <c r="AH477" i="1"/>
  <c r="AI477" i="1" s="1"/>
  <c r="AN477" i="1"/>
  <c r="AO477" i="1" s="1"/>
  <c r="AN472" i="1"/>
  <c r="AH472" i="1"/>
  <c r="AI472" i="1" s="1"/>
  <c r="AI431" i="1"/>
  <c r="AH421" i="1"/>
  <c r="AI421" i="1" s="1"/>
  <c r="AH415" i="1"/>
  <c r="AI415" i="1" s="1"/>
  <c r="AI409" i="1"/>
  <c r="AN473" i="1"/>
  <c r="AH445" i="1"/>
  <c r="AI445" i="1" s="1"/>
  <c r="AN479" i="1"/>
  <c r="AN497" i="1"/>
  <c r="AH497" i="1"/>
  <c r="AH428" i="1"/>
  <c r="AI428" i="1" s="1"/>
  <c r="AH443" i="1"/>
  <c r="AI443" i="1" s="1"/>
  <c r="AH438" i="1"/>
  <c r="AI438" i="1" s="1"/>
  <c r="AI437" i="1"/>
  <c r="AN451" i="1"/>
  <c r="AH451" i="1"/>
  <c r="AH431" i="1"/>
  <c r="AN450" i="1"/>
  <c r="AN476" i="1"/>
  <c r="AH476" i="1"/>
  <c r="AI476" i="1" s="1"/>
  <c r="AO495" i="1"/>
  <c r="AN495" i="1"/>
  <c r="AI470" i="1"/>
  <c r="AH422" i="1"/>
  <c r="AI422" i="1" s="1"/>
  <c r="AE416" i="1"/>
  <c r="AN416" i="1"/>
  <c r="AH417" i="1"/>
  <c r="AL466" i="1"/>
  <c r="AO466" i="1" s="1"/>
  <c r="AE497" i="1"/>
  <c r="Z479" i="1"/>
  <c r="AH479" i="1" s="1"/>
  <c r="AI479" i="1" s="1"/>
  <c r="Z426" i="1"/>
  <c r="Z416" i="1"/>
  <c r="AI416" i="1" s="1"/>
  <c r="Z418" i="1"/>
  <c r="Z427" i="1"/>
  <c r="Z449" i="1"/>
  <c r="Z478" i="1"/>
  <c r="AH478" i="1" s="1"/>
  <c r="AI478" i="1" s="1"/>
  <c r="Z450" i="1"/>
  <c r="AI450" i="1" s="1"/>
  <c r="Z425" i="1"/>
  <c r="Z432" i="1"/>
  <c r="AH416" i="1" l="1"/>
  <c r="AI432" i="1"/>
  <c r="AH432" i="1"/>
  <c r="AI425" i="1"/>
  <c r="AH425" i="1"/>
  <c r="AI427" i="1"/>
  <c r="AH427" i="1"/>
  <c r="AI449" i="1"/>
  <c r="AH449" i="1"/>
  <c r="AH450" i="1"/>
  <c r="AH452" i="1" s="1"/>
  <c r="AI452" i="1" s="1"/>
  <c r="AI418" i="1"/>
  <c r="AH418" i="1"/>
  <c r="AI426" i="1"/>
  <c r="AH426" i="1"/>
  <c r="Z452" i="1"/>
  <c r="Z433" i="1"/>
  <c r="AL480" i="1"/>
  <c r="AL481" i="1" l="1"/>
  <c r="AN480" i="1"/>
  <c r="AO480" i="1" s="1"/>
  <c r="AC452" i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F465" i="1" l="1"/>
  <c r="AF464" i="1"/>
  <c r="AF463" i="1"/>
  <c r="AC465" i="1"/>
  <c r="AC464" i="1"/>
  <c r="AC463" i="1"/>
  <c r="Z465" i="1"/>
  <c r="AI465" i="1" s="1"/>
  <c r="Z464" i="1"/>
  <c r="AI464" i="1" s="1"/>
  <c r="Z463" i="1"/>
  <c r="AI463" i="1" s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O362" i="1"/>
  <c r="R362" i="1" s="1"/>
  <c r="L394" i="1"/>
  <c r="L393" i="1"/>
  <c r="L392" i="1"/>
  <c r="L391" i="1"/>
  <c r="S391" i="1" s="1"/>
  <c r="L390" i="1"/>
  <c r="S390" i="1" s="1"/>
  <c r="L389" i="1"/>
  <c r="S389" i="1" s="1"/>
  <c r="L388" i="1"/>
  <c r="S388" i="1" s="1"/>
  <c r="L387" i="1"/>
  <c r="S387" i="1" s="1"/>
  <c r="L386" i="1"/>
  <c r="L385" i="1"/>
  <c r="L384" i="1"/>
  <c r="L383" i="1"/>
  <c r="L382" i="1"/>
  <c r="L381" i="1"/>
  <c r="L380" i="1"/>
  <c r="L379" i="1"/>
  <c r="S379" i="1" s="1"/>
  <c r="L378" i="1"/>
  <c r="S378" i="1" s="1"/>
  <c r="L376" i="1"/>
  <c r="S376" i="1" s="1"/>
  <c r="L375" i="1"/>
  <c r="S375" i="1" s="1"/>
  <c r="L374" i="1"/>
  <c r="S374" i="1" s="1"/>
  <c r="L373" i="1"/>
  <c r="S373" i="1" s="1"/>
  <c r="L372" i="1"/>
  <c r="L371" i="1"/>
  <c r="L370" i="1"/>
  <c r="L369" i="1"/>
  <c r="L368" i="1"/>
  <c r="L367" i="1"/>
  <c r="L366" i="1"/>
  <c r="S366" i="1" s="1"/>
  <c r="L365" i="1"/>
  <c r="S365" i="1" s="1"/>
  <c r="J362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2" i="1"/>
  <c r="G362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93" i="1"/>
  <c r="S386" i="1" l="1"/>
  <c r="S367" i="1"/>
  <c r="S380" i="1"/>
  <c r="S392" i="1"/>
  <c r="S393" i="1"/>
  <c r="S381" i="1"/>
  <c r="S369" i="1"/>
  <c r="S382" i="1"/>
  <c r="S394" i="1"/>
  <c r="S370" i="1"/>
  <c r="S383" i="1"/>
  <c r="AH463" i="1"/>
  <c r="AH466" i="1" s="1"/>
  <c r="S368" i="1"/>
  <c r="S371" i="1"/>
  <c r="S384" i="1"/>
  <c r="AH464" i="1"/>
  <c r="S372" i="1"/>
  <c r="S385" i="1"/>
  <c r="AH465" i="1"/>
  <c r="Q176" i="1"/>
  <c r="I248" i="1"/>
  <c r="L176" i="1"/>
  <c r="Q242" i="1"/>
  <c r="Q179" i="1"/>
  <c r="Q192" i="1"/>
  <c r="I189" i="1"/>
  <c r="H362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30" i="1"/>
  <c r="I349" i="1"/>
  <c r="Q330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30" i="1"/>
  <c r="P360" i="1"/>
  <c r="H174" i="1"/>
  <c r="I210" i="1"/>
  <c r="L185" i="1"/>
  <c r="L182" i="1"/>
  <c r="Q266" i="1"/>
  <c r="P266" i="1" s="1"/>
  <c r="L304" i="1"/>
  <c r="H360" i="1"/>
  <c r="I395" i="1"/>
  <c r="H395" i="1" s="1"/>
  <c r="K360" i="1"/>
  <c r="Q377" i="1"/>
  <c r="P377" i="1" s="1"/>
  <c r="I185" i="1"/>
  <c r="I194" i="1" s="1"/>
  <c r="L377" i="1"/>
  <c r="Q250" i="1"/>
  <c r="I377" i="1"/>
  <c r="L189" i="1"/>
  <c r="J304" i="1"/>
  <c r="Q395" i="1"/>
  <c r="P395" i="1" s="1"/>
  <c r="I266" i="1"/>
  <c r="I285" i="1"/>
  <c r="P295" i="1"/>
  <c r="Q349" i="1"/>
  <c r="L395" i="1"/>
  <c r="K395" i="1" s="1"/>
  <c r="Q362" i="1"/>
  <c r="S363" i="1" s="1"/>
  <c r="L362" i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S395" i="1"/>
  <c r="S362" i="1"/>
  <c r="S377" i="1"/>
  <c r="M95" i="1"/>
  <c r="R95" i="1"/>
  <c r="N80" i="1"/>
  <c r="S80" i="1"/>
  <c r="S81" i="1"/>
  <c r="N81" i="1"/>
  <c r="N79" i="1"/>
  <c r="S79" i="1"/>
  <c r="N75" i="1"/>
  <c r="S75" i="1"/>
  <c r="R304" i="1"/>
  <c r="N76" i="1"/>
  <c r="S76" i="1"/>
  <c r="N77" i="1"/>
  <c r="S77" i="1"/>
  <c r="M94" i="1"/>
  <c r="R94" i="1"/>
  <c r="N95" i="1"/>
  <c r="S95" i="1"/>
  <c r="S78" i="1"/>
  <c r="N78" i="1"/>
  <c r="L97" i="1"/>
  <c r="S94" i="1"/>
  <c r="N94" i="1"/>
  <c r="S330" i="1"/>
  <c r="S304" i="1"/>
  <c r="S305" i="1" s="1"/>
  <c r="S210" i="1"/>
  <c r="N210" i="1"/>
  <c r="N185" i="1"/>
  <c r="N186" i="1" s="1"/>
  <c r="S185" i="1"/>
  <c r="K362" i="1"/>
  <c r="L309" i="1"/>
  <c r="L194" i="1"/>
  <c r="K194" i="1"/>
  <c r="G97" i="1"/>
  <c r="H97" i="1" s="1"/>
  <c r="D97" i="1"/>
  <c r="E113" i="1" s="1"/>
  <c r="F97" i="1"/>
  <c r="J97" i="1"/>
  <c r="Q97" i="1"/>
  <c r="O97" i="1"/>
  <c r="H99" i="1"/>
  <c r="E99" i="1"/>
  <c r="P99" i="1"/>
  <c r="K99" i="1"/>
  <c r="I397" i="1"/>
  <c r="H397" i="1" s="1"/>
  <c r="H94" i="1"/>
  <c r="P94" i="1"/>
  <c r="H330" i="1"/>
  <c r="H349" i="1"/>
  <c r="I287" i="1"/>
  <c r="I289" i="1" s="1"/>
  <c r="P349" i="1"/>
  <c r="H95" i="1"/>
  <c r="P95" i="1"/>
  <c r="P100" i="1"/>
  <c r="P330" i="1"/>
  <c r="K95" i="1"/>
  <c r="Q397" i="1"/>
  <c r="P397" i="1" s="1"/>
  <c r="Q351" i="1"/>
  <c r="P351" i="1" s="1"/>
  <c r="H266" i="1"/>
  <c r="H100" i="1"/>
  <c r="Q287" i="1"/>
  <c r="Q289" i="1" s="1"/>
  <c r="K304" i="1"/>
  <c r="L397" i="1"/>
  <c r="K100" i="1"/>
  <c r="H377" i="1"/>
  <c r="Q83" i="1"/>
  <c r="J309" i="1"/>
  <c r="K94" i="1"/>
  <c r="P285" i="1"/>
  <c r="E100" i="1"/>
  <c r="I195" i="1"/>
  <c r="K377" i="1"/>
  <c r="Q251" i="1"/>
  <c r="P362" i="1"/>
  <c r="O309" i="1"/>
  <c r="P304" i="1"/>
  <c r="G309" i="1"/>
  <c r="G314" i="1" s="1"/>
  <c r="H304" i="1"/>
  <c r="I251" i="1"/>
  <c r="H285" i="1"/>
  <c r="Q194" i="1"/>
  <c r="Q186" i="1"/>
  <c r="L186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6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L6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M97" i="1" l="1"/>
  <c r="R97" i="1"/>
  <c r="J112" i="1"/>
  <c r="S97" i="1"/>
  <c r="S98" i="1" s="1"/>
  <c r="N97" i="1"/>
  <c r="H120" i="1"/>
  <c r="E119" i="1"/>
  <c r="R98" i="1"/>
  <c r="E118" i="1"/>
  <c r="E114" i="1"/>
  <c r="M98" i="1"/>
  <c r="S6" i="1"/>
  <c r="N6" i="1"/>
  <c r="S22" i="1"/>
  <c r="N22" i="1"/>
  <c r="S60" i="1"/>
  <c r="N60" i="1"/>
  <c r="N42" i="1"/>
  <c r="S42" i="1"/>
  <c r="R15" i="1"/>
  <c r="M15" i="1"/>
  <c r="S23" i="1"/>
  <c r="N23" i="1"/>
  <c r="N31" i="1"/>
  <c r="S31" i="1"/>
  <c r="S61" i="1"/>
  <c r="N61" i="1"/>
  <c r="N8" i="1"/>
  <c r="S8" i="1"/>
  <c r="N15" i="1"/>
  <c r="S15" i="1"/>
  <c r="S32" i="1"/>
  <c r="N32" i="1"/>
  <c r="S43" i="1"/>
  <c r="N43" i="1"/>
  <c r="S47" i="1"/>
  <c r="N47" i="1"/>
  <c r="N51" i="1"/>
  <c r="S51" i="1"/>
  <c r="N62" i="1"/>
  <c r="S62" i="1"/>
  <c r="S21" i="1"/>
  <c r="N21" i="1"/>
  <c r="N9" i="1"/>
  <c r="S9" i="1"/>
  <c r="N19" i="1"/>
  <c r="S19" i="1"/>
  <c r="S33" i="1"/>
  <c r="N33" i="1"/>
  <c r="S63" i="1"/>
  <c r="N63" i="1"/>
  <c r="S50" i="1"/>
  <c r="N50" i="1"/>
  <c r="N59" i="1"/>
  <c r="S59" i="1"/>
  <c r="N10" i="1"/>
  <c r="S10" i="1"/>
  <c r="N34" i="1"/>
  <c r="S34" i="1"/>
  <c r="N64" i="1"/>
  <c r="S64" i="1"/>
  <c r="R6" i="1"/>
  <c r="M6" i="1"/>
  <c r="S11" i="1"/>
  <c r="N11" i="1"/>
  <c r="N35" i="1"/>
  <c r="S35" i="1"/>
  <c r="N44" i="1"/>
  <c r="S44" i="1"/>
  <c r="S48" i="1"/>
  <c r="N48" i="1"/>
  <c r="N52" i="1"/>
  <c r="S52" i="1"/>
  <c r="S65" i="1"/>
  <c r="N65" i="1"/>
  <c r="R7" i="1"/>
  <c r="M7" i="1"/>
  <c r="N12" i="1"/>
  <c r="S12" i="1"/>
  <c r="N36" i="1"/>
  <c r="S36" i="1"/>
  <c r="S66" i="1"/>
  <c r="N66" i="1"/>
  <c r="R12" i="1"/>
  <c r="M12" i="1"/>
  <c r="R8" i="1"/>
  <c r="M8" i="1"/>
  <c r="S37" i="1"/>
  <c r="N37" i="1"/>
  <c r="N55" i="1"/>
  <c r="S55" i="1"/>
  <c r="N67" i="1"/>
  <c r="S67" i="1"/>
  <c r="S46" i="1"/>
  <c r="N46" i="1"/>
  <c r="N7" i="1"/>
  <c r="S7" i="1"/>
  <c r="R9" i="1"/>
  <c r="M9" i="1"/>
  <c r="N38" i="1"/>
  <c r="S38" i="1"/>
  <c r="S45" i="1"/>
  <c r="N45" i="1"/>
  <c r="N49" i="1"/>
  <c r="S49" i="1"/>
  <c r="S53" i="1"/>
  <c r="N53" i="1"/>
  <c r="S56" i="1"/>
  <c r="N56" i="1"/>
  <c r="N69" i="1"/>
  <c r="S69" i="1"/>
  <c r="N98" i="1"/>
  <c r="R10" i="1"/>
  <c r="M10" i="1"/>
  <c r="M17" i="1"/>
  <c r="R17" i="1"/>
  <c r="N39" i="1"/>
  <c r="S39" i="1"/>
  <c r="N57" i="1"/>
  <c r="S57" i="1"/>
  <c r="S70" i="1"/>
  <c r="N70" i="1"/>
  <c r="R11" i="1"/>
  <c r="M11" i="1"/>
  <c r="N17" i="1"/>
  <c r="S17" i="1"/>
  <c r="S40" i="1"/>
  <c r="N40" i="1"/>
  <c r="S58" i="1"/>
  <c r="N58" i="1"/>
  <c r="N71" i="1"/>
  <c r="S71" i="1"/>
  <c r="O314" i="1"/>
  <c r="P314" i="1" s="1"/>
  <c r="R309" i="1"/>
  <c r="S397" i="1"/>
  <c r="K210" i="1"/>
  <c r="S194" i="1"/>
  <c r="S195" i="1" s="1"/>
  <c r="H119" i="1"/>
  <c r="S309" i="1"/>
  <c r="S310" i="1" s="1"/>
  <c r="H115" i="1"/>
  <c r="L195" i="1"/>
  <c r="H113" i="1"/>
  <c r="O112" i="1"/>
  <c r="H116" i="1"/>
  <c r="E120" i="1"/>
  <c r="E115" i="1"/>
  <c r="E117" i="1"/>
  <c r="E116" i="1"/>
  <c r="L314" i="1"/>
  <c r="K397" i="1"/>
  <c r="J314" i="1"/>
  <c r="E121" i="1"/>
  <c r="H121" i="1"/>
  <c r="H117" i="1"/>
  <c r="H114" i="1"/>
  <c r="H118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L399" i="1"/>
  <c r="I399" i="1"/>
  <c r="H287" i="1"/>
  <c r="P287" i="1"/>
  <c r="K309" i="1"/>
  <c r="Q399" i="1"/>
  <c r="Q353" i="1"/>
  <c r="P309" i="1"/>
  <c r="H314" i="1"/>
  <c r="H309" i="1"/>
  <c r="Q195" i="1"/>
  <c r="P210" i="1"/>
  <c r="N13" i="1" l="1"/>
  <c r="S399" i="1"/>
  <c r="S54" i="1"/>
  <c r="N54" i="1"/>
  <c r="M13" i="1"/>
  <c r="R13" i="1"/>
  <c r="S13" i="1"/>
  <c r="R194" i="1"/>
  <c r="S314" i="1"/>
  <c r="S315" i="1" s="1"/>
  <c r="R314" i="1"/>
  <c r="K314" i="1"/>
  <c r="K330" i="1"/>
  <c r="O13" i="2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F362" i="1"/>
  <c r="D362" i="1"/>
  <c r="A360" i="1"/>
  <c r="A35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F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F179" i="1"/>
  <c r="N179" i="1" s="1"/>
  <c r="A178" i="1"/>
  <c r="A177" i="1"/>
  <c r="A176" i="1"/>
  <c r="A175" i="1"/>
  <c r="E174" i="1"/>
  <c r="A174" i="1"/>
  <c r="A173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L105" i="1"/>
  <c r="A105" i="1"/>
  <c r="A104" i="1"/>
  <c r="A103" i="1"/>
  <c r="F105" i="1"/>
  <c r="A102" i="1"/>
  <c r="A101" i="1"/>
  <c r="A100" i="1"/>
  <c r="A99" i="1"/>
  <c r="H98" i="1"/>
  <c r="A98" i="1"/>
  <c r="O108" i="1"/>
  <c r="J10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B40" i="1"/>
  <c r="A40" i="1" s="1"/>
  <c r="K39" i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9" i="1"/>
  <c r="B18" i="1"/>
  <c r="A18" i="1" s="1"/>
  <c r="P17" i="1"/>
  <c r="K17" i="1"/>
  <c r="E17" i="1"/>
  <c r="B17" i="1"/>
  <c r="A17" i="1" s="1"/>
  <c r="B16" i="1"/>
  <c r="A16" i="1" s="1"/>
  <c r="K15" i="1"/>
  <c r="B15" i="1"/>
  <c r="P15" i="1" s="1"/>
  <c r="B14" i="1"/>
  <c r="A14" i="1" s="1"/>
  <c r="O13" i="1"/>
  <c r="R14" i="1" s="1"/>
  <c r="J13" i="1"/>
  <c r="B13" i="1"/>
  <c r="A13" i="1" s="1"/>
  <c r="P12" i="1"/>
  <c r="K12" i="1"/>
  <c r="B12" i="1"/>
  <c r="A12" i="1" s="1"/>
  <c r="P11" i="1"/>
  <c r="K11" i="1"/>
  <c r="B11" i="1"/>
  <c r="P10" i="1"/>
  <c r="K10" i="1"/>
  <c r="B10" i="1"/>
  <c r="A10" i="1" s="1"/>
  <c r="P9" i="1"/>
  <c r="K9" i="1"/>
  <c r="B9" i="1"/>
  <c r="P8" i="1"/>
  <c r="K8" i="1"/>
  <c r="B8" i="1"/>
  <c r="A8" i="1" s="1"/>
  <c r="K7" i="1"/>
  <c r="B7" i="1"/>
  <c r="P7" i="1" s="1"/>
  <c r="K6" i="1"/>
  <c r="B6" i="1"/>
  <c r="A6" i="1" s="1"/>
  <c r="B5" i="1"/>
  <c r="A5" i="1" s="1"/>
  <c r="S266" i="1" l="1"/>
  <c r="R108" i="1"/>
  <c r="R109" i="1" s="1"/>
  <c r="N105" i="1"/>
  <c r="N106" i="1" s="1"/>
  <c r="F108" i="1"/>
  <c r="D113" i="1"/>
  <c r="D112" i="1"/>
  <c r="J113" i="1"/>
  <c r="AK418" i="1"/>
  <c r="AK417" i="1"/>
  <c r="AK416" i="1"/>
  <c r="AK432" i="1"/>
  <c r="AK497" i="1"/>
  <c r="AE414" i="1"/>
  <c r="AE415" i="1"/>
  <c r="AE410" i="1"/>
  <c r="AE413" i="1"/>
  <c r="AE412" i="1"/>
  <c r="AE411" i="1"/>
  <c r="A7" i="1"/>
  <c r="I10" i="2"/>
  <c r="L108" i="1"/>
  <c r="A21" i="1"/>
  <c r="K22" i="1"/>
  <c r="R22" i="1" s="1"/>
  <c r="A23" i="1"/>
  <c r="O24" i="1"/>
  <c r="A33" i="1"/>
  <c r="A15" i="1"/>
  <c r="E362" i="1"/>
  <c r="K23" i="1"/>
  <c r="R23" i="1" s="1"/>
  <c r="K21" i="1"/>
  <c r="R21" i="1" s="1"/>
  <c r="P6" i="1"/>
  <c r="G105" i="1"/>
  <c r="G108" i="1"/>
  <c r="H6" i="1"/>
  <c r="H22" i="1"/>
  <c r="A32" i="1"/>
  <c r="A44" i="1"/>
  <c r="A52" i="1"/>
  <c r="A76" i="1"/>
  <c r="E95" i="1"/>
  <c r="V485" i="1"/>
  <c r="A485" i="1" s="1"/>
  <c r="V402" i="1"/>
  <c r="C291" i="1"/>
  <c r="C356" i="1" s="1"/>
  <c r="C236" i="1"/>
  <c r="C168" i="1"/>
  <c r="C89" i="1"/>
  <c r="A81" i="1"/>
  <c r="P21" i="1"/>
  <c r="A9" i="1"/>
  <c r="H17" i="1"/>
  <c r="E21" i="1"/>
  <c r="I24" i="1"/>
  <c r="E23" i="1"/>
  <c r="J24" i="1"/>
  <c r="A39" i="1"/>
  <c r="P39" i="1"/>
  <c r="Q54" i="1"/>
  <c r="A46" i="1"/>
  <c r="F72" i="1"/>
  <c r="A78" i="1"/>
  <c r="O105" i="1"/>
  <c r="P97" i="1"/>
  <c r="I122" i="1"/>
  <c r="G112" i="1"/>
  <c r="E12" i="1"/>
  <c r="AO402" i="1"/>
  <c r="A11" i="1"/>
  <c r="A19" i="1"/>
  <c r="F24" i="1"/>
  <c r="D32" i="1" s="1"/>
  <c r="H23" i="1"/>
  <c r="J27" i="1"/>
  <c r="L41" i="1"/>
  <c r="A35" i="1"/>
  <c r="A80" i="1"/>
  <c r="E94" i="1"/>
  <c r="Q105" i="1"/>
  <c r="S105" i="1" s="1"/>
  <c r="J105" i="1"/>
  <c r="H112" i="1"/>
  <c r="A77" i="1"/>
  <c r="Q24" i="1"/>
  <c r="O32" i="1" s="1"/>
  <c r="K38" i="1"/>
  <c r="A42" i="1"/>
  <c r="A82" i="1"/>
  <c r="L122" i="1"/>
  <c r="E10" i="1"/>
  <c r="O27" i="1"/>
  <c r="P23" i="1"/>
  <c r="A79" i="1"/>
  <c r="K112" i="1"/>
  <c r="P112" i="1"/>
  <c r="L135" i="1"/>
  <c r="E185" i="1"/>
  <c r="M185" i="1" s="1"/>
  <c r="L242" i="1"/>
  <c r="Q135" i="1"/>
  <c r="I153" i="1"/>
  <c r="F173" i="1"/>
  <c r="F135" i="1"/>
  <c r="F250" i="1"/>
  <c r="F245" i="1"/>
  <c r="Q229" i="1"/>
  <c r="F229" i="1"/>
  <c r="F176" i="1"/>
  <c r="E250" i="1"/>
  <c r="F163" i="1"/>
  <c r="AF466" i="1"/>
  <c r="F349" i="1"/>
  <c r="E360" i="1"/>
  <c r="F377" i="1"/>
  <c r="F395" i="1"/>
  <c r="E395" i="1" s="1"/>
  <c r="F330" i="1"/>
  <c r="N330" i="1" s="1"/>
  <c r="AC466" i="1"/>
  <c r="Z466" i="1"/>
  <c r="AI466" i="1" s="1"/>
  <c r="S122" i="1" l="1"/>
  <c r="N108" i="1"/>
  <c r="N109" i="1" s="1"/>
  <c r="R27" i="1"/>
  <c r="R28" i="1" s="1"/>
  <c r="S135" i="1"/>
  <c r="N135" i="1"/>
  <c r="S106" i="1"/>
  <c r="Q108" i="1"/>
  <c r="P108" i="1" s="1"/>
  <c r="O113" i="1"/>
  <c r="E194" i="1"/>
  <c r="AL449" i="1"/>
  <c r="AL440" i="1"/>
  <c r="AL443" i="1"/>
  <c r="AN443" i="1" s="1"/>
  <c r="AO443" i="1" s="1"/>
  <c r="AL411" i="1"/>
  <c r="AN411" i="1" s="1"/>
  <c r="AO411" i="1" s="1"/>
  <c r="AL434" i="1"/>
  <c r="AN434" i="1" s="1"/>
  <c r="AL422" i="1"/>
  <c r="AN422" i="1" s="1"/>
  <c r="AO422" i="1" s="1"/>
  <c r="AL444" i="1"/>
  <c r="AL436" i="1"/>
  <c r="AL414" i="1"/>
  <c r="AN414" i="1" s="1"/>
  <c r="AO414" i="1" s="1"/>
  <c r="AL415" i="1"/>
  <c r="AN415" i="1" s="1"/>
  <c r="AO415" i="1" s="1"/>
  <c r="AL442" i="1"/>
  <c r="AL409" i="1"/>
  <c r="AN409" i="1" s="1"/>
  <c r="AO409" i="1" s="1"/>
  <c r="AL428" i="1"/>
  <c r="AN428" i="1" s="1"/>
  <c r="AO428" i="1" s="1"/>
  <c r="AL430" i="1"/>
  <c r="AN430" i="1" s="1"/>
  <c r="AO430" i="1" s="1"/>
  <c r="AL447" i="1"/>
  <c r="AN447" i="1" s="1"/>
  <c r="AO447" i="1" s="1"/>
  <c r="AL421" i="1"/>
  <c r="AN421" i="1" s="1"/>
  <c r="AO421" i="1" s="1"/>
  <c r="AL424" i="1"/>
  <c r="AN424" i="1" s="1"/>
  <c r="AO424" i="1" s="1"/>
  <c r="AL439" i="1"/>
  <c r="AL412" i="1"/>
  <c r="AN412" i="1" s="1"/>
  <c r="AO412" i="1" s="1"/>
  <c r="AL423" i="1"/>
  <c r="AL445" i="1"/>
  <c r="AL437" i="1"/>
  <c r="AN437" i="1" s="1"/>
  <c r="AO437" i="1" s="1"/>
  <c r="AL431" i="1"/>
  <c r="AL446" i="1"/>
  <c r="AN446" i="1" s="1"/>
  <c r="AO446" i="1" s="1"/>
  <c r="AL410" i="1"/>
  <c r="AN410" i="1" s="1"/>
  <c r="AO410" i="1" s="1"/>
  <c r="AL413" i="1"/>
  <c r="AN413" i="1" s="1"/>
  <c r="AO413" i="1" s="1"/>
  <c r="AL438" i="1"/>
  <c r="AL429" i="1"/>
  <c r="AL435" i="1"/>
  <c r="AN435" i="1" s="1"/>
  <c r="AO435" i="1" s="1"/>
  <c r="AL441" i="1"/>
  <c r="AN441" i="1" s="1"/>
  <c r="AO441" i="1" s="1"/>
  <c r="P38" i="1"/>
  <c r="P40" i="1"/>
  <c r="P32" i="1"/>
  <c r="P35" i="1"/>
  <c r="P33" i="1"/>
  <c r="P36" i="1"/>
  <c r="P34" i="1"/>
  <c r="P31" i="1"/>
  <c r="P37" i="1"/>
  <c r="K31" i="1"/>
  <c r="K35" i="1"/>
  <c r="E135" i="1"/>
  <c r="F351" i="1"/>
  <c r="F397" i="1"/>
  <c r="E377" i="1"/>
  <c r="F231" i="1"/>
  <c r="E266" i="1"/>
  <c r="P135" i="1"/>
  <c r="L245" i="1"/>
  <c r="K266" i="1"/>
  <c r="L250" i="1"/>
  <c r="F251" i="1"/>
  <c r="H12" i="1"/>
  <c r="H15" i="1"/>
  <c r="E112" i="1"/>
  <c r="F122" i="1"/>
  <c r="N122" i="1" s="1"/>
  <c r="I13" i="1"/>
  <c r="F242" i="1"/>
  <c r="E11" i="1"/>
  <c r="Q231" i="1"/>
  <c r="K135" i="1"/>
  <c r="K33" i="1"/>
  <c r="K36" i="1"/>
  <c r="I135" i="1"/>
  <c r="H7" i="1"/>
  <c r="H8" i="1"/>
  <c r="Q155" i="1"/>
  <c r="K37" i="1"/>
  <c r="F285" i="1"/>
  <c r="E285" i="1" s="1"/>
  <c r="I229" i="1"/>
  <c r="F189" i="1"/>
  <c r="P22" i="1"/>
  <c r="L13" i="1"/>
  <c r="J31" i="1" s="1"/>
  <c r="E7" i="1"/>
  <c r="L54" i="1"/>
  <c r="I105" i="1"/>
  <c r="H105" i="1" s="1"/>
  <c r="K34" i="1"/>
  <c r="E15" i="1"/>
  <c r="P24" i="1"/>
  <c r="E6" i="1"/>
  <c r="F304" i="1"/>
  <c r="N304" i="1" s="1"/>
  <c r="N305" i="1" s="1"/>
  <c r="I351" i="1"/>
  <c r="H351" i="1" s="1"/>
  <c r="AL406" i="1"/>
  <c r="K105" i="1"/>
  <c r="K32" i="1"/>
  <c r="E9" i="1"/>
  <c r="G13" i="1"/>
  <c r="E295" i="1"/>
  <c r="D304" i="1"/>
  <c r="M304" i="1" s="1"/>
  <c r="F182" i="1"/>
  <c r="E8" i="1"/>
  <c r="P105" i="1"/>
  <c r="H10" i="1"/>
  <c r="L24" i="1"/>
  <c r="D108" i="1"/>
  <c r="M108" i="1" s="1"/>
  <c r="M109" i="1" s="1"/>
  <c r="E97" i="1"/>
  <c r="D105" i="1"/>
  <c r="M105" i="1" s="1"/>
  <c r="F41" i="1"/>
  <c r="N41" i="1" s="1"/>
  <c r="Q41" i="1"/>
  <c r="S41" i="1" s="1"/>
  <c r="Q13" i="1"/>
  <c r="S14" i="1" s="1"/>
  <c r="K122" i="1"/>
  <c r="F153" i="1"/>
  <c r="E153" i="1" s="1"/>
  <c r="I163" i="1"/>
  <c r="K108" i="1"/>
  <c r="F13" i="1"/>
  <c r="N14" i="1" s="1"/>
  <c r="P155" i="1" l="1"/>
  <c r="P153" i="1"/>
  <c r="P122" i="1"/>
  <c r="AN438" i="1"/>
  <c r="AO438" i="1" s="1"/>
  <c r="AN449" i="1"/>
  <c r="AO449" i="1"/>
  <c r="AN431" i="1"/>
  <c r="AO431" i="1" s="1"/>
  <c r="AN442" i="1"/>
  <c r="AO442" i="1" s="1"/>
  <c r="AO440" i="1"/>
  <c r="AN440" i="1"/>
  <c r="AN445" i="1"/>
  <c r="AO445" i="1" s="1"/>
  <c r="AN423" i="1"/>
  <c r="AO423" i="1" s="1"/>
  <c r="AN436" i="1"/>
  <c r="AO436" i="1" s="1"/>
  <c r="AN444" i="1"/>
  <c r="AO444" i="1" s="1"/>
  <c r="AN439" i="1"/>
  <c r="AO439" i="1" s="1"/>
  <c r="AO434" i="1"/>
  <c r="AN429" i="1"/>
  <c r="AO429" i="1" s="1"/>
  <c r="S24" i="1"/>
  <c r="S25" i="1" s="1"/>
  <c r="N24" i="1"/>
  <c r="N25" i="1" s="1"/>
  <c r="N250" i="1"/>
  <c r="N251" i="1" s="1"/>
  <c r="S250" i="1"/>
  <c r="S108" i="1"/>
  <c r="S109" i="1" s="1"/>
  <c r="D31" i="1"/>
  <c r="O31" i="1"/>
  <c r="F309" i="1"/>
  <c r="N309" i="1" s="1"/>
  <c r="N310" i="1" s="1"/>
  <c r="J32" i="1"/>
  <c r="K24" i="1"/>
  <c r="AL419" i="1"/>
  <c r="AK415" i="1"/>
  <c r="AK414" i="1"/>
  <c r="AK412" i="1"/>
  <c r="AL452" i="1"/>
  <c r="AL433" i="1"/>
  <c r="AK411" i="1"/>
  <c r="AK413" i="1"/>
  <c r="AK410" i="1"/>
  <c r="N9" i="2"/>
  <c r="N8" i="2" s="1"/>
  <c r="F27" i="1"/>
  <c r="E41" i="1" s="1"/>
  <c r="K13" i="1"/>
  <c r="E108" i="1"/>
  <c r="E105" i="1"/>
  <c r="G27" i="1"/>
  <c r="H13" i="1"/>
  <c r="AB409" i="1"/>
  <c r="G24" i="1"/>
  <c r="H39" i="1" s="1"/>
  <c r="Q165" i="1"/>
  <c r="I54" i="1"/>
  <c r="I108" i="1"/>
  <c r="H135" i="1" s="1"/>
  <c r="F194" i="1"/>
  <c r="F186" i="1"/>
  <c r="P231" i="1"/>
  <c r="I27" i="1"/>
  <c r="F54" i="1"/>
  <c r="D13" i="1"/>
  <c r="M14" i="1" s="1"/>
  <c r="H11" i="1"/>
  <c r="Q27" i="1"/>
  <c r="P13" i="1"/>
  <c r="H229" i="1"/>
  <c r="L251" i="1"/>
  <c r="Q74" i="1"/>
  <c r="AF433" i="1"/>
  <c r="L27" i="1"/>
  <c r="V108" i="1" s="1"/>
  <c r="F155" i="1"/>
  <c r="E122" i="1"/>
  <c r="H9" i="1"/>
  <c r="I83" i="1"/>
  <c r="AE409" i="1"/>
  <c r="AF419" i="1"/>
  <c r="Z419" i="1"/>
  <c r="Z468" i="1" s="1"/>
  <c r="E304" i="1"/>
  <c r="D309" i="1"/>
  <c r="M309" i="1" s="1"/>
  <c r="AK409" i="1"/>
  <c r="I353" i="1"/>
  <c r="F287" i="1"/>
  <c r="E287" i="1" s="1"/>
  <c r="Z481" i="1"/>
  <c r="F83" i="1"/>
  <c r="I41" i="1"/>
  <c r="I155" i="1"/>
  <c r="I231" i="1"/>
  <c r="H231" i="1" s="1"/>
  <c r="E397" i="1"/>
  <c r="F399" i="1"/>
  <c r="AH433" i="1" l="1"/>
  <c r="AI433" i="1" s="1"/>
  <c r="N194" i="1"/>
  <c r="N195" i="1" s="1"/>
  <c r="AH419" i="1"/>
  <c r="AI419" i="1" s="1"/>
  <c r="AN452" i="1"/>
  <c r="AO452" i="1" s="1"/>
  <c r="AN433" i="1"/>
  <c r="AO433" i="1" s="1"/>
  <c r="AN419" i="1"/>
  <c r="AO419" i="1" s="1"/>
  <c r="S27" i="1"/>
  <c r="N27" i="1"/>
  <c r="F314" i="1"/>
  <c r="N314" i="1" s="1"/>
  <c r="N315" i="1" s="1"/>
  <c r="M250" i="1"/>
  <c r="R250" i="1"/>
  <c r="S251" i="1" s="1"/>
  <c r="D314" i="1"/>
  <c r="M314" i="1" s="1"/>
  <c r="AF407" i="1"/>
  <c r="AL468" i="1"/>
  <c r="P41" i="1"/>
  <c r="AL407" i="1"/>
  <c r="Y414" i="1"/>
  <c r="Y412" i="1"/>
  <c r="Y410" i="1"/>
  <c r="Y411" i="1"/>
  <c r="Y413" i="1"/>
  <c r="Y415" i="1"/>
  <c r="Y417" i="1"/>
  <c r="Y416" i="1"/>
  <c r="Y418" i="1"/>
  <c r="E54" i="1"/>
  <c r="E72" i="1"/>
  <c r="H35" i="1"/>
  <c r="K27" i="1"/>
  <c r="H155" i="1"/>
  <c r="H32" i="1"/>
  <c r="Y409" i="1"/>
  <c r="AM409" i="1" s="1"/>
  <c r="E231" i="1"/>
  <c r="P74" i="1"/>
  <c r="H54" i="1"/>
  <c r="K54" i="1"/>
  <c r="Q85" i="1"/>
  <c r="P72" i="1"/>
  <c r="P27" i="1"/>
  <c r="P54" i="1"/>
  <c r="I74" i="1"/>
  <c r="I85" i="1" s="1"/>
  <c r="H41" i="1"/>
  <c r="E155" i="1"/>
  <c r="F165" i="1"/>
  <c r="I233" i="1"/>
  <c r="AC407" i="1"/>
  <c r="G9" i="2" s="1"/>
  <c r="G8" i="2" s="1"/>
  <c r="H72" i="1"/>
  <c r="F233" i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9" i="1"/>
  <c r="Q233" i="1"/>
  <c r="P229" i="1"/>
  <c r="K41" i="1"/>
  <c r="D27" i="1"/>
  <c r="M27" i="1" s="1"/>
  <c r="M28" i="1" s="1"/>
  <c r="E13" i="1"/>
  <c r="D24" i="1"/>
  <c r="M24" i="1" s="1"/>
  <c r="AC481" i="1"/>
  <c r="E309" i="1"/>
  <c r="AF406" i="1"/>
  <c r="I165" i="1"/>
  <c r="H122" i="1"/>
  <c r="H153" i="1"/>
  <c r="H108" i="1"/>
  <c r="F289" i="1"/>
  <c r="AC433" i="1"/>
  <c r="H27" i="1"/>
  <c r="F353" i="1" l="1"/>
  <c r="V314" i="1"/>
  <c r="E349" i="1"/>
  <c r="E351" i="1"/>
  <c r="AG413" i="1"/>
  <c r="AM413" i="1"/>
  <c r="AM412" i="1"/>
  <c r="AG412" i="1"/>
  <c r="AM411" i="1"/>
  <c r="AG411" i="1"/>
  <c r="AG414" i="1"/>
  <c r="AM414" i="1"/>
  <c r="AG418" i="1"/>
  <c r="AM418" i="1"/>
  <c r="AG409" i="1"/>
  <c r="AM415" i="1"/>
  <c r="AG415" i="1"/>
  <c r="AM410" i="1"/>
  <c r="AG410" i="1"/>
  <c r="Z407" i="1"/>
  <c r="AG416" i="1"/>
  <c r="AM416" i="1"/>
  <c r="AH407" i="1"/>
  <c r="AI407" i="1" s="1"/>
  <c r="AN407" i="1"/>
  <c r="AO407" i="1" s="1"/>
  <c r="E330" i="1"/>
  <c r="AG417" i="1"/>
  <c r="AM417" i="1"/>
  <c r="N28" i="1"/>
  <c r="S28" i="1"/>
  <c r="Z406" i="1"/>
  <c r="AL483" i="1"/>
  <c r="J9" i="2"/>
  <c r="J8" i="2" s="1"/>
  <c r="O9" i="2"/>
  <c r="O8" i="2" s="1"/>
  <c r="E27" i="1"/>
  <c r="X466" i="1"/>
  <c r="AD433" i="1"/>
  <c r="K9" i="2"/>
  <c r="K8" i="2" s="1"/>
  <c r="C10" i="2"/>
  <c r="AA433" i="1"/>
  <c r="AA481" i="1"/>
  <c r="AA452" i="1"/>
  <c r="AJ468" i="1"/>
  <c r="AJ466" i="1"/>
  <c r="AJ419" i="1"/>
  <c r="AJ433" i="1"/>
  <c r="AJ452" i="1"/>
  <c r="E74" i="1"/>
  <c r="F85" i="1"/>
  <c r="E314" i="1"/>
  <c r="AD419" i="1"/>
  <c r="AA466" i="1"/>
  <c r="E40" i="1"/>
  <c r="E24" i="1"/>
  <c r="E34" i="1"/>
  <c r="E36" i="1"/>
  <c r="E38" i="1"/>
  <c r="E37" i="1"/>
  <c r="E31" i="1"/>
  <c r="E33" i="1"/>
  <c r="E35" i="1"/>
  <c r="E32" i="1"/>
  <c r="E39" i="1"/>
  <c r="AC406" i="1"/>
  <c r="F9" i="2" s="1"/>
  <c r="F8" i="2" s="1"/>
  <c r="H74" i="1"/>
  <c r="AC468" i="1"/>
  <c r="AA468" i="1" s="1"/>
  <c r="AA419" i="1"/>
  <c r="AD466" i="1"/>
  <c r="Z483" i="1" l="1"/>
  <c r="Z486" i="1"/>
  <c r="X433" i="1"/>
  <c r="C9" i="2"/>
  <c r="C8" i="2" s="1"/>
  <c r="X419" i="1"/>
  <c r="X481" i="1"/>
  <c r="X452" i="1"/>
  <c r="P9" i="2"/>
  <c r="P8" i="2" s="1"/>
  <c r="B9" i="2"/>
  <c r="X468" i="1"/>
  <c r="AC483" i="1"/>
  <c r="AL489" i="1"/>
  <c r="AK483" i="1"/>
  <c r="AL488" i="1" l="1"/>
  <c r="AL498" i="1"/>
  <c r="H9" i="2"/>
  <c r="H8" i="2" s="1"/>
  <c r="D9" i="2"/>
  <c r="B8" i="2"/>
  <c r="AK489" i="1"/>
  <c r="AC489" i="1"/>
  <c r="AB483" i="1"/>
  <c r="Z489" i="1"/>
  <c r="Y483" i="1"/>
  <c r="AK488" i="1" l="1"/>
  <c r="Z488" i="1"/>
  <c r="Y488" i="1" s="1"/>
  <c r="Z498" i="1"/>
  <c r="Q9" i="2"/>
  <c r="D10" i="2"/>
  <c r="D8" i="2" s="1"/>
  <c r="Y489" i="1"/>
  <c r="AB489" i="1"/>
  <c r="AC498" i="1"/>
  <c r="AK498" i="1"/>
  <c r="AB498" i="1" l="1"/>
  <c r="I9" i="2"/>
  <c r="I8" i="2" s="1"/>
  <c r="Q8" i="2"/>
  <c r="Y498" i="1"/>
  <c r="E9" i="2"/>
  <c r="E10" i="2" l="1"/>
  <c r="E8" i="2" s="1"/>
  <c r="AF481" i="1"/>
  <c r="AF486" i="1" s="1"/>
  <c r="L82" i="1"/>
  <c r="S82" i="1" l="1"/>
  <c r="S83" i="1" s="1"/>
  <c r="N82" i="1"/>
  <c r="N83" i="1" s="1"/>
  <c r="AN481" i="1"/>
  <c r="AO481" i="1" s="1"/>
  <c r="AH481" i="1"/>
  <c r="AI481" i="1" s="1"/>
  <c r="L83" i="1"/>
  <c r="AD481" i="1"/>
  <c r="L229" i="1" l="1"/>
  <c r="L68" i="1"/>
  <c r="S68" i="1" l="1"/>
  <c r="S72" i="1" s="1"/>
  <c r="S85" i="1" s="1"/>
  <c r="N68" i="1"/>
  <c r="N72" i="1" s="1"/>
  <c r="N85" i="1" s="1"/>
  <c r="N229" i="1"/>
  <c r="S229" i="1"/>
  <c r="L72" i="1"/>
  <c r="K229" i="1"/>
  <c r="L231" i="1"/>
  <c r="L349" i="1"/>
  <c r="L11" i="2"/>
  <c r="L285" i="1"/>
  <c r="S285" i="1" s="1"/>
  <c r="L153" i="1"/>
  <c r="N153" i="1" l="1"/>
  <c r="S153" i="1"/>
  <c r="N231" i="1"/>
  <c r="S231" i="1"/>
  <c r="L10" i="2"/>
  <c r="L74" i="1"/>
  <c r="K72" i="1"/>
  <c r="L233" i="1"/>
  <c r="K231" i="1"/>
  <c r="K285" i="1"/>
  <c r="L287" i="1"/>
  <c r="L351" i="1"/>
  <c r="K349" i="1"/>
  <c r="L155" i="1"/>
  <c r="K153" i="1"/>
  <c r="AF452" i="1"/>
  <c r="N351" i="1" l="1"/>
  <c r="S351" i="1"/>
  <c r="S287" i="1"/>
  <c r="N287" i="1"/>
  <c r="N233" i="1"/>
  <c r="S233" i="1"/>
  <c r="N74" i="1"/>
  <c r="S74" i="1"/>
  <c r="N155" i="1"/>
  <c r="S155" i="1"/>
  <c r="K155" i="1"/>
  <c r="L165" i="1"/>
  <c r="M11" i="2"/>
  <c r="K287" i="1"/>
  <c r="L289" i="1"/>
  <c r="K351" i="1"/>
  <c r="L353" i="1"/>
  <c r="AF468" i="1"/>
  <c r="AD452" i="1"/>
  <c r="L85" i="1"/>
  <c r="K74" i="1"/>
  <c r="AH468" i="1" l="1"/>
  <c r="AI468" i="1" s="1"/>
  <c r="AN468" i="1"/>
  <c r="AO468" i="1" s="1"/>
  <c r="N353" i="1"/>
  <c r="S353" i="1"/>
  <c r="S289" i="1"/>
  <c r="N289" i="1"/>
  <c r="S165" i="1"/>
  <c r="N165" i="1"/>
  <c r="M10" i="2"/>
  <c r="AF483" i="1"/>
  <c r="AD468" i="1"/>
  <c r="AH483" i="1" l="1"/>
  <c r="AI483" i="1" s="1"/>
  <c r="AN483" i="1"/>
  <c r="AO483" i="1" s="1"/>
  <c r="AE483" i="1"/>
  <c r="L9" i="2"/>
  <c r="L8" i="2" s="1"/>
  <c r="AF489" i="1"/>
  <c r="AH489" i="1" l="1"/>
  <c r="AI489" i="1" s="1"/>
  <c r="AN489" i="1"/>
  <c r="AO489" i="1" s="1"/>
  <c r="AF488" i="1"/>
  <c r="AF498" i="1"/>
  <c r="AE488" i="1"/>
  <c r="AE489" i="1"/>
  <c r="AH488" i="1" l="1"/>
  <c r="AI488" i="1" s="1"/>
  <c r="AN488" i="1"/>
  <c r="AO488" i="1" s="1"/>
  <c r="AN498" i="1"/>
  <c r="AO498" i="1" s="1"/>
  <c r="AH498" i="1"/>
  <c r="AI498" i="1" s="1"/>
  <c r="AE498" i="1"/>
  <c r="M9" i="2"/>
  <c r="M8" i="2" s="1"/>
</calcChain>
</file>

<file path=xl/sharedStrings.xml><?xml version="1.0" encoding="utf-8"?>
<sst xmlns="http://schemas.openxmlformats.org/spreadsheetml/2006/main" count="3861" uniqueCount="292">
  <si>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</si>
  <si>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</si>
  <si>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</si>
  <si>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</si>
  <si>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</si>
  <si>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</si>
  <si>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</si>
  <si>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</si>
  <si>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</si>
  <si>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</si>
  <si>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</si>
  <si>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</si>
  <si>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</si>
  <si>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</si>
  <si>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</si>
  <si>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</si>
  <si>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</si>
  <si>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</si>
  <si>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</si>
  <si>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</si>
  <si>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</si>
  <si>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</si>
  <si>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</si>
  <si>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</si>
  <si>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</si>
  <si>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</si>
  <si>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</si>
  <si>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</si>
  <si>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</si>
  <si>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</si>
  <si>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</si>
  <si>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</si>
  <si>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</si>
  <si>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</si>
  <si>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</si>
  <si>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</si>
  <si>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</si>
  <si>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</si>
  <si>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</si>
  <si>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</si>
  <si>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</si>
  <si>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</si>
  <si>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</si>
  <si>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</si>
  <si>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</si>
  <si>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</si>
  <si>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</si>
  <si>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</si>
  <si>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</si>
  <si>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</si>
  <si>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</si>
  <si>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</si>
  <si>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</si>
  <si>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</si>
  <si>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</si>
  <si>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</si>
  <si>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</si>
  <si>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</si>
  <si>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</si>
  <si>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</si>
  <si>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</si>
  <si>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</si>
  <si>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</si>
  <si>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</si>
  <si>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</si>
  <si>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</si>
  <si>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</si>
  <si>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</si>
  <si>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</si>
  <si>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</si>
  <si>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</si>
  <si>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</si>
  <si>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</si>
  <si>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</si>
  <si>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</si>
  <si>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</si>
  <si>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</si>
  <si>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</si>
  <si>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</si>
  <si>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</si>
  <si>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</si>
  <si>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</si>
  <si>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</si>
  <si>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</si>
  <si>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</si>
  <si>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</si>
  <si>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</si>
  <si>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</si>
  <si>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</si>
  <si>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</si>
  <si>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</si>
  <si>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</si>
  <si>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</si>
  <si>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</si>
  <si>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</si>
  <si>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</si>
  <si>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</si>
  <si>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</si>
  <si>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</si>
  <si>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</si>
  <si>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</si>
  <si>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</si>
  <si>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</si>
  <si>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</si>
  <si>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</si>
  <si>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</si>
  <si>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</si>
  <si>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</si>
  <si>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</si>
  <si>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</si>
  <si>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</si>
  <si>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</si>
  <si>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</si>
  <si>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</si>
  <si>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</si>
  <si>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</si>
  <si>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</si>
  <si>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</si>
  <si>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</si>
  <si>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</si>
  <si>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</si>
  <si>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</si>
  <si>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</si>
  <si>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</si>
  <si>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</si>
  <si>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</si>
  <si>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</si>
  <si>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</si>
  <si>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</si>
  <si>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</si>
  <si>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</si>
  <si>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</si>
  <si>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</si>
  <si>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</si>
  <si>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</si>
  <si>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</si>
  <si>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</si>
  <si>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</si>
  <si>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</si>
  <si>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</si>
  <si>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</si>
  <si>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</si>
  <si>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</si>
  <si>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</si>
  <si>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</si>
  <si>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</si>
  <si>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</si>
  <si>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</si>
  <si>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</si>
  <si>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</si>
  <si>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</si>
  <si>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</si>
  <si>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</si>
  <si>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</si>
  <si>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</si>
  <si>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</si>
  <si>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</si>
  <si>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</si>
  <si>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</si>
  <si>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</si>
  <si>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</si>
  <si>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</si>
  <si>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</si>
  <si>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</si>
  <si>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</si>
  <si>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</si>
  <si>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</si>
  <si>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</si>
  <si>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</si>
  <si>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</si>
  <si>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</si>
  <si>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</si>
  <si>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</si>
  <si>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</si>
  <si>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</si>
  <si>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</si>
  <si>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</si>
  <si>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</si>
  <si>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</si>
  <si>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</si>
  <si>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</si>
  <si>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</si>
  <si>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</si>
  <si>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</si>
  <si>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</si>
  <si>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</si>
  <si>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</si>
  <si>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US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</si>
  <si>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</si>
  <si>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</si>
  <si>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</si>
  <si>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</si>
  <si>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</si>
  <si>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</si>
  <si>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</si>
  <si>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</si>
  <si>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</si>
  <si>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</si>
  <si>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</si>
  <si>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</si>
  <si>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</si>
  <si>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</si>
  <si>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</si>
  <si>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</si>
  <si>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</si>
  <si>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</si>
  <si>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</si>
  <si>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</si>
  <si>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</si>
  <si>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</si>
  <si>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BMW Sherbrooke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</si>
  <si>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</si>
  <si>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</si>
  <si>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</si>
  <si>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</si>
  <si>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</si>
  <si>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</si>
  <si>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</si>
  <si>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</si>
  <si>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</si>
  <si>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</si>
  <si>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FORECAST</t>
  </si>
  <si>
    <t>#14</t>
  </si>
  <si>
    <t>#16-17</t>
  </si>
  <si>
    <t>#18</t>
  </si>
  <si>
    <t>#26</t>
  </si>
  <si>
    <t>#27</t>
  </si>
  <si>
    <t>#29</t>
  </si>
  <si>
    <t>#16</t>
  </si>
  <si>
    <t>#52-53</t>
  </si>
  <si>
    <t>#69</t>
  </si>
  <si>
    <t>#71</t>
  </si>
  <si>
    <t>#70</t>
  </si>
  <si>
    <t>#75</t>
  </si>
  <si>
    <t>#78</t>
  </si>
  <si>
    <t>#72-77</t>
  </si>
  <si>
    <t>#76</t>
  </si>
  <si>
    <t>#73</t>
  </si>
  <si>
    <t>#90</t>
  </si>
  <si>
    <t>Impôt exigible</t>
  </si>
  <si>
    <t>Profit Net après impôt</t>
  </si>
  <si>
    <t>Pacing</t>
  </si>
  <si>
    <t>Pertes</t>
  </si>
  <si>
    <t>Bonis cadres</t>
  </si>
  <si>
    <t>Laveurs</t>
  </si>
  <si>
    <t>-3.4K Quik Wash</t>
  </si>
  <si>
    <t>Produits lavages</t>
  </si>
  <si>
    <t>Autres revenus</t>
  </si>
  <si>
    <t>Dépenses</t>
  </si>
  <si>
    <t>2 démos ventes non budgetés</t>
  </si>
  <si>
    <t>Q4 2025</t>
  </si>
  <si>
    <t>renv reserve</t>
  </si>
  <si>
    <t>-3.4K Laveurs + renv reserve</t>
  </si>
  <si>
    <t>renv provision</t>
  </si>
  <si>
    <t>Forecast</t>
  </si>
  <si>
    <t>5k audit claims</t>
  </si>
  <si>
    <t>party noel</t>
  </si>
  <si>
    <t>Linde 1 an ???</t>
  </si>
  <si>
    <t>LAR</t>
  </si>
  <si>
    <t>30% Nadia + 2.3% vendeurs</t>
  </si>
  <si>
    <t>Prov Essence dec - profits sur échange entre concessionnaire</t>
  </si>
  <si>
    <t>Préparation show room - Quick out à la demande</t>
  </si>
  <si>
    <t>Axifuge, SM360, Radio (-COOP)</t>
  </si>
  <si>
    <t>BMO 1-2 dec + TD 3-31 dec</t>
  </si>
  <si>
    <t>Pas sal GPA et secrétaire ventes</t>
  </si>
  <si>
    <t>Pas sal GPA</t>
  </si>
  <si>
    <t>Flat + salaire de base</t>
  </si>
  <si>
    <t>30% Nadia + 2.7% vendeurs</t>
  </si>
  <si>
    <t>Prov essence</t>
  </si>
  <si>
    <t>Rep bosse</t>
  </si>
  <si>
    <t>Carfax</t>
  </si>
  <si>
    <t>Otogo - crédit pub vente</t>
  </si>
  <si>
    <t>Pas sal GPA et préposé claims</t>
  </si>
  <si>
    <t>Laveurs non budgeté (25% Christopher)</t>
  </si>
  <si>
    <t>Jours absences + bonis inférieur</t>
  </si>
  <si>
    <t>Laveurs non budgeté</t>
  </si>
  <si>
    <t>Bonis vente inférieur</t>
  </si>
  <si>
    <t>Manque bonis cadres</t>
  </si>
  <si>
    <t>Pas de charge GPA et pas de secrétaire aux ventes</t>
  </si>
  <si>
    <t>Reste réserve de 17686$ sur le montant transféré de GPA</t>
  </si>
  <si>
    <t>Peu entreposage</t>
  </si>
  <si>
    <t>Pas de dépréciation</t>
  </si>
  <si>
    <t>+5k SD solution, -5k GPA, +HR4, + Talksoon (était en pub)</t>
  </si>
  <si>
    <t>+3.8k CCAQ, +3.4k sous-trait claims, -3.4k sous-trait Quick wash</t>
  </si>
  <si>
    <t>+624$ Cimtel</t>
  </si>
  <si>
    <t>Pas de provision pour dommage de cours</t>
  </si>
  <si>
    <t>Absorbé par bâtisse en dec</t>
  </si>
  <si>
    <t>Permis de la ville</t>
  </si>
  <si>
    <t>Prov au prorata selon debut dec</t>
  </si>
  <si>
    <t>Réalisé, Décembre 2025</t>
  </si>
  <si>
    <t>Réalisé, Octobre 2025</t>
  </si>
  <si>
    <t>Réalisé, Novembre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</si>
</sst>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_(* #,##0_);_(* \(#,##0\);_(* &quot;-&quot;??_);_(@_)"/>
    <numFmt numFmtId="168" formatCode="_-* #,##0.00\ _$_-;_-* #,##0.00\ _$\-;_-* &quot;-&quot;??\ _$_-;_-@_-"/>
    <numFmt numFmtId="169" formatCode="_-* #,##0.00\ &quot;$&quot;_-;_-* #,##0.00\ &quot;$&quot;\-;_-* &quot;-&quot;??\ &quot;$&quot;_-;_-@_-"/>
    <numFmt numFmtId="170" formatCode="0.00_)"/>
    <numFmt numFmtId="171" formatCode="#,##0\ &quot;$&quot;"/>
    <numFmt numFmtId="172" formatCode="&quot;$&quot;#,##0"/>
  </numFmts>
  <fonts count="42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3"/>
      <color theme="1"/>
      <name val="Arial mt"/>
    </font>
  </fonts>
  <fills count="1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76E3FF"/>
        <bgColor indexed="64"/>
      </patternFill>
    </fill>
  </fills>
  <borders count="11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6">
    <xf numFmtId="0" fontId="0" fillId="0" borderId="0"/>
    <xf numFmtId="9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3" fillId="0" borderId="0"/>
    <xf numFmtId="0" fontId="34" fillId="0" borderId="0"/>
    <xf numFmtId="168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69" fontId="35" fillId="0" borderId="0" applyFont="0" applyFill="0" applyBorder="0" applyAlignment="0" applyProtection="0"/>
    <xf numFmtId="0" fontId="13" fillId="0" borderId="0"/>
    <xf numFmtId="0" fontId="2" fillId="0" borderId="0"/>
    <xf numFmtId="0" fontId="34" fillId="0" borderId="0"/>
    <xf numFmtId="43" fontId="36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20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5" fontId="10" fillId="0" borderId="9" xfId="0" applyNumberFormat="1" applyFont="1" applyBorder="1"/>
    <xf numFmtId="165" fontId="10" fillId="0" borderId="8" xfId="0" applyNumberFormat="1" applyFont="1" applyBorder="1"/>
    <xf numFmtId="165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6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5" fontId="10" fillId="2" borderId="32" xfId="0" applyNumberFormat="1" applyFont="1" applyFill="1" applyBorder="1"/>
    <xf numFmtId="165" fontId="10" fillId="2" borderId="31" xfId="0" applyNumberFormat="1" applyFont="1" applyFill="1" applyBorder="1"/>
    <xf numFmtId="165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5" fontId="9" fillId="0" borderId="9" xfId="1" applyNumberFormat="1" applyFont="1" applyFill="1" applyBorder="1"/>
    <xf numFmtId="37" fontId="9" fillId="0" borderId="10" xfId="0" applyNumberFormat="1" applyFont="1" applyBorder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4" xfId="0" applyFont="1" applyFill="1" applyBorder="1"/>
    <xf numFmtId="0" fontId="10" fillId="2" borderId="35" xfId="0" applyFont="1" applyFill="1" applyBorder="1" applyAlignment="1">
      <alignment horizontal="center"/>
    </xf>
    <xf numFmtId="165" fontId="10" fillId="2" borderId="35" xfId="0" applyNumberFormat="1" applyFont="1" applyFill="1" applyBorder="1"/>
    <xf numFmtId="37" fontId="10" fillId="2" borderId="36" xfId="0" applyNumberFormat="1" applyFont="1" applyFill="1" applyBorder="1"/>
    <xf numFmtId="0" fontId="10" fillId="2" borderId="37" xfId="0" applyFont="1" applyFill="1" applyBorder="1" applyAlignment="1">
      <alignment horizontal="center"/>
    </xf>
    <xf numFmtId="0" fontId="9" fillId="2" borderId="38" xfId="0" applyFont="1" applyFill="1" applyBorder="1"/>
    <xf numFmtId="37" fontId="10" fillId="2" borderId="35" xfId="0" applyNumberFormat="1" applyFont="1" applyFill="1" applyBorder="1"/>
    <xf numFmtId="0" fontId="9" fillId="2" borderId="37" xfId="0" applyFont="1" applyFill="1" applyBorder="1"/>
    <xf numFmtId="37" fontId="10" fillId="2" borderId="39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0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1" xfId="0" applyFont="1" applyFill="1" applyBorder="1"/>
    <xf numFmtId="0" fontId="9" fillId="2" borderId="42" xfId="0" applyFont="1" applyFill="1" applyBorder="1"/>
    <xf numFmtId="0" fontId="10" fillId="2" borderId="42" xfId="0" applyFont="1" applyFill="1" applyBorder="1"/>
    <xf numFmtId="37" fontId="10" fillId="2" borderId="43" xfId="0" applyNumberFormat="1" applyFont="1" applyFill="1" applyBorder="1"/>
    <xf numFmtId="0" fontId="9" fillId="2" borderId="44" xfId="0" applyFont="1" applyFill="1" applyBorder="1"/>
    <xf numFmtId="37" fontId="10" fillId="2" borderId="45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7" fillId="0" borderId="0" xfId="0" applyFont="1"/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6" fontId="9" fillId="0" borderId="0" xfId="0" applyNumberFormat="1" applyFont="1"/>
    <xf numFmtId="165" fontId="18" fillId="4" borderId="46" xfId="0" applyNumberFormat="1" applyFont="1" applyFill="1" applyBorder="1"/>
    <xf numFmtId="37" fontId="9" fillId="0" borderId="13" xfId="0" applyNumberFormat="1" applyFont="1" applyBorder="1"/>
    <xf numFmtId="0" fontId="9" fillId="2" borderId="14" xfId="0" applyFont="1" applyFill="1" applyBorder="1"/>
    <xf numFmtId="165" fontId="9" fillId="0" borderId="0" xfId="0" applyNumberFormat="1" applyFont="1"/>
    <xf numFmtId="0" fontId="10" fillId="0" borderId="0" xfId="0" applyFont="1" applyAlignment="1">
      <alignment horizontal="center"/>
    </xf>
    <xf numFmtId="165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2" xfId="0" applyFont="1" applyFill="1" applyBorder="1" applyAlignment="1">
      <alignment horizontal="right"/>
    </xf>
    <xf numFmtId="0" fontId="9" fillId="2" borderId="44" xfId="0" applyFont="1" applyFill="1" applyBorder="1" applyAlignment="1">
      <alignment horizontal="right"/>
    </xf>
    <xf numFmtId="0" fontId="10" fillId="2" borderId="44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5" fontId="9" fillId="0" borderId="9" xfId="0" applyNumberFormat="1" applyFont="1" applyBorder="1"/>
    <xf numFmtId="165" fontId="9" fillId="0" borderId="8" xfId="0" applyNumberFormat="1" applyFont="1" applyBorder="1"/>
    <xf numFmtId="166" fontId="9" fillId="0" borderId="12" xfId="0" applyNumberFormat="1" applyFont="1" applyBorder="1"/>
    <xf numFmtId="165" fontId="9" fillId="0" borderId="16" xfId="0" applyNumberFormat="1" applyFont="1" applyBorder="1"/>
    <xf numFmtId="37" fontId="9" fillId="0" borderId="14" xfId="0" applyNumberFormat="1" applyFont="1" applyBorder="1"/>
    <xf numFmtId="165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47" xfId="0" applyNumberFormat="1" applyFont="1" applyBorder="1"/>
    <xf numFmtId="2" fontId="9" fillId="0" borderId="0" xfId="0" applyNumberFormat="1" applyFont="1"/>
    <xf numFmtId="165" fontId="10" fillId="0" borderId="14" xfId="0" applyNumberFormat="1" applyFont="1" applyBorder="1"/>
    <xf numFmtId="165" fontId="10" fillId="0" borderId="16" xfId="0" applyNumberFormat="1" applyFont="1" applyBorder="1"/>
    <xf numFmtId="165" fontId="10" fillId="0" borderId="17" xfId="0" applyNumberFormat="1" applyFont="1" applyBorder="1"/>
    <xf numFmtId="166" fontId="9" fillId="0" borderId="15" xfId="0" applyNumberFormat="1" applyFont="1" applyBorder="1"/>
    <xf numFmtId="165" fontId="9" fillId="0" borderId="13" xfId="0" applyNumberFormat="1" applyFont="1" applyBorder="1"/>
    <xf numFmtId="37" fontId="9" fillId="0" borderId="23" xfId="0" applyNumberFormat="1" applyFont="1" applyBorder="1"/>
    <xf numFmtId="165" fontId="9" fillId="0" borderId="20" xfId="0" applyNumberFormat="1" applyFont="1" applyBorder="1"/>
    <xf numFmtId="166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6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4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5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5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6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6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5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48" xfId="0" applyFont="1" applyBorder="1"/>
    <xf numFmtId="165" fontId="10" fillId="0" borderId="7" xfId="0" applyNumberFormat="1" applyFont="1" applyBorder="1"/>
    <xf numFmtId="165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5" fontId="9" fillId="0" borderId="15" xfId="0" applyNumberFormat="1" applyFont="1" applyBorder="1"/>
    <xf numFmtId="165" fontId="9" fillId="0" borderId="12" xfId="0" applyNumberFormat="1" applyFont="1" applyBorder="1"/>
    <xf numFmtId="165" fontId="10" fillId="2" borderId="25" xfId="0" applyNumberFormat="1" applyFont="1" applyFill="1" applyBorder="1"/>
    <xf numFmtId="165" fontId="10" fillId="2" borderId="49" xfId="0" applyNumberFormat="1" applyFont="1" applyFill="1" applyBorder="1"/>
    <xf numFmtId="37" fontId="10" fillId="2" borderId="50" xfId="0" applyNumberFormat="1" applyFont="1" applyFill="1" applyBorder="1"/>
    <xf numFmtId="37" fontId="10" fillId="2" borderId="51" xfId="0" applyNumberFormat="1" applyFont="1" applyFill="1" applyBorder="1"/>
    <xf numFmtId="0" fontId="10" fillId="2" borderId="52" xfId="0" applyFont="1" applyFill="1" applyBorder="1"/>
    <xf numFmtId="37" fontId="10" fillId="2" borderId="53" xfId="0" applyNumberFormat="1" applyFont="1" applyFill="1" applyBorder="1"/>
    <xf numFmtId="166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9" fillId="2" borderId="32" xfId="0" applyFont="1" applyFill="1" applyBorder="1"/>
    <xf numFmtId="0" fontId="12" fillId="0" borderId="56" xfId="0" applyFont="1" applyBorder="1"/>
    <xf numFmtId="0" fontId="14" fillId="0" borderId="11" xfId="0" applyFont="1" applyBorder="1"/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37" fontId="9" fillId="4" borderId="0" xfId="0" applyNumberFormat="1" applyFont="1" applyFill="1"/>
    <xf numFmtId="165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0" fontId="19" fillId="0" borderId="0" xfId="0" applyFont="1"/>
    <xf numFmtId="37" fontId="18" fillId="0" borderId="0" xfId="0" applyNumberFormat="1" applyFont="1"/>
    <xf numFmtId="165" fontId="9" fillId="0" borderId="0" xfId="1" applyNumberFormat="1" applyFont="1" applyFill="1" applyBorder="1"/>
    <xf numFmtId="165" fontId="10" fillId="0" borderId="26" xfId="0" applyNumberFormat="1" applyFont="1" applyBorder="1"/>
    <xf numFmtId="0" fontId="12" fillId="0" borderId="0" xfId="0" applyFont="1"/>
    <xf numFmtId="165" fontId="9" fillId="0" borderId="8" xfId="1" applyNumberFormat="1" applyFont="1" applyFill="1" applyBorder="1"/>
    <xf numFmtId="0" fontId="10" fillId="0" borderId="10" xfId="0" applyFont="1" applyBorder="1"/>
    <xf numFmtId="0" fontId="20" fillId="0" borderId="0" xfId="0" applyFont="1"/>
    <xf numFmtId="0" fontId="10" fillId="2" borderId="37" xfId="0" applyFont="1" applyFill="1" applyBorder="1"/>
    <xf numFmtId="0" fontId="10" fillId="2" borderId="57" xfId="0" applyFont="1" applyFill="1" applyBorder="1"/>
    <xf numFmtId="0" fontId="10" fillId="2" borderId="58" xfId="0" applyFont="1" applyFill="1" applyBorder="1"/>
    <xf numFmtId="37" fontId="10" fillId="2" borderId="59" xfId="0" applyNumberFormat="1" applyFont="1" applyFill="1" applyBorder="1"/>
    <xf numFmtId="0" fontId="10" fillId="2" borderId="60" xfId="0" applyFont="1" applyFill="1" applyBorder="1"/>
    <xf numFmtId="0" fontId="9" fillId="2" borderId="60" xfId="0" applyFont="1" applyFill="1" applyBorder="1"/>
    <xf numFmtId="0" fontId="9" fillId="2" borderId="58" xfId="0" applyFont="1" applyFill="1" applyBorder="1"/>
    <xf numFmtId="37" fontId="10" fillId="2" borderId="61" xfId="0" applyNumberFormat="1" applyFont="1" applyFill="1" applyBorder="1"/>
    <xf numFmtId="0" fontId="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10" fillId="0" borderId="6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14" fillId="0" borderId="12" xfId="0" applyFont="1" applyBorder="1"/>
    <xf numFmtId="37" fontId="14" fillId="0" borderId="67" xfId="0" applyNumberFormat="1" applyFont="1" applyBorder="1"/>
    <xf numFmtId="37" fontId="14" fillId="0" borderId="68" xfId="0" applyNumberFormat="1" applyFont="1" applyBorder="1"/>
    <xf numFmtId="37" fontId="14" fillId="0" borderId="12" xfId="0" applyNumberFormat="1" applyFont="1" applyBorder="1"/>
    <xf numFmtId="165" fontId="14" fillId="0" borderId="12" xfId="0" applyNumberFormat="1" applyFont="1" applyBorder="1"/>
    <xf numFmtId="37" fontId="14" fillId="0" borderId="69" xfId="0" applyNumberFormat="1" applyFont="1" applyBorder="1"/>
    <xf numFmtId="165" fontId="14" fillId="0" borderId="17" xfId="0" applyNumberFormat="1" applyFont="1" applyBorder="1"/>
    <xf numFmtId="0" fontId="21" fillId="2" borderId="22" xfId="0" applyFont="1" applyFill="1" applyBorder="1"/>
    <xf numFmtId="0" fontId="21" fillId="2" borderId="12" xfId="0" applyFont="1" applyFill="1" applyBorder="1"/>
    <xf numFmtId="37" fontId="21" fillId="2" borderId="67" xfId="0" applyNumberFormat="1" applyFont="1" applyFill="1" applyBorder="1"/>
    <xf numFmtId="37" fontId="21" fillId="2" borderId="68" xfId="0" applyNumberFormat="1" applyFont="1" applyFill="1" applyBorder="1"/>
    <xf numFmtId="37" fontId="21" fillId="2" borderId="12" xfId="0" applyNumberFormat="1" applyFont="1" applyFill="1" applyBorder="1"/>
    <xf numFmtId="165" fontId="21" fillId="2" borderId="12" xfId="0" applyNumberFormat="1" applyFont="1" applyFill="1" applyBorder="1"/>
    <xf numFmtId="37" fontId="21" fillId="2" borderId="69" xfId="0" applyNumberFormat="1" applyFont="1" applyFill="1" applyBorder="1"/>
    <xf numFmtId="165" fontId="21" fillId="2" borderId="17" xfId="0" applyNumberFormat="1" applyFont="1" applyFill="1" applyBorder="1"/>
    <xf numFmtId="0" fontId="21" fillId="0" borderId="18" xfId="0" applyFont="1" applyBorder="1"/>
    <xf numFmtId="0" fontId="14" fillId="0" borderId="0" xfId="0" applyFont="1"/>
    <xf numFmtId="37" fontId="14" fillId="0" borderId="70" xfId="0" applyNumberFormat="1" applyFont="1" applyBorder="1"/>
    <xf numFmtId="37" fontId="14" fillId="0" borderId="71" xfId="0" applyNumberFormat="1" applyFont="1" applyBorder="1"/>
    <xf numFmtId="37" fontId="14" fillId="0" borderId="0" xfId="0" applyNumberFormat="1" applyFont="1"/>
    <xf numFmtId="165" fontId="14" fillId="0" borderId="0" xfId="0" applyNumberFormat="1" applyFont="1"/>
    <xf numFmtId="37" fontId="14" fillId="0" borderId="72" xfId="0" applyNumberFormat="1" applyFont="1" applyBorder="1"/>
    <xf numFmtId="165" fontId="14" fillId="0" borderId="21" xfId="0" applyNumberFormat="1" applyFont="1" applyBorder="1"/>
    <xf numFmtId="0" fontId="14" fillId="0" borderId="0" xfId="0" applyFont="1" applyAlignment="1">
      <alignment horizontal="right"/>
    </xf>
    <xf numFmtId="166" fontId="14" fillId="0" borderId="0" xfId="0" applyNumberFormat="1" applyFont="1"/>
    <xf numFmtId="0" fontId="14" fillId="0" borderId="71" xfId="0" applyFont="1" applyBorder="1"/>
    <xf numFmtId="165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6" fontId="14" fillId="0" borderId="12" xfId="0" applyNumberFormat="1" applyFont="1" applyBorder="1"/>
    <xf numFmtId="0" fontId="14" fillId="0" borderId="68" xfId="0" applyFont="1" applyBorder="1"/>
    <xf numFmtId="165" fontId="14" fillId="0" borderId="67" xfId="0" applyNumberFormat="1" applyFont="1" applyBorder="1"/>
    <xf numFmtId="165" fontId="14" fillId="0" borderId="73" xfId="0" applyNumberFormat="1" applyFont="1" applyBorder="1"/>
    <xf numFmtId="165" fontId="22" fillId="0" borderId="10" xfId="0" applyNumberFormat="1" applyFont="1" applyBorder="1"/>
    <xf numFmtId="0" fontId="21" fillId="2" borderId="34" xfId="0" applyFont="1" applyFill="1" applyBorder="1"/>
    <xf numFmtId="0" fontId="21" fillId="2" borderId="35" xfId="0" applyFont="1" applyFill="1" applyBorder="1"/>
    <xf numFmtId="165" fontId="21" fillId="2" borderId="35" xfId="0" applyNumberFormat="1" applyFont="1" applyFill="1" applyBorder="1"/>
    <xf numFmtId="37" fontId="21" fillId="2" borderId="74" xfId="0" applyNumberFormat="1" applyFont="1" applyFill="1" applyBorder="1"/>
    <xf numFmtId="165" fontId="21" fillId="2" borderId="38" xfId="0" applyNumberFormat="1" applyFont="1" applyFill="1" applyBorder="1"/>
    <xf numFmtId="0" fontId="21" fillId="2" borderId="38" xfId="0" applyFont="1" applyFill="1" applyBorder="1"/>
    <xf numFmtId="37" fontId="21" fillId="2" borderId="35" xfId="0" applyNumberFormat="1" applyFont="1" applyFill="1" applyBorder="1"/>
    <xf numFmtId="0" fontId="21" fillId="2" borderId="75" xfId="0" applyFont="1" applyFill="1" applyBorder="1"/>
    <xf numFmtId="43" fontId="7" fillId="0" borderId="0" xfId="0" applyNumberFormat="1" applyFont="1"/>
    <xf numFmtId="43" fontId="20" fillId="0" borderId="0" xfId="0" applyNumberFormat="1" applyFont="1"/>
    <xf numFmtId="165" fontId="14" fillId="0" borderId="70" xfId="0" applyNumberFormat="1" applyFont="1" applyBorder="1"/>
    <xf numFmtId="166" fontId="21" fillId="2" borderId="35" xfId="0" applyNumberFormat="1" applyFont="1" applyFill="1" applyBorder="1"/>
    <xf numFmtId="37" fontId="21" fillId="2" borderId="38" xfId="0" applyNumberFormat="1" applyFont="1" applyFill="1" applyBorder="1"/>
    <xf numFmtId="37" fontId="21" fillId="2" borderId="75" xfId="0" applyNumberFormat="1" applyFont="1" applyFill="1" applyBorder="1"/>
    <xf numFmtId="37" fontId="20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76" xfId="0" applyNumberFormat="1" applyFont="1" applyBorder="1"/>
    <xf numFmtId="0" fontId="14" fillId="0" borderId="77" xfId="0" applyFont="1" applyBorder="1"/>
    <xf numFmtId="166" fontId="14" fillId="0" borderId="7" xfId="0" applyNumberFormat="1" applyFont="1" applyBorder="1"/>
    <xf numFmtId="37" fontId="14" fillId="0" borderId="7" xfId="0" applyNumberFormat="1" applyFont="1" applyBorder="1"/>
    <xf numFmtId="165" fontId="14" fillId="0" borderId="7" xfId="0" applyNumberFormat="1" applyFont="1" applyBorder="1"/>
    <xf numFmtId="37" fontId="14" fillId="0" borderId="78" xfId="0" applyNumberFormat="1" applyFont="1" applyBorder="1"/>
    <xf numFmtId="0" fontId="14" fillId="0" borderId="47" xfId="0" applyFont="1" applyBorder="1" applyAlignment="1">
      <alignment horizontal="right"/>
    </xf>
    <xf numFmtId="0" fontId="14" fillId="0" borderId="47" xfId="0" applyFont="1" applyBorder="1"/>
    <xf numFmtId="37" fontId="14" fillId="0" borderId="79" xfId="0" applyNumberFormat="1" applyFont="1" applyBorder="1"/>
    <xf numFmtId="0" fontId="14" fillId="0" borderId="80" xfId="0" applyFont="1" applyBorder="1"/>
    <xf numFmtId="166" fontId="14" fillId="0" borderId="47" xfId="0" applyNumberFormat="1" applyFont="1" applyBorder="1"/>
    <xf numFmtId="37" fontId="14" fillId="0" borderId="80" xfId="0" applyNumberFormat="1" applyFont="1" applyBorder="1"/>
    <xf numFmtId="37" fontId="14" fillId="0" borderId="47" xfId="0" applyNumberFormat="1" applyFont="1" applyBorder="1"/>
    <xf numFmtId="165" fontId="14" fillId="0" borderId="47" xfId="0" applyNumberFormat="1" applyFont="1" applyBorder="1"/>
    <xf numFmtId="37" fontId="14" fillId="0" borderId="81" xfId="0" applyNumberFormat="1" applyFont="1" applyBorder="1"/>
    <xf numFmtId="165" fontId="14" fillId="0" borderId="82" xfId="0" applyNumberFormat="1" applyFont="1" applyBorder="1"/>
    <xf numFmtId="167" fontId="20" fillId="0" borderId="0" xfId="0" applyNumberFormat="1" applyFont="1"/>
    <xf numFmtId="0" fontId="14" fillId="2" borderId="35" xfId="0" applyFont="1" applyFill="1" applyBorder="1"/>
    <xf numFmtId="165" fontId="21" fillId="2" borderId="39" xfId="0" applyNumberFormat="1" applyFont="1" applyFill="1" applyBorder="1"/>
    <xf numFmtId="165" fontId="21" fillId="0" borderId="0" xfId="0" applyNumberFormat="1" applyFont="1"/>
    <xf numFmtId="0" fontId="21" fillId="0" borderId="0" xfId="0" applyFont="1"/>
    <xf numFmtId="0" fontId="20" fillId="3" borderId="0" xfId="0" applyFont="1" applyFill="1"/>
    <xf numFmtId="165" fontId="14" fillId="0" borderId="76" xfId="0" applyNumberFormat="1" applyFont="1" applyBorder="1"/>
    <xf numFmtId="0" fontId="14" fillId="0" borderId="70" xfId="0" applyFont="1" applyBorder="1"/>
    <xf numFmtId="0" fontId="14" fillId="0" borderId="72" xfId="0" applyFont="1" applyBorder="1"/>
    <xf numFmtId="165" fontId="14" fillId="0" borderId="83" xfId="0" applyNumberFormat="1" applyFont="1" applyBorder="1"/>
    <xf numFmtId="165" fontId="21" fillId="0" borderId="7" xfId="0" applyNumberFormat="1" applyFont="1" applyBorder="1"/>
    <xf numFmtId="0" fontId="21" fillId="0" borderId="7" xfId="0" applyFont="1" applyBorder="1"/>
    <xf numFmtId="165" fontId="21" fillId="0" borderId="77" xfId="0" applyNumberFormat="1" applyFont="1" applyBorder="1"/>
    <xf numFmtId="37" fontId="21" fillId="0" borderId="77" xfId="0" applyNumberFormat="1" applyFont="1" applyBorder="1"/>
    <xf numFmtId="37" fontId="14" fillId="0" borderId="84" xfId="0" applyNumberFormat="1" applyFont="1" applyBorder="1"/>
    <xf numFmtId="37" fontId="21" fillId="0" borderId="7" xfId="0" applyNumberFormat="1" applyFont="1" applyBorder="1"/>
    <xf numFmtId="165" fontId="21" fillId="0" borderId="71" xfId="0" applyNumberFormat="1" applyFont="1" applyBorder="1"/>
    <xf numFmtId="37" fontId="21" fillId="0" borderId="71" xfId="0" applyNumberFormat="1" applyFont="1" applyBorder="1"/>
    <xf numFmtId="37" fontId="14" fillId="0" borderId="85" xfId="0" applyNumberFormat="1" applyFont="1" applyBorder="1"/>
    <xf numFmtId="37" fontId="21" fillId="0" borderId="0" xfId="0" applyNumberFormat="1" applyFont="1"/>
    <xf numFmtId="165" fontId="14" fillId="2" borderId="38" xfId="0" applyNumberFormat="1" applyFont="1" applyFill="1" applyBorder="1"/>
    <xf numFmtId="165" fontId="14" fillId="2" borderId="35" xfId="0" applyNumberFormat="1" applyFont="1" applyFill="1" applyBorder="1"/>
    <xf numFmtId="37" fontId="14" fillId="2" borderId="75" xfId="0" applyNumberFormat="1" applyFont="1" applyFill="1" applyBorder="1"/>
    <xf numFmtId="0" fontId="21" fillId="3" borderId="6" xfId="0" applyFont="1" applyFill="1" applyBorder="1"/>
    <xf numFmtId="0" fontId="21" fillId="3" borderId="7" xfId="0" applyFont="1" applyFill="1" applyBorder="1"/>
    <xf numFmtId="37" fontId="21" fillId="3" borderId="7" xfId="0" applyNumberFormat="1" applyFont="1" applyFill="1" applyBorder="1"/>
    <xf numFmtId="37" fontId="14" fillId="3" borderId="76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77" xfId="0" applyNumberFormat="1" applyFont="1" applyFill="1" applyBorder="1"/>
    <xf numFmtId="37" fontId="14" fillId="3" borderId="0" xfId="0" applyNumberFormat="1" applyFont="1" applyFill="1"/>
    <xf numFmtId="165" fontId="14" fillId="3" borderId="0" xfId="0" applyNumberFormat="1" applyFont="1" applyFill="1"/>
    <xf numFmtId="165" fontId="14" fillId="3" borderId="77" xfId="0" applyNumberFormat="1" applyFont="1" applyFill="1" applyBorder="1"/>
    <xf numFmtId="165" fontId="14" fillId="3" borderId="7" xfId="0" applyNumberFormat="1" applyFont="1" applyFill="1" applyBorder="1"/>
    <xf numFmtId="37" fontId="14" fillId="3" borderId="78" xfId="0" applyNumberFormat="1" applyFont="1" applyFill="1" applyBorder="1"/>
    <xf numFmtId="165" fontId="14" fillId="0" borderId="45" xfId="0" applyNumberFormat="1" applyFont="1" applyBorder="1"/>
    <xf numFmtId="0" fontId="21" fillId="2" borderId="57" xfId="0" applyFont="1" applyFill="1" applyBorder="1"/>
    <xf numFmtId="0" fontId="21" fillId="2" borderId="58" xfId="0" applyFont="1" applyFill="1" applyBorder="1"/>
    <xf numFmtId="0" fontId="21" fillId="2" borderId="58" xfId="0" applyFont="1" applyFill="1" applyBorder="1" applyAlignment="1">
      <alignment horizontal="center"/>
    </xf>
    <xf numFmtId="165" fontId="21" fillId="2" borderId="58" xfId="0" applyNumberFormat="1" applyFont="1" applyFill="1" applyBorder="1"/>
    <xf numFmtId="37" fontId="21" fillId="2" borderId="86" xfId="0" applyNumberFormat="1" applyFont="1" applyFill="1" applyBorder="1"/>
    <xf numFmtId="37" fontId="21" fillId="2" borderId="58" xfId="0" applyNumberFormat="1" applyFont="1" applyFill="1" applyBorder="1"/>
    <xf numFmtId="37" fontId="21" fillId="2" borderId="87" xfId="0" applyNumberFormat="1" applyFont="1" applyFill="1" applyBorder="1"/>
    <xf numFmtId="165" fontId="21" fillId="2" borderId="88" xfId="0" applyNumberFormat="1" applyFont="1" applyFill="1" applyBorder="1"/>
    <xf numFmtId="0" fontId="21" fillId="2" borderId="87" xfId="0" applyFont="1" applyFill="1" applyBorder="1" applyAlignment="1">
      <alignment horizontal="center"/>
    </xf>
    <xf numFmtId="37" fontId="21" fillId="2" borderId="89" xfId="0" applyNumberFormat="1" applyFont="1" applyFill="1" applyBorder="1"/>
    <xf numFmtId="165" fontId="21" fillId="2" borderId="46" xfId="0" applyNumberFormat="1" applyFont="1" applyFill="1" applyBorder="1"/>
    <xf numFmtId="39" fontId="14" fillId="0" borderId="0" xfId="0" applyNumberFormat="1" applyFont="1"/>
    <xf numFmtId="0" fontId="21" fillId="2" borderId="90" xfId="0" applyFont="1" applyFill="1" applyBorder="1"/>
    <xf numFmtId="0" fontId="21" fillId="2" borderId="91" xfId="0" applyFont="1" applyFill="1" applyBorder="1"/>
    <xf numFmtId="0" fontId="21" fillId="2" borderId="91" xfId="0" applyFont="1" applyFill="1" applyBorder="1" applyAlignment="1">
      <alignment horizontal="center"/>
    </xf>
    <xf numFmtId="165" fontId="21" fillId="2" borderId="91" xfId="0" applyNumberFormat="1" applyFont="1" applyFill="1" applyBorder="1"/>
    <xf numFmtId="37" fontId="21" fillId="2" borderId="92" xfId="0" applyNumberFormat="1" applyFont="1" applyFill="1" applyBorder="1"/>
    <xf numFmtId="37" fontId="21" fillId="2" borderId="91" xfId="0" applyNumberFormat="1" applyFont="1" applyFill="1" applyBorder="1"/>
    <xf numFmtId="37" fontId="21" fillId="2" borderId="93" xfId="0" applyNumberFormat="1" applyFont="1" applyFill="1" applyBorder="1"/>
    <xf numFmtId="37" fontId="21" fillId="2" borderId="94" xfId="0" applyNumberFormat="1" applyFont="1" applyFill="1" applyBorder="1"/>
    <xf numFmtId="37" fontId="21" fillId="2" borderId="63" xfId="0" applyNumberFormat="1" applyFont="1" applyFill="1" applyBorder="1"/>
    <xf numFmtId="165" fontId="21" fillId="2" borderId="66" xfId="0" applyNumberFormat="1" applyFont="1" applyFill="1" applyBorder="1"/>
    <xf numFmtId="0" fontId="20" fillId="0" borderId="18" xfId="0" applyFont="1" applyBorder="1"/>
    <xf numFmtId="37" fontId="20" fillId="0" borderId="70" xfId="0" applyNumberFormat="1" applyFont="1" applyBorder="1"/>
    <xf numFmtId="0" fontId="20" fillId="0" borderId="70" xfId="0" applyFont="1" applyBorder="1"/>
    <xf numFmtId="0" fontId="20" fillId="0" borderId="85" xfId="0" applyFont="1" applyBorder="1"/>
    <xf numFmtId="0" fontId="20" fillId="0" borderId="72" xfId="0" applyFont="1" applyBorder="1"/>
    <xf numFmtId="0" fontId="20" fillId="0" borderId="10" xfId="0" applyFont="1" applyBorder="1"/>
    <xf numFmtId="0" fontId="7" fillId="0" borderId="72" xfId="0" applyFont="1" applyBorder="1"/>
    <xf numFmtId="165" fontId="21" fillId="2" borderId="61" xfId="0" applyNumberFormat="1" applyFont="1" applyFill="1" applyBorder="1"/>
    <xf numFmtId="0" fontId="23" fillId="0" borderId="0" xfId="0" applyFont="1"/>
    <xf numFmtId="37" fontId="23" fillId="0" borderId="0" xfId="0" applyNumberFormat="1" applyFont="1"/>
    <xf numFmtId="37" fontId="24" fillId="0" borderId="0" xfId="0" applyNumberFormat="1" applyFont="1"/>
    <xf numFmtId="0" fontId="23" fillId="3" borderId="0" xfId="0" applyFont="1" applyFill="1"/>
    <xf numFmtId="37" fontId="20" fillId="3" borderId="0" xfId="0" applyNumberFormat="1" applyFont="1" applyFill="1"/>
    <xf numFmtId="0" fontId="25" fillId="3" borderId="0" xfId="0" applyFont="1" applyFill="1"/>
    <xf numFmtId="37" fontId="23" fillId="3" borderId="0" xfId="0" applyNumberFormat="1" applyFont="1" applyFill="1"/>
    <xf numFmtId="0" fontId="2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4" fontId="27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7" fillId="3" borderId="0" xfId="0" applyFont="1" applyFill="1"/>
    <xf numFmtId="165" fontId="20" fillId="3" borderId="0" xfId="0" applyNumberFormat="1" applyFont="1" applyFill="1"/>
    <xf numFmtId="9" fontId="20" fillId="3" borderId="0" xfId="0" applyNumberFormat="1" applyFont="1" applyFill="1"/>
    <xf numFmtId="165" fontId="23" fillId="3" borderId="0" xfId="0" applyNumberFormat="1" applyFont="1" applyFill="1"/>
    <xf numFmtId="0" fontId="28" fillId="3" borderId="0" xfId="0" applyFont="1" applyFill="1"/>
    <xf numFmtId="0" fontId="26" fillId="3" borderId="0" xfId="0" applyFont="1" applyFill="1" applyAlignment="1">
      <alignment horizontal="center"/>
    </xf>
    <xf numFmtId="164" fontId="20" fillId="3" borderId="0" xfId="0" applyNumberFormat="1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30" fillId="3" borderId="0" xfId="0" applyFont="1" applyFill="1"/>
    <xf numFmtId="0" fontId="32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33" fillId="0" borderId="96" xfId="0" applyFont="1" applyBorder="1" applyAlignment="1">
      <alignment vertical="center"/>
    </xf>
    <xf numFmtId="0" fontId="33" fillId="0" borderId="97" xfId="0" applyFont="1" applyBorder="1" applyAlignment="1">
      <alignment vertical="center"/>
    </xf>
    <xf numFmtId="37" fontId="33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33" fillId="7" borderId="95" xfId="0" applyFont="1" applyFill="1" applyBorder="1" applyAlignment="1">
      <alignment horizontal="center"/>
    </xf>
    <xf numFmtId="0" fontId="33" fillId="8" borderId="95" xfId="0" applyFont="1" applyFill="1" applyBorder="1" applyAlignment="1">
      <alignment horizontal="center"/>
    </xf>
    <xf numFmtId="0" fontId="33" fillId="5" borderId="95" xfId="0" applyFont="1" applyFill="1" applyBorder="1" applyAlignment="1">
      <alignment horizontal="center"/>
    </xf>
    <xf numFmtId="3" fontId="32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33" fillId="0" borderId="100" xfId="0" applyNumberFormat="1" applyFont="1" applyBorder="1" applyAlignment="1">
      <alignment horizontal="center" vertical="center"/>
    </xf>
    <xf numFmtId="3" fontId="32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/>
    </xf>
    <xf numFmtId="3" fontId="7" fillId="0" borderId="0" xfId="0" applyNumberFormat="1" applyFont="1"/>
    <xf numFmtId="0" fontId="13" fillId="0" borderId="0" xfId="0" applyFont="1"/>
    <xf numFmtId="0" fontId="37" fillId="0" borderId="0" xfId="0" applyFont="1" applyAlignment="1">
      <alignment horizontal="center"/>
    </xf>
    <xf numFmtId="3" fontId="37" fillId="0" borderId="0" xfId="0" applyNumberFormat="1" applyFont="1" applyAlignment="1">
      <alignment horizontal="center"/>
    </xf>
    <xf numFmtId="39" fontId="10" fillId="3" borderId="12" xfId="0" applyNumberFormat="1" applyFont="1" applyFill="1" applyBorder="1"/>
    <xf numFmtId="0" fontId="21" fillId="2" borderId="101" xfId="0" applyFont="1" applyFill="1" applyBorder="1"/>
    <xf numFmtId="0" fontId="21" fillId="2" borderId="102" xfId="0" applyFont="1" applyFill="1" applyBorder="1"/>
    <xf numFmtId="0" fontId="21" fillId="2" borderId="102" xfId="0" applyFont="1" applyFill="1" applyBorder="1" applyAlignment="1">
      <alignment horizontal="center"/>
    </xf>
    <xf numFmtId="165" fontId="21" fillId="2" borderId="102" xfId="0" applyNumberFormat="1" applyFont="1" applyFill="1" applyBorder="1"/>
    <xf numFmtId="37" fontId="21" fillId="2" borderId="103" xfId="0" applyNumberFormat="1" applyFont="1" applyFill="1" applyBorder="1"/>
    <xf numFmtId="37" fontId="21" fillId="2" borderId="102" xfId="0" applyNumberFormat="1" applyFont="1" applyFill="1" applyBorder="1"/>
    <xf numFmtId="37" fontId="21" fillId="2" borderId="104" xfId="0" applyNumberFormat="1" applyFont="1" applyFill="1" applyBorder="1"/>
    <xf numFmtId="165" fontId="21" fillId="2" borderId="105" xfId="0" applyNumberFormat="1" applyFont="1" applyFill="1" applyBorder="1"/>
    <xf numFmtId="37" fontId="21" fillId="2" borderId="106" xfId="0" applyNumberFormat="1" applyFont="1" applyFill="1" applyBorder="1"/>
    <xf numFmtId="165" fontId="21" fillId="2" borderId="107" xfId="0" applyNumberFormat="1" applyFont="1" applyFill="1" applyBorder="1"/>
    <xf numFmtId="10" fontId="9" fillId="0" borderId="0" xfId="0" applyNumberFormat="1" applyFont="1"/>
    <xf numFmtId="170" fontId="9" fillId="0" borderId="0" xfId="0" applyNumberFormat="1" applyFont="1"/>
    <xf numFmtId="0" fontId="39" fillId="0" borderId="0" xfId="0" applyFont="1" applyAlignment="1">
      <alignment horizontal="center"/>
    </xf>
    <xf numFmtId="0" fontId="39" fillId="0" borderId="0" xfId="0" applyFont="1"/>
    <xf numFmtId="0" fontId="8" fillId="0" borderId="0" xfId="0" quotePrefix="1" applyFont="1"/>
    <xf numFmtId="3" fontId="9" fillId="0" borderId="108" xfId="0" applyNumberFormat="1" applyFont="1" applyBorder="1"/>
    <xf numFmtId="3" fontId="9" fillId="0" borderId="109" xfId="0" applyNumberFormat="1" applyFont="1" applyBorder="1"/>
    <xf numFmtId="3" fontId="9" fillId="0" borderId="110" xfId="0" applyNumberFormat="1" applyFont="1" applyBorder="1"/>
    <xf numFmtId="0" fontId="9" fillId="0" borderId="0" xfId="0" quotePrefix="1" applyFont="1"/>
    <xf numFmtId="0" fontId="9" fillId="2" borderId="111" xfId="0" applyFont="1" applyFill="1" applyBorder="1"/>
    <xf numFmtId="37" fontId="10" fillId="2" borderId="112" xfId="0" applyNumberFormat="1" applyFont="1" applyFill="1" applyBorder="1"/>
    <xf numFmtId="39" fontId="12" fillId="0" borderId="113" xfId="0" applyNumberFormat="1" applyFont="1" applyBorder="1"/>
    <xf numFmtId="2" fontId="10" fillId="0" borderId="8" xfId="0" applyNumberFormat="1" applyFont="1" applyBorder="1"/>
    <xf numFmtId="0" fontId="9" fillId="0" borderId="23" xfId="0" applyFont="1" applyBorder="1"/>
    <xf numFmtId="0" fontId="9" fillId="0" borderId="15" xfId="0" applyFont="1" applyBorder="1"/>
    <xf numFmtId="37" fontId="9" fillId="0" borderId="73" xfId="0" applyNumberFormat="1" applyFont="1" applyBorder="1"/>
    <xf numFmtId="10" fontId="9" fillId="0" borderId="8" xfId="0" applyNumberFormat="1" applyFont="1" applyBorder="1"/>
    <xf numFmtId="0" fontId="9" fillId="0" borderId="13" xfId="0" applyFont="1" applyBorder="1" applyAlignment="1">
      <alignment horizontal="center"/>
    </xf>
    <xf numFmtId="1" fontId="0" fillId="0" borderId="0" xfId="0" applyNumberFormat="1"/>
    <xf numFmtId="171" fontId="0" fillId="0" borderId="0" xfId="0" applyNumberFormat="1"/>
    <xf numFmtId="10" fontId="20" fillId="0" borderId="0" xfId="0" applyNumberFormat="1" applyFont="1"/>
    <xf numFmtId="1" fontId="20" fillId="0" borderId="0" xfId="0" applyNumberFormat="1" applyFont="1"/>
    <xf numFmtId="10" fontId="20" fillId="0" borderId="0" xfId="0" applyNumberFormat="1" applyFont="1" applyAlignment="1">
      <alignment horizontal="center"/>
    </xf>
    <xf numFmtId="171" fontId="20" fillId="0" borderId="0" xfId="0" applyNumberFormat="1" applyFont="1"/>
    <xf numFmtId="1" fontId="23" fillId="0" borderId="0" xfId="0" applyNumberFormat="1" applyFont="1"/>
    <xf numFmtId="10" fontId="23" fillId="0" borderId="0" xfId="0" applyNumberFormat="1" applyFont="1"/>
    <xf numFmtId="171" fontId="23" fillId="0" borderId="0" xfId="0" applyNumberFormat="1" applyFont="1"/>
    <xf numFmtId="3" fontId="40" fillId="0" borderId="0" xfId="0" applyNumberFormat="1" applyFont="1"/>
    <xf numFmtId="3" fontId="20" fillId="0" borderId="0" xfId="0" applyNumberFormat="1" applyFont="1"/>
    <xf numFmtId="10" fontId="20" fillId="0" borderId="0" xfId="0" quotePrefix="1" applyNumberFormat="1" applyFont="1"/>
    <xf numFmtId="1" fontId="20" fillId="0" borderId="0" xfId="0" quotePrefix="1" applyNumberFormat="1" applyFont="1"/>
    <xf numFmtId="0" fontId="20" fillId="0" borderId="0" xfId="0" quotePrefix="1" applyFont="1"/>
    <xf numFmtId="0" fontId="20" fillId="9" borderId="0" xfId="0" applyFont="1" applyFill="1"/>
    <xf numFmtId="165" fontId="21" fillId="2" borderId="86" xfId="0" applyNumberFormat="1" applyFont="1" applyFill="1" applyBorder="1"/>
    <xf numFmtId="10" fontId="21" fillId="0" borderId="0" xfId="0" applyNumberFormat="1" applyFont="1"/>
    <xf numFmtId="10" fontId="8" fillId="0" borderId="0" xfId="0" applyNumberFormat="1" applyFont="1"/>
    <xf numFmtId="37" fontId="8" fillId="0" borderId="0" xfId="0" applyNumberFormat="1" applyFont="1"/>
    <xf numFmtId="1" fontId="9" fillId="0" borderId="0" xfId="0" applyNumberFormat="1" applyFont="1"/>
    <xf numFmtId="1" fontId="9" fillId="0" borderId="12" xfId="0" applyNumberFormat="1" applyFont="1" applyBorder="1"/>
    <xf numFmtId="1" fontId="9" fillId="0" borderId="7" xfId="0" applyNumberFormat="1" applyFont="1" applyBorder="1"/>
    <xf numFmtId="0" fontId="20" fillId="10" borderId="0" xfId="0" applyFont="1" applyFill="1"/>
    <xf numFmtId="37" fontId="20" fillId="9" borderId="0" xfId="0" applyNumberFormat="1" applyFont="1" applyFill="1"/>
    <xf numFmtId="37" fontId="20" fillId="11" borderId="0" xfId="0" applyNumberFormat="1" applyFont="1" applyFill="1"/>
    <xf numFmtId="0" fontId="8" fillId="5" borderId="0" xfId="0" applyFont="1" applyFill="1"/>
    <xf numFmtId="0" fontId="9" fillId="5" borderId="0" xfId="0" applyFont="1" applyFill="1"/>
    <xf numFmtId="0" fontId="20" fillId="5" borderId="0" xfId="0" applyFont="1" applyFill="1"/>
    <xf numFmtId="165" fontId="21" fillId="2" borderId="103" xfId="0" applyNumberFormat="1" applyFont="1" applyFill="1" applyBorder="1"/>
    <xf numFmtId="0" fontId="33" fillId="7" borderId="95" xfId="0" applyFont="1" applyFill="1" applyBorder="1" applyAlignment="1">
      <alignment horizontal="center" vertical="center"/>
    </xf>
    <xf numFmtId="0" fontId="33" fillId="8" borderId="95" xfId="0" applyFont="1" applyFill="1" applyBorder="1" applyAlignment="1">
      <alignment horizontal="center" vertical="center"/>
    </xf>
    <xf numFmtId="0" fontId="33" fillId="6" borderId="95" xfId="0" applyFont="1" applyFill="1" applyBorder="1" applyAlignment="1">
      <alignment horizontal="center" vertical="center"/>
    </xf>
    <xf numFmtId="0" fontId="33" fillId="5" borderId="95" xfId="0" applyFont="1" applyFill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1" fillId="0" borderId="63" xfId="0" applyFont="1" applyBorder="1"/>
    <xf numFmtId="0" fontId="11" fillId="0" borderId="66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4" xfId="0" applyFont="1" applyBorder="1" applyAlignment="1">
      <alignment horizontal="center"/>
    </xf>
    <xf numFmtId="0" fontId="11" fillId="0" borderId="5" xfId="0" applyFont="1" applyBorder="1"/>
    <xf numFmtId="0" fontId="10" fillId="0" borderId="63" xfId="0" applyFont="1" applyBorder="1" applyAlignment="1">
      <alignment horizontal="center" vertical="center"/>
    </xf>
    <xf numFmtId="0" fontId="11" fillId="0" borderId="64" xfId="0" applyFont="1" applyBorder="1"/>
    <xf numFmtId="0" fontId="10" fillId="0" borderId="49" xfId="0" applyFont="1" applyBorder="1" applyAlignment="1">
      <alignment horizontal="center"/>
    </xf>
    <xf numFmtId="0" fontId="11" fillId="0" borderId="50" xfId="0" applyFont="1" applyBorder="1"/>
    <xf numFmtId="0" fontId="41" fillId="0" borderId="0" xfId="0" applyFont="1"/>
    <xf numFmtId="172" fontId="41" fillId="0" borderId="0" xfId="0" quotePrefix="1" applyNumberFormat="1" applyFont="1"/>
    <xf numFmtId="10" fontId="20" fillId="12" borderId="0" xfId="0" quotePrefix="1" applyNumberFormat="1" applyFont="1" applyFill="1"/>
  </cellXfs>
  <cellStyles count="16"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1005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206</v>
      </c>
      <c r="C3" s="440" t="s">
        <v>250</v>
      </c>
      <c r="P3" s="441"/>
      <c r="Q3" s="442"/>
    </row>
    <row r="5" spans="1:17" s="419" customFormat="1" ht="16.5" customHeight="1"/>
    <row r="6" spans="1:17" s="419" customFormat="1" ht="16.5" customHeight="1">
      <c r="B6" s="501" t="s">
        <v>198</v>
      </c>
      <c r="C6" s="501"/>
      <c r="D6" s="501"/>
      <c r="E6" s="501"/>
      <c r="F6" s="502" t="s">
        <v>199</v>
      </c>
      <c r="G6" s="502"/>
      <c r="H6" s="502"/>
      <c r="I6" s="502"/>
      <c r="J6" s="503" t="s">
        <v>200</v>
      </c>
      <c r="K6" s="503"/>
      <c r="L6" s="503"/>
      <c r="M6" s="503"/>
      <c r="N6" s="504" t="s">
        <v>201</v>
      </c>
      <c r="O6" s="504"/>
      <c r="P6" s="504"/>
      <c r="Q6" s="504"/>
    </row>
    <row r="7" spans="1:17" s="419" customFormat="1" ht="16.5" customHeight="1">
      <c r="A7"/>
      <c r="B7" s="426" t="s">
        <v>191</v>
      </c>
      <c r="C7" s="426" t="s">
        <v>192</v>
      </c>
      <c r="D7" s="426" t="s">
        <v>193</v>
      </c>
      <c r="E7" s="426" t="s">
        <v>194</v>
      </c>
      <c r="F7" s="427" t="s">
        <v>191</v>
      </c>
      <c r="G7" s="427" t="s">
        <v>192</v>
      </c>
      <c r="H7" s="427" t="s">
        <v>193</v>
      </c>
      <c r="I7" s="427" t="s">
        <v>194</v>
      </c>
      <c r="J7" s="438" t="s">
        <v>191</v>
      </c>
      <c r="K7" s="438" t="s">
        <v>192</v>
      </c>
      <c r="L7" s="438" t="s">
        <v>193</v>
      </c>
      <c r="M7" s="438" t="s">
        <v>194</v>
      </c>
      <c r="N7" s="428" t="s">
        <v>191</v>
      </c>
      <c r="O7" s="428" t="s">
        <v>192</v>
      </c>
      <c r="P7" s="428" t="s">
        <v>193</v>
      </c>
      <c r="Q7" s="428" t="s">
        <v>194</v>
      </c>
    </row>
    <row r="8" spans="1:17" s="419" customFormat="1" ht="16.5" customHeight="1">
      <c r="A8" s="418" t="s">
        <v>197</v>
      </c>
      <c r="B8" s="429">
        <f t="shared" ref="B8:Q8" si="0">+B9-B10</f>
        <v>0</v>
      </c>
      <c r="C8" s="429">
        <f t="shared" si="0"/>
        <v>0</v>
      </c>
      <c r="D8" s="429">
        <f t="shared" si="0"/>
        <v>3.4924596548080444E-10</v>
      </c>
      <c r="E8" s="429">
        <f t="shared" si="0"/>
        <v>3.4924596548080444E-10</v>
      </c>
      <c r="F8" s="429">
        <f t="shared" si="0"/>
        <v>0</v>
      </c>
      <c r="G8" s="429">
        <f t="shared" si="0"/>
        <v>0</v>
      </c>
      <c r="H8" s="429">
        <f t="shared" si="0"/>
        <v>0</v>
      </c>
      <c r="I8" s="429">
        <f t="shared" si="0"/>
        <v>0</v>
      </c>
      <c r="J8" s="434">
        <f t="shared" si="0"/>
        <v>0</v>
      </c>
      <c r="K8" s="434">
        <f t="shared" si="0"/>
        <v>0</v>
      </c>
      <c r="L8" s="434">
        <f t="shared" si="0"/>
        <v>0</v>
      </c>
      <c r="M8" s="434">
        <f t="shared" si="0"/>
        <v>0</v>
      </c>
      <c r="N8" s="429">
        <f t="shared" si="0"/>
        <v>0</v>
      </c>
      <c r="O8" s="429">
        <f t="shared" si="0"/>
        <v>0</v>
      </c>
      <c r="P8" s="429">
        <f t="shared" si="0"/>
        <v>0</v>
      </c>
      <c r="Q8" s="429">
        <f t="shared" si="0"/>
        <v>0</v>
      </c>
    </row>
    <row r="9" spans="1:17" s="419" customFormat="1" ht="16.5" customHeight="1">
      <c r="A9" s="420" t="s">
        <v>195</v>
      </c>
      <c r="B9" s="422">
        <f>+Conso!$Z$406</f>
        <v>10936375.268849706</v>
      </c>
      <c r="C9" s="422">
        <f>+Conso!$Z$407</f>
        <v>1139605.4224349458</v>
      </c>
      <c r="D9" s="422">
        <f>+Conso!$Z$483</f>
        <v>181837.63955234585</v>
      </c>
      <c r="E9" s="422">
        <f>+Conso!$Z$498</f>
        <v>131750.09856873928</v>
      </c>
      <c r="F9" s="422">
        <f>+Conso!$AC$406</f>
        <v>0</v>
      </c>
      <c r="G9" s="422">
        <f>+Conso!$AC$407</f>
        <v>0</v>
      </c>
      <c r="H9" s="422">
        <f>+Conso!$AC$483</f>
        <v>0</v>
      </c>
      <c r="I9" s="422">
        <f>+Conso!$AC$498</f>
        <v>0</v>
      </c>
      <c r="J9" s="422">
        <f>+Conso!$AF$406</f>
        <v>9984327.209999999</v>
      </c>
      <c r="K9" s="422">
        <f>+Conso!$AF$407</f>
        <v>1074312.54</v>
      </c>
      <c r="L9" s="422">
        <f>+Conso!$AF$483</f>
        <v>143608.08000000007</v>
      </c>
      <c r="M9" s="422">
        <f>+Conso!$AF$498</f>
        <v>114407.89000000007</v>
      </c>
      <c r="N9" s="422">
        <f>+Conso!$AL$406</f>
        <v>13192702.289999969</v>
      </c>
      <c r="O9" s="422">
        <f>+Conso!$AL$407</f>
        <v>1337074.689999999</v>
      </c>
      <c r="P9" s="422">
        <f>+Conso!$AL$483</f>
        <v>335355.95999999903</v>
      </c>
      <c r="Q9" s="422">
        <f>+Conso!$AL$498</f>
        <v>301096.72999999905</v>
      </c>
    </row>
    <row r="10" spans="1:17" s="419" customFormat="1" ht="16.5" customHeight="1">
      <c r="A10" s="421" t="s">
        <v>196</v>
      </c>
      <c r="B10" s="433">
        <f>+SUM(B11:B13)</f>
        <v>10936375.268849704</v>
      </c>
      <c r="C10" s="433">
        <f t="shared" ref="C10:Q10" si="1">+SUM(C11:C13)</f>
        <v>1139605.4224349456</v>
      </c>
      <c r="D10" s="433">
        <f t="shared" si="1"/>
        <v>181837.6395523455</v>
      </c>
      <c r="E10" s="433">
        <f t="shared" si="1"/>
        <v>131750.09856873893</v>
      </c>
      <c r="F10" s="433">
        <f t="shared" si="1"/>
        <v>0</v>
      </c>
      <c r="G10" s="433">
        <f t="shared" si="1"/>
        <v>0</v>
      </c>
      <c r="H10" s="433">
        <f t="shared" si="1"/>
        <v>0</v>
      </c>
      <c r="I10" s="433">
        <f t="shared" si="1"/>
        <v>0</v>
      </c>
      <c r="J10" s="433">
        <f t="shared" si="1"/>
        <v>9984327.2100000009</v>
      </c>
      <c r="K10" s="433">
        <f t="shared" si="1"/>
        <v>1074312.5400000003</v>
      </c>
      <c r="L10" s="433">
        <f t="shared" si="1"/>
        <v>143608.08000000007</v>
      </c>
      <c r="M10" s="433">
        <f t="shared" si="1"/>
        <v>114407.8900000001</v>
      </c>
      <c r="N10" s="433">
        <f t="shared" si="1"/>
        <v>13192702.289999969</v>
      </c>
      <c r="O10" s="433">
        <f t="shared" si="1"/>
        <v>1337074.689999999</v>
      </c>
      <c r="P10" s="433">
        <f t="shared" si="1"/>
        <v>335355.95999999909</v>
      </c>
      <c r="Q10" s="433">
        <f t="shared" si="1"/>
        <v>301096.72999999911</v>
      </c>
    </row>
    <row r="11" spans="1:17" s="419" customFormat="1" ht="16.5" customHeight="1">
      <c r="A11" s="430" t="s">
        <v>203</v>
      </c>
      <c r="B11" s="423">
        <f>+'Mois 1'!$Z$406</f>
        <v>4184327.8471610914</v>
      </c>
      <c r="C11" s="423">
        <f>+'Mois 1'!$Z$407</f>
        <v>424106.35146047897</v>
      </c>
      <c r="D11" s="423">
        <f>+'Mois 1'!$Z$483</f>
        <v>101253.57451465016</v>
      </c>
      <c r="E11" s="423">
        <f>+'Mois 1'!$Z$498</f>
        <v>84586.033531043606</v>
      </c>
      <c r="F11" s="423">
        <f>+'Mois 1'!$AC$406</f>
        <v>0</v>
      </c>
      <c r="G11" s="423">
        <f>+'Mois 1'!$AC$407</f>
        <v>0</v>
      </c>
      <c r="H11" s="423">
        <f>+'Mois 1'!$AC$483</f>
        <v>0</v>
      </c>
      <c r="I11" s="423">
        <f>+'Mois 1'!$AC$498</f>
        <v>0</v>
      </c>
      <c r="J11" s="435">
        <f>+'Mois 1'!$AF$406</f>
        <v>4464713.04</v>
      </c>
      <c r="K11" s="435">
        <f>+'Mois 1'!$AF$407</f>
        <v>438441.95</v>
      </c>
      <c r="L11" s="435">
        <f>+'Mois 1'!$AF$483</f>
        <v>132656.51999999996</v>
      </c>
      <c r="M11" s="435">
        <f>+'Mois 1'!$AF$498</f>
        <v>119988.97999999997</v>
      </c>
      <c r="N11" s="423">
        <f>+'Mois 1'!$AL$406</f>
        <v>4023235.1799999801</v>
      </c>
      <c r="O11" s="423">
        <f>+'Mois 1'!$AL$407</f>
        <v>459457.18999999983</v>
      </c>
      <c r="P11" s="423">
        <f>+'Mois 1'!$AL$483</f>
        <v>127828.12999999983</v>
      </c>
      <c r="Q11" s="423">
        <f>+'Mois 1'!$AL$498</f>
        <v>110237.63999999982</v>
      </c>
    </row>
    <row r="12" spans="1:17" s="419" customFormat="1" ht="16.5" customHeight="1">
      <c r="A12" s="431" t="s">
        <v>204</v>
      </c>
      <c r="B12" s="424">
        <f>+'Mois 2'!$Z$406</f>
        <v>3866436.0737336539</v>
      </c>
      <c r="C12" s="424">
        <f>+'Mois 2'!$Z$407</f>
        <v>435746.48280109488</v>
      </c>
      <c r="D12" s="424">
        <f>+'Mois 2'!$Z$483</f>
        <v>126571.41483140428</v>
      </c>
      <c r="E12" s="424">
        <f>+'Mois 2'!$Z$498</f>
        <v>109818.95581501084</v>
      </c>
      <c r="F12" s="424">
        <f>+'Mois 2'!$AC$406</f>
        <v>0</v>
      </c>
      <c r="G12" s="424">
        <f>+'Mois 2'!$AC$407</f>
        <v>0</v>
      </c>
      <c r="H12" s="424">
        <f>+'Mois 2'!$AC$483</f>
        <v>0</v>
      </c>
      <c r="I12" s="424">
        <f>+'Mois 2'!$AC$498</f>
        <v>0</v>
      </c>
      <c r="J12" s="436">
        <f>+'Mois 2'!$AF$406</f>
        <v>3549743.8400000003</v>
      </c>
      <c r="K12" s="436">
        <f>+'Mois 2'!$AF$407</f>
        <v>429977.31000000011</v>
      </c>
      <c r="L12" s="436">
        <f>+'Mois 2'!$AF$483</f>
        <v>70563.840000000098</v>
      </c>
      <c r="M12" s="436">
        <f>+'Mois 2'!$AF$498</f>
        <v>54750.970000000096</v>
      </c>
      <c r="N12" s="424">
        <f>+'Mois 2'!$AL$406</f>
        <v>4910909.9400000004</v>
      </c>
      <c r="O12" s="424">
        <f>+'Mois 2'!$AL$407</f>
        <v>495524.12999999942</v>
      </c>
      <c r="P12" s="424">
        <f>+'Mois 2'!$AL$483</f>
        <v>195487.83999999953</v>
      </c>
      <c r="Q12" s="424">
        <f>+'Mois 2'!$AL$498</f>
        <v>177525.75999999954</v>
      </c>
    </row>
    <row r="13" spans="1:17">
      <c r="A13" s="432" t="s">
        <v>205</v>
      </c>
      <c r="B13" s="425">
        <f>+'Mois 3'!$Z$406</f>
        <v>2885611.3479549596</v>
      </c>
      <c r="C13" s="425">
        <f>+'Mois 3'!$Z$407</f>
        <v>279752.58817337186</v>
      </c>
      <c r="D13" s="425">
        <f>+'Mois 3'!$Z$483</f>
        <v>-45987.349793708941</v>
      </c>
      <c r="E13" s="425">
        <f>+'Mois 3'!$Z$498</f>
        <v>-62654.890777315501</v>
      </c>
      <c r="F13" s="425">
        <f>+'Mois 3'!$AC$406</f>
        <v>0</v>
      </c>
      <c r="G13" s="425">
        <f>+'Mois 3'!$AC$407</f>
        <v>0</v>
      </c>
      <c r="H13" s="425">
        <f>+'Mois 3'!$AC$483</f>
        <v>0</v>
      </c>
      <c r="I13" s="425">
        <f>+'Mois 3'!$AC$498</f>
        <v>0</v>
      </c>
      <c r="J13" s="437">
        <f>+'Mois 3'!$AF$406</f>
        <v>1969870.3300000003</v>
      </c>
      <c r="K13" s="437">
        <f>+'Mois 3'!$AF$407</f>
        <v>205893.28000000006</v>
      </c>
      <c r="L13" s="437">
        <f>+'Mois 3'!$AF$483</f>
        <v>-59612.27999999997</v>
      </c>
      <c r="M13" s="437">
        <f>+'Mois 3'!$AF$498</f>
        <v>-60332.059999999969</v>
      </c>
      <c r="N13" s="425">
        <f>+'Mois 3'!$AL$406</f>
        <v>4258557.1699999897</v>
      </c>
      <c r="O13" s="425">
        <f>+'Mois 3'!$AL$407</f>
        <v>382093.3699999997</v>
      </c>
      <c r="P13" s="425">
        <f>+'Mois 3'!$AL$483</f>
        <v>12039.989999999714</v>
      </c>
      <c r="Q13" s="425">
        <f>+'Mois 3'!$AL$498</f>
        <v>13333.329999999714</v>
      </c>
    </row>
  </sheetData>
  <mergeCells count="4">
    <mergeCell ref="B6:E6"/>
    <mergeCell ref="F6:I6"/>
    <mergeCell ref="J6:M6"/>
    <mergeCell ref="N6:Q6"/>
  </mergeCells>
  <phoneticPr fontId="3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02"/>
  <sheetViews>
    <sheetView tabSelected="1" view="pageBreakPreview" topLeftCell="S455" zoomScale="60" zoomScaleNormal="70" workbookViewId="0">
      <selection activeCell="AY494" sqref="AY494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>Réalisé  Q4 2025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 t="s">
        <v>2</v>
      </c>
      <c r="H2" s="456" t="s">
        <v>3</v>
      </c>
      <c r="I2" s="456" t="s">
        <v>4</v>
      </c>
      <c r="J2" s="456"/>
      <c r="K2" s="456"/>
      <c r="L2" s="456"/>
      <c r="M2" s="457"/>
      <c r="N2" s="457"/>
      <c r="O2" s="456"/>
      <c r="P2" s="456"/>
      <c r="Q2" s="456"/>
      <c r="R2" s="10"/>
      <c r="S2" s="10"/>
      <c r="T2" s="10"/>
      <c r="U2" s="10"/>
    </row>
    <row r="3" spans="1:40" ht="21" thickTop="1">
      <c r="B3" s="11"/>
      <c r="C3" s="12"/>
      <c r="D3" s="508" t="s">
        <v>5</v>
      </c>
      <c r="E3" s="509"/>
      <c r="F3" s="510"/>
      <c r="G3" s="511" t="s">
        <v>6</v>
      </c>
      <c r="H3" s="509"/>
      <c r="I3" s="510"/>
      <c r="J3" s="511" t="s">
        <v>7</v>
      </c>
      <c r="K3" s="509"/>
      <c r="L3" s="510"/>
      <c r="M3" s="511" t="s">
        <v>213</v>
      </c>
      <c r="N3" s="510"/>
      <c r="O3" s="508" t="s">
        <v>8</v>
      </c>
      <c r="P3" s="509"/>
      <c r="Q3" s="510"/>
      <c r="R3" s="515" t="s">
        <v>214</v>
      </c>
      <c r="S3" s="516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 t="s">
        <v>10</v>
      </c>
      <c r="H4" s="16" t="s">
        <v>11</v>
      </c>
      <c r="I4" s="17" t="s">
        <v>12</v>
      </c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13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f>+SUM(START:END!F5)</f>
        <v>5879497.4328093138</v>
      </c>
      <c r="G5" s="23"/>
      <c r="H5" s="21"/>
      <c r="I5" s="24">
        <f>+SUM(START:END!I5)</f>
        <v>0</v>
      </c>
      <c r="J5" s="23"/>
      <c r="K5" s="25"/>
      <c r="L5" s="22">
        <f>+SUM(START:END!L5)</f>
        <v>5197765.08</v>
      </c>
      <c r="M5" s="26"/>
      <c r="N5" s="27"/>
      <c r="O5" s="23"/>
      <c r="P5" s="25"/>
      <c r="Q5" s="22">
        <f>+SUM(START:END!Q5)</f>
        <v>8004934.9699999802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f>+SUM(START:END!D6)</f>
        <v>21</v>
      </c>
      <c r="E6" s="30">
        <f>IF(D6=0,0,F6/D6)</f>
        <v>4306.395348837209</v>
      </c>
      <c r="F6" s="30">
        <f>+SUM(START:END!F6)</f>
        <v>90434.30232558139</v>
      </c>
      <c r="G6" s="31">
        <f>+SUM(START:END!G6)</f>
        <v>0</v>
      </c>
      <c r="H6" s="30">
        <f>IF(G6=0,0,I6/G6)</f>
        <v>0</v>
      </c>
      <c r="I6" s="30">
        <f>+SUM(START:END!I6)</f>
        <v>0</v>
      </c>
      <c r="J6" s="31">
        <f>+SUM(START:END!J6)</f>
        <v>10</v>
      </c>
      <c r="K6" s="30">
        <f>IF(J6=0,0,L6/J6)</f>
        <v>4229.7259999999906</v>
      </c>
      <c r="L6" s="32">
        <f>+SUM(START:END!L6)</f>
        <v>42297.259999999907</v>
      </c>
      <c r="M6" s="31">
        <f t="shared" ref="M6:M12" si="2">J6-D6</f>
        <v>-11</v>
      </c>
      <c r="N6" s="33">
        <f t="shared" ref="N6:N12" si="3">L6-F6</f>
        <v>-48137.042325581482</v>
      </c>
      <c r="O6" s="31">
        <f>+SUM(START:END!O6)</f>
        <v>31</v>
      </c>
      <c r="P6" s="30">
        <f>IF(O6=0,0,Q6/O6)</f>
        <v>5953.9019354838683</v>
      </c>
      <c r="Q6" s="32">
        <f>+SUM(START:END!Q6)</f>
        <v>184570.9599999999</v>
      </c>
      <c r="R6" s="31">
        <f>J6-O6</f>
        <v>-21</v>
      </c>
      <c r="S6" s="34">
        <f>L6-Q6</f>
        <v>-142273.70000000001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 t="shared" si="1"/>
        <v>Véhicules neufsCamions détail</v>
      </c>
      <c r="B7" s="11" t="str">
        <f t="shared" si="0"/>
        <v>Véhicules neufs</v>
      </c>
      <c r="C7" s="29" t="s">
        <v>16</v>
      </c>
      <c r="D7" s="30">
        <f>+SUM(START:END!D7)</f>
        <v>35</v>
      </c>
      <c r="E7" s="30">
        <f t="shared" ref="E7:E12" si="4">IF(D7=0,0,F7/D7)</f>
        <v>4000.3311258278145</v>
      </c>
      <c r="F7" s="30">
        <f>+SUM(START:END!F7)</f>
        <v>140011.58940397351</v>
      </c>
      <c r="G7" s="31">
        <f>+SUM(START:END!G7)</f>
        <v>0</v>
      </c>
      <c r="H7" s="30">
        <f t="shared" ref="H7:H12" si="5">IF(G7=0,0,I7/G7)</f>
        <v>0</v>
      </c>
      <c r="I7" s="30">
        <f>+SUM(START:END!I7)</f>
        <v>0</v>
      </c>
      <c r="J7" s="31">
        <f>+SUM(START:END!J7)</f>
        <v>31</v>
      </c>
      <c r="K7" s="30">
        <f t="shared" ref="K7:K12" si="6">IF(J7=0,0,L7/J7)</f>
        <v>3197.4216129032338</v>
      </c>
      <c r="L7" s="32">
        <f>+SUM(START:END!L7)</f>
        <v>99120.070000000254</v>
      </c>
      <c r="M7" s="31">
        <f t="shared" si="2"/>
        <v>-4</v>
      </c>
      <c r="N7" s="33">
        <f t="shared" si="3"/>
        <v>-40891.51940397326</v>
      </c>
      <c r="O7" s="31">
        <f>+SUM(START:END!O7)</f>
        <v>47</v>
      </c>
      <c r="P7" s="30">
        <f t="shared" ref="P7:P12" si="7">IF(O7=0,0,Q7/O7)</f>
        <v>4204.380425531921</v>
      </c>
      <c r="Q7" s="32">
        <f>+SUM(START:END!Q7)</f>
        <v>197605.8800000003</v>
      </c>
      <c r="R7" s="31">
        <f t="shared" ref="R7:R12" si="8">J7-O7</f>
        <v>-16</v>
      </c>
      <c r="S7" s="34">
        <f t="shared" ref="S7:S12" si="9">L7-Q7</f>
        <v>-98485.810000000041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 t="shared" si="1"/>
        <v>Véhicules neufsSprinter</v>
      </c>
      <c r="B8" s="11" t="str">
        <f t="shared" si="0"/>
        <v>Véhicules neufs</v>
      </c>
      <c r="C8" s="29" t="s">
        <v>17</v>
      </c>
      <c r="D8" s="30">
        <f>+SUM(START:END!D8)</f>
        <v>0</v>
      </c>
      <c r="E8" s="30">
        <f t="shared" si="4"/>
        <v>0</v>
      </c>
      <c r="F8" s="30">
        <f>+SUM(START:END!F8)</f>
        <v>0</v>
      </c>
      <c r="G8" s="31">
        <f>+SUM(START:END!G8)</f>
        <v>0</v>
      </c>
      <c r="H8" s="30">
        <f t="shared" si="5"/>
        <v>0</v>
      </c>
      <c r="I8" s="30">
        <f>+SUM(START:END!I8)</f>
        <v>0</v>
      </c>
      <c r="J8" s="31">
        <f>+SUM(START:END!J8)</f>
        <v>0</v>
      </c>
      <c r="K8" s="30">
        <f t="shared" si="6"/>
        <v>0</v>
      </c>
      <c r="L8" s="32">
        <f>+SUM(START:END!L8)</f>
        <v>0</v>
      </c>
      <c r="M8" s="31">
        <f t="shared" si="2"/>
        <v>0</v>
      </c>
      <c r="N8" s="33">
        <f t="shared" si="3"/>
        <v>0</v>
      </c>
      <c r="O8" s="31">
        <f>+SUM(START:END!O8)</f>
        <v>0</v>
      </c>
      <c r="P8" s="30">
        <f t="shared" si="7"/>
        <v>0</v>
      </c>
      <c r="Q8" s="32">
        <f>+SUM(START:END!Q8)</f>
        <v>0</v>
      </c>
      <c r="R8" s="31">
        <f t="shared" si="8"/>
        <v>0</v>
      </c>
      <c r="S8" s="34">
        <f t="shared" si="9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 t="shared" si="1"/>
        <v>Véhicules neufsMoto détail</v>
      </c>
      <c r="B9" s="11" t="str">
        <f t="shared" si="0"/>
        <v>Véhicules neufs</v>
      </c>
      <c r="C9" s="29" t="s">
        <v>18</v>
      </c>
      <c r="D9" s="30">
        <f>+SUM(START:END!D9)</f>
        <v>0</v>
      </c>
      <c r="E9" s="30">
        <f t="shared" si="4"/>
        <v>0</v>
      </c>
      <c r="F9" s="30">
        <f>+SUM(START:END!F9)</f>
        <v>0</v>
      </c>
      <c r="G9" s="31">
        <f>+SUM(START:END!G9)</f>
        <v>0</v>
      </c>
      <c r="H9" s="30">
        <f t="shared" si="5"/>
        <v>0</v>
      </c>
      <c r="I9" s="30">
        <f>+SUM(START:END!I9)</f>
        <v>0</v>
      </c>
      <c r="J9" s="31">
        <f>+SUM(START:END!J9)</f>
        <v>0</v>
      </c>
      <c r="K9" s="30">
        <f t="shared" si="6"/>
        <v>0</v>
      </c>
      <c r="L9" s="32">
        <f>+SUM(START:END!L9)</f>
        <v>0</v>
      </c>
      <c r="M9" s="31">
        <f t="shared" si="2"/>
        <v>0</v>
      </c>
      <c r="N9" s="33">
        <f t="shared" si="3"/>
        <v>0</v>
      </c>
      <c r="O9" s="31">
        <f>+SUM(START:END!O9)</f>
        <v>0</v>
      </c>
      <c r="P9" s="30">
        <f t="shared" si="7"/>
        <v>0</v>
      </c>
      <c r="Q9" s="32">
        <f>+SUM(START:END!Q9)</f>
        <v>0</v>
      </c>
      <c r="R9" s="31">
        <f t="shared" si="8"/>
        <v>0</v>
      </c>
      <c r="S9" s="34">
        <f t="shared" si="9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 t="shared" si="1"/>
        <v>Véhicules neufs[...]</v>
      </c>
      <c r="B10" s="11" t="str">
        <f t="shared" si="0"/>
        <v>Véhicules neufs</v>
      </c>
      <c r="C10" s="29" t="s">
        <v>19</v>
      </c>
      <c r="D10" s="30">
        <f>+SUM(START:END!D10)</f>
        <v>0</v>
      </c>
      <c r="E10" s="30">
        <f t="shared" si="4"/>
        <v>0</v>
      </c>
      <c r="F10" s="30">
        <f>+SUM(START:END!F10)</f>
        <v>0</v>
      </c>
      <c r="G10" s="31">
        <f>+SUM(START:END!G10)</f>
        <v>0</v>
      </c>
      <c r="H10" s="30">
        <f t="shared" si="5"/>
        <v>0</v>
      </c>
      <c r="I10" s="30">
        <f>+SUM(START:END!I10)</f>
        <v>0</v>
      </c>
      <c r="J10" s="31">
        <f>+SUM(START:END!J10)</f>
        <v>0</v>
      </c>
      <c r="K10" s="30">
        <f t="shared" si="6"/>
        <v>0</v>
      </c>
      <c r="L10" s="32">
        <f>+SUM(START:END!L10)</f>
        <v>0</v>
      </c>
      <c r="M10" s="31">
        <f t="shared" si="2"/>
        <v>0</v>
      </c>
      <c r="N10" s="33">
        <f t="shared" si="3"/>
        <v>0</v>
      </c>
      <c r="O10" s="31">
        <f>+SUM(START:END!O10)</f>
        <v>0</v>
      </c>
      <c r="P10" s="30">
        <f t="shared" si="7"/>
        <v>0</v>
      </c>
      <c r="Q10" s="32">
        <f>+SUM(START:END!Q10)</f>
        <v>0</v>
      </c>
      <c r="R10" s="31">
        <f t="shared" si="8"/>
        <v>0</v>
      </c>
      <c r="S10" s="34">
        <f t="shared" si="9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 t="shared" si="1"/>
        <v>Véhicules neufs[...]</v>
      </c>
      <c r="B11" s="11" t="str">
        <f t="shared" si="0"/>
        <v>Véhicules neufs</v>
      </c>
      <c r="C11" s="29" t="s">
        <v>19</v>
      </c>
      <c r="D11" s="30">
        <f>+SUM(START:END!D11)</f>
        <v>0</v>
      </c>
      <c r="E11" s="30">
        <f t="shared" si="4"/>
        <v>0</v>
      </c>
      <c r="F11" s="30">
        <f>+SUM(START:END!F11)</f>
        <v>0</v>
      </c>
      <c r="G11" s="31">
        <f>+SUM(START:END!G11)</f>
        <v>0</v>
      </c>
      <c r="H11" s="30">
        <f t="shared" si="5"/>
        <v>0</v>
      </c>
      <c r="I11" s="30">
        <f>+SUM(START:END!I11)</f>
        <v>0</v>
      </c>
      <c r="J11" s="31">
        <f>+SUM(START:END!J11)</f>
        <v>0</v>
      </c>
      <c r="K11" s="30">
        <f t="shared" si="6"/>
        <v>0</v>
      </c>
      <c r="L11" s="32">
        <f>+SUM(START:END!L11)</f>
        <v>0</v>
      </c>
      <c r="M11" s="31">
        <f t="shared" si="2"/>
        <v>0</v>
      </c>
      <c r="N11" s="33">
        <f t="shared" si="3"/>
        <v>0</v>
      </c>
      <c r="O11" s="31">
        <f>+SUM(START:END!O11)</f>
        <v>0</v>
      </c>
      <c r="P11" s="30">
        <f t="shared" si="7"/>
        <v>0</v>
      </c>
      <c r="Q11" s="32">
        <f>+SUM(START:END!Q11)</f>
        <v>0</v>
      </c>
      <c r="R11" s="31">
        <f t="shared" si="8"/>
        <v>0</v>
      </c>
      <c r="S11" s="34">
        <f t="shared" si="9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si="1"/>
        <v>Véhicules neufs[...]</v>
      </c>
      <c r="B12" s="11" t="str">
        <f t="shared" si="0"/>
        <v>Véhicules neufs</v>
      </c>
      <c r="C12" s="29" t="s">
        <v>19</v>
      </c>
      <c r="D12" s="30">
        <f>+SUM(START:END!D12)</f>
        <v>0</v>
      </c>
      <c r="E12" s="30">
        <f t="shared" si="4"/>
        <v>0</v>
      </c>
      <c r="F12" s="30">
        <f>+SUM(START:END!F12)</f>
        <v>0</v>
      </c>
      <c r="G12" s="31">
        <f>+SUM(START:END!G12)</f>
        <v>0</v>
      </c>
      <c r="H12" s="30">
        <f t="shared" si="5"/>
        <v>0</v>
      </c>
      <c r="I12" s="30">
        <f>+SUM(START:END!I12)</f>
        <v>0</v>
      </c>
      <c r="J12" s="31">
        <f>+SUM(START:END!J12)</f>
        <v>0</v>
      </c>
      <c r="K12" s="30">
        <f t="shared" si="6"/>
        <v>0</v>
      </c>
      <c r="L12" s="32">
        <f>+SUM(START:END!L12)</f>
        <v>0</v>
      </c>
      <c r="M12" s="31">
        <f t="shared" si="2"/>
        <v>0</v>
      </c>
      <c r="N12" s="33">
        <f t="shared" si="3"/>
        <v>0</v>
      </c>
      <c r="O12" s="31">
        <f>+SUM(START:END!O12)</f>
        <v>0</v>
      </c>
      <c r="P12" s="30">
        <f t="shared" si="7"/>
        <v>0</v>
      </c>
      <c r="Q12" s="32">
        <f>+SUM(START:END!Q12)</f>
        <v>0</v>
      </c>
      <c r="R12" s="31">
        <f t="shared" si="8"/>
        <v>0</v>
      </c>
      <c r="S12" s="34">
        <f t="shared" si="9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1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56</v>
      </c>
      <c r="E13" s="36">
        <f>IF(D13&lt;=0,0,F13/D13)</f>
        <v>4115.1052094563374</v>
      </c>
      <c r="F13" s="37">
        <f>+SUM(F6:F12)</f>
        <v>230445.89172955492</v>
      </c>
      <c r="G13" s="38">
        <f>+SUM(G6:G12)</f>
        <v>0</v>
      </c>
      <c r="H13" s="36">
        <f>IF(G13&lt;=0,0,I13/G13)</f>
        <v>0</v>
      </c>
      <c r="I13" s="37">
        <f>+SUM(I6:I12)</f>
        <v>0</v>
      </c>
      <c r="J13" s="38">
        <f>+SUM(J6:J12)</f>
        <v>41</v>
      </c>
      <c r="K13" s="36">
        <f>IF(J13&lt;=0,0,L13/J13)</f>
        <v>3449.2031707317115</v>
      </c>
      <c r="L13" s="37">
        <f>+SUM(L6:L12)</f>
        <v>141417.33000000016</v>
      </c>
      <c r="M13" s="38">
        <f>+SUM(M6:M12)</f>
        <v>-15</v>
      </c>
      <c r="N13" s="37">
        <f>+SUM(N6:N12)</f>
        <v>-89028.561729554742</v>
      </c>
      <c r="O13" s="38">
        <f>+SUM(O6:O12)</f>
        <v>78</v>
      </c>
      <c r="P13" s="36">
        <f>IF(O13&lt;=0,0,Q13/O13)</f>
        <v>4899.7030769230796</v>
      </c>
      <c r="Q13" s="37">
        <f>+SUM(Q6:Q12)</f>
        <v>382176.8400000002</v>
      </c>
      <c r="R13" s="38">
        <f>+SUM(R6:R12)</f>
        <v>-37</v>
      </c>
      <c r="S13" s="39">
        <f>+SUM(S6:S12)</f>
        <v>-240759.51000000007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1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-0.26785714285714285</v>
      </c>
      <c r="N14" s="43">
        <f>IF(F13=0,0,N13/F13)</f>
        <v>-0.38633173740426779</v>
      </c>
      <c r="O14" s="41"/>
      <c r="P14" s="30"/>
      <c r="Q14" s="40"/>
      <c r="R14" s="42">
        <f>R13/O13</f>
        <v>-0.47435897435897434</v>
      </c>
      <c r="S14" s="44">
        <f>IF(Q13=0,0,(S13/Q13))</f>
        <v>-0.6299688646753161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1"/>
        <v>Véhicules neufsEx-Démos et courtoisies</v>
      </c>
      <c r="B15" s="11" t="str">
        <f t="shared" si="0"/>
        <v>Véhicules neufs</v>
      </c>
      <c r="C15" s="45" t="s">
        <v>21</v>
      </c>
      <c r="D15" s="25">
        <f>+SUM(START:END!D15)</f>
        <v>8</v>
      </c>
      <c r="E15" s="25">
        <f>IF(D15=0,0,F15/D15)</f>
        <v>750</v>
      </c>
      <c r="F15" s="22">
        <f>+SUM(START:END!F15)</f>
        <v>6000</v>
      </c>
      <c r="G15" s="46">
        <f>+SUM(START:END!G15)</f>
        <v>0</v>
      </c>
      <c r="H15" s="47">
        <f>IF(G15=0,0,I15/G15)</f>
        <v>0</v>
      </c>
      <c r="I15" s="48">
        <f>+SUM(START:END!I15)</f>
        <v>0</v>
      </c>
      <c r="J15" s="49">
        <f>+SUM(START:END!J15)</f>
        <v>8</v>
      </c>
      <c r="K15" s="50">
        <f>IF(J15=0,0,L15/J15)</f>
        <v>3434.0362499999974</v>
      </c>
      <c r="L15" s="50">
        <f>+SUM(START:END!L15)</f>
        <v>27472.289999999979</v>
      </c>
      <c r="M15" s="51">
        <f>J15-D15</f>
        <v>0</v>
      </c>
      <c r="N15" s="48">
        <f>L15-F15</f>
        <v>21472.289999999979</v>
      </c>
      <c r="O15" s="49">
        <f>+SUM(START:END!O15)</f>
        <v>5</v>
      </c>
      <c r="P15" s="50">
        <f>IF(O15=0,0,Q15/O15)</f>
        <v>-3111.493999999982</v>
      </c>
      <c r="Q15" s="50">
        <f>+SUM(START:END!Q15)</f>
        <v>-15557.46999999991</v>
      </c>
      <c r="R15" s="51">
        <f>J15-O15</f>
        <v>3</v>
      </c>
      <c r="S15" s="52">
        <f>L15-Q15</f>
        <v>43029.759999999893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1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1"/>
        <v>Véhicules neufsFlottes</v>
      </c>
      <c r="B17" s="11" t="str">
        <f t="shared" si="0"/>
        <v>Véhicules neufs</v>
      </c>
      <c r="C17" s="53" t="s">
        <v>22</v>
      </c>
      <c r="D17" s="30">
        <f>+SUM(START:END!D17)</f>
        <v>0</v>
      </c>
      <c r="E17" s="30">
        <f>IF(D17=0,0,F17/D17)</f>
        <v>0</v>
      </c>
      <c r="F17" s="30">
        <f>+SUM(START:END!F17)</f>
        <v>0</v>
      </c>
      <c r="G17" s="31">
        <f>+SUM(START:END!G17)</f>
        <v>0</v>
      </c>
      <c r="H17" s="30">
        <f>IF(G17=0,0,I17/G17)</f>
        <v>0</v>
      </c>
      <c r="I17" s="30">
        <f>+SUM(START:END!I17)</f>
        <v>0</v>
      </c>
      <c r="J17" s="51">
        <f>+SUM(START:END!J17)</f>
        <v>4</v>
      </c>
      <c r="K17" s="30">
        <f>IF(J17=0,0,L17/J17)</f>
        <v>1875.1650000000045</v>
      </c>
      <c r="L17" s="33">
        <f>+SUM(START:END!L17)</f>
        <v>7500.660000000018</v>
      </c>
      <c r="M17" s="51">
        <f>J17-D17</f>
        <v>4</v>
      </c>
      <c r="N17" s="33">
        <f>L17-F17</f>
        <v>7500.660000000018</v>
      </c>
      <c r="O17" s="51">
        <f>+SUM(START:END!O17)</f>
        <v>3</v>
      </c>
      <c r="P17" s="30">
        <f>IF(O17=0,0,Q17/O17)</f>
        <v>156.58666666666957</v>
      </c>
      <c r="Q17" s="33">
        <f>+SUM(START:END!Q17)</f>
        <v>469.76000000000869</v>
      </c>
      <c r="R17" s="31">
        <f>J17-O17</f>
        <v>1</v>
      </c>
      <c r="S17" s="34">
        <f>L17-Q17</f>
        <v>7030.9000000000096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1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1"/>
        <v>Véhicules neufsRachat bail</v>
      </c>
      <c r="B19" s="11" t="str">
        <f t="shared" si="0"/>
        <v>Véhicules neufs</v>
      </c>
      <c r="C19" s="45" t="s">
        <v>23</v>
      </c>
      <c r="D19" s="30"/>
      <c r="E19" s="30"/>
      <c r="F19" s="30">
        <f>+SUM(START:END!F19)</f>
        <v>6307.0685637617235</v>
      </c>
      <c r="G19" s="31"/>
      <c r="H19" s="30"/>
      <c r="I19" s="30">
        <f>+SUM(START:END!I19)</f>
        <v>0</v>
      </c>
      <c r="J19" s="46"/>
      <c r="K19" s="30"/>
      <c r="L19" s="33">
        <f>+SUM(START:END!L19)</f>
        <v>4994.6500000000015</v>
      </c>
      <c r="M19" s="31"/>
      <c r="N19" s="33">
        <f>L19-F19</f>
        <v>-1312.418563761722</v>
      </c>
      <c r="O19" s="46"/>
      <c r="P19" s="30"/>
      <c r="Q19" s="33">
        <f>+SUM(START:END!Q19)</f>
        <v>5876.8899999999903</v>
      </c>
      <c r="R19" s="31">
        <f>O19-K19</f>
        <v>0</v>
      </c>
      <c r="S19" s="34">
        <f>L19-Q19</f>
        <v>-882.23999999998887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1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1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f>+SUM(START:END!F21)</f>
        <v>1600</v>
      </c>
      <c r="G21" s="41">
        <v>0</v>
      </c>
      <c r="H21" s="30">
        <f>IF(G21=0,0,I21/G21)</f>
        <v>0</v>
      </c>
      <c r="I21" s="30">
        <f>+SUM(START:END!I21)</f>
        <v>0</v>
      </c>
      <c r="J21" s="31"/>
      <c r="K21" s="30">
        <f>IF(J13=0,0,L21/(J13+J15))</f>
        <v>-37.223061224489797</v>
      </c>
      <c r="L21" s="33">
        <f>+SUM(START:END!L21)</f>
        <v>-1823.93</v>
      </c>
      <c r="M21" s="31"/>
      <c r="N21" s="33">
        <f>L21-F21</f>
        <v>-3423.9300000000003</v>
      </c>
      <c r="O21" s="31"/>
      <c r="P21" s="30">
        <f>IF(O13=0,0,Q21/(O13+O15))</f>
        <v>14.959156626506022</v>
      </c>
      <c r="Q21" s="33">
        <f>+SUM(START:END!Q21)</f>
        <v>1241.6099999999999</v>
      </c>
      <c r="R21" s="31">
        <f>O21-K21</f>
        <v>37.223061224489797</v>
      </c>
      <c r="S21" s="34">
        <f>L21-Q21</f>
        <v>-3065.54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1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f>+SUM(START:END!F22)</f>
        <v>73600</v>
      </c>
      <c r="G22" s="41">
        <v>0</v>
      </c>
      <c r="H22" s="30">
        <f>IF(G22=0,0,I22/G22)</f>
        <v>0</v>
      </c>
      <c r="I22" s="30">
        <f>+SUM(START:END!I22)</f>
        <v>0</v>
      </c>
      <c r="J22" s="31"/>
      <c r="K22" s="30">
        <f>IF(J13=0,0,L22/(J13+J15))</f>
        <v>929.02020408163264</v>
      </c>
      <c r="L22" s="33">
        <f>+SUM(START:END!L22)</f>
        <v>45521.99</v>
      </c>
      <c r="M22" s="31"/>
      <c r="N22" s="33">
        <f>L22-F22</f>
        <v>-28078.010000000002</v>
      </c>
      <c r="O22" s="31"/>
      <c r="P22" s="30">
        <f>IF(O13=0,0,Q22/(O13+O15))</f>
        <v>1177.7965060240963</v>
      </c>
      <c r="Q22" s="33">
        <f>+SUM(START:END!Q22)</f>
        <v>97757.109999999986</v>
      </c>
      <c r="R22" s="31">
        <f>O22-K22</f>
        <v>-929.02020408163264</v>
      </c>
      <c r="S22" s="34">
        <f>L22-Q22</f>
        <v>-52235.119999999988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1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f>+SUM(START:END!F23)</f>
        <v>30720</v>
      </c>
      <c r="G23" s="41">
        <v>0</v>
      </c>
      <c r="H23" s="30">
        <f>IF(G23=0,0,I23/G23)</f>
        <v>0</v>
      </c>
      <c r="I23" s="30">
        <f>+SUM(START:END!I23)</f>
        <v>0</v>
      </c>
      <c r="J23" s="31"/>
      <c r="K23" s="30">
        <f>IF(J13=0,0,L23/(J13+J15))</f>
        <v>551.94387755102036</v>
      </c>
      <c r="L23" s="33">
        <f>+SUM(START:END!L23)</f>
        <v>27045.25</v>
      </c>
      <c r="M23" s="51"/>
      <c r="N23" s="33">
        <f>L23-F23</f>
        <v>-3674.75</v>
      </c>
      <c r="O23" s="31"/>
      <c r="P23" s="30">
        <f>IF(O13=0,0,Q23/(O13+O15))</f>
        <v>442.23048192770966</v>
      </c>
      <c r="Q23" s="33">
        <f>+SUM(START:END!Q23)</f>
        <v>36705.129999999903</v>
      </c>
      <c r="R23" s="31">
        <f>O23-K23</f>
        <v>-551.94387755102036</v>
      </c>
      <c r="S23" s="34">
        <f>L23-Q23</f>
        <v>-9659.8799999999028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1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64</v>
      </c>
      <c r="E24" s="36">
        <f>IF(D24&lt;=0,0,F24/D24)</f>
        <v>1655</v>
      </c>
      <c r="F24" s="37">
        <f>F21+F22+F23</f>
        <v>105920</v>
      </c>
      <c r="G24" s="38">
        <f>+G15+G13</f>
        <v>0</v>
      </c>
      <c r="H24" s="36">
        <f>IF(G24&lt;=0,0,I24/G24)</f>
        <v>0</v>
      </c>
      <c r="I24" s="37">
        <f>I21+I22+I23</f>
        <v>0</v>
      </c>
      <c r="J24" s="38">
        <f>+J15+J13</f>
        <v>49</v>
      </c>
      <c r="K24" s="36">
        <f>IF(J24&lt;=0,0,L24/J24)</f>
        <v>1443.7410204081632</v>
      </c>
      <c r="L24" s="37">
        <f>L21+L22+L23</f>
        <v>70743.31</v>
      </c>
      <c r="M24" s="58">
        <f>J24-D24</f>
        <v>-15</v>
      </c>
      <c r="N24" s="37">
        <f>L24-F24</f>
        <v>-35176.69</v>
      </c>
      <c r="O24" s="38">
        <f>+O15+O13</f>
        <v>83</v>
      </c>
      <c r="P24" s="36">
        <f>IF(O24&lt;=0,0,Q24/O24)</f>
        <v>1634.986144578312</v>
      </c>
      <c r="Q24" s="37">
        <f>Q21+Q22+Q23</f>
        <v>135703.84999999989</v>
      </c>
      <c r="R24" s="56"/>
      <c r="S24" s="39">
        <f>L24-Q24</f>
        <v>-64960.539999999892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1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-0.33210621223564957</v>
      </c>
      <c r="O25" s="41"/>
      <c r="P25" s="13"/>
      <c r="Q25" s="59"/>
      <c r="R25" s="60"/>
      <c r="S25" s="44">
        <f>IF(Q24=0,0,(S24/Q24))</f>
        <v>-0.47869341953083827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1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1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64</v>
      </c>
      <c r="E27" s="64">
        <f>IF(D27&lt;=0,0,F27/D27)</f>
        <v>5448.0150045830724</v>
      </c>
      <c r="F27" s="65">
        <f>F13+F17+F24+F19+F15</f>
        <v>348672.96029331663</v>
      </c>
      <c r="G27" s="66">
        <f>+G13+G15+G17</f>
        <v>0</v>
      </c>
      <c r="H27" s="67">
        <f>IF(G27&lt;=0,0,I27/G27)</f>
        <v>0</v>
      </c>
      <c r="I27" s="65">
        <f>I13+I17+I24+I19+I15</f>
        <v>0</v>
      </c>
      <c r="J27" s="66">
        <f>+J13+J15+J17</f>
        <v>53</v>
      </c>
      <c r="K27" s="67">
        <f>IF(J27&lt;=0,0,L27/J27)</f>
        <v>4757.1366037735879</v>
      </c>
      <c r="L27" s="65">
        <f>L13+L17+L24+L19+L15</f>
        <v>252128.24000000014</v>
      </c>
      <c r="M27" s="66">
        <f>J27-D27</f>
        <v>-11</v>
      </c>
      <c r="N27" s="65">
        <f>L27-F27</f>
        <v>-96544.720293316495</v>
      </c>
      <c r="O27" s="66">
        <f>+O13+O15+O17</f>
        <v>86</v>
      </c>
      <c r="P27" s="67">
        <f>IF(O27&lt;=0,0,Q27/O27)</f>
        <v>5914.7659302325601</v>
      </c>
      <c r="Q27" s="65">
        <f>Q13+Q17+Q24+Q19+Q15</f>
        <v>508669.87000000017</v>
      </c>
      <c r="R27" s="66">
        <f>J27-O27</f>
        <v>-33</v>
      </c>
      <c r="S27" s="68">
        <f>L27-Q27</f>
        <v>-256541.63000000003</v>
      </c>
      <c r="T27" s="13"/>
      <c r="U27" s="13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1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-0.171875</v>
      </c>
      <c r="N28" s="74">
        <f>N27/F27</f>
        <v>-0.27689190527449992</v>
      </c>
      <c r="O28" s="72"/>
      <c r="P28" s="70"/>
      <c r="Q28" s="71"/>
      <c r="R28" s="73">
        <f>R27/O27</f>
        <v>-0.38372093023255816</v>
      </c>
      <c r="S28" s="75">
        <f>IF(Q27=0,0,S27/Q27)</f>
        <v>-0.50433816730682313</v>
      </c>
      <c r="T28" s="13"/>
      <c r="U28" s="13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1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1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1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0.29281695699454852</v>
      </c>
      <c r="E31" s="82">
        <f t="shared" ref="E31:E40" si="10">F31/D$24</f>
        <v>1081.8026017204807</v>
      </c>
      <c r="F31" s="30">
        <f>+SUM(START:END!F31)</f>
        <v>69235.366510110762</v>
      </c>
      <c r="G31" s="157"/>
      <c r="H31" s="82" t="e">
        <f t="shared" ref="H31:H40" si="11">I31/G$24</f>
        <v>#DIV/0!</v>
      </c>
      <c r="I31" s="30">
        <f>+SUM(START:END!I31)</f>
        <v>0</v>
      </c>
      <c r="J31" s="157">
        <f>L31/(L13+L15)</f>
        <v>0.26888443469764434</v>
      </c>
      <c r="K31" s="82">
        <f t="shared" ref="K31:K40" si="12">IF(L31=0,0,L31/J$24)</f>
        <v>926.77122448979594</v>
      </c>
      <c r="L31" s="30">
        <f>+SUM(START:END!L31)</f>
        <v>45411.79</v>
      </c>
      <c r="M31" s="41"/>
      <c r="N31" s="59">
        <f t="shared" ref="N31:N53" si="13">L31-F31</f>
        <v>-23823.576510110761</v>
      </c>
      <c r="O31" s="157">
        <f>Q31/(Q13+Q15+Q17)</f>
        <v>0.30741531355068974</v>
      </c>
      <c r="P31" s="82">
        <f t="shared" ref="P31:P40" si="14">IF(Q31=0,0,Q31/O$24)</f>
        <v>1359.6243373493976</v>
      </c>
      <c r="Q31" s="33">
        <f>+SUM(START:END!Q31)</f>
        <v>112848.82</v>
      </c>
      <c r="R31" s="41"/>
      <c r="S31" s="85">
        <f t="shared" ref="S31:S53" si="15">L31-Q31</f>
        <v>-67437.03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1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f>+SUM(START:END!F32)</f>
        <v>29128</v>
      </c>
      <c r="G32" s="162"/>
      <c r="H32" s="90" t="e">
        <f t="shared" si="11"/>
        <v>#DIV/0!</v>
      </c>
      <c r="I32" s="22">
        <f>+SUM(START:END!I32)</f>
        <v>0</v>
      </c>
      <c r="J32" s="162">
        <f>L32/L24</f>
        <v>0.30894059099015864</v>
      </c>
      <c r="K32" s="88">
        <f t="shared" si="12"/>
        <v>446.03020408163263</v>
      </c>
      <c r="L32" s="22">
        <f>+SUM(START:END!L32)</f>
        <v>21855.48</v>
      </c>
      <c r="M32" s="23"/>
      <c r="N32" s="91">
        <f t="shared" si="13"/>
        <v>-7272.52</v>
      </c>
      <c r="O32" s="162">
        <f>Q32/Q24</f>
        <v>0.36319256970233377</v>
      </c>
      <c r="P32" s="88">
        <f t="shared" si="14"/>
        <v>593.81481927710854</v>
      </c>
      <c r="Q32" s="22">
        <f>+SUM(START:END!Q32)</f>
        <v>49286.630000000005</v>
      </c>
      <c r="R32" s="23"/>
      <c r="S32" s="92">
        <f t="shared" si="15"/>
        <v>-27431.150000000005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1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f>+SUM(START:END!F33)</f>
        <v>8320</v>
      </c>
      <c r="G33" s="83"/>
      <c r="H33" s="82" t="e">
        <f t="shared" si="11"/>
        <v>#DIV/0!</v>
      </c>
      <c r="I33" s="30">
        <f>+SUM(START:END!I33)</f>
        <v>0</v>
      </c>
      <c r="J33" s="41"/>
      <c r="K33" s="82">
        <f t="shared" si="12"/>
        <v>66.8504081632653</v>
      </c>
      <c r="L33" s="30">
        <f>+SUM(START:END!L33)</f>
        <v>3275.6699999999996</v>
      </c>
      <c r="M33" s="41"/>
      <c r="N33" s="59">
        <f t="shared" si="13"/>
        <v>-5044.33</v>
      </c>
      <c r="O33" s="41"/>
      <c r="P33" s="82">
        <f t="shared" si="14"/>
        <v>93.779879518072278</v>
      </c>
      <c r="Q33" s="33">
        <f>+SUM(START:END!Q33)</f>
        <v>7783.73</v>
      </c>
      <c r="R33" s="41"/>
      <c r="S33" s="85">
        <f t="shared" si="15"/>
        <v>-4508.0599999999995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1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f>+SUM(START:END!F34)</f>
        <v>2368</v>
      </c>
      <c r="G34" s="83"/>
      <c r="H34" s="82" t="e">
        <f t="shared" si="11"/>
        <v>#DIV/0!</v>
      </c>
      <c r="I34" s="30">
        <f>+SUM(START:END!I34)</f>
        <v>0</v>
      </c>
      <c r="J34" s="41"/>
      <c r="K34" s="82">
        <f t="shared" si="12"/>
        <v>38.424081632653063</v>
      </c>
      <c r="L34" s="30">
        <f>+SUM(START:END!L34)</f>
        <v>1882.78</v>
      </c>
      <c r="M34" s="41"/>
      <c r="N34" s="59">
        <f t="shared" si="13"/>
        <v>-485.22</v>
      </c>
      <c r="O34" s="41"/>
      <c r="P34" s="82">
        <f t="shared" si="14"/>
        <v>40.999277108433738</v>
      </c>
      <c r="Q34" s="33">
        <f>+SUM(START:END!Q34)</f>
        <v>3402.94</v>
      </c>
      <c r="R34" s="41"/>
      <c r="S34" s="85">
        <f t="shared" si="15"/>
        <v>-1520.16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1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62.03125</v>
      </c>
      <c r="F35" s="22">
        <f>+SUM(START:END!F35)</f>
        <v>3970</v>
      </c>
      <c r="G35" s="89"/>
      <c r="H35" s="90" t="e">
        <f t="shared" si="11"/>
        <v>#DIV/0!</v>
      </c>
      <c r="I35" s="22">
        <f>+SUM(START:END!I35)</f>
        <v>0</v>
      </c>
      <c r="J35" s="23"/>
      <c r="K35" s="88">
        <f t="shared" si="12"/>
        <v>129.82775510204081</v>
      </c>
      <c r="L35" s="22">
        <f>+SUM(START:END!L35)</f>
        <v>6361.5599999999995</v>
      </c>
      <c r="M35" s="23"/>
      <c r="N35" s="91">
        <f t="shared" si="13"/>
        <v>2391.5599999999995</v>
      </c>
      <c r="O35" s="23"/>
      <c r="P35" s="88">
        <f t="shared" si="14"/>
        <v>76.910481927710833</v>
      </c>
      <c r="Q35" s="33">
        <f>+SUM(START:END!Q35)</f>
        <v>6383.57</v>
      </c>
      <c r="R35" s="23"/>
      <c r="S35" s="92">
        <f t="shared" si="15"/>
        <v>-22.010000000000218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1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f>+SUM(START:END!F36)</f>
        <v>32894.117647058825</v>
      </c>
      <c r="G36" s="83"/>
      <c r="H36" s="82" t="e">
        <f t="shared" si="11"/>
        <v>#DIV/0!</v>
      </c>
      <c r="I36" s="30">
        <f>+SUM(START:END!I36)</f>
        <v>0</v>
      </c>
      <c r="J36" s="41"/>
      <c r="K36" s="82">
        <f t="shared" si="12"/>
        <v>789.17530612244889</v>
      </c>
      <c r="L36" s="459">
        <f>+SUM(START:END!L36)</f>
        <v>38669.589999999997</v>
      </c>
      <c r="M36" s="13"/>
      <c r="N36" s="59">
        <f t="shared" si="13"/>
        <v>5775.4723529411713</v>
      </c>
      <c r="O36" s="41"/>
      <c r="P36" s="82">
        <f t="shared" si="14"/>
        <v>652.79192771084217</v>
      </c>
      <c r="Q36" s="55">
        <f>+SUM(START:END!Q36)</f>
        <v>54181.729999999901</v>
      </c>
      <c r="R36" s="41"/>
      <c r="S36" s="85">
        <f t="shared" si="15"/>
        <v>-15512.139999999905</v>
      </c>
      <c r="T36" s="13"/>
      <c r="U36" s="13"/>
      <c r="V36" s="11"/>
      <c r="W36" s="11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 t="shared" si="1"/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1159.6862337344035</v>
      </c>
      <c r="F37" s="30">
        <f>+SUM(START:END!F37)</f>
        <v>74219.918959001821</v>
      </c>
      <c r="G37" s="83"/>
      <c r="H37" s="82" t="e">
        <f t="shared" si="11"/>
        <v>#DIV/0!</v>
      </c>
      <c r="I37" s="30">
        <f>+SUM(START:END!I37)</f>
        <v>0</v>
      </c>
      <c r="J37" s="41"/>
      <c r="K37" s="82">
        <f t="shared" si="12"/>
        <v>1428.0553061224489</v>
      </c>
      <c r="L37" s="460">
        <f>+SUM(START:END!L37)</f>
        <v>69974.709999999992</v>
      </c>
      <c r="M37" s="13"/>
      <c r="N37" s="59">
        <f t="shared" si="13"/>
        <v>-4245.2089590018295</v>
      </c>
      <c r="O37" s="41"/>
      <c r="P37" s="82">
        <f t="shared" si="14"/>
        <v>961.48554216867478</v>
      </c>
      <c r="Q37" s="33">
        <f>+SUM(START:END!Q37)</f>
        <v>79803.3</v>
      </c>
      <c r="R37" s="41"/>
      <c r="S37" s="85">
        <f>L37-Q37</f>
        <v>-9828.5900000000111</v>
      </c>
      <c r="T37" s="13"/>
      <c r="U37" s="13"/>
      <c r="V37" s="458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 t="shared" si="1"/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f>+SUM(START:END!F38)</f>
        <v>0</v>
      </c>
      <c r="G38" s="83"/>
      <c r="H38" s="82" t="e">
        <f t="shared" si="11"/>
        <v>#DIV/0!</v>
      </c>
      <c r="I38" s="30">
        <f>+SUM(START:END!I38)</f>
        <v>0</v>
      </c>
      <c r="J38" s="41"/>
      <c r="K38" s="82">
        <f t="shared" si="12"/>
        <v>0</v>
      </c>
      <c r="L38" s="460">
        <f>+SUM(START:END!L38)</f>
        <v>0</v>
      </c>
      <c r="M38" s="13"/>
      <c r="N38" s="59">
        <f t="shared" si="13"/>
        <v>0</v>
      </c>
      <c r="O38" s="41"/>
      <c r="P38" s="82">
        <f t="shared" si="14"/>
        <v>0</v>
      </c>
      <c r="Q38" s="33">
        <f>+SUM(START:END!Q38)</f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 t="shared" si="1"/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f>+SUM(START:END!F39)</f>
        <v>0</v>
      </c>
      <c r="G39" s="83"/>
      <c r="H39" s="82" t="e">
        <f t="shared" si="11"/>
        <v>#DIV/0!</v>
      </c>
      <c r="I39" s="30">
        <f>+SUM(START:END!I39)</f>
        <v>0</v>
      </c>
      <c r="J39" s="41"/>
      <c r="K39" s="82">
        <f t="shared" si="12"/>
        <v>0</v>
      </c>
      <c r="L39" s="460">
        <f>+SUM(START:END!L39)</f>
        <v>0</v>
      </c>
      <c r="M39" s="13"/>
      <c r="N39" s="59">
        <f t="shared" si="13"/>
        <v>0</v>
      </c>
      <c r="O39" s="41"/>
      <c r="P39" s="82">
        <f t="shared" si="14"/>
        <v>0</v>
      </c>
      <c r="Q39" s="33">
        <f>+SUM(START:END!Q39)</f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si="1"/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f>+SUM(START:END!F40)</f>
        <v>0</v>
      </c>
      <c r="G40" s="83"/>
      <c r="H40" s="82" t="e">
        <f t="shared" si="11"/>
        <v>#DIV/0!</v>
      </c>
      <c r="I40" s="30">
        <f>+SUM(START:END!I40)</f>
        <v>0</v>
      </c>
      <c r="J40" s="41"/>
      <c r="K40" s="82">
        <f t="shared" si="12"/>
        <v>0</v>
      </c>
      <c r="L40" s="461">
        <f>+SUM(START:END!L40)</f>
        <v>0</v>
      </c>
      <c r="M40" s="13"/>
      <c r="N40" s="59">
        <f t="shared" si="13"/>
        <v>0</v>
      </c>
      <c r="O40" s="41"/>
      <c r="P40" s="82">
        <f t="shared" si="14"/>
        <v>0</v>
      </c>
      <c r="Q40" s="33">
        <f>+SUM(START:END!Q40)</f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0.63135209260559055</v>
      </c>
      <c r="F41" s="96">
        <f>SUM(F31:F40)</f>
        <v>220135.40311617142</v>
      </c>
      <c r="G41" s="97" t="s">
        <v>38</v>
      </c>
      <c r="H41" s="95" t="e">
        <f>I41/I$27</f>
        <v>#DIV/0!</v>
      </c>
      <c r="I41" s="96">
        <f>SUM(I31:I40)</f>
        <v>0</v>
      </c>
      <c r="J41" s="97" t="s">
        <v>38</v>
      </c>
      <c r="K41" s="95">
        <f>L41/L$27</f>
        <v>0.74339780422851442</v>
      </c>
      <c r="L41" s="96">
        <f>SUM(L31:L40)</f>
        <v>187431.58</v>
      </c>
      <c r="M41" s="98"/>
      <c r="N41" s="96">
        <f t="shared" si="13"/>
        <v>-32703.823116171436</v>
      </c>
      <c r="O41" s="97" t="s">
        <v>38</v>
      </c>
      <c r="P41" s="95">
        <f>Q41/Q$27</f>
        <v>0.61668822649157462</v>
      </c>
      <c r="Q41" s="99">
        <f>SUM(Q31:Q40)</f>
        <v>313690.71999999991</v>
      </c>
      <c r="R41" s="100"/>
      <c r="S41" s="101">
        <f t="shared" si="15"/>
        <v>-126259.13999999993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f>+SUM(START:END!F42)</f>
        <v>37718.770689655183</v>
      </c>
      <c r="G42" s="41"/>
      <c r="H42" s="13"/>
      <c r="I42" s="30">
        <f>+SUM(START:END!I42)</f>
        <v>0</v>
      </c>
      <c r="J42" s="41"/>
      <c r="K42" s="13"/>
      <c r="L42" s="33">
        <f>+SUM(START:END!L42)</f>
        <v>36531.54</v>
      </c>
      <c r="M42" s="41"/>
      <c r="N42" s="59">
        <f t="shared" si="13"/>
        <v>-1187.2306896551818</v>
      </c>
      <c r="O42" s="41"/>
      <c r="P42" s="13"/>
      <c r="Q42" s="33">
        <f>+SUM(START:END!Q42)</f>
        <v>37686.350000000006</v>
      </c>
      <c r="R42" s="41"/>
      <c r="S42" s="85">
        <f t="shared" si="15"/>
        <v>-1154.8100000000049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f>+SUM(START:END!F43)</f>
        <v>29526.982758620688</v>
      </c>
      <c r="G43" s="83"/>
      <c r="H43" s="13"/>
      <c r="I43" s="22">
        <f>+SUM(START:END!I43)</f>
        <v>0</v>
      </c>
      <c r="J43" s="41"/>
      <c r="K43" s="13"/>
      <c r="L43" s="33">
        <f>+SUM(START:END!L43)</f>
        <v>25771.03</v>
      </c>
      <c r="M43" s="41"/>
      <c r="N43" s="59">
        <f t="shared" si="13"/>
        <v>-3755.9527586206896</v>
      </c>
      <c r="O43" s="41"/>
      <c r="P43" s="13"/>
      <c r="Q43" s="33">
        <f>+SUM(START:END!Q43)</f>
        <v>31230.95</v>
      </c>
      <c r="R43" s="41"/>
      <c r="S43" s="85">
        <f t="shared" si="15"/>
        <v>-5459.9200000000019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f>+SUM(START:END!F44)</f>
        <v>1026</v>
      </c>
      <c r="G44" s="106"/>
      <c r="H44" s="105"/>
      <c r="I44" s="30">
        <f>+SUM(START:END!I44)</f>
        <v>0</v>
      </c>
      <c r="J44" s="107"/>
      <c r="K44" s="105"/>
      <c r="L44" s="108">
        <f>+SUM(START:END!L44)</f>
        <v>684</v>
      </c>
      <c r="M44" s="107"/>
      <c r="N44" s="109">
        <f t="shared" si="13"/>
        <v>-342</v>
      </c>
      <c r="O44" s="107"/>
      <c r="P44" s="105"/>
      <c r="Q44" s="108">
        <f>+SUM(START:END!Q44)</f>
        <v>1026</v>
      </c>
      <c r="R44" s="107"/>
      <c r="S44" s="110">
        <f t="shared" si="15"/>
        <v>-342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>
      <c r="A45" t="str">
        <f t="shared" si="1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f>+SUM(START:END!F45)</f>
        <v>0</v>
      </c>
      <c r="G45" s="83"/>
      <c r="H45" s="13"/>
      <c r="I45" s="30">
        <f>+SUM(START:END!I45)</f>
        <v>0</v>
      </c>
      <c r="J45" s="41"/>
      <c r="K45" s="13"/>
      <c r="L45" s="33">
        <f>+SUM(START:END!L45)</f>
        <v>0</v>
      </c>
      <c r="M45" s="41"/>
      <c r="N45" s="59">
        <f t="shared" si="13"/>
        <v>0</v>
      </c>
      <c r="O45" s="41"/>
      <c r="P45" s="13"/>
      <c r="Q45" s="33">
        <f>+SUM(START:END!Q45)</f>
        <v>0</v>
      </c>
      <c r="R45" s="41"/>
      <c r="S45" s="85">
        <f t="shared" si="15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 t="shared" si="1"/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f>+SUM(START:END!F46)</f>
        <v>0</v>
      </c>
      <c r="G46" s="83"/>
      <c r="H46" s="13"/>
      <c r="I46" s="30">
        <f>+SUM(START:END!I46)</f>
        <v>0</v>
      </c>
      <c r="J46" s="41"/>
      <c r="K46" s="13"/>
      <c r="L46" s="33">
        <f>+SUM(START:END!L46)</f>
        <v>0</v>
      </c>
      <c r="M46" s="41"/>
      <c r="N46" s="59">
        <f t="shared" si="13"/>
        <v>0</v>
      </c>
      <c r="O46" s="41"/>
      <c r="P46" s="13"/>
      <c r="Q46" s="33">
        <f>+SUM(START:END!Q46)</f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 t="shared" si="1"/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f>+SUM(START:END!F47)</f>
        <v>0</v>
      </c>
      <c r="G47" s="83"/>
      <c r="H47" s="13"/>
      <c r="I47" s="30">
        <f>+SUM(START:END!I47)</f>
        <v>0</v>
      </c>
      <c r="J47" s="41"/>
      <c r="K47" s="13"/>
      <c r="L47" s="33">
        <f>+SUM(START:END!L47)</f>
        <v>0</v>
      </c>
      <c r="M47" s="41"/>
      <c r="N47" s="59">
        <f t="shared" si="13"/>
        <v>0</v>
      </c>
      <c r="O47" s="41"/>
      <c r="P47" s="13"/>
      <c r="Q47" s="33">
        <f>+SUM(START:END!Q47)</f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 t="shared" si="1"/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f>+SUM(START:END!F48)</f>
        <v>0</v>
      </c>
      <c r="G48" s="83"/>
      <c r="H48" s="13"/>
      <c r="I48" s="30">
        <f>+SUM(START:END!I48)</f>
        <v>0</v>
      </c>
      <c r="J48" s="41"/>
      <c r="K48" s="13"/>
      <c r="L48" s="33">
        <f>+SUM(START:END!L48)</f>
        <v>0</v>
      </c>
      <c r="M48" s="41"/>
      <c r="N48" s="59">
        <f t="shared" si="13"/>
        <v>0</v>
      </c>
      <c r="O48" s="41"/>
      <c r="P48" s="13"/>
      <c r="Q48" s="33">
        <f>+SUM(START:END!Q48)</f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si="1"/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f>+SUM(START:END!F49)</f>
        <v>24514.786536770083</v>
      </c>
      <c r="G49" s="83"/>
      <c r="H49" s="13"/>
      <c r="I49" s="22">
        <f>+SUM(START:END!I49)</f>
        <v>0</v>
      </c>
      <c r="J49" s="41"/>
      <c r="K49" s="13"/>
      <c r="L49" s="22">
        <f>+SUM(START:END!L49)</f>
        <v>20152.59</v>
      </c>
      <c r="M49" s="41"/>
      <c r="N49" s="59">
        <f t="shared" si="13"/>
        <v>-4362.1965367700832</v>
      </c>
      <c r="O49" s="41"/>
      <c r="P49" s="13"/>
      <c r="Q49" s="22">
        <f>+SUM(START:END!Q49)</f>
        <v>28164.799999999999</v>
      </c>
      <c r="R49" s="41"/>
      <c r="S49" s="85">
        <f t="shared" si="15"/>
        <v>-8012.2099999999991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f>+SUM(START:END!F50)</f>
        <v>21681.726655833354</v>
      </c>
      <c r="G50" s="106"/>
      <c r="H50" s="105"/>
      <c r="I50" s="30">
        <f>+SUM(START:END!I50)</f>
        <v>0</v>
      </c>
      <c r="J50" s="107"/>
      <c r="K50" s="105"/>
      <c r="L50" s="33">
        <f>+SUM(START:END!L50)</f>
        <v>16516.52</v>
      </c>
      <c r="M50" s="107"/>
      <c r="N50" s="109">
        <f t="shared" si="13"/>
        <v>-5165.2066558333536</v>
      </c>
      <c r="O50" s="107"/>
      <c r="P50" s="105"/>
      <c r="Q50" s="33">
        <f>+SUM(START:END!Q50)</f>
        <v>22479.1</v>
      </c>
      <c r="R50" s="107"/>
      <c r="S50" s="110">
        <f t="shared" si="15"/>
        <v>-5962.5799999999981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f>+SUM(START:END!F51)</f>
        <v>13013.709750667967</v>
      </c>
      <c r="G51" s="83"/>
      <c r="H51" s="13"/>
      <c r="I51" s="30">
        <f>+SUM(START:END!I51)</f>
        <v>0</v>
      </c>
      <c r="J51" s="41"/>
      <c r="K51" s="13"/>
      <c r="L51" s="33">
        <f>+SUM(START:END!L51)</f>
        <v>11392.29</v>
      </c>
      <c r="M51" s="41"/>
      <c r="N51" s="59">
        <f t="shared" si="13"/>
        <v>-1621.4197506679666</v>
      </c>
      <c r="O51" s="41"/>
      <c r="P51" s="13"/>
      <c r="Q51" s="33">
        <f>+SUM(START:END!Q51)</f>
        <v>14246.65</v>
      </c>
      <c r="R51" s="41"/>
      <c r="S51" s="85">
        <f t="shared" si="15"/>
        <v>-2854.3599999999988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f>+SUM(START:END!F52)</f>
        <v>2788.6520894288496</v>
      </c>
      <c r="G52" s="83"/>
      <c r="H52" s="13"/>
      <c r="I52" s="30">
        <f>+SUM(START:END!I52)</f>
        <v>0</v>
      </c>
      <c r="J52" s="41"/>
      <c r="K52" s="13"/>
      <c r="L52" s="33">
        <f>+SUM(START:END!L52)</f>
        <v>2425.5500000000002</v>
      </c>
      <c r="M52" s="41"/>
      <c r="N52" s="59">
        <f t="shared" si="13"/>
        <v>-363.10208942884947</v>
      </c>
      <c r="O52" s="41"/>
      <c r="P52" s="13"/>
      <c r="Q52" s="33">
        <f>+SUM(START:END!Q52)</f>
        <v>424.01</v>
      </c>
      <c r="R52" s="41"/>
      <c r="S52" s="85">
        <f t="shared" si="15"/>
        <v>2001.5400000000002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f>+SUM(START:END!F53)</f>
        <v>0</v>
      </c>
      <c r="G53" s="89"/>
      <c r="H53" s="111"/>
      <c r="I53" s="30">
        <f>+SUM(START:END!I53)</f>
        <v>0</v>
      </c>
      <c r="J53" s="23"/>
      <c r="K53" s="111"/>
      <c r="L53" s="33">
        <f>+SUM(START:END!L53)</f>
        <v>0</v>
      </c>
      <c r="M53" s="23"/>
      <c r="N53" s="91">
        <f t="shared" si="13"/>
        <v>0</v>
      </c>
      <c r="O53" s="23"/>
      <c r="P53" s="111"/>
      <c r="Q53" s="33">
        <f>+SUM(START:END!Q53)</f>
        <v>0</v>
      </c>
      <c r="R53" s="23"/>
      <c r="S53" s="92">
        <f t="shared" si="15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0.37361838546753856</v>
      </c>
      <c r="F54" s="96">
        <f>+SUM(F42:F53)</f>
        <v>130270.62848097614</v>
      </c>
      <c r="G54" s="97" t="s">
        <v>38</v>
      </c>
      <c r="H54" s="95" t="e">
        <f>I54/I$27</f>
        <v>#DIV/0!</v>
      </c>
      <c r="I54" s="96">
        <f>+SUM(I42:I53)</f>
        <v>0</v>
      </c>
      <c r="J54" s="97" t="s">
        <v>38</v>
      </c>
      <c r="K54" s="95">
        <f>L54/L$27</f>
        <v>0.45006271411722837</v>
      </c>
      <c r="L54" s="96">
        <f>+SUM(L42:L53)</f>
        <v>113473.52</v>
      </c>
      <c r="M54" s="100"/>
      <c r="N54" s="96">
        <f>+SUM(N42:N53)</f>
        <v>-16797.108480976123</v>
      </c>
      <c r="O54" s="97" t="s">
        <v>38</v>
      </c>
      <c r="P54" s="95">
        <f>Q54/Q$27</f>
        <v>0.26590499649605737</v>
      </c>
      <c r="Q54" s="96">
        <f>+SUM(Q42:Q53)</f>
        <v>135257.86000000002</v>
      </c>
      <c r="R54" s="100"/>
      <c r="S54" s="101">
        <f>+SUM(S42:S53)</f>
        <v>-21784.340000000004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>
      <c r="A55" t="str">
        <f t="shared" si="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f>+SUM(START:END!F55)</f>
        <v>0</v>
      </c>
      <c r="G55" s="83"/>
      <c r="H55" s="13"/>
      <c r="I55" s="30">
        <f>+SUM(START:END!I55)</f>
        <v>0</v>
      </c>
      <c r="J55" s="41"/>
      <c r="K55" s="13"/>
      <c r="L55" s="33">
        <f>+SUM(START:END!L55)</f>
        <v>0</v>
      </c>
      <c r="M55" s="41"/>
      <c r="N55" s="59">
        <f t="shared" ref="N55:N71" si="16">L55-F55</f>
        <v>0</v>
      </c>
      <c r="O55" s="41"/>
      <c r="P55" s="13"/>
      <c r="Q55" s="33">
        <f>+SUM(START:END!Q55)</f>
        <v>0</v>
      </c>
      <c r="R55" s="41"/>
      <c r="S55" s="85">
        <f t="shared" ref="S55:S71" si="17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>
      <c r="A56" t="str">
        <f t="shared" si="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f>+SUM(START:END!F56)</f>
        <v>0</v>
      </c>
      <c r="G56" s="83"/>
      <c r="H56" s="13"/>
      <c r="I56" s="30">
        <f>+SUM(START:END!I56)</f>
        <v>0</v>
      </c>
      <c r="J56" s="41"/>
      <c r="K56" s="13"/>
      <c r="L56" s="33">
        <f>+SUM(START:END!L56)</f>
        <v>0</v>
      </c>
      <c r="M56" s="41"/>
      <c r="N56" s="59">
        <f t="shared" si="16"/>
        <v>0</v>
      </c>
      <c r="O56" s="41"/>
      <c r="P56" s="13"/>
      <c r="Q56" s="33">
        <f>+SUM(START:END!Q56)</f>
        <v>0</v>
      </c>
      <c r="R56" s="41"/>
      <c r="S56" s="85">
        <f t="shared" si="17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f>+SUM(START:END!F57)</f>
        <v>19862.799999999996</v>
      </c>
      <c r="G57" s="89"/>
      <c r="H57" s="111"/>
      <c r="I57" s="22">
        <f>+SUM(START:END!I57)</f>
        <v>0</v>
      </c>
      <c r="J57" s="23"/>
      <c r="K57" s="111"/>
      <c r="L57" s="22">
        <f>+SUM(START:END!L57)</f>
        <v>19213.320000000003</v>
      </c>
      <c r="M57" s="23"/>
      <c r="N57" s="91">
        <f t="shared" si="16"/>
        <v>-649.47999999999229</v>
      </c>
      <c r="O57" s="23"/>
      <c r="P57" s="111"/>
      <c r="Q57" s="22">
        <f>+SUM(START:END!Q57)</f>
        <v>27794.11</v>
      </c>
      <c r="R57" s="23"/>
      <c r="S57" s="92">
        <f t="shared" si="17"/>
        <v>-8580.7899999999972</v>
      </c>
      <c r="T57" s="112"/>
      <c r="U57" s="13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f>+SUM(START:END!F58)</f>
        <v>14634.900000000001</v>
      </c>
      <c r="G58" s="83"/>
      <c r="H58" s="13"/>
      <c r="I58" s="30">
        <f>+SUM(START:END!I58)</f>
        <v>0</v>
      </c>
      <c r="J58" s="41"/>
      <c r="K58" s="13"/>
      <c r="L58" s="33">
        <f>+SUM(START:END!L58)</f>
        <v>14417.870000000003</v>
      </c>
      <c r="M58" s="41"/>
      <c r="N58" s="59">
        <f t="shared" si="16"/>
        <v>-217.02999999999884</v>
      </c>
      <c r="O58" s="41"/>
      <c r="P58" s="13"/>
      <c r="Q58" s="33">
        <f>+SUM(START:END!Q58)</f>
        <v>13773.86</v>
      </c>
      <c r="R58" s="41"/>
      <c r="S58" s="85">
        <f t="shared" si="17"/>
        <v>644.01000000000204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f>+SUM(START:END!F59)</f>
        <v>2475</v>
      </c>
      <c r="G59" s="83"/>
      <c r="H59" s="13"/>
      <c r="I59" s="30">
        <f>+SUM(START:END!I59)</f>
        <v>0</v>
      </c>
      <c r="J59" s="41"/>
      <c r="K59" s="13"/>
      <c r="L59" s="33">
        <f>+SUM(START:END!L59)</f>
        <v>1935.0600000000002</v>
      </c>
      <c r="M59" s="41"/>
      <c r="N59" s="59">
        <f t="shared" si="16"/>
        <v>-539.93999999999983</v>
      </c>
      <c r="O59" s="41"/>
      <c r="P59" s="13"/>
      <c r="Q59" s="33">
        <f>+SUM(START:END!Q59)</f>
        <v>3200.75</v>
      </c>
      <c r="R59" s="41"/>
      <c r="S59" s="85">
        <f t="shared" si="17"/>
        <v>-1265.6899999999998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f>+SUM(START:END!F60)</f>
        <v>9944.1</v>
      </c>
      <c r="G60" s="89"/>
      <c r="H60" s="111"/>
      <c r="I60" s="22">
        <f>+SUM(START:END!I60)</f>
        <v>0</v>
      </c>
      <c r="J60" s="23"/>
      <c r="K60" s="111"/>
      <c r="L60" s="22">
        <f>+SUM(START:END!L60)</f>
        <v>10763.43</v>
      </c>
      <c r="M60" s="23"/>
      <c r="N60" s="91">
        <f t="shared" si="16"/>
        <v>819.32999999999993</v>
      </c>
      <c r="O60" s="23"/>
      <c r="P60" s="111"/>
      <c r="Q60" s="22">
        <f>+SUM(START:END!Q60)</f>
        <v>11300.39</v>
      </c>
      <c r="R60" s="23"/>
      <c r="S60" s="92">
        <f t="shared" si="17"/>
        <v>-536.95999999999913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f>+SUM(START:END!F61)</f>
        <v>120</v>
      </c>
      <c r="G61" s="83"/>
      <c r="H61" s="13"/>
      <c r="I61" s="30">
        <f>+SUM(START:END!I61)</f>
        <v>0</v>
      </c>
      <c r="J61" s="41"/>
      <c r="K61" s="13"/>
      <c r="L61" s="33">
        <f>+SUM(START:END!L61)</f>
        <v>398.32</v>
      </c>
      <c r="M61" s="41"/>
      <c r="N61" s="59">
        <f t="shared" si="16"/>
        <v>278.32</v>
      </c>
      <c r="O61" s="41"/>
      <c r="P61" s="13"/>
      <c r="Q61" s="33">
        <f>+SUM(START:END!Q61)</f>
        <v>799.12000000000012</v>
      </c>
      <c r="R61" s="41"/>
      <c r="S61" s="85">
        <f t="shared" si="17"/>
        <v>-400.80000000000013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f>+SUM(START:END!F62)</f>
        <v>90</v>
      </c>
      <c r="G62" s="83"/>
      <c r="H62" s="13"/>
      <c r="I62" s="30">
        <f>+SUM(START:END!I62)</f>
        <v>0</v>
      </c>
      <c r="J62" s="41"/>
      <c r="K62" s="13"/>
      <c r="L62" s="33">
        <f>+SUM(START:END!L62)</f>
        <v>0</v>
      </c>
      <c r="M62" s="41"/>
      <c r="N62" s="59">
        <f t="shared" si="16"/>
        <v>-90</v>
      </c>
      <c r="O62" s="41"/>
      <c r="P62" s="13"/>
      <c r="Q62" s="33">
        <f>+SUM(START:END!Q62)</f>
        <v>0</v>
      </c>
      <c r="R62" s="41"/>
      <c r="S62" s="85">
        <f t="shared" si="17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f>+SUM(START:END!F63)</f>
        <v>2126.25</v>
      </c>
      <c r="G63" s="83"/>
      <c r="H63" s="13"/>
      <c r="I63" s="30">
        <f>+SUM(START:END!I63)</f>
        <v>0</v>
      </c>
      <c r="J63" s="41"/>
      <c r="K63" s="13"/>
      <c r="L63" s="32">
        <f>+SUM(START:END!L63)</f>
        <v>1245.71</v>
      </c>
      <c r="M63" s="41"/>
      <c r="N63" s="59">
        <f t="shared" si="16"/>
        <v>-880.54</v>
      </c>
      <c r="O63" s="41"/>
      <c r="P63" s="13"/>
      <c r="Q63" s="32">
        <f>+SUM(START:END!Q63)</f>
        <v>2142.41</v>
      </c>
      <c r="R63" s="41"/>
      <c r="S63" s="85">
        <f t="shared" si="17"/>
        <v>-896.69999999999982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f>+SUM(START:END!F64)</f>
        <v>631.20000000000005</v>
      </c>
      <c r="G64" s="83"/>
      <c r="H64" s="13"/>
      <c r="I64" s="30">
        <f>+SUM(START:END!I64)</f>
        <v>0</v>
      </c>
      <c r="J64" s="41"/>
      <c r="K64" s="13"/>
      <c r="L64" s="33">
        <f>+SUM(START:END!L64)</f>
        <v>747.48</v>
      </c>
      <c r="M64" s="41"/>
      <c r="N64" s="59">
        <f t="shared" si="16"/>
        <v>116.27999999999997</v>
      </c>
      <c r="O64" s="41"/>
      <c r="P64" s="13"/>
      <c r="Q64" s="33">
        <f>+SUM(START:END!Q64)</f>
        <v>791.62</v>
      </c>
      <c r="R64" s="41"/>
      <c r="S64" s="85">
        <f t="shared" si="17"/>
        <v>-44.139999999999986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f>+SUM(START:END!F65)</f>
        <v>607.5</v>
      </c>
      <c r="G65" s="83"/>
      <c r="H65" s="13"/>
      <c r="I65" s="30">
        <f>+SUM(START:END!I65)</f>
        <v>0</v>
      </c>
      <c r="J65" s="41"/>
      <c r="K65" s="13"/>
      <c r="L65" s="33">
        <f>+SUM(START:END!L65)</f>
        <v>143.72</v>
      </c>
      <c r="M65" s="41"/>
      <c r="N65" s="59">
        <f t="shared" si="16"/>
        <v>-463.78</v>
      </c>
      <c r="O65" s="41"/>
      <c r="P65" s="13"/>
      <c r="Q65" s="33">
        <f>+SUM(START:END!Q65)</f>
        <v>380.09000000000003</v>
      </c>
      <c r="R65" s="41"/>
      <c r="S65" s="85">
        <f t="shared" si="17"/>
        <v>-236.37000000000003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f>+SUM(START:END!F66)</f>
        <v>2350.3500000000004</v>
      </c>
      <c r="G66" s="83"/>
      <c r="H66" s="13"/>
      <c r="I66" s="30">
        <f>+SUM(START:END!I66)</f>
        <v>0</v>
      </c>
      <c r="J66" s="41"/>
      <c r="K66" s="13"/>
      <c r="L66" s="33">
        <f>+SUM(START:END!L66)</f>
        <v>1050.22</v>
      </c>
      <c r="M66" s="41"/>
      <c r="N66" s="59">
        <f t="shared" si="16"/>
        <v>-1300.1300000000003</v>
      </c>
      <c r="O66" s="41"/>
      <c r="P66" s="13"/>
      <c r="Q66" s="33">
        <f>+SUM(START:END!Q66)</f>
        <v>2465.9099999999899</v>
      </c>
      <c r="R66" s="41"/>
      <c r="S66" s="85">
        <f t="shared" si="17"/>
        <v>-1415.6899999999898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 t="shared" si="1"/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f>+SUM(START:END!F67)</f>
        <v>1674.5505299999995</v>
      </c>
      <c r="G67" s="83"/>
      <c r="H67" s="13"/>
      <c r="I67" s="30">
        <f>+SUM(START:END!I67)</f>
        <v>0</v>
      </c>
      <c r="J67" s="41"/>
      <c r="K67" s="13"/>
      <c r="L67" s="59">
        <f>+SUM(START:END!L67)</f>
        <v>399.62000000000012</v>
      </c>
      <c r="M67" s="41"/>
      <c r="N67" s="59">
        <f t="shared" si="16"/>
        <v>-1274.9305299999994</v>
      </c>
      <c r="O67" s="41"/>
      <c r="P67" s="13"/>
      <c r="Q67" s="33">
        <f>+SUM(START:END!Q67)</f>
        <v>2057.3000000000002</v>
      </c>
      <c r="R67" s="41"/>
      <c r="S67" s="85">
        <f>L67-Q67</f>
        <v>-1657.68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 t="shared" si="1"/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f>+SUM(START:END!F68)</f>
        <v>8120.2586371209063</v>
      </c>
      <c r="G68" s="83"/>
      <c r="H68" s="13"/>
      <c r="I68" s="30">
        <f>+SUM(START:END!I68)</f>
        <v>0</v>
      </c>
      <c r="J68" s="41"/>
      <c r="K68" s="13"/>
      <c r="L68" s="32">
        <f>+SUM(START:END!L68)</f>
        <v>9547.92</v>
      </c>
      <c r="M68" s="41"/>
      <c r="N68" s="59">
        <f t="shared" si="16"/>
        <v>1427.6613628790938</v>
      </c>
      <c r="O68" s="41"/>
      <c r="P68" s="13"/>
      <c r="Q68" s="33">
        <f>+SUM(START:END!Q68)</f>
        <v>11294.21</v>
      </c>
      <c r="R68" s="41"/>
      <c r="S68" s="85">
        <f>L68-Q68</f>
        <v>-1746.2899999999991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 t="shared" si="1"/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f>+SUM(START:END!F69)</f>
        <v>0</v>
      </c>
      <c r="G69" s="83"/>
      <c r="H69" s="13"/>
      <c r="I69" s="30">
        <f>+SUM(START:END!I69)</f>
        <v>0</v>
      </c>
      <c r="J69" s="41"/>
      <c r="K69" s="13"/>
      <c r="L69" s="33">
        <f>+SUM(START:END!L69)</f>
        <v>0</v>
      </c>
      <c r="M69" s="41"/>
      <c r="N69" s="59">
        <f t="shared" si="16"/>
        <v>0</v>
      </c>
      <c r="O69" s="41"/>
      <c r="P69" s="13"/>
      <c r="Q69" s="33">
        <f>+SUM(START:END!Q69)</f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si="1"/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f>+SUM(START:END!F70)</f>
        <v>0</v>
      </c>
      <c r="G70" s="83"/>
      <c r="H70" s="13"/>
      <c r="I70" s="30">
        <f>+SUM(START:END!I70)</f>
        <v>0</v>
      </c>
      <c r="J70" s="41"/>
      <c r="K70" s="13"/>
      <c r="L70" s="33">
        <f>+SUM(START:END!L70)</f>
        <v>0</v>
      </c>
      <c r="M70" s="41"/>
      <c r="N70" s="59">
        <f t="shared" si="16"/>
        <v>0</v>
      </c>
      <c r="O70" s="41"/>
      <c r="P70" s="13"/>
      <c r="Q70" s="33">
        <f>+SUM(START:END!Q70)</f>
        <v>0</v>
      </c>
      <c r="R70" s="41"/>
      <c r="S70" s="85">
        <f t="shared" si="17"/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f>+SUM(START:END!F71)</f>
        <v>0</v>
      </c>
      <c r="G71" s="83"/>
      <c r="H71" s="13"/>
      <c r="I71" s="30">
        <f>+SUM(START:END!I71)</f>
        <v>0</v>
      </c>
      <c r="J71" s="41"/>
      <c r="K71" s="13"/>
      <c r="L71" s="33">
        <f>+SUM(START:END!L71)</f>
        <v>0</v>
      </c>
      <c r="M71" s="41"/>
      <c r="N71" s="59">
        <f t="shared" si="16"/>
        <v>0</v>
      </c>
      <c r="O71" s="41"/>
      <c r="P71" s="13"/>
      <c r="Q71" s="33">
        <f>+SUM(START:END!Q71)</f>
        <v>0</v>
      </c>
      <c r="R71" s="41"/>
      <c r="S71" s="85">
        <f t="shared" si="17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0.17964372434968401</v>
      </c>
      <c r="F72" s="96">
        <f>+SUM(F55:F71)</f>
        <v>62636.909167120895</v>
      </c>
      <c r="G72" s="97" t="s">
        <v>38</v>
      </c>
      <c r="H72" s="95" t="e">
        <f>I72/I$27</f>
        <v>#DIV/0!</v>
      </c>
      <c r="I72" s="96">
        <f>+SUM(I55:I71)</f>
        <v>0</v>
      </c>
      <c r="J72" s="97" t="s">
        <v>38</v>
      </c>
      <c r="K72" s="95">
        <f>L72/L$27</f>
        <v>0.23742945256747111</v>
      </c>
      <c r="L72" s="96">
        <f>+SUM(L55:L71)</f>
        <v>59862.670000000006</v>
      </c>
      <c r="M72" s="100"/>
      <c r="N72" s="96">
        <f>+SUM(N55:N71)</f>
        <v>-2774.239167120897</v>
      </c>
      <c r="O72" s="97" t="s">
        <v>38</v>
      </c>
      <c r="P72" s="95">
        <f>Q72/Q$27</f>
        <v>0.14940882973862785</v>
      </c>
      <c r="Q72" s="96">
        <f>+SUM(Q55:Q71)</f>
        <v>75999.76999999999</v>
      </c>
      <c r="R72" s="100"/>
      <c r="S72" s="101">
        <f>+SUM(S55:S71)</f>
        <v>-16137.099999999982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1.184614202422813</v>
      </c>
      <c r="F74" s="96">
        <f>F41+F54+F72</f>
        <v>413042.94076426845</v>
      </c>
      <c r="G74" s="97" t="s">
        <v>38</v>
      </c>
      <c r="H74" s="95" t="e">
        <f>I74/I$27</f>
        <v>#DIV/0!</v>
      </c>
      <c r="I74" s="96">
        <f>I41+I54+I72</f>
        <v>0</v>
      </c>
      <c r="J74" s="97" t="s">
        <v>38</v>
      </c>
      <c r="K74" s="95">
        <f>L74/L$27</f>
        <v>1.4308899709132137</v>
      </c>
      <c r="L74" s="96">
        <f>L41+L54+L72</f>
        <v>360767.76999999996</v>
      </c>
      <c r="M74" s="100"/>
      <c r="N74" s="113">
        <f t="shared" ref="N74:N82" si="18">L74-F74</f>
        <v>-52275.170764268492</v>
      </c>
      <c r="O74" s="97" t="s">
        <v>38</v>
      </c>
      <c r="P74" s="95">
        <f>Q74/Q$27</f>
        <v>1.0320020527262599</v>
      </c>
      <c r="Q74" s="96">
        <f>Q41+Q54+Q72</f>
        <v>524948.35</v>
      </c>
      <c r="R74" s="100"/>
      <c r="S74" s="114">
        <f>L74-Q74</f>
        <v>-164180.58000000002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f>+SUM(START:END!F75)</f>
        <v>101309.16235636364</v>
      </c>
      <c r="G75" s="83"/>
      <c r="H75" s="13"/>
      <c r="I75" s="30">
        <f>+SUM(START:END!I75)</f>
        <v>0</v>
      </c>
      <c r="J75" s="41"/>
      <c r="K75" s="13"/>
      <c r="L75" s="32">
        <f>+SUM(START:END!L75)</f>
        <v>60711.18</v>
      </c>
      <c r="M75" s="41"/>
      <c r="N75" s="59">
        <f t="shared" si="18"/>
        <v>-40597.982356363638</v>
      </c>
      <c r="O75" s="41"/>
      <c r="P75" s="13"/>
      <c r="Q75" s="32">
        <f>+SUM(START:END!Q75)</f>
        <v>131386.59</v>
      </c>
      <c r="R75" s="41"/>
      <c r="S75" s="85">
        <f>L75-Q75</f>
        <v>-70675.41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f>+SUM(START:END!F76)</f>
        <v>0</v>
      </c>
      <c r="G76" s="83"/>
      <c r="H76" s="13"/>
      <c r="I76" s="30">
        <f>+SUM(START:END!I76)</f>
        <v>0</v>
      </c>
      <c r="J76" s="41"/>
      <c r="K76" s="13"/>
      <c r="L76" s="32">
        <f>+SUM(START:END!L76)</f>
        <v>0</v>
      </c>
      <c r="M76" s="41"/>
      <c r="N76" s="59">
        <f t="shared" si="18"/>
        <v>0</v>
      </c>
      <c r="O76" s="41"/>
      <c r="P76" s="13"/>
      <c r="Q76" s="32">
        <f>+SUM(START:END!Q76)</f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f>+SUM(START:END!F77)</f>
        <v>0</v>
      </c>
      <c r="G77" s="83"/>
      <c r="H77" s="13"/>
      <c r="I77" s="30">
        <f>+SUM(START:END!I77)</f>
        <v>0</v>
      </c>
      <c r="J77" s="41"/>
      <c r="K77" s="13"/>
      <c r="L77" s="32">
        <f>+SUM(START:END!L77)</f>
        <v>0</v>
      </c>
      <c r="M77" s="41"/>
      <c r="N77" s="59">
        <f t="shared" si="18"/>
        <v>0</v>
      </c>
      <c r="O77" s="41"/>
      <c r="P77" s="13"/>
      <c r="Q77" s="32">
        <f>+SUM(START:END!Q77)</f>
        <v>0</v>
      </c>
      <c r="R77" s="41"/>
      <c r="S77" s="85">
        <f t="shared" ref="S77:S82" si="19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f>+SUM(START:END!F78)</f>
        <v>109523.41876363636</v>
      </c>
      <c r="G78" s="83"/>
      <c r="H78" s="13"/>
      <c r="I78" s="30">
        <f>+SUM(START:END!I78)</f>
        <v>0</v>
      </c>
      <c r="J78" s="41"/>
      <c r="K78" s="13"/>
      <c r="L78" s="33">
        <f>+SUM(START:END!L78)</f>
        <v>123864.8</v>
      </c>
      <c r="M78" s="41"/>
      <c r="N78" s="59">
        <f t="shared" si="18"/>
        <v>14341.381236363639</v>
      </c>
      <c r="O78" s="41"/>
      <c r="P78" s="13"/>
      <c r="Q78" s="32">
        <f>+SUM(START:END!Q78)</f>
        <v>156388.6</v>
      </c>
      <c r="R78" s="41"/>
      <c r="S78" s="85">
        <f t="shared" si="19"/>
        <v>-32523.800000000003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 t="shared" si="1"/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f>+SUM(START:END!F79)</f>
        <v>0</v>
      </c>
      <c r="G79" s="83"/>
      <c r="H79" s="13"/>
      <c r="I79" s="30">
        <f>+SUM(START:END!I79)</f>
        <v>0</v>
      </c>
      <c r="J79" s="41"/>
      <c r="K79" s="13"/>
      <c r="L79" s="33">
        <f>+SUM(START:END!L79)</f>
        <v>0</v>
      </c>
      <c r="M79" s="41"/>
      <c r="N79" s="59">
        <f t="shared" si="18"/>
        <v>0</v>
      </c>
      <c r="O79" s="41"/>
      <c r="P79" s="13"/>
      <c r="Q79" s="32">
        <f>+SUM(START:END!Q79)</f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 t="shared" si="1"/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f>+SUM(START:END!F80)</f>
        <v>0</v>
      </c>
      <c r="G80" s="83"/>
      <c r="H80" s="13"/>
      <c r="I80" s="30">
        <f>+SUM(START:END!I80)</f>
        <v>0</v>
      </c>
      <c r="J80" s="41"/>
      <c r="K80" s="13"/>
      <c r="L80" s="33">
        <f>+SUM(START:END!L80)</f>
        <v>0</v>
      </c>
      <c r="M80" s="41"/>
      <c r="N80" s="59">
        <f t="shared" si="18"/>
        <v>0</v>
      </c>
      <c r="O80" s="41"/>
      <c r="P80" s="13"/>
      <c r="Q80" s="32">
        <f>+SUM(START:END!Q80)</f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 t="shared" si="1"/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f>+SUM(START:END!F81)</f>
        <v>0</v>
      </c>
      <c r="G81" s="83"/>
      <c r="H81" s="13"/>
      <c r="I81" s="30">
        <f>+SUM(START:END!I81)</f>
        <v>0</v>
      </c>
      <c r="J81" s="41"/>
      <c r="K81" s="13"/>
      <c r="L81" s="33">
        <f>+SUM(START:END!L81)</f>
        <v>0</v>
      </c>
      <c r="M81" s="41"/>
      <c r="N81" s="59">
        <f t="shared" si="18"/>
        <v>0</v>
      </c>
      <c r="O81" s="41"/>
      <c r="P81" s="13"/>
      <c r="Q81" s="32">
        <f>+SUM(START:END!Q81)</f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si="1"/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f>+SUM(START:END!F82)</f>
        <v>37508.800000000003</v>
      </c>
      <c r="G82" s="83"/>
      <c r="H82" s="13"/>
      <c r="I82" s="30">
        <f>+SUM(START:END!I82)</f>
        <v>0</v>
      </c>
      <c r="J82" s="41"/>
      <c r="K82" s="13"/>
      <c r="L82" s="32">
        <f>+SUM(START:END!L82)</f>
        <v>28560</v>
      </c>
      <c r="M82" s="41"/>
      <c r="N82" s="59">
        <f t="shared" si="18"/>
        <v>-8948.8000000000029</v>
      </c>
      <c r="O82" s="41"/>
      <c r="P82" s="13"/>
      <c r="Q82" s="32">
        <f>+SUM(START:END!Q82)</f>
        <v>49385</v>
      </c>
      <c r="R82" s="41"/>
      <c r="S82" s="85">
        <f t="shared" si="19"/>
        <v>-20825</v>
      </c>
      <c r="T82" s="13"/>
      <c r="U82" s="13"/>
      <c r="V82" s="11"/>
      <c r="W82" s="489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248341.38111999998</v>
      </c>
      <c r="G83" s="97"/>
      <c r="H83" s="95"/>
      <c r="I83" s="96">
        <f>+SUM(I75:I82)</f>
        <v>0</v>
      </c>
      <c r="J83" s="97"/>
      <c r="K83" s="95"/>
      <c r="L83" s="96">
        <f>+SUM(L75:L82)</f>
        <v>213135.98</v>
      </c>
      <c r="M83" s="100"/>
      <c r="N83" s="96">
        <f>+SUM(N75:N82)</f>
        <v>-35205.401120000002</v>
      </c>
      <c r="O83" s="97"/>
      <c r="P83" s="95"/>
      <c r="Q83" s="96">
        <f>+SUM(Q75:Q82)</f>
        <v>337160.19</v>
      </c>
      <c r="R83" s="100"/>
      <c r="S83" s="101">
        <f>+SUM(S75:S82)</f>
        <v>-124024.21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183971.40064904816</v>
      </c>
      <c r="G85" s="128"/>
      <c r="H85" s="126"/>
      <c r="I85" s="127">
        <f>I27-I74+I83</f>
        <v>0</v>
      </c>
      <c r="J85" s="128"/>
      <c r="K85" s="125"/>
      <c r="L85" s="127">
        <f>L27-L74+L83</f>
        <v>104496.45000000019</v>
      </c>
      <c r="M85" s="128"/>
      <c r="N85" s="127">
        <f>N27-N41-N54-N72+N83</f>
        <v>-79474.950649048042</v>
      </c>
      <c r="O85" s="128"/>
      <c r="P85" s="125"/>
      <c r="Q85" s="127">
        <f>Q27-Q74+Q83</f>
        <v>320881.7100000002</v>
      </c>
      <c r="R85" s="128"/>
      <c r="S85" s="129">
        <f>S27-S41-S54-S72+S83</f>
        <v>-216385.26000000013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  Q4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08" t="s">
        <v>5</v>
      </c>
      <c r="E91" s="509"/>
      <c r="F91" s="510"/>
      <c r="G91" s="511" t="s">
        <v>71</v>
      </c>
      <c r="H91" s="509"/>
      <c r="I91" s="510"/>
      <c r="J91" s="511" t="s">
        <v>7</v>
      </c>
      <c r="K91" s="509"/>
      <c r="L91" s="510"/>
      <c r="M91" s="511" t="s">
        <v>213</v>
      </c>
      <c r="N91" s="510"/>
      <c r="O91" s="508" t="s">
        <v>8</v>
      </c>
      <c r="P91" s="509"/>
      <c r="Q91" s="510"/>
      <c r="R91" s="515" t="s">
        <v>214</v>
      </c>
      <c r="S91" s="516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 t="s">
        <v>10</v>
      </c>
      <c r="H92" s="80" t="s">
        <v>11</v>
      </c>
      <c r="I92" s="134" t="s">
        <v>12</v>
      </c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13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0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f>+SUM(START:END!F93)</f>
        <v>3608470.588235294</v>
      </c>
      <c r="G93" s="46"/>
      <c r="H93" s="25"/>
      <c r="I93" s="22">
        <f>+SUM(START:END!I93)</f>
        <v>0</v>
      </c>
      <c r="J93" s="23"/>
      <c r="K93" s="25"/>
      <c r="L93" s="22">
        <f>+SUM(START:END!L93)</f>
        <v>3353502.5700000003</v>
      </c>
      <c r="M93" s="137"/>
      <c r="N93" s="138"/>
      <c r="O93" s="23"/>
      <c r="P93" s="25"/>
      <c r="Q93" s="22">
        <f>+SUM(START:END!Q93)</f>
        <v>3639290.7899999903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0"/>
        <v>Véhicules usagésCertifié</v>
      </c>
      <c r="B94" s="11" t="s">
        <v>70</v>
      </c>
      <c r="C94" s="29" t="s">
        <v>72</v>
      </c>
      <c r="D94" s="30">
        <f>+SUM(START:END!D94)</f>
        <v>16</v>
      </c>
      <c r="E94" s="30">
        <f>IF(D94=0,0,F94/D94)</f>
        <v>2300</v>
      </c>
      <c r="F94" s="30">
        <f>+SUM(START:END!F94)</f>
        <v>36800</v>
      </c>
      <c r="G94" s="31">
        <f>+SUM(START:END!G94)</f>
        <v>0</v>
      </c>
      <c r="H94" s="30">
        <f t="shared" ref="H94:H100" si="21">IF(G94=0,0,I94/G94)</f>
        <v>0</v>
      </c>
      <c r="I94" s="30">
        <f>+SUM(START:END!I94)</f>
        <v>0</v>
      </c>
      <c r="J94" s="31">
        <f>+SUM(START:END!J94)</f>
        <v>11</v>
      </c>
      <c r="K94" s="30">
        <f>IF(J94=0,0,L94/J94)</f>
        <v>2405.5663636363688</v>
      </c>
      <c r="L94" s="33">
        <f>+SUM(START:END!L94)</f>
        <v>26461.230000000058</v>
      </c>
      <c r="M94" s="31">
        <f>J94-D94</f>
        <v>-5</v>
      </c>
      <c r="N94" s="33">
        <f>L94-F94</f>
        <v>-10338.769999999942</v>
      </c>
      <c r="O94" s="31">
        <f>+SUM(START:END!O94)</f>
        <v>12</v>
      </c>
      <c r="P94" s="30">
        <f>IF(O94=0,0,Q94/O94)</f>
        <v>2044.4308333333327</v>
      </c>
      <c r="Q94" s="33">
        <f>+SUM(START:END!Q94)</f>
        <v>24533.169999999991</v>
      </c>
      <c r="R94" s="31">
        <f>J94-O94</f>
        <v>-1</v>
      </c>
      <c r="S94" s="34">
        <f>L94-Q94</f>
        <v>1928.0600000000668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0"/>
        <v>Véhicules usagésNon Certifié</v>
      </c>
      <c r="B95" s="11" t="s">
        <v>70</v>
      </c>
      <c r="C95" s="29" t="s">
        <v>73</v>
      </c>
      <c r="D95" s="30">
        <f>+SUM(START:END!D95)</f>
        <v>16</v>
      </c>
      <c r="E95" s="30">
        <f>IF(D95=0,0,F95/D95)</f>
        <v>1600</v>
      </c>
      <c r="F95" s="30">
        <f>+SUM(START:END!F95)</f>
        <v>25600</v>
      </c>
      <c r="G95" s="31">
        <f>+SUM(START:END!G95)</f>
        <v>0</v>
      </c>
      <c r="H95" s="30">
        <f t="shared" si="21"/>
        <v>0</v>
      </c>
      <c r="I95" s="30">
        <f>+SUM(START:END!I95)</f>
        <v>0</v>
      </c>
      <c r="J95" s="31">
        <f>+SUM(START:END!J95)</f>
        <v>15</v>
      </c>
      <c r="K95" s="30">
        <f>IF(J95=0,0,L95/J95)</f>
        <v>1404.7153333333349</v>
      </c>
      <c r="L95" s="32">
        <f>+SUM(START:END!L95)</f>
        <v>21070.730000000025</v>
      </c>
      <c r="M95" s="31">
        <f>J95-D95</f>
        <v>-1</v>
      </c>
      <c r="N95" s="33">
        <f>L95-F95</f>
        <v>-4529.269999999975</v>
      </c>
      <c r="O95" s="31">
        <f>+SUM(START:END!O95)</f>
        <v>14</v>
      </c>
      <c r="P95" s="30">
        <f>IF(O95=0,0,Q95/O95)</f>
        <v>1686.5071428571434</v>
      </c>
      <c r="Q95" s="32">
        <f>+SUM(START:END!Q95)</f>
        <v>23611.100000000009</v>
      </c>
      <c r="R95" s="31">
        <f>J95-O95</f>
        <v>1</v>
      </c>
      <c r="S95" s="34">
        <f>L95-Q95</f>
        <v>-2540.3699999999844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>+B96&amp;C96</f>
        <v>Véhicules usagésAutres marques</v>
      </c>
      <c r="B96" s="11" t="s">
        <v>70</v>
      </c>
      <c r="C96" s="29" t="s">
        <v>207</v>
      </c>
      <c r="D96" s="30">
        <f>+SUM(START:END!D96)</f>
        <v>16</v>
      </c>
      <c r="E96" s="25">
        <f>IF(D96=0,0,F96/D96)</f>
        <v>1500</v>
      </c>
      <c r="F96" s="30">
        <f>+SUM(START:END!F96)</f>
        <v>24000</v>
      </c>
      <c r="G96" s="31">
        <f>+SUM(START:END!G96)</f>
        <v>0</v>
      </c>
      <c r="H96" s="30">
        <f t="shared" si="21"/>
        <v>0</v>
      </c>
      <c r="I96" s="30">
        <f>+SUM(START:END!I96)</f>
        <v>0</v>
      </c>
      <c r="J96" s="31">
        <f>+SUM(START:END!J96)</f>
        <v>11</v>
      </c>
      <c r="K96" s="30">
        <f>IF(J96=0,0,L96/J96)</f>
        <v>1954.3636363636363</v>
      </c>
      <c r="L96" s="32">
        <f>+SUM(START:END!L96)</f>
        <v>21498</v>
      </c>
      <c r="M96" s="31">
        <f>J96-D96</f>
        <v>-5</v>
      </c>
      <c r="N96" s="33">
        <f>L96-F96</f>
        <v>-2502</v>
      </c>
      <c r="O96" s="31">
        <f>+SUM(START:END!O96)</f>
        <v>8</v>
      </c>
      <c r="P96" s="30">
        <f>IF(O96=0,0,Q96/O96)</f>
        <v>869.77874999999756</v>
      </c>
      <c r="Q96" s="32">
        <f>+SUM(START:END!Q96)</f>
        <v>6958.2299999999805</v>
      </c>
      <c r="R96" s="31">
        <f>J96-O96</f>
        <v>3</v>
      </c>
      <c r="S96" s="34">
        <f>L96-Q96</f>
        <v>14539.770000000019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0"/>
        <v>Véhicules usagésTotal Usagés</v>
      </c>
      <c r="B97" s="11" t="s">
        <v>70</v>
      </c>
      <c r="C97" s="35" t="s">
        <v>74</v>
      </c>
      <c r="D97" s="36">
        <f>+D95+D94+D96</f>
        <v>48</v>
      </c>
      <c r="E97" s="30">
        <f>IF(D97=0,0,F97/D97)</f>
        <v>1800</v>
      </c>
      <c r="F97" s="37">
        <f>+F94+F95+F96</f>
        <v>86400</v>
      </c>
      <c r="G97" s="38">
        <f>+G95+G94+G96</f>
        <v>0</v>
      </c>
      <c r="H97" s="36">
        <f t="shared" si="21"/>
        <v>0</v>
      </c>
      <c r="I97" s="37">
        <f>+I94+I95+I96</f>
        <v>0</v>
      </c>
      <c r="J97" s="38">
        <f>+J95+J94+J96</f>
        <v>37</v>
      </c>
      <c r="K97" s="36">
        <f>IF(J97=0,0,L97/J97)</f>
        <v>1865.6745945945968</v>
      </c>
      <c r="L97" s="37">
        <f>+L94+L95+L96</f>
        <v>69029.960000000079</v>
      </c>
      <c r="M97" s="38">
        <f>J97-D97</f>
        <v>-11</v>
      </c>
      <c r="N97" s="37">
        <f>L97-F97</f>
        <v>-17370.039999999921</v>
      </c>
      <c r="O97" s="38">
        <f>+O95+O94+O96</f>
        <v>34</v>
      </c>
      <c r="P97" s="36">
        <f>IF(O97&lt;=0,0,Q97/O97)</f>
        <v>1620.661764705882</v>
      </c>
      <c r="Q97" s="37">
        <f>+Q94+Q95+Q96</f>
        <v>55102.499999999985</v>
      </c>
      <c r="R97" s="38">
        <f>J97-O97</f>
        <v>3</v>
      </c>
      <c r="S97" s="39">
        <f>L97-Q97</f>
        <v>13927.460000000094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0"/>
        <v>Véhicules usagés</v>
      </c>
      <c r="B98" s="11" t="s">
        <v>70</v>
      </c>
      <c r="C98" s="29"/>
      <c r="D98" s="13"/>
      <c r="E98" s="30"/>
      <c r="F98" s="40"/>
      <c r="G98" s="41"/>
      <c r="H98" s="13">
        <f t="shared" si="21"/>
        <v>0</v>
      </c>
      <c r="I98" s="40"/>
      <c r="J98" s="41"/>
      <c r="K98" s="13"/>
      <c r="L98" s="40"/>
      <c r="M98" s="42">
        <f>M97/D97</f>
        <v>-0.22916666666666666</v>
      </c>
      <c r="N98" s="43">
        <f>N97/F97</f>
        <v>-0.20104212962962872</v>
      </c>
      <c r="O98" s="41"/>
      <c r="P98" s="13"/>
      <c r="Q98" s="40"/>
      <c r="R98" s="42">
        <f>R97/O97</f>
        <v>8.8235294117647065E-2</v>
      </c>
      <c r="S98" s="44">
        <f>IF(Q97=0,0,(S97/Q97))</f>
        <v>0.25275550111156658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0"/>
        <v>Véhicules usagésUS</v>
      </c>
      <c r="B99" s="11" t="s">
        <v>70</v>
      </c>
      <c r="C99" s="29" t="s">
        <v>187</v>
      </c>
      <c r="D99" s="30">
        <f>+SUM(START:END!D99)</f>
        <v>0</v>
      </c>
      <c r="E99" s="30">
        <f>IF(D99=0,0,F99/D99)</f>
        <v>0</v>
      </c>
      <c r="F99" s="30">
        <f>+SUM(START:END!F99)</f>
        <v>0</v>
      </c>
      <c r="G99" s="41">
        <f>+SUM(START:END!G99)</f>
        <v>0</v>
      </c>
      <c r="H99" s="30">
        <f t="shared" si="21"/>
        <v>0</v>
      </c>
      <c r="I99" s="30">
        <f>+SUM(START:END!I99)</f>
        <v>0</v>
      </c>
      <c r="J99" s="31">
        <f>+SUM(START:END!J99)</f>
        <v>0</v>
      </c>
      <c r="K99" s="30">
        <f>IF(J99=0,0,L99/J99)</f>
        <v>0</v>
      </c>
      <c r="L99" s="33">
        <f>+SUM(START:END!L99)</f>
        <v>0</v>
      </c>
      <c r="M99" s="31"/>
      <c r="N99" s="33"/>
      <c r="O99" s="31">
        <f>+SUM(START:END!O99)</f>
        <v>0</v>
      </c>
      <c r="P99" s="30">
        <f>IF(O99=0,0,Q99/O99)</f>
        <v>0</v>
      </c>
      <c r="Q99" s="33">
        <f>+SUM(START:END!Q99)</f>
        <v>0</v>
      </c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0"/>
        <v>Véhicules usagésVentes au Gros</v>
      </c>
      <c r="B100" s="11" t="s">
        <v>70</v>
      </c>
      <c r="C100" s="29" t="s">
        <v>75</v>
      </c>
      <c r="D100" s="30">
        <f>+SUM(START:END!D100)</f>
        <v>46</v>
      </c>
      <c r="E100" s="30">
        <f>IF(D100=0,0,F100/D100)</f>
        <v>350</v>
      </c>
      <c r="F100" s="30">
        <f>+SUM(START:END!F100)</f>
        <v>16100</v>
      </c>
      <c r="G100" s="31">
        <f>+SUM(START:END!G100)</f>
        <v>0</v>
      </c>
      <c r="H100" s="30">
        <f t="shared" si="21"/>
        <v>0</v>
      </c>
      <c r="I100" s="30">
        <f>+SUM(START:END!I100)</f>
        <v>0</v>
      </c>
      <c r="J100" s="31">
        <f>+SUM(START:END!J100)</f>
        <v>52</v>
      </c>
      <c r="K100" s="30">
        <f>IF(J100=0,0,L100/J100)</f>
        <v>424.1913461538457</v>
      </c>
      <c r="L100" s="33">
        <f>+SUM(START:END!L100)</f>
        <v>22057.949999999975</v>
      </c>
      <c r="M100" s="31">
        <f>J100-D100</f>
        <v>6</v>
      </c>
      <c r="N100" s="33">
        <f>L100-F100</f>
        <v>5957.9499999999753</v>
      </c>
      <c r="O100" s="31">
        <f>+SUM(START:END!O100)</f>
        <v>63</v>
      </c>
      <c r="P100" s="30">
        <f>IF(O100=0,0,Q100/O100)</f>
        <v>772.84333333333177</v>
      </c>
      <c r="Q100" s="33">
        <f>+SUM(START:END!Q100)</f>
        <v>48689.129999999903</v>
      </c>
      <c r="R100" s="31">
        <f>J100-O100</f>
        <v>-11</v>
      </c>
      <c r="S100" s="34">
        <f>L100-Q100</f>
        <v>-26631.179999999928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0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0"/>
        <v>Véhicules usagésRev. Finances</v>
      </c>
      <c r="B102" s="11" t="s">
        <v>70</v>
      </c>
      <c r="C102" s="29" t="s">
        <v>24</v>
      </c>
      <c r="D102" s="30">
        <f>+SUM(START:END!D102)</f>
        <v>0</v>
      </c>
      <c r="E102" s="30">
        <f>IF(D102=0,0,F102/D102)</f>
        <v>0</v>
      </c>
      <c r="F102" s="33">
        <f>+SUM(START:END!F102)</f>
        <v>18240</v>
      </c>
      <c r="G102" s="31">
        <f>+SUM(START:END!G102)</f>
        <v>0</v>
      </c>
      <c r="H102" s="30">
        <f>IF(G102=0,0,I102/G102)</f>
        <v>0</v>
      </c>
      <c r="I102" s="30">
        <f>+SUM(START:END!I102)</f>
        <v>0</v>
      </c>
      <c r="J102" s="31">
        <f>+SUM(START:END!J102)</f>
        <v>0</v>
      </c>
      <c r="K102" s="30">
        <f>IF(J102=0,0,L102/J102)</f>
        <v>0</v>
      </c>
      <c r="L102" s="33">
        <f>+SUM(START:END!L102)</f>
        <v>9497.2800000000007</v>
      </c>
      <c r="M102" s="31"/>
      <c r="N102" s="33">
        <f>L102-F102</f>
        <v>-8742.7199999999993</v>
      </c>
      <c r="O102" s="31">
        <f>+SUM(START:END!O102)</f>
        <v>0</v>
      </c>
      <c r="P102" s="30">
        <f>IF(O102=0,0,Q102/O102)</f>
        <v>0</v>
      </c>
      <c r="Q102" s="33">
        <f>+SUM(START:END!Q102)</f>
        <v>11855.299999999992</v>
      </c>
      <c r="R102" s="31">
        <f>O102-K102</f>
        <v>0</v>
      </c>
      <c r="S102" s="34">
        <f>L102-Q102</f>
        <v>-2358.0199999999913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0"/>
        <v>Véhicules usagésRev. Protections</v>
      </c>
      <c r="B103" s="11" t="s">
        <v>70</v>
      </c>
      <c r="C103" s="29" t="s">
        <v>25</v>
      </c>
      <c r="D103" s="30">
        <f>+SUM(START:END!D103)</f>
        <v>0</v>
      </c>
      <c r="E103" s="30">
        <f>IF(D103=0,0,F103/D103)</f>
        <v>0</v>
      </c>
      <c r="F103" s="33">
        <f>+SUM(START:END!F103)</f>
        <v>40800</v>
      </c>
      <c r="G103" s="31">
        <f>+SUM(START:END!G103)</f>
        <v>0</v>
      </c>
      <c r="H103" s="30">
        <f>IF(G103=0,0,I103/G103)</f>
        <v>0</v>
      </c>
      <c r="I103" s="30">
        <f>+SUM(START:END!I103)</f>
        <v>0</v>
      </c>
      <c r="J103" s="31">
        <f>+SUM(START:END!J103)</f>
        <v>0</v>
      </c>
      <c r="K103" s="30">
        <f>IF(J103=0,0,L103/J103)</f>
        <v>0</v>
      </c>
      <c r="L103" s="33">
        <f>+SUM(START:END!L103)</f>
        <v>36008.910000000003</v>
      </c>
      <c r="M103" s="31"/>
      <c r="N103" s="33">
        <f>L103-F103</f>
        <v>-4791.0899999999965</v>
      </c>
      <c r="O103" s="31">
        <f>+SUM(START:END!O103)</f>
        <v>0</v>
      </c>
      <c r="P103" s="30">
        <f>IF(O103=0,0,Q103/O103)</f>
        <v>0</v>
      </c>
      <c r="Q103" s="33">
        <f>+SUM(START:END!Q103)</f>
        <v>33574.299999999901</v>
      </c>
      <c r="R103" s="31">
        <f>O103-K103</f>
        <v>0</v>
      </c>
      <c r="S103" s="34">
        <f>L103-Q103</f>
        <v>2434.6100000001024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0"/>
        <v>Véhicules usagésRev. Autres</v>
      </c>
      <c r="B104" s="11" t="s">
        <v>70</v>
      </c>
      <c r="C104" s="29" t="s">
        <v>26</v>
      </c>
      <c r="D104" s="30">
        <f>+SUM(START:END!D104)</f>
        <v>0</v>
      </c>
      <c r="E104" s="25">
        <f>IF(D104=0,0,F104/D104)</f>
        <v>0</v>
      </c>
      <c r="F104" s="33">
        <f>+SUM(START:END!F104)</f>
        <v>10560</v>
      </c>
      <c r="G104" s="31">
        <f>+SUM(START:END!G104)</f>
        <v>0</v>
      </c>
      <c r="H104" s="47">
        <f>IF(G104=0,0,I104/G104)</f>
        <v>0</v>
      </c>
      <c r="I104" s="30">
        <f>+SUM(START:END!I104)</f>
        <v>0</v>
      </c>
      <c r="J104" s="31">
        <f>+SUM(START:END!J104)</f>
        <v>0</v>
      </c>
      <c r="K104" s="47">
        <f>IF(J104=0,0,L104/J104)</f>
        <v>0</v>
      </c>
      <c r="L104" s="33">
        <f>+SUM(START:END!L104)</f>
        <v>7495.98</v>
      </c>
      <c r="M104" s="51"/>
      <c r="N104" s="33">
        <f>L104-F104</f>
        <v>-3064.0200000000004</v>
      </c>
      <c r="O104" s="31">
        <f>+SUM(START:END!O104)</f>
        <v>0</v>
      </c>
      <c r="P104" s="47">
        <f>IF(O104=0,0,Q104/O104)</f>
        <v>0</v>
      </c>
      <c r="Q104" s="33">
        <f>+SUM(START:END!Q104)</f>
        <v>5264</v>
      </c>
      <c r="R104" s="31">
        <f>O104-K104</f>
        <v>0</v>
      </c>
      <c r="S104" s="34">
        <f>L104-Q104</f>
        <v>2231.9799999999996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0"/>
        <v>Véhicules usagésTotal F&amp;I</v>
      </c>
      <c r="B105" s="11" t="s">
        <v>70</v>
      </c>
      <c r="C105" s="35" t="s">
        <v>27</v>
      </c>
      <c r="D105" s="36">
        <f>D97</f>
        <v>48</v>
      </c>
      <c r="E105" s="30">
        <f>IF(D105=0,0,F105/D105)</f>
        <v>1450</v>
      </c>
      <c r="F105" s="37">
        <f>F102+F103+F104</f>
        <v>69600</v>
      </c>
      <c r="G105" s="38">
        <f>G97</f>
        <v>0</v>
      </c>
      <c r="H105" s="36">
        <f>IF(G105=0,0,I105/G105)</f>
        <v>0</v>
      </c>
      <c r="I105" s="37">
        <f>I102+I103+I104</f>
        <v>0</v>
      </c>
      <c r="J105" s="38">
        <f>J97</f>
        <v>37</v>
      </c>
      <c r="K105" s="36">
        <f>IF(J105&lt;=0,0,L105/J105)</f>
        <v>1432.4910810810811</v>
      </c>
      <c r="L105" s="37">
        <f>L102+L103+L104</f>
        <v>53002.17</v>
      </c>
      <c r="M105" s="31">
        <f>J105-D105</f>
        <v>-11</v>
      </c>
      <c r="N105" s="37">
        <f>L105-F105</f>
        <v>-16597.830000000002</v>
      </c>
      <c r="O105" s="38">
        <f>O97</f>
        <v>34</v>
      </c>
      <c r="P105" s="36">
        <f>IF(O105&lt;=0,0,Q105/O105)</f>
        <v>1490.9882352941145</v>
      </c>
      <c r="Q105" s="37">
        <f>Q102+Q103+Q104</f>
        <v>50693.599999999889</v>
      </c>
      <c r="R105" s="56"/>
      <c r="S105" s="39">
        <f>L105-Q105</f>
        <v>2308.5700000001088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0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-0.23847456896551728</v>
      </c>
      <c r="O106" s="41"/>
      <c r="P106" s="13"/>
      <c r="Q106" s="59"/>
      <c r="R106" s="60"/>
      <c r="S106" s="44">
        <f>IF(Q105=0,0,(S105/Q105))</f>
        <v>4.5539673647168752E-2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0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0"/>
        <v>Véhicules usagésTotal Dépt. Usagés</v>
      </c>
      <c r="B108" s="11" t="s">
        <v>70</v>
      </c>
      <c r="C108" s="62" t="s">
        <v>76</v>
      </c>
      <c r="D108" s="63">
        <f>D97+D100</f>
        <v>94</v>
      </c>
      <c r="E108" s="67">
        <f>IF(D108&lt;=0,0,F108/D108)</f>
        <v>1830.8510638297873</v>
      </c>
      <c r="F108" s="65">
        <f>F97+F105+F100</f>
        <v>172100</v>
      </c>
      <c r="G108" s="66">
        <f>G97+G100</f>
        <v>0</v>
      </c>
      <c r="H108" s="67">
        <f>IF(G108&lt;=0,0,I108/G108)</f>
        <v>0</v>
      </c>
      <c r="I108" s="65">
        <f>I97+I105+I100</f>
        <v>0</v>
      </c>
      <c r="J108" s="66">
        <f>J97+J100+J99</f>
        <v>89</v>
      </c>
      <c r="K108" s="67">
        <f>IF(J108&lt;=0,0,L108/J108)</f>
        <v>1618.9896629213488</v>
      </c>
      <c r="L108" s="65">
        <f>L97+L105+L100+L99</f>
        <v>144090.08000000005</v>
      </c>
      <c r="M108" s="66">
        <f>J108-D108</f>
        <v>-5</v>
      </c>
      <c r="N108" s="65">
        <f>L108-F108</f>
        <v>-28009.919999999955</v>
      </c>
      <c r="O108" s="66">
        <f>O97+O100+O99</f>
        <v>97</v>
      </c>
      <c r="P108" s="67">
        <f>IF(O108&lt;=0,0,Q108/O108)</f>
        <v>1592.6312371133997</v>
      </c>
      <c r="Q108" s="65">
        <f>Q97+Q105+Q100+Q99</f>
        <v>154485.22999999978</v>
      </c>
      <c r="R108" s="66">
        <f>J108-O108</f>
        <v>-8</v>
      </c>
      <c r="S108" s="68">
        <f>L108-Q108</f>
        <v>-10395.149999999732</v>
      </c>
      <c r="T108" s="13"/>
      <c r="U108" s="13"/>
      <c r="V108" s="454">
        <f>(L108+L27)/(F27+F108)</f>
        <v>0.76082736664522066</v>
      </c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0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-5.3191489361702128E-2</v>
      </c>
      <c r="N109" s="74">
        <f>N108/F108</f>
        <v>-0.16275374782103402</v>
      </c>
      <c r="O109" s="72"/>
      <c r="P109" s="70"/>
      <c r="Q109" s="71"/>
      <c r="R109" s="73">
        <f>O108/R108</f>
        <v>-12.125</v>
      </c>
      <c r="S109" s="145">
        <f>IF(Q108=0,0,(S108/Q108))</f>
        <v>-6.7288957009027636E-2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0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0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0"/>
        <v>Véhicules usagésComm. vendeurs</v>
      </c>
      <c r="B112" s="11" t="s">
        <v>70</v>
      </c>
      <c r="C112" s="29" t="s">
        <v>30</v>
      </c>
      <c r="D112" s="148">
        <f>F112/(F97+F105)</f>
        <v>0.19565576186265843</v>
      </c>
      <c r="E112" s="82">
        <f>F112/D$97</f>
        <v>635.88122605363992</v>
      </c>
      <c r="F112" s="30">
        <f>+SUM(START:END!F112)</f>
        <v>30522.298850574716</v>
      </c>
      <c r="G112" s="157" t="e">
        <f>I112/I97</f>
        <v>#DIV/0!</v>
      </c>
      <c r="H112" s="82" t="e">
        <f>I112/G$97</f>
        <v>#DIV/0!</v>
      </c>
      <c r="I112" s="30">
        <f>+SUM(START:END!I112)</f>
        <v>0</v>
      </c>
      <c r="J112" s="157">
        <f>L112/L97</f>
        <v>0.28599277762872782</v>
      </c>
      <c r="K112" s="82">
        <f>IF($J$97=0,0,L112/(J$94+J$95))</f>
        <v>759.31038461538458</v>
      </c>
      <c r="L112" s="33">
        <f>+SUM(START:END!L112)</f>
        <v>19742.07</v>
      </c>
      <c r="M112" s="41"/>
      <c r="N112" s="59">
        <f t="shared" ref="N112:N153" si="22">L112-F112</f>
        <v>-10780.228850574716</v>
      </c>
      <c r="O112" s="157">
        <f>Q112/Q97</f>
        <v>0.46818601696837725</v>
      </c>
      <c r="P112" s="82">
        <f>IF($J$97=0,0,Q112/(O$94+O$95))</f>
        <v>992.23923076923086</v>
      </c>
      <c r="Q112" s="33">
        <f>+SUM(START:END!Q112)</f>
        <v>25798.22</v>
      </c>
      <c r="R112" s="41"/>
      <c r="S112" s="85">
        <f t="shared" ref="S112:S148" si="23">L112-Q112</f>
        <v>-6056.1500000000015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0"/>
        <v>Véhicules usagésComm. F&amp;I</v>
      </c>
      <c r="B113" s="11" t="s">
        <v>70</v>
      </c>
      <c r="C113" s="86" t="s">
        <v>31</v>
      </c>
      <c r="D113" s="218">
        <f>F113/(F105+F19)</f>
        <v>0.25215043028466383</v>
      </c>
      <c r="E113" s="88">
        <f>F113/D$97</f>
        <v>398.75</v>
      </c>
      <c r="F113" s="22">
        <f>+SUM(START:END!F113)</f>
        <v>19140</v>
      </c>
      <c r="G113" s="162" t="e">
        <f>I113/I98</f>
        <v>#DIV/0!</v>
      </c>
      <c r="H113" s="88" t="e">
        <f>I113/G$97</f>
        <v>#DIV/0!</v>
      </c>
      <c r="I113" s="22">
        <f>+SUM(START:END!I113)</f>
        <v>0</v>
      </c>
      <c r="J113" s="162">
        <f>L113/L105</f>
        <v>0.25646515982270157</v>
      </c>
      <c r="K113" s="88">
        <f>IF($J$97=0,0,L113/(J$94+J$95))</f>
        <v>522.81576923076921</v>
      </c>
      <c r="L113" s="33">
        <f>+SUM(START:END!L113)</f>
        <v>13593.21</v>
      </c>
      <c r="M113" s="23"/>
      <c r="N113" s="91">
        <f t="shared" si="22"/>
        <v>-5546.7900000000009</v>
      </c>
      <c r="O113" s="162">
        <f>Q113/(Q105+Q19)</f>
        <v>0.26558440628674124</v>
      </c>
      <c r="P113" s="88">
        <f>IF($J$97=0,0,Q113/(O$94+O$95))</f>
        <v>577.85538461538465</v>
      </c>
      <c r="Q113" s="33">
        <f>+SUM(START:END!Q113)</f>
        <v>15024.240000000002</v>
      </c>
      <c r="R113" s="23"/>
      <c r="S113" s="92">
        <f t="shared" si="23"/>
        <v>-1431.0300000000025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0"/>
        <v>Véhicules usagésFrais de livraison</v>
      </c>
      <c r="B114" s="11" t="s">
        <v>70</v>
      </c>
      <c r="C114" s="29" t="s">
        <v>32</v>
      </c>
      <c r="D114" s="81"/>
      <c r="E114" s="82">
        <f>F114/D$97</f>
        <v>90</v>
      </c>
      <c r="F114" s="30">
        <f>+SUM(START:END!F114)</f>
        <v>4320</v>
      </c>
      <c r="G114" s="83"/>
      <c r="H114" s="82" t="e">
        <f>I114/G$97</f>
        <v>#DIV/0!</v>
      </c>
      <c r="I114" s="30">
        <f>+SUM(START:END!I114)</f>
        <v>0</v>
      </c>
      <c r="J114" s="41"/>
      <c r="K114" s="82">
        <f>IF($J$97=0,0,L114/(J$94+J$95))</f>
        <v>100.0803846153846</v>
      </c>
      <c r="L114" s="108">
        <f>+SUM(START:END!L114)</f>
        <v>2602.0899999999997</v>
      </c>
      <c r="M114" s="41"/>
      <c r="N114" s="59">
        <f t="shared" si="22"/>
        <v>-1717.9100000000003</v>
      </c>
      <c r="O114" s="41"/>
      <c r="P114" s="82">
        <f>IF($J$97=0,0,Q114/(O$94+O$95))</f>
        <v>136.31346153846155</v>
      </c>
      <c r="Q114" s="108">
        <f>+SUM(START:END!Q114)</f>
        <v>3544.15</v>
      </c>
      <c r="R114" s="41"/>
      <c r="S114" s="85">
        <f t="shared" si="23"/>
        <v>-942.0600000000004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0"/>
        <v>Véhicules usagésService gratuit 1</v>
      </c>
      <c r="B115" s="11" t="s">
        <v>70</v>
      </c>
      <c r="C115" s="29" t="s">
        <v>33</v>
      </c>
      <c r="D115" s="81"/>
      <c r="E115" s="82">
        <f t="shared" ref="E115:E121" si="24">F115/D$97</f>
        <v>94</v>
      </c>
      <c r="F115" s="30">
        <f>+SUM(START:END!F115)</f>
        <v>4512</v>
      </c>
      <c r="G115" s="83"/>
      <c r="H115" s="82" t="e">
        <f t="shared" ref="H115:H121" si="25">I115/G$97</f>
        <v>#DIV/0!</v>
      </c>
      <c r="I115" s="30">
        <f>+SUM(START:END!I115)</f>
        <v>0</v>
      </c>
      <c r="J115" s="41"/>
      <c r="K115" s="82">
        <f t="shared" ref="K115:K121" si="26">IF($J$97=0,0,L115/(J$94+J$95))</f>
        <v>113.3053846153846</v>
      </c>
      <c r="L115" s="33">
        <f>+SUM(START:END!L115)</f>
        <v>2945.9399999999996</v>
      </c>
      <c r="M115" s="41"/>
      <c r="N115" s="59">
        <f t="shared" si="22"/>
        <v>-1566.0600000000004</v>
      </c>
      <c r="O115" s="41"/>
      <c r="P115" s="82">
        <f t="shared" ref="P115:P121" si="27">IF($J$97=0,0,Q115/(O$94+O$95))</f>
        <v>204.3696153846154</v>
      </c>
      <c r="Q115" s="33">
        <f>+SUM(START:END!Q115)</f>
        <v>5313.6100000000006</v>
      </c>
      <c r="R115" s="41"/>
      <c r="S115" s="85">
        <f t="shared" si="23"/>
        <v>-2367.670000000001</v>
      </c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0"/>
        <v>Véhicules usagésEntretien stock</v>
      </c>
      <c r="B116" s="11" t="s">
        <v>70</v>
      </c>
      <c r="C116" s="86" t="s">
        <v>34</v>
      </c>
      <c r="D116" s="87"/>
      <c r="E116" s="88">
        <f t="shared" si="24"/>
        <v>116.25</v>
      </c>
      <c r="F116" s="22">
        <f>+SUM(START:END!F116)</f>
        <v>5580</v>
      </c>
      <c r="G116" s="89"/>
      <c r="H116" s="88" t="e">
        <f t="shared" si="25"/>
        <v>#DIV/0!</v>
      </c>
      <c r="I116" s="22">
        <f>+SUM(START:END!I116)</f>
        <v>0</v>
      </c>
      <c r="J116" s="23"/>
      <c r="K116" s="88">
        <f t="shared" si="26"/>
        <v>242.07423076923075</v>
      </c>
      <c r="L116" s="48">
        <f>+SUM(START:END!L116)</f>
        <v>6293.9299999999994</v>
      </c>
      <c r="M116" s="23"/>
      <c r="N116" s="91">
        <f t="shared" si="22"/>
        <v>713.92999999999938</v>
      </c>
      <c r="O116" s="23"/>
      <c r="P116" s="88">
        <f t="shared" si="27"/>
        <v>204.12923076923076</v>
      </c>
      <c r="Q116" s="48">
        <f>+SUM(START:END!Q116)</f>
        <v>5307.36</v>
      </c>
      <c r="R116" s="23"/>
      <c r="S116" s="92">
        <f t="shared" si="23"/>
        <v>986.56999999999971</v>
      </c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0"/>
        <v>Véhicules usagésPublicité 1</v>
      </c>
      <c r="B117" s="11" t="s">
        <v>70</v>
      </c>
      <c r="C117" s="29" t="s">
        <v>35</v>
      </c>
      <c r="D117" s="81"/>
      <c r="E117" s="82">
        <f t="shared" si="24"/>
        <v>439.0625</v>
      </c>
      <c r="F117" s="30">
        <f>+SUM(START:END!F117)</f>
        <v>21075</v>
      </c>
      <c r="G117" s="83"/>
      <c r="H117" s="82" t="e">
        <f t="shared" si="25"/>
        <v>#DIV/0!</v>
      </c>
      <c r="I117" s="30">
        <f>+SUM(START:END!I117)</f>
        <v>0</v>
      </c>
      <c r="J117" s="41"/>
      <c r="K117" s="82">
        <f t="shared" si="26"/>
        <v>528.18653846153848</v>
      </c>
      <c r="L117" s="33">
        <f>+SUM(START:END!L117)</f>
        <v>13732.85</v>
      </c>
      <c r="M117" s="41"/>
      <c r="N117" s="59">
        <f t="shared" si="22"/>
        <v>-7342.15</v>
      </c>
      <c r="O117" s="41"/>
      <c r="P117" s="82">
        <f t="shared" si="27"/>
        <v>920.9942307692304</v>
      </c>
      <c r="Q117" s="33">
        <f>+SUM(START:END!Q117)</f>
        <v>23945.849999999991</v>
      </c>
      <c r="R117" s="41"/>
      <c r="S117" s="85">
        <f t="shared" si="23"/>
        <v>-10212.999999999991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 t="shared" si="20"/>
        <v>Véhicules usagésIntérêt de gros</v>
      </c>
      <c r="B118" s="11" t="s">
        <v>70</v>
      </c>
      <c r="C118" s="29" t="s">
        <v>36</v>
      </c>
      <c r="D118" s="81"/>
      <c r="E118" s="82">
        <f t="shared" si="24"/>
        <v>272.10143715846993</v>
      </c>
      <c r="F118" s="30">
        <f>+SUM(START:END!F118)</f>
        <v>13060.868983606557</v>
      </c>
      <c r="G118" s="83"/>
      <c r="H118" s="82" t="e">
        <f t="shared" si="25"/>
        <v>#DIV/0!</v>
      </c>
      <c r="I118" s="30">
        <f>+SUM(START:END!I118)</f>
        <v>0</v>
      </c>
      <c r="J118" s="41"/>
      <c r="K118" s="82">
        <f t="shared" si="26"/>
        <v>332.065</v>
      </c>
      <c r="L118" s="33">
        <f>+SUM(START:END!L118)</f>
        <v>8633.69</v>
      </c>
      <c r="M118" s="41"/>
      <c r="N118" s="59">
        <f t="shared" si="22"/>
        <v>-4427.1789836065564</v>
      </c>
      <c r="O118" s="41"/>
      <c r="P118" s="82">
        <f t="shared" si="27"/>
        <v>517.31115384615384</v>
      </c>
      <c r="Q118" s="33">
        <f>+SUM(START:END!Q118)</f>
        <v>13450.09</v>
      </c>
      <c r="R118" s="41"/>
      <c r="S118" s="85">
        <f>L118-Q118</f>
        <v>-4816.3999999999996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 t="shared" si="20"/>
        <v>Véhicules usagés[...]</v>
      </c>
      <c r="B119" s="11" t="s">
        <v>70</v>
      </c>
      <c r="C119" s="29" t="s">
        <v>19</v>
      </c>
      <c r="D119" s="81"/>
      <c r="E119" s="82">
        <f t="shared" si="24"/>
        <v>0</v>
      </c>
      <c r="F119" s="30">
        <f>+SUM(START:END!F119)</f>
        <v>0</v>
      </c>
      <c r="G119" s="83"/>
      <c r="H119" s="82" t="e">
        <f t="shared" si="25"/>
        <v>#DIV/0!</v>
      </c>
      <c r="I119" s="30">
        <f>+SUM(START:END!I119)</f>
        <v>0</v>
      </c>
      <c r="J119" s="41"/>
      <c r="K119" s="82">
        <f t="shared" si="26"/>
        <v>0</v>
      </c>
      <c r="L119" s="33">
        <f>+SUM(START:END!L119)</f>
        <v>0</v>
      </c>
      <c r="M119" s="41"/>
      <c r="N119" s="59">
        <f t="shared" si="22"/>
        <v>0</v>
      </c>
      <c r="O119" s="41"/>
      <c r="P119" s="82">
        <f t="shared" si="27"/>
        <v>0</v>
      </c>
      <c r="Q119" s="33">
        <f>+SUM(START:END!Q119)</f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 t="shared" si="20"/>
        <v>Véhicules usagés[...]</v>
      </c>
      <c r="B120" s="11" t="s">
        <v>70</v>
      </c>
      <c r="C120" s="29" t="s">
        <v>19</v>
      </c>
      <c r="D120" s="81"/>
      <c r="E120" s="82">
        <f t="shared" si="24"/>
        <v>0</v>
      </c>
      <c r="F120" s="30">
        <f>+SUM(START:END!F120)</f>
        <v>0</v>
      </c>
      <c r="G120" s="83"/>
      <c r="H120" s="82" t="e">
        <f t="shared" si="25"/>
        <v>#DIV/0!</v>
      </c>
      <c r="I120" s="30">
        <f>+SUM(START:END!I120)</f>
        <v>0</v>
      </c>
      <c r="J120" s="41"/>
      <c r="K120" s="82">
        <f t="shared" si="26"/>
        <v>0</v>
      </c>
      <c r="L120" s="33">
        <f>+SUM(START:END!L120)</f>
        <v>0</v>
      </c>
      <c r="M120" s="41"/>
      <c r="N120" s="59">
        <f t="shared" si="22"/>
        <v>0</v>
      </c>
      <c r="O120" s="41"/>
      <c r="P120" s="82">
        <f t="shared" si="27"/>
        <v>0</v>
      </c>
      <c r="Q120" s="33">
        <f>+SUM(START:END!Q120)</f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 t="shared" si="20"/>
        <v>Véhicules usagés[...]</v>
      </c>
      <c r="B121" s="11" t="s">
        <v>70</v>
      </c>
      <c r="C121" s="29" t="s">
        <v>19</v>
      </c>
      <c r="D121" s="81"/>
      <c r="E121" s="82">
        <f t="shared" si="24"/>
        <v>0</v>
      </c>
      <c r="F121" s="30">
        <f>+SUM(START:END!F121)</f>
        <v>0</v>
      </c>
      <c r="G121" s="83"/>
      <c r="H121" s="82" t="e">
        <f t="shared" si="25"/>
        <v>#DIV/0!</v>
      </c>
      <c r="I121" s="30">
        <f>+SUM(START:END!I121)</f>
        <v>0</v>
      </c>
      <c r="J121" s="41"/>
      <c r="K121" s="82">
        <f t="shared" si="26"/>
        <v>0</v>
      </c>
      <c r="L121" s="33">
        <f>+SUM(START:END!L121)</f>
        <v>0</v>
      </c>
      <c r="M121" s="41"/>
      <c r="N121" s="59">
        <f t="shared" si="22"/>
        <v>0</v>
      </c>
      <c r="O121" s="41"/>
      <c r="P121" s="82">
        <f t="shared" si="27"/>
        <v>0</v>
      </c>
      <c r="Q121" s="33">
        <f>+SUM(START:END!Q121)</f>
        <v>0</v>
      </c>
      <c r="R121" s="41"/>
      <c r="S121" s="85">
        <f t="shared" si="23"/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si="20"/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0.57065757021604457</v>
      </c>
      <c r="F122" s="96">
        <f>SUM(F112:F121)</f>
        <v>98210.16783418128</v>
      </c>
      <c r="G122" s="97" t="s">
        <v>38</v>
      </c>
      <c r="H122" s="95" t="e">
        <f>I122/I$108</f>
        <v>#DIV/0!</v>
      </c>
      <c r="I122" s="96">
        <f>SUM(I112:I121)</f>
        <v>0</v>
      </c>
      <c r="J122" s="97" t="s">
        <v>38</v>
      </c>
      <c r="K122" s="95">
        <f>L122/L$108</f>
        <v>0.46876079186020286</v>
      </c>
      <c r="L122" s="96">
        <f>SUM(L112:L121)</f>
        <v>67543.78</v>
      </c>
      <c r="M122" s="100"/>
      <c r="N122" s="96">
        <f t="shared" si="22"/>
        <v>-30666.387834181282</v>
      </c>
      <c r="O122" s="97" t="s">
        <v>38</v>
      </c>
      <c r="P122" s="95">
        <f>Q122/Q$108</f>
        <v>0.59800875462333924</v>
      </c>
      <c r="Q122" s="96">
        <f>SUM(Q112:Q121)</f>
        <v>92383.51999999999</v>
      </c>
      <c r="R122" s="100"/>
      <c r="S122" s="101">
        <f t="shared" si="23"/>
        <v>-24839.739999999991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20"/>
        <v>Véhicules usagésSalaires cadres</v>
      </c>
      <c r="B123" s="11" t="s">
        <v>70</v>
      </c>
      <c r="C123" s="102" t="s">
        <v>40</v>
      </c>
      <c r="D123" s="13"/>
      <c r="E123" s="13"/>
      <c r="F123" s="30">
        <f>+SUM(START:END!F123)</f>
        <v>15114.026525198939</v>
      </c>
      <c r="G123" s="41"/>
      <c r="H123" s="13"/>
      <c r="I123" s="30">
        <f>+SUM(START:END!I123)</f>
        <v>0</v>
      </c>
      <c r="J123" s="41"/>
      <c r="K123" s="13"/>
      <c r="L123" s="33">
        <f>+SUM(START:END!L123)</f>
        <v>12148.99</v>
      </c>
      <c r="M123" s="41"/>
      <c r="N123" s="59">
        <f t="shared" si="22"/>
        <v>-2965.0365251989388</v>
      </c>
      <c r="O123" s="41"/>
      <c r="P123" s="13"/>
      <c r="Q123" s="33">
        <f>+SUM(START:END!Q123)</f>
        <v>12915.780000000002</v>
      </c>
      <c r="R123" s="41"/>
      <c r="S123" s="85">
        <f t="shared" si="23"/>
        <v>-766.79000000000269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20"/>
        <v>Véhicules usagésSalaires commis</v>
      </c>
      <c r="B124" s="11" t="s">
        <v>70</v>
      </c>
      <c r="C124" s="103" t="s">
        <v>41</v>
      </c>
      <c r="D124" s="81"/>
      <c r="E124" s="13"/>
      <c r="F124" s="22">
        <f>+SUM(START:END!F124)</f>
        <v>9099.5298850574709</v>
      </c>
      <c r="G124" s="83"/>
      <c r="H124" s="13"/>
      <c r="I124" s="22">
        <f>+SUM(START:END!I124)</f>
        <v>0</v>
      </c>
      <c r="J124" s="41"/>
      <c r="K124" s="13"/>
      <c r="L124" s="22">
        <f>+SUM(START:END!L124)</f>
        <v>8411.32</v>
      </c>
      <c r="M124" s="41"/>
      <c r="N124" s="59">
        <f t="shared" si="22"/>
        <v>-688.20988505747118</v>
      </c>
      <c r="O124" s="41"/>
      <c r="P124" s="13"/>
      <c r="Q124" s="22">
        <f>+SUM(START:END!Q124)</f>
        <v>10670.65</v>
      </c>
      <c r="R124" s="41"/>
      <c r="S124" s="85">
        <f t="shared" si="23"/>
        <v>-2259.33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20"/>
        <v>Véhicules usagésSalaires autres</v>
      </c>
      <c r="B125" s="11" t="s">
        <v>70</v>
      </c>
      <c r="C125" s="102" t="s">
        <v>42</v>
      </c>
      <c r="D125" s="104"/>
      <c r="E125" s="105"/>
      <c r="F125" s="30">
        <f>+SUM(START:END!F125)</f>
        <v>8427</v>
      </c>
      <c r="G125" s="106"/>
      <c r="H125" s="105"/>
      <c r="I125" s="30">
        <f>+SUM(START:END!I125)</f>
        <v>0</v>
      </c>
      <c r="J125" s="107"/>
      <c r="K125" s="105"/>
      <c r="L125" s="33">
        <f>+SUM(START:END!L125)</f>
        <v>5618</v>
      </c>
      <c r="M125" s="107"/>
      <c r="N125" s="109">
        <f t="shared" si="22"/>
        <v>-2809</v>
      </c>
      <c r="O125" s="107"/>
      <c r="P125" s="105"/>
      <c r="Q125" s="33">
        <f>+SUM(START:END!Q125)</f>
        <v>8427</v>
      </c>
      <c r="R125" s="107"/>
      <c r="S125" s="110">
        <f t="shared" si="23"/>
        <v>-2809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>
      <c r="A126" t="str">
        <f t="shared" si="20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f>+SUM(START:END!F126)</f>
        <v>0</v>
      </c>
      <c r="G126" s="83"/>
      <c r="H126" s="13"/>
      <c r="I126" s="30">
        <f>+SUM(START:END!I126)</f>
        <v>0</v>
      </c>
      <c r="J126" s="41"/>
      <c r="K126" s="13"/>
      <c r="L126" s="33">
        <f>+SUM(START:END!L126)</f>
        <v>0</v>
      </c>
      <c r="M126" s="41"/>
      <c r="N126" s="59">
        <f t="shared" si="22"/>
        <v>0</v>
      </c>
      <c r="O126" s="41"/>
      <c r="P126" s="13"/>
      <c r="Q126" s="33">
        <f>+SUM(START:END!Q126)</f>
        <v>0</v>
      </c>
      <c r="R126" s="41"/>
      <c r="S126" s="85">
        <f t="shared" si="23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 t="shared" si="20"/>
        <v>Véhicules usagés[...]</v>
      </c>
      <c r="B127" s="11" t="s">
        <v>70</v>
      </c>
      <c r="C127" s="102" t="s">
        <v>19</v>
      </c>
      <c r="D127" s="81"/>
      <c r="E127" s="13"/>
      <c r="F127" s="30">
        <f>+SUM(START:END!F127)</f>
        <v>0</v>
      </c>
      <c r="G127" s="83"/>
      <c r="H127" s="13"/>
      <c r="I127" s="30">
        <f>+SUM(START:END!I127)</f>
        <v>0</v>
      </c>
      <c r="J127" s="41"/>
      <c r="K127" s="13"/>
      <c r="L127" s="33">
        <f>+SUM(START:END!L127)</f>
        <v>0</v>
      </c>
      <c r="M127" s="41"/>
      <c r="N127" s="59">
        <f t="shared" si="22"/>
        <v>0</v>
      </c>
      <c r="O127" s="41"/>
      <c r="P127" s="13"/>
      <c r="Q127" s="33">
        <f>+SUM(START:END!Q127)</f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 t="shared" si="20"/>
        <v>Véhicules usagés[...]</v>
      </c>
      <c r="B128" s="11" t="s">
        <v>70</v>
      </c>
      <c r="C128" s="102" t="s">
        <v>19</v>
      </c>
      <c r="D128" s="81"/>
      <c r="E128" s="13"/>
      <c r="F128" s="30">
        <f>+SUM(START:END!F128)</f>
        <v>0</v>
      </c>
      <c r="G128" s="83"/>
      <c r="H128" s="13"/>
      <c r="I128" s="30">
        <f>+SUM(START:END!I128)</f>
        <v>0</v>
      </c>
      <c r="J128" s="41"/>
      <c r="K128" s="13"/>
      <c r="L128" s="33">
        <f>+SUM(START:END!L128)</f>
        <v>0</v>
      </c>
      <c r="M128" s="41"/>
      <c r="N128" s="59">
        <f t="shared" si="22"/>
        <v>0</v>
      </c>
      <c r="O128" s="41"/>
      <c r="P128" s="13"/>
      <c r="Q128" s="33">
        <f>+SUM(START:END!Q128)</f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 t="shared" si="20"/>
        <v>Véhicules usagés[...]</v>
      </c>
      <c r="B129" s="11" t="s">
        <v>70</v>
      </c>
      <c r="C129" s="102" t="s">
        <v>19</v>
      </c>
      <c r="D129" s="81"/>
      <c r="E129" s="13"/>
      <c r="F129" s="30">
        <f>+SUM(START:END!F129)</f>
        <v>0</v>
      </c>
      <c r="G129" s="83"/>
      <c r="H129" s="13"/>
      <c r="I129" s="30">
        <f>+SUM(START:END!I129)</f>
        <v>0</v>
      </c>
      <c r="J129" s="41"/>
      <c r="K129" s="13"/>
      <c r="L129" s="33">
        <f>+SUM(START:END!L129)</f>
        <v>0</v>
      </c>
      <c r="M129" s="41"/>
      <c r="N129" s="59">
        <f t="shared" si="22"/>
        <v>0</v>
      </c>
      <c r="O129" s="41"/>
      <c r="P129" s="13"/>
      <c r="Q129" s="33">
        <f>+SUM(START:END!Q129)</f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si="20"/>
        <v>Véhicules usagésSalaires en absences</v>
      </c>
      <c r="B130" s="11" t="s">
        <v>70</v>
      </c>
      <c r="C130" s="103" t="s">
        <v>44</v>
      </c>
      <c r="D130" s="81"/>
      <c r="E130" s="13"/>
      <c r="F130" s="30">
        <f>+SUM(START:END!F130)</f>
        <v>11244.077395640988</v>
      </c>
      <c r="G130" s="83"/>
      <c r="H130" s="13"/>
      <c r="I130" s="30">
        <f>+SUM(START:END!I130)</f>
        <v>0</v>
      </c>
      <c r="J130" s="41"/>
      <c r="K130" s="13"/>
      <c r="L130" s="33">
        <f>+SUM(START:END!L130)</f>
        <v>9490.2099999999991</v>
      </c>
      <c r="M130" s="41"/>
      <c r="N130" s="59">
        <f t="shared" si="22"/>
        <v>-1753.8673956409893</v>
      </c>
      <c r="O130" s="41"/>
      <c r="P130" s="13"/>
      <c r="Q130" s="33">
        <f>+SUM(START:END!Q130)</f>
        <v>14250.779999999999</v>
      </c>
      <c r="R130" s="41"/>
      <c r="S130" s="85">
        <f>L130-Q130</f>
        <v>-4760.57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20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f>+SUM(START:END!F131)</f>
        <v>10100.547721830239</v>
      </c>
      <c r="G131" s="106"/>
      <c r="H131" s="105"/>
      <c r="I131" s="54">
        <f>+SUM(START:END!I131)</f>
        <v>0</v>
      </c>
      <c r="J131" s="107"/>
      <c r="K131" s="105"/>
      <c r="L131" s="55">
        <f>+SUM(START:END!L131)</f>
        <v>6409.85</v>
      </c>
      <c r="M131" s="107"/>
      <c r="N131" s="109">
        <f t="shared" si="22"/>
        <v>-3690.6977218302382</v>
      </c>
      <c r="O131" s="107"/>
      <c r="P131" s="105"/>
      <c r="Q131" s="55">
        <f>+SUM(START:END!Q131)</f>
        <v>8181.05</v>
      </c>
      <c r="R131" s="107"/>
      <c r="S131" s="110">
        <f t="shared" si="23"/>
        <v>-1771.1999999999998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20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f>+SUM(START:END!F132)</f>
        <v>6061.0335023872685</v>
      </c>
      <c r="G132" s="83"/>
      <c r="H132" s="13"/>
      <c r="I132" s="30">
        <f>+SUM(START:END!I132)</f>
        <v>0</v>
      </c>
      <c r="J132" s="41"/>
      <c r="K132" s="13"/>
      <c r="L132" s="33">
        <f>+SUM(START:END!L132)</f>
        <v>4945.34</v>
      </c>
      <c r="M132" s="41"/>
      <c r="N132" s="59">
        <f t="shared" si="22"/>
        <v>-1115.6935023872684</v>
      </c>
      <c r="O132" s="41"/>
      <c r="P132" s="13"/>
      <c r="Q132" s="33">
        <f>+SUM(START:END!Q132)</f>
        <v>7560.51</v>
      </c>
      <c r="R132" s="41"/>
      <c r="S132" s="85">
        <f t="shared" si="23"/>
        <v>-2615.17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20"/>
        <v>Véhicules usagésCsst</v>
      </c>
      <c r="B133" s="11" t="s">
        <v>70</v>
      </c>
      <c r="C133" s="102" t="s">
        <v>47</v>
      </c>
      <c r="D133" s="81"/>
      <c r="E133" s="13"/>
      <c r="F133" s="30">
        <f>+SUM(START:END!F133)</f>
        <v>1298.7928933687003</v>
      </c>
      <c r="G133" s="83"/>
      <c r="H133" s="13"/>
      <c r="I133" s="30">
        <f>+SUM(START:END!I133)</f>
        <v>0</v>
      </c>
      <c r="J133" s="41"/>
      <c r="K133" s="13"/>
      <c r="L133" s="33">
        <f>+SUM(START:END!L133)</f>
        <v>993.89</v>
      </c>
      <c r="M133" s="41"/>
      <c r="N133" s="59">
        <f t="shared" si="22"/>
        <v>-304.90289336870035</v>
      </c>
      <c r="O133" s="41"/>
      <c r="P133" s="13"/>
      <c r="Q133" s="33">
        <f>+SUM(START:END!Q133)</f>
        <v>197.17000000000002</v>
      </c>
      <c r="R133" s="41"/>
      <c r="S133" s="85">
        <f t="shared" si="23"/>
        <v>796.72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20"/>
        <v>Véhicules usagés[...]</v>
      </c>
      <c r="B134" s="11" t="s">
        <v>70</v>
      </c>
      <c r="C134" s="29" t="s">
        <v>19</v>
      </c>
      <c r="D134" s="87"/>
      <c r="E134" s="111"/>
      <c r="F134" s="30">
        <f>+SUM(START:END!F134)</f>
        <v>0</v>
      </c>
      <c r="G134" s="89"/>
      <c r="H134" s="111"/>
      <c r="I134" s="30">
        <f>+SUM(START:END!I134)</f>
        <v>0</v>
      </c>
      <c r="J134" s="23"/>
      <c r="K134" s="111"/>
      <c r="L134" s="33">
        <f>+SUM(START:END!L134)</f>
        <v>0</v>
      </c>
      <c r="M134" s="41"/>
      <c r="N134" s="59">
        <f t="shared" si="22"/>
        <v>0</v>
      </c>
      <c r="O134" s="23"/>
      <c r="P134" s="111"/>
      <c r="Q134" s="33">
        <f>+SUM(START:END!Q134)</f>
        <v>0</v>
      </c>
      <c r="R134" s="23"/>
      <c r="S134" s="92">
        <f t="shared" si="23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20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0.35644978456411164</v>
      </c>
      <c r="F135" s="96">
        <f>+SUM(F123:F134)</f>
        <v>61345.007923483608</v>
      </c>
      <c r="G135" s="97" t="s">
        <v>38</v>
      </c>
      <c r="H135" s="95" t="e">
        <f>I135/I$108</f>
        <v>#DIV/0!</v>
      </c>
      <c r="I135" s="96">
        <f>+SUM(I123:I134)</f>
        <v>0</v>
      </c>
      <c r="J135" s="97" t="s">
        <v>38</v>
      </c>
      <c r="K135" s="95">
        <f>L135/L$108</f>
        <v>0.33324709098641608</v>
      </c>
      <c r="L135" s="96">
        <f>SUM(L123:L134)</f>
        <v>48017.599999999991</v>
      </c>
      <c r="M135" s="463"/>
      <c r="N135" s="464">
        <f t="shared" si="22"/>
        <v>-13327.407923483617</v>
      </c>
      <c r="O135" s="97" t="s">
        <v>38</v>
      </c>
      <c r="P135" s="95">
        <f>Q135/Q$108</f>
        <v>0.40264651837589971</v>
      </c>
      <c r="Q135" s="96">
        <f>SUM(Q123:Q134)</f>
        <v>62202.94</v>
      </c>
      <c r="R135" s="147"/>
      <c r="S135" s="114">
        <f t="shared" si="23"/>
        <v>-14185.340000000011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>
      <c r="A136" t="str">
        <f t="shared" si="20"/>
        <v>Véhicules usagésPublicité 2</v>
      </c>
      <c r="B136" s="11" t="s">
        <v>70</v>
      </c>
      <c r="C136" s="29" t="s">
        <v>49</v>
      </c>
      <c r="D136" s="81"/>
      <c r="E136" s="13"/>
      <c r="F136" s="30">
        <f>+SUM(START:END!F136)</f>
        <v>0</v>
      </c>
      <c r="G136" s="83"/>
      <c r="H136" s="13"/>
      <c r="I136" s="30">
        <f>+SUM(START:END!I136)</f>
        <v>0</v>
      </c>
      <c r="J136" s="41"/>
      <c r="K136" s="13"/>
      <c r="L136" s="33">
        <f>+SUM(START:END!L136)</f>
        <v>0</v>
      </c>
      <c r="M136" s="41"/>
      <c r="N136" s="59">
        <f t="shared" si="22"/>
        <v>0</v>
      </c>
      <c r="O136" s="41"/>
      <c r="P136" s="13"/>
      <c r="Q136" s="33">
        <f>+SUM(START:END!Q136)</f>
        <v>0</v>
      </c>
      <c r="R136" s="41"/>
      <c r="S136" s="85">
        <f t="shared" si="23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>
      <c r="A137" t="str">
        <f t="shared" si="20"/>
        <v>Véhicules usagésService gratuit 2</v>
      </c>
      <c r="B137" s="11" t="s">
        <v>70</v>
      </c>
      <c r="C137" s="29" t="s">
        <v>50</v>
      </c>
      <c r="D137" s="81"/>
      <c r="E137" s="13"/>
      <c r="F137" s="30">
        <f>+SUM(START:END!F137)</f>
        <v>0</v>
      </c>
      <c r="G137" s="83"/>
      <c r="H137" s="13"/>
      <c r="I137" s="30">
        <f>+SUM(START:END!I137)</f>
        <v>0</v>
      </c>
      <c r="J137" s="41"/>
      <c r="K137" s="13"/>
      <c r="L137" s="33">
        <f>+SUM(START:END!L137)</f>
        <v>0</v>
      </c>
      <c r="M137" s="41"/>
      <c r="N137" s="59">
        <f t="shared" si="22"/>
        <v>0</v>
      </c>
      <c r="O137" s="41"/>
      <c r="P137" s="13"/>
      <c r="Q137" s="33">
        <f>+SUM(START:END!Q137)</f>
        <v>0</v>
      </c>
      <c r="R137" s="41"/>
      <c r="S137" s="85">
        <f t="shared" si="23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20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f>+SUM(START:END!F138)</f>
        <v>2830.9000000000005</v>
      </c>
      <c r="G138" s="89"/>
      <c r="H138" s="111"/>
      <c r="I138" s="22">
        <f>+SUM(START:END!I138)</f>
        <v>0</v>
      </c>
      <c r="J138" s="23"/>
      <c r="K138" s="111"/>
      <c r="L138" s="22">
        <f>+SUM(START:END!L138)</f>
        <v>3057.29</v>
      </c>
      <c r="M138" s="23"/>
      <c r="N138" s="91">
        <f t="shared" si="22"/>
        <v>226.38999999999942</v>
      </c>
      <c r="O138" s="23"/>
      <c r="P138" s="111"/>
      <c r="Q138" s="22">
        <f>+SUM(START:END!Q138)</f>
        <v>3898.68</v>
      </c>
      <c r="R138" s="23"/>
      <c r="S138" s="92">
        <f t="shared" si="23"/>
        <v>-841.38999999999987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20"/>
        <v>Véhicules usagésInformatique</v>
      </c>
      <c r="B139" s="11" t="s">
        <v>70</v>
      </c>
      <c r="C139" s="29" t="s">
        <v>52</v>
      </c>
      <c r="D139" s="81"/>
      <c r="E139" s="13"/>
      <c r="F139" s="30">
        <f>+SUM(START:END!F139)</f>
        <v>4276.2000000000007</v>
      </c>
      <c r="G139" s="83"/>
      <c r="H139" s="13"/>
      <c r="I139" s="30">
        <f>+SUM(START:END!I139)</f>
        <v>0</v>
      </c>
      <c r="J139" s="41"/>
      <c r="K139" s="13"/>
      <c r="L139" s="33">
        <f>+SUM(START:END!L139)</f>
        <v>4475.1499999999996</v>
      </c>
      <c r="M139" s="41"/>
      <c r="N139" s="59">
        <f t="shared" si="22"/>
        <v>198.94999999999891</v>
      </c>
      <c r="O139" s="41"/>
      <c r="P139" s="13"/>
      <c r="Q139" s="33">
        <f>+SUM(START:END!Q139)</f>
        <v>4729.3700000000008</v>
      </c>
      <c r="R139" s="41"/>
      <c r="S139" s="85">
        <f t="shared" si="23"/>
        <v>-254.22000000000116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20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f>+SUM(START:END!F140)</f>
        <v>550</v>
      </c>
      <c r="G140" s="83"/>
      <c r="H140" s="13"/>
      <c r="I140" s="30">
        <f>+SUM(START:END!I140)</f>
        <v>0</v>
      </c>
      <c r="J140" s="41"/>
      <c r="K140" s="13"/>
      <c r="L140" s="33">
        <f>+SUM(START:END!L140)</f>
        <v>365.24</v>
      </c>
      <c r="M140" s="41"/>
      <c r="N140" s="59">
        <f t="shared" si="22"/>
        <v>-184.76</v>
      </c>
      <c r="O140" s="41"/>
      <c r="P140" s="13"/>
      <c r="Q140" s="33">
        <f>+SUM(START:END!Q140)</f>
        <v>1089.27</v>
      </c>
      <c r="R140" s="41"/>
      <c r="S140" s="85">
        <f t="shared" si="23"/>
        <v>-724.03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20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f>+SUM(START:END!F141)</f>
        <v>2209.8000000000002</v>
      </c>
      <c r="G141" s="89"/>
      <c r="H141" s="111"/>
      <c r="I141" s="22">
        <f>+SUM(START:END!I141)</f>
        <v>0</v>
      </c>
      <c r="J141" s="23"/>
      <c r="K141" s="111"/>
      <c r="L141" s="22">
        <f>+SUM(START:END!L141)</f>
        <v>2464.5100000000002</v>
      </c>
      <c r="M141" s="23"/>
      <c r="N141" s="91">
        <f t="shared" si="22"/>
        <v>254.71000000000004</v>
      </c>
      <c r="O141" s="23"/>
      <c r="P141" s="111"/>
      <c r="Q141" s="22">
        <f>+SUM(START:END!Q141)</f>
        <v>3063.06</v>
      </c>
      <c r="R141" s="23"/>
      <c r="S141" s="92">
        <f t="shared" si="23"/>
        <v>-598.54999999999973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20"/>
        <v>Véhicules usagésFournitures autres</v>
      </c>
      <c r="B142" s="11" t="s">
        <v>70</v>
      </c>
      <c r="C142" s="29" t="s">
        <v>55</v>
      </c>
      <c r="D142" s="81"/>
      <c r="E142" s="13"/>
      <c r="F142" s="30">
        <f>+SUM(START:END!F142)</f>
        <v>52.5</v>
      </c>
      <c r="G142" s="83"/>
      <c r="H142" s="13"/>
      <c r="I142" s="30">
        <f>+SUM(START:END!I142)</f>
        <v>0</v>
      </c>
      <c r="J142" s="41"/>
      <c r="K142" s="13"/>
      <c r="L142" s="33">
        <f>+SUM(START:END!L142)</f>
        <v>2.92</v>
      </c>
      <c r="M142" s="41"/>
      <c r="N142" s="59">
        <f t="shared" si="22"/>
        <v>-49.58</v>
      </c>
      <c r="O142" s="41"/>
      <c r="P142" s="13"/>
      <c r="Q142" s="33">
        <f>+SUM(START:END!Q142)</f>
        <v>278.45</v>
      </c>
      <c r="R142" s="41"/>
      <c r="S142" s="85">
        <f t="shared" si="23"/>
        <v>-275.52999999999997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20"/>
        <v>Véhicules usagésUniformes</v>
      </c>
      <c r="B143" s="11" t="s">
        <v>70</v>
      </c>
      <c r="C143" s="29" t="s">
        <v>56</v>
      </c>
      <c r="D143" s="81"/>
      <c r="E143" s="13"/>
      <c r="F143" s="30">
        <f>+SUM(START:END!F143)</f>
        <v>30</v>
      </c>
      <c r="G143" s="83"/>
      <c r="H143" s="13"/>
      <c r="I143" s="30">
        <f>+SUM(START:END!I143)</f>
        <v>0</v>
      </c>
      <c r="J143" s="41"/>
      <c r="K143" s="13"/>
      <c r="L143" s="33">
        <f>+SUM(START:END!L143)</f>
        <v>0</v>
      </c>
      <c r="M143" s="41"/>
      <c r="N143" s="59">
        <f t="shared" si="22"/>
        <v>-30</v>
      </c>
      <c r="O143" s="41"/>
      <c r="P143" s="13"/>
      <c r="Q143" s="33">
        <f>+SUM(START:END!Q143)</f>
        <v>0</v>
      </c>
      <c r="R143" s="41"/>
      <c r="S143" s="85">
        <f t="shared" si="23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20"/>
        <v>Véhicules usagésPapeterie</v>
      </c>
      <c r="B144" s="11" t="s">
        <v>70</v>
      </c>
      <c r="C144" s="29" t="s">
        <v>57</v>
      </c>
      <c r="D144" s="81"/>
      <c r="E144" s="13"/>
      <c r="F144" s="30">
        <f>+SUM(START:END!F144)</f>
        <v>472.5</v>
      </c>
      <c r="G144" s="83"/>
      <c r="H144" s="13"/>
      <c r="I144" s="30">
        <f>+SUM(START:END!I144)</f>
        <v>0</v>
      </c>
      <c r="J144" s="41"/>
      <c r="K144" s="13"/>
      <c r="L144" s="32">
        <f>+SUM(START:END!L144)</f>
        <v>295.33</v>
      </c>
      <c r="M144" s="41"/>
      <c r="N144" s="59">
        <f t="shared" si="22"/>
        <v>-177.17000000000002</v>
      </c>
      <c r="O144" s="41"/>
      <c r="P144" s="13"/>
      <c r="Q144" s="32">
        <f>+SUM(START:END!Q144)</f>
        <v>604.76</v>
      </c>
      <c r="R144" s="41"/>
      <c r="S144" s="85">
        <f t="shared" si="23"/>
        <v>-309.43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20"/>
        <v>Véhicules usagésTéléphone</v>
      </c>
      <c r="B145" s="11" t="s">
        <v>70</v>
      </c>
      <c r="C145" s="29" t="s">
        <v>58</v>
      </c>
      <c r="D145" s="81"/>
      <c r="E145" s="13"/>
      <c r="F145" s="30">
        <f>+SUM(START:END!F145)</f>
        <v>189.60000000000002</v>
      </c>
      <c r="G145" s="83"/>
      <c r="H145" s="13"/>
      <c r="I145" s="30">
        <f>+SUM(START:END!I145)</f>
        <v>0</v>
      </c>
      <c r="J145" s="41"/>
      <c r="K145" s="13"/>
      <c r="L145" s="33">
        <f>+SUM(START:END!L145)</f>
        <v>230.03</v>
      </c>
      <c r="M145" s="41"/>
      <c r="N145" s="59">
        <f t="shared" si="22"/>
        <v>40.429999999999978</v>
      </c>
      <c r="O145" s="41"/>
      <c r="P145" s="13"/>
      <c r="Q145" s="33">
        <f>+SUM(START:END!Q145)</f>
        <v>257.15999999999997</v>
      </c>
      <c r="R145" s="41"/>
      <c r="S145" s="85">
        <f t="shared" si="23"/>
        <v>-27.129999999999967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20"/>
        <v>Véhicules usagésFrais postaux</v>
      </c>
      <c r="B146" s="11" t="s">
        <v>70</v>
      </c>
      <c r="C146" s="29" t="s">
        <v>59</v>
      </c>
      <c r="D146" s="81"/>
      <c r="E146" s="13"/>
      <c r="F146" s="30">
        <f>+SUM(START:END!F146)</f>
        <v>135</v>
      </c>
      <c r="G146" s="83"/>
      <c r="H146" s="13"/>
      <c r="I146" s="30">
        <f>+SUM(START:END!I146)</f>
        <v>0</v>
      </c>
      <c r="J146" s="41"/>
      <c r="K146" s="13"/>
      <c r="L146" s="33">
        <f>+SUM(START:END!L146)</f>
        <v>282.22000000000003</v>
      </c>
      <c r="M146" s="41"/>
      <c r="N146" s="59">
        <f t="shared" si="22"/>
        <v>147.22000000000003</v>
      </c>
      <c r="O146" s="41"/>
      <c r="P146" s="13"/>
      <c r="Q146" s="33">
        <f>+SUM(START:END!Q146)</f>
        <v>387.73</v>
      </c>
      <c r="R146" s="41"/>
      <c r="S146" s="85">
        <f t="shared" si="23"/>
        <v>-105.50999999999999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20"/>
        <v>Véhicules usagésDivers</v>
      </c>
      <c r="B147" s="11" t="s">
        <v>70</v>
      </c>
      <c r="C147" s="29" t="s">
        <v>60</v>
      </c>
      <c r="D147" s="81"/>
      <c r="E147" s="13"/>
      <c r="F147" s="30">
        <f>+SUM(START:END!F147)</f>
        <v>522.30000000000007</v>
      </c>
      <c r="G147" s="83"/>
      <c r="H147" s="13"/>
      <c r="I147" s="30">
        <f>+SUM(START:END!I147)</f>
        <v>0</v>
      </c>
      <c r="J147" s="41"/>
      <c r="K147" s="13"/>
      <c r="L147" s="33">
        <f>+SUM(START:END!L147)</f>
        <v>324.05</v>
      </c>
      <c r="M147" s="41"/>
      <c r="N147" s="59">
        <f t="shared" si="22"/>
        <v>-198.25000000000006</v>
      </c>
      <c r="O147" s="41"/>
      <c r="P147" s="13"/>
      <c r="Q147" s="33">
        <f>+SUM(START:END!Q147)</f>
        <v>547.98</v>
      </c>
      <c r="R147" s="41"/>
      <c r="S147" s="85">
        <f t="shared" si="23"/>
        <v>-223.93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20"/>
        <v>Véhicules usagésFormation</v>
      </c>
      <c r="B148" s="11" t="s">
        <v>70</v>
      </c>
      <c r="C148" s="29" t="s">
        <v>61</v>
      </c>
      <c r="D148" s="81"/>
      <c r="E148" s="13"/>
      <c r="F148" s="30">
        <f>+SUM(START:END!F148)</f>
        <v>372.12233999999995</v>
      </c>
      <c r="G148" s="83"/>
      <c r="H148" s="13"/>
      <c r="I148" s="30">
        <f>+SUM(START:END!I148)</f>
        <v>0</v>
      </c>
      <c r="J148" s="41"/>
      <c r="K148" s="13"/>
      <c r="L148" s="59">
        <f>+SUM(START:END!L148)</f>
        <v>88.799999999999983</v>
      </c>
      <c r="M148" s="41"/>
      <c r="N148" s="59">
        <f t="shared" si="22"/>
        <v>-283.32233999999994</v>
      </c>
      <c r="O148" s="41"/>
      <c r="P148" s="13"/>
      <c r="Q148" s="33">
        <f>+SUM(START:END!Q148)</f>
        <v>106.26</v>
      </c>
      <c r="R148" s="41"/>
      <c r="S148" s="85">
        <f t="shared" si="23"/>
        <v>-17.460000000000022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 t="shared" si="20"/>
        <v>Véhicules usagésFrais bancaires</v>
      </c>
      <c r="B149" s="11" t="s">
        <v>70</v>
      </c>
      <c r="C149" s="29" t="s">
        <v>62</v>
      </c>
      <c r="D149" s="81"/>
      <c r="E149" s="13"/>
      <c r="F149" s="30">
        <f>+SUM(START:END!F149)</f>
        <v>1804.5019193602016</v>
      </c>
      <c r="G149" s="83"/>
      <c r="H149" s="13"/>
      <c r="I149" s="30">
        <f>+SUM(START:END!I149)</f>
        <v>0</v>
      </c>
      <c r="J149" s="41"/>
      <c r="K149" s="13"/>
      <c r="L149" s="33">
        <f>+SUM(START:END!L149)</f>
        <v>2121.75</v>
      </c>
      <c r="M149" s="41"/>
      <c r="N149" s="59">
        <f t="shared" si="22"/>
        <v>317.24808063979845</v>
      </c>
      <c r="O149" s="41"/>
      <c r="P149" s="13"/>
      <c r="Q149" s="33">
        <f>+SUM(START:END!Q149)</f>
        <v>2509.81</v>
      </c>
      <c r="R149" s="41"/>
      <c r="S149" s="85">
        <f>L149-Q149</f>
        <v>-388.05999999999995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 t="shared" si="20"/>
        <v>Véhicules usagés[...]</v>
      </c>
      <c r="B150" s="11" t="s">
        <v>70</v>
      </c>
      <c r="C150" s="29" t="s">
        <v>19</v>
      </c>
      <c r="D150" s="81"/>
      <c r="E150" s="13"/>
      <c r="F150" s="30">
        <f>+SUM(START:END!F150)</f>
        <v>0</v>
      </c>
      <c r="G150" s="83"/>
      <c r="H150" s="13"/>
      <c r="I150" s="30">
        <f>+SUM(START:END!I150)</f>
        <v>0</v>
      </c>
      <c r="J150" s="41"/>
      <c r="K150" s="13"/>
      <c r="L150" s="33">
        <f>+SUM(START:END!L150)</f>
        <v>0</v>
      </c>
      <c r="M150" s="41"/>
      <c r="N150" s="59">
        <f t="shared" si="22"/>
        <v>0</v>
      </c>
      <c r="O150" s="41"/>
      <c r="P150" s="13"/>
      <c r="Q150" s="33">
        <f>+SUM(START:END!Q150)</f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 t="shared" si="20"/>
        <v>Véhicules usagés[...]</v>
      </c>
      <c r="B151" s="11" t="s">
        <v>70</v>
      </c>
      <c r="C151" s="29" t="s">
        <v>19</v>
      </c>
      <c r="D151" s="81"/>
      <c r="E151" s="13"/>
      <c r="F151" s="30">
        <f>+SUM(START:END!F151)</f>
        <v>0</v>
      </c>
      <c r="G151" s="83"/>
      <c r="H151" s="13"/>
      <c r="I151" s="30">
        <f>+SUM(START:END!I151)</f>
        <v>0</v>
      </c>
      <c r="J151" s="41"/>
      <c r="K151" s="13"/>
      <c r="L151" s="33">
        <f>+SUM(START:END!L151)</f>
        <v>0</v>
      </c>
      <c r="M151" s="41"/>
      <c r="N151" s="59">
        <f t="shared" si="22"/>
        <v>0</v>
      </c>
      <c r="O151" s="41"/>
      <c r="P151" s="13"/>
      <c r="Q151" s="33">
        <f>+SUM(START:END!Q151)</f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 t="shared" si="20"/>
        <v>Véhicules usagés[...]</v>
      </c>
      <c r="B152" s="11" t="s">
        <v>70</v>
      </c>
      <c r="C152" s="29" t="s">
        <v>19</v>
      </c>
      <c r="D152" s="81"/>
      <c r="E152" s="13"/>
      <c r="F152" s="30">
        <f>+SUM(START:END!F152)</f>
        <v>0</v>
      </c>
      <c r="G152" s="83"/>
      <c r="H152" s="13"/>
      <c r="I152" s="30">
        <f>+SUM(START:END!I152)</f>
        <v>0</v>
      </c>
      <c r="J152" s="41"/>
      <c r="K152" s="13"/>
      <c r="L152" s="33">
        <f>+SUM(START:END!L152)</f>
        <v>0</v>
      </c>
      <c r="M152" s="41"/>
      <c r="N152" s="59">
        <f t="shared" si="22"/>
        <v>0</v>
      </c>
      <c r="O152" s="41"/>
      <c r="P152" s="13"/>
      <c r="Q152" s="33">
        <f>+SUM(START:END!Q152)</f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si="20"/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7.8125649386172016E-2</v>
      </c>
      <c r="F153" s="96">
        <f>+SUM(F136:F152)</f>
        <v>13445.424259360203</v>
      </c>
      <c r="G153" s="97" t="s">
        <v>38</v>
      </c>
      <c r="H153" s="95" t="e">
        <f>I153/I$108</f>
        <v>#DIV/0!</v>
      </c>
      <c r="I153" s="96">
        <f>+SUM(I136:I152)</f>
        <v>0</v>
      </c>
      <c r="J153" s="97" t="s">
        <v>38</v>
      </c>
      <c r="K153" s="95">
        <f>L153/L$108</f>
        <v>9.5130004785894992E-2</v>
      </c>
      <c r="L153" s="96">
        <f>+SUM(L136:L152)</f>
        <v>13707.289999999997</v>
      </c>
      <c r="M153" s="100"/>
      <c r="N153" s="96">
        <f t="shared" si="22"/>
        <v>261.86574063979424</v>
      </c>
      <c r="O153" s="97" t="s">
        <v>38</v>
      </c>
      <c r="P153" s="95">
        <f>Q153/Q$108</f>
        <v>0.1131016214300877</v>
      </c>
      <c r="Q153" s="96">
        <f>+SUM(Q136:Q152)</f>
        <v>17472.530000000002</v>
      </c>
      <c r="R153" s="100"/>
      <c r="S153" s="101">
        <f>L153-Q153</f>
        <v>-3765.2400000000052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20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20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1.0052330041663284</v>
      </c>
      <c r="F155" s="96">
        <f>F122+F135+F153</f>
        <v>173000.60001702511</v>
      </c>
      <c r="G155" s="97" t="s">
        <v>38</v>
      </c>
      <c r="H155" s="95" t="e">
        <f>I155/I$108</f>
        <v>#DIV/0!</v>
      </c>
      <c r="I155" s="96">
        <f>I122+I135+I153</f>
        <v>0</v>
      </c>
      <c r="J155" s="97" t="s">
        <v>38</v>
      </c>
      <c r="K155" s="95">
        <f>L155/L$108</f>
        <v>0.8971378876325139</v>
      </c>
      <c r="L155" s="96">
        <f>L122+L135+L153</f>
        <v>129268.66999999998</v>
      </c>
      <c r="M155" s="100"/>
      <c r="N155" s="113">
        <f t="shared" ref="N155:N162" si="28">L155-F155</f>
        <v>-43731.930017025123</v>
      </c>
      <c r="O155" s="97" t="s">
        <v>38</v>
      </c>
      <c r="P155" s="95">
        <f>Q155/Q$108</f>
        <v>1.1137568944293266</v>
      </c>
      <c r="Q155" s="96">
        <f>Q122+Q135+Q153</f>
        <v>172058.99</v>
      </c>
      <c r="R155" s="100"/>
      <c r="S155" s="114">
        <f t="shared" ref="S155:S162" si="29">L155-Q155</f>
        <v>-42790.320000000007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20"/>
        <v>Véhicules usagésRBSC used</v>
      </c>
      <c r="B156" s="11" t="s">
        <v>70</v>
      </c>
      <c r="C156" s="29" t="s">
        <v>218</v>
      </c>
      <c r="D156" s="149"/>
      <c r="E156" s="150"/>
      <c r="F156" s="30">
        <f>+SUM(START:END!F156)</f>
        <v>6000</v>
      </c>
      <c r="G156" s="151"/>
      <c r="H156" s="150"/>
      <c r="I156" s="30">
        <f>+SUM(START:END!I156)</f>
        <v>0</v>
      </c>
      <c r="J156" s="151"/>
      <c r="K156" s="150"/>
      <c r="L156" s="32">
        <f>+SUM(START:END!L156)</f>
        <v>2250</v>
      </c>
      <c r="M156" s="41"/>
      <c r="N156" s="59">
        <f t="shared" si="28"/>
        <v>-3750</v>
      </c>
      <c r="O156" s="151"/>
      <c r="P156" s="150"/>
      <c r="Q156" s="33">
        <f>+SUM(START:END!Q156)</f>
        <v>3000</v>
      </c>
      <c r="R156" s="41"/>
      <c r="S156" s="85">
        <f t="shared" si="29"/>
        <v>-750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20"/>
        <v>Véhicules usagésProgramme 360</v>
      </c>
      <c r="B157" s="11" t="s">
        <v>70</v>
      </c>
      <c r="C157" s="29" t="s">
        <v>219</v>
      </c>
      <c r="D157" s="149"/>
      <c r="E157" s="150"/>
      <c r="F157" s="30">
        <f>+SUM(START:END!F157)</f>
        <v>2144</v>
      </c>
      <c r="G157" s="151"/>
      <c r="H157" s="150"/>
      <c r="I157" s="30">
        <f>+SUM(START:END!I157)</f>
        <v>0</v>
      </c>
      <c r="J157" s="151"/>
      <c r="K157" s="150"/>
      <c r="L157" s="33">
        <f>+SUM(START:END!L157)</f>
        <v>0</v>
      </c>
      <c r="M157" s="41"/>
      <c r="N157" s="59">
        <f t="shared" si="28"/>
        <v>-2144</v>
      </c>
      <c r="O157" s="151"/>
      <c r="P157" s="150"/>
      <c r="Q157" s="33">
        <f>+SUM(START:END!Q157)</f>
        <v>-1450</v>
      </c>
      <c r="R157" s="41"/>
      <c r="S157" s="85">
        <f t="shared" si="29"/>
        <v>1450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20"/>
        <v>Véhicules usagésProgramme used 3</v>
      </c>
      <c r="B158" s="11" t="s">
        <v>70</v>
      </c>
      <c r="C158" s="29" t="s">
        <v>77</v>
      </c>
      <c r="D158" s="81"/>
      <c r="E158" s="13"/>
      <c r="F158" s="30">
        <f>+SUM(START:END!F158)</f>
        <v>0</v>
      </c>
      <c r="G158" s="83"/>
      <c r="H158" s="13"/>
      <c r="I158" s="30">
        <f>+SUM(START:END!I158)</f>
        <v>0</v>
      </c>
      <c r="J158" s="41"/>
      <c r="K158" s="13"/>
      <c r="L158" s="33">
        <f>+SUM(START:END!L158)</f>
        <v>0</v>
      </c>
      <c r="M158" s="41"/>
      <c r="N158" s="59">
        <f t="shared" si="28"/>
        <v>0</v>
      </c>
      <c r="O158" s="41"/>
      <c r="P158" s="13"/>
      <c r="Q158" s="33">
        <f>+SUM(START:END!Q158)</f>
        <v>0</v>
      </c>
      <c r="R158" s="41"/>
      <c r="S158" s="85">
        <f t="shared" si="29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f>+SUM(START:END!F159)</f>
        <v>23704.799999999999</v>
      </c>
      <c r="G159" s="83"/>
      <c r="H159" s="13"/>
      <c r="I159" s="30">
        <f>+SUM(START:END!I159)</f>
        <v>0</v>
      </c>
      <c r="J159" s="41"/>
      <c r="K159" s="13"/>
      <c r="L159" s="32">
        <f>+SUM(START:END!L159)</f>
        <v>19040</v>
      </c>
      <c r="M159" s="41"/>
      <c r="N159" s="59">
        <f t="shared" si="28"/>
        <v>-4664.7999999999993</v>
      </c>
      <c r="O159" s="41"/>
      <c r="P159" s="13"/>
      <c r="Q159" s="33">
        <f>+SUM(START:END!Q159)</f>
        <v>17850</v>
      </c>
      <c r="R159" s="41"/>
      <c r="S159" s="85">
        <f t="shared" si="29"/>
        <v>1190</v>
      </c>
      <c r="T159" s="112"/>
      <c r="U159" s="13"/>
      <c r="V159" s="13"/>
      <c r="W159" s="454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f>+SUM(START:END!F160)</f>
        <v>0</v>
      </c>
      <c r="G160" s="83"/>
      <c r="H160" s="13"/>
      <c r="I160" s="30">
        <f>+SUM(START:END!I160)</f>
        <v>0</v>
      </c>
      <c r="J160" s="41"/>
      <c r="K160" s="13"/>
      <c r="L160" s="32">
        <f>+SUM(START:END!L160)</f>
        <v>0</v>
      </c>
      <c r="M160" s="41"/>
      <c r="N160" s="59">
        <f t="shared" si="28"/>
        <v>0</v>
      </c>
      <c r="O160" s="41"/>
      <c r="P160" s="13"/>
      <c r="Q160" s="33">
        <f>+SUM(START:END!Q160)</f>
        <v>0</v>
      </c>
      <c r="R160" s="41"/>
      <c r="S160" s="85">
        <f t="shared" si="29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f>+SUM(START:END!F161)</f>
        <v>0</v>
      </c>
      <c r="G161" s="83"/>
      <c r="H161" s="13"/>
      <c r="I161" s="30">
        <f>+SUM(START:END!I161)</f>
        <v>0</v>
      </c>
      <c r="J161" s="41"/>
      <c r="K161" s="13"/>
      <c r="L161" s="32">
        <f>+SUM(START:END!L161)</f>
        <v>0</v>
      </c>
      <c r="M161" s="41"/>
      <c r="N161" s="59">
        <f t="shared" si="28"/>
        <v>0</v>
      </c>
      <c r="O161" s="41"/>
      <c r="P161" s="13"/>
      <c r="Q161" s="33">
        <f>+SUM(START:END!Q161)</f>
        <v>0</v>
      </c>
      <c r="R161" s="41"/>
      <c r="S161" s="85">
        <f t="shared" si="29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f>+SUM(START:END!F162)</f>
        <v>0</v>
      </c>
      <c r="G162" s="83"/>
      <c r="H162" s="13"/>
      <c r="I162" s="30">
        <f>+SUM(START:END!I162)</f>
        <v>0</v>
      </c>
      <c r="J162" s="41"/>
      <c r="K162" s="13"/>
      <c r="L162" s="32">
        <f>+SUM(START:END!L162)</f>
        <v>0</v>
      </c>
      <c r="M162" s="41"/>
      <c r="N162" s="59">
        <f t="shared" si="28"/>
        <v>0</v>
      </c>
      <c r="O162" s="41"/>
      <c r="P162" s="13"/>
      <c r="Q162" s="33">
        <f>+SUM(START:END!Q162)</f>
        <v>0</v>
      </c>
      <c r="R162" s="41"/>
      <c r="S162" s="85">
        <f t="shared" si="29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31848.799999999999</v>
      </c>
      <c r="G163" s="97"/>
      <c r="H163" s="95"/>
      <c r="I163" s="96">
        <f>+SUM(I156:I162)</f>
        <v>0</v>
      </c>
      <c r="J163" s="97"/>
      <c r="K163" s="95"/>
      <c r="L163" s="96">
        <f>+SUM(L156:L162)</f>
        <v>21290</v>
      </c>
      <c r="M163" s="100"/>
      <c r="N163" s="96">
        <f>SUM(N156:N159)</f>
        <v>-10558.8</v>
      </c>
      <c r="O163" s="97"/>
      <c r="P163" s="95"/>
      <c r="Q163" s="96">
        <f>+SUM(Q156:Q162)</f>
        <v>19400</v>
      </c>
      <c r="R163" s="100"/>
      <c r="S163" s="101">
        <f>+SUM(S156:S162)</f>
        <v>1890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30948.199982974893</v>
      </c>
      <c r="G165" s="153"/>
      <c r="H165" s="125"/>
      <c r="I165" s="127">
        <f>I108-I155+I163</f>
        <v>0</v>
      </c>
      <c r="J165" s="154"/>
      <c r="K165" s="126"/>
      <c r="L165" s="127">
        <f>L108-L155+L163</f>
        <v>36111.410000000062</v>
      </c>
      <c r="M165" s="154"/>
      <c r="N165" s="127">
        <f>L165-F165</f>
        <v>5163.2100170251688</v>
      </c>
      <c r="O165" s="154"/>
      <c r="P165" s="126"/>
      <c r="Q165" s="127">
        <f>Q108-Q155+Q163</f>
        <v>1826.239999999787</v>
      </c>
      <c r="R165" s="154"/>
      <c r="S165" s="129">
        <f>L165-Q165</f>
        <v>34285.170000000275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  Q4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08" t="s">
        <v>5</v>
      </c>
      <c r="E170" s="509"/>
      <c r="F170" s="510"/>
      <c r="G170" s="511" t="s">
        <v>71</v>
      </c>
      <c r="H170" s="509"/>
      <c r="I170" s="510"/>
      <c r="J170" s="511" t="s">
        <v>7</v>
      </c>
      <c r="K170" s="509"/>
      <c r="L170" s="510"/>
      <c r="M170" s="511" t="s">
        <v>213</v>
      </c>
      <c r="N170" s="510"/>
      <c r="O170" s="508" t="s">
        <v>8</v>
      </c>
      <c r="P170" s="509"/>
      <c r="Q170" s="510"/>
      <c r="R170" s="515" t="s">
        <v>214</v>
      </c>
      <c r="S170" s="516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30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 t="s">
        <v>39</v>
      </c>
      <c r="H171" s="80" t="s">
        <v>79</v>
      </c>
      <c r="I171" s="134" t="s">
        <v>12</v>
      </c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30"/>
        <v>ServiceM/O Client</v>
      </c>
      <c r="B172" s="11" t="s">
        <v>78</v>
      </c>
      <c r="C172" s="29" t="s">
        <v>81</v>
      </c>
      <c r="D172" s="491">
        <f>+SUM(START:END!D172)</f>
        <v>716.67765124982554</v>
      </c>
      <c r="E172" s="82">
        <f>+SUM(START:END!E172)</f>
        <v>243670.40142494068</v>
      </c>
      <c r="F172" s="82">
        <f>+SUM(START:END!F172)</f>
        <v>191037.59471715349</v>
      </c>
      <c r="G172" s="156">
        <f>+SUM(START:END!G172)</f>
        <v>0</v>
      </c>
      <c r="H172" s="82">
        <f>+SUM(START:END!H172)</f>
        <v>0</v>
      </c>
      <c r="I172" s="82">
        <f>+SUM(START:END!I172)</f>
        <v>0</v>
      </c>
      <c r="J172" s="60">
        <f>+SUM(START:END!J172)</f>
        <v>821</v>
      </c>
      <c r="K172" s="30">
        <f>+SUM(START:END!K172)</f>
        <v>245012.07999999996</v>
      </c>
      <c r="L172" s="33">
        <f>+SUM(START:END!L172)</f>
        <v>191675.93999999997</v>
      </c>
      <c r="M172" s="157">
        <f>(K172-E172)/E172</f>
        <v>5.5061204283055618E-3</v>
      </c>
      <c r="N172" s="59">
        <f>L172-F172</f>
        <v>638.34528284647968</v>
      </c>
      <c r="O172" s="60">
        <f>+SUM(START:END!O172)</f>
        <v>761</v>
      </c>
      <c r="P172" s="30">
        <f>+SUM(START:END!P172)</f>
        <v>221312.36</v>
      </c>
      <c r="Q172" s="33">
        <f>+SUM(START:END!Q172)</f>
        <v>175427.86999999991</v>
      </c>
      <c r="R172" s="157">
        <f>IF(O172=0,0,J172/O172)</f>
        <v>1.0788436268068331</v>
      </c>
      <c r="S172" s="85">
        <f>L172-Q172</f>
        <v>16248.070000000065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30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 t="e">
        <f>I172/H172</f>
        <v>#DIV/0!</v>
      </c>
      <c r="J173" s="60"/>
      <c r="K173" s="13"/>
      <c r="L173" s="158">
        <f>L172/K172</f>
        <v>0.78231220272894297</v>
      </c>
      <c r="M173" s="157"/>
      <c r="N173" s="59"/>
      <c r="O173" s="60"/>
      <c r="P173" s="13"/>
      <c r="Q173" s="158">
        <f>Q172/P172</f>
        <v>0.79267091092426978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30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>
        <f>IFERROR(H172/G172,0)</f>
        <v>0</v>
      </c>
      <c r="I174" s="160"/>
      <c r="J174" s="161"/>
      <c r="K174" s="465">
        <f>IFERROR(K172/J172,0)</f>
        <v>298.43127892813635</v>
      </c>
      <c r="L174" s="160"/>
      <c r="M174" s="162"/>
      <c r="N174" s="91"/>
      <c r="O174" s="161"/>
      <c r="P174" s="465">
        <f>IFERROR(P172/O172,0)</f>
        <v>290.81781865965831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30"/>
        <v>ServiceM/O Garantie</v>
      </c>
      <c r="B175" s="11" t="s">
        <v>78</v>
      </c>
      <c r="C175" s="14" t="s">
        <v>83</v>
      </c>
      <c r="D175" s="493">
        <f>+SUM(START:END!D175)</f>
        <v>441.39244278601905</v>
      </c>
      <c r="E175" s="82">
        <f>+SUM(START:END!E175)</f>
        <v>64443.29664675879</v>
      </c>
      <c r="F175" s="82">
        <f>+SUM(START:END!F175)</f>
        <v>41243.709853925626</v>
      </c>
      <c r="G175" s="164">
        <f>+SUM(START:END!G175)</f>
        <v>0</v>
      </c>
      <c r="H175" s="82">
        <f>+SUM(START:END!H175)</f>
        <v>0</v>
      </c>
      <c r="I175" s="82">
        <f>+SUM(START:END!I175)</f>
        <v>0</v>
      </c>
      <c r="J175" s="164">
        <f>+SUM(START:END!J175)</f>
        <v>557</v>
      </c>
      <c r="K175" s="165">
        <f>+SUM(START:END!K175)</f>
        <v>80047.400000000009</v>
      </c>
      <c r="L175" s="33">
        <f>+SUM(START:END!L175)</f>
        <v>52502.66</v>
      </c>
      <c r="M175" s="157">
        <f>(K175-E175)/E175</f>
        <v>0.24213695085734002</v>
      </c>
      <c r="N175" s="109">
        <f>L175-F175</f>
        <v>11258.950146074378</v>
      </c>
      <c r="O175" s="164">
        <f>+SUM(START:END!O175)</f>
        <v>505</v>
      </c>
      <c r="P175" s="165">
        <f>+SUM(START:END!P175)</f>
        <v>96593.49</v>
      </c>
      <c r="Q175" s="33">
        <f>+SUM(START:END!Q175)</f>
        <v>65334.2599999999</v>
      </c>
      <c r="R175" s="157">
        <f>IF(O175=0,0,J175/O175)</f>
        <v>1.1029702970297031</v>
      </c>
      <c r="S175" s="85">
        <f>L175-Q175</f>
        <v>-12831.599999999897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30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 t="e">
        <f>I175/H175</f>
        <v>#DIV/0!</v>
      </c>
      <c r="J176" s="41"/>
      <c r="K176" s="13"/>
      <c r="L176" s="158">
        <f>L175/K175</f>
        <v>0.65589463243028501</v>
      </c>
      <c r="M176" s="42"/>
      <c r="N176" s="43"/>
      <c r="O176" s="41"/>
      <c r="P176" s="13"/>
      <c r="Q176" s="158">
        <f>Q175/P175</f>
        <v>0.67638367761636831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30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/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30"/>
        <v>ServiceM/O Interne</v>
      </c>
      <c r="B178" s="11" t="s">
        <v>78</v>
      </c>
      <c r="C178" s="29" t="s">
        <v>84</v>
      </c>
      <c r="D178" s="491">
        <f>+SUM(START:END!D178)</f>
        <v>516.46220868934586</v>
      </c>
      <c r="E178" s="82">
        <f>+SUM(START:END!E178)</f>
        <v>123950.93008544302</v>
      </c>
      <c r="F178" s="82">
        <f>+SUM(START:END!F178)</f>
        <v>83666.877807674056</v>
      </c>
      <c r="G178" s="41">
        <f>+SUM(START:END!G178)</f>
        <v>0</v>
      </c>
      <c r="H178" s="82">
        <f>+SUM(START:END!H178)</f>
        <v>0</v>
      </c>
      <c r="I178" s="82">
        <f>+SUM(START:END!I178)</f>
        <v>0</v>
      </c>
      <c r="J178" s="60">
        <f>+SUM(START:END!J178)</f>
        <v>370</v>
      </c>
      <c r="K178" s="165">
        <f>+SUM(START:END!K178)</f>
        <v>138331.63</v>
      </c>
      <c r="L178" s="33">
        <f>+SUM(START:END!L178)</f>
        <v>104119.87000000001</v>
      </c>
      <c r="M178" s="157">
        <f>(K178-E178)/E178</f>
        <v>0.11601929815810133</v>
      </c>
      <c r="N178" s="59">
        <f>L178-F178</f>
        <v>20452.992192325954</v>
      </c>
      <c r="O178" s="60">
        <f>+SUM(START:END!O178)</f>
        <v>520</v>
      </c>
      <c r="P178" s="165">
        <f>+SUM(START:END!P178)</f>
        <v>140180.18999999989</v>
      </c>
      <c r="Q178" s="33">
        <f>+SUM(START:END!Q178)</f>
        <v>91305.459999999905</v>
      </c>
      <c r="R178" s="157">
        <f>IF(O178=0,0,J178/O178)</f>
        <v>0.71153846153846156</v>
      </c>
      <c r="S178" s="85">
        <f>L178-Q178</f>
        <v>12814.410000000105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30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0.67500000000000016</v>
      </c>
      <c r="G179" s="41"/>
      <c r="H179" s="144"/>
      <c r="I179" s="158" t="e">
        <f>I178/H178</f>
        <v>#DIV/0!</v>
      </c>
      <c r="J179" s="60"/>
      <c r="K179" s="144"/>
      <c r="L179" s="158">
        <f>L178/K178</f>
        <v>0.75268302701269407</v>
      </c>
      <c r="M179" s="157"/>
      <c r="N179" s="59">
        <f>L179-F179</f>
        <v>7.7683027012693917E-2</v>
      </c>
      <c r="O179" s="60"/>
      <c r="P179" s="144"/>
      <c r="Q179" s="158">
        <f>Q178/P178</f>
        <v>0.65134353149328716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30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/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30"/>
        <v>ServiceM/O Esthétique</v>
      </c>
      <c r="B181" s="11" t="s">
        <v>78</v>
      </c>
      <c r="C181" s="14" t="s">
        <v>85</v>
      </c>
      <c r="D181" s="493">
        <f>+SUM(START:END!D181)</f>
        <v>186.79282119010449</v>
      </c>
      <c r="E181" s="82">
        <f>+SUM(START:END!E181)</f>
        <v>37358.564238020903</v>
      </c>
      <c r="F181" s="82">
        <f>+SUM(START:END!F181)</f>
        <v>14943.42569520836</v>
      </c>
      <c r="G181" s="107">
        <f>+SUM(START:END!G181)</f>
        <v>0</v>
      </c>
      <c r="H181" s="82">
        <f>+SUM(START:END!H181)</f>
        <v>0</v>
      </c>
      <c r="I181" s="82">
        <f>+SUM(START:END!I181)</f>
        <v>0</v>
      </c>
      <c r="J181" s="164">
        <f>+SUM(START:END!J181)</f>
        <v>154</v>
      </c>
      <c r="K181" s="165">
        <f>+SUM(START:END!K181)</f>
        <v>37098.67</v>
      </c>
      <c r="L181" s="108">
        <f>+SUM(START:END!L181)</f>
        <v>28279.480000000003</v>
      </c>
      <c r="M181" s="173">
        <f>IF(E181=0,0,(K181-E181)/E181)</f>
        <v>-6.9567512382181602E-3</v>
      </c>
      <c r="N181" s="109">
        <f>L181-F181</f>
        <v>13336.054304791644</v>
      </c>
      <c r="O181" s="164">
        <f>+SUM(START:END!O181)</f>
        <v>176</v>
      </c>
      <c r="P181" s="165">
        <f>+SUM(START:END!P181)</f>
        <v>31870</v>
      </c>
      <c r="Q181" s="108">
        <f>+SUM(START:END!Q181)</f>
        <v>11064.74</v>
      </c>
      <c r="R181" s="157">
        <f>IF(O181=0,0,J181/O181)</f>
        <v>0.875</v>
      </c>
      <c r="S181" s="110">
        <f>L181-Q181</f>
        <v>17214.740000000005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30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0.39999999999999997</v>
      </c>
      <c r="G182" s="78"/>
      <c r="H182" s="174"/>
      <c r="I182" s="158">
        <f>IFERROR(I181/H181,0)</f>
        <v>0</v>
      </c>
      <c r="J182" s="175"/>
      <c r="K182" s="174"/>
      <c r="L182" s="158">
        <f>IFERROR(L181/K181,0)</f>
        <v>0.76227746169876187</v>
      </c>
      <c r="M182" s="60">
        <f>J182-D182</f>
        <v>0</v>
      </c>
      <c r="N182" s="176"/>
      <c r="O182" s="175"/>
      <c r="P182" s="174"/>
      <c r="Q182" s="158">
        <f>IFERROR(Q181/P181,0)</f>
        <v>0.34718355820520863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30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/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30"/>
        <v>ServiceAjustement M/O</v>
      </c>
      <c r="B184" s="11" t="s">
        <v>78</v>
      </c>
      <c r="C184" s="29" t="s">
        <v>86</v>
      </c>
      <c r="D184" s="13"/>
      <c r="E184" s="13"/>
      <c r="F184" s="59">
        <f>+SUM(START:END!F184)</f>
        <v>-8829.5549820252363</v>
      </c>
      <c r="G184" s="41"/>
      <c r="H184" s="82"/>
      <c r="I184" s="82">
        <f>+SUM(START:END!I184)</f>
        <v>0</v>
      </c>
      <c r="J184" s="60"/>
      <c r="K184" s="82"/>
      <c r="L184" s="82">
        <f>+SUM(START:END!L184)</f>
        <v>-10780.880000000001</v>
      </c>
      <c r="M184" s="175"/>
      <c r="N184" s="59">
        <f>L184-F184</f>
        <v>-1951.3250179747647</v>
      </c>
      <c r="O184" s="60"/>
      <c r="P184" s="82"/>
      <c r="Q184" s="82">
        <f>+SUM(START:END!Q184)</f>
        <v>-6364.17</v>
      </c>
      <c r="R184" s="184"/>
      <c r="S184" s="85">
        <f>L184-Q184</f>
        <v>-4416.7100000000009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30"/>
        <v>ServiceSous-total M/O</v>
      </c>
      <c r="B185" s="11" t="s">
        <v>78</v>
      </c>
      <c r="C185" s="185" t="s">
        <v>87</v>
      </c>
      <c r="D185" s="186"/>
      <c r="E185" s="186">
        <f>E172+E175+E178+E181+E184</f>
        <v>469423.19239516341</v>
      </c>
      <c r="F185" s="187">
        <f>F172+F175+F178+F181+F184</f>
        <v>322062.05309193634</v>
      </c>
      <c r="G185" s="188"/>
      <c r="H185" s="186">
        <f>H172+H175+H178+H181+H184</f>
        <v>0</v>
      </c>
      <c r="I185" s="187">
        <f>I172+I175+I178+I181+I184</f>
        <v>0</v>
      </c>
      <c r="J185" s="188"/>
      <c r="K185" s="186">
        <f>K172+K175+K178+K181+K184</f>
        <v>500489.77999999997</v>
      </c>
      <c r="L185" s="187">
        <f>L172+L175+L178+L181+L184</f>
        <v>365797.06999999995</v>
      </c>
      <c r="M185" s="189">
        <f>(K185-E185)/E185</f>
        <v>6.6180342403458645E-2</v>
      </c>
      <c r="N185" s="187">
        <f>L185-F185</f>
        <v>43735.016908063611</v>
      </c>
      <c r="O185" s="188"/>
      <c r="P185" s="186">
        <f>P172+P175+P178+P181+P184</f>
        <v>489956.03999999986</v>
      </c>
      <c r="Q185" s="187">
        <f>Q172+Q175+Q178+Q181+Q184</f>
        <v>336768.15999999974</v>
      </c>
      <c r="R185" s="42">
        <f>IF(O185=0,0,J185/O185)</f>
        <v>0</v>
      </c>
      <c r="S185" s="190">
        <f>L185-Q185</f>
        <v>29028.910000000207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30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0.68608040316172203</v>
      </c>
      <c r="G186" s="194"/>
      <c r="H186" s="192"/>
      <c r="I186" s="43" t="e">
        <f>I185/H185</f>
        <v>#DIV/0!</v>
      </c>
      <c r="J186" s="194"/>
      <c r="K186" s="443"/>
      <c r="L186" s="43">
        <f>L185/K185</f>
        <v>0.73087820094947786</v>
      </c>
      <c r="M186" s="194"/>
      <c r="N186" s="193">
        <f>N185/F185</f>
        <v>0.13579686426323237</v>
      </c>
      <c r="O186" s="194"/>
      <c r="P186" s="443"/>
      <c r="Q186" s="43">
        <f>Q185/P185</f>
        <v>0.68734362372591595</v>
      </c>
      <c r="R186" s="194"/>
      <c r="S186" s="44">
        <f>IF(R185=0,0,S185/R185)</f>
        <v>0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30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30"/>
        <v>ServiceSous-traitement</v>
      </c>
      <c r="B188" s="11" t="s">
        <v>78</v>
      </c>
      <c r="C188" s="29" t="s">
        <v>89</v>
      </c>
      <c r="D188" s="82"/>
      <c r="E188" s="82">
        <f>+SUM(START:END!E188)</f>
        <v>22439.583549606145</v>
      </c>
      <c r="F188" s="82">
        <f>+SUM(START:END!F188)</f>
        <v>2580.5521082047067</v>
      </c>
      <c r="G188" s="60"/>
      <c r="H188" s="82">
        <f>+SUM(START:END!H188)</f>
        <v>0</v>
      </c>
      <c r="I188" s="82">
        <f>+SUM(START:END!I188)</f>
        <v>0</v>
      </c>
      <c r="J188" s="60"/>
      <c r="K188" s="30">
        <f>+SUM(START:END!K188)</f>
        <v>10950.919999999998</v>
      </c>
      <c r="L188" s="33">
        <f>+SUM(START:END!L188)</f>
        <v>722.4399999999996</v>
      </c>
      <c r="M188" s="84">
        <f>IF(E188=0,0,(K188-E188)/E188)</f>
        <v>-0.51198203051356506</v>
      </c>
      <c r="N188" s="59">
        <f>L188-F188</f>
        <v>-1858.1121082047071</v>
      </c>
      <c r="O188" s="60"/>
      <c r="P188" s="30">
        <f>+SUM(START:END!P188)</f>
        <v>12588.57</v>
      </c>
      <c r="Q188" s="33">
        <f>+SUM(START:END!Q188)</f>
        <v>506.55000000000098</v>
      </c>
      <c r="R188" s="157">
        <f>IF(O188=0,0,J188/O188)</f>
        <v>0</v>
      </c>
      <c r="S188" s="85">
        <f>L188-Q188</f>
        <v>215.88999999999862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30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>
        <f>IFERROR(I188/H188,0)</f>
        <v>0</v>
      </c>
      <c r="J189" s="175"/>
      <c r="K189" s="174"/>
      <c r="L189" s="158">
        <f>IFERROR(L188/K188,0)</f>
        <v>6.5970712962929112E-2</v>
      </c>
      <c r="M189" s="175"/>
      <c r="N189" s="176"/>
      <c r="O189" s="175"/>
      <c r="P189" s="174"/>
      <c r="Q189" s="158">
        <f>IFERROR(Q188/P188,0)</f>
        <v>4.0238883368007725E-2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30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30"/>
        <v>ServiceM.O. Recond. MCPA</v>
      </c>
      <c r="B191" s="11" t="s">
        <v>78</v>
      </c>
      <c r="C191" s="29" t="s">
        <v>90</v>
      </c>
      <c r="D191" s="13"/>
      <c r="E191" s="82">
        <f>+SUM(START:END!E191)</f>
        <v>0</v>
      </c>
      <c r="F191" s="82">
        <f>+SUM(START:END!F191)</f>
        <v>0</v>
      </c>
      <c r="G191" s="41"/>
      <c r="H191" s="82">
        <f>+SUM(START:END!H191)</f>
        <v>0</v>
      </c>
      <c r="I191" s="82">
        <f>+SUM(START:END!I191)</f>
        <v>0</v>
      </c>
      <c r="J191" s="175"/>
      <c r="K191" s="30">
        <f>+SUM(START:END!K191)</f>
        <v>0</v>
      </c>
      <c r="L191" s="158">
        <f>+SUM(START:END!L191)</f>
        <v>0</v>
      </c>
      <c r="M191" s="175"/>
      <c r="N191" s="176"/>
      <c r="O191" s="175"/>
      <c r="P191" s="30">
        <f>+SUM(START:END!P191)</f>
        <v>0</v>
      </c>
      <c r="Q191" s="158">
        <f>+SUM(START:END!Q191)</f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30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>
        <f>IF(I191=0,0,I191/H191)</f>
        <v>0</v>
      </c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30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30"/>
        <v>ServiceTotal Mécanique</v>
      </c>
      <c r="B194" s="11" t="s">
        <v>78</v>
      </c>
      <c r="C194" s="62" t="s">
        <v>91</v>
      </c>
      <c r="D194" s="63"/>
      <c r="E194" s="63">
        <f>E185+E188+E191</f>
        <v>491862.77594476956</v>
      </c>
      <c r="F194" s="65">
        <f>F185+F188+F191</f>
        <v>324642.60520014103</v>
      </c>
      <c r="G194" s="66"/>
      <c r="H194" s="63">
        <f>H185+H188+H191</f>
        <v>0</v>
      </c>
      <c r="I194" s="65">
        <f>I185+I188+I191</f>
        <v>0</v>
      </c>
      <c r="J194" s="66"/>
      <c r="K194" s="63">
        <f>K185+K188+K191</f>
        <v>511440.69999999995</v>
      </c>
      <c r="L194" s="65">
        <f>L185+L188+L191</f>
        <v>366519.50999999995</v>
      </c>
      <c r="M194" s="206">
        <f>L195-F195</f>
        <v>5.6614482553182133E-2</v>
      </c>
      <c r="N194" s="65">
        <f>L194-F194</f>
        <v>41876.904799858923</v>
      </c>
      <c r="O194" s="66"/>
      <c r="P194" s="63">
        <f>P185+P188+P191</f>
        <v>502544.60999999987</v>
      </c>
      <c r="Q194" s="65">
        <f>Q185+Q188+Q191</f>
        <v>337274.70999999973</v>
      </c>
      <c r="R194" s="206">
        <f>L195-Q195</f>
        <v>4.5507392493338017E-2</v>
      </c>
      <c r="S194" s="68">
        <f>L194-Q194</f>
        <v>29244.800000000221</v>
      </c>
      <c r="T194" s="112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30"/>
        <v>Service</v>
      </c>
      <c r="B195" s="11" t="s">
        <v>78</v>
      </c>
      <c r="C195" s="69"/>
      <c r="D195" s="70"/>
      <c r="E195" s="70"/>
      <c r="F195" s="74">
        <f>F194/E194</f>
        <v>0.66002678201571119</v>
      </c>
      <c r="G195" s="72"/>
      <c r="H195" s="70"/>
      <c r="I195" s="74" t="e">
        <f>I194/H194</f>
        <v>#DIV/0!</v>
      </c>
      <c r="J195" s="72"/>
      <c r="K195" s="70"/>
      <c r="L195" s="74">
        <f>L194/K194</f>
        <v>0.71664126456889332</v>
      </c>
      <c r="M195" s="73"/>
      <c r="N195" s="74">
        <f>N194/F194</f>
        <v>0.12899386626731252</v>
      </c>
      <c r="O195" s="72"/>
      <c r="P195" s="70"/>
      <c r="Q195" s="74">
        <f>Q194/P194</f>
        <v>0.6711338720755553</v>
      </c>
      <c r="R195" s="73"/>
      <c r="S195" s="75">
        <f>L194/S194</f>
        <v>12.532809593500286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30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30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30"/>
        <v>ServiceSalaires cadres</v>
      </c>
      <c r="B198" s="11" t="s">
        <v>78</v>
      </c>
      <c r="C198" s="102" t="s">
        <v>40</v>
      </c>
      <c r="D198" s="13"/>
      <c r="E198" s="13"/>
      <c r="F198" s="30">
        <f>+SUM(START:END!F198)</f>
        <v>31216.820468611848</v>
      </c>
      <c r="G198" s="41"/>
      <c r="H198" s="13"/>
      <c r="I198" s="30">
        <f>+SUM(START:END!I198)</f>
        <v>0</v>
      </c>
      <c r="J198" s="41"/>
      <c r="K198" s="13"/>
      <c r="L198" s="33">
        <f>+SUM(START:END!L198)</f>
        <v>35490.9</v>
      </c>
      <c r="M198" s="41"/>
      <c r="N198" s="59">
        <f t="shared" ref="N198:N229" si="31">L198-F198</f>
        <v>4274.0795313881536</v>
      </c>
      <c r="O198" s="41"/>
      <c r="P198" s="13"/>
      <c r="Q198" s="33">
        <f>+SUM(START:END!Q198)</f>
        <v>34543.69</v>
      </c>
      <c r="R198" s="41"/>
      <c r="S198" s="85">
        <f t="shared" ref="S198:S228" si="32">L198-Q198</f>
        <v>947.20999999999913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30"/>
        <v>ServiceSalaires commis</v>
      </c>
      <c r="B199" s="11" t="s">
        <v>78</v>
      </c>
      <c r="C199" s="103" t="s">
        <v>41</v>
      </c>
      <c r="D199" s="81"/>
      <c r="E199" s="13"/>
      <c r="F199" s="22">
        <f>+SUM(START:END!F199)</f>
        <v>16857.410919540234</v>
      </c>
      <c r="G199" s="83"/>
      <c r="H199" s="13"/>
      <c r="I199" s="22">
        <f>+SUM(START:END!I199)</f>
        <v>0</v>
      </c>
      <c r="J199" s="41"/>
      <c r="K199" s="13"/>
      <c r="L199" s="33">
        <f>+SUM(START:END!L199)</f>
        <v>11857.560000000001</v>
      </c>
      <c r="M199" s="41"/>
      <c r="N199" s="59">
        <f t="shared" si="31"/>
        <v>-4999.850919540233</v>
      </c>
      <c r="O199" s="41"/>
      <c r="P199" s="13"/>
      <c r="Q199" s="33">
        <f>+SUM(START:END!Q199)</f>
        <v>16271.61</v>
      </c>
      <c r="R199" s="41"/>
      <c r="S199" s="85">
        <f t="shared" si="32"/>
        <v>-4414.0499999999993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30"/>
        <v>ServiceSalaires autres</v>
      </c>
      <c r="B200" s="11" t="s">
        <v>78</v>
      </c>
      <c r="C200" s="102" t="s">
        <v>42</v>
      </c>
      <c r="D200" s="104"/>
      <c r="E200" s="105"/>
      <c r="F200" s="30">
        <f>+SUM(START:END!F200)</f>
        <v>20977.057471264368</v>
      </c>
      <c r="G200" s="106"/>
      <c r="H200" s="105"/>
      <c r="I200" s="30">
        <f>+SUM(START:END!I200)</f>
        <v>0</v>
      </c>
      <c r="J200" s="107"/>
      <c r="K200" s="105"/>
      <c r="L200" s="108">
        <f>+SUM(START:END!L200)</f>
        <v>23622.510000000002</v>
      </c>
      <c r="M200" s="107"/>
      <c r="N200" s="109">
        <f t="shared" si="31"/>
        <v>2645.4525287356337</v>
      </c>
      <c r="O200" s="107"/>
      <c r="P200" s="105"/>
      <c r="Q200" s="108">
        <f>+SUM(START:END!Q200)</f>
        <v>23256.920000000002</v>
      </c>
      <c r="R200" s="107"/>
      <c r="S200" s="110">
        <f t="shared" si="32"/>
        <v>365.59000000000015</v>
      </c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30"/>
        <v>ServiceSalaires spécialistes</v>
      </c>
      <c r="B201" s="11" t="s">
        <v>78</v>
      </c>
      <c r="C201" s="102" t="s">
        <v>43</v>
      </c>
      <c r="D201" s="81"/>
      <c r="E201" s="13"/>
      <c r="F201" s="30">
        <f>+SUM(START:END!F201)</f>
        <v>43254.929666666663</v>
      </c>
      <c r="G201" s="83"/>
      <c r="H201" s="13"/>
      <c r="I201" s="30">
        <f>+SUM(START:END!I201)</f>
        <v>0</v>
      </c>
      <c r="J201" s="41"/>
      <c r="K201" s="13"/>
      <c r="L201" s="33">
        <f>+SUM(START:END!L201)</f>
        <v>49286.49</v>
      </c>
      <c r="M201" s="41"/>
      <c r="N201" s="59">
        <f t="shared" si="31"/>
        <v>6031.5603333333347</v>
      </c>
      <c r="O201" s="41"/>
      <c r="P201" s="13"/>
      <c r="Q201" s="33">
        <f>+SUM(START:END!Q201)</f>
        <v>47811.03</v>
      </c>
      <c r="R201" s="41"/>
      <c r="S201" s="85">
        <f t="shared" si="32"/>
        <v>1475.4599999999991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30"/>
        <v>Service[...]</v>
      </c>
      <c r="B202" s="11" t="s">
        <v>78</v>
      </c>
      <c r="C202" s="29" t="s">
        <v>19</v>
      </c>
      <c r="D202" s="81"/>
      <c r="E202" s="13"/>
      <c r="F202" s="30">
        <f>+SUM(START:END!F202)</f>
        <v>0</v>
      </c>
      <c r="G202" s="83"/>
      <c r="H202" s="13"/>
      <c r="I202" s="30">
        <f>+SUM(START:END!I202)</f>
        <v>0</v>
      </c>
      <c r="J202" s="41"/>
      <c r="K202" s="13"/>
      <c r="L202" s="33">
        <f>+SUM(START:END!L202)</f>
        <v>0</v>
      </c>
      <c r="M202" s="41"/>
      <c r="N202" s="59">
        <f t="shared" si="31"/>
        <v>0</v>
      </c>
      <c r="O202" s="41"/>
      <c r="P202" s="13"/>
      <c r="Q202" s="33">
        <f>+SUM(START:END!Q202)</f>
        <v>0</v>
      </c>
      <c r="R202" s="41"/>
      <c r="S202" s="85">
        <f t="shared" si="32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30"/>
        <v>Service[...]</v>
      </c>
      <c r="B203" s="11" t="s">
        <v>78</v>
      </c>
      <c r="C203" s="29" t="s">
        <v>19</v>
      </c>
      <c r="D203" s="81"/>
      <c r="E203" s="13"/>
      <c r="F203" s="30">
        <f>+SUM(START:END!F203)</f>
        <v>0</v>
      </c>
      <c r="G203" s="83"/>
      <c r="H203" s="13"/>
      <c r="I203" s="30">
        <f>+SUM(START:END!I203)</f>
        <v>0</v>
      </c>
      <c r="J203" s="41"/>
      <c r="K203" s="13"/>
      <c r="L203" s="33">
        <f>+SUM(START:END!L203)</f>
        <v>0</v>
      </c>
      <c r="M203" s="41"/>
      <c r="N203" s="59">
        <f t="shared" si="31"/>
        <v>0</v>
      </c>
      <c r="O203" s="41"/>
      <c r="P203" s="13"/>
      <c r="Q203" s="33">
        <f>+SUM(START:END!Q203)</f>
        <v>0</v>
      </c>
      <c r="R203" s="41"/>
      <c r="S203" s="85">
        <f t="shared" si="32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30"/>
        <v>Service[...]</v>
      </c>
      <c r="B204" s="11" t="s">
        <v>78</v>
      </c>
      <c r="C204" s="29" t="s">
        <v>19</v>
      </c>
      <c r="D204" s="81"/>
      <c r="E204" s="13"/>
      <c r="F204" s="30">
        <f>+SUM(START:END!F204)</f>
        <v>0</v>
      </c>
      <c r="G204" s="83"/>
      <c r="H204" s="13"/>
      <c r="I204" s="30">
        <f>+SUM(START:END!I204)</f>
        <v>0</v>
      </c>
      <c r="J204" s="41"/>
      <c r="K204" s="13"/>
      <c r="L204" s="33">
        <f>+SUM(START:END!L204)</f>
        <v>0</v>
      </c>
      <c r="M204" s="41"/>
      <c r="N204" s="59">
        <f t="shared" si="31"/>
        <v>0</v>
      </c>
      <c r="O204" s="41"/>
      <c r="P204" s="13"/>
      <c r="Q204" s="33">
        <f>+SUM(START:END!Q204)</f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30"/>
        <v>ServiceSalaires en absences</v>
      </c>
      <c r="B205" s="11" t="s">
        <v>78</v>
      </c>
      <c r="C205" s="103" t="s">
        <v>44</v>
      </c>
      <c r="D205" s="81"/>
      <c r="E205" s="13"/>
      <c r="F205" s="30">
        <f>+SUM(START:END!F205)</f>
        <v>33676.628977700952</v>
      </c>
      <c r="G205" s="83"/>
      <c r="H205" s="13"/>
      <c r="I205" s="30">
        <f>+SUM(START:END!I205)</f>
        <v>0</v>
      </c>
      <c r="J205" s="41"/>
      <c r="K205" s="13"/>
      <c r="L205" s="33">
        <f>+SUM(START:END!L205)</f>
        <v>30880.989999999998</v>
      </c>
      <c r="M205" s="41"/>
      <c r="N205" s="59">
        <f t="shared" si="31"/>
        <v>-2795.6389777009535</v>
      </c>
      <c r="O205" s="41"/>
      <c r="P205" s="13"/>
      <c r="Q205" s="33">
        <f>+SUM(START:END!Q205)</f>
        <v>30873.06</v>
      </c>
      <c r="R205" s="41"/>
      <c r="S205" s="85">
        <f>L205-Q205</f>
        <v>7.9299999999966531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30"/>
        <v>ServiceDéduction à la source</v>
      </c>
      <c r="B206" s="11" t="s">
        <v>78</v>
      </c>
      <c r="C206" s="102" t="s">
        <v>45</v>
      </c>
      <c r="D206" s="104"/>
      <c r="E206" s="105"/>
      <c r="F206" s="55">
        <f>+SUM(START:END!F206)</f>
        <v>30447.591223835592</v>
      </c>
      <c r="G206" s="106"/>
      <c r="H206" s="105"/>
      <c r="I206" s="55">
        <f>+SUM(START:END!I206)</f>
        <v>0</v>
      </c>
      <c r="J206" s="107"/>
      <c r="K206" s="105"/>
      <c r="L206" s="108">
        <f>+SUM(START:END!L206)</f>
        <v>34838.19</v>
      </c>
      <c r="M206" s="107"/>
      <c r="N206" s="109">
        <f t="shared" si="31"/>
        <v>4390.5987761644101</v>
      </c>
      <c r="O206" s="107"/>
      <c r="P206" s="105"/>
      <c r="Q206" s="108">
        <f>+SUM(START:END!Q206)</f>
        <v>33036.97</v>
      </c>
      <c r="R206" s="107"/>
      <c r="S206" s="110">
        <f t="shared" si="32"/>
        <v>1801.2200000000012</v>
      </c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30"/>
        <v>ServiceBénéfices marginaux</v>
      </c>
      <c r="B207" s="11" t="s">
        <v>78</v>
      </c>
      <c r="C207" s="102" t="s">
        <v>46</v>
      </c>
      <c r="D207" s="81"/>
      <c r="E207" s="13"/>
      <c r="F207" s="30">
        <f>+SUM(START:END!F207)</f>
        <v>18260.503842148544</v>
      </c>
      <c r="G207" s="83"/>
      <c r="H207" s="13"/>
      <c r="I207" s="30">
        <f>+SUM(START:END!I207)</f>
        <v>0</v>
      </c>
      <c r="J207" s="41"/>
      <c r="K207" s="13"/>
      <c r="L207" s="33">
        <f>+SUM(START:END!L207)</f>
        <v>17954.580000000002</v>
      </c>
      <c r="M207" s="41"/>
      <c r="N207" s="59">
        <f t="shared" si="31"/>
        <v>-305.92384214854246</v>
      </c>
      <c r="O207" s="41"/>
      <c r="P207" s="13"/>
      <c r="Q207" s="33">
        <f>+SUM(START:END!Q207)</f>
        <v>12247.380000000001</v>
      </c>
      <c r="R207" s="41"/>
      <c r="S207" s="85">
        <f t="shared" si="32"/>
        <v>5707.2000000000007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30"/>
        <v>ServiceCsst</v>
      </c>
      <c r="B208" s="11" t="s">
        <v>78</v>
      </c>
      <c r="C208" s="102" t="s">
        <v>47</v>
      </c>
      <c r="D208" s="81"/>
      <c r="E208" s="13"/>
      <c r="F208" s="30">
        <f>+SUM(START:END!F208)</f>
        <v>3912.9651090318303</v>
      </c>
      <c r="G208" s="83"/>
      <c r="H208" s="13"/>
      <c r="I208" s="30">
        <f>+SUM(START:END!I208)</f>
        <v>0</v>
      </c>
      <c r="J208" s="41"/>
      <c r="K208" s="13"/>
      <c r="L208" s="33">
        <f>+SUM(START:END!L208)</f>
        <v>6404.21</v>
      </c>
      <c r="M208" s="467"/>
      <c r="N208" s="146">
        <f t="shared" si="31"/>
        <v>2491.2448909681698</v>
      </c>
      <c r="O208" s="467"/>
      <c r="P208" s="468"/>
      <c r="Q208" s="22">
        <f>+SUM(START:END!Q208)</f>
        <v>4332.66</v>
      </c>
      <c r="R208" s="467"/>
      <c r="S208" s="469">
        <f t="shared" si="32"/>
        <v>2071.5500000000002</v>
      </c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30"/>
        <v>Service[...]</v>
      </c>
      <c r="B209" s="11" t="s">
        <v>78</v>
      </c>
      <c r="C209" s="29" t="s">
        <v>19</v>
      </c>
      <c r="D209" s="87"/>
      <c r="E209" s="111"/>
      <c r="F209" s="30">
        <f>+SUM(START:END!F209)</f>
        <v>0</v>
      </c>
      <c r="G209" s="89"/>
      <c r="H209" s="111"/>
      <c r="I209" s="30">
        <f>+SUM(START:END!I209)</f>
        <v>0</v>
      </c>
      <c r="J209" s="23"/>
      <c r="K209" s="111"/>
      <c r="L209" s="33">
        <f>+SUM(START:END!L209)</f>
        <v>0</v>
      </c>
      <c r="M209" s="23"/>
      <c r="N209" s="91">
        <f t="shared" si="31"/>
        <v>0</v>
      </c>
      <c r="O209" s="23"/>
      <c r="P209" s="111"/>
      <c r="Q209" s="33">
        <f>+SUM(START:END!Q209)</f>
        <v>0</v>
      </c>
      <c r="R209" s="23"/>
      <c r="S209" s="92">
        <f t="shared" si="32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30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0.61176168653637253</v>
      </c>
      <c r="F210" s="96">
        <f>+SUM(F198:F209)</f>
        <v>198603.90767880002</v>
      </c>
      <c r="G210" s="97" t="s">
        <v>92</v>
      </c>
      <c r="H210" s="95" t="e">
        <f>I210/I$194</f>
        <v>#DIV/0!</v>
      </c>
      <c r="I210" s="96">
        <f>+SUM(I198:I209)</f>
        <v>0</v>
      </c>
      <c r="J210" s="97" t="s">
        <v>92</v>
      </c>
      <c r="K210" s="95">
        <f>L210/L$194</f>
        <v>0.57387239767945775</v>
      </c>
      <c r="L210" s="96">
        <f>+SUM(L198:L209)</f>
        <v>210335.42999999996</v>
      </c>
      <c r="M210" s="147"/>
      <c r="N210" s="113">
        <f t="shared" si="31"/>
        <v>11731.52232119994</v>
      </c>
      <c r="O210" s="97" t="s">
        <v>92</v>
      </c>
      <c r="P210" s="95">
        <f>Q210/Q$194</f>
        <v>0.60002518421852669</v>
      </c>
      <c r="Q210" s="96">
        <f>+SUM(Q198:Q209)</f>
        <v>202373.32</v>
      </c>
      <c r="R210" s="147"/>
      <c r="S210" s="114">
        <f t="shared" si="32"/>
        <v>7962.1099999999569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30"/>
        <v>ServicePublicité 2</v>
      </c>
      <c r="B211" s="11" t="s">
        <v>78</v>
      </c>
      <c r="C211" s="29" t="s">
        <v>49</v>
      </c>
      <c r="D211" s="81"/>
      <c r="E211" s="13"/>
      <c r="F211" s="30">
        <f>+SUM(START:END!F211)</f>
        <v>20023.088704574275</v>
      </c>
      <c r="G211" s="83"/>
      <c r="H211" s="13"/>
      <c r="I211" s="30">
        <f>+SUM(START:END!I211)</f>
        <v>0</v>
      </c>
      <c r="J211" s="41"/>
      <c r="K211" s="13"/>
      <c r="L211" s="33">
        <f>+SUM(START:END!L211)</f>
        <v>30529.98</v>
      </c>
      <c r="M211" s="41"/>
      <c r="N211" s="59">
        <f t="shared" si="31"/>
        <v>10506.891295425725</v>
      </c>
      <c r="O211" s="41"/>
      <c r="P211" s="13"/>
      <c r="Q211" s="33">
        <f>+SUM(START:END!Q211)</f>
        <v>25019.64</v>
      </c>
      <c r="R211" s="41"/>
      <c r="S211" s="85">
        <f t="shared" si="32"/>
        <v>5510.34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30"/>
        <v>ServiceService gratuit 2</v>
      </c>
      <c r="B212" s="11" t="s">
        <v>78</v>
      </c>
      <c r="C212" s="29" t="s">
        <v>50</v>
      </c>
      <c r="D212" s="81"/>
      <c r="E212" s="13"/>
      <c r="F212" s="30">
        <f>+SUM(START:END!F212)</f>
        <v>8275</v>
      </c>
      <c r="G212" s="83"/>
      <c r="H212" s="13"/>
      <c r="I212" s="30">
        <f>+SUM(START:END!I212)</f>
        <v>0</v>
      </c>
      <c r="J212" s="41"/>
      <c r="K212" s="13"/>
      <c r="L212" s="33">
        <f>+SUM(START:END!L212)</f>
        <v>8720.869999999999</v>
      </c>
      <c r="M212" s="41"/>
      <c r="N212" s="59">
        <f t="shared" si="31"/>
        <v>445.86999999999898</v>
      </c>
      <c r="O212" s="41"/>
      <c r="P212" s="13"/>
      <c r="Q212" s="33">
        <f>+SUM(START:END!Q212)</f>
        <v>13731.55</v>
      </c>
      <c r="R212" s="41"/>
      <c r="S212" s="85">
        <f t="shared" si="32"/>
        <v>-5010.68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30"/>
        <v>ServiceFrais véhicules de cie</v>
      </c>
      <c r="B213" s="11" t="s">
        <v>78</v>
      </c>
      <c r="C213" s="86" t="s">
        <v>51</v>
      </c>
      <c r="D213" s="87"/>
      <c r="E213" s="111"/>
      <c r="F213" s="22">
        <f>+SUM(START:END!F213)</f>
        <v>17178.5</v>
      </c>
      <c r="G213" s="89"/>
      <c r="H213" s="111"/>
      <c r="I213" s="22">
        <f>+SUM(START:END!I213)</f>
        <v>0</v>
      </c>
      <c r="J213" s="23"/>
      <c r="K213" s="111"/>
      <c r="L213" s="33">
        <f>+SUM(START:END!L213)</f>
        <v>15531.029999999999</v>
      </c>
      <c r="M213" s="23"/>
      <c r="N213" s="91">
        <f t="shared" si="31"/>
        <v>-1647.4700000000012</v>
      </c>
      <c r="O213" s="23"/>
      <c r="P213" s="111"/>
      <c r="Q213" s="33">
        <f>+SUM(START:END!Q213)</f>
        <v>21302.28</v>
      </c>
      <c r="R213" s="23"/>
      <c r="S213" s="92">
        <f t="shared" si="32"/>
        <v>-5771.25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30"/>
        <v>ServiceInformatique</v>
      </c>
      <c r="B214" s="11" t="s">
        <v>78</v>
      </c>
      <c r="C214" s="29" t="s">
        <v>52</v>
      </c>
      <c r="D214" s="81"/>
      <c r="E214" s="13"/>
      <c r="F214" s="30">
        <f>+SUM(START:END!F214)</f>
        <v>18100.5</v>
      </c>
      <c r="G214" s="83"/>
      <c r="H214" s="13"/>
      <c r="I214" s="30">
        <f>+SUM(START:END!I214)</f>
        <v>0</v>
      </c>
      <c r="J214" s="41"/>
      <c r="K214" s="13"/>
      <c r="L214" s="108">
        <f>+SUM(START:END!L214)</f>
        <v>18087.560000000001</v>
      </c>
      <c r="M214" s="41"/>
      <c r="N214" s="59">
        <f t="shared" si="31"/>
        <v>-12.93999999999869</v>
      </c>
      <c r="O214" s="41"/>
      <c r="P214" s="13"/>
      <c r="Q214" s="108">
        <f>+SUM(START:END!Q214)</f>
        <v>18365.710000000003</v>
      </c>
      <c r="R214" s="41"/>
      <c r="S214" s="85">
        <f t="shared" si="32"/>
        <v>-278.15000000000146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30"/>
        <v>ServiceFrais de déplacement</v>
      </c>
      <c r="B215" s="11" t="s">
        <v>78</v>
      </c>
      <c r="C215" s="29" t="s">
        <v>53</v>
      </c>
      <c r="D215" s="81"/>
      <c r="E215" s="13"/>
      <c r="F215" s="30">
        <f>+SUM(START:END!F215)</f>
        <v>1375</v>
      </c>
      <c r="G215" s="83"/>
      <c r="H215" s="13"/>
      <c r="I215" s="30">
        <f>+SUM(START:END!I215)</f>
        <v>0</v>
      </c>
      <c r="J215" s="41"/>
      <c r="K215" s="13"/>
      <c r="L215" s="33">
        <f>+SUM(START:END!L215)</f>
        <v>695.26</v>
      </c>
      <c r="M215" s="41"/>
      <c r="N215" s="59">
        <f t="shared" si="31"/>
        <v>-679.74</v>
      </c>
      <c r="O215" s="41"/>
      <c r="P215" s="13"/>
      <c r="Q215" s="33">
        <f>+SUM(START:END!Q215)</f>
        <v>1034.21</v>
      </c>
      <c r="R215" s="41"/>
      <c r="S215" s="85">
        <f t="shared" si="32"/>
        <v>-338.95000000000005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30"/>
        <v>ServiceServices extérieurs</v>
      </c>
      <c r="B216" s="11" t="s">
        <v>78</v>
      </c>
      <c r="C216" s="86" t="s">
        <v>54</v>
      </c>
      <c r="D216" s="87"/>
      <c r="E216" s="111"/>
      <c r="F216" s="22">
        <f>+SUM(START:END!F216)</f>
        <v>16924.5</v>
      </c>
      <c r="G216" s="89"/>
      <c r="H216" s="111"/>
      <c r="I216" s="22">
        <f>+SUM(START:END!I216)</f>
        <v>0</v>
      </c>
      <c r="J216" s="23"/>
      <c r="K216" s="111"/>
      <c r="L216" s="33">
        <f>+SUM(START:END!L216)</f>
        <v>9574.44</v>
      </c>
      <c r="M216" s="23"/>
      <c r="N216" s="91">
        <f t="shared" si="31"/>
        <v>-7350.0599999999995</v>
      </c>
      <c r="O216" s="23"/>
      <c r="P216" s="111"/>
      <c r="Q216" s="33">
        <f>+SUM(START:END!Q216)</f>
        <v>21238.22</v>
      </c>
      <c r="R216" s="23"/>
      <c r="S216" s="92">
        <f t="shared" si="32"/>
        <v>-11663.78</v>
      </c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>
      <c r="A217" t="str">
        <f t="shared" si="30"/>
        <v>ServiceFournitures d'atelier</v>
      </c>
      <c r="B217" s="11" t="s">
        <v>78</v>
      </c>
      <c r="C217" s="29" t="s">
        <v>93</v>
      </c>
      <c r="D217" s="81"/>
      <c r="E217" s="13"/>
      <c r="F217" s="30">
        <f>+SUM(START:END!F217)</f>
        <v>0</v>
      </c>
      <c r="G217" s="83"/>
      <c r="H217" s="13"/>
      <c r="I217" s="30">
        <f>+SUM(START:END!I217)</f>
        <v>0</v>
      </c>
      <c r="J217" s="41"/>
      <c r="K217" s="13"/>
      <c r="L217" s="108">
        <f>+SUM(START:END!L217)</f>
        <v>0</v>
      </c>
      <c r="M217" s="41"/>
      <c r="N217" s="59">
        <f t="shared" si="31"/>
        <v>0</v>
      </c>
      <c r="O217" s="41"/>
      <c r="P217" s="13"/>
      <c r="Q217" s="108">
        <f>+SUM(START:END!Q217)</f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si="30"/>
        <v>ServiceFournitures autres</v>
      </c>
      <c r="B218" s="11" t="s">
        <v>78</v>
      </c>
      <c r="C218" s="29" t="s">
        <v>55</v>
      </c>
      <c r="D218" s="81"/>
      <c r="E218" s="13"/>
      <c r="F218" s="30">
        <f>+SUM(START:END!F218)</f>
        <v>3300</v>
      </c>
      <c r="G218" s="83"/>
      <c r="H218" s="13"/>
      <c r="I218" s="30">
        <f>+SUM(START:END!I218)</f>
        <v>0</v>
      </c>
      <c r="J218" s="41"/>
      <c r="K218" s="13"/>
      <c r="L218" s="33">
        <f>+SUM(START:END!L218)</f>
        <v>9468.83</v>
      </c>
      <c r="M218" s="41"/>
      <c r="N218" s="59">
        <f t="shared" si="31"/>
        <v>6168.83</v>
      </c>
      <c r="O218" s="41"/>
      <c r="P218" s="13"/>
      <c r="Q218" s="33">
        <f>+SUM(START:END!Q218)</f>
        <v>5822.35</v>
      </c>
      <c r="R218" s="41"/>
      <c r="S218" s="85">
        <f t="shared" si="32"/>
        <v>3646.4799999999996</v>
      </c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30"/>
        <v>ServiceUniformes</v>
      </c>
      <c r="B219" s="11" t="s">
        <v>78</v>
      </c>
      <c r="C219" s="29" t="s">
        <v>56</v>
      </c>
      <c r="D219" s="81"/>
      <c r="E219" s="13"/>
      <c r="F219" s="30">
        <f>+SUM(START:END!F219)</f>
        <v>3000</v>
      </c>
      <c r="G219" s="83"/>
      <c r="H219" s="13"/>
      <c r="I219" s="30">
        <f>+SUM(START:END!I219)</f>
        <v>0</v>
      </c>
      <c r="J219" s="41"/>
      <c r="K219" s="13"/>
      <c r="L219" s="33">
        <f>+SUM(START:END!L219)</f>
        <v>4165.97</v>
      </c>
      <c r="M219" s="41"/>
      <c r="N219" s="59">
        <f t="shared" si="31"/>
        <v>1165.9700000000003</v>
      </c>
      <c r="O219" s="41"/>
      <c r="P219" s="13"/>
      <c r="Q219" s="33">
        <f>+SUM(START:END!Q219)</f>
        <v>4008.66</v>
      </c>
      <c r="R219" s="41"/>
      <c r="S219" s="85">
        <f t="shared" si="32"/>
        <v>157.3100000000004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30"/>
        <v>ServicePapeterie</v>
      </c>
      <c r="B220" s="11" t="s">
        <v>78</v>
      </c>
      <c r="C220" s="29" t="s">
        <v>57</v>
      </c>
      <c r="D220" s="81"/>
      <c r="E220" s="13"/>
      <c r="F220" s="30">
        <f>+SUM(START:END!F220)</f>
        <v>1181.25</v>
      </c>
      <c r="G220" s="83"/>
      <c r="H220" s="13"/>
      <c r="I220" s="30">
        <f>+SUM(START:END!I220)</f>
        <v>0</v>
      </c>
      <c r="J220" s="41"/>
      <c r="K220" s="13"/>
      <c r="L220" s="32">
        <f>+SUM(START:END!L220)</f>
        <v>787.34999999999991</v>
      </c>
      <c r="M220" s="41"/>
      <c r="N220" s="59">
        <f t="shared" si="31"/>
        <v>-393.90000000000009</v>
      </c>
      <c r="O220" s="41"/>
      <c r="P220" s="13"/>
      <c r="Q220" s="32">
        <f>+SUM(START:END!Q220)</f>
        <v>948.7299999999999</v>
      </c>
      <c r="R220" s="41"/>
      <c r="S220" s="85">
        <f t="shared" si="32"/>
        <v>-161.38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30"/>
        <v>ServiceTéléphone</v>
      </c>
      <c r="B221" s="11" t="s">
        <v>78</v>
      </c>
      <c r="C221" s="29" t="s">
        <v>58</v>
      </c>
      <c r="D221" s="81"/>
      <c r="E221" s="13"/>
      <c r="F221" s="30">
        <f>+SUM(START:END!F221)</f>
        <v>360</v>
      </c>
      <c r="G221" s="83"/>
      <c r="H221" s="13"/>
      <c r="I221" s="30">
        <f>+SUM(START:END!I221)</f>
        <v>0</v>
      </c>
      <c r="J221" s="41"/>
      <c r="K221" s="13"/>
      <c r="L221" s="33">
        <f>+SUM(START:END!L221)</f>
        <v>431.22</v>
      </c>
      <c r="M221" s="41"/>
      <c r="N221" s="59">
        <f t="shared" si="31"/>
        <v>71.220000000000027</v>
      </c>
      <c r="O221" s="41"/>
      <c r="P221" s="13"/>
      <c r="Q221" s="33">
        <f>+SUM(START:END!Q221)</f>
        <v>461.36999999999995</v>
      </c>
      <c r="R221" s="41"/>
      <c r="S221" s="85">
        <f t="shared" si="32"/>
        <v>-30.14999999999992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30"/>
        <v>ServiceFrais postaux</v>
      </c>
      <c r="B222" s="11" t="s">
        <v>78</v>
      </c>
      <c r="C222" s="29" t="s">
        <v>59</v>
      </c>
      <c r="D222" s="81"/>
      <c r="E222" s="13"/>
      <c r="F222" s="30">
        <f>+SUM(START:END!F222)</f>
        <v>337.5</v>
      </c>
      <c r="G222" s="83"/>
      <c r="H222" s="13"/>
      <c r="I222" s="30">
        <f>+SUM(START:END!I222)</f>
        <v>0</v>
      </c>
      <c r="J222" s="41"/>
      <c r="K222" s="13"/>
      <c r="L222" s="33">
        <f>+SUM(START:END!L222)</f>
        <v>213.21999999999997</v>
      </c>
      <c r="M222" s="41"/>
      <c r="N222" s="59">
        <f t="shared" si="31"/>
        <v>-124.28000000000003</v>
      </c>
      <c r="O222" s="41"/>
      <c r="P222" s="13"/>
      <c r="Q222" s="33">
        <f>+SUM(START:END!Q222)</f>
        <v>703.65999999999985</v>
      </c>
      <c r="R222" s="41"/>
      <c r="S222" s="85">
        <f t="shared" si="32"/>
        <v>-490.43999999999988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30"/>
        <v>ServiceDivers</v>
      </c>
      <c r="B223" s="11" t="s">
        <v>78</v>
      </c>
      <c r="C223" s="29" t="s">
        <v>60</v>
      </c>
      <c r="D223" s="81"/>
      <c r="E223" s="13"/>
      <c r="F223" s="30">
        <f>+SUM(START:END!F223)</f>
        <v>1305.75</v>
      </c>
      <c r="G223" s="83"/>
      <c r="H223" s="13"/>
      <c r="I223" s="30">
        <f>+SUM(START:END!I223)</f>
        <v>0</v>
      </c>
      <c r="J223" s="41"/>
      <c r="K223" s="13"/>
      <c r="L223" s="33">
        <f>+SUM(START:END!L223)</f>
        <v>470.13</v>
      </c>
      <c r="M223" s="41"/>
      <c r="N223" s="59">
        <f t="shared" si="31"/>
        <v>-835.62</v>
      </c>
      <c r="O223" s="41"/>
      <c r="P223" s="13"/>
      <c r="Q223" s="33">
        <f>+SUM(START:END!Q223)</f>
        <v>1257.21</v>
      </c>
      <c r="R223" s="41"/>
      <c r="S223" s="85">
        <f t="shared" si="32"/>
        <v>-787.08</v>
      </c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30"/>
        <v>ServiceFormation</v>
      </c>
      <c r="B224" s="11" t="s">
        <v>78</v>
      </c>
      <c r="C224" s="29" t="s">
        <v>61</v>
      </c>
      <c r="D224" s="81"/>
      <c r="E224" s="13"/>
      <c r="F224" s="30">
        <f>+SUM(START:END!F224)</f>
        <v>4931.1458500000008</v>
      </c>
      <c r="G224" s="83"/>
      <c r="H224" s="13"/>
      <c r="I224" s="30">
        <f>+SUM(START:END!I224)</f>
        <v>0</v>
      </c>
      <c r="J224" s="41"/>
      <c r="K224" s="13"/>
      <c r="L224" s="33">
        <f>+SUM(START:END!L224)</f>
        <v>1134.2</v>
      </c>
      <c r="M224" s="41"/>
      <c r="N224" s="59">
        <f t="shared" si="31"/>
        <v>-3796.945850000001</v>
      </c>
      <c r="O224" s="41"/>
      <c r="P224" s="13"/>
      <c r="Q224" s="33">
        <f>+SUM(START:END!Q224)</f>
        <v>3219.6699999999996</v>
      </c>
      <c r="R224" s="41"/>
      <c r="S224" s="85">
        <f t="shared" si="32"/>
        <v>-2085.4699999999993</v>
      </c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30"/>
        <v>ServiceFrais bancaires</v>
      </c>
      <c r="B225" s="11" t="s">
        <v>78</v>
      </c>
      <c r="C225" s="29" t="s">
        <v>62</v>
      </c>
      <c r="D225" s="81"/>
      <c r="E225" s="13"/>
      <c r="F225" s="30">
        <f>+SUM(START:END!F225)</f>
        <v>4511.2547984005032</v>
      </c>
      <c r="G225" s="83"/>
      <c r="H225" s="13"/>
      <c r="I225" s="30">
        <f>+SUM(START:END!I225)</f>
        <v>0</v>
      </c>
      <c r="J225" s="41"/>
      <c r="K225" s="13"/>
      <c r="L225" s="33">
        <f>+SUM(START:END!L225)</f>
        <v>5304.42</v>
      </c>
      <c r="M225" s="41"/>
      <c r="N225" s="59">
        <f t="shared" si="31"/>
        <v>793.16520159949687</v>
      </c>
      <c r="O225" s="41"/>
      <c r="P225" s="13"/>
      <c r="Q225" s="33">
        <f>+SUM(START:END!Q225)</f>
        <v>5784.63</v>
      </c>
      <c r="R225" s="41"/>
      <c r="S225" s="85">
        <f t="shared" si="32"/>
        <v>-480.21000000000004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30"/>
        <v>Service[...]</v>
      </c>
      <c r="B226" s="11" t="s">
        <v>78</v>
      </c>
      <c r="C226" s="29" t="s">
        <v>19</v>
      </c>
      <c r="D226" s="81"/>
      <c r="E226" s="13"/>
      <c r="F226" s="30">
        <f>+SUM(START:END!F226)</f>
        <v>0</v>
      </c>
      <c r="G226" s="83"/>
      <c r="H226" s="13"/>
      <c r="I226" s="30">
        <f>+SUM(START:END!I226)</f>
        <v>0</v>
      </c>
      <c r="J226" s="41"/>
      <c r="K226" s="13"/>
      <c r="L226" s="33">
        <f>+SUM(START:END!L226)</f>
        <v>0</v>
      </c>
      <c r="M226" s="41"/>
      <c r="N226" s="59">
        <f t="shared" si="31"/>
        <v>0</v>
      </c>
      <c r="O226" s="41"/>
      <c r="P226" s="13"/>
      <c r="Q226" s="33">
        <f>+SUM(START:END!Q226)</f>
        <v>0</v>
      </c>
      <c r="R226" s="41"/>
      <c r="S226" s="85">
        <f t="shared" si="32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B227" s="11" t="s">
        <v>78</v>
      </c>
      <c r="C227" s="29" t="s">
        <v>19</v>
      </c>
      <c r="D227" s="81"/>
      <c r="E227" s="13"/>
      <c r="F227" s="30">
        <f>+SUM(START:END!F227)</f>
        <v>0</v>
      </c>
      <c r="G227" s="83"/>
      <c r="H227" s="13"/>
      <c r="I227" s="30">
        <f>+SUM(START:END!I227)</f>
        <v>0</v>
      </c>
      <c r="J227" s="41"/>
      <c r="K227" s="13"/>
      <c r="L227" s="33">
        <f>+SUM(START:END!L227)</f>
        <v>0</v>
      </c>
      <c r="M227" s="41"/>
      <c r="N227" s="59">
        <f t="shared" si="31"/>
        <v>0</v>
      </c>
      <c r="O227" s="41"/>
      <c r="P227" s="13"/>
      <c r="Q227" s="33">
        <f>+SUM(START:END!Q227)</f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si="30"/>
        <v>Service[...]</v>
      </c>
      <c r="B228" s="11" t="s">
        <v>78</v>
      </c>
      <c r="C228" s="29" t="s">
        <v>19</v>
      </c>
      <c r="D228" s="81"/>
      <c r="E228" s="13"/>
      <c r="F228" s="30">
        <f>+SUM(START:END!F228)</f>
        <v>0</v>
      </c>
      <c r="G228" s="83"/>
      <c r="H228" s="13"/>
      <c r="I228" s="30">
        <f>+SUM(START:END!I228)</f>
        <v>0</v>
      </c>
      <c r="J228" s="41"/>
      <c r="K228" s="13"/>
      <c r="L228" s="33">
        <f>+SUM(START:END!L228)</f>
        <v>0</v>
      </c>
      <c r="M228" s="41"/>
      <c r="N228" s="59">
        <f t="shared" si="31"/>
        <v>0</v>
      </c>
      <c r="O228" s="41"/>
      <c r="P228" s="13"/>
      <c r="Q228" s="33">
        <f>+SUM(START:END!Q228)</f>
        <v>0</v>
      </c>
      <c r="R228" s="41"/>
      <c r="S228" s="85">
        <f t="shared" si="32"/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0.31050603875862126</v>
      </c>
      <c r="F229" s="96">
        <f>+SUM(F211:F228)</f>
        <v>100803.48935297478</v>
      </c>
      <c r="G229" s="97" t="s">
        <v>92</v>
      </c>
      <c r="H229" s="95" t="e">
        <f>I229/I$194</f>
        <v>#DIV/0!</v>
      </c>
      <c r="I229" s="96">
        <f>+SUM(I211:I228)</f>
        <v>0</v>
      </c>
      <c r="J229" s="97" t="s">
        <v>92</v>
      </c>
      <c r="K229" s="95">
        <f>L229/L$194</f>
        <v>0.2867909541841307</v>
      </c>
      <c r="L229" s="96">
        <f>+SUM(L211:L228)</f>
        <v>105114.48000000001</v>
      </c>
      <c r="M229" s="100"/>
      <c r="N229" s="96">
        <f t="shared" si="31"/>
        <v>4310.9906470252317</v>
      </c>
      <c r="O229" s="97" t="s">
        <v>92</v>
      </c>
      <c r="P229" s="95">
        <f>Q229/Q$194</f>
        <v>0.36438513281947565</v>
      </c>
      <c r="Q229" s="96">
        <f>+SUM(Q211:Q228)</f>
        <v>122897.89000000003</v>
      </c>
      <c r="R229" s="100"/>
      <c r="S229" s="101">
        <f>L229-Q229</f>
        <v>-17783.410000000018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0.92226772529499379</v>
      </c>
      <c r="F231" s="96">
        <f>F210+F229</f>
        <v>299407.3970317748</v>
      </c>
      <c r="G231" s="97" t="s">
        <v>38</v>
      </c>
      <c r="H231" s="95" t="e">
        <f>I231/I$194</f>
        <v>#DIV/0!</v>
      </c>
      <c r="I231" s="96">
        <f>I210+I229</f>
        <v>0</v>
      </c>
      <c r="J231" s="97" t="s">
        <v>38</v>
      </c>
      <c r="K231" s="95">
        <f>L231/L$194</f>
        <v>0.86066335186358844</v>
      </c>
      <c r="L231" s="96">
        <f>L210+L229</f>
        <v>315449.90999999997</v>
      </c>
      <c r="M231" s="100"/>
      <c r="N231" s="113">
        <f>L231-F231</f>
        <v>16042.512968225172</v>
      </c>
      <c r="O231" s="97" t="s">
        <v>38</v>
      </c>
      <c r="P231" s="95">
        <f>Q231/Q$194</f>
        <v>0.96441031703800228</v>
      </c>
      <c r="Q231" s="96">
        <f>Q210+Q229</f>
        <v>325271.21000000002</v>
      </c>
      <c r="R231" s="100"/>
      <c r="S231" s="114">
        <f>L231-Q231</f>
        <v>-9821.3000000000466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>
        <f>L232-F232</f>
        <v>0</v>
      </c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25235.208168366225</v>
      </c>
      <c r="G233" s="153"/>
      <c r="H233" s="125"/>
      <c r="I233" s="127">
        <f>I194-I231</f>
        <v>0</v>
      </c>
      <c r="J233" s="154"/>
      <c r="K233" s="126"/>
      <c r="L233" s="127">
        <f>L194-L231</f>
        <v>51069.599999999977</v>
      </c>
      <c r="M233" s="154"/>
      <c r="N233" s="127">
        <f>L233-F233</f>
        <v>25834.391831633751</v>
      </c>
      <c r="O233" s="154"/>
      <c r="P233" s="126"/>
      <c r="Q233" s="127">
        <f>Q194-Q231</f>
        <v>12003.499999999709</v>
      </c>
      <c r="R233" s="154"/>
      <c r="S233" s="129">
        <f>L233-Q233</f>
        <v>39066.100000000268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  Q4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08" t="s">
        <v>5</v>
      </c>
      <c r="E238" s="509"/>
      <c r="F238" s="510"/>
      <c r="G238" s="511" t="s">
        <v>71</v>
      </c>
      <c r="H238" s="509"/>
      <c r="I238" s="510"/>
      <c r="J238" s="511" t="s">
        <v>7</v>
      </c>
      <c r="K238" s="509"/>
      <c r="L238" s="510"/>
      <c r="M238" s="511" t="s">
        <v>213</v>
      </c>
      <c r="N238" s="510"/>
      <c r="O238" s="508" t="s">
        <v>8</v>
      </c>
      <c r="P238" s="509"/>
      <c r="Q238" s="510"/>
      <c r="R238" s="515" t="s">
        <v>214</v>
      </c>
      <c r="S238" s="516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33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 t="s">
        <v>39</v>
      </c>
      <c r="H239" s="80" t="s">
        <v>79</v>
      </c>
      <c r="I239" s="134" t="s">
        <v>12</v>
      </c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33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33"/>
        <v>CarrosserieM/O Sous-traitement</v>
      </c>
      <c r="B241" s="11" t="s">
        <v>94</v>
      </c>
      <c r="C241" s="29" t="s">
        <v>95</v>
      </c>
      <c r="D241" s="80">
        <f>+SUM(START:END!D241)</f>
        <v>0</v>
      </c>
      <c r="E241" s="82">
        <f>+SUM(START:END!E241)</f>
        <v>0</v>
      </c>
      <c r="F241" s="82">
        <f>+SUM(START:END!F241)</f>
        <v>0</v>
      </c>
      <c r="G241" s="156">
        <f>+SUM(START:END!G241)</f>
        <v>0</v>
      </c>
      <c r="H241" s="82">
        <f>+SUM(START:END!H241)</f>
        <v>0</v>
      </c>
      <c r="I241" s="82">
        <f>+SUM(START:END!I241)</f>
        <v>0</v>
      </c>
      <c r="J241" s="60">
        <f>+SUM(START:END!J241)</f>
        <v>0</v>
      </c>
      <c r="K241" s="30">
        <f>+SUM(START:END!K241)</f>
        <v>0</v>
      </c>
      <c r="L241" s="33">
        <f>+SUM(START:END!L241)</f>
        <v>0</v>
      </c>
      <c r="M241" s="157">
        <f>IFERROR((K241-E241)/E241,0)</f>
        <v>0</v>
      </c>
      <c r="N241" s="59">
        <f>L241-F241</f>
        <v>0</v>
      </c>
      <c r="O241" s="60">
        <f>+SUM(START:END!O241)</f>
        <v>30</v>
      </c>
      <c r="P241" s="30">
        <f>+SUM(START:END!P241)</f>
        <v>11416.34</v>
      </c>
      <c r="Q241" s="33">
        <f>+SUM(START:END!Q241)</f>
        <v>1696.059999999999</v>
      </c>
      <c r="R241" s="157">
        <f>IF(O241=0,0,J241/O241)</f>
        <v>0</v>
      </c>
      <c r="S241" s="85">
        <f>L241-Q241</f>
        <v>-1696.059999999999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33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>
        <f>IFERROR(I241/H241,0)</f>
        <v>0</v>
      </c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0.14856425088951442</v>
      </c>
      <c r="R242" s="60"/>
      <c r="S242" s="85">
        <f>IFERROR(S241/R241,0)</f>
        <v>0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33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33"/>
        <v>CarrosserieM/O Carrosserie</v>
      </c>
      <c r="B244" s="11" t="s">
        <v>94</v>
      </c>
      <c r="C244" s="14" t="s">
        <v>96</v>
      </c>
      <c r="D244" s="105">
        <f>+SUM(START:END!D244)</f>
        <v>0</v>
      </c>
      <c r="E244" s="82">
        <f>+SUM(START:END!E244)</f>
        <v>0</v>
      </c>
      <c r="F244" s="82">
        <f>+SUM(START:END!F244)</f>
        <v>0</v>
      </c>
      <c r="G244" s="209">
        <f>+SUM(START:END!G244)</f>
        <v>0</v>
      </c>
      <c r="H244" s="82">
        <f>+SUM(START:END!H244)</f>
        <v>0</v>
      </c>
      <c r="I244" s="82">
        <f>+SUM(START:END!I244)</f>
        <v>0</v>
      </c>
      <c r="J244" s="164">
        <f>+SUM(START:END!J244)</f>
        <v>0</v>
      </c>
      <c r="K244" s="165">
        <f>+SUM(START:END!K244)</f>
        <v>0</v>
      </c>
      <c r="L244" s="108">
        <f>+SUM(START:END!L244)</f>
        <v>0</v>
      </c>
      <c r="M244" s="173">
        <f>IFERROR((K244-E244)/E244,0)</f>
        <v>0</v>
      </c>
      <c r="N244" s="109">
        <f>L244-F244</f>
        <v>0</v>
      </c>
      <c r="O244" s="164">
        <f>+SUM(START:END!O244)</f>
        <v>0</v>
      </c>
      <c r="P244" s="165">
        <f>+SUM(START:END!P244)</f>
        <v>0</v>
      </c>
      <c r="Q244" s="108">
        <f>+SUM(START:END!Q244)</f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33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 t="e">
        <f>I244/H244</f>
        <v>#DIV/0!</v>
      </c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33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33"/>
        <v>CarrosserieM/O Esthétique Carr.</v>
      </c>
      <c r="B247" s="11" t="s">
        <v>94</v>
      </c>
      <c r="C247" s="14" t="s">
        <v>97</v>
      </c>
      <c r="D247" s="163">
        <f>+SUM(START:END!D247)</f>
        <v>0</v>
      </c>
      <c r="E247" s="82">
        <f>+SUM(START:END!E247)</f>
        <v>0</v>
      </c>
      <c r="F247" s="82">
        <f>+SUM(START:END!F247)</f>
        <v>0</v>
      </c>
      <c r="G247" s="164">
        <f>+SUM(START:END!G247)</f>
        <v>0</v>
      </c>
      <c r="H247" s="82">
        <f>+SUM(START:END!H247)</f>
        <v>0</v>
      </c>
      <c r="I247" s="82">
        <f>+SUM(START:END!I247)</f>
        <v>0</v>
      </c>
      <c r="J247" s="164">
        <f>+SUM(START:END!J247)</f>
        <v>0</v>
      </c>
      <c r="K247" s="30">
        <f>+SUM(START:END!K247)</f>
        <v>0</v>
      </c>
      <c r="L247" s="33">
        <f>+SUM(START:END!L247)</f>
        <v>0</v>
      </c>
      <c r="M247" s="157">
        <f>IFERROR((K247-E247)/E247,0)</f>
        <v>0</v>
      </c>
      <c r="N247" s="109">
        <f>L247-F247</f>
        <v>0</v>
      </c>
      <c r="O247" s="164">
        <f>+SUM(START:END!O247)</f>
        <v>0</v>
      </c>
      <c r="P247" s="30">
        <f>+SUM(START:END!P247)</f>
        <v>0</v>
      </c>
      <c r="Q247" s="33">
        <f>+SUM(START:END!Q247)</f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33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 t="e">
        <f>I247/H247</f>
        <v>#DIV/0!</v>
      </c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33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33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>
        <f>H244+H247+H241</f>
        <v>0</v>
      </c>
      <c r="I250" s="65">
        <f>I244+I247+I241</f>
        <v>0</v>
      </c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>P244+P247+P241</f>
        <v>11416.34</v>
      </c>
      <c r="Q250" s="65">
        <f>Q244+Q247+Q241</f>
        <v>1696.059999999999</v>
      </c>
      <c r="R250" s="206">
        <f>L251-Q251</f>
        <v>-0.14856425088951442</v>
      </c>
      <c r="S250" s="68">
        <f>L250-Q250</f>
        <v>-1696.059999999999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33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 t="e">
        <f>I250/H250</f>
        <v>#DIV/0!</v>
      </c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IF(P250=0,0,Q250/P250)</f>
        <v>0.14856425088951442</v>
      </c>
      <c r="R251" s="73"/>
      <c r="S251" s="75">
        <f>IF(R250=0,0,S250/R250)</f>
        <v>11416.34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33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33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33"/>
        <v>CarrosserieSalaires cadres</v>
      </c>
      <c r="B254" s="11" t="s">
        <v>94</v>
      </c>
      <c r="C254" s="102" t="s">
        <v>40</v>
      </c>
      <c r="D254" s="13"/>
      <c r="E254" s="13"/>
      <c r="F254" s="30">
        <f>+SUM(START:END!F254)</f>
        <v>0</v>
      </c>
      <c r="G254" s="41"/>
      <c r="H254" s="13"/>
      <c r="I254" s="30">
        <f>+SUM(START:END!I254)</f>
        <v>0</v>
      </c>
      <c r="J254" s="41"/>
      <c r="K254" s="13"/>
      <c r="L254" s="33">
        <f>+SUM(START:END!L254)</f>
        <v>0</v>
      </c>
      <c r="M254" s="41"/>
      <c r="N254" s="59">
        <f t="shared" ref="N254:N284" si="34">L254-F254</f>
        <v>0</v>
      </c>
      <c r="O254" s="41"/>
      <c r="P254" s="13"/>
      <c r="Q254" s="33">
        <f>+SUM(START:END!Q254)</f>
        <v>912.81</v>
      </c>
      <c r="R254" s="41"/>
      <c r="S254" s="85">
        <f t="shared" ref="S254:S284" si="35">L254-Q254</f>
        <v>-912.81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33"/>
        <v>CarrosserieSalaires commis</v>
      </c>
      <c r="B255" s="11" t="s">
        <v>94</v>
      </c>
      <c r="C255" s="103" t="s">
        <v>41</v>
      </c>
      <c r="D255" s="81"/>
      <c r="E255" s="13"/>
      <c r="F255" s="22">
        <f>+SUM(START:END!F255)</f>
        <v>0</v>
      </c>
      <c r="G255" s="83"/>
      <c r="H255" s="13"/>
      <c r="I255" s="22">
        <f>+SUM(START:END!I255)</f>
        <v>0</v>
      </c>
      <c r="J255" s="41"/>
      <c r="K255" s="13"/>
      <c r="L255" s="33">
        <f>+SUM(START:END!L255)</f>
        <v>0</v>
      </c>
      <c r="M255" s="41"/>
      <c r="N255" s="59">
        <f t="shared" si="34"/>
        <v>0</v>
      </c>
      <c r="O255" s="41"/>
      <c r="P255" s="13"/>
      <c r="Q255" s="33">
        <f>+SUM(START:END!Q255)</f>
        <v>1069.32</v>
      </c>
      <c r="R255" s="41"/>
      <c r="S255" s="85">
        <f>L255-Q255</f>
        <v>-1069.32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33"/>
        <v>CarrosserieSalaires autres</v>
      </c>
      <c r="B256" s="11" t="s">
        <v>94</v>
      </c>
      <c r="C256" s="102" t="s">
        <v>42</v>
      </c>
      <c r="D256" s="104"/>
      <c r="E256" s="105"/>
      <c r="F256" s="30">
        <f>+SUM(START:END!F256)</f>
        <v>0</v>
      </c>
      <c r="G256" s="106"/>
      <c r="H256" s="105"/>
      <c r="I256" s="30">
        <f>+SUM(START:END!I256)</f>
        <v>0</v>
      </c>
      <c r="J256" s="107"/>
      <c r="K256" s="105"/>
      <c r="L256" s="108">
        <f>+SUM(START:END!L256)</f>
        <v>0</v>
      </c>
      <c r="M256" s="107"/>
      <c r="N256" s="109">
        <f t="shared" si="34"/>
        <v>0</v>
      </c>
      <c r="O256" s="107"/>
      <c r="P256" s="105"/>
      <c r="Q256" s="108">
        <f>+SUM(START:END!Q256)</f>
        <v>57</v>
      </c>
      <c r="R256" s="107"/>
      <c r="S256" s="110">
        <f t="shared" si="35"/>
        <v>-57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33"/>
        <v>CarrosserieSalaires spécialistes</v>
      </c>
      <c r="B257" s="11" t="s">
        <v>94</v>
      </c>
      <c r="C257" s="102" t="s">
        <v>43</v>
      </c>
      <c r="D257" s="81"/>
      <c r="E257" s="13"/>
      <c r="F257" s="30">
        <f>+SUM(START:END!F257)</f>
        <v>0</v>
      </c>
      <c r="G257" s="83"/>
      <c r="H257" s="13"/>
      <c r="I257" s="30">
        <f>+SUM(START:END!I257)</f>
        <v>0</v>
      </c>
      <c r="J257" s="41"/>
      <c r="K257" s="13"/>
      <c r="L257" s="33">
        <f>+SUM(START:END!L257)</f>
        <v>0</v>
      </c>
      <c r="M257" s="41"/>
      <c r="N257" s="59">
        <f t="shared" si="34"/>
        <v>0</v>
      </c>
      <c r="O257" s="41"/>
      <c r="P257" s="13"/>
      <c r="Q257" s="33">
        <f>+SUM(START:END!Q257)</f>
        <v>0</v>
      </c>
      <c r="R257" s="41"/>
      <c r="S257" s="85">
        <f t="shared" si="35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33"/>
        <v>Carrosserie[...]</v>
      </c>
      <c r="B258" s="11" t="s">
        <v>94</v>
      </c>
      <c r="C258" s="29" t="s">
        <v>19</v>
      </c>
      <c r="D258" s="81"/>
      <c r="E258" s="13"/>
      <c r="F258" s="30">
        <f>+SUM(START:END!F258)</f>
        <v>0</v>
      </c>
      <c r="G258" s="83"/>
      <c r="H258" s="13"/>
      <c r="I258" s="30">
        <f>+SUM(START:END!I258)</f>
        <v>0</v>
      </c>
      <c r="J258" s="41"/>
      <c r="K258" s="13"/>
      <c r="L258" s="33">
        <f>+SUM(START:END!L258)</f>
        <v>0</v>
      </c>
      <c r="M258" s="41"/>
      <c r="N258" s="59">
        <f t="shared" si="34"/>
        <v>0</v>
      </c>
      <c r="O258" s="41"/>
      <c r="P258" s="13"/>
      <c r="Q258" s="33">
        <f>+SUM(START:END!Q258)</f>
        <v>0</v>
      </c>
      <c r="R258" s="41"/>
      <c r="S258" s="85">
        <f t="shared" si="35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33"/>
        <v>Carrosserie[...]</v>
      </c>
      <c r="B259" s="11" t="s">
        <v>94</v>
      </c>
      <c r="C259" s="29" t="s">
        <v>19</v>
      </c>
      <c r="D259" s="81"/>
      <c r="E259" s="13"/>
      <c r="F259" s="30">
        <f>+SUM(START:END!F259)</f>
        <v>0</v>
      </c>
      <c r="G259" s="83"/>
      <c r="H259" s="13"/>
      <c r="I259" s="30">
        <f>+SUM(START:END!I259)</f>
        <v>0</v>
      </c>
      <c r="J259" s="41"/>
      <c r="K259" s="13"/>
      <c r="L259" s="33">
        <f>+SUM(START:END!L259)</f>
        <v>0</v>
      </c>
      <c r="M259" s="41"/>
      <c r="N259" s="59">
        <f t="shared" si="34"/>
        <v>0</v>
      </c>
      <c r="O259" s="41"/>
      <c r="P259" s="13"/>
      <c r="Q259" s="33">
        <f>+SUM(START:END!Q259)</f>
        <v>0</v>
      </c>
      <c r="R259" s="41"/>
      <c r="S259" s="85">
        <f t="shared" si="35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33"/>
        <v>Carrosserie[...]</v>
      </c>
      <c r="B260" s="11" t="s">
        <v>94</v>
      </c>
      <c r="C260" s="29" t="s">
        <v>19</v>
      </c>
      <c r="D260" s="81"/>
      <c r="E260" s="13"/>
      <c r="F260" s="30">
        <f>+SUM(START:END!F260)</f>
        <v>0</v>
      </c>
      <c r="G260" s="83"/>
      <c r="H260" s="13"/>
      <c r="I260" s="30">
        <f>+SUM(START:END!I260)</f>
        <v>0</v>
      </c>
      <c r="J260" s="41"/>
      <c r="K260" s="13"/>
      <c r="L260" s="33">
        <f>+SUM(START:END!L260)</f>
        <v>0</v>
      </c>
      <c r="M260" s="41"/>
      <c r="N260" s="59">
        <f t="shared" si="34"/>
        <v>0</v>
      </c>
      <c r="O260" s="41"/>
      <c r="P260" s="13"/>
      <c r="Q260" s="33">
        <f>+SUM(START:END!Q260)</f>
        <v>0</v>
      </c>
      <c r="R260" s="41"/>
      <c r="S260" s="85">
        <f t="shared" si="35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33"/>
        <v>CarrosserieSalaires en absences</v>
      </c>
      <c r="B261" s="11" t="s">
        <v>94</v>
      </c>
      <c r="C261" s="103" t="s">
        <v>44</v>
      </c>
      <c r="D261" s="81"/>
      <c r="E261" s="13"/>
      <c r="F261" s="22">
        <f>+SUM(START:END!F261)</f>
        <v>0</v>
      </c>
      <c r="G261" s="83"/>
      <c r="H261" s="13"/>
      <c r="I261" s="22">
        <f>+SUM(START:END!I261)</f>
        <v>0</v>
      </c>
      <c r="J261" s="41"/>
      <c r="K261" s="13"/>
      <c r="L261" s="33">
        <f>+SUM(START:END!L261)</f>
        <v>0</v>
      </c>
      <c r="M261" s="41"/>
      <c r="N261" s="59">
        <f t="shared" si="34"/>
        <v>0</v>
      </c>
      <c r="O261" s="41"/>
      <c r="P261" s="13"/>
      <c r="Q261" s="33">
        <f>+SUM(START:END!Q261)</f>
        <v>294.77000000000004</v>
      </c>
      <c r="R261" s="41"/>
      <c r="S261" s="85">
        <f t="shared" si="35"/>
        <v>-294.77000000000004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33"/>
        <v>CarrosserieDéduction à la source</v>
      </c>
      <c r="B262" s="11" t="s">
        <v>94</v>
      </c>
      <c r="C262" s="102" t="s">
        <v>45</v>
      </c>
      <c r="D262" s="104"/>
      <c r="E262" s="105"/>
      <c r="F262" s="30">
        <f>+SUM(START:END!F262)</f>
        <v>0</v>
      </c>
      <c r="G262" s="106"/>
      <c r="H262" s="105"/>
      <c r="I262" s="30">
        <f>+SUM(START:END!I262)</f>
        <v>0</v>
      </c>
      <c r="J262" s="107"/>
      <c r="K262" s="105"/>
      <c r="L262" s="108">
        <f>+SUM(START:END!L262)</f>
        <v>0</v>
      </c>
      <c r="M262" s="107"/>
      <c r="N262" s="109">
        <f t="shared" si="34"/>
        <v>0</v>
      </c>
      <c r="O262" s="107"/>
      <c r="P262" s="105"/>
      <c r="Q262" s="108">
        <f>+SUM(START:END!Q262)</f>
        <v>649.42000000000007</v>
      </c>
      <c r="R262" s="107"/>
      <c r="S262" s="110">
        <f t="shared" si="35"/>
        <v>-649.42000000000007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33"/>
        <v>CarrosserieBénéfices marginaux</v>
      </c>
      <c r="B263" s="11" t="s">
        <v>94</v>
      </c>
      <c r="C263" s="102" t="s">
        <v>46</v>
      </c>
      <c r="D263" s="81"/>
      <c r="E263" s="13"/>
      <c r="F263" s="30">
        <f>+SUM(START:END!F263)</f>
        <v>0</v>
      </c>
      <c r="G263" s="83"/>
      <c r="H263" s="13"/>
      <c r="I263" s="30">
        <f>+SUM(START:END!I263)</f>
        <v>0</v>
      </c>
      <c r="J263" s="41"/>
      <c r="K263" s="13"/>
      <c r="L263" s="33">
        <f>+SUM(START:END!L263)</f>
        <v>0</v>
      </c>
      <c r="M263" s="41"/>
      <c r="N263" s="59">
        <f t="shared" si="34"/>
        <v>0</v>
      </c>
      <c r="O263" s="41"/>
      <c r="P263" s="13"/>
      <c r="Q263" s="33">
        <f>+SUM(START:END!Q263)</f>
        <v>17.270000000000003</v>
      </c>
      <c r="R263" s="41"/>
      <c r="S263" s="85">
        <f t="shared" si="35"/>
        <v>-17.270000000000003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33"/>
        <v>CarrosserieCsst</v>
      </c>
      <c r="B264" s="11" t="s">
        <v>94</v>
      </c>
      <c r="C264" s="102" t="s">
        <v>47</v>
      </c>
      <c r="D264" s="81"/>
      <c r="E264" s="13"/>
      <c r="F264" s="30">
        <f>+SUM(START:END!F264)</f>
        <v>0</v>
      </c>
      <c r="G264" s="83"/>
      <c r="H264" s="13"/>
      <c r="I264" s="30">
        <f>+SUM(START:END!I264)</f>
        <v>0</v>
      </c>
      <c r="J264" s="41"/>
      <c r="K264" s="13"/>
      <c r="L264" s="33">
        <f>+SUM(START:END!L264)</f>
        <v>0</v>
      </c>
      <c r="M264" s="467"/>
      <c r="N264" s="146">
        <f t="shared" si="34"/>
        <v>0</v>
      </c>
      <c r="O264" s="41"/>
      <c r="P264" s="13"/>
      <c r="Q264" s="33">
        <f>+SUM(START:END!Q264)</f>
        <v>12.41</v>
      </c>
      <c r="R264" s="41"/>
      <c r="S264" s="85">
        <f t="shared" si="35"/>
        <v>-12.41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33"/>
        <v>Carrosserie[...]</v>
      </c>
      <c r="B265" s="11" t="s">
        <v>94</v>
      </c>
      <c r="C265" s="29" t="s">
        <v>19</v>
      </c>
      <c r="D265" s="81"/>
      <c r="E265" s="13"/>
      <c r="F265" s="30">
        <f>+SUM(START:END!F265)</f>
        <v>0</v>
      </c>
      <c r="G265" s="83"/>
      <c r="H265" s="13"/>
      <c r="I265" s="30">
        <f>+SUM(START:END!I265)</f>
        <v>0</v>
      </c>
      <c r="J265" s="41"/>
      <c r="K265" s="13"/>
      <c r="L265" s="33">
        <f>+SUM(START:END!L265)</f>
        <v>0</v>
      </c>
      <c r="M265" s="41"/>
      <c r="N265" s="59">
        <f>L265-F265</f>
        <v>0</v>
      </c>
      <c r="O265" s="41"/>
      <c r="P265" s="13"/>
      <c r="Q265" s="33">
        <f>+SUM(START:END!Q265)</f>
        <v>0</v>
      </c>
      <c r="R265" s="41"/>
      <c r="S265" s="85">
        <f>L265-Q265</f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33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 t="s">
        <v>38</v>
      </c>
      <c r="H266" s="95" t="e">
        <f>I266/I$244</f>
        <v>#DIV/0!</v>
      </c>
      <c r="I266" s="96">
        <f>+SUM(I254:I265)</f>
        <v>0</v>
      </c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>L266-F266</f>
        <v>0</v>
      </c>
      <c r="O266" s="97" t="s">
        <v>38</v>
      </c>
      <c r="P266" s="95">
        <f>IF(Q244=0,0,Q266/Q$244)</f>
        <v>0</v>
      </c>
      <c r="Q266" s="96">
        <f>+SUM(Q254:Q265)</f>
        <v>3013</v>
      </c>
      <c r="R266" s="147"/>
      <c r="S266" s="114">
        <f t="shared" si="35"/>
        <v>-3013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33"/>
        <v>CarrosseriePublicité 2</v>
      </c>
      <c r="B267" s="11" t="s">
        <v>94</v>
      </c>
      <c r="C267" s="211" t="s">
        <v>49</v>
      </c>
      <c r="D267" s="81"/>
      <c r="E267" s="13"/>
      <c r="F267" s="30">
        <f>+SUM(START:END!F267)</f>
        <v>0</v>
      </c>
      <c r="G267" s="83"/>
      <c r="H267" s="13"/>
      <c r="I267" s="30">
        <f>+SUM(START:END!I267)</f>
        <v>0</v>
      </c>
      <c r="J267" s="41"/>
      <c r="K267" s="13"/>
      <c r="L267" s="33">
        <f>+SUM(START:END!L267)</f>
        <v>0</v>
      </c>
      <c r="M267" s="41"/>
      <c r="N267" s="59">
        <f t="shared" si="34"/>
        <v>0</v>
      </c>
      <c r="O267" s="41"/>
      <c r="P267" s="13"/>
      <c r="Q267" s="33">
        <f>+SUM(START:END!Q267)</f>
        <v>151.26</v>
      </c>
      <c r="R267" s="41"/>
      <c r="S267" s="85">
        <f t="shared" si="35"/>
        <v>-151.26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33"/>
        <v>CarrosserieService gratuit 2</v>
      </c>
      <c r="B268" s="11" t="s">
        <v>94</v>
      </c>
      <c r="C268" s="102" t="s">
        <v>50</v>
      </c>
      <c r="D268" s="81"/>
      <c r="E268" s="13"/>
      <c r="F268" s="30">
        <f>+SUM(START:END!F268)</f>
        <v>0</v>
      </c>
      <c r="G268" s="83"/>
      <c r="H268" s="13"/>
      <c r="I268" s="30">
        <f>+SUM(START:END!I268)</f>
        <v>0</v>
      </c>
      <c r="J268" s="41"/>
      <c r="K268" s="13"/>
      <c r="L268" s="33">
        <f>+SUM(START:END!L268)</f>
        <v>0</v>
      </c>
      <c r="M268" s="41"/>
      <c r="N268" s="59">
        <f t="shared" si="34"/>
        <v>0</v>
      </c>
      <c r="O268" s="41"/>
      <c r="P268" s="13"/>
      <c r="Q268" s="33">
        <f>+SUM(START:END!Q268)</f>
        <v>85.71</v>
      </c>
      <c r="R268" s="41"/>
      <c r="S268" s="85">
        <f t="shared" si="35"/>
        <v>-85.71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33"/>
        <v>CarrosserieFrais véhicules de cie</v>
      </c>
      <c r="B269" s="11" t="s">
        <v>94</v>
      </c>
      <c r="C269" s="103" t="s">
        <v>51</v>
      </c>
      <c r="D269" s="87"/>
      <c r="E269" s="111"/>
      <c r="F269" s="22">
        <f>+SUM(START:END!F269)</f>
        <v>0</v>
      </c>
      <c r="G269" s="89"/>
      <c r="H269" s="111"/>
      <c r="I269" s="22">
        <f>+SUM(START:END!I269)</f>
        <v>0</v>
      </c>
      <c r="J269" s="23"/>
      <c r="K269" s="111"/>
      <c r="L269" s="33">
        <f>+SUM(START:END!L269)</f>
        <v>0</v>
      </c>
      <c r="M269" s="23"/>
      <c r="N269" s="91">
        <f t="shared" si="34"/>
        <v>0</v>
      </c>
      <c r="O269" s="23"/>
      <c r="P269" s="111"/>
      <c r="Q269" s="33">
        <f>+SUM(START:END!Q269)</f>
        <v>397.57</v>
      </c>
      <c r="R269" s="23"/>
      <c r="S269" s="92">
        <f t="shared" si="35"/>
        <v>-397.57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33"/>
        <v>CarrosserieInformatique</v>
      </c>
      <c r="B270" s="11" t="s">
        <v>94</v>
      </c>
      <c r="C270" s="102" t="s">
        <v>52</v>
      </c>
      <c r="D270" s="81"/>
      <c r="E270" s="13"/>
      <c r="F270" s="30">
        <f>+SUM(START:END!F270)</f>
        <v>0</v>
      </c>
      <c r="G270" s="83"/>
      <c r="H270" s="13"/>
      <c r="I270" s="30">
        <f>+SUM(START:END!I270)</f>
        <v>0</v>
      </c>
      <c r="J270" s="41"/>
      <c r="K270" s="13"/>
      <c r="L270" s="108">
        <f>+SUM(START:END!L270)</f>
        <v>0</v>
      </c>
      <c r="M270" s="41"/>
      <c r="N270" s="59">
        <f t="shared" si="34"/>
        <v>0</v>
      </c>
      <c r="O270" s="41"/>
      <c r="P270" s="13"/>
      <c r="Q270" s="108">
        <f>+SUM(START:END!Q270)</f>
        <v>625.84</v>
      </c>
      <c r="R270" s="41"/>
      <c r="S270" s="85">
        <f t="shared" si="35"/>
        <v>-625.84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33"/>
        <v>CarrosserieFrais de déplacement</v>
      </c>
      <c r="B271" s="11" t="s">
        <v>94</v>
      </c>
      <c r="C271" s="102" t="s">
        <v>53</v>
      </c>
      <c r="D271" s="81"/>
      <c r="E271" s="13"/>
      <c r="F271" s="30">
        <f>+SUM(START:END!F271)</f>
        <v>0</v>
      </c>
      <c r="G271" s="83"/>
      <c r="H271" s="13"/>
      <c r="I271" s="30">
        <f>+SUM(START:END!I271)</f>
        <v>0</v>
      </c>
      <c r="J271" s="41"/>
      <c r="K271" s="13"/>
      <c r="L271" s="33">
        <f>+SUM(START:END!L271)</f>
        <v>0</v>
      </c>
      <c r="M271" s="41"/>
      <c r="N271" s="59">
        <f t="shared" si="34"/>
        <v>0</v>
      </c>
      <c r="O271" s="41"/>
      <c r="P271" s="13"/>
      <c r="Q271" s="33">
        <f>+SUM(START:END!Q271)</f>
        <v>78.05</v>
      </c>
      <c r="R271" s="41"/>
      <c r="S271" s="85">
        <f t="shared" si="35"/>
        <v>-78.05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33"/>
        <v>CarrosserieServices extérieurs</v>
      </c>
      <c r="B272" s="11" t="s">
        <v>94</v>
      </c>
      <c r="C272" s="102" t="s">
        <v>54</v>
      </c>
      <c r="D272" s="87"/>
      <c r="E272" s="111"/>
      <c r="F272" s="22">
        <f>+SUM(START:END!F272)</f>
        <v>0</v>
      </c>
      <c r="G272" s="89"/>
      <c r="H272" s="111"/>
      <c r="I272" s="22">
        <f>+SUM(START:END!I272)</f>
        <v>0</v>
      </c>
      <c r="J272" s="23"/>
      <c r="K272" s="111"/>
      <c r="L272" s="33">
        <f>+SUM(START:END!L272)</f>
        <v>0</v>
      </c>
      <c r="M272" s="23"/>
      <c r="N272" s="91">
        <f t="shared" si="34"/>
        <v>0</v>
      </c>
      <c r="O272" s="23"/>
      <c r="P272" s="111"/>
      <c r="Q272" s="22">
        <f>+SUM(START:END!Q272)</f>
        <v>469.26</v>
      </c>
      <c r="R272" s="23"/>
      <c r="S272" s="92">
        <f t="shared" si="35"/>
        <v>-469.26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 t="shared" si="33"/>
        <v>CarrosserieFournitures d'atelier</v>
      </c>
      <c r="B273" s="11" t="s">
        <v>94</v>
      </c>
      <c r="C273" s="212" t="s">
        <v>93</v>
      </c>
      <c r="D273" s="81"/>
      <c r="E273" s="13"/>
      <c r="F273" s="30">
        <f>+SUM(START:END!F273)</f>
        <v>0</v>
      </c>
      <c r="G273" s="83"/>
      <c r="H273" s="13"/>
      <c r="I273" s="30">
        <f>+SUM(START:END!I273)</f>
        <v>0</v>
      </c>
      <c r="J273" s="41"/>
      <c r="K273" s="13"/>
      <c r="L273" s="55">
        <f>+SUM(START:END!L273)</f>
        <v>0</v>
      </c>
      <c r="M273" s="41"/>
      <c r="N273" s="59">
        <f t="shared" si="34"/>
        <v>0</v>
      </c>
      <c r="O273" s="41"/>
      <c r="P273" s="13"/>
      <c r="Q273" s="33">
        <f>+SUM(START:END!Q273)</f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si="33"/>
        <v>CarrosserieFournitures autres</v>
      </c>
      <c r="B274" s="11" t="s">
        <v>94</v>
      </c>
      <c r="C274" s="102" t="s">
        <v>55</v>
      </c>
      <c r="D274" s="81"/>
      <c r="E274" s="13"/>
      <c r="F274" s="30">
        <f>+SUM(START:END!F274)</f>
        <v>0</v>
      </c>
      <c r="G274" s="83"/>
      <c r="H274" s="13"/>
      <c r="I274" s="30">
        <f>+SUM(START:END!I274)</f>
        <v>0</v>
      </c>
      <c r="J274" s="41"/>
      <c r="K274" s="13"/>
      <c r="L274" s="33">
        <f>+SUM(START:END!L274)</f>
        <v>0</v>
      </c>
      <c r="M274" s="41"/>
      <c r="N274" s="59">
        <f t="shared" si="34"/>
        <v>0</v>
      </c>
      <c r="O274" s="41"/>
      <c r="P274" s="13"/>
      <c r="Q274" s="33">
        <f>+SUM(START:END!Q274)</f>
        <v>1.35</v>
      </c>
      <c r="R274" s="41"/>
      <c r="S274" s="85">
        <f t="shared" si="35"/>
        <v>-1.35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33"/>
        <v>CarrosserieUniformes</v>
      </c>
      <c r="B275" s="11" t="s">
        <v>94</v>
      </c>
      <c r="C275" s="102" t="s">
        <v>56</v>
      </c>
      <c r="D275" s="81"/>
      <c r="E275" s="13"/>
      <c r="F275" s="30">
        <f>+SUM(START:END!F275)</f>
        <v>0</v>
      </c>
      <c r="G275" s="83"/>
      <c r="H275" s="13"/>
      <c r="I275" s="30">
        <f>+SUM(START:END!I275)</f>
        <v>0</v>
      </c>
      <c r="J275" s="41"/>
      <c r="K275" s="13"/>
      <c r="L275" s="33">
        <f>+SUM(START:END!L275)</f>
        <v>0</v>
      </c>
      <c r="M275" s="41"/>
      <c r="N275" s="59">
        <f t="shared" si="34"/>
        <v>0</v>
      </c>
      <c r="O275" s="41"/>
      <c r="P275" s="13"/>
      <c r="Q275" s="33">
        <f>+SUM(START:END!Q275)</f>
        <v>0</v>
      </c>
      <c r="R275" s="41"/>
      <c r="S275" s="85">
        <f t="shared" si="35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33"/>
        <v>CarrosseriePapeterie</v>
      </c>
      <c r="B276" s="11" t="s">
        <v>94</v>
      </c>
      <c r="C276" s="102" t="s">
        <v>57</v>
      </c>
      <c r="D276" s="81"/>
      <c r="E276" s="13"/>
      <c r="F276" s="30">
        <f>+SUM(START:END!F276)</f>
        <v>0</v>
      </c>
      <c r="G276" s="83"/>
      <c r="H276" s="13"/>
      <c r="I276" s="30">
        <f>+SUM(START:END!I276)</f>
        <v>0</v>
      </c>
      <c r="J276" s="41"/>
      <c r="K276" s="13"/>
      <c r="L276" s="32">
        <f>+SUM(START:END!L276)</f>
        <v>0</v>
      </c>
      <c r="M276" s="41"/>
      <c r="N276" s="59">
        <f t="shared" si="34"/>
        <v>0</v>
      </c>
      <c r="O276" s="41"/>
      <c r="P276" s="13"/>
      <c r="Q276" s="32">
        <f>+SUM(START:END!Q276)</f>
        <v>102.94999999999999</v>
      </c>
      <c r="R276" s="41"/>
      <c r="S276" s="85">
        <f t="shared" si="35"/>
        <v>-102.94999999999999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33"/>
        <v>CarrosserieTéléphone</v>
      </c>
      <c r="B277" s="11" t="s">
        <v>94</v>
      </c>
      <c r="C277" s="102" t="s">
        <v>58</v>
      </c>
      <c r="D277" s="81"/>
      <c r="E277" s="13"/>
      <c r="F277" s="30">
        <f>+SUM(START:END!F277)</f>
        <v>0</v>
      </c>
      <c r="G277" s="83"/>
      <c r="H277" s="13"/>
      <c r="I277" s="30">
        <f>+SUM(START:END!I277)</f>
        <v>0</v>
      </c>
      <c r="J277" s="41"/>
      <c r="K277" s="13"/>
      <c r="L277" s="33">
        <f>+SUM(START:END!L277)</f>
        <v>0</v>
      </c>
      <c r="M277" s="41"/>
      <c r="N277" s="59">
        <f t="shared" si="34"/>
        <v>0</v>
      </c>
      <c r="O277" s="41"/>
      <c r="P277" s="13"/>
      <c r="Q277" s="33">
        <f>+SUM(START:END!Q277)</f>
        <v>33.79</v>
      </c>
      <c r="R277" s="41"/>
      <c r="S277" s="85">
        <f t="shared" si="35"/>
        <v>-33.79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33"/>
        <v>CarrosserieFrais postaux</v>
      </c>
      <c r="B278" s="11" t="s">
        <v>94</v>
      </c>
      <c r="C278" s="102" t="s">
        <v>59</v>
      </c>
      <c r="D278" s="81"/>
      <c r="E278" s="13"/>
      <c r="F278" s="30">
        <f>+SUM(START:END!F278)</f>
        <v>0</v>
      </c>
      <c r="G278" s="83"/>
      <c r="H278" s="13"/>
      <c r="I278" s="30">
        <f>+SUM(START:END!I278)</f>
        <v>0</v>
      </c>
      <c r="J278" s="41"/>
      <c r="K278" s="13"/>
      <c r="L278" s="33">
        <f>+SUM(START:END!L278)</f>
        <v>0</v>
      </c>
      <c r="M278" s="41"/>
      <c r="N278" s="59">
        <f t="shared" si="34"/>
        <v>0</v>
      </c>
      <c r="O278" s="41"/>
      <c r="P278" s="13"/>
      <c r="Q278" s="33">
        <f>+SUM(START:END!Q278)</f>
        <v>11.899999999999999</v>
      </c>
      <c r="R278" s="41"/>
      <c r="S278" s="85">
        <f t="shared" si="35"/>
        <v>-11.899999999999999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33"/>
        <v>CarrosserieDivers</v>
      </c>
      <c r="B279" s="11" t="s">
        <v>94</v>
      </c>
      <c r="C279" s="102" t="s">
        <v>60</v>
      </c>
      <c r="D279" s="81"/>
      <c r="E279" s="13"/>
      <c r="F279" s="30">
        <f>+SUM(START:END!F279)</f>
        <v>0</v>
      </c>
      <c r="G279" s="83"/>
      <c r="H279" s="13"/>
      <c r="I279" s="30">
        <f>+SUM(START:END!I279)</f>
        <v>0</v>
      </c>
      <c r="J279" s="41"/>
      <c r="K279" s="13"/>
      <c r="L279" s="33">
        <f>+SUM(START:END!L279)</f>
        <v>0</v>
      </c>
      <c r="M279" s="41"/>
      <c r="N279" s="59">
        <f t="shared" si="34"/>
        <v>0</v>
      </c>
      <c r="O279" s="41"/>
      <c r="P279" s="13"/>
      <c r="Q279" s="33">
        <f>+SUM(START:END!Q279)</f>
        <v>112.74000000000001</v>
      </c>
      <c r="R279" s="41"/>
      <c r="S279" s="85">
        <f t="shared" si="35"/>
        <v>-112.74000000000001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33"/>
        <v>CarrosserieFormation</v>
      </c>
      <c r="B280" s="11" t="s">
        <v>94</v>
      </c>
      <c r="C280" s="102" t="s">
        <v>61</v>
      </c>
      <c r="D280" s="81"/>
      <c r="E280" s="13"/>
      <c r="F280" s="30">
        <f>+SUM(START:END!F280)</f>
        <v>0</v>
      </c>
      <c r="G280" s="83"/>
      <c r="H280" s="13"/>
      <c r="I280" s="30">
        <f>+SUM(START:END!I280)</f>
        <v>0</v>
      </c>
      <c r="J280" s="41"/>
      <c r="K280" s="13"/>
      <c r="L280" s="33">
        <f>+SUM(START:END!L280)</f>
        <v>0</v>
      </c>
      <c r="M280" s="41"/>
      <c r="N280" s="59">
        <f t="shared" si="34"/>
        <v>0</v>
      </c>
      <c r="O280" s="41"/>
      <c r="P280" s="13"/>
      <c r="Q280" s="33">
        <f>+SUM(START:END!Q280)</f>
        <v>111.15</v>
      </c>
      <c r="R280" s="41"/>
      <c r="S280" s="85">
        <f t="shared" si="35"/>
        <v>-111.15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33"/>
        <v>CarrosserieFrais bancaires</v>
      </c>
      <c r="B281" s="11" t="s">
        <v>94</v>
      </c>
      <c r="C281" s="102" t="s">
        <v>62</v>
      </c>
      <c r="D281" s="81"/>
      <c r="E281" s="13"/>
      <c r="F281" s="30">
        <f>+SUM(START:END!F281)</f>
        <v>0</v>
      </c>
      <c r="G281" s="83"/>
      <c r="H281" s="13"/>
      <c r="I281" s="30">
        <f>+SUM(START:END!I281)</f>
        <v>0</v>
      </c>
      <c r="J281" s="41"/>
      <c r="K281" s="13"/>
      <c r="L281" s="33">
        <f>+SUM(START:END!L281)</f>
        <v>0</v>
      </c>
      <c r="M281" s="41"/>
      <c r="N281" s="59">
        <f t="shared" si="34"/>
        <v>0</v>
      </c>
      <c r="O281" s="41"/>
      <c r="P281" s="13"/>
      <c r="Q281" s="33">
        <f>+SUM(START:END!Q281)</f>
        <v>489.94</v>
      </c>
      <c r="R281" s="41"/>
      <c r="S281" s="85">
        <f t="shared" si="35"/>
        <v>-489.94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33"/>
        <v>Carrosserie[...]</v>
      </c>
      <c r="B282" s="11" t="s">
        <v>94</v>
      </c>
      <c r="C282" s="102" t="s">
        <v>19</v>
      </c>
      <c r="D282" s="81"/>
      <c r="E282" s="13"/>
      <c r="F282" s="30">
        <f>+SUM(START:END!F282)</f>
        <v>0</v>
      </c>
      <c r="G282" s="83"/>
      <c r="H282" s="13"/>
      <c r="I282" s="30">
        <f>+SUM(START:END!I282)</f>
        <v>0</v>
      </c>
      <c r="J282" s="41"/>
      <c r="K282" s="13"/>
      <c r="L282" s="33">
        <f>+SUM(START:END!L282)</f>
        <v>0</v>
      </c>
      <c r="M282" s="41"/>
      <c r="N282" s="59">
        <f t="shared" si="34"/>
        <v>0</v>
      </c>
      <c r="O282" s="41"/>
      <c r="P282" s="13"/>
      <c r="Q282" s="33">
        <f>+SUM(START:END!Q282)</f>
        <v>0</v>
      </c>
      <c r="R282" s="41"/>
      <c r="S282" s="85">
        <f t="shared" si="35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 t="shared" si="33"/>
        <v>Carrosserie[...]</v>
      </c>
      <c r="B283" s="11" t="s">
        <v>94</v>
      </c>
      <c r="C283" s="102" t="s">
        <v>19</v>
      </c>
      <c r="D283" s="81"/>
      <c r="E283" s="13"/>
      <c r="F283" s="30">
        <f>+SUM(START:END!F283)</f>
        <v>0</v>
      </c>
      <c r="G283" s="83"/>
      <c r="H283" s="13"/>
      <c r="I283" s="30">
        <f>+SUM(START:END!I283)</f>
        <v>0</v>
      </c>
      <c r="J283" s="41"/>
      <c r="K283" s="13"/>
      <c r="L283" s="33">
        <f>+SUM(START:END!L283)</f>
        <v>0</v>
      </c>
      <c r="M283" s="41"/>
      <c r="N283" s="59">
        <f t="shared" si="34"/>
        <v>0</v>
      </c>
      <c r="O283" s="41"/>
      <c r="P283" s="13"/>
      <c r="Q283" s="33">
        <f>+SUM(START:END!Q283)</f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si="33"/>
        <v>Carrosserie[...]</v>
      </c>
      <c r="B284" s="11" t="s">
        <v>94</v>
      </c>
      <c r="C284" s="102" t="s">
        <v>19</v>
      </c>
      <c r="D284" s="81"/>
      <c r="E284" s="13"/>
      <c r="F284" s="30">
        <f>+SUM(START:END!F284)</f>
        <v>0</v>
      </c>
      <c r="G284" s="83"/>
      <c r="H284" s="13"/>
      <c r="I284" s="30">
        <f>+SUM(START:END!I284)</f>
        <v>0</v>
      </c>
      <c r="J284" s="41"/>
      <c r="K284" s="13"/>
      <c r="L284" s="33">
        <f>+SUM(START:END!L284)</f>
        <v>0</v>
      </c>
      <c r="M284" s="41"/>
      <c r="N284" s="59">
        <f t="shared" si="34"/>
        <v>0</v>
      </c>
      <c r="O284" s="41"/>
      <c r="P284" s="13"/>
      <c r="Q284" s="33">
        <f>+SUM(START:END!Q284)</f>
        <v>0</v>
      </c>
      <c r="R284" s="41"/>
      <c r="S284" s="85">
        <f t="shared" si="35"/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F285/F$250</f>
        <v>#DIV/0!</v>
      </c>
      <c r="F285" s="96">
        <f>+SUM(F267:F284)</f>
        <v>0</v>
      </c>
      <c r="G285" s="97" t="s">
        <v>38</v>
      </c>
      <c r="H285" s="95" t="e">
        <f>I285/I$250</f>
        <v>#DIV/0!</v>
      </c>
      <c r="I285" s="96">
        <f>+SUM(I267:I284)</f>
        <v>0</v>
      </c>
      <c r="J285" s="97" t="s">
        <v>38</v>
      </c>
      <c r="K285" s="95" t="e">
        <f>L285/L$250</f>
        <v>#DIV/0!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Q285/Q$250</f>
        <v>1.5751270591842279</v>
      </c>
      <c r="Q285" s="96">
        <f>+SUM(Q267:Q284)</f>
        <v>2671.51</v>
      </c>
      <c r="R285" s="100"/>
      <c r="S285" s="101">
        <f>L285-Q285</f>
        <v>-2671.51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F287/F$250</f>
        <v>#DIV/0!</v>
      </c>
      <c r="F287" s="96">
        <f>F266+F285</f>
        <v>0</v>
      </c>
      <c r="G287" s="97" t="s">
        <v>38</v>
      </c>
      <c r="H287" s="95" t="e">
        <f>I287/I$250</f>
        <v>#DIV/0!</v>
      </c>
      <c r="I287" s="96">
        <f>I266+I285</f>
        <v>0</v>
      </c>
      <c r="J287" s="97" t="s">
        <v>38</v>
      </c>
      <c r="K287" s="95" t="e">
        <f>L287/L$250</f>
        <v>#DIV/0!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Q287/Q$250</f>
        <v>3.3515972312300293</v>
      </c>
      <c r="Q287" s="96">
        <f>Q266+Q285</f>
        <v>5684.51</v>
      </c>
      <c r="R287" s="100"/>
      <c r="S287" s="114">
        <f>L287-Q287</f>
        <v>-5684.51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>
        <f>L288-F288</f>
        <v>0</v>
      </c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>
        <f>I250-I287</f>
        <v>0</v>
      </c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-3988.4500000000012</v>
      </c>
      <c r="R289" s="154"/>
      <c r="S289" s="129">
        <f>L289-Q289</f>
        <v>3988.4500000000012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  Q4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08" t="s">
        <v>5</v>
      </c>
      <c r="E293" s="509"/>
      <c r="F293" s="510"/>
      <c r="G293" s="511" t="s">
        <v>71</v>
      </c>
      <c r="H293" s="509"/>
      <c r="I293" s="510"/>
      <c r="J293" s="511" t="s">
        <v>7</v>
      </c>
      <c r="K293" s="509"/>
      <c r="L293" s="510"/>
      <c r="M293" s="511" t="s">
        <v>213</v>
      </c>
      <c r="N293" s="510"/>
      <c r="O293" s="508" t="s">
        <v>8</v>
      </c>
      <c r="P293" s="509"/>
      <c r="Q293" s="510"/>
      <c r="R293" s="515" t="s">
        <v>214</v>
      </c>
      <c r="S293" s="51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8" si="36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 t="s">
        <v>79</v>
      </c>
      <c r="H294" s="80" t="s">
        <v>99</v>
      </c>
      <c r="I294" s="134" t="s">
        <v>12</v>
      </c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36"/>
        <v>PiècesPièces Ro Clients</v>
      </c>
      <c r="B295" s="11" t="s">
        <v>98</v>
      </c>
      <c r="C295" s="29" t="s">
        <v>100</v>
      </c>
      <c r="D295" s="82">
        <f>+SUM(START:END!D295)</f>
        <v>189051.18955452243</v>
      </c>
      <c r="E295" s="148">
        <f>IF(D295=0,0,F295/D295)</f>
        <v>0.41</v>
      </c>
      <c r="F295" s="85">
        <f>+SUM(START:END!F295)</f>
        <v>77510.98771735419</v>
      </c>
      <c r="G295" s="82">
        <f>+SUM(START:END!G295)</f>
        <v>0</v>
      </c>
      <c r="H295" s="148">
        <f>IF(G295=0,0,I295/G295)</f>
        <v>0</v>
      </c>
      <c r="I295" s="85">
        <f>+SUM(START:END!I295)</f>
        <v>0</v>
      </c>
      <c r="J295" s="30">
        <f>+SUM(START:END!J295)</f>
        <v>179336.61</v>
      </c>
      <c r="K295" s="148">
        <f>IF(J295=0,0,L295/J295)</f>
        <v>0.39494322994061282</v>
      </c>
      <c r="L295" s="33">
        <f>+SUM(START:END!L295)</f>
        <v>70827.78</v>
      </c>
      <c r="M295" s="157">
        <f t="shared" ref="M295:M301" si="37">(+J295-D295)/D295</f>
        <v>-5.13859742295922E-2</v>
      </c>
      <c r="N295" s="59">
        <f t="shared" ref="N295:N304" si="38">L295-F295</f>
        <v>-6683.2077173541911</v>
      </c>
      <c r="O295" s="30">
        <f>+SUM(START:END!O295)</f>
        <v>169043.4499999999</v>
      </c>
      <c r="P295" s="148">
        <f>IF(O295=0,0,Q295/O295)</f>
        <v>0.398553922083345</v>
      </c>
      <c r="Q295" s="33">
        <f>+SUM(START:END!Q295)</f>
        <v>67372.929999999789</v>
      </c>
      <c r="R295" s="157">
        <f>IF(O295=0,0,(J295-O295)/O295)</f>
        <v>6.0890617175643875E-2</v>
      </c>
      <c r="S295" s="85">
        <f t="shared" ref="S295:S300" si="39">L295-Q295</f>
        <v>3454.8500000002095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36"/>
        <v>PiècesPièces Ro Carrosserie</v>
      </c>
      <c r="B296" s="11" t="s">
        <v>98</v>
      </c>
      <c r="C296" s="29" t="s">
        <v>101</v>
      </c>
      <c r="D296" s="82">
        <f>+SUM(START:END!D296)</f>
        <v>0</v>
      </c>
      <c r="E296" s="148">
        <f t="shared" ref="E296:E303" si="40">IF(D296=0,0,F296/D296)</f>
        <v>0</v>
      </c>
      <c r="F296" s="85">
        <f>+SUM(START:END!F296)</f>
        <v>0</v>
      </c>
      <c r="G296" s="82">
        <f>+SUM(START:END!G296)</f>
        <v>0</v>
      </c>
      <c r="H296" s="148">
        <f t="shared" ref="H296:H303" si="41">IF(G296=0,0,I296/G296)</f>
        <v>0</v>
      </c>
      <c r="I296" s="85">
        <f>+SUM(START:END!I296)</f>
        <v>0</v>
      </c>
      <c r="J296" s="30">
        <f>+SUM(START:END!J296)</f>
        <v>0</v>
      </c>
      <c r="K296" s="148">
        <f t="shared" ref="K296:K303" si="42">IF(J296=0,0,L296/J296)</f>
        <v>0</v>
      </c>
      <c r="L296" s="33">
        <f>+SUM(START:END!L296)</f>
        <v>0</v>
      </c>
      <c r="M296" s="157" t="e">
        <f t="shared" si="37"/>
        <v>#DIV/0!</v>
      </c>
      <c r="N296" s="59">
        <f t="shared" si="38"/>
        <v>0</v>
      </c>
      <c r="O296" s="30">
        <f>+SUM(START:END!O296)</f>
        <v>2761.9700000000003</v>
      </c>
      <c r="P296" s="148">
        <f t="shared" ref="P296:P303" si="43">IF(O296=0,0,Q296/O296)</f>
        <v>0.38357042256070806</v>
      </c>
      <c r="Q296" s="33">
        <f>+SUM(START:END!Q296)</f>
        <v>1059.4099999999989</v>
      </c>
      <c r="R296" s="157">
        <f t="shared" ref="R296:R303" si="44">IF(O296=0,0,(J296-O296)/O296)</f>
        <v>-1</v>
      </c>
      <c r="S296" s="85">
        <f t="shared" si="39"/>
        <v>-1059.4099999999989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36"/>
        <v>PiècesP/A Garantie</v>
      </c>
      <c r="B297" s="11" t="s">
        <v>98</v>
      </c>
      <c r="C297" s="29" t="s">
        <v>102</v>
      </c>
      <c r="D297" s="82">
        <f>+SUM(START:END!D297)</f>
        <v>127212.54786011891</v>
      </c>
      <c r="E297" s="148">
        <f t="shared" si="40"/>
        <v>0.28499999999999992</v>
      </c>
      <c r="F297" s="85">
        <f>+SUM(START:END!F297)</f>
        <v>36255.576140133882</v>
      </c>
      <c r="G297" s="82">
        <f>+SUM(START:END!G297)</f>
        <v>0</v>
      </c>
      <c r="H297" s="148">
        <f t="shared" si="41"/>
        <v>0</v>
      </c>
      <c r="I297" s="85">
        <f>+SUM(START:END!I297)</f>
        <v>0</v>
      </c>
      <c r="J297" s="30">
        <f>+SUM(START:END!J297)</f>
        <v>106064.92000000001</v>
      </c>
      <c r="K297" s="148">
        <f t="shared" si="42"/>
        <v>0.28354360706631376</v>
      </c>
      <c r="L297" s="33">
        <f>+SUM(START:END!L297)</f>
        <v>30074.030000000006</v>
      </c>
      <c r="M297" s="157">
        <f t="shared" si="37"/>
        <v>-0.16623853712428216</v>
      </c>
      <c r="N297" s="59">
        <f t="shared" si="38"/>
        <v>-6181.5461401338762</v>
      </c>
      <c r="O297" s="30">
        <f>+SUM(START:END!O297)</f>
        <v>210020.22999999989</v>
      </c>
      <c r="P297" s="148">
        <f t="shared" si="43"/>
        <v>0.28529613551989647</v>
      </c>
      <c r="Q297" s="33">
        <f>+SUM(START:END!Q297)</f>
        <v>59917.959999999795</v>
      </c>
      <c r="R297" s="157">
        <f t="shared" si="44"/>
        <v>-0.49497760287187542</v>
      </c>
      <c r="S297" s="85">
        <f t="shared" si="39"/>
        <v>-29843.929999999789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36"/>
        <v>PiècesVentes Internes</v>
      </c>
      <c r="B298" s="11" t="s">
        <v>98</v>
      </c>
      <c r="C298" s="29" t="s">
        <v>103</v>
      </c>
      <c r="D298" s="82">
        <f>+SUM(START:END!D298)</f>
        <v>74967.030750171834</v>
      </c>
      <c r="E298" s="148">
        <f t="shared" si="40"/>
        <v>0.35</v>
      </c>
      <c r="F298" s="85">
        <f>+SUM(START:END!F298)</f>
        <v>26238.460762560142</v>
      </c>
      <c r="G298" s="82">
        <f>+SUM(START:END!G298)</f>
        <v>0</v>
      </c>
      <c r="H298" s="148">
        <f t="shared" si="41"/>
        <v>0</v>
      </c>
      <c r="I298" s="85">
        <f>+SUM(START:END!I298)</f>
        <v>0</v>
      </c>
      <c r="J298" s="30">
        <f>+SUM(START:END!J298)</f>
        <v>69167.3</v>
      </c>
      <c r="K298" s="148">
        <f t="shared" si="42"/>
        <v>0.31753314066039873</v>
      </c>
      <c r="L298" s="33">
        <f>+SUM(START:END!L298)</f>
        <v>21962.909999999996</v>
      </c>
      <c r="M298" s="157">
        <f t="shared" si="37"/>
        <v>-7.7363751667042485E-2</v>
      </c>
      <c r="N298" s="59">
        <f t="shared" si="38"/>
        <v>-4275.5507625601458</v>
      </c>
      <c r="O298" s="30">
        <f>+SUM(START:END!O298)</f>
        <v>81098.010000000009</v>
      </c>
      <c r="P298" s="148">
        <f t="shared" si="43"/>
        <v>0.34577432911115819</v>
      </c>
      <c r="Q298" s="33">
        <f>+SUM(START:END!Q298)</f>
        <v>28041.61</v>
      </c>
      <c r="R298" s="157">
        <f t="shared" si="44"/>
        <v>-0.14711470725360593</v>
      </c>
      <c r="S298" s="85">
        <f t="shared" si="39"/>
        <v>-6078.7000000000044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36"/>
        <v>PiècesVentes Détails</v>
      </c>
      <c r="B299" s="11" t="s">
        <v>98</v>
      </c>
      <c r="C299" s="29" t="s">
        <v>104</v>
      </c>
      <c r="D299" s="82">
        <f>+SUM(START:END!D299)</f>
        <v>76561.095144201186</v>
      </c>
      <c r="E299" s="148">
        <f t="shared" si="40"/>
        <v>0.3</v>
      </c>
      <c r="F299" s="85">
        <f>+SUM(START:END!F299)</f>
        <v>22968.328543260355</v>
      </c>
      <c r="G299" s="82">
        <f>+SUM(START:END!G299)</f>
        <v>0</v>
      </c>
      <c r="H299" s="148">
        <f t="shared" si="41"/>
        <v>0</v>
      </c>
      <c r="I299" s="85">
        <f>+SUM(START:END!I299)</f>
        <v>0</v>
      </c>
      <c r="J299" s="30">
        <f>+SUM(START:END!J299)</f>
        <v>62198.400000000001</v>
      </c>
      <c r="K299" s="148">
        <f t="shared" si="42"/>
        <v>0.32130456732005974</v>
      </c>
      <c r="L299" s="33">
        <f>+SUM(START:END!L299)</f>
        <v>19984.630000000005</v>
      </c>
      <c r="M299" s="157">
        <f t="shared" si="37"/>
        <v>-0.18759782781515019</v>
      </c>
      <c r="N299" s="59">
        <f t="shared" si="38"/>
        <v>-2983.6985432603506</v>
      </c>
      <c r="O299" s="30">
        <f>+SUM(START:END!O299)</f>
        <v>85856.5</v>
      </c>
      <c r="P299" s="148">
        <f t="shared" si="43"/>
        <v>0.28516151951220908</v>
      </c>
      <c r="Q299" s="33">
        <f>+SUM(START:END!Q299)</f>
        <v>24482.969999999979</v>
      </c>
      <c r="R299" s="157">
        <f t="shared" si="44"/>
        <v>-0.27555397669366904</v>
      </c>
      <c r="S299" s="85">
        <f t="shared" si="39"/>
        <v>-4498.3399999999747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 t="shared" si="36"/>
        <v>PiècesVentes de Gros</v>
      </c>
      <c r="B300" s="11" t="s">
        <v>98</v>
      </c>
      <c r="C300" s="29" t="s">
        <v>105</v>
      </c>
      <c r="D300" s="82">
        <f>+SUM(START:END!D300)</f>
        <v>148921.34598845005</v>
      </c>
      <c r="E300" s="148">
        <f t="shared" si="40"/>
        <v>0.2</v>
      </c>
      <c r="F300" s="85">
        <f>+SUM(START:END!F300)</f>
        <v>29784.26919769001</v>
      </c>
      <c r="G300" s="82">
        <f>+SUM(START:END!G300)</f>
        <v>0</v>
      </c>
      <c r="H300" s="148">
        <f t="shared" si="41"/>
        <v>0</v>
      </c>
      <c r="I300" s="85">
        <f>+SUM(START:END!I300)</f>
        <v>0</v>
      </c>
      <c r="J300" s="30">
        <f>+SUM(START:END!J300)</f>
        <v>142059.97</v>
      </c>
      <c r="K300" s="148">
        <f t="shared" si="42"/>
        <v>0.19062998535055301</v>
      </c>
      <c r="L300" s="33">
        <f>+SUM(START:END!L300)</f>
        <v>27080.89</v>
      </c>
      <c r="M300" s="157">
        <f t="shared" si="37"/>
        <v>-4.6073824695233398E-2</v>
      </c>
      <c r="N300" s="59">
        <f t="shared" si="38"/>
        <v>-2703.3791976900102</v>
      </c>
      <c r="O300" s="30">
        <f>+SUM(START:END!O300)</f>
        <v>107290.06</v>
      </c>
      <c r="P300" s="148">
        <f t="shared" si="43"/>
        <v>0.20026403191497891</v>
      </c>
      <c r="Q300" s="33">
        <f>+SUM(START:END!Q300)</f>
        <v>21486.34</v>
      </c>
      <c r="R300" s="157">
        <f t="shared" si="44"/>
        <v>0.32407391700591837</v>
      </c>
      <c r="S300" s="85">
        <f t="shared" si="39"/>
        <v>5594.5499999999993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 t="shared" si="36"/>
        <v>Pièces[...]</v>
      </c>
      <c r="B301" s="11" t="s">
        <v>98</v>
      </c>
      <c r="C301" s="29" t="s">
        <v>19</v>
      </c>
      <c r="D301" s="82">
        <f>+SUM(START:END!D301)</f>
        <v>0</v>
      </c>
      <c r="E301" s="148">
        <f t="shared" si="40"/>
        <v>0</v>
      </c>
      <c r="F301" s="85">
        <f>+SUM(START:END!F301)</f>
        <v>0</v>
      </c>
      <c r="G301" s="82">
        <f>+SUM(START:END!G301)</f>
        <v>0</v>
      </c>
      <c r="H301" s="148">
        <f t="shared" si="41"/>
        <v>0</v>
      </c>
      <c r="I301" s="85">
        <f>+SUM(START:END!I301)</f>
        <v>0</v>
      </c>
      <c r="J301" s="30">
        <f>+SUM(START:END!J301)</f>
        <v>0</v>
      </c>
      <c r="K301" s="148">
        <f t="shared" si="42"/>
        <v>0</v>
      </c>
      <c r="L301" s="33">
        <f>+SUM(START:END!L301)</f>
        <v>0</v>
      </c>
      <c r="M301" s="157" t="e">
        <f t="shared" si="37"/>
        <v>#DIV/0!</v>
      </c>
      <c r="N301" s="59">
        <f t="shared" si="38"/>
        <v>0</v>
      </c>
      <c r="O301" s="30">
        <f>+SUM(START:END!O301)</f>
        <v>0</v>
      </c>
      <c r="P301" s="148">
        <f t="shared" si="43"/>
        <v>0</v>
      </c>
      <c r="Q301" s="33">
        <f>+SUM(START:END!Q301)</f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si="36"/>
        <v>PiècesEscomptes</v>
      </c>
      <c r="B302" s="11" t="s">
        <v>98</v>
      </c>
      <c r="C302" s="29" t="s">
        <v>106</v>
      </c>
      <c r="D302" s="82">
        <f>+SUM(START:END!D302)</f>
        <v>0</v>
      </c>
      <c r="E302" s="148">
        <f t="shared" si="40"/>
        <v>0</v>
      </c>
      <c r="F302" s="85">
        <f>+SUM(START:END!F302)</f>
        <v>16133.928440930202</v>
      </c>
      <c r="G302" s="82">
        <f>+SUM(START:END!G302)</f>
        <v>0</v>
      </c>
      <c r="H302" s="148">
        <f t="shared" si="41"/>
        <v>0</v>
      </c>
      <c r="I302" s="85">
        <f>+SUM(START:END!I302)</f>
        <v>0</v>
      </c>
      <c r="J302" s="30">
        <f>+SUM(START:END!J302)</f>
        <v>0</v>
      </c>
      <c r="K302" s="148">
        <f t="shared" si="42"/>
        <v>0</v>
      </c>
      <c r="L302" s="33">
        <f>+SUM(START:END!L302)</f>
        <v>28268.620000000003</v>
      </c>
      <c r="M302" s="157"/>
      <c r="N302" s="59">
        <f t="shared" si="38"/>
        <v>12134.691559069801</v>
      </c>
      <c r="O302" s="30">
        <f>+SUM(START:END!O302)</f>
        <v>0</v>
      </c>
      <c r="P302" s="148">
        <f t="shared" si="43"/>
        <v>0</v>
      </c>
      <c r="Q302" s="33">
        <f>+SUM(START:END!Q302)</f>
        <v>24868.199999999997</v>
      </c>
      <c r="R302" s="157">
        <f t="shared" si="44"/>
        <v>0</v>
      </c>
      <c r="S302" s="85">
        <f>L302-Q302</f>
        <v>3400.4200000000055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36"/>
        <v>PiècesRectif. Inventaire</v>
      </c>
      <c r="B303" s="11" t="s">
        <v>98</v>
      </c>
      <c r="C303" s="86" t="s">
        <v>107</v>
      </c>
      <c r="D303" s="82">
        <f>+SUM(START:END!D303)</f>
        <v>0</v>
      </c>
      <c r="E303" s="148">
        <f t="shared" si="40"/>
        <v>0</v>
      </c>
      <c r="F303" s="85">
        <f>+SUM(START:END!F303)</f>
        <v>0</v>
      </c>
      <c r="G303" s="82">
        <f>+SUM(START:END!G303)</f>
        <v>0</v>
      </c>
      <c r="H303" s="148">
        <f t="shared" si="41"/>
        <v>0</v>
      </c>
      <c r="I303" s="85">
        <f>+SUM(START:END!I303)</f>
        <v>0</v>
      </c>
      <c r="J303" s="30">
        <f>+SUM(START:END!J303)</f>
        <v>0</v>
      </c>
      <c r="K303" s="148">
        <f t="shared" si="42"/>
        <v>0</v>
      </c>
      <c r="L303" s="33">
        <f>+SUM(START:END!L303)</f>
        <v>20577.169999999998</v>
      </c>
      <c r="M303" s="157"/>
      <c r="N303" s="59">
        <f t="shared" si="38"/>
        <v>20577.169999999998</v>
      </c>
      <c r="O303" s="30">
        <f>+SUM(START:END!O303)</f>
        <v>0</v>
      </c>
      <c r="P303" s="148">
        <f t="shared" si="43"/>
        <v>0</v>
      </c>
      <c r="Q303" s="33">
        <f>+SUM(START:END!Q303)</f>
        <v>9377.1</v>
      </c>
      <c r="R303" s="157">
        <f t="shared" si="44"/>
        <v>0</v>
      </c>
      <c r="S303" s="85">
        <f>L303-Q303</f>
        <v>11200.069999999998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36"/>
        <v>PiècesSous-total Pièces</v>
      </c>
      <c r="B304" s="11" t="s">
        <v>98</v>
      </c>
      <c r="C304" s="53" t="s">
        <v>108</v>
      </c>
      <c r="D304" s="195">
        <f>SUM(D295:D303)</f>
        <v>616713.20929746446</v>
      </c>
      <c r="E304" s="213">
        <f>IF(D304&lt;=0,0,F304/D304)</f>
        <v>0.33871749080887992</v>
      </c>
      <c r="F304" s="199">
        <f>SUM(F295:F303)</f>
        <v>208891.55080192877</v>
      </c>
      <c r="G304" s="195">
        <f>SUM(G295:G303)</f>
        <v>0</v>
      </c>
      <c r="H304" s="213">
        <f>IF(G304&lt;=0,0,I304/G304)</f>
        <v>0</v>
      </c>
      <c r="I304" s="199">
        <f>SUM(I295:I303)</f>
        <v>0</v>
      </c>
      <c r="J304" s="195">
        <f>SUM(J295:J303)</f>
        <v>558827.20000000007</v>
      </c>
      <c r="K304" s="213">
        <f>IF(J304&lt;=0,0,L304/J304)</f>
        <v>0.39149137694085029</v>
      </c>
      <c r="L304" s="197">
        <f>SUM(L295:L303)</f>
        <v>218776.02999999997</v>
      </c>
      <c r="M304" s="214">
        <f>(+J304-D304)/D304</f>
        <v>-9.3862120066158253E-2</v>
      </c>
      <c r="N304" s="197">
        <f t="shared" si="38"/>
        <v>9884.4791980712034</v>
      </c>
      <c r="O304" s="195">
        <f>SUM(O295:O303)</f>
        <v>656070.21999999974</v>
      </c>
      <c r="P304" s="213">
        <f>IF(O304&lt;=0,0,Q304/O304)</f>
        <v>0.36064206663731763</v>
      </c>
      <c r="Q304" s="197">
        <f>SUM(Q295:Q303)</f>
        <v>236606.51999999952</v>
      </c>
      <c r="R304" s="214">
        <f>IF(O304=0,0,(J304-O304)/O304)</f>
        <v>-0.14822044506150531</v>
      </c>
      <c r="S304" s="199">
        <f>L304-Q304</f>
        <v>-17830.489999999554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36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4.7318712318066322E-2</v>
      </c>
      <c r="O305" s="41"/>
      <c r="P305" s="13"/>
      <c r="Q305" s="40"/>
      <c r="R305" s="41"/>
      <c r="S305" s="44">
        <f>IF(Q304=0,0,S304/Q304)</f>
        <v>-7.5359250455142107E-2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36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36"/>
        <v>PiècesVentes Pneus</v>
      </c>
      <c r="B307" s="11" t="s">
        <v>98</v>
      </c>
      <c r="C307" s="29" t="s">
        <v>109</v>
      </c>
      <c r="D307" s="82">
        <f>+SUM(START:END!D307)</f>
        <v>303881.23251986294</v>
      </c>
      <c r="E307" s="148">
        <f>IF(D307=0,0,F307/D307)</f>
        <v>0.23999999999999996</v>
      </c>
      <c r="F307" s="110">
        <f>+SUM(START:END!F307)</f>
        <v>72931.495804767095</v>
      </c>
      <c r="G307" s="82">
        <f>+SUM(START:END!G307)</f>
        <v>0</v>
      </c>
      <c r="H307" s="148">
        <f>IF(G307=0,0,I307/G307)</f>
        <v>0</v>
      </c>
      <c r="I307" s="110">
        <f>+SUM(START:END!I307)</f>
        <v>0</v>
      </c>
      <c r="J307" s="30">
        <f>+SUM(START:END!J307)</f>
        <v>328836.38</v>
      </c>
      <c r="K307" s="148">
        <f>IF(J307=0,0,L307/J307)</f>
        <v>0.24448715193860232</v>
      </c>
      <c r="L307" s="33">
        <f>+SUM(START:END!L307)</f>
        <v>80396.269999999975</v>
      </c>
      <c r="M307" s="157">
        <f>(+J307-D307)/D307</f>
        <v>8.2121384309265924E-2</v>
      </c>
      <c r="N307" s="59">
        <f>L307-F307</f>
        <v>7464.7741952328797</v>
      </c>
      <c r="O307" s="30">
        <f>+SUM(START:END!O307)</f>
        <v>341524.52999999997</v>
      </c>
      <c r="P307" s="148">
        <f>IF(O307=0,0,Q307/O307)</f>
        <v>0.24946623892579486</v>
      </c>
      <c r="Q307" s="33">
        <f>+SUM(START:END!Q307)</f>
        <v>85198.839999999793</v>
      </c>
      <c r="R307" s="157">
        <f>IF(O307=0,0,(J307-O307)/O307)</f>
        <v>-3.7151504168675575E-2</v>
      </c>
      <c r="S307" s="85">
        <f>L307-Q307</f>
        <v>-4802.5699999998178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36"/>
        <v>PiècesHuiles et Graisse</v>
      </c>
      <c r="B308" s="11" t="s">
        <v>98</v>
      </c>
      <c r="C308" s="86" t="s">
        <v>110</v>
      </c>
      <c r="D308" s="82">
        <f>+SUM(START:END!D308)</f>
        <v>35950.030043000559</v>
      </c>
      <c r="E308" s="148">
        <f>IF(D308=0,0,F308/D308)</f>
        <v>0.34399999999999992</v>
      </c>
      <c r="F308" s="92">
        <f>+SUM(START:END!F308)</f>
        <v>12366.81033479219</v>
      </c>
      <c r="G308" s="82">
        <f>+SUM(START:END!G308)</f>
        <v>0</v>
      </c>
      <c r="H308" s="148">
        <f>IF(G308=0,0,I308/G308)</f>
        <v>0</v>
      </c>
      <c r="I308" s="92">
        <f>+SUM(START:END!I308)</f>
        <v>0</v>
      </c>
      <c r="J308" s="30">
        <f>+SUM(START:END!J308)</f>
        <v>33955.279999999999</v>
      </c>
      <c r="K308" s="148">
        <f>IF(J308=0,0,L308/J308)</f>
        <v>0.36525718533317941</v>
      </c>
      <c r="L308" s="33">
        <f>+SUM(START:END!L308)</f>
        <v>12402.41</v>
      </c>
      <c r="M308" s="157">
        <f>(+J308-D308)/D308</f>
        <v>-5.5486742030941262E-2</v>
      </c>
      <c r="N308" s="59">
        <f>L308-F308</f>
        <v>35.599665207810176</v>
      </c>
      <c r="O308" s="30">
        <f>+SUM(START:END!O308)</f>
        <v>36920.83</v>
      </c>
      <c r="P308" s="148">
        <f>IF(O308=0,0,Q308/O308)</f>
        <v>0.35599037183075238</v>
      </c>
      <c r="Q308" s="33">
        <f>+SUM(START:END!Q308)</f>
        <v>13143.46</v>
      </c>
      <c r="R308" s="157">
        <f>IF(O308=0,0,(J308-O308)/O308)</f>
        <v>-8.0321867086953436E-2</v>
      </c>
      <c r="S308" s="85">
        <f>L308-Q308</f>
        <v>-741.04999999999927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36"/>
        <v>PiècesSous-total Pièces et Acc.</v>
      </c>
      <c r="B309" s="11" t="s">
        <v>98</v>
      </c>
      <c r="C309" s="53" t="s">
        <v>111</v>
      </c>
      <c r="D309" s="195">
        <f>D304+D307+D308</f>
        <v>956544.47186032799</v>
      </c>
      <c r="E309" s="213">
        <f>IF(D309&lt;=0,0,F309/D309)</f>
        <v>0.30755481380738653</v>
      </c>
      <c r="F309" s="197">
        <f>F304+F307+F308</f>
        <v>294189.85694148805</v>
      </c>
      <c r="G309" s="198">
        <f>G304+G307+G308</f>
        <v>0</v>
      </c>
      <c r="H309" s="213">
        <f>IF(G309&lt;=0,0,I309/G309)</f>
        <v>0</v>
      </c>
      <c r="I309" s="197">
        <f>I304+I307+I308</f>
        <v>0</v>
      </c>
      <c r="J309" s="198">
        <f>J304+J307+J308</f>
        <v>921618.8600000001</v>
      </c>
      <c r="K309" s="213">
        <f>IF(J309&lt;=0,0,L309/J309)</f>
        <v>0.33807327901254092</v>
      </c>
      <c r="L309" s="197">
        <f>L304+L307+L308</f>
        <v>311574.7099999999</v>
      </c>
      <c r="M309" s="214">
        <f>(+J309-D309)/D309</f>
        <v>-3.6512271920199471E-2</v>
      </c>
      <c r="N309" s="197">
        <f>L309-F309</f>
        <v>17384.853058511857</v>
      </c>
      <c r="O309" s="198">
        <f>O304+O307+O308</f>
        <v>1034515.5799999997</v>
      </c>
      <c r="P309" s="213">
        <f>IF(O309&lt;=0,0,Q309/O309)</f>
        <v>0.32377358686081786</v>
      </c>
      <c r="Q309" s="197">
        <f>Q304+Q307+Q308</f>
        <v>334948.81999999931</v>
      </c>
      <c r="R309" s="214">
        <f>IF(O309=0,0,(J309-O309)/O309)</f>
        <v>-0.10913003359504711</v>
      </c>
      <c r="S309" s="199">
        <f>L309-Q309</f>
        <v>-23374.109999999404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36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5.909399202015847E-2</v>
      </c>
      <c r="O310" s="41"/>
      <c r="P310" s="13"/>
      <c r="Q310" s="40"/>
      <c r="R310" s="41"/>
      <c r="S310" s="44">
        <f>IF(Q309=0,0,S309/Q309)</f>
        <v>-6.9784124034231412E-2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36"/>
        <v>PiècesPièces recond. MCPA</v>
      </c>
      <c r="B311" s="11" t="s">
        <v>98</v>
      </c>
      <c r="C311" s="29" t="s">
        <v>190</v>
      </c>
      <c r="D311" s="13">
        <f>+SUM(START:END!D311)</f>
        <v>0</v>
      </c>
      <c r="E311" s="13">
        <f>IF(D311=0,0,F311/D311)</f>
        <v>0</v>
      </c>
      <c r="F311" s="40">
        <f>+SUM(START:END!F311)</f>
        <v>0</v>
      </c>
      <c r="G311" s="41">
        <f>+SUM(START:END!G311)</f>
        <v>0</v>
      </c>
      <c r="H311" s="13">
        <f>IF(G311=0,0,I311/G311)</f>
        <v>0</v>
      </c>
      <c r="I311" s="40">
        <f>+SUM(START:END!I311)</f>
        <v>0</v>
      </c>
      <c r="J311" s="41">
        <f>+SUM(START:END!J311)</f>
        <v>0</v>
      </c>
      <c r="K311" s="13">
        <f>IF(J311=0,0,L311/J311)</f>
        <v>0</v>
      </c>
      <c r="L311" s="40">
        <f>+SUM(START:END!L311)</f>
        <v>0</v>
      </c>
      <c r="M311" s="41"/>
      <c r="N311" s="43"/>
      <c r="O311" s="41">
        <f>+SUM(START:END!O311)</f>
        <v>0</v>
      </c>
      <c r="P311" s="13">
        <f>IF(O311=0,0,Q311/O311)</f>
        <v>0</v>
      </c>
      <c r="Q311" s="40">
        <f>+SUM(START:END!Q311)</f>
        <v>0</v>
      </c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36"/>
        <v>PiècesAutostock</v>
      </c>
      <c r="B312" s="11" t="s">
        <v>98</v>
      </c>
      <c r="C312" s="86" t="s">
        <v>112</v>
      </c>
      <c r="D312" s="90">
        <f>+SUM(START:END!D312)</f>
        <v>0</v>
      </c>
      <c r="E312" s="217">
        <f>IF(D312=0,0,F312/D312)</f>
        <v>0</v>
      </c>
      <c r="F312" s="146">
        <f>+SUM(START:END!F312)</f>
        <v>0</v>
      </c>
      <c r="G312" s="172">
        <f>+SUM(START:END!G312)</f>
        <v>0</v>
      </c>
      <c r="H312" s="217">
        <f>IF(G312=0,0,I312/G312)</f>
        <v>0</v>
      </c>
      <c r="I312" s="146">
        <f>+SUM(START:END!I312)</f>
        <v>0</v>
      </c>
      <c r="J312" s="46">
        <f>+SUM(START:END!J312)</f>
        <v>0</v>
      </c>
      <c r="K312" s="218">
        <f>IF(J312=0,0,L312/J312)</f>
        <v>0</v>
      </c>
      <c r="L312" s="22">
        <f>+SUM(START:END!L312)</f>
        <v>0</v>
      </c>
      <c r="M312" s="218">
        <f>IF(F312=0,0,(+L312-F312)/F312)</f>
        <v>0</v>
      </c>
      <c r="N312" s="91">
        <f>L312-F312</f>
        <v>0</v>
      </c>
      <c r="O312" s="46">
        <f>+SUM(START:END!O312)</f>
        <v>0</v>
      </c>
      <c r="P312" s="218">
        <f>IF(O312=0,0,Q312/O312)</f>
        <v>0</v>
      </c>
      <c r="Q312" s="22">
        <f>+SUM(START:END!Q312)</f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36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36"/>
        <v>PiècesTotal Dépt. Pièces</v>
      </c>
      <c r="B314" s="11" t="s">
        <v>98</v>
      </c>
      <c r="C314" s="62" t="s">
        <v>113</v>
      </c>
      <c r="D314" s="63">
        <f>D309+D312+D311</f>
        <v>956544.47186032799</v>
      </c>
      <c r="E314" s="219">
        <f>IF(D314&lt;=0,0,F314/D314)</f>
        <v>0.30755481380738653</v>
      </c>
      <c r="F314" s="65">
        <f>F309+F312+F311</f>
        <v>294189.85694148805</v>
      </c>
      <c r="G314" s="66">
        <f>G309+G312+G311</f>
        <v>0</v>
      </c>
      <c r="H314" s="219">
        <f>IF(G314&lt;=0,0,I314/G314)</f>
        <v>0</v>
      </c>
      <c r="I314" s="65">
        <f>I309+I312+I311</f>
        <v>0</v>
      </c>
      <c r="J314" s="66">
        <f>J309+J312+J311</f>
        <v>921618.8600000001</v>
      </c>
      <c r="K314" s="219">
        <f>IF(J314&lt;=0,0,L314/J314)</f>
        <v>0.33807327901254092</v>
      </c>
      <c r="L314" s="65">
        <f>L309+L312+L311</f>
        <v>311574.7099999999</v>
      </c>
      <c r="M314" s="220">
        <f>(+J314-D314)/D314</f>
        <v>-3.6512271920199471E-2</v>
      </c>
      <c r="N314" s="221">
        <f>L314-F314</f>
        <v>17384.853058511857</v>
      </c>
      <c r="O314" s="66">
        <f>O309+O312+O311</f>
        <v>1034515.5799999997</v>
      </c>
      <c r="P314" s="219">
        <f>IF(O314&lt;=0,0,Q314/O314)</f>
        <v>0.32377358686081786</v>
      </c>
      <c r="Q314" s="65">
        <f>Q309+Q312+Q311</f>
        <v>334948.81999999931</v>
      </c>
      <c r="R314" s="220">
        <f>IF(O314=0,0,(J314-O314)/O314)</f>
        <v>-0.10913003359504711</v>
      </c>
      <c r="S314" s="222">
        <f>L314-Q314</f>
        <v>-23374.109999999404</v>
      </c>
      <c r="T314" s="13"/>
      <c r="U314" s="13"/>
      <c r="V314" s="454">
        <f>(L314+L194)/(F194+F314)</f>
        <v>1.0957638157075344</v>
      </c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36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5.909399202015847E-2</v>
      </c>
      <c r="O315" s="227"/>
      <c r="P315" s="225"/>
      <c r="Q315" s="226"/>
      <c r="R315" s="228"/>
      <c r="S315" s="75">
        <f>IF(Q314=0,0,S314/Q314)</f>
        <v>-6.9784124034231412E-2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36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36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36"/>
        <v>PiècesSalaires cadres</v>
      </c>
      <c r="B318" s="11" t="s">
        <v>98</v>
      </c>
      <c r="C318" s="102" t="s">
        <v>40</v>
      </c>
      <c r="D318" s="13"/>
      <c r="E318" s="13"/>
      <c r="F318" s="30">
        <f>+SUM(START:END!F318)</f>
        <v>12824.742617152966</v>
      </c>
      <c r="G318" s="41"/>
      <c r="H318" s="13"/>
      <c r="I318" s="30">
        <f>+SUM(START:END!I318)</f>
        <v>0</v>
      </c>
      <c r="J318" s="41"/>
      <c r="K318" s="13"/>
      <c r="L318" s="33">
        <f>+SUM(START:END!L318)</f>
        <v>13036.83</v>
      </c>
      <c r="M318" s="41"/>
      <c r="N318" s="59">
        <f t="shared" ref="N318:N348" si="45">L318-F318</f>
        <v>212.08738284703395</v>
      </c>
      <c r="O318" s="41"/>
      <c r="P318" s="13"/>
      <c r="Q318" s="33">
        <f>+SUM(START:END!Q318)</f>
        <v>7302.5999999999995</v>
      </c>
      <c r="R318" s="41"/>
      <c r="S318" s="85">
        <f t="shared" ref="S318:S343" si="46">L318-Q318</f>
        <v>5734.2300000000005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36"/>
        <v>PiècesSalaires commis</v>
      </c>
      <c r="B319" s="11" t="s">
        <v>98</v>
      </c>
      <c r="C319" s="103" t="s">
        <v>41</v>
      </c>
      <c r="D319" s="81"/>
      <c r="E319" s="13"/>
      <c r="F319" s="22">
        <f>+SUM(START:END!F319)</f>
        <v>8509.7287356321831</v>
      </c>
      <c r="G319" s="83"/>
      <c r="H319" s="13"/>
      <c r="I319" s="22">
        <f>+SUM(START:END!I319)</f>
        <v>0</v>
      </c>
      <c r="J319" s="41"/>
      <c r="K319" s="13"/>
      <c r="L319" s="33">
        <f>+SUM(START:END!L319)</f>
        <v>7681.18</v>
      </c>
      <c r="M319" s="41"/>
      <c r="N319" s="59">
        <f t="shared" si="45"/>
        <v>-828.5487356321828</v>
      </c>
      <c r="O319" s="41"/>
      <c r="P319" s="13"/>
      <c r="Q319" s="33">
        <f>+SUM(START:END!Q319)</f>
        <v>8637.67</v>
      </c>
      <c r="R319" s="41"/>
      <c r="S319" s="85">
        <f t="shared" si="46"/>
        <v>-956.48999999999978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36"/>
        <v>PiècesSalaires autres</v>
      </c>
      <c r="B320" s="11" t="s">
        <v>98</v>
      </c>
      <c r="C320" s="102" t="s">
        <v>42</v>
      </c>
      <c r="D320" s="104"/>
      <c r="E320" s="105"/>
      <c r="F320" s="30">
        <f>+SUM(START:END!F320)</f>
        <v>44896.423218390803</v>
      </c>
      <c r="G320" s="106"/>
      <c r="H320" s="105"/>
      <c r="I320" s="30">
        <f>+SUM(START:END!I320)</f>
        <v>0</v>
      </c>
      <c r="J320" s="107"/>
      <c r="K320" s="105"/>
      <c r="L320" s="108">
        <f>+SUM(START:END!L320)</f>
        <v>50134.68</v>
      </c>
      <c r="M320" s="107"/>
      <c r="N320" s="109">
        <f t="shared" si="45"/>
        <v>5238.2567816091978</v>
      </c>
      <c r="O320" s="107"/>
      <c r="P320" s="105"/>
      <c r="Q320" s="108">
        <f>+SUM(START:END!Q320)</f>
        <v>45702.979999999996</v>
      </c>
      <c r="R320" s="107"/>
      <c r="S320" s="110">
        <f t="shared" si="46"/>
        <v>4431.7000000000044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>
      <c r="A321" t="str">
        <f t="shared" si="36"/>
        <v>PiècesSalaires spécialistes</v>
      </c>
      <c r="B321" s="11" t="s">
        <v>98</v>
      </c>
      <c r="C321" s="102" t="s">
        <v>43</v>
      </c>
      <c r="D321" s="81"/>
      <c r="E321" s="13"/>
      <c r="F321" s="30">
        <f>+SUM(START:END!F321)</f>
        <v>0</v>
      </c>
      <c r="G321" s="83"/>
      <c r="H321" s="13"/>
      <c r="I321" s="30">
        <f>+SUM(START:END!I321)</f>
        <v>0</v>
      </c>
      <c r="J321" s="41"/>
      <c r="K321" s="13"/>
      <c r="L321" s="33">
        <f>+SUM(START:END!L321)</f>
        <v>0</v>
      </c>
      <c r="M321" s="41"/>
      <c r="N321" s="59">
        <f t="shared" si="45"/>
        <v>0</v>
      </c>
      <c r="O321" s="41"/>
      <c r="P321" s="13"/>
      <c r="Q321" s="33">
        <f>+SUM(START:END!Q321)</f>
        <v>0</v>
      </c>
      <c r="R321" s="41"/>
      <c r="S321" s="85">
        <f t="shared" si="46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 t="shared" si="36"/>
        <v>Pièces[...]</v>
      </c>
      <c r="B322" s="11" t="s">
        <v>98</v>
      </c>
      <c r="C322" s="229" t="s">
        <v>19</v>
      </c>
      <c r="D322" s="81"/>
      <c r="E322" s="13"/>
      <c r="F322" s="30">
        <f>+SUM(START:END!F322)</f>
        <v>0</v>
      </c>
      <c r="G322" s="83"/>
      <c r="H322" s="13"/>
      <c r="I322" s="30">
        <f>+SUM(START:END!I322)</f>
        <v>0</v>
      </c>
      <c r="J322" s="41"/>
      <c r="K322" s="13"/>
      <c r="L322" s="33">
        <f>+SUM(START:END!L322)</f>
        <v>0</v>
      </c>
      <c r="M322" s="41"/>
      <c r="N322" s="59">
        <f t="shared" si="45"/>
        <v>0</v>
      </c>
      <c r="O322" s="41"/>
      <c r="P322" s="13"/>
      <c r="Q322" s="33">
        <f>+SUM(START:END!Q322)</f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 t="shared" si="36"/>
        <v>Pièces[...]</v>
      </c>
      <c r="B323" s="11" t="s">
        <v>98</v>
      </c>
      <c r="C323" s="229" t="s">
        <v>19</v>
      </c>
      <c r="D323" s="81"/>
      <c r="E323" s="13"/>
      <c r="F323" s="30">
        <f>+SUM(START:END!F323)</f>
        <v>0</v>
      </c>
      <c r="G323" s="83"/>
      <c r="H323" s="13"/>
      <c r="I323" s="30">
        <f>+SUM(START:END!I323)</f>
        <v>0</v>
      </c>
      <c r="J323" s="41"/>
      <c r="K323" s="13"/>
      <c r="L323" s="33">
        <f>+SUM(START:END!L323)</f>
        <v>0</v>
      </c>
      <c r="M323" s="41"/>
      <c r="N323" s="59">
        <f t="shared" si="45"/>
        <v>0</v>
      </c>
      <c r="O323" s="41"/>
      <c r="P323" s="13"/>
      <c r="Q323" s="33">
        <f>+SUM(START:END!Q323)</f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 t="shared" si="36"/>
        <v>Pièces[...]</v>
      </c>
      <c r="B324" s="11" t="s">
        <v>98</v>
      </c>
      <c r="C324" s="229" t="s">
        <v>19</v>
      </c>
      <c r="D324" s="81"/>
      <c r="E324" s="13"/>
      <c r="F324" s="30">
        <f>+SUM(START:END!F324)</f>
        <v>0</v>
      </c>
      <c r="G324" s="83"/>
      <c r="H324" s="13"/>
      <c r="I324" s="30">
        <f>+SUM(START:END!I324)</f>
        <v>0</v>
      </c>
      <c r="J324" s="41"/>
      <c r="K324" s="13"/>
      <c r="L324" s="33">
        <f>+SUM(START:END!L324)</f>
        <v>0</v>
      </c>
      <c r="M324" s="41"/>
      <c r="N324" s="59">
        <f t="shared" si="45"/>
        <v>0</v>
      </c>
      <c r="O324" s="41"/>
      <c r="P324" s="13"/>
      <c r="Q324" s="33">
        <f>+SUM(START:END!Q324)</f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si="36"/>
        <v>PiècesSalaires en absences</v>
      </c>
      <c r="B325" s="11" t="s">
        <v>98</v>
      </c>
      <c r="C325" s="103" t="s">
        <v>44</v>
      </c>
      <c r="D325" s="81"/>
      <c r="E325" s="13"/>
      <c r="F325" s="22">
        <f>+SUM(START:END!F325)</f>
        <v>10019.86817662264</v>
      </c>
      <c r="G325" s="83"/>
      <c r="H325" s="13"/>
      <c r="I325" s="22">
        <f>+SUM(START:END!I325)</f>
        <v>0</v>
      </c>
      <c r="J325" s="41"/>
      <c r="K325" s="13"/>
      <c r="L325" s="33">
        <f>+SUM(START:END!L325)</f>
        <v>8389.07</v>
      </c>
      <c r="M325" s="41"/>
      <c r="N325" s="59">
        <f t="shared" si="45"/>
        <v>-1630.7981766226403</v>
      </c>
      <c r="O325" s="41"/>
      <c r="P325" s="13"/>
      <c r="Q325" s="33">
        <f>+SUM(START:END!Q325)</f>
        <v>6242.3099999999995</v>
      </c>
      <c r="R325" s="41"/>
      <c r="S325" s="85">
        <f t="shared" si="46"/>
        <v>2146.7600000000002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36"/>
        <v>PiècesDéduction à la source</v>
      </c>
      <c r="B326" s="11" t="s">
        <v>98</v>
      </c>
      <c r="C326" s="102" t="s">
        <v>45</v>
      </c>
      <c r="D326" s="104"/>
      <c r="E326" s="105"/>
      <c r="F326" s="30">
        <f>+SUM(START:END!F326)</f>
        <v>8713.9168854288255</v>
      </c>
      <c r="G326" s="106"/>
      <c r="H326" s="105"/>
      <c r="I326" s="30">
        <f>+SUM(START:END!I326)</f>
        <v>0</v>
      </c>
      <c r="J326" s="107"/>
      <c r="K326" s="105"/>
      <c r="L326" s="108">
        <f>+SUM(START:END!L326)</f>
        <v>9225.0400000000009</v>
      </c>
      <c r="M326" s="107"/>
      <c r="N326" s="109">
        <f t="shared" si="45"/>
        <v>511.12311457117539</v>
      </c>
      <c r="O326" s="107"/>
      <c r="P326" s="105"/>
      <c r="Q326" s="108">
        <f>+SUM(START:END!Q326)</f>
        <v>8860.39</v>
      </c>
      <c r="R326" s="107"/>
      <c r="S326" s="110">
        <f t="shared" si="46"/>
        <v>364.65000000000146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36"/>
        <v>PiècesBénéfices marginaux</v>
      </c>
      <c r="B327" s="11" t="s">
        <v>98</v>
      </c>
      <c r="C327" s="102" t="s">
        <v>46</v>
      </c>
      <c r="D327" s="81"/>
      <c r="E327" s="13"/>
      <c r="F327" s="30">
        <f>+SUM(START:END!F327)</f>
        <v>5235.8298882404961</v>
      </c>
      <c r="G327" s="83"/>
      <c r="H327" s="13"/>
      <c r="I327" s="30">
        <f>+SUM(START:END!I327)</f>
        <v>0</v>
      </c>
      <c r="J327" s="41"/>
      <c r="K327" s="13"/>
      <c r="L327" s="33">
        <f>+SUM(START:END!L327)</f>
        <v>7399.71</v>
      </c>
      <c r="M327" s="41"/>
      <c r="N327" s="59">
        <f t="shared" si="45"/>
        <v>2163.880111759504</v>
      </c>
      <c r="O327" s="41"/>
      <c r="P327" s="13"/>
      <c r="Q327" s="33">
        <f>+SUM(START:END!Q327)</f>
        <v>4194.28</v>
      </c>
      <c r="R327" s="41"/>
      <c r="S327" s="85">
        <f t="shared" si="46"/>
        <v>3205.4300000000003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36"/>
        <v>PiècesCsst</v>
      </c>
      <c r="B328" s="11" t="s">
        <v>98</v>
      </c>
      <c r="C328" s="102" t="s">
        <v>47</v>
      </c>
      <c r="D328" s="81"/>
      <c r="E328" s="13"/>
      <c r="F328" s="30">
        <f>+SUM(START:END!F328)</f>
        <v>1121.9635474801062</v>
      </c>
      <c r="G328" s="83"/>
      <c r="H328" s="13"/>
      <c r="I328" s="30">
        <f>+SUM(START:END!I328)</f>
        <v>0</v>
      </c>
      <c r="J328" s="41"/>
      <c r="K328" s="13"/>
      <c r="L328" s="33">
        <f>+SUM(START:END!L328)</f>
        <v>1725.9</v>
      </c>
      <c r="M328" s="467"/>
      <c r="N328" s="146">
        <f t="shared" si="45"/>
        <v>603.93645251989392</v>
      </c>
      <c r="O328" s="41"/>
      <c r="P328" s="13"/>
      <c r="Q328" s="33">
        <f>+SUM(START:END!Q328)</f>
        <v>752.31000000000006</v>
      </c>
      <c r="R328" s="41"/>
      <c r="S328" s="85">
        <f t="shared" si="46"/>
        <v>973.59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36"/>
        <v>Pièces[...]</v>
      </c>
      <c r="B329" s="11" t="s">
        <v>98</v>
      </c>
      <c r="C329" s="229" t="s">
        <v>19</v>
      </c>
      <c r="D329" s="81"/>
      <c r="E329" s="13"/>
      <c r="F329" s="30">
        <f>+SUM(START:END!F329)</f>
        <v>0</v>
      </c>
      <c r="G329" s="83"/>
      <c r="H329" s="13"/>
      <c r="I329" s="30">
        <f>+SUM(START:END!I329)</f>
        <v>0</v>
      </c>
      <c r="J329" s="41"/>
      <c r="K329" s="13"/>
      <c r="L329" s="33">
        <f>+SUM(START:END!L329)</f>
        <v>0</v>
      </c>
      <c r="M329" s="41"/>
      <c r="N329" s="59">
        <f>L329-F329</f>
        <v>0</v>
      </c>
      <c r="O329" s="41"/>
      <c r="P329" s="13"/>
      <c r="Q329" s="33">
        <f>+SUM(START:END!Q329)</f>
        <v>0</v>
      </c>
      <c r="R329" s="41"/>
      <c r="S329" s="85">
        <f>L329-Q329</f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36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0.31042019605424837</v>
      </c>
      <c r="F330" s="96">
        <f>+SUM(F318:F329)</f>
        <v>91322.473068948006</v>
      </c>
      <c r="G330" s="97" t="s">
        <v>38</v>
      </c>
      <c r="H330" s="95" t="e">
        <f>I330/I$314</f>
        <v>#DIV/0!</v>
      </c>
      <c r="I330" s="96">
        <f>+SUM(I318:I329)</f>
        <v>0</v>
      </c>
      <c r="J330" s="97" t="s">
        <v>38</v>
      </c>
      <c r="K330" s="95">
        <f>L330/L$314</f>
        <v>0.31322314317487465</v>
      </c>
      <c r="L330" s="96">
        <f>+SUM(L318:L329)</f>
        <v>97592.410000000018</v>
      </c>
      <c r="M330" s="147"/>
      <c r="N330" s="113">
        <f t="shared" si="45"/>
        <v>6269.9369310520124</v>
      </c>
      <c r="O330" s="97" t="s">
        <v>38</v>
      </c>
      <c r="P330" s="95">
        <f>Q330/Q$314</f>
        <v>0.24389558977995551</v>
      </c>
      <c r="Q330" s="96">
        <f>+SUM(Q318:Q329)</f>
        <v>81692.539999999994</v>
      </c>
      <c r="R330" s="147"/>
      <c r="S330" s="114">
        <f t="shared" si="46"/>
        <v>15899.870000000024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36"/>
        <v>PiècesPublicité 2</v>
      </c>
      <c r="B331" s="11" t="s">
        <v>98</v>
      </c>
      <c r="C331" s="211" t="s">
        <v>49</v>
      </c>
      <c r="D331" s="81"/>
      <c r="E331" s="13"/>
      <c r="F331" s="30">
        <f>+SUM(START:END!F331)</f>
        <v>10781.663148616917</v>
      </c>
      <c r="G331" s="83"/>
      <c r="H331" s="13"/>
      <c r="I331" s="30">
        <f>+SUM(START:END!I331)</f>
        <v>0</v>
      </c>
      <c r="J331" s="41"/>
      <c r="K331" s="13"/>
      <c r="L331" s="33">
        <f>+SUM(START:END!L331)</f>
        <v>15546.14</v>
      </c>
      <c r="M331" s="41"/>
      <c r="N331" s="59">
        <f t="shared" si="45"/>
        <v>4764.4768513830822</v>
      </c>
      <c r="O331" s="41"/>
      <c r="P331" s="13"/>
      <c r="Q331" s="33">
        <f>+SUM(START:END!Q331)</f>
        <v>13061.749999999998</v>
      </c>
      <c r="R331" s="41"/>
      <c r="S331" s="85">
        <f t="shared" si="46"/>
        <v>2484.3900000000012</v>
      </c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36"/>
        <v>PiècesService gratuit 2</v>
      </c>
      <c r="B332" s="11" t="s">
        <v>98</v>
      </c>
      <c r="C332" s="102" t="s">
        <v>50</v>
      </c>
      <c r="D332" s="81"/>
      <c r="E332" s="13"/>
      <c r="F332" s="30">
        <f>+SUM(START:END!F332)</f>
        <v>1725</v>
      </c>
      <c r="G332" s="83"/>
      <c r="H332" s="13"/>
      <c r="I332" s="30">
        <f>+SUM(START:END!I332)</f>
        <v>0</v>
      </c>
      <c r="J332" s="41"/>
      <c r="K332" s="13"/>
      <c r="L332" s="59">
        <f>+SUM(START:END!L332)</f>
        <v>4875.62</v>
      </c>
      <c r="M332" s="41"/>
      <c r="N332" s="59">
        <f t="shared" si="45"/>
        <v>3150.62</v>
      </c>
      <c r="O332" s="41"/>
      <c r="P332" s="13"/>
      <c r="Q332" s="33">
        <f>+SUM(START:END!Q332)</f>
        <v>1355.48</v>
      </c>
      <c r="R332" s="41"/>
      <c r="S332" s="85">
        <f t="shared" si="46"/>
        <v>3520.14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36"/>
        <v>PiècesFrais véhicules de cie</v>
      </c>
      <c r="B333" s="11" t="s">
        <v>98</v>
      </c>
      <c r="C333" s="103" t="s">
        <v>51</v>
      </c>
      <c r="D333" s="87"/>
      <c r="E333" s="111"/>
      <c r="F333" s="22">
        <f>+SUM(START:END!F333)</f>
        <v>15561.8</v>
      </c>
      <c r="G333" s="89"/>
      <c r="H333" s="111"/>
      <c r="I333" s="22">
        <f>+SUM(START:END!I333)</f>
        <v>0</v>
      </c>
      <c r="J333" s="23"/>
      <c r="K333" s="111"/>
      <c r="L333" s="91">
        <f>+SUM(START:END!L333)</f>
        <v>13649.21</v>
      </c>
      <c r="M333" s="23"/>
      <c r="N333" s="91">
        <f t="shared" si="45"/>
        <v>-1912.5900000000001</v>
      </c>
      <c r="O333" s="23"/>
      <c r="P333" s="111"/>
      <c r="Q333" s="33">
        <f>+SUM(START:END!Q333)</f>
        <v>18023.839999999989</v>
      </c>
      <c r="R333" s="23"/>
      <c r="S333" s="92">
        <f t="shared" si="46"/>
        <v>-4374.6299999999901</v>
      </c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36"/>
        <v>PiècesInformatique</v>
      </c>
      <c r="B334" s="11" t="s">
        <v>98</v>
      </c>
      <c r="C334" s="102" t="s">
        <v>52</v>
      </c>
      <c r="D334" s="81"/>
      <c r="E334" s="13"/>
      <c r="F334" s="30">
        <f>+SUM(START:END!F334)</f>
        <v>5480.4000000000005</v>
      </c>
      <c r="G334" s="83"/>
      <c r="H334" s="13"/>
      <c r="I334" s="30">
        <f>+SUM(START:END!I334)</f>
        <v>0</v>
      </c>
      <c r="J334" s="41"/>
      <c r="K334" s="13"/>
      <c r="L334" s="108">
        <f>+SUM(START:END!L334)</f>
        <v>5256.71</v>
      </c>
      <c r="M334" s="41"/>
      <c r="N334" s="59">
        <f t="shared" si="45"/>
        <v>-223.69000000000051</v>
      </c>
      <c r="O334" s="41"/>
      <c r="P334" s="13"/>
      <c r="Q334" s="108">
        <f>+SUM(START:END!Q334)</f>
        <v>5687.16</v>
      </c>
      <c r="R334" s="41"/>
      <c r="S334" s="85">
        <f t="shared" si="46"/>
        <v>-430.44999999999982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36"/>
        <v>PiècesFrais de déplacement</v>
      </c>
      <c r="B335" s="11" t="s">
        <v>98</v>
      </c>
      <c r="C335" s="102" t="s">
        <v>53</v>
      </c>
      <c r="D335" s="81"/>
      <c r="E335" s="13"/>
      <c r="F335" s="30">
        <f>+SUM(START:END!F335)</f>
        <v>1100</v>
      </c>
      <c r="G335" s="83"/>
      <c r="H335" s="13"/>
      <c r="I335" s="30">
        <f>+SUM(START:END!I335)</f>
        <v>0</v>
      </c>
      <c r="J335" s="41"/>
      <c r="K335" s="13"/>
      <c r="L335" s="33">
        <f>+SUM(START:END!L335)</f>
        <v>434.47999999999996</v>
      </c>
      <c r="M335" s="41"/>
      <c r="N335" s="59">
        <f t="shared" si="45"/>
        <v>-665.52</v>
      </c>
      <c r="O335" s="41"/>
      <c r="P335" s="13"/>
      <c r="Q335" s="33">
        <f>+SUM(START:END!Q335)</f>
        <v>582.45000000000005</v>
      </c>
      <c r="R335" s="41"/>
      <c r="S335" s="85">
        <f t="shared" si="46"/>
        <v>-147.97000000000008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36"/>
        <v>PiècesServices extérieurs</v>
      </c>
      <c r="B336" s="11" t="s">
        <v>98</v>
      </c>
      <c r="C336" s="230" t="s">
        <v>54</v>
      </c>
      <c r="D336" s="87"/>
      <c r="E336" s="111"/>
      <c r="F336" s="22">
        <f>+SUM(START:END!F336)</f>
        <v>6069.6</v>
      </c>
      <c r="G336" s="89"/>
      <c r="H336" s="111"/>
      <c r="I336" s="22">
        <f>+SUM(START:END!I336)</f>
        <v>0</v>
      </c>
      <c r="J336" s="23"/>
      <c r="K336" s="111"/>
      <c r="L336" s="48">
        <f>+SUM(START:END!L336)</f>
        <v>5811.02</v>
      </c>
      <c r="M336" s="23"/>
      <c r="N336" s="91">
        <f t="shared" si="45"/>
        <v>-258.57999999999993</v>
      </c>
      <c r="O336" s="23"/>
      <c r="P336" s="111"/>
      <c r="Q336" s="48">
        <f>+SUM(START:END!Q336)</f>
        <v>5510.82</v>
      </c>
      <c r="R336" s="23"/>
      <c r="S336" s="92">
        <f t="shared" si="46"/>
        <v>300.20000000000073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>
      <c r="A337" t="str">
        <f t="shared" si="36"/>
        <v>PiècesFournitures d'atelier</v>
      </c>
      <c r="B337" s="11" t="s">
        <v>98</v>
      </c>
      <c r="C337" s="102" t="s">
        <v>93</v>
      </c>
      <c r="D337" s="81"/>
      <c r="E337" s="13"/>
      <c r="F337" s="30">
        <f>+SUM(START:END!F337)</f>
        <v>0</v>
      </c>
      <c r="G337" s="83"/>
      <c r="H337" s="13"/>
      <c r="I337" s="30">
        <f>+SUM(START:END!I337)</f>
        <v>0</v>
      </c>
      <c r="J337" s="41"/>
      <c r="K337" s="13"/>
      <c r="L337" s="33">
        <f>+SUM(START:END!L337)</f>
        <v>0</v>
      </c>
      <c r="M337" s="41"/>
      <c r="N337" s="59">
        <f t="shared" si="45"/>
        <v>0</v>
      </c>
      <c r="O337" s="41"/>
      <c r="P337" s="13"/>
      <c r="Q337" s="33">
        <f>+SUM(START:END!Q337)</f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si="36"/>
        <v>PiècesFournitures autres</v>
      </c>
      <c r="B338" s="11" t="s">
        <v>98</v>
      </c>
      <c r="C338" s="102" t="s">
        <v>55</v>
      </c>
      <c r="D338" s="81"/>
      <c r="E338" s="13"/>
      <c r="F338" s="30">
        <f>+SUM(START:END!F338)</f>
        <v>30</v>
      </c>
      <c r="G338" s="83"/>
      <c r="H338" s="13"/>
      <c r="I338" s="30">
        <f>+SUM(START:END!I338)</f>
        <v>0</v>
      </c>
      <c r="J338" s="41"/>
      <c r="K338" s="13"/>
      <c r="L338" s="33">
        <f>+SUM(START:END!L338)</f>
        <v>5.82</v>
      </c>
      <c r="M338" s="41"/>
      <c r="N338" s="59">
        <f t="shared" si="45"/>
        <v>-24.18</v>
      </c>
      <c r="O338" s="41"/>
      <c r="P338" s="13"/>
      <c r="Q338" s="33">
        <f>+SUM(START:END!Q338)</f>
        <v>288.56</v>
      </c>
      <c r="R338" s="41"/>
      <c r="S338" s="85">
        <f t="shared" si="46"/>
        <v>-282.74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36"/>
        <v>PiècesUniformes</v>
      </c>
      <c r="B339" s="11" t="s">
        <v>98</v>
      </c>
      <c r="C339" s="102" t="s">
        <v>56</v>
      </c>
      <c r="D339" s="81"/>
      <c r="E339" s="13"/>
      <c r="F339" s="30">
        <f>+SUM(START:END!F339)</f>
        <v>60</v>
      </c>
      <c r="G339" s="83"/>
      <c r="H339" s="13"/>
      <c r="I339" s="30">
        <f>+SUM(START:END!I339)</f>
        <v>0</v>
      </c>
      <c r="J339" s="41"/>
      <c r="K339" s="13"/>
      <c r="L339" s="33">
        <f>+SUM(START:END!L339)</f>
        <v>290.45</v>
      </c>
      <c r="M339" s="41"/>
      <c r="N339" s="59">
        <f t="shared" si="45"/>
        <v>230.45</v>
      </c>
      <c r="O339" s="41"/>
      <c r="P339" s="13"/>
      <c r="Q339" s="33">
        <f>+SUM(START:END!Q339)</f>
        <v>0</v>
      </c>
      <c r="R339" s="41"/>
      <c r="S339" s="85">
        <f t="shared" si="46"/>
        <v>290.45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36"/>
        <v>PiècesPapeterie</v>
      </c>
      <c r="B340" s="11" t="s">
        <v>98</v>
      </c>
      <c r="C340" s="102" t="s">
        <v>57</v>
      </c>
      <c r="D340" s="81"/>
      <c r="E340" s="13"/>
      <c r="F340" s="30">
        <f>+SUM(START:END!F340)</f>
        <v>945</v>
      </c>
      <c r="G340" s="83"/>
      <c r="H340" s="13"/>
      <c r="I340" s="30">
        <f>+SUM(START:END!I340)</f>
        <v>0</v>
      </c>
      <c r="J340" s="41"/>
      <c r="K340" s="13"/>
      <c r="L340" s="32">
        <f>+SUM(START:END!L340)</f>
        <v>569</v>
      </c>
      <c r="M340" s="41"/>
      <c r="N340" s="59">
        <f t="shared" si="45"/>
        <v>-376</v>
      </c>
      <c r="O340" s="41"/>
      <c r="P340" s="13"/>
      <c r="Q340" s="32">
        <f>+SUM(START:END!Q340)</f>
        <v>823.51</v>
      </c>
      <c r="R340" s="41"/>
      <c r="S340" s="85">
        <f t="shared" si="46"/>
        <v>-254.51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36"/>
        <v>PiècesTéléphone</v>
      </c>
      <c r="B341" s="11" t="s">
        <v>98</v>
      </c>
      <c r="C341" s="102" t="s">
        <v>58</v>
      </c>
      <c r="D341" s="81"/>
      <c r="E341" s="13"/>
      <c r="F341" s="30">
        <f>+SUM(START:END!F341)</f>
        <v>355.20000000000005</v>
      </c>
      <c r="G341" s="83"/>
      <c r="H341" s="13"/>
      <c r="I341" s="30">
        <f>+SUM(START:END!I341)</f>
        <v>0</v>
      </c>
      <c r="J341" s="41"/>
      <c r="K341" s="13"/>
      <c r="L341" s="33">
        <f>+SUM(START:END!L341)</f>
        <v>412.25</v>
      </c>
      <c r="M341" s="41"/>
      <c r="N341" s="59">
        <f t="shared" si="45"/>
        <v>57.049999999999955</v>
      </c>
      <c r="O341" s="41"/>
      <c r="P341" s="13"/>
      <c r="Q341" s="33">
        <f>+SUM(START:END!Q341)</f>
        <v>390.6</v>
      </c>
      <c r="R341" s="41"/>
      <c r="S341" s="85">
        <f t="shared" si="46"/>
        <v>21.649999999999977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36"/>
        <v>PiècesFrais postaux</v>
      </c>
      <c r="B342" s="11" t="s">
        <v>98</v>
      </c>
      <c r="C342" s="102" t="s">
        <v>59</v>
      </c>
      <c r="D342" s="81"/>
      <c r="E342" s="13"/>
      <c r="F342" s="30">
        <f>+SUM(START:END!F342)</f>
        <v>1770</v>
      </c>
      <c r="G342" s="83"/>
      <c r="H342" s="13"/>
      <c r="I342" s="30">
        <f>+SUM(START:END!I342)</f>
        <v>0</v>
      </c>
      <c r="J342" s="41"/>
      <c r="K342" s="13"/>
      <c r="L342" s="33">
        <f>+SUM(START:END!L342)</f>
        <v>1929.02</v>
      </c>
      <c r="M342" s="41"/>
      <c r="N342" s="59">
        <f t="shared" si="45"/>
        <v>159.01999999999998</v>
      </c>
      <c r="O342" s="41"/>
      <c r="P342" s="13"/>
      <c r="Q342" s="33">
        <f>+SUM(START:END!Q342)</f>
        <v>2176.2200000000003</v>
      </c>
      <c r="R342" s="41"/>
      <c r="S342" s="85">
        <f t="shared" si="46"/>
        <v>-247.20000000000027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36"/>
        <v>PiècesDivers</v>
      </c>
      <c r="B343" s="11" t="s">
        <v>98</v>
      </c>
      <c r="C343" s="102" t="s">
        <v>60</v>
      </c>
      <c r="D343" s="81"/>
      <c r="E343" s="13"/>
      <c r="F343" s="30">
        <f>+SUM(START:END!F343)</f>
        <v>1044.6000000000001</v>
      </c>
      <c r="G343" s="83"/>
      <c r="H343" s="13"/>
      <c r="I343" s="30">
        <f>+SUM(START:END!I343)</f>
        <v>0</v>
      </c>
      <c r="J343" s="41"/>
      <c r="K343" s="13"/>
      <c r="L343" s="33">
        <f>+SUM(START:END!L343)</f>
        <v>376.11</v>
      </c>
      <c r="M343" s="41"/>
      <c r="N343" s="59">
        <f t="shared" si="45"/>
        <v>-668.49000000000012</v>
      </c>
      <c r="O343" s="41"/>
      <c r="P343" s="13"/>
      <c r="Q343" s="33">
        <f>+SUM(START:END!Q343)</f>
        <v>1095.94</v>
      </c>
      <c r="R343" s="41"/>
      <c r="S343" s="85">
        <f t="shared" si="46"/>
        <v>-719.83</v>
      </c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 t="shared" si="36"/>
        <v>PiècesFormation</v>
      </c>
      <c r="B344" s="11" t="s">
        <v>98</v>
      </c>
      <c r="C344" s="102" t="s">
        <v>61</v>
      </c>
      <c r="D344" s="81"/>
      <c r="E344" s="13"/>
      <c r="F344" s="30">
        <f>+SUM(START:END!F344)</f>
        <v>769.24467999999979</v>
      </c>
      <c r="G344" s="83"/>
      <c r="H344" s="13"/>
      <c r="I344" s="30">
        <f>+SUM(START:END!I344)</f>
        <v>0</v>
      </c>
      <c r="J344" s="41"/>
      <c r="K344" s="13"/>
      <c r="L344" s="59">
        <f>+SUM(START:END!L344)</f>
        <v>177.61</v>
      </c>
      <c r="M344" s="41"/>
      <c r="N344" s="59">
        <f t="shared" si="45"/>
        <v>-591.63467999999978</v>
      </c>
      <c r="O344" s="41"/>
      <c r="P344" s="13"/>
      <c r="Q344" s="33">
        <f>+SUM(START:END!Q344)</f>
        <v>318.07</v>
      </c>
      <c r="R344" s="41"/>
      <c r="S344" s="85">
        <f>L344-Q344</f>
        <v>-140.45999999999998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 t="shared" si="36"/>
        <v>PiècesFrais bancaires</v>
      </c>
      <c r="B345" s="11" t="s">
        <v>98</v>
      </c>
      <c r="C345" s="102" t="s">
        <v>62</v>
      </c>
      <c r="D345" s="81"/>
      <c r="E345" s="13"/>
      <c r="F345" s="30">
        <f>+SUM(START:END!F345)</f>
        <v>3609.0038387204031</v>
      </c>
      <c r="G345" s="83"/>
      <c r="H345" s="13"/>
      <c r="I345" s="30">
        <f>+SUM(START:END!I345)</f>
        <v>0</v>
      </c>
      <c r="J345" s="41"/>
      <c r="K345" s="13"/>
      <c r="L345" s="32">
        <f>+SUM(START:END!L345)</f>
        <v>4243.47</v>
      </c>
      <c r="M345" s="41"/>
      <c r="N345" s="59">
        <f t="shared" si="45"/>
        <v>634.46616127959715</v>
      </c>
      <c r="O345" s="41"/>
      <c r="P345" s="13"/>
      <c r="Q345" s="33">
        <f>+SUM(START:END!Q345)</f>
        <v>5019.66</v>
      </c>
      <c r="R345" s="41"/>
      <c r="S345" s="85">
        <f>L345-Q345</f>
        <v>-776.1899999999996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 t="shared" si="36"/>
        <v>Pièces[...]</v>
      </c>
      <c r="B346" s="11" t="s">
        <v>98</v>
      </c>
      <c r="C346" s="102" t="s">
        <v>19</v>
      </c>
      <c r="D346" s="81"/>
      <c r="E346" s="13"/>
      <c r="F346" s="30">
        <f>+SUM(START:END!F346)</f>
        <v>0</v>
      </c>
      <c r="G346" s="83"/>
      <c r="H346" s="13"/>
      <c r="I346" s="30">
        <f>+SUM(START:END!I346)</f>
        <v>0</v>
      </c>
      <c r="J346" s="41"/>
      <c r="K346" s="13"/>
      <c r="L346" s="33">
        <f>+SUM(START:END!L346)</f>
        <v>0</v>
      </c>
      <c r="M346" s="41"/>
      <c r="N346" s="59">
        <f t="shared" si="45"/>
        <v>0</v>
      </c>
      <c r="O346" s="41"/>
      <c r="P346" s="13"/>
      <c r="Q346" s="33">
        <f>+SUM(START:END!Q346)</f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 t="shared" si="36"/>
        <v>Pièces[...]</v>
      </c>
      <c r="B347" s="11" t="s">
        <v>98</v>
      </c>
      <c r="C347" s="102" t="s">
        <v>19</v>
      </c>
      <c r="D347" s="81"/>
      <c r="E347" s="13"/>
      <c r="F347" s="30">
        <f>+SUM(START:END!F347)</f>
        <v>0</v>
      </c>
      <c r="G347" s="83"/>
      <c r="H347" s="13"/>
      <c r="I347" s="30">
        <f>+SUM(START:END!I347)</f>
        <v>0</v>
      </c>
      <c r="J347" s="41"/>
      <c r="K347" s="13"/>
      <c r="L347" s="33">
        <f>+SUM(START:END!L347)</f>
        <v>0</v>
      </c>
      <c r="M347" s="41"/>
      <c r="N347" s="59">
        <f t="shared" si="45"/>
        <v>0</v>
      </c>
      <c r="O347" s="41"/>
      <c r="P347" s="13"/>
      <c r="Q347" s="33">
        <f>+SUM(START:END!Q347)</f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 t="shared" si="36"/>
        <v>Pièces[...]</v>
      </c>
      <c r="B348" s="11" t="s">
        <v>98</v>
      </c>
      <c r="C348" s="102" t="s">
        <v>19</v>
      </c>
      <c r="D348" s="81"/>
      <c r="E348" s="13"/>
      <c r="F348" s="30">
        <f>+SUM(START:END!F348)</f>
        <v>0</v>
      </c>
      <c r="G348" s="83"/>
      <c r="H348" s="13"/>
      <c r="I348" s="30">
        <f>+SUM(START:END!I348)</f>
        <v>0</v>
      </c>
      <c r="J348" s="41"/>
      <c r="K348" s="13"/>
      <c r="L348" s="33">
        <f>+SUM(START:END!L348)</f>
        <v>0</v>
      </c>
      <c r="M348" s="41"/>
      <c r="N348" s="59">
        <f t="shared" si="45"/>
        <v>0</v>
      </c>
      <c r="O348" s="41"/>
      <c r="P348" s="13"/>
      <c r="Q348" s="33">
        <f>+SUM(START:END!Q348)</f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0.16758399551872716</v>
      </c>
      <c r="F349" s="96">
        <f>+SUM(F331:F348)</f>
        <v>49301.51166733732</v>
      </c>
      <c r="G349" s="97" t="s">
        <v>38</v>
      </c>
      <c r="H349" s="95" t="e">
        <f>I349/I$314</f>
        <v>#DIV/0!</v>
      </c>
      <c r="I349" s="96">
        <f>+SUM(I331:I348)</f>
        <v>0</v>
      </c>
      <c r="J349" s="97" t="s">
        <v>38</v>
      </c>
      <c r="K349" s="95">
        <f>L349/L$314</f>
        <v>0.1719552591415395</v>
      </c>
      <c r="L349" s="96">
        <f>+SUM(L331:L348)</f>
        <v>53576.91</v>
      </c>
      <c r="M349" s="100"/>
      <c r="N349" s="96">
        <f>+SUM(N331:N348)</f>
        <v>4275.3983326626803</v>
      </c>
      <c r="O349" s="97" t="s">
        <v>38</v>
      </c>
      <c r="P349" s="95">
        <f>Q349/Q$314</f>
        <v>0.16221600661259261</v>
      </c>
      <c r="Q349" s="96">
        <f>+SUM(Q331:Q348)</f>
        <v>54334.059999999983</v>
      </c>
      <c r="R349" s="100"/>
      <c r="S349" s="101">
        <f>+SUM(S331:S348)</f>
        <v>-757.14999999998827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0.47800419157297552</v>
      </c>
      <c r="F351" s="96">
        <f>F330+F349</f>
        <v>140623.98473628532</v>
      </c>
      <c r="G351" s="97" t="s">
        <v>38</v>
      </c>
      <c r="H351" s="95" t="e">
        <f>I351/I$314</f>
        <v>#DIV/0!</v>
      </c>
      <c r="I351" s="96">
        <f>I330+I349</f>
        <v>0</v>
      </c>
      <c r="J351" s="97" t="s">
        <v>38</v>
      </c>
      <c r="K351" s="95">
        <f>L351/L$314</f>
        <v>0.48517840231641413</v>
      </c>
      <c r="L351" s="96">
        <f>L330+L349</f>
        <v>151169.32</v>
      </c>
      <c r="M351" s="100"/>
      <c r="N351" s="113">
        <f>L351-F351</f>
        <v>10545.335263714689</v>
      </c>
      <c r="O351" s="97" t="s">
        <v>38</v>
      </c>
      <c r="P351" s="95">
        <f>Q351/Q$314</f>
        <v>0.40611159639254812</v>
      </c>
      <c r="Q351" s="96">
        <f>Q330+Q349</f>
        <v>136026.59999999998</v>
      </c>
      <c r="R351" s="100"/>
      <c r="S351" s="114">
        <f>L351-Q351</f>
        <v>15142.72000000003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>
        <f>L352-F352</f>
        <v>0</v>
      </c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153565.87220520273</v>
      </c>
      <c r="G353" s="153"/>
      <c r="H353" s="125"/>
      <c r="I353" s="127">
        <f>I314-I351</f>
        <v>0</v>
      </c>
      <c r="J353" s="154"/>
      <c r="K353" s="126"/>
      <c r="L353" s="127">
        <f>L314-L351</f>
        <v>160405.3899999999</v>
      </c>
      <c r="M353" s="154"/>
      <c r="N353" s="127">
        <f>L353-F353</f>
        <v>6839.5177947971679</v>
      </c>
      <c r="O353" s="154"/>
      <c r="P353" s="126"/>
      <c r="Q353" s="127">
        <f>Q314-Q351</f>
        <v>198922.21999999933</v>
      </c>
      <c r="R353" s="154"/>
      <c r="S353" s="129">
        <f>L353-Q353</f>
        <v>-38516.829999999434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  Q4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08" t="s">
        <v>5</v>
      </c>
      <c r="E358" s="509"/>
      <c r="F358" s="510"/>
      <c r="G358" s="511" t="s">
        <v>71</v>
      </c>
      <c r="H358" s="509"/>
      <c r="I358" s="510"/>
      <c r="J358" s="511" t="s">
        <v>7</v>
      </c>
      <c r="K358" s="509"/>
      <c r="L358" s="510"/>
      <c r="M358" s="511"/>
      <c r="N358" s="510"/>
      <c r="O358" s="508" t="s">
        <v>8</v>
      </c>
      <c r="P358" s="509"/>
      <c r="Q358" s="510"/>
      <c r="R358" s="511" t="s">
        <v>9</v>
      </c>
      <c r="S358" s="512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47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 t="s">
        <v>79</v>
      </c>
      <c r="H359" s="231" t="s">
        <v>99</v>
      </c>
      <c r="I359" s="232" t="s">
        <v>12</v>
      </c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47"/>
        <v>BoutiqueBoutique</v>
      </c>
      <c r="B360" s="11" t="s">
        <v>114</v>
      </c>
      <c r="C360" s="62" t="s">
        <v>114</v>
      </c>
      <c r="D360" s="234">
        <f>+SUM(START:END!D360)</f>
        <v>0</v>
      </c>
      <c r="E360" s="235">
        <f>IFERROR(F360/D360,0)</f>
        <v>0</v>
      </c>
      <c r="F360" s="236">
        <f>+SUM(START:END!F360)</f>
        <v>0</v>
      </c>
      <c r="G360" s="234">
        <f>+SUM(START:END!G360)</f>
        <v>0</v>
      </c>
      <c r="H360" s="235">
        <f>IFERROR(I360/G360,0)</f>
        <v>0</v>
      </c>
      <c r="I360" s="234">
        <f>+SUM(START:END!I360)</f>
        <v>0</v>
      </c>
      <c r="J360" s="237">
        <f>+SUM(START:END!J360)</f>
        <v>0</v>
      </c>
      <c r="K360" s="219">
        <f>IFERROR(L360/J360,0)</f>
        <v>0</v>
      </c>
      <c r="L360" s="238">
        <f>+SUM(START:END!L360)</f>
        <v>0</v>
      </c>
      <c r="M360" s="220"/>
      <c r="N360" s="221"/>
      <c r="O360" s="237">
        <f>+SUM(START:END!O360)</f>
        <v>0</v>
      </c>
      <c r="P360" s="219">
        <f>IFERROR(Q360/O360,0)</f>
        <v>0</v>
      </c>
      <c r="Q360" s="238">
        <f>+SUM(START:END!Q360)</f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47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47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>
        <f>+G360</f>
        <v>0</v>
      </c>
      <c r="H362" s="174">
        <f>IF(G362&lt;=0,0,I362/G362)</f>
        <v>0</v>
      </c>
      <c r="I362" s="176">
        <f>+I360</f>
        <v>0</v>
      </c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47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47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47"/>
        <v>BoutiqueSalaires cadres</v>
      </c>
      <c r="B365" s="11" t="s">
        <v>114</v>
      </c>
      <c r="C365" s="102" t="s">
        <v>40</v>
      </c>
      <c r="D365" s="13"/>
      <c r="E365" s="13"/>
      <c r="F365" s="30">
        <f>+SUM(START:END!F364)</f>
        <v>0</v>
      </c>
      <c r="G365" s="41"/>
      <c r="H365" s="13"/>
      <c r="I365" s="30">
        <f>+SUM(START:END!I364)</f>
        <v>0</v>
      </c>
      <c r="J365" s="41"/>
      <c r="K365" s="13"/>
      <c r="L365" s="33">
        <f>+SUM(START:END!L364)</f>
        <v>0</v>
      </c>
      <c r="M365" s="41"/>
      <c r="N365" s="40"/>
      <c r="O365" s="41"/>
      <c r="P365" s="13"/>
      <c r="Q365" s="33">
        <f>+SUM(START:END!Q364)</f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47"/>
        <v>BoutiqueSalaires commis</v>
      </c>
      <c r="B366" s="11" t="s">
        <v>114</v>
      </c>
      <c r="C366" s="103" t="s">
        <v>41</v>
      </c>
      <c r="D366" s="81"/>
      <c r="E366" s="13"/>
      <c r="F366" s="22">
        <f>+SUM(START:END!F365)</f>
        <v>0</v>
      </c>
      <c r="G366" s="83"/>
      <c r="H366" s="13"/>
      <c r="I366" s="22">
        <f>+SUM(START:END!I365)</f>
        <v>0</v>
      </c>
      <c r="J366" s="41"/>
      <c r="K366" s="13"/>
      <c r="L366" s="22">
        <f>+SUM(START:END!L365)</f>
        <v>0</v>
      </c>
      <c r="M366" s="41"/>
      <c r="N366" s="59"/>
      <c r="O366" s="41"/>
      <c r="P366" s="13"/>
      <c r="Q366" s="22">
        <f>+SUM(START:END!Q365)</f>
        <v>0</v>
      </c>
      <c r="R366" s="41"/>
      <c r="S366" s="85">
        <f t="shared" ref="S366:S394" si="48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47"/>
        <v>BoutiqueSalaires autres</v>
      </c>
      <c r="B367" s="11" t="s">
        <v>114</v>
      </c>
      <c r="C367" s="102" t="s">
        <v>42</v>
      </c>
      <c r="D367" s="104"/>
      <c r="E367" s="105"/>
      <c r="F367" s="30">
        <f>+SUM(START:END!F366)</f>
        <v>0</v>
      </c>
      <c r="G367" s="106"/>
      <c r="H367" s="105"/>
      <c r="I367" s="30">
        <f>+SUM(START:END!I366)</f>
        <v>0</v>
      </c>
      <c r="J367" s="107"/>
      <c r="K367" s="105"/>
      <c r="L367" s="33">
        <f>+SUM(START:END!L366)</f>
        <v>0</v>
      </c>
      <c r="M367" s="107"/>
      <c r="N367" s="109"/>
      <c r="O367" s="107"/>
      <c r="P367" s="105"/>
      <c r="Q367" s="33">
        <f>+SUM(START:END!Q366)</f>
        <v>0</v>
      </c>
      <c r="R367" s="107"/>
      <c r="S367" s="110">
        <f t="shared" si="48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47"/>
        <v>BoutiqueSalaires spécialistes</v>
      </c>
      <c r="B368" s="11" t="s">
        <v>114</v>
      </c>
      <c r="C368" s="102" t="s">
        <v>43</v>
      </c>
      <c r="D368" s="81"/>
      <c r="E368" s="13"/>
      <c r="F368" s="30">
        <f>+SUM(START:END!F367)</f>
        <v>0</v>
      </c>
      <c r="G368" s="83"/>
      <c r="H368" s="13"/>
      <c r="I368" s="30">
        <f>+SUM(START:END!I367)</f>
        <v>0</v>
      </c>
      <c r="J368" s="41"/>
      <c r="K368" s="13"/>
      <c r="L368" s="33">
        <f>+SUM(START:END!L367)</f>
        <v>0</v>
      </c>
      <c r="M368" s="41"/>
      <c r="N368" s="59"/>
      <c r="O368" s="41"/>
      <c r="P368" s="13"/>
      <c r="Q368" s="33">
        <f>+SUM(START:END!Q367)</f>
        <v>0</v>
      </c>
      <c r="R368" s="41"/>
      <c r="S368" s="85">
        <f t="shared" si="48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47"/>
        <v>Boutique[...]</v>
      </c>
      <c r="B369" s="11" t="s">
        <v>114</v>
      </c>
      <c r="C369" s="29" t="s">
        <v>19</v>
      </c>
      <c r="D369" s="81"/>
      <c r="E369" s="13"/>
      <c r="F369" s="30">
        <f>+SUM(START:END!F368)</f>
        <v>0</v>
      </c>
      <c r="G369" s="83"/>
      <c r="H369" s="13"/>
      <c r="I369" s="30">
        <f>+SUM(START:END!I368)</f>
        <v>0</v>
      </c>
      <c r="J369" s="41"/>
      <c r="K369" s="13"/>
      <c r="L369" s="33">
        <f>+SUM(START:END!L368)</f>
        <v>0</v>
      </c>
      <c r="M369" s="41"/>
      <c r="N369" s="59"/>
      <c r="O369" s="41"/>
      <c r="P369" s="13"/>
      <c r="Q369" s="33">
        <f>+SUM(START:END!Q368)</f>
        <v>0</v>
      </c>
      <c r="R369" s="41"/>
      <c r="S369" s="85">
        <f t="shared" si="48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47"/>
        <v>Boutique[...]</v>
      </c>
      <c r="B370" s="11" t="s">
        <v>114</v>
      </c>
      <c r="C370" s="29" t="s">
        <v>19</v>
      </c>
      <c r="D370" s="81"/>
      <c r="E370" s="13"/>
      <c r="F370" s="30">
        <f>+SUM(START:END!F369)</f>
        <v>0</v>
      </c>
      <c r="G370" s="83"/>
      <c r="H370" s="13"/>
      <c r="I370" s="30">
        <f>+SUM(START:END!I369)</f>
        <v>0</v>
      </c>
      <c r="J370" s="41"/>
      <c r="K370" s="13"/>
      <c r="L370" s="33">
        <f>+SUM(START:END!L369)</f>
        <v>0</v>
      </c>
      <c r="M370" s="41"/>
      <c r="N370" s="59"/>
      <c r="O370" s="41"/>
      <c r="P370" s="13"/>
      <c r="Q370" s="33">
        <f>+SUM(START:END!Q369)</f>
        <v>0</v>
      </c>
      <c r="R370" s="41"/>
      <c r="S370" s="85">
        <f t="shared" si="48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47"/>
        <v>Boutique[...]</v>
      </c>
      <c r="B371" s="11" t="s">
        <v>114</v>
      </c>
      <c r="C371" s="29" t="s">
        <v>19</v>
      </c>
      <c r="D371" s="81"/>
      <c r="E371" s="13"/>
      <c r="F371" s="30">
        <f>+SUM(START:END!F370)</f>
        <v>0</v>
      </c>
      <c r="G371" s="83"/>
      <c r="H371" s="13"/>
      <c r="I371" s="30">
        <f>+SUM(START:END!I370)</f>
        <v>0</v>
      </c>
      <c r="J371" s="41"/>
      <c r="K371" s="13"/>
      <c r="L371" s="33">
        <f>+SUM(START:END!L370)</f>
        <v>0</v>
      </c>
      <c r="M371" s="41"/>
      <c r="N371" s="59"/>
      <c r="O371" s="41"/>
      <c r="P371" s="13"/>
      <c r="Q371" s="33">
        <f>+SUM(START:END!Q370)</f>
        <v>0</v>
      </c>
      <c r="R371" s="41"/>
      <c r="S371" s="85">
        <f t="shared" si="48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47"/>
        <v>BoutiqueSalaires en absences</v>
      </c>
      <c r="B372" s="11" t="s">
        <v>114</v>
      </c>
      <c r="C372" s="103" t="s">
        <v>44</v>
      </c>
      <c r="D372" s="81"/>
      <c r="E372" s="13"/>
      <c r="F372" s="22">
        <f>+SUM(START:END!F371)</f>
        <v>0</v>
      </c>
      <c r="G372" s="83"/>
      <c r="H372" s="13"/>
      <c r="I372" s="22">
        <f>+SUM(START:END!I371)</f>
        <v>0</v>
      </c>
      <c r="J372" s="41"/>
      <c r="K372" s="13"/>
      <c r="L372" s="22">
        <f>+SUM(START:END!L371)</f>
        <v>0</v>
      </c>
      <c r="M372" s="41"/>
      <c r="N372" s="59"/>
      <c r="O372" s="41"/>
      <c r="P372" s="13"/>
      <c r="Q372" s="22">
        <f>+SUM(START:END!Q371)</f>
        <v>0</v>
      </c>
      <c r="R372" s="41"/>
      <c r="S372" s="85">
        <f t="shared" si="48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47"/>
        <v>BoutiqueDéduction à la source</v>
      </c>
      <c r="B373" s="11" t="s">
        <v>114</v>
      </c>
      <c r="C373" s="102" t="s">
        <v>45</v>
      </c>
      <c r="D373" s="104"/>
      <c r="E373" s="105"/>
      <c r="F373" s="30">
        <f>+SUM(START:END!F372)</f>
        <v>0</v>
      </c>
      <c r="G373" s="106"/>
      <c r="H373" s="105"/>
      <c r="I373" s="30">
        <f>+SUM(START:END!I372)</f>
        <v>0</v>
      </c>
      <c r="J373" s="107"/>
      <c r="K373" s="105"/>
      <c r="L373" s="33">
        <f>+SUM(START:END!L372)</f>
        <v>0</v>
      </c>
      <c r="M373" s="107"/>
      <c r="N373" s="109"/>
      <c r="O373" s="107"/>
      <c r="P373" s="105"/>
      <c r="Q373" s="33">
        <f>+SUM(START:END!Q372)</f>
        <v>0</v>
      </c>
      <c r="R373" s="107"/>
      <c r="S373" s="110">
        <f t="shared" si="48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47"/>
        <v>BoutiqueBénéfices marginaux</v>
      </c>
      <c r="B374" s="11" t="s">
        <v>114</v>
      </c>
      <c r="C374" s="102" t="s">
        <v>46</v>
      </c>
      <c r="D374" s="81"/>
      <c r="E374" s="13"/>
      <c r="F374" s="30">
        <f>+SUM(START:END!F373)</f>
        <v>0</v>
      </c>
      <c r="G374" s="83"/>
      <c r="H374" s="13"/>
      <c r="I374" s="30">
        <f>+SUM(START:END!I373)</f>
        <v>0</v>
      </c>
      <c r="J374" s="41"/>
      <c r="K374" s="13"/>
      <c r="L374" s="33">
        <f>+SUM(START:END!L373)</f>
        <v>0</v>
      </c>
      <c r="M374" s="41"/>
      <c r="N374" s="59"/>
      <c r="O374" s="41"/>
      <c r="P374" s="13"/>
      <c r="Q374" s="33">
        <f>+SUM(START:END!Q373)</f>
        <v>0</v>
      </c>
      <c r="R374" s="41"/>
      <c r="S374" s="85">
        <f t="shared" si="48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47"/>
        <v>BoutiqueCsst</v>
      </c>
      <c r="B375" s="11" t="s">
        <v>114</v>
      </c>
      <c r="C375" s="102" t="s">
        <v>47</v>
      </c>
      <c r="D375" s="81"/>
      <c r="E375" s="13"/>
      <c r="F375" s="30">
        <f>+SUM(START:END!F374)</f>
        <v>0</v>
      </c>
      <c r="G375" s="83"/>
      <c r="H375" s="13"/>
      <c r="I375" s="30">
        <f>+SUM(START:END!I374)</f>
        <v>0</v>
      </c>
      <c r="J375" s="41"/>
      <c r="K375" s="13"/>
      <c r="L375" s="33">
        <f>+SUM(START:END!L374)</f>
        <v>0</v>
      </c>
      <c r="M375" s="41"/>
      <c r="N375" s="59"/>
      <c r="O375" s="41"/>
      <c r="P375" s="13"/>
      <c r="Q375" s="33">
        <f>+SUM(START:END!Q374)</f>
        <v>0</v>
      </c>
      <c r="R375" s="41"/>
      <c r="S375" s="85">
        <f t="shared" si="48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47"/>
        <v>Boutique[...]</v>
      </c>
      <c r="B376" s="11" t="s">
        <v>114</v>
      </c>
      <c r="C376" s="29" t="s">
        <v>19</v>
      </c>
      <c r="D376" s="87"/>
      <c r="E376" s="111"/>
      <c r="F376" s="30">
        <f>+SUM(START:END!F375)</f>
        <v>0</v>
      </c>
      <c r="G376" s="89"/>
      <c r="H376" s="111"/>
      <c r="I376" s="30">
        <f>+SUM(START:END!I375)</f>
        <v>0</v>
      </c>
      <c r="J376" s="23"/>
      <c r="K376" s="111"/>
      <c r="L376" s="33">
        <f>+SUM(START:END!L375)</f>
        <v>0</v>
      </c>
      <c r="M376" s="23"/>
      <c r="N376" s="91"/>
      <c r="O376" s="23"/>
      <c r="P376" s="111"/>
      <c r="Q376" s="33">
        <f>+SUM(START:END!Q375)</f>
        <v>0</v>
      </c>
      <c r="R376" s="23"/>
      <c r="S376" s="92">
        <f t="shared" si="48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47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 t="s">
        <v>38</v>
      </c>
      <c r="H377" s="95">
        <f>IFERROR(I377/I$360,0)</f>
        <v>0</v>
      </c>
      <c r="I377" s="96">
        <f>+SUM(I365:I376)</f>
        <v>0</v>
      </c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48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47"/>
        <v>BoutiquePublicité 2</v>
      </c>
      <c r="B378" s="11" t="s">
        <v>114</v>
      </c>
      <c r="C378" s="211" t="s">
        <v>49</v>
      </c>
      <c r="D378" s="81"/>
      <c r="E378" s="13"/>
      <c r="F378" s="30">
        <f>+SUM(START:END!F377)</f>
        <v>0</v>
      </c>
      <c r="G378" s="83"/>
      <c r="H378" s="13"/>
      <c r="I378" s="30">
        <f>+SUM(START:END!I377)</f>
        <v>0</v>
      </c>
      <c r="J378" s="41"/>
      <c r="K378" s="13"/>
      <c r="L378" s="33">
        <f>+SUM(START:END!L377)</f>
        <v>0</v>
      </c>
      <c r="M378" s="41"/>
      <c r="N378" s="59"/>
      <c r="O378" s="41"/>
      <c r="P378" s="13"/>
      <c r="Q378" s="33">
        <f>+SUM(START:END!Q377)</f>
        <v>0</v>
      </c>
      <c r="R378" s="41"/>
      <c r="S378" s="85">
        <f t="shared" si="48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47"/>
        <v>BoutiqueService gratuit 2</v>
      </c>
      <c r="B379" s="11" t="s">
        <v>114</v>
      </c>
      <c r="C379" s="102" t="s">
        <v>50</v>
      </c>
      <c r="D379" s="81"/>
      <c r="E379" s="13"/>
      <c r="F379" s="30">
        <f>+SUM(START:END!F378)</f>
        <v>0</v>
      </c>
      <c r="G379" s="83"/>
      <c r="H379" s="13"/>
      <c r="I379" s="30">
        <f>+SUM(START:END!I378)</f>
        <v>0</v>
      </c>
      <c r="J379" s="41"/>
      <c r="K379" s="13"/>
      <c r="L379" s="33">
        <f>+SUM(START:END!L378)</f>
        <v>0</v>
      </c>
      <c r="M379" s="41"/>
      <c r="N379" s="59"/>
      <c r="O379" s="41"/>
      <c r="P379" s="13"/>
      <c r="Q379" s="33">
        <f>+SUM(START:END!Q378)</f>
        <v>0</v>
      </c>
      <c r="R379" s="41"/>
      <c r="S379" s="85">
        <f t="shared" si="48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47"/>
        <v>BoutiqueFrais véhicules de cie</v>
      </c>
      <c r="B380" s="11" t="s">
        <v>114</v>
      </c>
      <c r="C380" s="103" t="s">
        <v>51</v>
      </c>
      <c r="D380" s="87"/>
      <c r="E380" s="111"/>
      <c r="F380" s="22">
        <f>+SUM(START:END!F379)</f>
        <v>0</v>
      </c>
      <c r="G380" s="89"/>
      <c r="H380" s="111"/>
      <c r="I380" s="22">
        <f>+SUM(START:END!I379)</f>
        <v>0</v>
      </c>
      <c r="J380" s="23"/>
      <c r="K380" s="111"/>
      <c r="L380" s="22">
        <f>+SUM(START:END!L379)</f>
        <v>0</v>
      </c>
      <c r="M380" s="23"/>
      <c r="N380" s="91"/>
      <c r="O380" s="23"/>
      <c r="P380" s="111"/>
      <c r="Q380" s="22">
        <f>+SUM(START:END!Q379)</f>
        <v>0</v>
      </c>
      <c r="R380" s="23"/>
      <c r="S380" s="92">
        <f t="shared" si="48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47"/>
        <v>BoutiqueInformatique</v>
      </c>
      <c r="B381" s="11" t="s">
        <v>114</v>
      </c>
      <c r="C381" s="102" t="s">
        <v>52</v>
      </c>
      <c r="D381" s="81"/>
      <c r="E381" s="13"/>
      <c r="F381" s="30">
        <f>+SUM(START:END!F380)</f>
        <v>0</v>
      </c>
      <c r="G381" s="83"/>
      <c r="H381" s="13"/>
      <c r="I381" s="30">
        <f>+SUM(START:END!I380)</f>
        <v>0</v>
      </c>
      <c r="J381" s="41"/>
      <c r="K381" s="13"/>
      <c r="L381" s="33">
        <f>+SUM(START:END!L380)</f>
        <v>0</v>
      </c>
      <c r="M381" s="41"/>
      <c r="N381" s="59"/>
      <c r="O381" s="41"/>
      <c r="P381" s="13"/>
      <c r="Q381" s="33">
        <f>+SUM(START:END!Q380)</f>
        <v>0</v>
      </c>
      <c r="R381" s="41"/>
      <c r="S381" s="85">
        <f t="shared" si="48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47"/>
        <v>BoutiqueFrais de déplacement</v>
      </c>
      <c r="B382" s="11" t="s">
        <v>114</v>
      </c>
      <c r="C382" s="102" t="s">
        <v>53</v>
      </c>
      <c r="D382" s="81"/>
      <c r="E382" s="13"/>
      <c r="F382" s="30">
        <f>+SUM(START:END!F381)</f>
        <v>0</v>
      </c>
      <c r="G382" s="83"/>
      <c r="H382" s="13"/>
      <c r="I382" s="30">
        <f>+SUM(START:END!I381)</f>
        <v>0</v>
      </c>
      <c r="J382" s="41"/>
      <c r="K382" s="13"/>
      <c r="L382" s="33">
        <f>+SUM(START:END!L381)</f>
        <v>0</v>
      </c>
      <c r="M382" s="41"/>
      <c r="N382" s="59"/>
      <c r="O382" s="41"/>
      <c r="P382" s="13"/>
      <c r="Q382" s="33">
        <f>+SUM(START:END!Q381)</f>
        <v>0</v>
      </c>
      <c r="R382" s="41"/>
      <c r="S382" s="85">
        <f t="shared" si="48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47"/>
        <v>BoutiqueServices extérieurs</v>
      </c>
      <c r="B383" s="11" t="s">
        <v>114</v>
      </c>
      <c r="C383" s="102" t="s">
        <v>54</v>
      </c>
      <c r="D383" s="87"/>
      <c r="E383" s="111"/>
      <c r="F383" s="22">
        <f>+SUM(START:END!F382)</f>
        <v>0</v>
      </c>
      <c r="G383" s="89"/>
      <c r="H383" s="111"/>
      <c r="I383" s="22">
        <f>+SUM(START:END!I382)</f>
        <v>0</v>
      </c>
      <c r="J383" s="23"/>
      <c r="K383" s="111"/>
      <c r="L383" s="22">
        <f>+SUM(START:END!L382)</f>
        <v>0</v>
      </c>
      <c r="M383" s="23"/>
      <c r="N383" s="91"/>
      <c r="O383" s="23"/>
      <c r="P383" s="111"/>
      <c r="Q383" s="22">
        <f>+SUM(START:END!Q382)</f>
        <v>0</v>
      </c>
      <c r="R383" s="23"/>
      <c r="S383" s="92">
        <f t="shared" si="48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47"/>
        <v>BoutiqueFournitures autres</v>
      </c>
      <c r="B384" s="11" t="s">
        <v>114</v>
      </c>
      <c r="C384" s="211" t="s">
        <v>55</v>
      </c>
      <c r="D384" s="81"/>
      <c r="E384" s="13"/>
      <c r="F384" s="30">
        <f>+SUM(START:END!F383)</f>
        <v>0</v>
      </c>
      <c r="G384" s="83"/>
      <c r="H384" s="13"/>
      <c r="I384" s="30">
        <f>+SUM(START:END!I383)</f>
        <v>0</v>
      </c>
      <c r="J384" s="41"/>
      <c r="K384" s="13"/>
      <c r="L384" s="33">
        <f>+SUM(START:END!L383)</f>
        <v>0</v>
      </c>
      <c r="M384" s="41"/>
      <c r="N384" s="59"/>
      <c r="O384" s="41"/>
      <c r="P384" s="13"/>
      <c r="Q384" s="33">
        <f>+SUM(START:END!Q383)</f>
        <v>0</v>
      </c>
      <c r="R384" s="41"/>
      <c r="S384" s="85">
        <f t="shared" si="48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47"/>
        <v>BoutiqueUniformes</v>
      </c>
      <c r="B385" s="11" t="s">
        <v>114</v>
      </c>
      <c r="C385" s="102" t="s">
        <v>56</v>
      </c>
      <c r="D385" s="81"/>
      <c r="E385" s="13"/>
      <c r="F385" s="30">
        <f>+SUM(START:END!F384)</f>
        <v>0</v>
      </c>
      <c r="G385" s="83"/>
      <c r="H385" s="13"/>
      <c r="I385" s="30">
        <f>+SUM(START:END!I384)</f>
        <v>0</v>
      </c>
      <c r="J385" s="41"/>
      <c r="K385" s="13"/>
      <c r="L385" s="33">
        <f>+SUM(START:END!L384)</f>
        <v>0</v>
      </c>
      <c r="M385" s="41"/>
      <c r="N385" s="59"/>
      <c r="O385" s="41"/>
      <c r="P385" s="13"/>
      <c r="Q385" s="33">
        <f>+SUM(START:END!Q384)</f>
        <v>0</v>
      </c>
      <c r="R385" s="41"/>
      <c r="S385" s="85">
        <f t="shared" si="48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47"/>
        <v>BoutiquePapeterie</v>
      </c>
      <c r="B386" s="11" t="s">
        <v>114</v>
      </c>
      <c r="C386" s="102" t="s">
        <v>57</v>
      </c>
      <c r="D386" s="81"/>
      <c r="E386" s="13"/>
      <c r="F386" s="30">
        <f>+SUM(START:END!F385)</f>
        <v>0</v>
      </c>
      <c r="G386" s="83"/>
      <c r="H386" s="13"/>
      <c r="I386" s="30">
        <f>+SUM(START:END!I385)</f>
        <v>0</v>
      </c>
      <c r="J386" s="41"/>
      <c r="K386" s="13"/>
      <c r="L386" s="33">
        <f>+SUM(START:END!L385)</f>
        <v>0</v>
      </c>
      <c r="M386" s="41"/>
      <c r="N386" s="59"/>
      <c r="O386" s="41"/>
      <c r="P386" s="13"/>
      <c r="Q386" s="33">
        <f>+SUM(START:END!Q385)</f>
        <v>0</v>
      </c>
      <c r="R386" s="41"/>
      <c r="S386" s="85">
        <f t="shared" si="48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47"/>
        <v>BoutiqueTéléphone</v>
      </c>
      <c r="B387" s="11" t="s">
        <v>114</v>
      </c>
      <c r="C387" s="102" t="s">
        <v>58</v>
      </c>
      <c r="D387" s="81"/>
      <c r="E387" s="13"/>
      <c r="F387" s="30">
        <f>+SUM(START:END!F386)</f>
        <v>0</v>
      </c>
      <c r="G387" s="83"/>
      <c r="H387" s="13"/>
      <c r="I387" s="30">
        <f>+SUM(START:END!I386)</f>
        <v>0</v>
      </c>
      <c r="J387" s="41"/>
      <c r="K387" s="13"/>
      <c r="L387" s="33">
        <f>+SUM(START:END!L386)</f>
        <v>0</v>
      </c>
      <c r="M387" s="41"/>
      <c r="N387" s="59"/>
      <c r="O387" s="41"/>
      <c r="P387" s="13"/>
      <c r="Q387" s="33">
        <f>+SUM(START:END!Q386)</f>
        <v>0</v>
      </c>
      <c r="R387" s="41"/>
      <c r="S387" s="85">
        <f t="shared" si="48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47"/>
        <v>BoutiqueFrais postaux</v>
      </c>
      <c r="B388" s="11" t="s">
        <v>114</v>
      </c>
      <c r="C388" s="102" t="s">
        <v>59</v>
      </c>
      <c r="D388" s="81"/>
      <c r="E388" s="13"/>
      <c r="F388" s="30">
        <f>+SUM(START:END!F387)</f>
        <v>0</v>
      </c>
      <c r="G388" s="83"/>
      <c r="H388" s="13"/>
      <c r="I388" s="30">
        <f>+SUM(START:END!I387)</f>
        <v>0</v>
      </c>
      <c r="J388" s="41"/>
      <c r="K388" s="13"/>
      <c r="L388" s="33">
        <f>+SUM(START:END!L387)</f>
        <v>0</v>
      </c>
      <c r="M388" s="41"/>
      <c r="N388" s="59"/>
      <c r="O388" s="41"/>
      <c r="P388" s="13"/>
      <c r="Q388" s="33">
        <f>+SUM(START:END!Q387)</f>
        <v>0</v>
      </c>
      <c r="R388" s="41"/>
      <c r="S388" s="85">
        <f t="shared" si="48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47"/>
        <v>BoutiqueDivers</v>
      </c>
      <c r="B389" s="11" t="s">
        <v>114</v>
      </c>
      <c r="C389" s="102" t="s">
        <v>60</v>
      </c>
      <c r="D389" s="81"/>
      <c r="E389" s="13"/>
      <c r="F389" s="30">
        <f>+SUM(START:END!F388)</f>
        <v>0</v>
      </c>
      <c r="G389" s="83"/>
      <c r="H389" s="13"/>
      <c r="I389" s="30">
        <f>+SUM(START:END!I388)</f>
        <v>0</v>
      </c>
      <c r="J389" s="41"/>
      <c r="K389" s="13"/>
      <c r="L389" s="33">
        <f>+SUM(START:END!L388)</f>
        <v>0</v>
      </c>
      <c r="M389" s="41"/>
      <c r="N389" s="59"/>
      <c r="O389" s="41"/>
      <c r="P389" s="13"/>
      <c r="Q389" s="33">
        <f>+SUM(START:END!Q388)</f>
        <v>0</v>
      </c>
      <c r="R389" s="41"/>
      <c r="S389" s="85">
        <f t="shared" si="48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47"/>
        <v>BoutiqueFormation</v>
      </c>
      <c r="B390" s="11" t="s">
        <v>114</v>
      </c>
      <c r="C390" s="102" t="s">
        <v>61</v>
      </c>
      <c r="D390" s="81"/>
      <c r="E390" s="13"/>
      <c r="F390" s="30">
        <f>+SUM(START:END!F389)</f>
        <v>0</v>
      </c>
      <c r="G390" s="83"/>
      <c r="H390" s="13"/>
      <c r="I390" s="30">
        <f>+SUM(START:END!I389)</f>
        <v>0</v>
      </c>
      <c r="J390" s="41"/>
      <c r="K390" s="13"/>
      <c r="L390" s="33">
        <f>+SUM(START:END!L389)</f>
        <v>0</v>
      </c>
      <c r="M390" s="41"/>
      <c r="N390" s="59"/>
      <c r="O390" s="41"/>
      <c r="P390" s="13"/>
      <c r="Q390" s="33">
        <f>+SUM(START:END!Q389)</f>
        <v>0</v>
      </c>
      <c r="R390" s="41"/>
      <c r="S390" s="85">
        <f t="shared" si="48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47"/>
        <v>BoutiqueFrais bancaires</v>
      </c>
      <c r="B391" s="11" t="s">
        <v>114</v>
      </c>
      <c r="C391" s="102" t="s">
        <v>62</v>
      </c>
      <c r="D391" s="81"/>
      <c r="E391" s="13"/>
      <c r="F391" s="30">
        <f>+SUM(START:END!F390)</f>
        <v>0</v>
      </c>
      <c r="G391" s="83"/>
      <c r="H391" s="13"/>
      <c r="I391" s="30">
        <f>+SUM(START:END!I390)</f>
        <v>0</v>
      </c>
      <c r="J391" s="41"/>
      <c r="K391" s="13"/>
      <c r="L391" s="33">
        <f>+SUM(START:END!L390)</f>
        <v>0</v>
      </c>
      <c r="M391" s="41"/>
      <c r="N391" s="59"/>
      <c r="O391" s="41"/>
      <c r="P391" s="13"/>
      <c r="Q391" s="33">
        <f>+SUM(START:END!Q390)</f>
        <v>0</v>
      </c>
      <c r="R391" s="41"/>
      <c r="S391" s="85">
        <f t="shared" si="48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47"/>
        <v>Boutique[...]</v>
      </c>
      <c r="B392" s="11" t="s">
        <v>114</v>
      </c>
      <c r="C392" s="102" t="s">
        <v>19</v>
      </c>
      <c r="D392" s="81"/>
      <c r="E392" s="13"/>
      <c r="F392" s="30">
        <f>+SUM(START:END!F391)</f>
        <v>0</v>
      </c>
      <c r="G392" s="83"/>
      <c r="H392" s="13"/>
      <c r="I392" s="30">
        <f>+SUM(START:END!I391)</f>
        <v>0</v>
      </c>
      <c r="J392" s="41"/>
      <c r="K392" s="13"/>
      <c r="L392" s="33">
        <f>+SUM(START:END!L391)</f>
        <v>0</v>
      </c>
      <c r="M392" s="41"/>
      <c r="N392" s="59"/>
      <c r="O392" s="41"/>
      <c r="P392" s="13"/>
      <c r="Q392" s="33">
        <f>+SUM(START:END!Q391)</f>
        <v>0</v>
      </c>
      <c r="R392" s="41"/>
      <c r="S392" s="85">
        <f t="shared" si="48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47"/>
        <v>Boutique[...]</v>
      </c>
      <c r="B393" s="11" t="s">
        <v>114</v>
      </c>
      <c r="C393" s="102" t="s">
        <v>19</v>
      </c>
      <c r="D393" s="81"/>
      <c r="E393" s="13"/>
      <c r="F393" s="30">
        <f>+SUM(START:END!F392)</f>
        <v>0</v>
      </c>
      <c r="G393" s="83"/>
      <c r="H393" s="13"/>
      <c r="I393" s="30">
        <f>+SUM(START:END!I392)</f>
        <v>0</v>
      </c>
      <c r="J393" s="41"/>
      <c r="K393" s="13"/>
      <c r="L393" s="33">
        <f>+SUM(START:END!L392)</f>
        <v>0</v>
      </c>
      <c r="M393" s="41"/>
      <c r="N393" s="59"/>
      <c r="O393" s="41"/>
      <c r="P393" s="13"/>
      <c r="Q393" s="33">
        <f>+SUM(START:END!Q392)</f>
        <v>0</v>
      </c>
      <c r="R393" s="41"/>
      <c r="S393" s="85">
        <f t="shared" si="48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47"/>
        <v>Boutique[...]</v>
      </c>
      <c r="B394" s="11" t="s">
        <v>114</v>
      </c>
      <c r="C394" s="102" t="s">
        <v>19</v>
      </c>
      <c r="D394" s="87"/>
      <c r="E394" s="111"/>
      <c r="F394" s="30">
        <f>+SUM(START:END!F393)</f>
        <v>0</v>
      </c>
      <c r="G394" s="89"/>
      <c r="H394" s="111"/>
      <c r="I394" s="30">
        <f>+SUM(START:END!I393)</f>
        <v>0</v>
      </c>
      <c r="J394" s="23"/>
      <c r="K394" s="111"/>
      <c r="L394" s="33">
        <f>+SUM(START:END!L393)</f>
        <v>0</v>
      </c>
      <c r="M394" s="23"/>
      <c r="N394" s="91"/>
      <c r="O394" s="23"/>
      <c r="P394" s="111"/>
      <c r="Q394" s="33">
        <f>+SUM(START:END!Q393)</f>
        <v>0</v>
      </c>
      <c r="R394" s="23"/>
      <c r="S394" s="92">
        <f t="shared" si="48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 t="s">
        <v>38</v>
      </c>
      <c r="H395" s="95">
        <f>IFERROR(I395/I$360,0)</f>
        <v>0</v>
      </c>
      <c r="I395" s="96">
        <f>+SUM(I378:I394)</f>
        <v>0</v>
      </c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 t="s">
        <v>38</v>
      </c>
      <c r="H397" s="95">
        <f>IFERROR(I397/I$360,0)</f>
        <v>0</v>
      </c>
      <c r="I397" s="96">
        <f>I377+I395</f>
        <v>0</v>
      </c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>
        <f>I362-I397</f>
        <v>0</v>
      </c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/>
      <c r="G401" s="13"/>
      <c r="H401" s="13"/>
      <c r="I401" s="13"/>
      <c r="J401" s="13"/>
      <c r="K401" s="13"/>
      <c r="L401" s="82"/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  Q4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3" t="s">
        <v>117</v>
      </c>
      <c r="Y404" s="506"/>
      <c r="Z404" s="514"/>
      <c r="AA404" s="505" t="s">
        <v>71</v>
      </c>
      <c r="AB404" s="506"/>
      <c r="AC404" s="514"/>
      <c r="AD404" s="505" t="s">
        <v>7</v>
      </c>
      <c r="AE404" s="506"/>
      <c r="AF404" s="514"/>
      <c r="AG404" s="505" t="s">
        <v>213</v>
      </c>
      <c r="AH404" s="506"/>
      <c r="AI404" s="514"/>
      <c r="AJ404" s="505" t="s">
        <v>118</v>
      </c>
      <c r="AK404" s="506"/>
      <c r="AL404" s="506"/>
      <c r="AM404" s="505" t="s">
        <v>119</v>
      </c>
      <c r="AN404" s="506"/>
      <c r="AO404" s="507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49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 t="s">
        <v>121</v>
      </c>
      <c r="AB405" s="259" t="s">
        <v>122</v>
      </c>
      <c r="AC405" s="260" t="s">
        <v>123</v>
      </c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49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10936375.268849706</v>
      </c>
      <c r="AA406" s="263"/>
      <c r="AB406" s="263"/>
      <c r="AC406" s="264">
        <f>I5+I93+H194+H250+G314+G362</f>
        <v>0</v>
      </c>
      <c r="AD406" s="265"/>
      <c r="AE406" s="266"/>
      <c r="AF406" s="266">
        <f>L5+L93+K194+K250+J314+J362</f>
        <v>9984327.209999999</v>
      </c>
      <c r="AG406" s="265"/>
      <c r="AH406" s="266"/>
      <c r="AI406" s="267"/>
      <c r="AJ406" s="265"/>
      <c r="AK406" s="266"/>
      <c r="AL406" s="266">
        <f>Q5+Q93+P194+P250+O314+O362</f>
        <v>13192702.289999969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49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1139605.4224349458</v>
      </c>
      <c r="AA407" s="271"/>
      <c r="AB407" s="271"/>
      <c r="AC407" s="272">
        <f>I27+I108+I194+I250+I314+I362</f>
        <v>0</v>
      </c>
      <c r="AD407" s="273"/>
      <c r="AE407" s="274"/>
      <c r="AF407" s="274">
        <f>L27+L108+L194+L250+L314+L362</f>
        <v>1074312.54</v>
      </c>
      <c r="AG407" s="273"/>
      <c r="AH407" s="274">
        <f>AF407-Z407</f>
        <v>-65292.882434945786</v>
      </c>
      <c r="AI407" s="275">
        <f>AH407/Z407</f>
        <v>-5.7294289014031975E-2</v>
      </c>
      <c r="AJ407" s="273"/>
      <c r="AK407" s="274"/>
      <c r="AL407" s="274">
        <f>Q27+Q108+Q194+Q250+Q314+Q362</f>
        <v>1337074.689999999</v>
      </c>
      <c r="AM407" s="276"/>
      <c r="AN407" s="274">
        <f>AF407-AL407</f>
        <v>-262762.14999999898</v>
      </c>
      <c r="AO407" s="277">
        <f>IF(AL407=0,0,AN407/AL407)</f>
        <v>-0.19652017345418391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49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49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>Z409/(D$13+D$97)</f>
        <v>959.20832077582179</v>
      </c>
      <c r="Z409" s="280">
        <f>+SUM(START:END!Z409)</f>
        <v>99757.665360685467</v>
      </c>
      <c r="AA409" s="279"/>
      <c r="AB409" s="287">
        <f>IF(AC409=0,0,AC409/(G$13+G$97))</f>
        <v>0</v>
      </c>
      <c r="AC409" s="280">
        <f>+SUM(START:END!AC409)</f>
        <v>0</v>
      </c>
      <c r="AD409" s="288"/>
      <c r="AE409" s="287">
        <f>IF(AF409=0,0,AF409/(J$13+J$97))</f>
        <v>835.30589743589746</v>
      </c>
      <c r="AF409" s="280">
        <f>+SUM(START:END!AF409)</f>
        <v>65153.86</v>
      </c>
      <c r="AG409" s="281">
        <f t="shared" ref="AG409:AH424" si="50">AE409-Y409</f>
        <v>-123.90242333992433</v>
      </c>
      <c r="AH409" s="282">
        <f t="shared" si="50"/>
        <v>-34603.805360685466</v>
      </c>
      <c r="AI409" s="283">
        <f t="shared" ref="AI409:AI418" si="51">IF(Z409=0,0,AH409/Z409)</f>
        <v>-0.34687866075826229</v>
      </c>
      <c r="AJ409" s="288"/>
      <c r="AK409" s="282">
        <f>AL409/(O$13+O$97)</f>
        <v>1237.92</v>
      </c>
      <c r="AL409" s="280">
        <f>+SUMIF($C:$C,$V409,Q:Q)</f>
        <v>138647.04000000001</v>
      </c>
      <c r="AM409" s="284">
        <f t="shared" ref="AM409:AM414" si="52">AE409-Y409</f>
        <v>-123.90242333992433</v>
      </c>
      <c r="AN409" s="282">
        <f t="shared" ref="AN409:AN414" si="53">AF409-AL409</f>
        <v>-73493.180000000008</v>
      </c>
      <c r="AO409" s="289">
        <f t="shared" ref="AO409:AO431" si="54">IF(AL409=0,0,AN409/AL409)</f>
        <v>-0.53007392007791876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49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ref="Y410:Y415" si="55">Z410/(D$13+D$97)</f>
        <v>464.11538461538464</v>
      </c>
      <c r="Z410" s="264">
        <f>+SUM(START:END!Z410)</f>
        <v>48268</v>
      </c>
      <c r="AA410" s="263"/>
      <c r="AB410" s="291">
        <f t="shared" ref="AB410:AB415" si="56">IF(AC410=0,0,AC410/(G$13+G$97))</f>
        <v>0</v>
      </c>
      <c r="AC410" s="264">
        <f>+SUM(START:END!AC410)</f>
        <v>0</v>
      </c>
      <c r="AD410" s="292"/>
      <c r="AE410" s="291">
        <f t="shared" ref="AE410:AE415" si="57">IF(AF410=0,0,AF410/(J$13+J$97))</f>
        <v>454.47038461538466</v>
      </c>
      <c r="AF410" s="264">
        <f>+SUM(START:END!AF410)</f>
        <v>35448.69</v>
      </c>
      <c r="AG410" s="265">
        <f t="shared" si="50"/>
        <v>-9.6449999999999818</v>
      </c>
      <c r="AH410" s="266">
        <f t="shared" si="50"/>
        <v>-12819.309999999998</v>
      </c>
      <c r="AI410" s="293">
        <f t="shared" si="51"/>
        <v>-0.26558610259385096</v>
      </c>
      <c r="AJ410" s="292"/>
      <c r="AK410" s="266">
        <f t="shared" ref="AK410:AK415" si="58">AL410/(O$13+O$97)</f>
        <v>574.20419642857155</v>
      </c>
      <c r="AL410" s="264">
        <f t="shared" ref="AL410:AL415" si="59">+SUMIF($C:$C,$V410,Q:Q)</f>
        <v>64310.87000000001</v>
      </c>
      <c r="AM410" s="268">
        <f t="shared" si="52"/>
        <v>-9.6449999999999818</v>
      </c>
      <c r="AN410" s="266">
        <f t="shared" si="53"/>
        <v>-28862.180000000008</v>
      </c>
      <c r="AO410" s="294">
        <f t="shared" si="54"/>
        <v>-0.44879162729411065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49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55"/>
        <v>121.53846153846153</v>
      </c>
      <c r="Z411" s="280">
        <f>+SUM(START:END!Z411)</f>
        <v>12640</v>
      </c>
      <c r="AA411" s="279"/>
      <c r="AB411" s="287">
        <f t="shared" si="56"/>
        <v>0</v>
      </c>
      <c r="AC411" s="280">
        <f>+SUM(START:END!AC411)</f>
        <v>0</v>
      </c>
      <c r="AD411" s="288"/>
      <c r="AE411" s="287">
        <f t="shared" si="57"/>
        <v>75.355897435897433</v>
      </c>
      <c r="AF411" s="280">
        <f>+SUM(START:END!AF411)</f>
        <v>5877.76</v>
      </c>
      <c r="AG411" s="281">
        <f t="shared" si="50"/>
        <v>-46.1825641025641</v>
      </c>
      <c r="AH411" s="282">
        <f t="shared" si="50"/>
        <v>-6762.24</v>
      </c>
      <c r="AI411" s="283">
        <f t="shared" si="51"/>
        <v>-0.5349873417721519</v>
      </c>
      <c r="AJ411" s="288"/>
      <c r="AK411" s="282">
        <f t="shared" si="58"/>
        <v>101.1417857142857</v>
      </c>
      <c r="AL411" s="280">
        <f t="shared" si="59"/>
        <v>11327.88</v>
      </c>
      <c r="AM411" s="284">
        <f t="shared" si="52"/>
        <v>-46.1825641025641</v>
      </c>
      <c r="AN411" s="282">
        <f t="shared" si="53"/>
        <v>-5450.119999999999</v>
      </c>
      <c r="AO411" s="289">
        <f t="shared" si="54"/>
        <v>-0.48112444693976275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49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132</v>
      </c>
      <c r="X412" s="279"/>
      <c r="Y412" s="287">
        <f t="shared" si="55"/>
        <v>66.15384615384616</v>
      </c>
      <c r="Z412" s="280">
        <f>+SUM(START:END!Z412)</f>
        <v>6880</v>
      </c>
      <c r="AA412" s="279"/>
      <c r="AB412" s="287">
        <f t="shared" si="56"/>
        <v>0</v>
      </c>
      <c r="AC412" s="280">
        <f>+SUM(START:END!AC412)</f>
        <v>0</v>
      </c>
      <c r="AD412" s="288"/>
      <c r="AE412" s="287">
        <f t="shared" si="57"/>
        <v>61.906666666666659</v>
      </c>
      <c r="AF412" s="280">
        <f>+SUM(START:END!AF412)</f>
        <v>4828.7199999999993</v>
      </c>
      <c r="AG412" s="281">
        <f t="shared" si="50"/>
        <v>-4.2471794871795012</v>
      </c>
      <c r="AH412" s="282">
        <f t="shared" si="50"/>
        <v>-2051.2800000000007</v>
      </c>
      <c r="AI412" s="283">
        <f t="shared" si="51"/>
        <v>-0.29815116279069775</v>
      </c>
      <c r="AJ412" s="288"/>
      <c r="AK412" s="282">
        <f t="shared" si="58"/>
        <v>77.826339285714297</v>
      </c>
      <c r="AL412" s="280">
        <f t="shared" si="59"/>
        <v>8716.5500000000011</v>
      </c>
      <c r="AM412" s="284">
        <f t="shared" si="52"/>
        <v>-4.2471794871795012</v>
      </c>
      <c r="AN412" s="282">
        <f t="shared" si="53"/>
        <v>-3887.8300000000017</v>
      </c>
      <c r="AO412" s="295">
        <f t="shared" si="54"/>
        <v>-0.44602853193063785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49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/>
      <c r="X413" s="263"/>
      <c r="Y413" s="291">
        <f t="shared" si="55"/>
        <v>91.82692307692308</v>
      </c>
      <c r="Z413" s="264">
        <f>+SUM(START:END!Z413)</f>
        <v>9550</v>
      </c>
      <c r="AA413" s="263"/>
      <c r="AB413" s="291">
        <f t="shared" si="56"/>
        <v>0</v>
      </c>
      <c r="AC413" s="264">
        <f>+SUM(START:END!AC413)</f>
        <v>0</v>
      </c>
      <c r="AD413" s="292"/>
      <c r="AE413" s="291">
        <f t="shared" si="57"/>
        <v>162.24987179487178</v>
      </c>
      <c r="AF413" s="264">
        <f>+SUM(START:END!AF413)</f>
        <v>12655.49</v>
      </c>
      <c r="AG413" s="265">
        <f t="shared" si="50"/>
        <v>70.422948717948699</v>
      </c>
      <c r="AH413" s="266">
        <f t="shared" si="50"/>
        <v>3105.49</v>
      </c>
      <c r="AI413" s="293">
        <f t="shared" si="51"/>
        <v>0.32518219895287953</v>
      </c>
      <c r="AJ413" s="292"/>
      <c r="AK413" s="266">
        <f t="shared" si="58"/>
        <v>104.38330357142857</v>
      </c>
      <c r="AL413" s="264">
        <f t="shared" si="59"/>
        <v>11690.93</v>
      </c>
      <c r="AM413" s="268">
        <f t="shared" si="52"/>
        <v>70.422948717948699</v>
      </c>
      <c r="AN413" s="266">
        <f t="shared" si="53"/>
        <v>964.55999999999949</v>
      </c>
      <c r="AO413" s="294">
        <f t="shared" si="54"/>
        <v>8.2504984633386694E-2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49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133</v>
      </c>
      <c r="X414" s="283"/>
      <c r="Y414" s="287">
        <f t="shared" si="55"/>
        <v>518.93382352941171</v>
      </c>
      <c r="Z414" s="280">
        <f>+SUM(START:END!Z414)</f>
        <v>53969.117647058818</v>
      </c>
      <c r="AA414" s="283"/>
      <c r="AB414" s="287">
        <f t="shared" si="56"/>
        <v>0</v>
      </c>
      <c r="AC414" s="280">
        <f>+SUM(START:END!AC414)</f>
        <v>0</v>
      </c>
      <c r="AD414" s="288"/>
      <c r="AE414" s="287">
        <f t="shared" si="57"/>
        <v>671.82615384615383</v>
      </c>
      <c r="AF414" s="280">
        <f>+SUM(START:END!AF414)</f>
        <v>52402.44</v>
      </c>
      <c r="AG414" s="281">
        <f t="shared" si="50"/>
        <v>152.89233031674212</v>
      </c>
      <c r="AH414" s="282">
        <f t="shared" si="50"/>
        <v>-1566.6776470588156</v>
      </c>
      <c r="AI414" s="283">
        <f t="shared" si="51"/>
        <v>-2.9029150658055936E-2</v>
      </c>
      <c r="AJ414" s="288"/>
      <c r="AK414" s="282">
        <f t="shared" si="58"/>
        <v>697.56767857142768</v>
      </c>
      <c r="AL414" s="280">
        <f t="shared" si="59"/>
        <v>78127.5799999999</v>
      </c>
      <c r="AM414" s="284">
        <f t="shared" si="52"/>
        <v>152.89233031674212</v>
      </c>
      <c r="AN414" s="282">
        <f t="shared" si="53"/>
        <v>-25725.139999999898</v>
      </c>
      <c r="AO414" s="289">
        <f t="shared" si="54"/>
        <v>-0.32927091815719789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49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134</v>
      </c>
      <c r="X415" s="279"/>
      <c r="Y415" s="287">
        <f t="shared" si="55"/>
        <v>839.23834560200362</v>
      </c>
      <c r="Z415" s="280">
        <f>+SUM(START:END!Z415)</f>
        <v>87280.787942608382</v>
      </c>
      <c r="AA415" s="279"/>
      <c r="AB415" s="287">
        <f t="shared" si="56"/>
        <v>0</v>
      </c>
      <c r="AC415" s="280">
        <f>+SUM(START:END!AC415)</f>
        <v>0</v>
      </c>
      <c r="AD415" s="288"/>
      <c r="AE415" s="287">
        <f t="shared" si="57"/>
        <v>1007.8000000000001</v>
      </c>
      <c r="AF415" s="280">
        <f>+SUM(START:END!AF415)</f>
        <v>78608.400000000009</v>
      </c>
      <c r="AG415" s="281">
        <f t="shared" si="50"/>
        <v>168.56165439799645</v>
      </c>
      <c r="AH415" s="282">
        <f t="shared" si="50"/>
        <v>-8672.3879426083731</v>
      </c>
      <c r="AI415" s="283">
        <f t="shared" si="51"/>
        <v>-9.9361934591045573E-2</v>
      </c>
      <c r="AJ415" s="288"/>
      <c r="AK415" s="282">
        <f t="shared" si="58"/>
        <v>832.61955357142858</v>
      </c>
      <c r="AL415" s="280">
        <f t="shared" si="59"/>
        <v>93253.39</v>
      </c>
      <c r="AM415" s="284">
        <f>AE415-Y415</f>
        <v>168.56165439799645</v>
      </c>
      <c r="AN415" s="282">
        <f>AF415-AL415</f>
        <v>-14644.989999999991</v>
      </c>
      <c r="AO415" s="289">
        <f t="shared" si="54"/>
        <v>-0.15704512189851746</v>
      </c>
      <c r="AP415" s="246"/>
      <c r="AQ415" s="246"/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49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>Z416/(D$13+D$97)</f>
        <v>0</v>
      </c>
      <c r="Z416" s="280">
        <f>+SUM(START:END!Z416)</f>
        <v>0</v>
      </c>
      <c r="AA416" s="279"/>
      <c r="AB416" s="287">
        <f>IF(AC416=0,0,AC416/(G$13+G$97))</f>
        <v>0</v>
      </c>
      <c r="AC416" s="280">
        <f>+SUM(START:END!AC416)</f>
        <v>0</v>
      </c>
      <c r="AD416" s="288"/>
      <c r="AE416" s="287">
        <f>IF(AF416=0,0,AF416/(J$13+J$97))</f>
        <v>0</v>
      </c>
      <c r="AF416" s="280">
        <f>+SUM(START:END!AF416)</f>
        <v>0</v>
      </c>
      <c r="AG416" s="281">
        <f t="shared" si="50"/>
        <v>0</v>
      </c>
      <c r="AH416" s="282">
        <f t="shared" si="50"/>
        <v>0</v>
      </c>
      <c r="AI416" s="283">
        <f t="shared" si="51"/>
        <v>0</v>
      </c>
      <c r="AJ416" s="288"/>
      <c r="AK416" s="282">
        <f>AL416/(O$13+O$97)</f>
        <v>0</v>
      </c>
      <c r="AL416" s="280"/>
      <c r="AM416" s="284">
        <f>AE416-Y416</f>
        <v>0</v>
      </c>
      <c r="AN416" s="282">
        <f>AF416-AL416</f>
        <v>0</v>
      </c>
      <c r="AO416" s="289">
        <f t="shared" si="54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4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>Z417/(D$13+D$97)</f>
        <v>0</v>
      </c>
      <c r="Z417" s="280">
        <f>+SUM(START:END!Z417)</f>
        <v>0</v>
      </c>
      <c r="AA417" s="279"/>
      <c r="AB417" s="287">
        <f>IF(AC417=0,0,AC417/(G$13+G$97))</f>
        <v>0</v>
      </c>
      <c r="AC417" s="280">
        <f>+SUM(START:END!AC417)</f>
        <v>0</v>
      </c>
      <c r="AD417" s="288"/>
      <c r="AE417" s="287">
        <f>IF(AF417=0,0,AF417/(J$13+J$97))</f>
        <v>0</v>
      </c>
      <c r="AF417" s="280">
        <f>+SUM(START:END!AF417)</f>
        <v>0</v>
      </c>
      <c r="AG417" s="281">
        <f t="shared" si="50"/>
        <v>0</v>
      </c>
      <c r="AH417" s="282">
        <f t="shared" si="50"/>
        <v>0</v>
      </c>
      <c r="AI417" s="283">
        <f t="shared" si="51"/>
        <v>0</v>
      </c>
      <c r="AJ417" s="288"/>
      <c r="AK417" s="282">
        <f>AL417/(O$13+O$97)</f>
        <v>0</v>
      </c>
      <c r="AL417" s="280"/>
      <c r="AM417" s="284">
        <f>AE417-Y417</f>
        <v>0</v>
      </c>
      <c r="AN417" s="282">
        <f>AF417-AL417</f>
        <v>0</v>
      </c>
      <c r="AO417" s="289">
        <f t="shared" si="54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4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/>
      <c r="X418" s="279"/>
      <c r="Y418" s="287">
        <f>Z418/(D$13+D$97)</f>
        <v>0</v>
      </c>
      <c r="Z418" s="280">
        <f>+SUM(START:END!Z418)</f>
        <v>0</v>
      </c>
      <c r="AA418" s="279"/>
      <c r="AB418" s="287">
        <f>IF(AC418=0,0,AC418/(G$13+G$97))</f>
        <v>0</v>
      </c>
      <c r="AC418" s="280">
        <f>+SUM(START:END!AC418)</f>
        <v>0</v>
      </c>
      <c r="AD418" s="288"/>
      <c r="AE418" s="287">
        <f>IF(AF418=0,0,AF418/(J$13+J$97))</f>
        <v>0</v>
      </c>
      <c r="AF418" s="280">
        <f>+SUM(START:END!AF418)</f>
        <v>0</v>
      </c>
      <c r="AG418" s="281">
        <f t="shared" si="50"/>
        <v>0</v>
      </c>
      <c r="AH418" s="282">
        <f t="shared" si="50"/>
        <v>0</v>
      </c>
      <c r="AI418" s="283">
        <f t="shared" si="51"/>
        <v>0</v>
      </c>
      <c r="AJ418" s="288"/>
      <c r="AK418" s="282">
        <f>AL418/(O$13+O$97)</f>
        <v>0</v>
      </c>
      <c r="AL418" s="280"/>
      <c r="AM418" s="284">
        <f>AE418-Y418</f>
        <v>0</v>
      </c>
      <c r="AN418" s="282">
        <f>AF418-AL418</f>
        <v>0</v>
      </c>
      <c r="AO418" s="289">
        <f t="shared" si="54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49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0.27934718867005515</v>
      </c>
      <c r="Y419" s="297"/>
      <c r="Z419" s="299">
        <f>SUM(Z409:Z418)</f>
        <v>318345.5709503527</v>
      </c>
      <c r="AA419" s="298" t="e">
        <f>AC419/AC407</f>
        <v>#DIV/0!</v>
      </c>
      <c r="AB419" s="297"/>
      <c r="AC419" s="299">
        <f>SUM(AC409:AC418)</f>
        <v>0</v>
      </c>
      <c r="AD419" s="300">
        <f>AF419/AF407</f>
        <v>0.23733815859582169</v>
      </c>
      <c r="AE419" s="297"/>
      <c r="AF419" s="299">
        <f>SUM(AF409:AF418)</f>
        <v>254975.36000000004</v>
      </c>
      <c r="AG419" s="301"/>
      <c r="AH419" s="302">
        <f t="shared" si="50"/>
        <v>-63370.210950352659</v>
      </c>
      <c r="AI419" s="298">
        <f>AH419/Z419</f>
        <v>-0.19906107303825346</v>
      </c>
      <c r="AJ419" s="300">
        <f>IF($AL$407=0,0,AL419/$AL$407)</f>
        <v>0.30370348271269737</v>
      </c>
      <c r="AK419" s="297"/>
      <c r="AL419" s="299">
        <f>SUM(AL409:AL418)</f>
        <v>406074.23999999993</v>
      </c>
      <c r="AM419" s="303"/>
      <c r="AN419" s="302">
        <f t="shared" ref="AN419:AN431" si="60">AF419-AL419</f>
        <v>-151098.87999999989</v>
      </c>
      <c r="AO419" s="277">
        <f t="shared" si="54"/>
        <v>-0.37209668852670857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49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136</v>
      </c>
      <c r="X420" s="279"/>
      <c r="Y420" s="279"/>
      <c r="Z420" s="280">
        <f>+SUM(START:END!Z420)</f>
        <v>42833.376304155616</v>
      </c>
      <c r="AA420" s="279"/>
      <c r="AB420" s="279">
        <f t="shared" ref="AB420:AB430" si="61">IF(AC420=0,0,AC420/(G$13+G$97))</f>
        <v>0</v>
      </c>
      <c r="AC420" s="280">
        <f>+SUM(START:END!AC420)</f>
        <v>0</v>
      </c>
      <c r="AD420" s="288"/>
      <c r="AE420" s="287"/>
      <c r="AF420" s="280">
        <f>+SUM(START:END!AF420)</f>
        <v>48734.81</v>
      </c>
      <c r="AG420" s="281"/>
      <c r="AH420" s="282">
        <f t="shared" si="50"/>
        <v>5901.4336958443819</v>
      </c>
      <c r="AI420" s="283">
        <f t="shared" ref="AI420:AI432" si="62">IF(Z420=0,0,AH420/Z420)</f>
        <v>0.13777652394102391</v>
      </c>
      <c r="AJ420" s="288"/>
      <c r="AK420" s="279"/>
      <c r="AL420" s="280">
        <f>+SUM(START:END!AL420)</f>
        <v>45078.69</v>
      </c>
      <c r="AM420" s="284"/>
      <c r="AN420" s="282">
        <f t="shared" si="60"/>
        <v>3656.1199999999953</v>
      </c>
      <c r="AO420" s="289">
        <f t="shared" si="54"/>
        <v>8.1105285002736213E-2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49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137</v>
      </c>
      <c r="X421" s="279"/>
      <c r="Y421" s="279"/>
      <c r="Z421" s="280">
        <f>+SUM(START:END!Z421)</f>
        <v>96874.360300618922</v>
      </c>
      <c r="AA421" s="279"/>
      <c r="AB421" s="279">
        <f t="shared" si="61"/>
        <v>0</v>
      </c>
      <c r="AC421" s="280">
        <f>+SUM(START:END!AC421)</f>
        <v>0</v>
      </c>
      <c r="AD421" s="288"/>
      <c r="AE421" s="287"/>
      <c r="AF421" s="280">
        <f>+SUM(START:END!AF421)</f>
        <v>97208.26</v>
      </c>
      <c r="AG421" s="281"/>
      <c r="AH421" s="282">
        <f t="shared" si="50"/>
        <v>333.89969938107242</v>
      </c>
      <c r="AI421" s="283">
        <f t="shared" si="62"/>
        <v>3.4467293342110377E-3</v>
      </c>
      <c r="AJ421" s="288"/>
      <c r="AK421" s="279"/>
      <c r="AL421" s="280">
        <f t="shared" ref="AL421:AL430" si="63">+SUMIF($C:$C,$V421,Q:Q)</f>
        <v>93361.23000000001</v>
      </c>
      <c r="AM421" s="284"/>
      <c r="AN421" s="282">
        <f t="shared" si="60"/>
        <v>3847.0299999999843</v>
      </c>
      <c r="AO421" s="289">
        <f t="shared" si="54"/>
        <v>4.120586243347462E-2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49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>+SUM(START:END!Z422)</f>
        <v>63993.652298850575</v>
      </c>
      <c r="AA422" s="263"/>
      <c r="AB422" s="263">
        <f t="shared" si="61"/>
        <v>0</v>
      </c>
      <c r="AC422" s="264">
        <f>+SUM(START:END!AC422)</f>
        <v>0</v>
      </c>
      <c r="AD422" s="292"/>
      <c r="AE422" s="291"/>
      <c r="AF422" s="264">
        <f>+SUM(START:END!AF422)</f>
        <v>53721.090000000004</v>
      </c>
      <c r="AG422" s="265"/>
      <c r="AH422" s="266">
        <f t="shared" si="50"/>
        <v>-10272.562298850571</v>
      </c>
      <c r="AI422" s="293">
        <f t="shared" si="62"/>
        <v>-0.16052470721436041</v>
      </c>
      <c r="AJ422" s="292"/>
      <c r="AK422" s="263"/>
      <c r="AL422" s="264">
        <f t="shared" si="63"/>
        <v>67880.2</v>
      </c>
      <c r="AM422" s="268"/>
      <c r="AN422" s="266">
        <f t="shared" si="60"/>
        <v>-14159.109999999993</v>
      </c>
      <c r="AO422" s="269">
        <f t="shared" si="54"/>
        <v>-0.20858969183944648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49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>+SUM(START:END!Z423)</f>
        <v>75326.480689655175</v>
      </c>
      <c r="AA423" s="279"/>
      <c r="AB423" s="279">
        <f t="shared" si="61"/>
        <v>0</v>
      </c>
      <c r="AC423" s="280">
        <f>+SUM(START:END!AC423)</f>
        <v>0</v>
      </c>
      <c r="AD423" s="288"/>
      <c r="AE423" s="287"/>
      <c r="AF423" s="280">
        <f>+SUM(START:END!AF423)</f>
        <v>80059.19</v>
      </c>
      <c r="AG423" s="281"/>
      <c r="AH423" s="282">
        <f t="shared" si="50"/>
        <v>4732.7093103448278</v>
      </c>
      <c r="AI423" s="283">
        <f t="shared" si="62"/>
        <v>6.2829290138265895E-2</v>
      </c>
      <c r="AJ423" s="288"/>
      <c r="AK423" s="279"/>
      <c r="AL423" s="280">
        <f t="shared" si="63"/>
        <v>78469.899999999994</v>
      </c>
      <c r="AM423" s="284"/>
      <c r="AN423" s="282">
        <f t="shared" si="60"/>
        <v>1589.2900000000081</v>
      </c>
      <c r="AO423" s="289">
        <f t="shared" si="54"/>
        <v>2.0253498475211618E-2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49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140</v>
      </c>
      <c r="X424" s="279"/>
      <c r="Y424" s="279"/>
      <c r="Z424" s="280">
        <f>+SUM(START:END!Z424)</f>
        <v>43254.929666666663</v>
      </c>
      <c r="AA424" s="279"/>
      <c r="AB424" s="279">
        <f t="shared" si="61"/>
        <v>0</v>
      </c>
      <c r="AC424" s="280">
        <f>+SUM(START:END!AC424)</f>
        <v>0</v>
      </c>
      <c r="AD424" s="288"/>
      <c r="AE424" s="287"/>
      <c r="AF424" s="280">
        <f>+SUM(START:END!AF424)</f>
        <v>49286.49</v>
      </c>
      <c r="AG424" s="281"/>
      <c r="AH424" s="282">
        <f t="shared" si="50"/>
        <v>6031.5603333333347</v>
      </c>
      <c r="AI424" s="283">
        <f t="shared" si="62"/>
        <v>0.13944214867100818</v>
      </c>
      <c r="AJ424" s="288"/>
      <c r="AK424" s="279"/>
      <c r="AL424" s="280">
        <f t="shared" si="63"/>
        <v>47811.03</v>
      </c>
      <c r="AM424" s="284"/>
      <c r="AN424" s="282">
        <f t="shared" si="60"/>
        <v>1475.4599999999991</v>
      </c>
      <c r="AO424" s="289">
        <f t="shared" si="54"/>
        <v>3.0860242918841096E-2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49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>+SUM(START:END!Z425)</f>
        <v>0</v>
      </c>
      <c r="AA425" s="279"/>
      <c r="AB425" s="279">
        <f t="shared" si="61"/>
        <v>0</v>
      </c>
      <c r="AC425" s="282">
        <f>+SUM(START:END!AC425)</f>
        <v>0</v>
      </c>
      <c r="AD425" s="288"/>
      <c r="AE425" s="287"/>
      <c r="AF425" s="280">
        <f>+SUM(START:END!AF425)</f>
        <v>0</v>
      </c>
      <c r="AG425" s="281"/>
      <c r="AH425" s="282">
        <f t="shared" ref="AH425:AH451" si="64">AF425-Z425</f>
        <v>0</v>
      </c>
      <c r="AI425" s="283">
        <f t="shared" si="62"/>
        <v>0</v>
      </c>
      <c r="AJ425" s="288"/>
      <c r="AK425" s="279"/>
      <c r="AL425" s="280"/>
      <c r="AM425" s="284"/>
      <c r="AN425" s="282">
        <f t="shared" si="60"/>
        <v>0</v>
      </c>
      <c r="AO425" s="289">
        <f t="shared" si="54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49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>+SUM(START:END!Z426)</f>
        <v>0</v>
      </c>
      <c r="AA426" s="279"/>
      <c r="AB426" s="279">
        <f t="shared" si="61"/>
        <v>0</v>
      </c>
      <c r="AC426" s="282">
        <f>+SUM(START:END!AC426)</f>
        <v>0</v>
      </c>
      <c r="AD426" s="288"/>
      <c r="AE426" s="287"/>
      <c r="AF426" s="280">
        <f>+SUM(START:END!AF426)</f>
        <v>0</v>
      </c>
      <c r="AG426" s="281"/>
      <c r="AH426" s="282">
        <f t="shared" si="64"/>
        <v>0</v>
      </c>
      <c r="AI426" s="283">
        <f t="shared" si="62"/>
        <v>0</v>
      </c>
      <c r="AJ426" s="288"/>
      <c r="AK426" s="279"/>
      <c r="AL426" s="280"/>
      <c r="AM426" s="284"/>
      <c r="AN426" s="282">
        <f t="shared" si="60"/>
        <v>0</v>
      </c>
      <c r="AO426" s="289">
        <f t="shared" si="54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49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>+SUM(START:END!Z427)</f>
        <v>0</v>
      </c>
      <c r="AA427" s="279"/>
      <c r="AB427" s="279">
        <f t="shared" si="61"/>
        <v>0</v>
      </c>
      <c r="AC427" s="282">
        <f>+SUM(START:END!AC427)</f>
        <v>0</v>
      </c>
      <c r="AD427" s="288"/>
      <c r="AE427" s="287"/>
      <c r="AF427" s="280">
        <f>+SUM(START:END!AF427)</f>
        <v>0</v>
      </c>
      <c r="AG427" s="281"/>
      <c r="AH427" s="282">
        <f t="shared" si="64"/>
        <v>0</v>
      </c>
      <c r="AI427" s="283">
        <f t="shared" si="62"/>
        <v>0</v>
      </c>
      <c r="AJ427" s="288"/>
      <c r="AK427" s="279"/>
      <c r="AL427" s="280"/>
      <c r="AM427" s="284"/>
      <c r="AN427" s="282">
        <f t="shared" si="60"/>
        <v>0</v>
      </c>
      <c r="AO427" s="289">
        <f t="shared" si="54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49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>+SUM(START:END!Z428)</f>
        <v>79455.361086734658</v>
      </c>
      <c r="AA428" s="263"/>
      <c r="AB428" s="263">
        <f t="shared" si="61"/>
        <v>0</v>
      </c>
      <c r="AC428" s="264">
        <f>+SUM(START:END!AC428)</f>
        <v>0</v>
      </c>
      <c r="AD428" s="292"/>
      <c r="AE428" s="291"/>
      <c r="AF428" s="264">
        <f>+SUM(START:END!AF428)</f>
        <v>68912.86</v>
      </c>
      <c r="AG428" s="265"/>
      <c r="AH428" s="266">
        <f t="shared" si="64"/>
        <v>-10542.501086734657</v>
      </c>
      <c r="AI428" s="293">
        <f t="shared" si="62"/>
        <v>-0.13268457839146067</v>
      </c>
      <c r="AJ428" s="292"/>
      <c r="AK428" s="263"/>
      <c r="AL428" s="264">
        <f t="shared" si="63"/>
        <v>79825.72</v>
      </c>
      <c r="AM428" s="268"/>
      <c r="AN428" s="266">
        <f t="shared" si="60"/>
        <v>-10912.86</v>
      </c>
      <c r="AO428" s="294">
        <f t="shared" si="54"/>
        <v>-0.13670856961891481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49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>+SUM(START:END!Z429)</f>
        <v>70943.782486928016</v>
      </c>
      <c r="AA429" s="279"/>
      <c r="AB429" s="279">
        <f t="shared" si="61"/>
        <v>0</v>
      </c>
      <c r="AC429" s="280">
        <f>+SUM(START:END!AC429)</f>
        <v>0</v>
      </c>
      <c r="AD429" s="288"/>
      <c r="AE429" s="287"/>
      <c r="AF429" s="280">
        <f>+SUM(START:END!AF429)</f>
        <v>66989.600000000006</v>
      </c>
      <c r="AG429" s="281"/>
      <c r="AH429" s="282">
        <f t="shared" si="64"/>
        <v>-3954.1824869280099</v>
      </c>
      <c r="AI429" s="283">
        <f t="shared" si="62"/>
        <v>-5.5736843290764782E-2</v>
      </c>
      <c r="AJ429" s="288"/>
      <c r="AK429" s="279"/>
      <c r="AL429" s="280">
        <f t="shared" si="63"/>
        <v>73206.929999999993</v>
      </c>
      <c r="AM429" s="284"/>
      <c r="AN429" s="282">
        <f t="shared" si="60"/>
        <v>-6217.3299999999872</v>
      </c>
      <c r="AO429" s="289">
        <f t="shared" si="54"/>
        <v>-8.4928161855714862E-2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49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143</v>
      </c>
      <c r="X430" s="279"/>
      <c r="Y430" s="279"/>
      <c r="Z430" s="280">
        <f>+SUM(START:END!Z430)</f>
        <v>42571.076983444276</v>
      </c>
      <c r="AA430" s="279"/>
      <c r="AB430" s="279">
        <f t="shared" si="61"/>
        <v>0</v>
      </c>
      <c r="AC430" s="280">
        <f>+SUM(START:END!AC430)</f>
        <v>0</v>
      </c>
      <c r="AD430" s="288"/>
      <c r="AE430" s="287"/>
      <c r="AF430" s="280">
        <f>+SUM(START:END!AF430)</f>
        <v>41691.919999999998</v>
      </c>
      <c r="AG430" s="281"/>
      <c r="AH430" s="282">
        <f t="shared" si="64"/>
        <v>-879.15698344427801</v>
      </c>
      <c r="AI430" s="283">
        <f t="shared" si="62"/>
        <v>-2.0651509093513858E-2</v>
      </c>
      <c r="AJ430" s="288"/>
      <c r="AK430" s="279"/>
      <c r="AL430" s="280">
        <f t="shared" si="63"/>
        <v>38266.089999999997</v>
      </c>
      <c r="AM430" s="284"/>
      <c r="AN430" s="282">
        <f t="shared" si="60"/>
        <v>3425.8300000000017</v>
      </c>
      <c r="AO430" s="289">
        <f t="shared" si="54"/>
        <v>8.9526523352660328E-2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49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/>
      <c r="X431" s="279"/>
      <c r="Y431" s="279"/>
      <c r="Z431" s="280">
        <f>+SUM(START:END!Z431)</f>
        <v>9122.3736393094878</v>
      </c>
      <c r="AA431" s="279"/>
      <c r="AB431" s="279">
        <f>IF(AC431=0,0,AC431/(G$13+G$97))</f>
        <v>0</v>
      </c>
      <c r="AC431" s="280">
        <f>+SUM(START:END!AC431)</f>
        <v>0</v>
      </c>
      <c r="AD431" s="288"/>
      <c r="AE431" s="287"/>
      <c r="AF431" s="280">
        <f>+SUM(START:END!AF431)</f>
        <v>11549.55</v>
      </c>
      <c r="AG431" s="281"/>
      <c r="AH431" s="282">
        <f t="shared" si="64"/>
        <v>2427.1763606905115</v>
      </c>
      <c r="AI431" s="306">
        <f t="shared" si="62"/>
        <v>0.26606850987022662</v>
      </c>
      <c r="AJ431" s="288"/>
      <c r="AK431" s="279"/>
      <c r="AL431" s="280">
        <f>+SUMIF($C:$C,$V431,Q:Q)</f>
        <v>5718.56</v>
      </c>
      <c r="AM431" s="284"/>
      <c r="AN431" s="282">
        <f t="shared" si="60"/>
        <v>5830.9899999999989</v>
      </c>
      <c r="AO431" s="294">
        <f t="shared" si="54"/>
        <v>1.0196605439131528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 customHeight="1">
      <c r="A432" t="str">
        <f t="shared" si="49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+SUM(START:END!Z432)</f>
        <v>0</v>
      </c>
      <c r="AA432" s="279"/>
      <c r="AB432" s="279">
        <f>IF(AC432=0,0,AC432/(G$13+G$97))</f>
        <v>0</v>
      </c>
      <c r="AC432" s="282">
        <f>+SUM(START:END!AC432)</f>
        <v>0</v>
      </c>
      <c r="AD432" s="288"/>
      <c r="AE432" s="287"/>
      <c r="AF432" s="280">
        <f>+SUM(START:END!AF432)</f>
        <v>0</v>
      </c>
      <c r="AG432" s="281"/>
      <c r="AH432" s="282">
        <f t="shared" si="64"/>
        <v>0</v>
      </c>
      <c r="AI432" s="283">
        <f t="shared" si="62"/>
        <v>0</v>
      </c>
      <c r="AJ432" s="288"/>
      <c r="AK432" s="279">
        <f>AL432/(O$13+O$97)</f>
        <v>0</v>
      </c>
      <c r="AL432" s="280"/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49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0.46013767847467157</v>
      </c>
      <c r="Y433" s="297"/>
      <c r="Z433" s="299">
        <f>SUM(Z420:Z432)</f>
        <v>524375.39345636335</v>
      </c>
      <c r="AA433" s="298" t="e">
        <f>AC433/AC407</f>
        <v>#DIV/0!</v>
      </c>
      <c r="AB433" s="297"/>
      <c r="AC433" s="299">
        <f>SUM(AC420:AC432)</f>
        <v>0</v>
      </c>
      <c r="AD433" s="300">
        <f>AF433/AF407</f>
        <v>0.48231194434349606</v>
      </c>
      <c r="AE433" s="307"/>
      <c r="AF433" s="299">
        <f>SUM(AF420:AF432)</f>
        <v>518153.7699999999</v>
      </c>
      <c r="AG433" s="308"/>
      <c r="AH433" s="302">
        <f t="shared" si="64"/>
        <v>-6221.6234563634498</v>
      </c>
      <c r="AI433" s="298">
        <f>AH433/Z433</f>
        <v>-1.186482724781248E-2</v>
      </c>
      <c r="AJ433" s="300">
        <f>IF($AL$407=0,0,AL433/$AL$407)</f>
        <v>0.39610229253535606</v>
      </c>
      <c r="AK433" s="297"/>
      <c r="AL433" s="299">
        <f>SUM(AL420:AL432)</f>
        <v>529618.35000000009</v>
      </c>
      <c r="AM433" s="309"/>
      <c r="AN433" s="302">
        <f t="shared" ref="AN433:AN447" si="65">AF433-AL433</f>
        <v>-11464.580000000191</v>
      </c>
      <c r="AO433" s="277">
        <f>IF(AL433=0,0,AN433/AL433)</f>
        <v>-2.164687080800767E-2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49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133</v>
      </c>
      <c r="X434" s="312"/>
      <c r="Y434" s="312"/>
      <c r="Z434" s="313">
        <f>+SUM(START:END!Z434)</f>
        <v>30804.751853191192</v>
      </c>
      <c r="AA434" s="312"/>
      <c r="AB434" s="312">
        <f t="shared" ref="AB434:AB451" si="66">IF(AC434=0,0,AC434/(G$13+G$97))</f>
        <v>0</v>
      </c>
      <c r="AC434" s="313">
        <f>+SUM(START:END!AC434)</f>
        <v>0</v>
      </c>
      <c r="AD434" s="314"/>
      <c r="AE434" s="315"/>
      <c r="AF434" s="313">
        <f>+SUM(START:END!AF434)</f>
        <v>46076.12</v>
      </c>
      <c r="AG434" s="314"/>
      <c r="AH434" s="316">
        <f t="shared" si="64"/>
        <v>15271.368146808811</v>
      </c>
      <c r="AI434" s="317">
        <f t="shared" ref="AI434:AI451" si="67">IF(Z434=0,0,AH434/Z434)</f>
        <v>0.49574715678895448</v>
      </c>
      <c r="AJ434" s="314"/>
      <c r="AK434" s="312"/>
      <c r="AL434" s="313">
        <f t="shared" ref="AL434:AL449" si="68">+SUMIF($C:$C,$V434,Q:Q)</f>
        <v>38232.649999999994</v>
      </c>
      <c r="AM434" s="318"/>
      <c r="AN434" s="316">
        <f t="shared" si="65"/>
        <v>7843.4700000000084</v>
      </c>
      <c r="AO434" s="285">
        <f t="shared" ref="AO434:AO447" si="69">IF(AL434=0,0,AN434/AL434)</f>
        <v>0.2051510946795477</v>
      </c>
      <c r="AP434" s="246"/>
      <c r="AQ434" s="246"/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49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144</v>
      </c>
      <c r="X435" s="279"/>
      <c r="Y435" s="279"/>
      <c r="Z435" s="280">
        <f>+SUM(START:END!Z435)</f>
        <v>10000</v>
      </c>
      <c r="AA435" s="279"/>
      <c r="AB435" s="279">
        <f t="shared" si="66"/>
        <v>0</v>
      </c>
      <c r="AC435" s="280">
        <f>+SUM(START:END!AC435)</f>
        <v>0</v>
      </c>
      <c r="AD435" s="288"/>
      <c r="AE435" s="287"/>
      <c r="AF435" s="280">
        <f>+SUM(START:END!AF435)</f>
        <v>13596.49</v>
      </c>
      <c r="AG435" s="281"/>
      <c r="AH435" s="282">
        <f t="shared" si="64"/>
        <v>3596.49</v>
      </c>
      <c r="AI435" s="283">
        <f t="shared" si="67"/>
        <v>0.359649</v>
      </c>
      <c r="AJ435" s="288"/>
      <c r="AK435" s="279"/>
      <c r="AL435" s="280">
        <f t="shared" si="68"/>
        <v>15172.739999999998</v>
      </c>
      <c r="AM435" s="284"/>
      <c r="AN435" s="282">
        <f t="shared" si="65"/>
        <v>-1576.2499999999982</v>
      </c>
      <c r="AO435" s="289">
        <f t="shared" si="69"/>
        <v>-0.10388697097557846</v>
      </c>
      <c r="AP435" s="246"/>
      <c r="AQ435" s="246"/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49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145</v>
      </c>
      <c r="X436" s="263"/>
      <c r="Y436" s="263"/>
      <c r="Z436" s="264">
        <f>+SUM(START:END!Z436)</f>
        <v>55434</v>
      </c>
      <c r="AA436" s="263"/>
      <c r="AB436" s="263">
        <f t="shared" si="66"/>
        <v>0</v>
      </c>
      <c r="AC436" s="264">
        <f>+SUM(START:END!AC436)</f>
        <v>0</v>
      </c>
      <c r="AD436" s="292"/>
      <c r="AE436" s="291"/>
      <c r="AF436" s="264">
        <f>+SUM(START:END!AF436)</f>
        <v>51450.850000000006</v>
      </c>
      <c r="AG436" s="265"/>
      <c r="AH436" s="266">
        <f t="shared" si="64"/>
        <v>-3983.1499999999942</v>
      </c>
      <c r="AI436" s="293">
        <f t="shared" si="67"/>
        <v>-7.1853916369015294E-2</v>
      </c>
      <c r="AJ436" s="292"/>
      <c r="AK436" s="263"/>
      <c r="AL436" s="264">
        <f t="shared" si="68"/>
        <v>71416.479999999981</v>
      </c>
      <c r="AM436" s="268"/>
      <c r="AN436" s="266">
        <f t="shared" si="65"/>
        <v>-19965.629999999976</v>
      </c>
      <c r="AO436" s="269">
        <f t="shared" si="69"/>
        <v>-0.27956614495701804</v>
      </c>
      <c r="AP436" s="246"/>
      <c r="AQ436" s="246"/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49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146</v>
      </c>
      <c r="X437" s="279"/>
      <c r="Y437" s="279"/>
      <c r="Z437" s="280">
        <f>+SUM(START:END!Z437)</f>
        <v>42492</v>
      </c>
      <c r="AA437" s="279"/>
      <c r="AB437" s="279">
        <f t="shared" si="66"/>
        <v>0</v>
      </c>
      <c r="AC437" s="280">
        <f>+SUM(START:END!AC437)</f>
        <v>0</v>
      </c>
      <c r="AD437" s="288"/>
      <c r="AE437" s="287"/>
      <c r="AF437" s="280">
        <f>+SUM(START:END!AF437)</f>
        <v>42237.290000000008</v>
      </c>
      <c r="AG437" s="281"/>
      <c r="AH437" s="282">
        <f>AF437-Z437</f>
        <v>-254.70999999999185</v>
      </c>
      <c r="AI437" s="283">
        <f t="shared" si="67"/>
        <v>-5.9943048103170441E-3</v>
      </c>
      <c r="AJ437" s="288"/>
      <c r="AK437" s="279"/>
      <c r="AL437" s="280">
        <f t="shared" si="68"/>
        <v>43181.94</v>
      </c>
      <c r="AM437" s="284"/>
      <c r="AN437" s="282">
        <f t="shared" si="65"/>
        <v>-944.64999999999418</v>
      </c>
      <c r="AO437" s="289">
        <f t="shared" si="69"/>
        <v>-2.1876043549687533E-2</v>
      </c>
      <c r="AP437" s="485"/>
      <c r="AQ437" s="246"/>
      <c r="AR437" s="246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49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147</v>
      </c>
      <c r="X438" s="279"/>
      <c r="Y438" s="279"/>
      <c r="Z438" s="280">
        <f>+SUM(START:END!Z438)</f>
        <v>5500</v>
      </c>
      <c r="AA438" s="279"/>
      <c r="AB438" s="279">
        <f t="shared" si="66"/>
        <v>0</v>
      </c>
      <c r="AC438" s="280">
        <f>+SUM(START:END!AC438)</f>
        <v>0</v>
      </c>
      <c r="AD438" s="288"/>
      <c r="AE438" s="287"/>
      <c r="AF438" s="280">
        <f>+SUM(START:END!AF438)</f>
        <v>3430.0399999999995</v>
      </c>
      <c r="AG438" s="281"/>
      <c r="AH438" s="282">
        <f t="shared" si="64"/>
        <v>-2069.9600000000005</v>
      </c>
      <c r="AI438" s="283">
        <f t="shared" si="67"/>
        <v>-0.37635636363636371</v>
      </c>
      <c r="AJ438" s="288"/>
      <c r="AK438" s="279"/>
      <c r="AL438" s="280">
        <f t="shared" si="68"/>
        <v>5984.7300000000005</v>
      </c>
      <c r="AM438" s="284"/>
      <c r="AN438" s="282">
        <f t="shared" si="65"/>
        <v>-2554.690000000001</v>
      </c>
      <c r="AO438" s="289">
        <f t="shared" si="69"/>
        <v>-0.4268680458433381</v>
      </c>
      <c r="AP438" s="485"/>
      <c r="AQ438" s="246"/>
      <c r="AR438" s="485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49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148</v>
      </c>
      <c r="X439" s="279"/>
      <c r="Y439" s="279"/>
      <c r="Z439" s="280">
        <f>+SUM(START:END!Z439)</f>
        <v>35148</v>
      </c>
      <c r="AA439" s="279"/>
      <c r="AB439" s="279">
        <f t="shared" si="66"/>
        <v>0</v>
      </c>
      <c r="AC439" s="280">
        <f>+SUM(START:END!AC439)</f>
        <v>0</v>
      </c>
      <c r="AD439" s="288"/>
      <c r="AE439" s="287"/>
      <c r="AF439" s="280">
        <f>+SUM(START:END!AF439)</f>
        <v>28613.4</v>
      </c>
      <c r="AG439" s="281"/>
      <c r="AH439" s="282">
        <f t="shared" si="64"/>
        <v>-6534.5999999999985</v>
      </c>
      <c r="AI439" s="283">
        <f t="shared" si="67"/>
        <v>-0.18591669511778761</v>
      </c>
      <c r="AJ439" s="288"/>
      <c r="AK439" s="279"/>
      <c r="AL439" s="280">
        <f t="shared" si="68"/>
        <v>41581.75</v>
      </c>
      <c r="AM439" s="284"/>
      <c r="AN439" s="282">
        <f t="shared" si="65"/>
        <v>-12968.349999999999</v>
      </c>
      <c r="AO439" s="289">
        <f t="shared" si="69"/>
        <v>-0.3118760032947146</v>
      </c>
      <c r="AP439" s="246"/>
      <c r="AQ439" s="246"/>
      <c r="AR439" s="246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>+SUM(START:END!Z440)</f>
        <v>0</v>
      </c>
      <c r="AA440" s="320"/>
      <c r="AB440" s="320">
        <f t="shared" si="66"/>
        <v>0</v>
      </c>
      <c r="AC440" s="321">
        <f>+SUM(START:END!AC440)</f>
        <v>0</v>
      </c>
      <c r="AD440" s="322"/>
      <c r="AE440" s="323"/>
      <c r="AF440" s="321">
        <f>+SUM(START:END!AF440)</f>
        <v>0</v>
      </c>
      <c r="AG440" s="324"/>
      <c r="AH440" s="325">
        <f t="shared" si="64"/>
        <v>0</v>
      </c>
      <c r="AI440" s="326">
        <f t="shared" si="67"/>
        <v>0</v>
      </c>
      <c r="AJ440" s="322"/>
      <c r="AK440" s="320"/>
      <c r="AL440" s="321">
        <f t="shared" si="68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49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>+SUM(START:END!Z441)</f>
        <v>3502.5</v>
      </c>
      <c r="AA441" s="279"/>
      <c r="AB441" s="287">
        <f t="shared" si="66"/>
        <v>0</v>
      </c>
      <c r="AC441" s="280">
        <f>+SUM(START:END!AC441)</f>
        <v>0</v>
      </c>
      <c r="AD441" s="288"/>
      <c r="AE441" s="287"/>
      <c r="AF441" s="280">
        <f>+SUM(START:END!AF441)</f>
        <v>9875.89</v>
      </c>
      <c r="AG441" s="281"/>
      <c r="AH441" s="282">
        <f t="shared" si="64"/>
        <v>6373.3899999999994</v>
      </c>
      <c r="AI441" s="283">
        <f t="shared" si="67"/>
        <v>1.8196688079942895</v>
      </c>
      <c r="AJ441" s="288"/>
      <c r="AK441" s="279"/>
      <c r="AL441" s="280">
        <f t="shared" si="68"/>
        <v>7189.8300000000008</v>
      </c>
      <c r="AM441" s="284"/>
      <c r="AN441" s="282">
        <f t="shared" si="65"/>
        <v>2686.0599999999986</v>
      </c>
      <c r="AO441" s="289">
        <f t="shared" si="69"/>
        <v>0.37359158700553396</v>
      </c>
      <c r="AP441" s="246"/>
      <c r="AQ441" s="246"/>
      <c r="AR441" s="246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49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150</v>
      </c>
      <c r="X442" s="279"/>
      <c r="Y442" s="279"/>
      <c r="Z442" s="280">
        <f>+SUM(START:END!Z442)</f>
        <v>3180</v>
      </c>
      <c r="AA442" s="279"/>
      <c r="AB442" s="279">
        <f t="shared" si="66"/>
        <v>0</v>
      </c>
      <c r="AC442" s="280">
        <f>+SUM(START:END!AC442)</f>
        <v>0</v>
      </c>
      <c r="AD442" s="288"/>
      <c r="AE442" s="287"/>
      <c r="AF442" s="280">
        <f>+SUM(START:END!AF442)</f>
        <v>4456.42</v>
      </c>
      <c r="AG442" s="281"/>
      <c r="AH442" s="282">
        <f t="shared" si="64"/>
        <v>1276.42</v>
      </c>
      <c r="AI442" s="306">
        <f t="shared" si="67"/>
        <v>0.40138993710691828</v>
      </c>
      <c r="AJ442" s="288"/>
      <c r="AK442" s="279"/>
      <c r="AL442" s="280">
        <f t="shared" si="68"/>
        <v>4008.66</v>
      </c>
      <c r="AM442" s="284"/>
      <c r="AN442" s="282">
        <f t="shared" si="65"/>
        <v>447.76000000000022</v>
      </c>
      <c r="AO442" s="289">
        <f t="shared" si="69"/>
        <v>0.11169817345447113</v>
      </c>
      <c r="AP442" s="246"/>
      <c r="AQ442" s="246"/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 t="shared" si="49"/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>+SUM(START:END!Z443)</f>
        <v>4725</v>
      </c>
      <c r="AA443" s="279"/>
      <c r="AB443" s="279">
        <f t="shared" si="66"/>
        <v>0</v>
      </c>
      <c r="AC443" s="280">
        <f>+SUM(START:END!AC443)</f>
        <v>0</v>
      </c>
      <c r="AD443" s="288"/>
      <c r="AE443" s="287"/>
      <c r="AF443" s="280">
        <f>+SUM(START:END!AF443)</f>
        <v>2897.3900000000003</v>
      </c>
      <c r="AG443" s="281"/>
      <c r="AH443" s="282">
        <f t="shared" si="64"/>
        <v>-1827.6099999999997</v>
      </c>
      <c r="AI443" s="283">
        <f t="shared" si="67"/>
        <v>-0.38679576719576714</v>
      </c>
      <c r="AJ443" s="288"/>
      <c r="AK443" s="279"/>
      <c r="AL443" s="280">
        <f t="shared" si="68"/>
        <v>4622.3599999999997</v>
      </c>
      <c r="AM443" s="284"/>
      <c r="AN443" s="282">
        <f t="shared" si="65"/>
        <v>-1724.9699999999993</v>
      </c>
      <c r="AO443" s="289">
        <f t="shared" si="69"/>
        <v>-0.37317950138024719</v>
      </c>
      <c r="AP443" s="246"/>
      <c r="AQ443" s="246"/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49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152</v>
      </c>
      <c r="X444" s="279"/>
      <c r="Y444" s="279"/>
      <c r="Z444" s="280">
        <f>+SUM(START:END!Z444)</f>
        <v>1536</v>
      </c>
      <c r="AA444" s="279"/>
      <c r="AB444" s="279">
        <f t="shared" si="66"/>
        <v>0</v>
      </c>
      <c r="AC444" s="280">
        <f>+SUM(START:END!AC444)</f>
        <v>0</v>
      </c>
      <c r="AD444" s="288"/>
      <c r="AE444" s="287"/>
      <c r="AF444" s="280">
        <f>+SUM(START:END!AF444)</f>
        <v>1820.98</v>
      </c>
      <c r="AG444" s="281"/>
      <c r="AH444" s="282">
        <f t="shared" si="64"/>
        <v>284.98</v>
      </c>
      <c r="AI444" s="306">
        <f t="shared" si="67"/>
        <v>0.18553385416666668</v>
      </c>
      <c r="AJ444" s="288"/>
      <c r="AK444" s="279"/>
      <c r="AL444" s="280">
        <f t="shared" si="68"/>
        <v>1934.54</v>
      </c>
      <c r="AM444" s="284"/>
      <c r="AN444" s="282">
        <f t="shared" si="65"/>
        <v>-113.55999999999995</v>
      </c>
      <c r="AO444" s="289">
        <f t="shared" si="69"/>
        <v>-5.8701293330714249E-2</v>
      </c>
      <c r="AP444" s="246"/>
      <c r="AQ444" s="246"/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49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153</v>
      </c>
      <c r="X445" s="279"/>
      <c r="Y445" s="279"/>
      <c r="Z445" s="280">
        <f>+SUM(START:END!Z445)</f>
        <v>2850</v>
      </c>
      <c r="AA445" s="279"/>
      <c r="AB445" s="279">
        <f t="shared" si="66"/>
        <v>0</v>
      </c>
      <c r="AC445" s="280">
        <f>+SUM(START:END!AC445)</f>
        <v>0</v>
      </c>
      <c r="AD445" s="288"/>
      <c r="AE445" s="287"/>
      <c r="AF445" s="280">
        <f>+SUM(START:END!AF445)</f>
        <v>2568.1800000000003</v>
      </c>
      <c r="AG445" s="281"/>
      <c r="AH445" s="282">
        <f t="shared" si="64"/>
        <v>-281.81999999999971</v>
      </c>
      <c r="AI445" s="283">
        <f t="shared" si="67"/>
        <v>-9.8884210526315686E-2</v>
      </c>
      <c r="AJ445" s="288"/>
      <c r="AK445" s="279"/>
      <c r="AL445" s="280">
        <f t="shared" si="68"/>
        <v>3659.6000000000004</v>
      </c>
      <c r="AM445" s="284"/>
      <c r="AN445" s="282">
        <f t="shared" si="65"/>
        <v>-1091.42</v>
      </c>
      <c r="AO445" s="289">
        <f t="shared" si="69"/>
        <v>-0.29823477975735052</v>
      </c>
      <c r="AP445" s="246"/>
      <c r="AQ445" s="246"/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49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154</v>
      </c>
      <c r="X446" s="279"/>
      <c r="Y446" s="287"/>
      <c r="Z446" s="280">
        <f>+SUM(START:END!Z446)</f>
        <v>5223.0000000000009</v>
      </c>
      <c r="AA446" s="279"/>
      <c r="AB446" s="287">
        <f t="shared" si="66"/>
        <v>0</v>
      </c>
      <c r="AC446" s="280">
        <f>+SUM(START:END!AC446)</f>
        <v>0</v>
      </c>
      <c r="AD446" s="288"/>
      <c r="AE446" s="287"/>
      <c r="AF446" s="280">
        <f>+SUM(START:END!AF446)</f>
        <v>2220.5100000000002</v>
      </c>
      <c r="AG446" s="281"/>
      <c r="AH446" s="282">
        <f t="shared" si="64"/>
        <v>-3002.4900000000007</v>
      </c>
      <c r="AI446" s="306">
        <f t="shared" si="67"/>
        <v>-0.57485927627800115</v>
      </c>
      <c r="AJ446" s="288"/>
      <c r="AK446" s="279"/>
      <c r="AL446" s="280">
        <f t="shared" si="68"/>
        <v>5479.7799999999897</v>
      </c>
      <c r="AM446" s="284"/>
      <c r="AN446" s="282">
        <f t="shared" si="65"/>
        <v>-3259.2699999999895</v>
      </c>
      <c r="AO446" s="289">
        <f t="shared" si="69"/>
        <v>-0.59478117734653502</v>
      </c>
      <c r="AP446" s="246"/>
      <c r="AQ446" s="246"/>
      <c r="AR446" s="246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49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155</v>
      </c>
      <c r="X447" s="279"/>
      <c r="Y447" s="287"/>
      <c r="Z447" s="280">
        <f>+SUM(START:END!Z447)</f>
        <v>7747.0633999999991</v>
      </c>
      <c r="AA447" s="279"/>
      <c r="AB447" s="287">
        <f t="shared" si="66"/>
        <v>0</v>
      </c>
      <c r="AC447" s="280">
        <f>+SUM(START:END!AC447)</f>
        <v>0</v>
      </c>
      <c r="AD447" s="288"/>
      <c r="AE447" s="287"/>
      <c r="AF447" s="280">
        <f>+SUM(START:END!AF447)</f>
        <v>1800.2300000000005</v>
      </c>
      <c r="AG447" s="281"/>
      <c r="AH447" s="282">
        <f t="shared" si="64"/>
        <v>-5946.8333999999986</v>
      </c>
      <c r="AI447" s="283">
        <f t="shared" si="67"/>
        <v>-0.76762420712860036</v>
      </c>
      <c r="AJ447" s="288"/>
      <c r="AK447" s="279"/>
      <c r="AL447" s="280">
        <f t="shared" si="68"/>
        <v>5812.4499999999989</v>
      </c>
      <c r="AM447" s="284"/>
      <c r="AN447" s="282">
        <f t="shared" si="65"/>
        <v>-4012.2199999999984</v>
      </c>
      <c r="AO447" s="289">
        <f t="shared" si="69"/>
        <v>-0.69028034649760417</v>
      </c>
      <c r="AP447" s="246"/>
      <c r="AQ447" s="246"/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49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156</v>
      </c>
      <c r="X448" s="279"/>
      <c r="Y448" s="287"/>
      <c r="Z448" s="280">
        <f>+SUM(START:END!Z448)</f>
        <v>18045.019193602016</v>
      </c>
      <c r="AA448" s="279"/>
      <c r="AB448" s="287">
        <f t="shared" si="66"/>
        <v>0</v>
      </c>
      <c r="AC448" s="280">
        <f>+SUM(START:END!AC448)</f>
        <v>0</v>
      </c>
      <c r="AD448" s="288"/>
      <c r="AE448" s="287"/>
      <c r="AF448" s="280">
        <f>+SUM(START:END!AF448)</f>
        <v>21217.559999999998</v>
      </c>
      <c r="AG448" s="281"/>
      <c r="AH448" s="282">
        <f t="shared" si="64"/>
        <v>3172.5408063979812</v>
      </c>
      <c r="AI448" s="283">
        <f t="shared" si="67"/>
        <v>0.17581254818076486</v>
      </c>
      <c r="AJ448" s="288"/>
      <c r="AK448" s="279"/>
      <c r="AL448" s="280">
        <f>+SUM(START:END!AL448)</f>
        <v>25098.25</v>
      </c>
      <c r="AM448" s="284"/>
      <c r="AN448" s="282">
        <f>AF448-AL448</f>
        <v>-3880.6900000000023</v>
      </c>
      <c r="AO448" s="289">
        <f>IF(AL448=0,0,AN448/AL448)</f>
        <v>-0.15461994362156734</v>
      </c>
      <c r="AP448" s="246"/>
      <c r="AQ448" s="246"/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49"/>
        <v>Mitsubishi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202</v>
      </c>
      <c r="W449" s="286"/>
      <c r="X449" s="279"/>
      <c r="Y449" s="287"/>
      <c r="Z449" s="282">
        <f>+SUM(START:END!Z449)</f>
        <v>0</v>
      </c>
      <c r="AA449" s="279"/>
      <c r="AB449" s="279">
        <f t="shared" si="66"/>
        <v>0</v>
      </c>
      <c r="AC449" s="282">
        <f>+SUM(START:END!AC449)</f>
        <v>0</v>
      </c>
      <c r="AD449" s="288"/>
      <c r="AE449" s="287"/>
      <c r="AF449" s="280">
        <f>+SUM(START:END!AF449)</f>
        <v>0</v>
      </c>
      <c r="AG449" s="281"/>
      <c r="AH449" s="282">
        <f t="shared" si="64"/>
        <v>0</v>
      </c>
      <c r="AI449" s="283">
        <f t="shared" si="67"/>
        <v>0</v>
      </c>
      <c r="AJ449" s="288"/>
      <c r="AK449" s="279"/>
      <c r="AL449" s="280">
        <f t="shared" si="68"/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49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+SUM(START:END!Z450)</f>
        <v>0</v>
      </c>
      <c r="AA450" s="279"/>
      <c r="AB450" s="279">
        <f t="shared" si="66"/>
        <v>0</v>
      </c>
      <c r="AC450" s="282">
        <f>+SUM(START:END!AC450)</f>
        <v>0</v>
      </c>
      <c r="AD450" s="288"/>
      <c r="AE450" s="287"/>
      <c r="AF450" s="280">
        <f>+SUM(START:END!AF450)</f>
        <v>0</v>
      </c>
      <c r="AG450" s="281"/>
      <c r="AH450" s="282">
        <f t="shared" si="64"/>
        <v>0</v>
      </c>
      <c r="AI450" s="283">
        <f t="shared" si="67"/>
        <v>0</v>
      </c>
      <c r="AJ450" s="288"/>
      <c r="AK450" s="279"/>
      <c r="AL450" s="280"/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49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+SUM(START:END!Z451)</f>
        <v>0</v>
      </c>
      <c r="AA451" s="279"/>
      <c r="AB451" s="279">
        <f t="shared" si="66"/>
        <v>0</v>
      </c>
      <c r="AC451" s="282">
        <f>+SUM(START:END!AC451)</f>
        <v>0</v>
      </c>
      <c r="AD451" s="288"/>
      <c r="AE451" s="287"/>
      <c r="AF451" s="280">
        <f>+SUM(START:END!AF451)</f>
        <v>0</v>
      </c>
      <c r="AG451" s="281"/>
      <c r="AH451" s="282">
        <f t="shared" si="64"/>
        <v>0</v>
      </c>
      <c r="AI451" s="283">
        <f t="shared" si="67"/>
        <v>0</v>
      </c>
      <c r="AJ451" s="288"/>
      <c r="AK451" s="279"/>
      <c r="AL451" s="280"/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49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0.19847864005728269</v>
      </c>
      <c r="Y452" s="297"/>
      <c r="Z452" s="299">
        <f>+SUM(Z434:Z451)</f>
        <v>226187.33444679319</v>
      </c>
      <c r="AA452" s="298" t="e">
        <f>AC452/+AC407</f>
        <v>#DIV/0!</v>
      </c>
      <c r="AB452" s="297"/>
      <c r="AC452" s="299">
        <f>+SUM(START:END!AC451)</f>
        <v>0</v>
      </c>
      <c r="AD452" s="300">
        <f>AF452/AF407</f>
        <v>0.21619532617575149</v>
      </c>
      <c r="AE452" s="297"/>
      <c r="AF452" s="299">
        <f>+SUM(AF434:AF451)</f>
        <v>232261.35000000006</v>
      </c>
      <c r="AG452" s="308"/>
      <c r="AH452" s="302">
        <f>+SUM(AH434:AH451)</f>
        <v>6074.0155532068029</v>
      </c>
      <c r="AI452" s="298">
        <f>AH452/Z452</f>
        <v>2.6853915441651815E-2</v>
      </c>
      <c r="AJ452" s="300">
        <f>IF($AL$407=0,0,AL452/$AL$407)</f>
        <v>0.20445810697381475</v>
      </c>
      <c r="AK452" s="298"/>
      <c r="AL452" s="299">
        <f>+SUM(AL434:AL451)</f>
        <v>273375.76</v>
      </c>
      <c r="AM452" s="309"/>
      <c r="AN452" s="302">
        <f>+SUM(AN434:AN451)</f>
        <v>-41114.40999999996</v>
      </c>
      <c r="AO452" s="331">
        <f>IF(AL452=0,0,AN452/AL452)</f>
        <v>-0.15039522889666573</v>
      </c>
      <c r="AP452" s="246"/>
      <c r="AQ452" s="246"/>
      <c r="AR452" s="246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49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f>+SUM(START:END!Z453)</f>
        <v>150000</v>
      </c>
      <c r="AA453" s="279"/>
      <c r="AB453" s="287">
        <f t="shared" ref="AB453:AB462" si="70">IF(AC453=0,0,AC453/(G$13+G$97))</f>
        <v>0</v>
      </c>
      <c r="AC453" s="280">
        <f>+SUM(START:END!AC453)</f>
        <v>0</v>
      </c>
      <c r="AD453" s="288"/>
      <c r="AE453" s="287"/>
      <c r="AF453" s="280">
        <f>+SUM(START:END!AF453)</f>
        <v>140000</v>
      </c>
      <c r="AG453" s="281"/>
      <c r="AH453" s="282">
        <f t="shared" ref="AH453:AH461" si="71">AF453-Z453</f>
        <v>-10000</v>
      </c>
      <c r="AI453" s="283">
        <f t="shared" ref="AI453:AI461" si="72">IF(Z453=0,0,AH453/Z453)</f>
        <v>-6.6666666666666666E-2</v>
      </c>
      <c r="AJ453" s="288"/>
      <c r="AK453" s="279"/>
      <c r="AL453" s="280">
        <f>+SUM(START:END!AL453)</f>
        <v>150000</v>
      </c>
      <c r="AM453" s="284"/>
      <c r="AN453" s="282">
        <f>AF453-AL453</f>
        <v>-10000</v>
      </c>
      <c r="AO453" s="289">
        <f t="shared" ref="AO453:AO461" si="73">IF(AL453=0,0,AN453/AL453)</f>
        <v>-6.6666666666666666E-2</v>
      </c>
      <c r="AP453" s="246"/>
      <c r="AQ453" s="486"/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49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f>+SUM(START:END!Z454)</f>
        <v>17799.21</v>
      </c>
      <c r="AA454" s="279"/>
      <c r="AB454" s="287">
        <f t="shared" si="70"/>
        <v>0</v>
      </c>
      <c r="AC454" s="280">
        <f>+SUM(START:END!AC454)</f>
        <v>0</v>
      </c>
      <c r="AD454" s="288"/>
      <c r="AE454" s="287"/>
      <c r="AF454" s="280">
        <f>+SUM(START:END!AF454)</f>
        <v>12332.050000000001</v>
      </c>
      <c r="AG454" s="281"/>
      <c r="AH454" s="282">
        <f t="shared" si="71"/>
        <v>-5467.159999999998</v>
      </c>
      <c r="AI454" s="283">
        <f t="shared" si="72"/>
        <v>-0.30715745249367798</v>
      </c>
      <c r="AJ454" s="288"/>
      <c r="AK454" s="279"/>
      <c r="AL454" s="280">
        <f>+SUM(START:END!AL454)</f>
        <v>16606.529999999992</v>
      </c>
      <c r="AM454" s="284"/>
      <c r="AN454" s="282">
        <f t="shared" ref="AN454:AN461" si="74">AF454-AL454</f>
        <v>-4274.4799999999905</v>
      </c>
      <c r="AO454" s="289">
        <f t="shared" si="73"/>
        <v>-0.25739754181035968</v>
      </c>
      <c r="AP454" s="246"/>
      <c r="AQ454" s="486"/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49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f>+SUM(START:END!Z455)</f>
        <v>7628.25</v>
      </c>
      <c r="AA455" s="263"/>
      <c r="AB455" s="291">
        <f t="shared" si="70"/>
        <v>0</v>
      </c>
      <c r="AC455" s="264">
        <f>+SUM(START:END!AC455)</f>
        <v>0</v>
      </c>
      <c r="AD455" s="292"/>
      <c r="AE455" s="291"/>
      <c r="AF455" s="264">
        <f>+SUM(START:END!AF455)</f>
        <v>5435.16</v>
      </c>
      <c r="AG455" s="265"/>
      <c r="AH455" s="266">
        <f t="shared" si="71"/>
        <v>-2193.09</v>
      </c>
      <c r="AI455" s="293">
        <f t="shared" si="72"/>
        <v>-0.28749582145315111</v>
      </c>
      <c r="AJ455" s="292"/>
      <c r="AK455" s="263"/>
      <c r="AL455" s="264">
        <f>+SUM(START:END!AL455)</f>
        <v>7117.0699999999906</v>
      </c>
      <c r="AM455" s="268"/>
      <c r="AN455" s="266">
        <f t="shared" si="74"/>
        <v>-1681.9099999999908</v>
      </c>
      <c r="AO455" s="269">
        <f t="shared" si="73"/>
        <v>-0.23632056450196401</v>
      </c>
      <c r="AP455" s="246"/>
      <c r="AQ455" s="486"/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>
      <c r="A456" t="str">
        <f t="shared" si="49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f>+SUM(START:END!Z456)</f>
        <v>0</v>
      </c>
      <c r="AA456" s="279"/>
      <c r="AB456" s="287">
        <f t="shared" si="70"/>
        <v>0</v>
      </c>
      <c r="AC456" s="280">
        <f>+SUM(START:END!AC456)</f>
        <v>0</v>
      </c>
      <c r="AD456" s="288"/>
      <c r="AE456" s="287"/>
      <c r="AF456" s="280">
        <f>+SUM(START:END!AF456)</f>
        <v>0</v>
      </c>
      <c r="AG456" s="281"/>
      <c r="AH456" s="282">
        <f t="shared" si="71"/>
        <v>0</v>
      </c>
      <c r="AI456" s="283">
        <f t="shared" si="72"/>
        <v>0</v>
      </c>
      <c r="AJ456" s="288"/>
      <c r="AK456" s="279"/>
      <c r="AL456" s="280">
        <f>+SUM(START:END!AL456)</f>
        <v>0</v>
      </c>
      <c r="AM456" s="284"/>
      <c r="AN456" s="282">
        <f t="shared" si="74"/>
        <v>0</v>
      </c>
      <c r="AO456" s="289">
        <f t="shared" si="7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49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f>+SUM(START:END!Z457)</f>
        <v>14562</v>
      </c>
      <c r="AA457" s="263"/>
      <c r="AB457" s="291">
        <f t="shared" si="70"/>
        <v>0</v>
      </c>
      <c r="AC457" s="264">
        <f>+SUM(START:END!AC457)</f>
        <v>0</v>
      </c>
      <c r="AD457" s="292"/>
      <c r="AE457" s="291"/>
      <c r="AF457" s="264">
        <f>+SUM(START:END!AF457)</f>
        <v>13278.83</v>
      </c>
      <c r="AG457" s="265"/>
      <c r="AH457" s="266">
        <f t="shared" si="71"/>
        <v>-1283.17</v>
      </c>
      <c r="AI457" s="293">
        <f t="shared" si="72"/>
        <v>-8.8117703612141191E-2</v>
      </c>
      <c r="AJ457" s="292"/>
      <c r="AK457" s="263"/>
      <c r="AL457" s="264">
        <f>+SUM(START:END!AL457)</f>
        <v>13049.25</v>
      </c>
      <c r="AM457" s="268"/>
      <c r="AN457" s="266">
        <f t="shared" si="74"/>
        <v>229.57999999999993</v>
      </c>
      <c r="AO457" s="269">
        <f t="shared" si="73"/>
        <v>1.7593348276720877E-2</v>
      </c>
      <c r="AP457" s="246"/>
      <c r="AQ457" s="486"/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49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f>+SUM(START:END!Z458)</f>
        <v>15000</v>
      </c>
      <c r="AA458" s="332"/>
      <c r="AB458" s="333">
        <f t="shared" si="70"/>
        <v>0</v>
      </c>
      <c r="AC458" s="280">
        <f>+SUM(START:END!AC458)</f>
        <v>0</v>
      </c>
      <c r="AD458" s="288"/>
      <c r="AE458" s="287"/>
      <c r="AF458" s="280">
        <f>+SUM(START:END!AF458)</f>
        <v>22486.22</v>
      </c>
      <c r="AG458" s="281"/>
      <c r="AH458" s="282">
        <f t="shared" si="71"/>
        <v>7486.2200000000012</v>
      </c>
      <c r="AI458" s="283">
        <f t="shared" si="72"/>
        <v>0.49908133333333343</v>
      </c>
      <c r="AJ458" s="288"/>
      <c r="AK458" s="279"/>
      <c r="AL458" s="280">
        <f>+SUM(START:END!AL458)</f>
        <v>13343.53999999999</v>
      </c>
      <c r="AM458" s="284"/>
      <c r="AN458" s="282">
        <f t="shared" si="74"/>
        <v>9142.6800000000112</v>
      </c>
      <c r="AO458" s="289">
        <f t="shared" si="73"/>
        <v>0.68517649739124831</v>
      </c>
      <c r="AP458" s="246"/>
      <c r="AQ458" s="246"/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49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169</v>
      </c>
      <c r="X459" s="279"/>
      <c r="Y459" s="287"/>
      <c r="Z459" s="280">
        <f>+SUM(START:END!Z459)</f>
        <v>19624</v>
      </c>
      <c r="AA459" s="279"/>
      <c r="AB459" s="287">
        <f t="shared" si="70"/>
        <v>0</v>
      </c>
      <c r="AC459" s="280">
        <f>+SUM(START:END!AC459)</f>
        <v>0</v>
      </c>
      <c r="AD459" s="288"/>
      <c r="AE459" s="287"/>
      <c r="AF459" s="280">
        <f>+SUM(START:END!AF459)</f>
        <v>12614.66</v>
      </c>
      <c r="AG459" s="281"/>
      <c r="AH459" s="282">
        <f t="shared" si="71"/>
        <v>-7009.34</v>
      </c>
      <c r="AI459" s="283">
        <f t="shared" si="72"/>
        <v>-0.35718202201386057</v>
      </c>
      <c r="AJ459" s="288"/>
      <c r="AK459" s="279"/>
      <c r="AL459" s="280">
        <f>+SUM(START:END!AL459)</f>
        <v>18921.989999999998</v>
      </c>
      <c r="AM459" s="284"/>
      <c r="AN459" s="282">
        <f t="shared" si="74"/>
        <v>-6307.3299999999981</v>
      </c>
      <c r="AO459" s="289">
        <f t="shared" si="73"/>
        <v>-0.33333333333333326</v>
      </c>
      <c r="AP459" s="246"/>
      <c r="AQ459" s="486"/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49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171</v>
      </c>
      <c r="X460" s="263"/>
      <c r="Y460" s="291"/>
      <c r="Z460" s="264">
        <f>+SUM(START:END!Z460)</f>
        <v>1300</v>
      </c>
      <c r="AA460" s="263"/>
      <c r="AB460" s="291">
        <f t="shared" si="70"/>
        <v>0</v>
      </c>
      <c r="AC460" s="264">
        <f>+SUM(START:END!AC460)</f>
        <v>0</v>
      </c>
      <c r="AD460" s="292"/>
      <c r="AE460" s="291"/>
      <c r="AF460" s="264">
        <f>+SUM(START:END!AF460)</f>
        <v>-1229</v>
      </c>
      <c r="AG460" s="265"/>
      <c r="AH460" s="266">
        <f t="shared" si="71"/>
        <v>-2529</v>
      </c>
      <c r="AI460" s="293">
        <f t="shared" si="72"/>
        <v>-1.9453846153846155</v>
      </c>
      <c r="AJ460" s="292"/>
      <c r="AK460" s="263"/>
      <c r="AL460" s="264">
        <f>+SUM(START:END!AL460)</f>
        <v>493.57</v>
      </c>
      <c r="AM460" s="268"/>
      <c r="AN460" s="266">
        <f t="shared" si="74"/>
        <v>-1722.57</v>
      </c>
      <c r="AO460" s="269">
        <f t="shared" si="73"/>
        <v>-3.4900216787892293</v>
      </c>
      <c r="AP460" s="246"/>
      <c r="AQ460" s="246"/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49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f>+SUM(START:END!Z461)</f>
        <v>636.00000000000011</v>
      </c>
      <c r="AA461" s="279"/>
      <c r="AB461" s="287">
        <f t="shared" si="70"/>
        <v>0</v>
      </c>
      <c r="AC461" s="280">
        <f>+SUM(START:END!AC461)</f>
        <v>0</v>
      </c>
      <c r="AD461" s="288"/>
      <c r="AE461" s="287"/>
      <c r="AF461" s="280">
        <f>+SUM(START:END!AF461)</f>
        <v>1373.02</v>
      </c>
      <c r="AG461" s="281"/>
      <c r="AH461" s="282">
        <f t="shared" si="71"/>
        <v>737.01999999999987</v>
      </c>
      <c r="AI461" s="335">
        <f t="shared" si="72"/>
        <v>1.158836477987421</v>
      </c>
      <c r="AJ461" s="279"/>
      <c r="AK461" s="279"/>
      <c r="AL461" s="280">
        <f>+SUM(START:END!AL461)</f>
        <v>1322.139999999999</v>
      </c>
      <c r="AM461" s="284"/>
      <c r="AN461" s="282">
        <f t="shared" si="74"/>
        <v>50.880000000001019</v>
      </c>
      <c r="AO461" s="289">
        <f t="shared" si="73"/>
        <v>3.8483065333475321E-2</v>
      </c>
      <c r="AP461" s="246"/>
      <c r="AQ461" s="246"/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>
      <c r="A462" t="str">
        <f t="shared" si="49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f>+SUM(START:END!Z462)</f>
        <v>0</v>
      </c>
      <c r="AA462" s="279"/>
      <c r="AB462" s="287">
        <f t="shared" si="70"/>
        <v>0</v>
      </c>
      <c r="AC462" s="280">
        <f>+SUM(START:END!AC462)</f>
        <v>0</v>
      </c>
      <c r="AD462" s="288"/>
      <c r="AE462" s="287"/>
      <c r="AF462" s="280">
        <f>+SUM(START:END!AF462)</f>
        <v>0</v>
      </c>
      <c r="AG462" s="281"/>
      <c r="AH462" s="282">
        <v>0</v>
      </c>
      <c r="AI462" s="306">
        <v>0</v>
      </c>
      <c r="AJ462" s="279"/>
      <c r="AK462" s="279"/>
      <c r="AL462" s="280">
        <f>+SUM(START:END!AL462)</f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49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+SUM(START:END!Z462)</f>
        <v>0</v>
      </c>
      <c r="AA463" s="279"/>
      <c r="AB463" s="279"/>
      <c r="AC463" s="282">
        <f>+SUM(START:END!AC462)</f>
        <v>0</v>
      </c>
      <c r="AD463" s="288"/>
      <c r="AE463" s="287"/>
      <c r="AF463" s="280">
        <f>+SUM(START:END!AF462)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+SUM(START:END!AL463)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49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+SUM(START:END!Z463)</f>
        <v>0</v>
      </c>
      <c r="AA464" s="279"/>
      <c r="AB464" s="279"/>
      <c r="AC464" s="282">
        <f>+SUM(START:END!AC463)</f>
        <v>0</v>
      </c>
      <c r="AD464" s="288"/>
      <c r="AE464" s="287"/>
      <c r="AF464" s="280">
        <f>+SUM(START:END!AF463)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+SUM(START:END!AL464)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49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+SUM(START:END!Z464)</f>
        <v>0</v>
      </c>
      <c r="AA465" s="279"/>
      <c r="AB465" s="279"/>
      <c r="AC465" s="282">
        <f>+SUM(START:END!AC464)</f>
        <v>0</v>
      </c>
      <c r="AD465" s="288"/>
      <c r="AE465" s="287"/>
      <c r="AF465" s="280">
        <f>+SUM(START:END!AF464)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+SUM(START:END!AL465)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49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0.19879640403600529</v>
      </c>
      <c r="Y466" s="297"/>
      <c r="Z466" s="299">
        <f>SUM(Z453:Z465)</f>
        <v>226549.46</v>
      </c>
      <c r="AA466" s="298" t="e">
        <f>AC466/+AC407</f>
        <v>#DIV/0!</v>
      </c>
      <c r="AB466" s="297"/>
      <c r="AC466" s="299">
        <f>SUM(AC453:AC465)</f>
        <v>0</v>
      </c>
      <c r="AD466" s="300">
        <f>AF466/AF407</f>
        <v>0.1920213460414415</v>
      </c>
      <c r="AE466" s="297"/>
      <c r="AF466" s="299">
        <f>SUM(AF453:AF465)</f>
        <v>206290.93999999997</v>
      </c>
      <c r="AG466" s="308"/>
      <c r="AH466" s="302">
        <f>SUM(AH453:AH465)</f>
        <v>-20258.519999999997</v>
      </c>
      <c r="AI466" s="298">
        <f>IF(Z466=0,0,AH466/Z466)</f>
        <v>-8.9422062625971382E-2</v>
      </c>
      <c r="AJ466" s="300">
        <f>IF($AL$407=0,0,AL466/$AL$407)</f>
        <v>0.16517707772929283</v>
      </c>
      <c r="AK466" s="298"/>
      <c r="AL466" s="299">
        <f>SUM(AL453:AL465)</f>
        <v>220854.08999999994</v>
      </c>
      <c r="AM466" s="309"/>
      <c r="AN466" s="302">
        <f>SUM(AN453:AN465)</f>
        <v>-14563.149999999967</v>
      </c>
      <c r="AO466" s="331">
        <f t="shared" ref="AO466:AO483" si="75">IF(AL466=0,0,AN466/AL466)</f>
        <v>-6.5940141746978612E-2</v>
      </c>
      <c r="AP466" s="246"/>
      <c r="AQ466" s="246"/>
      <c r="AR466" s="246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49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76">AF467-Z467</f>
        <v>0</v>
      </c>
      <c r="AI467" s="283"/>
      <c r="AJ467" s="288"/>
      <c r="AK467" s="279"/>
      <c r="AL467" s="336"/>
      <c r="AM467" s="337"/>
      <c r="AN467" s="282">
        <f t="shared" ref="AN467:AN483" si="77">AF467-AL467</f>
        <v>0</v>
      </c>
      <c r="AO467" s="338">
        <f t="shared" si="7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49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1.1367599112380145</v>
      </c>
      <c r="Y468" s="297"/>
      <c r="Z468" s="299">
        <f>Z419+Z433+Z452+Z466</f>
        <v>1295457.7588535091</v>
      </c>
      <c r="AA468" s="298" t="e">
        <f>AC468/+AC407</f>
        <v>#DIV/0!</v>
      </c>
      <c r="AB468" s="297"/>
      <c r="AC468" s="299">
        <f>AC419+AC433+AC452+AC466</f>
        <v>0</v>
      </c>
      <c r="AD468" s="300">
        <f>AF468/AF407</f>
        <v>1.1278667751565106</v>
      </c>
      <c r="AE468" s="297"/>
      <c r="AF468" s="299">
        <f>AF419+AF433+AF452+AF466</f>
        <v>1211681.42</v>
      </c>
      <c r="AG468" s="308"/>
      <c r="AH468" s="302">
        <f t="shared" si="76"/>
        <v>-83776.338853509165</v>
      </c>
      <c r="AI468" s="298">
        <f>AH468/Z468</f>
        <v>-6.4669294140205641E-2</v>
      </c>
      <c r="AJ468" s="300">
        <f>IF($AL$407=0,0,AL468/$AL$407)</f>
        <v>1.069440959951161</v>
      </c>
      <c r="AK468" s="298"/>
      <c r="AL468" s="299">
        <f>AL419+AL433+AL452+AL466</f>
        <v>1429922.44</v>
      </c>
      <c r="AM468" s="309"/>
      <c r="AN468" s="302">
        <f t="shared" si="77"/>
        <v>-218241.02000000002</v>
      </c>
      <c r="AO468" s="277">
        <f t="shared" si="75"/>
        <v>-0.15262437590671005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49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f>+SUM(START:END!Z469)</f>
        <v>0</v>
      </c>
      <c r="AA469" s="339"/>
      <c r="AB469" s="340">
        <f t="shared" ref="AB469:AB477" si="78">IF(AC469=0,0,AC469/(G$13+G$97))</f>
        <v>0</v>
      </c>
      <c r="AC469" s="313">
        <f>+SUM(START:END!AC469)</f>
        <v>0</v>
      </c>
      <c r="AD469" s="341"/>
      <c r="AE469" s="340"/>
      <c r="AF469" s="280">
        <f>+SUM(START:END!AF469)</f>
        <v>1086.3300000000002</v>
      </c>
      <c r="AG469" s="342"/>
      <c r="AH469" s="282">
        <f t="shared" si="76"/>
        <v>1086.3300000000002</v>
      </c>
      <c r="AI469" s="335" t="e">
        <f>IF(AH469=0,0,AH469/Z469)</f>
        <v>#DIV/0!</v>
      </c>
      <c r="AJ469" s="341"/>
      <c r="AK469" s="339"/>
      <c r="AL469" s="343">
        <f>+SUM(START:END!AL469)</f>
        <v>3623.05</v>
      </c>
      <c r="AM469" s="344"/>
      <c r="AN469" s="282">
        <f t="shared" si="77"/>
        <v>-2536.7200000000003</v>
      </c>
      <c r="AO469" s="289">
        <f t="shared" si="75"/>
        <v>-0.70016146616800767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49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+SUM(START:END!Z470)</f>
        <v>109523.41876363636</v>
      </c>
      <c r="AA470" s="332"/>
      <c r="AB470" s="333">
        <f t="shared" si="78"/>
        <v>0</v>
      </c>
      <c r="AC470" s="280">
        <f>+SUM(START:END!AC470)</f>
        <v>0</v>
      </c>
      <c r="AD470" s="345"/>
      <c r="AE470" s="333"/>
      <c r="AF470" s="280">
        <f>+SUM(START:END!AF470)</f>
        <v>123864.8</v>
      </c>
      <c r="AG470" s="346"/>
      <c r="AH470" s="282">
        <f t="shared" si="76"/>
        <v>14341.381236363639</v>
      </c>
      <c r="AI470" s="306">
        <f>IF(Z470=0,0,AH470/Z470)</f>
        <v>0.13094351325275852</v>
      </c>
      <c r="AJ470" s="345"/>
      <c r="AK470" s="332"/>
      <c r="AL470" s="347">
        <f>+SUM(START:END!AL470)</f>
        <v>156388.6</v>
      </c>
      <c r="AM470" s="348"/>
      <c r="AN470" s="282">
        <f t="shared" si="77"/>
        <v>-32523.800000000003</v>
      </c>
      <c r="AO470" s="289">
        <f t="shared" si="75"/>
        <v>-0.20796784420347775</v>
      </c>
      <c r="AP470" s="246"/>
      <c r="AQ470" s="246"/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49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f>+SUM(START:END!Z471)</f>
        <v>101309.16235636364</v>
      </c>
      <c r="AA471" s="332"/>
      <c r="AB471" s="333">
        <f t="shared" si="78"/>
        <v>0</v>
      </c>
      <c r="AC471" s="280">
        <f>+SUM(START:END!AC471)</f>
        <v>0</v>
      </c>
      <c r="AD471" s="345"/>
      <c r="AE471" s="333"/>
      <c r="AF471" s="280">
        <f>+SUM(START:END!AF471)</f>
        <v>60711.18</v>
      </c>
      <c r="AG471" s="346"/>
      <c r="AH471" s="282">
        <f t="shared" si="76"/>
        <v>-40597.982356363638</v>
      </c>
      <c r="AI471" s="306">
        <f t="shared" ref="AI471:AI480" si="79">IF(AH471=0,0,AH471/Z471)</f>
        <v>-0.40073357050921776</v>
      </c>
      <c r="AJ471" s="345"/>
      <c r="AK471" s="332"/>
      <c r="AL471" s="347">
        <f>+SUM(START:END!AL471)</f>
        <v>131386.59</v>
      </c>
      <c r="AM471" s="348"/>
      <c r="AN471" s="282">
        <f t="shared" si="77"/>
        <v>-70675.41</v>
      </c>
      <c r="AO471" s="289">
        <f t="shared" si="75"/>
        <v>-0.53791950913711972</v>
      </c>
      <c r="AP471" s="246"/>
      <c r="AQ471" s="246"/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49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+SUM(START:END!Z472)</f>
        <v>0</v>
      </c>
      <c r="AA472" s="332"/>
      <c r="AB472" s="333">
        <f t="shared" si="78"/>
        <v>0</v>
      </c>
      <c r="AC472" s="280">
        <f>+SUM(START:END!AC472)</f>
        <v>0</v>
      </c>
      <c r="AD472" s="345"/>
      <c r="AE472" s="333"/>
      <c r="AF472" s="280">
        <f>+SUM(START:END!AF472)</f>
        <v>0</v>
      </c>
      <c r="AG472" s="346"/>
      <c r="AH472" s="282">
        <f t="shared" si="76"/>
        <v>0</v>
      </c>
      <c r="AI472" s="306">
        <f t="shared" si="79"/>
        <v>0</v>
      </c>
      <c r="AJ472" s="345"/>
      <c r="AK472" s="332"/>
      <c r="AL472" s="347">
        <f>+SUM(START:END!AL472)</f>
        <v>0</v>
      </c>
      <c r="AM472" s="348"/>
      <c r="AN472" s="282">
        <f t="shared" si="77"/>
        <v>0</v>
      </c>
      <c r="AO472" s="289">
        <f t="shared" si="7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49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+SUM(START:END!Z473)</f>
        <v>0</v>
      </c>
      <c r="AA473" s="332"/>
      <c r="AB473" s="333">
        <f t="shared" si="78"/>
        <v>0</v>
      </c>
      <c r="AC473" s="280">
        <f>+SUM(START:END!AC473)</f>
        <v>0</v>
      </c>
      <c r="AD473" s="345"/>
      <c r="AE473" s="333"/>
      <c r="AF473" s="280">
        <f>+SUM(START:END!AF473)</f>
        <v>0</v>
      </c>
      <c r="AG473" s="346"/>
      <c r="AH473" s="282">
        <f t="shared" si="76"/>
        <v>0</v>
      </c>
      <c r="AI473" s="306">
        <f t="shared" si="79"/>
        <v>0</v>
      </c>
      <c r="AJ473" s="345"/>
      <c r="AK473" s="332"/>
      <c r="AL473" s="347">
        <f>+SUM(START:END!AL473)</f>
        <v>0</v>
      </c>
      <c r="AM473" s="348"/>
      <c r="AN473" s="282">
        <f t="shared" si="77"/>
        <v>0</v>
      </c>
      <c r="AO473" s="289">
        <f t="shared" si="7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49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f>+SUM(START:END!Z474)</f>
        <v>6000</v>
      </c>
      <c r="AA474" s="332"/>
      <c r="AB474" s="333">
        <f t="shared" si="78"/>
        <v>0</v>
      </c>
      <c r="AC474" s="280">
        <f>+SUM(START:END!AC474)</f>
        <v>0</v>
      </c>
      <c r="AD474" s="345"/>
      <c r="AE474" s="333"/>
      <c r="AF474" s="280">
        <f>+SUM(START:END!AF474)</f>
        <v>2250</v>
      </c>
      <c r="AG474" s="346"/>
      <c r="AH474" s="282">
        <f t="shared" si="76"/>
        <v>-3750</v>
      </c>
      <c r="AI474" s="306">
        <f t="shared" si="79"/>
        <v>-0.625</v>
      </c>
      <c r="AJ474" s="345"/>
      <c r="AK474" s="332"/>
      <c r="AL474" s="347">
        <f>+SUM(START:END!AL474)</f>
        <v>3000</v>
      </c>
      <c r="AM474" s="348"/>
      <c r="AN474" s="282">
        <f t="shared" si="77"/>
        <v>-750</v>
      </c>
      <c r="AO474" s="289">
        <f t="shared" si="75"/>
        <v>-0.25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49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+SUM(START:END!Z475)</f>
        <v>2144</v>
      </c>
      <c r="AA475" s="332"/>
      <c r="AB475" s="333">
        <f t="shared" si="78"/>
        <v>0</v>
      </c>
      <c r="AC475" s="280">
        <f>+SUM(START:END!AC475)</f>
        <v>0</v>
      </c>
      <c r="AD475" s="345"/>
      <c r="AE475" s="333"/>
      <c r="AF475" s="280">
        <f>+SUM(START:END!AF475)</f>
        <v>0</v>
      </c>
      <c r="AG475" s="346"/>
      <c r="AH475" s="282">
        <f t="shared" si="76"/>
        <v>-2144</v>
      </c>
      <c r="AI475" s="306">
        <f t="shared" si="79"/>
        <v>-1</v>
      </c>
      <c r="AJ475" s="345"/>
      <c r="AK475" s="332"/>
      <c r="AL475" s="347">
        <f>+SUM(START:END!AL475)</f>
        <v>-1450</v>
      </c>
      <c r="AM475" s="348"/>
      <c r="AN475" s="282">
        <f t="shared" si="77"/>
        <v>1450</v>
      </c>
      <c r="AO475" s="289">
        <f t="shared" si="75"/>
        <v>-1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49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+SUM(START:END!Z476)</f>
        <v>0</v>
      </c>
      <c r="AA476" s="332"/>
      <c r="AB476" s="333">
        <f t="shared" si="78"/>
        <v>0</v>
      </c>
      <c r="AC476" s="280">
        <f>+SUM(START:END!AC476)</f>
        <v>0</v>
      </c>
      <c r="AD476" s="345"/>
      <c r="AE476" s="333"/>
      <c r="AF476" s="280">
        <f>+SUM(START:END!AF476)</f>
        <v>0</v>
      </c>
      <c r="AG476" s="346"/>
      <c r="AH476" s="282">
        <f t="shared" si="76"/>
        <v>0</v>
      </c>
      <c r="AI476" s="306">
        <f t="shared" si="79"/>
        <v>0</v>
      </c>
      <c r="AJ476" s="345"/>
      <c r="AK476" s="332"/>
      <c r="AL476" s="347">
        <f>+SUM(START:END!AL476)</f>
        <v>0</v>
      </c>
      <c r="AM476" s="348"/>
      <c r="AN476" s="282">
        <f t="shared" si="77"/>
        <v>0</v>
      </c>
      <c r="AO476" s="289">
        <f t="shared" si="7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49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f>+SUM(START:END!Z477)</f>
        <v>57499.7948509091</v>
      </c>
      <c r="AA477" s="332"/>
      <c r="AB477" s="333">
        <f t="shared" si="78"/>
        <v>0</v>
      </c>
      <c r="AC477" s="280">
        <f>+SUM(START:END!AC477)</f>
        <v>0</v>
      </c>
      <c r="AD477" s="345"/>
      <c r="AE477" s="333"/>
      <c r="AF477" s="280">
        <f>+SUM(START:END!AF477)</f>
        <v>45464.649999999994</v>
      </c>
      <c r="AG477" s="346"/>
      <c r="AH477" s="282">
        <f t="shared" si="76"/>
        <v>-12035.144850909106</v>
      </c>
      <c r="AI477" s="306">
        <f t="shared" si="79"/>
        <v>-0.20930761374218754</v>
      </c>
      <c r="AJ477" s="345"/>
      <c r="AK477" s="332"/>
      <c r="AL477" s="347">
        <f>+SUM(START:END!AL477)</f>
        <v>68020.47</v>
      </c>
      <c r="AM477" s="348"/>
      <c r="AN477" s="282">
        <f t="shared" si="77"/>
        <v>-22555.820000000007</v>
      </c>
      <c r="AO477" s="289">
        <f t="shared" si="75"/>
        <v>-0.33160341291378914</v>
      </c>
      <c r="AP477" s="246"/>
      <c r="AQ477" s="246"/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49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+SUM(START:END!Z478)</f>
        <v>0</v>
      </c>
      <c r="AA478" s="279"/>
      <c r="AB478" s="279">
        <f>IF(AC478=0,0,AC478/(G$13+G$97))</f>
        <v>0</v>
      </c>
      <c r="AC478" s="282">
        <f>+SUM(START:END!AC478)</f>
        <v>0</v>
      </c>
      <c r="AD478" s="288"/>
      <c r="AE478" s="287"/>
      <c r="AF478" s="280">
        <f>+SUM(START:END!AF478)</f>
        <v>0</v>
      </c>
      <c r="AG478" s="281"/>
      <c r="AH478" s="282">
        <f t="shared" si="76"/>
        <v>0</v>
      </c>
      <c r="AI478" s="283">
        <f t="shared" si="79"/>
        <v>0</v>
      </c>
      <c r="AJ478" s="288"/>
      <c r="AK478" s="279"/>
      <c r="AL478" s="280">
        <f>+SUM(START:END!AL478)</f>
        <v>0</v>
      </c>
      <c r="AM478" s="348"/>
      <c r="AN478" s="282">
        <f t="shared" si="77"/>
        <v>0</v>
      </c>
      <c r="AO478" s="289">
        <f t="shared" si="7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49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+SUM(START:END!Z479)</f>
        <v>0</v>
      </c>
      <c r="AA479" s="279"/>
      <c r="AB479" s="279">
        <f>IF(AC479=0,0,AC479/(G$13+G$97))</f>
        <v>0</v>
      </c>
      <c r="AC479" s="282">
        <f>+SUM(START:END!AC479)</f>
        <v>0</v>
      </c>
      <c r="AD479" s="288"/>
      <c r="AE479" s="287"/>
      <c r="AF479" s="280">
        <f>+SUM(START:END!AF479)</f>
        <v>0</v>
      </c>
      <c r="AG479" s="281"/>
      <c r="AH479" s="282">
        <f t="shared" si="76"/>
        <v>0</v>
      </c>
      <c r="AI479" s="283">
        <f t="shared" si="79"/>
        <v>0</v>
      </c>
      <c r="AJ479" s="288"/>
      <c r="AK479" s="279"/>
      <c r="AL479" s="280">
        <f>+SUM(START:END!AL479)</f>
        <v>0</v>
      </c>
      <c r="AM479" s="348"/>
      <c r="AN479" s="282">
        <f t="shared" si="77"/>
        <v>0</v>
      </c>
      <c r="AO479" s="289">
        <f t="shared" si="7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49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+SUM(START:END!Z480)</f>
        <v>61213.600000000006</v>
      </c>
      <c r="AA480" s="332"/>
      <c r="AB480" s="333">
        <f>IF(AC480=0,0,AC480/(G$13+G$97))</f>
        <v>0</v>
      </c>
      <c r="AC480" s="280">
        <f>+SUM(START:END!AC480)</f>
        <v>0</v>
      </c>
      <c r="AD480" s="345"/>
      <c r="AE480" s="333"/>
      <c r="AF480" s="280">
        <f>+SUM(START:END!AF480)</f>
        <v>47600</v>
      </c>
      <c r="AG480" s="346"/>
      <c r="AH480" s="282">
        <f t="shared" si="76"/>
        <v>-13613.600000000006</v>
      </c>
      <c r="AI480" s="306">
        <f t="shared" si="79"/>
        <v>-0.22239502332814937</v>
      </c>
      <c r="AJ480" s="345"/>
      <c r="AK480" s="332"/>
      <c r="AL480" s="347">
        <f>+SUM(START:END!AL480)</f>
        <v>67235</v>
      </c>
      <c r="AM480" s="348"/>
      <c r="AN480" s="282">
        <f t="shared" si="77"/>
        <v>-19635</v>
      </c>
      <c r="AO480" s="289">
        <f t="shared" si="75"/>
        <v>-0.29203539823008851</v>
      </c>
      <c r="AP480" s="246"/>
      <c r="AQ480" s="246"/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49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0.29632184028168407</v>
      </c>
      <c r="Y481" s="330"/>
      <c r="Z481" s="299">
        <f>SUM(Z469:Z480)</f>
        <v>337689.97597090912</v>
      </c>
      <c r="AA481" s="298" t="e">
        <f>AC481/+AC407</f>
        <v>#DIV/0!</v>
      </c>
      <c r="AB481" s="330"/>
      <c r="AC481" s="299">
        <f>SUM(AC469:AC480)</f>
        <v>0</v>
      </c>
      <c r="AD481" s="298">
        <f>AF481/+AF407</f>
        <v>0.26154117124984871</v>
      </c>
      <c r="AE481" s="330"/>
      <c r="AF481" s="299">
        <f>SUM(AF469:AF480)</f>
        <v>280976.95999999996</v>
      </c>
      <c r="AG481" s="308"/>
      <c r="AH481" s="302">
        <f t="shared" si="76"/>
        <v>-56713.015970909153</v>
      </c>
      <c r="AI481" s="298">
        <f>AH481/Z481</f>
        <v>-0.16794403152729293</v>
      </c>
      <c r="AJ481" s="349"/>
      <c r="AK481" s="350"/>
      <c r="AL481" s="299">
        <f>SUM(AL469:AL480)</f>
        <v>428203.70999999996</v>
      </c>
      <c r="AM481" s="351"/>
      <c r="AN481" s="302">
        <f t="shared" si="77"/>
        <v>-147226.75</v>
      </c>
      <c r="AO481" s="331">
        <f t="shared" si="75"/>
        <v>-0.34382408783894003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49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77"/>
        <v>0</v>
      </c>
      <c r="AO482" s="364">
        <f t="shared" si="7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49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1.6626865399386723E-2</v>
      </c>
      <c r="Z483" s="369">
        <f>Z407-Z468+Z481</f>
        <v>181837.63955234585</v>
      </c>
      <c r="AA483" s="367" t="s">
        <v>180</v>
      </c>
      <c r="AB483" s="368" t="e">
        <f>AC483/AC406</f>
        <v>#DIV/0!</v>
      </c>
      <c r="AC483" s="369">
        <f>AC407-AC468+AC481</f>
        <v>0</v>
      </c>
      <c r="AD483" s="367" t="s">
        <v>180</v>
      </c>
      <c r="AE483" s="368">
        <f>AF483/AF406</f>
        <v>1.4383350723538645E-2</v>
      </c>
      <c r="AF483" s="370">
        <f>AF407-AF468+AF481</f>
        <v>143608.08000000007</v>
      </c>
      <c r="AG483" s="371"/>
      <c r="AH483" s="370">
        <f>AF483-Z483</f>
        <v>-38229.559552345774</v>
      </c>
      <c r="AI483" s="487">
        <f>AH483/Z483</f>
        <v>-0.21024007816236845</v>
      </c>
      <c r="AJ483" s="373" t="s">
        <v>180</v>
      </c>
      <c r="AK483" s="368">
        <f>IF($AL$406=0,0,AL483/$AL$406)</f>
        <v>2.5419808059657188E-2</v>
      </c>
      <c r="AL483" s="370">
        <f>AL407-AL468+AL481</f>
        <v>335355.95999999903</v>
      </c>
      <c r="AM483" s="374"/>
      <c r="AN483" s="370">
        <f t="shared" si="77"/>
        <v>-191747.87999999896</v>
      </c>
      <c r="AO483" s="375">
        <f t="shared" si="75"/>
        <v>-0.57177418287123782</v>
      </c>
      <c r="AP483" s="246"/>
      <c r="AQ483" s="246"/>
      <c r="AR483" s="310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49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9" si="8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  Q4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6" thickBot="1">
      <c r="A486" t="str">
        <f t="shared" si="8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454">
        <f>Z433/(Z407+Z481)</f>
        <v>0.35495635742331239</v>
      </c>
      <c r="AA486" s="13"/>
      <c r="AB486" s="13"/>
      <c r="AC486" s="82"/>
      <c r="AD486" s="13"/>
      <c r="AE486" s="13"/>
      <c r="AF486" s="454">
        <f>AF433/(AF407+AF481)</f>
        <v>0.38231962248656093</v>
      </c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hidden="1" thickBot="1">
      <c r="A487" t="str">
        <f t="shared" si="8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str">
        <f t="shared" si="80"/>
        <v>BAIIA Corpo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2.460764383803558E-2</v>
      </c>
      <c r="Z488" s="449">
        <f>+Z489+Z415</f>
        <v>269118.4274949542</v>
      </c>
      <c r="AA488" s="446"/>
      <c r="AB488" s="447"/>
      <c r="AC488" s="448"/>
      <c r="AD488" s="446" t="s">
        <v>180</v>
      </c>
      <c r="AE488" s="447">
        <f>AF488/AF406</f>
        <v>2.2256530192383401E-2</v>
      </c>
      <c r="AF488" s="449">
        <f>+AF489+AF415</f>
        <v>222216.4800000001</v>
      </c>
      <c r="AG488" s="450"/>
      <c r="AH488" s="450">
        <f>AF488-Z488</f>
        <v>-46901.947494954104</v>
      </c>
      <c r="AI488" s="451">
        <f>AH488/Z488</f>
        <v>-0.17427995522838541</v>
      </c>
      <c r="AJ488" s="446" t="s">
        <v>180</v>
      </c>
      <c r="AK488" s="447">
        <f>AL488/AL406</f>
        <v>3.2488366718081987E-2</v>
      </c>
      <c r="AL488" s="449">
        <f>+AL489+AL415</f>
        <v>428609.34999999905</v>
      </c>
      <c r="AM488" s="452"/>
      <c r="AN488" s="449">
        <f>AF488-AL488</f>
        <v>-206392.86999999895</v>
      </c>
      <c r="AO488" s="453">
        <f>IF(AL488=0,0,AN488/AL488)</f>
        <v>-0.48154075500219351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hidden="1" customHeight="1" thickTop="1" thickBot="1">
      <c r="A489" t="str">
        <f t="shared" si="8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1.6626865399386723E-2</v>
      </c>
      <c r="Z489" s="381">
        <f>Z483</f>
        <v>181837.63955234585</v>
      </c>
      <c r="AA489" s="379" t="s">
        <v>180</v>
      </c>
      <c r="AB489" s="380" t="e">
        <f>AC489/AC406</f>
        <v>#DIV/0!</v>
      </c>
      <c r="AC489" s="381">
        <f>AC483</f>
        <v>0</v>
      </c>
      <c r="AD489" s="379" t="s">
        <v>180</v>
      </c>
      <c r="AE489" s="380">
        <f>AF489/AF406</f>
        <v>1.4383350723538645E-2</v>
      </c>
      <c r="AF489" s="381">
        <f>AF483</f>
        <v>143608.08000000007</v>
      </c>
      <c r="AG489" s="382"/>
      <c r="AH489" s="370">
        <f>AF489-Z489</f>
        <v>-38229.559552345774</v>
      </c>
      <c r="AI489" s="487">
        <f>AH489/Z489</f>
        <v>-0.21024007816236845</v>
      </c>
      <c r="AJ489" s="379" t="s">
        <v>180</v>
      </c>
      <c r="AK489" s="380">
        <f>IF($AL$406=0,0,AL489/$AL$406)</f>
        <v>2.5419808059657188E-2</v>
      </c>
      <c r="AL489" s="383">
        <f>AL483</f>
        <v>335355.95999999903</v>
      </c>
      <c r="AM489" s="384"/>
      <c r="AN489" s="385">
        <f>AF489-AL489</f>
        <v>-191747.87999999896</v>
      </c>
      <c r="AO489" s="386">
        <f>IF(AL489=0,0,AN489/AL489)</f>
        <v>-0.57177418287123782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8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8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f>+SUM(START:END!Z491)</f>
        <v>57900</v>
      </c>
      <c r="AA491" s="279"/>
      <c r="AB491" s="287">
        <f t="shared" ref="AB491:AB497" si="81">IF(AC491=0,0,AC491/(G$13+G$97))</f>
        <v>0</v>
      </c>
      <c r="AC491" s="280">
        <f>+SUM(START:END!AC491)</f>
        <v>0</v>
      </c>
      <c r="AD491" s="279"/>
      <c r="AE491" s="287"/>
      <c r="AF491" s="280">
        <f>+SUM(START:END!AF491)</f>
        <v>37411.660000000003</v>
      </c>
      <c r="AG491" s="279"/>
      <c r="AH491" s="282">
        <f t="shared" ref="AH491:AH498" si="82">AF491-Z491</f>
        <v>-20488.339999999997</v>
      </c>
      <c r="AI491" s="306">
        <f t="shared" ref="AI491:AI497" si="83">IF(Z491=0,0,AH491/Z491)</f>
        <v>-0.35385734024179616</v>
      </c>
      <c r="AJ491" s="279"/>
      <c r="AK491" s="279"/>
      <c r="AL491" s="280">
        <f>+SUM(START:END!AL491)</f>
        <v>45590.92</v>
      </c>
      <c r="AM491" s="284"/>
      <c r="AN491" s="282">
        <f t="shared" ref="AN491:AN498" si="84">AF491-AL491</f>
        <v>-8179.2599999999948</v>
      </c>
      <c r="AO491" s="289">
        <f t="shared" ref="AO491:AO498" si="85">IF(AL491=0,0,AN491/AL491)</f>
        <v>-0.17940546056100634</v>
      </c>
      <c r="AP491" s="246"/>
      <c r="AQ491" s="486"/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>
      <c r="A492" t="str">
        <f t="shared" si="8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f>+SUM(START:END!Z492)</f>
        <v>0</v>
      </c>
      <c r="AA492" s="10"/>
      <c r="AB492" s="10">
        <f t="shared" si="81"/>
        <v>0</v>
      </c>
      <c r="AC492" s="280">
        <f>+SUM(START:END!AC492)</f>
        <v>0</v>
      </c>
      <c r="AD492" s="10"/>
      <c r="AE492" s="13"/>
      <c r="AF492" s="280">
        <f>+SUM(START:END!AF492)</f>
        <v>0</v>
      </c>
      <c r="AG492" s="10"/>
      <c r="AH492" s="282">
        <f t="shared" si="82"/>
        <v>0</v>
      </c>
      <c r="AI492" s="306">
        <f t="shared" si="83"/>
        <v>0</v>
      </c>
      <c r="AJ492" s="10"/>
      <c r="AK492" s="10"/>
      <c r="AL492" s="280">
        <f>+SUM(START:END!AL492)</f>
        <v>0</v>
      </c>
      <c r="AM492" s="393"/>
      <c r="AN492" s="282">
        <f t="shared" si="84"/>
        <v>0</v>
      </c>
      <c r="AO492" s="289">
        <f t="shared" si="85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0.25">
      <c r="A493" t="str">
        <f t="shared" si="8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f>+SUM(START:END!Z493)</f>
        <v>0</v>
      </c>
      <c r="AA493" s="10"/>
      <c r="AB493" s="10">
        <f t="shared" si="81"/>
        <v>0</v>
      </c>
      <c r="AC493" s="280">
        <f>+SUM(START:END!AC493)</f>
        <v>0</v>
      </c>
      <c r="AD493" s="10"/>
      <c r="AE493" s="13"/>
      <c r="AF493" s="280">
        <f>+SUM(START:END!AF493)</f>
        <v>0</v>
      </c>
      <c r="AG493" s="10"/>
      <c r="AH493" s="282">
        <f t="shared" si="82"/>
        <v>0</v>
      </c>
      <c r="AI493" s="306">
        <f t="shared" si="83"/>
        <v>0</v>
      </c>
      <c r="AJ493" s="10"/>
      <c r="AK493" s="10"/>
      <c r="AL493" s="280">
        <f>+SUM(START:END!AL493)</f>
        <v>0</v>
      </c>
      <c r="AM493" s="393"/>
      <c r="AN493" s="282">
        <f t="shared" si="84"/>
        <v>0</v>
      </c>
      <c r="AO493" s="289">
        <f t="shared" si="85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>
      <c r="A494" t="str">
        <f t="shared" si="8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f>+SUM(START:END!Z494)</f>
        <v>0</v>
      </c>
      <c r="AA494" s="10"/>
      <c r="AB494" s="10">
        <f t="shared" si="81"/>
        <v>0</v>
      </c>
      <c r="AC494" s="280">
        <f>+SUM(START:END!AC494)</f>
        <v>0</v>
      </c>
      <c r="AD494" s="10"/>
      <c r="AE494" s="13"/>
      <c r="AF494" s="280">
        <f>+SUM(START:END!AF494)</f>
        <v>0</v>
      </c>
      <c r="AG494" s="10"/>
      <c r="AH494" s="282">
        <f t="shared" si="82"/>
        <v>0</v>
      </c>
      <c r="AI494" s="306">
        <f t="shared" si="83"/>
        <v>0</v>
      </c>
      <c r="AJ494" s="10"/>
      <c r="AK494" s="10"/>
      <c r="AL494" s="280">
        <f>+SUM(START:END!AL494)</f>
        <v>0</v>
      </c>
      <c r="AM494" s="393"/>
      <c r="AN494" s="282">
        <f t="shared" si="84"/>
        <v>0</v>
      </c>
      <c r="AO494" s="289">
        <f t="shared" si="85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8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+SUM(START:END!Z495)</f>
        <v>0</v>
      </c>
      <c r="AA495" s="279"/>
      <c r="AB495" s="279">
        <f t="shared" si="81"/>
        <v>0</v>
      </c>
      <c r="AC495" s="282">
        <f>+SUM(START:END!AC495)</f>
        <v>0</v>
      </c>
      <c r="AD495" s="288"/>
      <c r="AE495" s="287"/>
      <c r="AF495" s="280">
        <f>+SUM(START:END!AF495)</f>
        <v>0</v>
      </c>
      <c r="AG495" s="281"/>
      <c r="AH495" s="282">
        <f t="shared" si="82"/>
        <v>0</v>
      </c>
      <c r="AI495" s="283">
        <f t="shared" si="83"/>
        <v>0</v>
      </c>
      <c r="AJ495" s="288"/>
      <c r="AK495" s="279"/>
      <c r="AL495" s="280">
        <f>+SUM(START:END!AL495)</f>
        <v>0</v>
      </c>
      <c r="AM495" s="393"/>
      <c r="AN495" s="282">
        <f t="shared" si="84"/>
        <v>0</v>
      </c>
      <c r="AO495" s="289">
        <f t="shared" si="85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8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f>+SUM(START:END!Z496)</f>
        <v>-7812.4590163934427</v>
      </c>
      <c r="AA496" s="279"/>
      <c r="AB496" s="279">
        <f>IF(AC496=0,0,AC496/(G$13+G$97))</f>
        <v>0</v>
      </c>
      <c r="AC496" s="282">
        <f>+SUM(START:END!AC496)</f>
        <v>0</v>
      </c>
      <c r="AD496" s="288"/>
      <c r="AE496" s="287"/>
      <c r="AF496" s="280">
        <f>+SUM(START:END!AF496)</f>
        <v>-8211.4699999999993</v>
      </c>
      <c r="AG496" s="281"/>
      <c r="AH496" s="282">
        <f t="shared" si="82"/>
        <v>-399.01098360655669</v>
      </c>
      <c r="AI496" s="283">
        <f t="shared" si="83"/>
        <v>5.1073673829108525E-2</v>
      </c>
      <c r="AJ496" s="288"/>
      <c r="AK496" s="279"/>
      <c r="AL496" s="280">
        <f>+SUM(START:END!AL496)</f>
        <v>-11331.69</v>
      </c>
      <c r="AM496" s="393"/>
      <c r="AN496" s="282">
        <f t="shared" si="84"/>
        <v>3120.2200000000012</v>
      </c>
      <c r="AO496" s="289">
        <f t="shared" si="85"/>
        <v>-0.27535345566283592</v>
      </c>
      <c r="AP496" s="246"/>
      <c r="AQ496" s="246"/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8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+SUM(START:END!Z497)</f>
        <v>0</v>
      </c>
      <c r="AA497" s="279"/>
      <c r="AB497" s="279">
        <f t="shared" si="81"/>
        <v>0</v>
      </c>
      <c r="AC497" s="282">
        <f>+SUM(START:END!AC497)</f>
        <v>0</v>
      </c>
      <c r="AD497" s="288"/>
      <c r="AE497" s="287">
        <f>IF(AF497=0,0,AF497/(J$13+J$97))</f>
        <v>0</v>
      </c>
      <c r="AF497" s="280">
        <f>+SUM(START:END!AF497)</f>
        <v>0</v>
      </c>
      <c r="AG497" s="281"/>
      <c r="AH497" s="282">
        <f t="shared" si="82"/>
        <v>0</v>
      </c>
      <c r="AI497" s="283">
        <f t="shared" si="83"/>
        <v>0</v>
      </c>
      <c r="AJ497" s="288"/>
      <c r="AK497" s="279">
        <f>AL497/(O$13+O$97)</f>
        <v>0</v>
      </c>
      <c r="AL497" s="280">
        <f>+SUM(START:END!AL497)</f>
        <v>0</v>
      </c>
      <c r="AM497" s="393"/>
      <c r="AN497" s="282">
        <f t="shared" si="84"/>
        <v>0</v>
      </c>
      <c r="AO497" s="289">
        <f t="shared" si="85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8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1.2046962117695952E-2</v>
      </c>
      <c r="Z498" s="369">
        <f>Z489-Z491-Z492-Z493-Z497-Z494-Z495-Z496-Z497</f>
        <v>131750.09856873928</v>
      </c>
      <c r="AA498" s="367" t="s">
        <v>180</v>
      </c>
      <c r="AB498" s="368" t="e">
        <f>AC498/AC406</f>
        <v>#DIV/0!</v>
      </c>
      <c r="AC498" s="369">
        <f>AC489-AC491-AC492-AC493-AC497-AC494-AC495</f>
        <v>0</v>
      </c>
      <c r="AD498" s="367" t="s">
        <v>180</v>
      </c>
      <c r="AE498" s="368">
        <f>AF498/AF406</f>
        <v>1.1458748055193204E-2</v>
      </c>
      <c r="AF498" s="370">
        <f>AF489-AF491-AF492-AF493-AF497-AF494-AF495-AF496-AF497</f>
        <v>114407.89000000007</v>
      </c>
      <c r="AG498" s="371"/>
      <c r="AH498" s="370">
        <f t="shared" si="82"/>
        <v>-17342.20856873921</v>
      </c>
      <c r="AI498" s="487">
        <f>AH498/Z498</f>
        <v>-0.13162956807725718</v>
      </c>
      <c r="AJ498" s="373" t="s">
        <v>180</v>
      </c>
      <c r="AK498" s="368">
        <f>IF($AL$406=0,0,AL498/$AL$406)</f>
        <v>2.2822976171320831E-2</v>
      </c>
      <c r="AL498" s="370">
        <f>AL489-AL491-AL492-AL493-AL497-AL494-AL495-AL496-AL497</f>
        <v>301096.72999999905</v>
      </c>
      <c r="AM498" s="374"/>
      <c r="AN498" s="370">
        <f t="shared" si="84"/>
        <v>-186688.83999999898</v>
      </c>
      <c r="AO498" s="394">
        <f t="shared" si="85"/>
        <v>-0.6200294503364403</v>
      </c>
      <c r="AP498" s="246"/>
      <c r="AQ498" s="246"/>
      <c r="AR498" s="246"/>
      <c r="AS498" s="246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 t="shared" si="80"/>
        <v/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/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/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/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/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/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/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/>
      <c r="AE505" s="246"/>
      <c r="AF505" s="24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/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/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/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/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334"/>
      <c r="X512" s="334"/>
      <c r="Y512" s="246"/>
      <c r="Z512" s="246"/>
      <c r="AA512" s="246"/>
      <c r="AB512" s="246"/>
      <c r="AC512" s="246"/>
      <c r="AD512" s="246"/>
      <c r="AE512" s="246"/>
      <c r="AF512" s="310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334"/>
      <c r="X513" s="334"/>
      <c r="Y513" s="246"/>
      <c r="Z513" s="246"/>
      <c r="AA513" s="246"/>
      <c r="AB513" s="246"/>
      <c r="AC513" s="246"/>
      <c r="AD513" s="246"/>
      <c r="AE513" s="246"/>
      <c r="AF513" s="246"/>
      <c r="AG513" s="246"/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246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246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310"/>
      <c r="AG516" s="310"/>
      <c r="AH516" s="310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398"/>
      <c r="D518" s="334"/>
      <c r="E518" s="334"/>
      <c r="F518" s="399"/>
      <c r="G518" s="334"/>
      <c r="H518" s="334"/>
      <c r="I518" s="399"/>
      <c r="J518" s="334"/>
      <c r="K518" s="334"/>
      <c r="L518" s="334"/>
      <c r="M518" s="399"/>
      <c r="N518" s="334"/>
      <c r="O518" s="334"/>
      <c r="P518" s="334"/>
      <c r="Q518" s="399"/>
      <c r="R518" s="399"/>
      <c r="S518" s="399"/>
      <c r="T518" s="334"/>
      <c r="U518" s="334"/>
      <c r="V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246"/>
      <c r="AH518" s="246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400"/>
      <c r="D519" s="334"/>
      <c r="E519" s="334"/>
      <c r="F519" s="399"/>
      <c r="G519" s="334"/>
      <c r="H519" s="334"/>
      <c r="I519" s="399"/>
      <c r="J519" s="334"/>
      <c r="K519" s="334"/>
      <c r="L519" s="334"/>
      <c r="M519" s="399"/>
      <c r="N519" s="334"/>
      <c r="O519" s="334"/>
      <c r="P519" s="334"/>
      <c r="Q519" s="399"/>
      <c r="R519" s="399"/>
      <c r="S519" s="399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310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34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246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334"/>
      <c r="D521" s="334"/>
      <c r="E521" s="334"/>
      <c r="F521" s="334"/>
      <c r="G521" s="334"/>
      <c r="H521" s="334"/>
      <c r="I521" s="334"/>
      <c r="J521" s="398"/>
      <c r="K521" s="398"/>
      <c r="L521" s="398"/>
      <c r="M521" s="399"/>
      <c r="N521" s="334"/>
      <c r="O521" s="334"/>
      <c r="P521" s="334"/>
      <c r="Q521" s="334"/>
      <c r="R521" s="334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34"/>
      <c r="G522" s="334"/>
      <c r="H522" s="334"/>
      <c r="I522" s="334"/>
      <c r="J522" s="334"/>
      <c r="K522" s="334"/>
      <c r="L522" s="334"/>
      <c r="M522" s="399"/>
      <c r="N522" s="334"/>
      <c r="O522" s="334"/>
      <c r="P522" s="334"/>
      <c r="Q522" s="334"/>
      <c r="R522" s="334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34"/>
      <c r="K523" s="334"/>
      <c r="L523" s="334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246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34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98"/>
      <c r="K526" s="398"/>
      <c r="L526" s="398"/>
      <c r="M526" s="401"/>
      <c r="N526" s="398"/>
      <c r="O526" s="398"/>
      <c r="P526" s="398"/>
      <c r="Q526" s="334"/>
      <c r="R526" s="334"/>
      <c r="S526" s="398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34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34"/>
      <c r="K528" s="334"/>
      <c r="L528" s="334"/>
      <c r="M528" s="334"/>
      <c r="N528" s="334"/>
      <c r="O528" s="334"/>
      <c r="P528" s="334"/>
      <c r="Q528" s="334"/>
      <c r="R528" s="334"/>
      <c r="S528" s="334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8.75">
      <c r="B530" s="7"/>
      <c r="C530" s="402"/>
      <c r="D530" s="403"/>
      <c r="E530" s="403"/>
      <c r="F530" s="403"/>
      <c r="G530" s="403"/>
      <c r="H530" s="403"/>
      <c r="I530" s="403"/>
      <c r="J530" s="403"/>
      <c r="K530" s="403"/>
      <c r="L530" s="403"/>
      <c r="M530" s="403"/>
      <c r="N530" s="403"/>
      <c r="O530" s="403"/>
      <c r="P530" s="403"/>
      <c r="Q530" s="403"/>
      <c r="R530" s="403"/>
      <c r="S530" s="403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40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5.75">
      <c r="B532" s="7"/>
      <c r="C532" s="334"/>
      <c r="D532" s="334"/>
      <c r="E532" s="334"/>
      <c r="F532" s="334"/>
      <c r="G532" s="334"/>
      <c r="H532" s="334"/>
      <c r="I532" s="334"/>
      <c r="J532" s="334"/>
      <c r="K532" s="334"/>
      <c r="L532" s="405"/>
      <c r="M532" s="406"/>
      <c r="N532" s="406"/>
      <c r="O532" s="334"/>
      <c r="P532" s="405"/>
      <c r="Q532" s="406"/>
      <c r="R532" s="406"/>
      <c r="S532" s="405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405"/>
      <c r="F533" s="407"/>
      <c r="G533" s="334"/>
      <c r="H533" s="405"/>
      <c r="I533" s="407"/>
      <c r="J533" s="406"/>
      <c r="K533" s="398"/>
      <c r="L533" s="405"/>
      <c r="M533" s="406"/>
      <c r="N533" s="406"/>
      <c r="O533" s="398"/>
      <c r="P533" s="405"/>
      <c r="Q533" s="406"/>
      <c r="R533" s="406"/>
      <c r="S533" s="405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408"/>
      <c r="E534" s="407"/>
      <c r="F534" s="407"/>
      <c r="G534" s="408"/>
      <c r="H534" s="407"/>
      <c r="I534" s="407"/>
      <c r="J534" s="407"/>
      <c r="K534" s="407"/>
      <c r="L534" s="407"/>
      <c r="M534" s="407"/>
      <c r="N534" s="407"/>
      <c r="O534" s="407"/>
      <c r="P534" s="407"/>
      <c r="Q534" s="407"/>
      <c r="R534" s="407"/>
      <c r="S534" s="407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98"/>
      <c r="D535" s="334"/>
      <c r="E535" s="334"/>
      <c r="F535" s="334"/>
      <c r="G535" s="334"/>
      <c r="H535" s="334"/>
      <c r="I535" s="334"/>
      <c r="J535" s="334"/>
      <c r="K535" s="334"/>
      <c r="L535" s="334"/>
      <c r="M535" s="334"/>
      <c r="N535" s="334"/>
      <c r="O535" s="334"/>
      <c r="P535" s="334"/>
      <c r="Q535" s="334"/>
      <c r="R535" s="334"/>
      <c r="S535" s="334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334"/>
      <c r="E536" s="334"/>
      <c r="F536" s="334"/>
      <c r="G536" s="334"/>
      <c r="H536" s="334"/>
      <c r="I536" s="334"/>
      <c r="J536" s="334"/>
      <c r="K536" s="334"/>
      <c r="L536" s="334"/>
      <c r="M536" s="334"/>
      <c r="N536" s="334"/>
      <c r="O536" s="334"/>
      <c r="P536" s="334"/>
      <c r="Q536" s="334"/>
      <c r="R536" s="334"/>
      <c r="S536" s="334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34"/>
      <c r="D537" s="334"/>
      <c r="E537" s="399"/>
      <c r="F537" s="409"/>
      <c r="G537" s="334"/>
      <c r="H537" s="399"/>
      <c r="I537" s="409"/>
      <c r="J537" s="409"/>
      <c r="K537" s="399"/>
      <c r="L537" s="409"/>
      <c r="M537" s="399"/>
      <c r="N537" s="409"/>
      <c r="O537" s="399"/>
      <c r="P537" s="409"/>
      <c r="Q537" s="399"/>
      <c r="R537" s="399"/>
      <c r="S537" s="399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99"/>
      <c r="F538" s="409"/>
      <c r="G538" s="334"/>
      <c r="H538" s="399"/>
      <c r="I538" s="409"/>
      <c r="J538" s="409"/>
      <c r="K538" s="399"/>
      <c r="L538" s="409"/>
      <c r="M538" s="399"/>
      <c r="N538" s="409"/>
      <c r="O538" s="399"/>
      <c r="P538" s="409"/>
      <c r="Q538" s="399"/>
      <c r="R538" s="399"/>
      <c r="S538" s="399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34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10"/>
      <c r="G543" s="334"/>
      <c r="H543" s="399"/>
      <c r="I543" s="410"/>
      <c r="J543" s="409"/>
      <c r="K543" s="399"/>
      <c r="L543" s="409"/>
      <c r="M543" s="399"/>
      <c r="N543" s="409"/>
      <c r="O543" s="399"/>
      <c r="P543" s="334"/>
      <c r="Q543" s="334"/>
      <c r="R543" s="399"/>
      <c r="S543" s="399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98"/>
      <c r="D544" s="398"/>
      <c r="E544" s="401"/>
      <c r="F544" s="411"/>
      <c r="G544" s="398"/>
      <c r="H544" s="401"/>
      <c r="I544" s="411"/>
      <c r="J544" s="411"/>
      <c r="K544" s="401"/>
      <c r="L544" s="411"/>
      <c r="M544" s="401"/>
      <c r="N544" s="411"/>
      <c r="O544" s="401"/>
      <c r="P544" s="411"/>
      <c r="Q544" s="401"/>
      <c r="R544" s="401"/>
      <c r="S544" s="398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334"/>
      <c r="G545" s="334"/>
      <c r="H545" s="399"/>
      <c r="I545" s="334"/>
      <c r="J545" s="409"/>
      <c r="K545" s="399"/>
      <c r="L545" s="409"/>
      <c r="M545" s="399"/>
      <c r="N545" s="409"/>
      <c r="O545" s="399"/>
      <c r="P545" s="398"/>
      <c r="Q545" s="411"/>
      <c r="R545" s="411"/>
      <c r="S545" s="334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34"/>
      <c r="D546" s="334"/>
      <c r="E546" s="399"/>
      <c r="F546" s="334"/>
      <c r="G546" s="334"/>
      <c r="H546" s="399"/>
      <c r="I546" s="334"/>
      <c r="J546" s="409"/>
      <c r="K546" s="399"/>
      <c r="L546" s="409"/>
      <c r="M546" s="399"/>
      <c r="N546" s="409"/>
      <c r="O546" s="399"/>
      <c r="P546" s="334"/>
      <c r="Q546" s="334"/>
      <c r="R546" s="399"/>
      <c r="S546" s="334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98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34"/>
      <c r="Q547" s="334"/>
      <c r="R547" s="399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34"/>
      <c r="F548" s="334"/>
      <c r="G548" s="334"/>
      <c r="H548" s="334"/>
      <c r="I548" s="334"/>
      <c r="J548" s="334"/>
      <c r="K548" s="334"/>
      <c r="L548" s="334"/>
      <c r="M548" s="334"/>
      <c r="N548" s="334"/>
      <c r="O548" s="334"/>
      <c r="P548" s="334"/>
      <c r="Q548" s="334"/>
      <c r="R548" s="334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34"/>
      <c r="D549" s="334"/>
      <c r="E549" s="399"/>
      <c r="F549" s="409"/>
      <c r="G549" s="334"/>
      <c r="H549" s="399"/>
      <c r="I549" s="409"/>
      <c r="J549" s="409"/>
      <c r="K549" s="334"/>
      <c r="L549" s="409"/>
      <c r="M549" s="334"/>
      <c r="N549" s="409"/>
      <c r="O549" s="334"/>
      <c r="P549" s="409"/>
      <c r="Q549" s="399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99"/>
      <c r="F550" s="410"/>
      <c r="G550" s="334"/>
      <c r="H550" s="399"/>
      <c r="I550" s="410"/>
      <c r="J550" s="409"/>
      <c r="K550" s="399"/>
      <c r="L550" s="409"/>
      <c r="M550" s="399"/>
      <c r="N550" s="409"/>
      <c r="O550" s="399"/>
      <c r="P550" s="334"/>
      <c r="Q550" s="409"/>
      <c r="R550" s="409"/>
      <c r="S550" s="399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10"/>
      <c r="G551" s="334"/>
      <c r="H551" s="399"/>
      <c r="I551" s="410"/>
      <c r="J551" s="409"/>
      <c r="K551" s="399"/>
      <c r="L551" s="409"/>
      <c r="M551" s="399"/>
      <c r="N551" s="409"/>
      <c r="O551" s="399"/>
      <c r="P551" s="334"/>
      <c r="Q551" s="334"/>
      <c r="R551" s="399"/>
      <c r="S551" s="399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09"/>
      <c r="G552" s="334"/>
      <c r="H552" s="399"/>
      <c r="I552" s="409"/>
      <c r="J552" s="409"/>
      <c r="K552" s="399"/>
      <c r="L552" s="409"/>
      <c r="M552" s="399"/>
      <c r="N552" s="409"/>
      <c r="O552" s="399"/>
      <c r="P552" s="334"/>
      <c r="Q552" s="334"/>
      <c r="R552" s="399"/>
      <c r="S552" s="334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98"/>
      <c r="D553" s="398"/>
      <c r="E553" s="401"/>
      <c r="F553" s="411"/>
      <c r="G553" s="398"/>
      <c r="H553" s="401"/>
      <c r="I553" s="411"/>
      <c r="J553" s="411"/>
      <c r="K553" s="401"/>
      <c r="L553" s="411"/>
      <c r="M553" s="401"/>
      <c r="N553" s="411"/>
      <c r="O553" s="401"/>
      <c r="P553" s="411"/>
      <c r="Q553" s="398"/>
      <c r="R553" s="401"/>
      <c r="S553" s="398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34"/>
      <c r="F554" s="334"/>
      <c r="G554" s="334"/>
      <c r="H554" s="334"/>
      <c r="I554" s="334"/>
      <c r="J554" s="334"/>
      <c r="K554" s="334"/>
      <c r="L554" s="334"/>
      <c r="M554" s="334"/>
      <c r="N554" s="334"/>
      <c r="O554" s="334"/>
      <c r="P554" s="398"/>
      <c r="Q554" s="411"/>
      <c r="R554" s="411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34"/>
      <c r="D555" s="334"/>
      <c r="E555" s="399"/>
      <c r="F555" s="409"/>
      <c r="G555" s="334"/>
      <c r="H555" s="399"/>
      <c r="I555" s="409"/>
      <c r="J555" s="409"/>
      <c r="K555" s="399"/>
      <c r="L555" s="409"/>
      <c r="M555" s="399"/>
      <c r="N555" s="409"/>
      <c r="O555" s="399"/>
      <c r="P555" s="334"/>
      <c r="Q555" s="334"/>
      <c r="R555" s="399"/>
      <c r="S555" s="334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98"/>
      <c r="D556" s="334"/>
      <c r="E556" s="399"/>
      <c r="F556" s="409"/>
      <c r="G556" s="334"/>
      <c r="H556" s="399"/>
      <c r="I556" s="409"/>
      <c r="J556" s="409"/>
      <c r="K556" s="399"/>
      <c r="L556" s="409"/>
      <c r="M556" s="399"/>
      <c r="N556" s="409"/>
      <c r="O556" s="399"/>
      <c r="P556" s="334"/>
      <c r="Q556" s="334"/>
      <c r="R556" s="399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34"/>
      <c r="D558" s="334"/>
      <c r="E558" s="334"/>
      <c r="F558" s="334"/>
      <c r="G558" s="334"/>
      <c r="H558" s="334"/>
      <c r="I558" s="334"/>
      <c r="J558" s="334"/>
      <c r="K558" s="334"/>
      <c r="L558" s="334"/>
      <c r="M558" s="334"/>
      <c r="N558" s="334"/>
      <c r="O558" s="334"/>
      <c r="P558" s="409"/>
      <c r="Q558" s="399"/>
      <c r="R558" s="334"/>
      <c r="S558" s="399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34"/>
      <c r="F559" s="334"/>
      <c r="G559" s="334"/>
      <c r="H559" s="334"/>
      <c r="I559" s="334"/>
      <c r="J559" s="334"/>
      <c r="K559" s="334"/>
      <c r="L559" s="334"/>
      <c r="M559" s="334"/>
      <c r="N559" s="334"/>
      <c r="O559" s="334"/>
      <c r="P559" s="409"/>
      <c r="Q559" s="399"/>
      <c r="R559" s="334"/>
      <c r="S559" s="399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98"/>
      <c r="D566" s="398"/>
      <c r="E566" s="334"/>
      <c r="F566" s="334"/>
      <c r="G566" s="398"/>
      <c r="H566" s="334"/>
      <c r="I566" s="334"/>
      <c r="J566" s="334"/>
      <c r="K566" s="334"/>
      <c r="L566" s="334"/>
      <c r="M566" s="334"/>
      <c r="N566" s="334"/>
      <c r="O566" s="334"/>
      <c r="P566" s="411"/>
      <c r="Q566" s="401"/>
      <c r="R566" s="334"/>
      <c r="S566" s="401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11"/>
      <c r="Q567" s="411"/>
      <c r="R567" s="334"/>
      <c r="S567" s="334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34"/>
      <c r="D568" s="334"/>
      <c r="E568" s="334"/>
      <c r="F568" s="334"/>
      <c r="G568" s="334"/>
      <c r="H568" s="334"/>
      <c r="I568" s="334"/>
      <c r="J568" s="334"/>
      <c r="K568" s="334"/>
      <c r="L568" s="334"/>
      <c r="M568" s="334"/>
      <c r="N568" s="334"/>
      <c r="O568" s="334"/>
      <c r="P568" s="409"/>
      <c r="Q568" s="399"/>
      <c r="R568" s="334"/>
      <c r="S568" s="399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09"/>
      <c r="Q569" s="399"/>
      <c r="R569" s="334"/>
      <c r="S569" s="399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98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11"/>
      <c r="Q570" s="401"/>
      <c r="R570" s="334"/>
      <c r="S570" s="401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11"/>
      <c r="Q571" s="411"/>
      <c r="R571" s="334"/>
      <c r="S571" s="334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34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09"/>
      <c r="Q572" s="399"/>
      <c r="R572" s="334"/>
      <c r="S572" s="399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98"/>
      <c r="D573" s="398"/>
      <c r="E573" s="334"/>
      <c r="F573" s="334"/>
      <c r="G573" s="398"/>
      <c r="H573" s="334"/>
      <c r="I573" s="334"/>
      <c r="J573" s="334"/>
      <c r="K573" s="334"/>
      <c r="L573" s="334"/>
      <c r="M573" s="334"/>
      <c r="N573" s="334"/>
      <c r="O573" s="334"/>
      <c r="P573" s="411"/>
      <c r="Q573" s="401"/>
      <c r="R573" s="334"/>
      <c r="S573" s="401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11"/>
      <c r="Q574" s="411"/>
      <c r="R574" s="334"/>
      <c r="S574" s="334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34"/>
      <c r="D575" s="334"/>
      <c r="E575" s="399"/>
      <c r="F575" s="409"/>
      <c r="G575" s="334"/>
      <c r="H575" s="399"/>
      <c r="I575" s="409"/>
      <c r="J575" s="409"/>
      <c r="K575" s="399"/>
      <c r="L575" s="409"/>
      <c r="M575" s="399"/>
      <c r="N575" s="409"/>
      <c r="O575" s="399"/>
      <c r="P575" s="409"/>
      <c r="Q575" s="399"/>
      <c r="R575" s="399"/>
      <c r="S575" s="334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98"/>
      <c r="D576" s="398"/>
      <c r="E576" s="401"/>
      <c r="F576" s="411"/>
      <c r="G576" s="398"/>
      <c r="H576" s="401"/>
      <c r="I576" s="411"/>
      <c r="J576" s="411"/>
      <c r="K576" s="401"/>
      <c r="L576" s="411"/>
      <c r="M576" s="401"/>
      <c r="N576" s="411"/>
      <c r="O576" s="401"/>
      <c r="P576" s="411"/>
      <c r="Q576" s="401"/>
      <c r="R576" s="401"/>
      <c r="S576" s="401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399"/>
      <c r="K577" s="409"/>
      <c r="L577" s="399"/>
      <c r="M577" s="334"/>
      <c r="N577" s="399"/>
      <c r="O577" s="409"/>
      <c r="P577" s="401"/>
      <c r="Q577" s="411"/>
      <c r="R577" s="411"/>
      <c r="S577" s="399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34"/>
      <c r="D578" s="334"/>
      <c r="E578" s="399"/>
      <c r="F578" s="409"/>
      <c r="G578" s="334"/>
      <c r="H578" s="399"/>
      <c r="I578" s="409"/>
      <c r="J578" s="399"/>
      <c r="K578" s="409"/>
      <c r="L578" s="399"/>
      <c r="M578" s="334"/>
      <c r="N578" s="399"/>
      <c r="O578" s="409"/>
      <c r="P578" s="399"/>
      <c r="Q578" s="334"/>
      <c r="R578" s="409"/>
      <c r="S578" s="399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34"/>
      <c r="F579" s="334"/>
      <c r="G579" s="334"/>
      <c r="H579" s="334"/>
      <c r="I579" s="334"/>
      <c r="J579" s="334"/>
      <c r="K579" s="334"/>
      <c r="L579" s="334"/>
      <c r="M579" s="334"/>
      <c r="N579" s="334"/>
      <c r="O579" s="334"/>
      <c r="P579" s="334"/>
      <c r="Q579" s="334"/>
      <c r="R579" s="409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99"/>
      <c r="F581" s="409"/>
      <c r="G581" s="334"/>
      <c r="H581" s="399"/>
      <c r="I581" s="409"/>
      <c r="J581" s="399"/>
      <c r="K581" s="409"/>
      <c r="L581" s="399"/>
      <c r="M581" s="334"/>
      <c r="N581" s="399"/>
      <c r="O581" s="409"/>
      <c r="P581" s="399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34"/>
      <c r="F587" s="334"/>
      <c r="G587" s="334"/>
      <c r="H587" s="334"/>
      <c r="I587" s="334"/>
      <c r="J587" s="334"/>
      <c r="K587" s="334"/>
      <c r="L587" s="334"/>
      <c r="M587" s="334"/>
      <c r="N587" s="334"/>
      <c r="O587" s="334"/>
      <c r="P587" s="334"/>
      <c r="Q587" s="334"/>
      <c r="R587" s="334"/>
      <c r="S587" s="334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34"/>
      <c r="F588" s="334"/>
      <c r="G588" s="334"/>
      <c r="H588" s="334"/>
      <c r="I588" s="334"/>
      <c r="J588" s="334"/>
      <c r="K588" s="334"/>
      <c r="L588" s="334"/>
      <c r="M588" s="334"/>
      <c r="N588" s="334"/>
      <c r="O588" s="334"/>
      <c r="P588" s="334"/>
      <c r="Q588" s="334"/>
      <c r="R588" s="334"/>
      <c r="S588" s="334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30">
      <c r="B650" s="7"/>
      <c r="C650" s="412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413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8.75">
      <c r="B651" s="7"/>
      <c r="C651" s="402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14"/>
      <c r="R651" s="406"/>
      <c r="S651" s="406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15.75">
      <c r="B652" s="7"/>
      <c r="C652" s="334"/>
      <c r="D652" s="403"/>
      <c r="E652" s="403"/>
      <c r="F652" s="415"/>
      <c r="G652" s="403"/>
      <c r="H652" s="403"/>
      <c r="I652" s="415"/>
      <c r="J652" s="407"/>
      <c r="K652" s="407"/>
      <c r="L652" s="416"/>
      <c r="M652" s="407"/>
      <c r="N652" s="407"/>
      <c r="O652" s="407"/>
      <c r="P652" s="407"/>
      <c r="Q652" s="404"/>
      <c r="R652" s="403"/>
      <c r="S652" s="415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5.75">
      <c r="B653" s="7"/>
      <c r="C653" s="417"/>
      <c r="D653" s="334"/>
      <c r="E653" s="334"/>
      <c r="F653" s="406"/>
      <c r="G653" s="334"/>
      <c r="H653" s="334"/>
      <c r="I653" s="406"/>
      <c r="J653" s="406"/>
      <c r="K653" s="406"/>
      <c r="L653" s="334"/>
      <c r="M653" s="406"/>
      <c r="N653" s="406"/>
      <c r="O653" s="334"/>
      <c r="P653" s="406"/>
      <c r="Q653" s="406"/>
      <c r="R653" s="334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334"/>
      <c r="E654" s="334"/>
      <c r="F654" s="399"/>
      <c r="G654" s="334"/>
      <c r="H654" s="334"/>
      <c r="I654" s="399"/>
      <c r="J654" s="399"/>
      <c r="K654" s="399"/>
      <c r="L654" s="399"/>
      <c r="M654" s="399"/>
      <c r="N654" s="399"/>
      <c r="O654" s="399"/>
      <c r="P654" s="399"/>
      <c r="Q654" s="399"/>
      <c r="R654" s="399"/>
      <c r="S654" s="399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398"/>
      <c r="D655" s="398"/>
      <c r="E655" s="398"/>
      <c r="F655" s="401"/>
      <c r="G655" s="398"/>
      <c r="H655" s="398"/>
      <c r="I655" s="401"/>
      <c r="J655" s="401"/>
      <c r="K655" s="401"/>
      <c r="L655" s="401"/>
      <c r="M655" s="401"/>
      <c r="N655" s="401"/>
      <c r="O655" s="401"/>
      <c r="P655" s="401"/>
      <c r="Q655" s="401"/>
      <c r="R655" s="401"/>
      <c r="S655" s="401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34"/>
      <c r="G656" s="334"/>
      <c r="H656" s="334"/>
      <c r="I656" s="334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34"/>
      <c r="D657" s="334"/>
      <c r="E657" s="334"/>
      <c r="F657" s="334"/>
      <c r="G657" s="334"/>
      <c r="H657" s="334"/>
      <c r="I657" s="334"/>
      <c r="J657" s="334"/>
      <c r="K657" s="399"/>
      <c r="L657" s="399"/>
      <c r="M657" s="334"/>
      <c r="N657" s="399"/>
      <c r="O657" s="399"/>
      <c r="P657" s="334"/>
      <c r="Q657" s="399"/>
      <c r="R657" s="399"/>
      <c r="S657" s="334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34"/>
      <c r="K658" s="399"/>
      <c r="L658" s="399"/>
      <c r="M658" s="334"/>
      <c r="N658" s="399"/>
      <c r="O658" s="399"/>
      <c r="P658" s="334"/>
      <c r="Q658" s="399"/>
      <c r="R658" s="399"/>
      <c r="S658" s="334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401"/>
      <c r="M662" s="334"/>
      <c r="N662" s="399"/>
      <c r="O662" s="399"/>
      <c r="P662" s="334"/>
      <c r="Q662" s="399"/>
      <c r="R662" s="401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34"/>
      <c r="L664" s="334"/>
      <c r="M664" s="334"/>
      <c r="N664" s="401"/>
      <c r="O664" s="401"/>
      <c r="P664" s="334"/>
      <c r="Q664" s="401"/>
      <c r="R664" s="334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401"/>
      <c r="L665" s="401"/>
      <c r="M665" s="334"/>
      <c r="N665" s="399"/>
      <c r="O665" s="399"/>
      <c r="P665" s="334"/>
      <c r="Q665" s="399"/>
      <c r="R665" s="401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99"/>
      <c r="L666" s="399"/>
      <c r="M666" s="334"/>
      <c r="N666" s="399"/>
      <c r="O666" s="399"/>
      <c r="P666" s="334"/>
      <c r="Q666" s="399"/>
      <c r="R666" s="399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399"/>
      <c r="L667" s="399"/>
      <c r="M667" s="334"/>
      <c r="N667" s="399"/>
      <c r="O667" s="399"/>
      <c r="P667" s="334"/>
      <c r="Q667" s="399"/>
      <c r="R667" s="399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401"/>
      <c r="O674" s="401"/>
      <c r="P674" s="334"/>
      <c r="Q674" s="401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401"/>
      <c r="L675" s="401"/>
      <c r="M675" s="334"/>
      <c r="N675" s="399"/>
      <c r="O675" s="399"/>
      <c r="P675" s="334"/>
      <c r="Q675" s="399"/>
      <c r="R675" s="401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399"/>
      <c r="O676" s="399"/>
      <c r="P676" s="334"/>
      <c r="Q676" s="399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399"/>
      <c r="L677" s="399"/>
      <c r="M677" s="334"/>
      <c r="N677" s="399"/>
      <c r="O677" s="399"/>
      <c r="P677" s="334"/>
      <c r="Q677" s="399"/>
      <c r="R677" s="399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34"/>
      <c r="O689" s="334"/>
      <c r="P689" s="334"/>
      <c r="Q689" s="334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401"/>
      <c r="O690" s="401"/>
      <c r="P690" s="334"/>
      <c r="Q690" s="401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34"/>
      <c r="L691" s="334"/>
      <c r="M691" s="334"/>
      <c r="N691" s="399"/>
      <c r="O691" s="399"/>
      <c r="P691" s="334"/>
      <c r="Q691" s="399"/>
      <c r="R691" s="334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401"/>
      <c r="L692" s="401"/>
      <c r="M692" s="334"/>
      <c r="N692" s="399"/>
      <c r="O692" s="399"/>
      <c r="P692" s="334"/>
      <c r="Q692" s="399"/>
      <c r="R692" s="401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99"/>
      <c r="L693" s="399"/>
      <c r="M693" s="334"/>
      <c r="N693" s="399"/>
      <c r="O693" s="399"/>
      <c r="P693" s="334"/>
      <c r="Q693" s="399"/>
      <c r="R693" s="399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399"/>
      <c r="L694" s="399"/>
      <c r="M694" s="334"/>
      <c r="N694" s="399"/>
      <c r="O694" s="399"/>
      <c r="P694" s="334"/>
      <c r="Q694" s="399"/>
      <c r="R694" s="399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401"/>
      <c r="M699" s="334"/>
      <c r="N699" s="399"/>
      <c r="O699" s="399"/>
      <c r="P699" s="334"/>
      <c r="Q699" s="399"/>
      <c r="R699" s="401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399"/>
      <c r="M701" s="334"/>
      <c r="N701" s="399"/>
      <c r="O701" s="399"/>
      <c r="P701" s="334"/>
      <c r="Q701" s="399"/>
      <c r="R701" s="399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401"/>
      <c r="O702" s="401"/>
      <c r="P702" s="334"/>
      <c r="Q702" s="401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phoneticPr fontId="31" type="noConversion"/>
  <conditionalFormatting sqref="D31:D32">
    <cfRule type="expression" dxfId="1004" priority="17" stopIfTrue="1">
      <formula>"esterreur(reference)"</formula>
    </cfRule>
  </conditionalFormatting>
  <conditionalFormatting sqref="D112:D113">
    <cfRule type="expression" dxfId="1003" priority="12" stopIfTrue="1">
      <formula>"esterreur(reference)"</formula>
    </cfRule>
  </conditionalFormatting>
  <conditionalFormatting sqref="F5">
    <cfRule type="expression" dxfId="1002" priority="78" stopIfTrue="1">
      <formula>"esterreur(reference)"</formula>
    </cfRule>
  </conditionalFormatting>
  <conditionalFormatting sqref="F184">
    <cfRule type="expression" dxfId="1001" priority="88" stopIfTrue="1">
      <formula>"esterreur(reference)"</formula>
    </cfRule>
  </conditionalFormatting>
  <conditionalFormatting sqref="G31:G32">
    <cfRule type="expression" dxfId="1000" priority="16" stopIfTrue="1">
      <formula>"esterreur(reference)"</formula>
    </cfRule>
  </conditionalFormatting>
  <conditionalFormatting sqref="G112:G113">
    <cfRule type="expression" dxfId="999" priority="13" stopIfTrue="1">
      <formula>"esterreur(reference)"</formula>
    </cfRule>
  </conditionalFormatting>
  <conditionalFormatting sqref="H136:H152">
    <cfRule type="expression" dxfId="998" priority="42" stopIfTrue="1">
      <formula>"esterreur(reference)"</formula>
    </cfRule>
  </conditionalFormatting>
  <conditionalFormatting sqref="H360">
    <cfRule type="expression" dxfId="997" priority="121" stopIfTrue="1">
      <formula>"esterreur(reference)"</formula>
    </cfRule>
  </conditionalFormatting>
  <conditionalFormatting sqref="H197:L197">
    <cfRule type="expression" dxfId="996" priority="123" stopIfTrue="1">
      <formula>"esterreur(reference)"</formula>
    </cfRule>
  </conditionalFormatting>
  <conditionalFormatting sqref="H396:L399">
    <cfRule type="expression" dxfId="995" priority="119" stopIfTrue="1">
      <formula>"esterreur(reference)"</formula>
    </cfRule>
  </conditionalFormatting>
  <conditionalFormatting sqref="I377:L377 H378:H395">
    <cfRule type="expression" dxfId="994" priority="120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993" priority="113" stopIfTrue="1">
      <formula>"esterreur(reference)"</formula>
    </cfRule>
  </conditionalFormatting>
  <conditionalFormatting sqref="J55:K71">
    <cfRule type="expression" dxfId="992" priority="124" stopIfTrue="1">
      <formula>"esterreur(reference)"</formula>
    </cfRule>
  </conditionalFormatting>
  <conditionalFormatting sqref="J102:L104">
    <cfRule type="expression" dxfId="991" priority="109" stopIfTrue="1">
      <formula>"esterreur(reference)"</formula>
    </cfRule>
  </conditionalFormatting>
  <conditionalFormatting sqref="J149:L152">
    <cfRule type="expression" dxfId="990" priority="41" stopIfTrue="1">
      <formula>"esterreur(reference)"</formula>
    </cfRule>
  </conditionalFormatting>
  <conditionalFormatting sqref="J295:L303">
    <cfRule type="expression" dxfId="989" priority="105" stopIfTrue="1">
      <formula>"esterreur(reference)"</formula>
    </cfRule>
  </conditionalFormatting>
  <conditionalFormatting sqref="J307:L308">
    <cfRule type="expression" dxfId="988" priority="95" stopIfTrue="1">
      <formula>"esterreur(reference)"</formula>
    </cfRule>
  </conditionalFormatting>
  <conditionalFormatting sqref="J360:L360">
    <cfRule type="expression" dxfId="987" priority="87" stopIfTrue="1">
      <formula>"esterreur(reference)"</formula>
    </cfRule>
  </conditionalFormatting>
  <conditionalFormatting sqref="J365:L376">
    <cfRule type="expression" dxfId="986" priority="92" stopIfTrue="1">
      <formula>"esterreur(reference)"</formula>
    </cfRule>
  </conditionalFormatting>
  <conditionalFormatting sqref="J378:L394">
    <cfRule type="expression" dxfId="985" priority="91" stopIfTrue="1">
      <formula>"esterreur(reference)"</formula>
    </cfRule>
  </conditionalFormatting>
  <conditionalFormatting sqref="J312:M312">
    <cfRule type="expression" dxfId="984" priority="93" stopIfTrue="1">
      <formula>"esterreur(reference)"</formula>
    </cfRule>
  </conditionalFormatting>
  <conditionalFormatting sqref="J112:Q121">
    <cfRule type="expression" dxfId="983" priority="14" stopIfTrue="1">
      <formula>"esterreur(reference)"</formula>
    </cfRule>
  </conditionalFormatting>
  <conditionalFormatting sqref="J123:Q134">
    <cfRule type="expression" dxfId="982" priority="68" stopIfTrue="1">
      <formula>"esterreur(reference)"</formula>
    </cfRule>
  </conditionalFormatting>
  <conditionalFormatting sqref="K5">
    <cfRule type="expression" dxfId="981" priority="102" stopIfTrue="1">
      <formula>"esterreur(reference)"</formula>
    </cfRule>
  </conditionalFormatting>
  <conditionalFormatting sqref="K175">
    <cfRule type="expression" dxfId="980" priority="99" stopIfTrue="1">
      <formula>"esterreur(reference)"</formula>
    </cfRule>
  </conditionalFormatting>
  <conditionalFormatting sqref="K183:K184">
    <cfRule type="expression" dxfId="979" priority="101" stopIfTrue="1">
      <formula>"esterreur(reference)"</formula>
    </cfRule>
  </conditionalFormatting>
  <conditionalFormatting sqref="K287">
    <cfRule type="expression" dxfId="978" priority="85" stopIfTrue="1">
      <formula>"esterreur(reference)"</formula>
    </cfRule>
  </conditionalFormatting>
  <conditionalFormatting sqref="K395">
    <cfRule type="expression" dxfId="977" priority="122" stopIfTrue="1">
      <formula>"esterreur(reference)"</formula>
    </cfRule>
  </conditionalFormatting>
  <conditionalFormatting sqref="K93:L96">
    <cfRule type="expression" dxfId="976" priority="90" stopIfTrue="1">
      <formula>"esterreur(reference)"</formula>
    </cfRule>
  </conditionalFormatting>
  <conditionalFormatting sqref="K99:L100">
    <cfRule type="expression" dxfId="975" priority="110" stopIfTrue="1">
      <formula>"esterreur(reference)"</formula>
    </cfRule>
  </conditionalFormatting>
  <conditionalFormatting sqref="K171:L173">
    <cfRule type="expression" dxfId="974" priority="100" stopIfTrue="1">
      <formula>"esterreur(reference)"</formula>
    </cfRule>
  </conditionalFormatting>
  <conditionalFormatting sqref="K176:L182">
    <cfRule type="expression" dxfId="973" priority="98" stopIfTrue="1">
      <formula>"esterreur(reference)"</formula>
    </cfRule>
  </conditionalFormatting>
  <conditionalFormatting sqref="K185:L196">
    <cfRule type="expression" dxfId="972" priority="94" stopIfTrue="1">
      <formula>"esterreur(reference)"</formula>
    </cfRule>
  </conditionalFormatting>
  <conditionalFormatting sqref="K239:L241">
    <cfRule type="expression" dxfId="971" priority="89" stopIfTrue="1">
      <formula>"esterreur(reference)"</formula>
    </cfRule>
  </conditionalFormatting>
  <conditionalFormatting sqref="K244:L244">
    <cfRule type="expression" dxfId="970" priority="97" stopIfTrue="1">
      <formula>"esterreur(reference)"</formula>
    </cfRule>
  </conditionalFormatting>
  <conditionalFormatting sqref="K247:L247">
    <cfRule type="expression" dxfId="969" priority="96" stopIfTrue="1">
      <formula>"esterreur(reference)"</formula>
    </cfRule>
  </conditionalFormatting>
  <conditionalFormatting sqref="L16:L24">
    <cfRule type="expression" dxfId="968" priority="112" stopIfTrue="1">
      <formula>"esterreur(reference)"</formula>
    </cfRule>
  </conditionalFormatting>
  <conditionalFormatting sqref="L42:L48">
    <cfRule type="expression" dxfId="967" priority="111" stopIfTrue="1">
      <formula>"esterreur(reference)"</formula>
    </cfRule>
  </conditionalFormatting>
  <conditionalFormatting sqref="L55:L66">
    <cfRule type="expression" dxfId="966" priority="79" stopIfTrue="1">
      <formula>"esterreur(reference)"</formula>
    </cfRule>
  </conditionalFormatting>
  <conditionalFormatting sqref="L68:L71">
    <cfRule type="expression" dxfId="965" priority="43" stopIfTrue="1">
      <formula>"esterreur(reference)"</formula>
    </cfRule>
  </conditionalFormatting>
  <conditionalFormatting sqref="L75:L82">
    <cfRule type="expression" dxfId="964" priority="80" stopIfTrue="1">
      <formula>"esterreur(reference)"</formula>
    </cfRule>
  </conditionalFormatting>
  <conditionalFormatting sqref="L136:L147">
    <cfRule type="expression" dxfId="963" priority="84" stopIfTrue="1">
      <formula>"esterreur(reference)"</formula>
    </cfRule>
  </conditionalFormatting>
  <conditionalFormatting sqref="L174:L175">
    <cfRule type="expression" dxfId="962" priority="108" stopIfTrue="1">
      <formula>"esterreur(reference)"</formula>
    </cfRule>
  </conditionalFormatting>
  <conditionalFormatting sqref="L198:L209">
    <cfRule type="expression" dxfId="961" priority="107" stopIfTrue="1">
      <formula>"esterreur(reference)"</formula>
    </cfRule>
  </conditionalFormatting>
  <conditionalFormatting sqref="L211:L228">
    <cfRule type="expression" dxfId="960" priority="83" stopIfTrue="1">
      <formula>"esterreur(reference)"</formula>
    </cfRule>
  </conditionalFormatting>
  <conditionalFormatting sqref="L254:L265">
    <cfRule type="expression" dxfId="959" priority="106" stopIfTrue="1">
      <formula>"esterreur(reference)"</formula>
    </cfRule>
  </conditionalFormatting>
  <conditionalFormatting sqref="L267:L284">
    <cfRule type="expression" dxfId="958" priority="82" stopIfTrue="1">
      <formula>"esterreur(reference)"</formula>
    </cfRule>
  </conditionalFormatting>
  <conditionalFormatting sqref="L318:L329">
    <cfRule type="expression" dxfId="957" priority="104" stopIfTrue="1">
      <formula>"esterreur(reference)"</formula>
    </cfRule>
  </conditionalFormatting>
  <conditionalFormatting sqref="L331">
    <cfRule type="expression" dxfId="956" priority="81" stopIfTrue="1">
      <formula>"esterreur(reference)"</formula>
    </cfRule>
  </conditionalFormatting>
  <conditionalFormatting sqref="L334:L343 L345:L348">
    <cfRule type="expression" dxfId="955" priority="103" stopIfTrue="1">
      <formula>"esterreur(reference)"</formula>
    </cfRule>
  </conditionalFormatting>
  <conditionalFormatting sqref="L356:L357 H357:I357 K357 J357:J358 H359:L359">
    <cfRule type="expression" dxfId="954" priority="118" stopIfTrue="1">
      <formula>"esterreur(reference)"</formula>
    </cfRule>
  </conditionalFormatting>
  <conditionalFormatting sqref="L5:Q14">
    <cfRule type="expression" dxfId="953" priority="73" stopIfTrue="1">
      <formula>"esterreur(reference)"</formula>
    </cfRule>
  </conditionalFormatting>
  <conditionalFormatting sqref="L156:Q162">
    <cfRule type="expression" dxfId="952" priority="39" stopIfTrue="1">
      <formula>"esterreur(reference)"</formula>
    </cfRule>
  </conditionalFormatting>
  <conditionalFormatting sqref="M95:M97">
    <cfRule type="expression" dxfId="951" priority="114" stopIfTrue="1">
      <formula>"esterreur(reference)"</formula>
    </cfRule>
  </conditionalFormatting>
  <conditionalFormatting sqref="O13:O14 O16 O18:O24 O83:Q85">
    <cfRule type="expression" dxfId="950" priority="77" stopIfTrue="1">
      <formula>"esterreur(reference)"</formula>
    </cfRule>
  </conditionalFormatting>
  <conditionalFormatting sqref="O172:O196 Q183 O198:P229 O232:Q232 O233:P233">
    <cfRule type="expression" dxfId="949" priority="66" stopIfTrue="1">
      <formula>"esterreur(reference)"</formula>
    </cfRule>
  </conditionalFormatting>
  <conditionalFormatting sqref="O318:P348 O349:Q349 O352:Q352 O353:P353">
    <cfRule type="expression" dxfId="948" priority="50" stopIfTrue="1">
      <formula>"esterreur(reference)"</formula>
    </cfRule>
  </conditionalFormatting>
  <conditionalFormatting sqref="O25:Q72">
    <cfRule type="expression" dxfId="947" priority="15" stopIfTrue="1">
      <formula>"esterreur(reference)"</formula>
    </cfRule>
  </conditionalFormatting>
  <conditionalFormatting sqref="O97:Q98 O122:Q122 O156:P157 O164:Q164 O165:P165">
    <cfRule type="expression" dxfId="946" priority="72" stopIfTrue="1">
      <formula>"esterreur(reference)"</formula>
    </cfRule>
  </conditionalFormatting>
  <conditionalFormatting sqref="O101:Q111">
    <cfRule type="expression" dxfId="945" priority="70" stopIfTrue="1">
      <formula>"esterreur(reference)"</formula>
    </cfRule>
  </conditionalFormatting>
  <conditionalFormatting sqref="O135:Q153">
    <cfRule type="expression" dxfId="944" priority="40" stopIfTrue="1">
      <formula>"esterreur(reference)"</formula>
    </cfRule>
  </conditionalFormatting>
  <conditionalFormatting sqref="O197:Q197">
    <cfRule type="expression" dxfId="943" priority="67" stopIfTrue="1">
      <formula>"esterreur(reference)"</formula>
    </cfRule>
  </conditionalFormatting>
  <conditionalFormatting sqref="O243:Q243 O252:Q253 O254:P284 O285:Q285 O288:Q288 O289:P289">
    <cfRule type="expression" dxfId="942" priority="57" stopIfTrue="1">
      <formula>"esterreur(reference)"</formula>
    </cfRule>
  </conditionalFormatting>
  <conditionalFormatting sqref="O295:Q317">
    <cfRule type="expression" dxfId="941" priority="48" stopIfTrue="1">
      <formula>"esterreur(reference)"</formula>
    </cfRule>
  </conditionalFormatting>
  <conditionalFormatting sqref="O359:Q394">
    <cfRule type="expression" dxfId="940" priority="44" stopIfTrue="1">
      <formula>"esterreur(reference)"</formula>
    </cfRule>
  </conditionalFormatting>
  <conditionalFormatting sqref="O396:Q399">
    <cfRule type="expression" dxfId="939" priority="45" stopIfTrue="1">
      <formula>"esterreur(reference)"</formula>
    </cfRule>
  </conditionalFormatting>
  <conditionalFormatting sqref="P5">
    <cfRule type="expression" dxfId="938" priority="74" stopIfTrue="1">
      <formula>"esterreur(reference)"</formula>
    </cfRule>
  </conditionalFormatting>
  <conditionalFormatting sqref="P175">
    <cfRule type="expression" dxfId="937" priority="61" stopIfTrue="1">
      <formula>"esterreur(reference)"</formula>
    </cfRule>
  </conditionalFormatting>
  <conditionalFormatting sqref="P183:P184">
    <cfRule type="expression" dxfId="936" priority="63" stopIfTrue="1">
      <formula>"esterreur(reference)"</formula>
    </cfRule>
  </conditionalFormatting>
  <conditionalFormatting sqref="P287">
    <cfRule type="expression" dxfId="935" priority="52" stopIfTrue="1">
      <formula>"esterreur(reference)"</formula>
    </cfRule>
  </conditionalFormatting>
  <conditionalFormatting sqref="P395">
    <cfRule type="expression" dxfId="934" priority="46" stopIfTrue="1">
      <formula>"esterreur(reference)"</formula>
    </cfRule>
  </conditionalFormatting>
  <conditionalFormatting sqref="P93:Q96">
    <cfRule type="expression" dxfId="933" priority="69" stopIfTrue="1">
      <formula>"esterreur(reference)"</formula>
    </cfRule>
  </conditionalFormatting>
  <conditionalFormatting sqref="P99:Q100">
    <cfRule type="expression" dxfId="932" priority="71" stopIfTrue="1">
      <formula>"esterreur(reference)"</formula>
    </cfRule>
  </conditionalFormatting>
  <conditionalFormatting sqref="P172:Q173">
    <cfRule type="expression" dxfId="931" priority="62" stopIfTrue="1">
      <formula>"esterreur(reference)"</formula>
    </cfRule>
  </conditionalFormatting>
  <conditionalFormatting sqref="P176:Q182">
    <cfRule type="expression" dxfId="930" priority="60" stopIfTrue="1">
      <formula>"esterreur(reference)"</formula>
    </cfRule>
  </conditionalFormatting>
  <conditionalFormatting sqref="P185:Q196">
    <cfRule type="expression" dxfId="929" priority="59" stopIfTrue="1">
      <formula>"esterreur(reference)"</formula>
    </cfRule>
  </conditionalFormatting>
  <conditionalFormatting sqref="P241:Q241">
    <cfRule type="expression" dxfId="928" priority="53" stopIfTrue="1">
      <formula>"esterreur(reference)"</formula>
    </cfRule>
  </conditionalFormatting>
  <conditionalFormatting sqref="P244:Q244">
    <cfRule type="expression" dxfId="927" priority="55" stopIfTrue="1">
      <formula>"esterreur(reference)"</formula>
    </cfRule>
  </conditionalFormatting>
  <conditionalFormatting sqref="P247:Q247">
    <cfRule type="expression" dxfId="926" priority="54" stopIfTrue="1">
      <formula>"esterreur(reference)"</formula>
    </cfRule>
  </conditionalFormatting>
  <conditionalFormatting sqref="Q16:Q24">
    <cfRule type="expression" dxfId="925" priority="76" stopIfTrue="1">
      <formula>"esterreur(reference)"</formula>
    </cfRule>
  </conditionalFormatting>
  <conditionalFormatting sqref="Q75:Q82">
    <cfRule type="expression" dxfId="924" priority="75" stopIfTrue="1">
      <formula>"esterreur(reference)"</formula>
    </cfRule>
  </conditionalFormatting>
  <conditionalFormatting sqref="Q174:Q175">
    <cfRule type="expression" dxfId="923" priority="65" stopIfTrue="1">
      <formula>"esterreur(reference)"</formula>
    </cfRule>
  </conditionalFormatting>
  <conditionalFormatting sqref="Q198:Q209">
    <cfRule type="expression" dxfId="922" priority="64" stopIfTrue="1">
      <formula>"esterreur(reference)"</formula>
    </cfRule>
  </conditionalFormatting>
  <conditionalFormatting sqref="Q211:Q228">
    <cfRule type="expression" dxfId="921" priority="58" stopIfTrue="1">
      <formula>"esterreur(reference)"</formula>
    </cfRule>
  </conditionalFormatting>
  <conditionalFormatting sqref="Q254:Q265">
    <cfRule type="expression" dxfId="920" priority="56" stopIfTrue="1">
      <formula>"esterreur(reference)"</formula>
    </cfRule>
  </conditionalFormatting>
  <conditionalFormatting sqref="Q267:Q284">
    <cfRule type="expression" dxfId="919" priority="51" stopIfTrue="1">
      <formula>"esterreur(reference)"</formula>
    </cfRule>
  </conditionalFormatting>
  <conditionalFormatting sqref="Q318:Q329">
    <cfRule type="expression" dxfId="918" priority="49" stopIfTrue="1">
      <formula>"esterreur(reference)"</formula>
    </cfRule>
  </conditionalFormatting>
  <conditionalFormatting sqref="Q331:Q348">
    <cfRule type="expression" dxfId="917" priority="47" stopIfTrue="1">
      <formula>"esterreur(reference)"</formula>
    </cfRule>
  </conditionalFormatting>
  <conditionalFormatting sqref="R312">
    <cfRule type="expression" dxfId="916" priority="115" stopIfTrue="1">
      <formula>"esterreur(reference)"</formula>
    </cfRule>
  </conditionalFormatting>
  <conditionalFormatting sqref="S186">
    <cfRule type="expression" dxfId="915" priority="86" stopIfTrue="1">
      <formula>"esterreur(reference)"</formula>
    </cfRule>
  </conditionalFormatting>
  <conditionalFormatting sqref="Z425:Z427">
    <cfRule type="cellIs" dxfId="914" priority="35" operator="greaterThan">
      <formula>0</formula>
    </cfRule>
  </conditionalFormatting>
  <conditionalFormatting sqref="Z432">
    <cfRule type="cellIs" dxfId="913" priority="32" operator="greaterThan">
      <formula>0</formula>
    </cfRule>
  </conditionalFormatting>
  <conditionalFormatting sqref="Z449:Z451">
    <cfRule type="cellIs" dxfId="912" priority="28" operator="greaterThan">
      <formula>0</formula>
    </cfRule>
  </conditionalFormatting>
  <conditionalFormatting sqref="Z463:Z465">
    <cfRule type="cellIs" dxfId="911" priority="24" operator="greaterThan">
      <formula>0</formula>
    </cfRule>
  </conditionalFormatting>
  <conditionalFormatting sqref="Z478:Z479">
    <cfRule type="cellIs" dxfId="910" priority="21" operator="greaterThan">
      <formula>0</formula>
    </cfRule>
  </conditionalFormatting>
  <conditionalFormatting sqref="Z495:Z497">
    <cfRule type="cellIs" dxfId="909" priority="18" operator="greaterThan">
      <formula>0</formula>
    </cfRule>
  </conditionalFormatting>
  <conditionalFormatting sqref="AC425:AC427">
    <cfRule type="cellIs" dxfId="908" priority="36" operator="greaterThan">
      <formula>0</formula>
    </cfRule>
  </conditionalFormatting>
  <conditionalFormatting sqref="AC432">
    <cfRule type="cellIs" dxfId="907" priority="33" operator="greaterThan">
      <formula>0</formula>
    </cfRule>
  </conditionalFormatting>
  <conditionalFormatting sqref="AC449:AC451">
    <cfRule type="cellIs" dxfId="906" priority="29" operator="greaterThan">
      <formula>0</formula>
    </cfRule>
  </conditionalFormatting>
  <conditionalFormatting sqref="AC463:AC465">
    <cfRule type="cellIs" dxfId="905" priority="25" operator="greaterThan">
      <formula>0</formula>
    </cfRule>
  </conditionalFormatting>
  <conditionalFormatting sqref="AC478:AC479">
    <cfRule type="cellIs" dxfId="904" priority="22" operator="greaterThan">
      <formula>0</formula>
    </cfRule>
  </conditionalFormatting>
  <conditionalFormatting sqref="AC495:AC497">
    <cfRule type="cellIs" dxfId="903" priority="19" operator="greaterThan">
      <formula>0</formula>
    </cfRule>
  </conditionalFormatting>
  <conditionalFormatting sqref="AG409:AI418">
    <cfRule type="cellIs" dxfId="902" priority="9" operator="greaterThan">
      <formula>0</formula>
    </cfRule>
  </conditionalFormatting>
  <conditionalFormatting sqref="AH449:AH452">
    <cfRule type="cellIs" dxfId="901" priority="6" operator="greaterThan">
      <formula>0</formula>
    </cfRule>
  </conditionalFormatting>
  <conditionalFormatting sqref="AH461:AH466">
    <cfRule type="cellIs" dxfId="900" priority="4" operator="greaterThan">
      <formula>0</formula>
    </cfRule>
  </conditionalFormatting>
  <conditionalFormatting sqref="AH420:AI448">
    <cfRule type="cellIs" dxfId="899" priority="8" operator="greaterThan">
      <formula>0</formula>
    </cfRule>
  </conditionalFormatting>
  <conditionalFormatting sqref="AH453:AI460 AH467:AI468">
    <cfRule type="cellIs" dxfId="898" priority="10" operator="greaterThan">
      <formula>0</formula>
    </cfRule>
  </conditionalFormatting>
  <conditionalFormatting sqref="AH469:AI477 AH480:AI480">
    <cfRule type="cellIs" dxfId="897" priority="11" operator="lessThan">
      <formula>0</formula>
    </cfRule>
  </conditionalFormatting>
  <conditionalFormatting sqref="AH478:AI479">
    <cfRule type="cellIs" dxfId="896" priority="3" operator="greaterThan">
      <formula>0</formula>
    </cfRule>
  </conditionalFormatting>
  <conditionalFormatting sqref="AH491:AI497">
    <cfRule type="cellIs" dxfId="895" priority="2" operator="greaterThan">
      <formula>0</formula>
    </cfRule>
  </conditionalFormatting>
  <conditionalFormatting sqref="AI449:AI451">
    <cfRule type="cellIs" dxfId="894" priority="7" operator="greaterThan">
      <formula>0</formula>
    </cfRule>
  </conditionalFormatting>
  <conditionalFormatting sqref="AI463:AI465">
    <cfRule type="cellIs" dxfId="893" priority="5" operator="greaterThan">
      <formula>0</formula>
    </cfRule>
  </conditionalFormatting>
  <conditionalFormatting sqref="AO409:AO418">
    <cfRule type="cellIs" dxfId="892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39" fitToHeight="0" orientation="landscape" r:id="rId1"/>
  <rowBreaks count="13" manualBreakCount="13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04"/>
  <sheetViews>
    <sheetView topLeftCell="L469" zoomScale="60" zoomScaleNormal="60" workbookViewId="0">
      <selection activeCell="L469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290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508" t="s">
        <v>5</v>
      </c>
      <c r="E3" s="509"/>
      <c r="F3" s="510"/>
      <c r="G3" s="511"/>
      <c r="H3" s="509"/>
      <c r="I3" s="510"/>
      <c r="J3" s="511" t="s">
        <v>7</v>
      </c>
      <c r="K3" s="509"/>
      <c r="L3" s="510"/>
      <c r="M3" s="511" t="s">
        <v>213</v>
      </c>
      <c r="N3" s="510"/>
      <c r="O3" s="508" t="s">
        <v>8</v>
      </c>
      <c r="P3" s="509"/>
      <c r="Q3" s="510"/>
      <c r="R3" s="515" t="s">
        <v>214</v>
      </c>
      <c r="S3" s="516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2297872.1051162328</v>
      </c>
      <c r="G5" s="23"/>
      <c r="H5" s="21"/>
      <c r="I5" s="24"/>
      <c r="J5" s="23"/>
      <c r="K5" s="25"/>
      <c r="L5" s="22">
        <v>2699145.17</v>
      </c>
      <c r="M5" s="26"/>
      <c r="N5" s="27"/>
      <c r="O5" s="23"/>
      <c r="P5" s="25"/>
      <c r="Q5" s="22">
        <v>2092480.4099999899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8</v>
      </c>
      <c r="E6" s="30">
        <f>IF(D6=0,0,F6/D6)</f>
        <v>4306.395348837209</v>
      </c>
      <c r="F6" s="30">
        <v>34451.162790697672</v>
      </c>
      <c r="G6" s="31"/>
      <c r="H6" s="30"/>
      <c r="I6" s="30"/>
      <c r="J6" s="31">
        <v>7</v>
      </c>
      <c r="K6" s="30">
        <f>IF(J6=0,0,L6/J6)</f>
        <v>4017.6799999999866</v>
      </c>
      <c r="L6" s="32">
        <v>28123.759999999907</v>
      </c>
      <c r="M6" s="31">
        <f t="shared" ref="M6:M12" si="2">J6-D6</f>
        <v>-1</v>
      </c>
      <c r="N6" s="33">
        <f t="shared" ref="N6:N12" si="3">L6-F6</f>
        <v>-6327.4027906977644</v>
      </c>
      <c r="O6" s="31">
        <v>10</v>
      </c>
      <c r="P6" s="30">
        <f t="shared" ref="P6:P12" si="4">IF(O6=0,0,Q6/O6)</f>
        <v>5653.2790000000005</v>
      </c>
      <c r="Q6" s="32">
        <v>56532.79</v>
      </c>
      <c r="R6" s="31">
        <f>J6-O6</f>
        <v>-3</v>
      </c>
      <c r="S6" s="34">
        <f>L6-Q6</f>
        <v>-28409.030000000093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14</v>
      </c>
      <c r="E7" s="30">
        <f t="shared" ref="E7:E12" si="5">IF(D7=0,0,F7/D7)</f>
        <v>4000.3311258278145</v>
      </c>
      <c r="F7" s="30">
        <v>56004.635761589401</v>
      </c>
      <c r="G7" s="31"/>
      <c r="H7" s="30"/>
      <c r="I7" s="30"/>
      <c r="J7" s="31">
        <v>17</v>
      </c>
      <c r="K7" s="30">
        <f t="shared" ref="K7:K12" si="6">IF(J7=0,0,L7/J7)</f>
        <v>2914.1311764705974</v>
      </c>
      <c r="L7" s="32">
        <v>49540.230000000156</v>
      </c>
      <c r="M7" s="31">
        <f t="shared" si="2"/>
        <v>3</v>
      </c>
      <c r="N7" s="33">
        <f t="shared" si="3"/>
        <v>-6464.4057615892452</v>
      </c>
      <c r="O7" s="31">
        <v>13</v>
      </c>
      <c r="P7" s="30">
        <f t="shared" si="4"/>
        <v>4282.3400000000074</v>
      </c>
      <c r="Q7" s="32">
        <v>55670.4200000001</v>
      </c>
      <c r="R7" s="31">
        <f t="shared" ref="R7:R12" si="7">J7-O7</f>
        <v>4</v>
      </c>
      <c r="S7" s="34">
        <f t="shared" ref="S7:S12" si="8">L7-Q7</f>
        <v>-6130.1899999999441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91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22</v>
      </c>
      <c r="E13" s="36">
        <f>IF(D13&lt;=0,0,F13/D13)</f>
        <v>4111.6272069221395</v>
      </c>
      <c r="F13" s="37">
        <f>+SUM(F6:F12)</f>
        <v>90455.798552287073</v>
      </c>
      <c r="G13" s="38"/>
      <c r="H13" s="36"/>
      <c r="I13" s="37"/>
      <c r="J13" s="38">
        <f>+SUM(J6:J12)</f>
        <v>24</v>
      </c>
      <c r="K13" s="36">
        <f>IF(J13&lt;=0,0,L13/J13)</f>
        <v>3235.999583333336</v>
      </c>
      <c r="L13" s="37">
        <f>+SUM(L6:L12)</f>
        <v>77663.990000000063</v>
      </c>
      <c r="M13" s="38">
        <f>+SUM(M6:M12)</f>
        <v>2</v>
      </c>
      <c r="N13" s="37">
        <f>+SUM(N6:N12)</f>
        <v>-12791.80855228701</v>
      </c>
      <c r="O13" s="38">
        <f>+SUM(O6:O12)</f>
        <v>23</v>
      </c>
      <c r="P13" s="36">
        <f>IF(O13&lt;=0,0,Q13/O13)</f>
        <v>4878.400434782613</v>
      </c>
      <c r="Q13" s="37">
        <f>+SUM(Q6:Q12)</f>
        <v>112203.21000000011</v>
      </c>
      <c r="R13" s="38">
        <f>+SUM(R6:R12)</f>
        <v>1</v>
      </c>
      <c r="S13" s="39">
        <f>+SUM(S6:S12)</f>
        <v>-34539.220000000038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9.0909090909090912E-2</v>
      </c>
      <c r="N14" s="43">
        <f>IF(F13=0,0,N13/F13)</f>
        <v>-0.14141501989939131</v>
      </c>
      <c r="O14" s="41"/>
      <c r="P14" s="30"/>
      <c r="Q14" s="40"/>
      <c r="R14" s="42">
        <f>R13/O13</f>
        <v>4.3478260869565216E-2</v>
      </c>
      <c r="S14" s="44">
        <f>IF(Q13=0,0,(S13/Q13))</f>
        <v>-0.30782737855717324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</v>
      </c>
      <c r="E15" s="25">
        <f>IF(D15=0,0,F15/D15)</f>
        <v>750</v>
      </c>
      <c r="F15" s="22">
        <v>2250</v>
      </c>
      <c r="G15" s="46"/>
      <c r="H15" s="47"/>
      <c r="I15" s="48"/>
      <c r="J15" s="49">
        <v>5</v>
      </c>
      <c r="K15" s="50">
        <f>IF(J15=0,0,L15/J15)</f>
        <v>2991.4239999999991</v>
      </c>
      <c r="L15" s="50">
        <v>14957.119999999995</v>
      </c>
      <c r="M15" s="51">
        <f>J15-D15</f>
        <v>2</v>
      </c>
      <c r="N15" s="48">
        <f>L15-F15</f>
        <v>12707.119999999995</v>
      </c>
      <c r="O15" s="49">
        <v>0</v>
      </c>
      <c r="P15" s="50">
        <f>IF(O15=0,0,Q15/O15)</f>
        <v>0</v>
      </c>
      <c r="Q15" s="50">
        <v>0</v>
      </c>
      <c r="R15" s="51">
        <f>J15-O15</f>
        <v>5</v>
      </c>
      <c r="S15" s="52">
        <f>L15-Q15</f>
        <v>14957.119999999995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0</v>
      </c>
      <c r="N17" s="33">
        <f>L17-F17</f>
        <v>0</v>
      </c>
      <c r="O17" s="51">
        <v>1</v>
      </c>
      <c r="P17" s="30">
        <f>IF(O17=0,0,Q17/O17)</f>
        <v>416.180000000007</v>
      </c>
      <c r="Q17" s="33">
        <v>416.180000000007</v>
      </c>
      <c r="R17" s="31">
        <f>J17-O17</f>
        <v>-1</v>
      </c>
      <c r="S17" s="34">
        <f>L17-Q17</f>
        <v>-416.180000000007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2471.1767026515581</v>
      </c>
      <c r="G19" s="31"/>
      <c r="H19" s="30"/>
      <c r="I19" s="30"/>
      <c r="J19" s="46"/>
      <c r="K19" s="30"/>
      <c r="L19" s="33">
        <v>1998</v>
      </c>
      <c r="M19" s="31"/>
      <c r="N19" s="33">
        <f>L19-F19</f>
        <v>-473.17670265155812</v>
      </c>
      <c r="O19" s="46"/>
      <c r="P19" s="30"/>
      <c r="Q19" s="33">
        <v>3371.01</v>
      </c>
      <c r="R19" s="31">
        <f>O19-K19</f>
        <v>0</v>
      </c>
      <c r="S19" s="34">
        <f>L19-Q19</f>
        <v>-1373.0100000000002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625</v>
      </c>
      <c r="G21" s="41"/>
      <c r="H21" s="30"/>
      <c r="I21" s="30"/>
      <c r="J21" s="31"/>
      <c r="K21" s="30">
        <f>IF(J13=0,0,L21/(J13+J15))</f>
        <v>-62.894137931034486</v>
      </c>
      <c r="L21" s="33">
        <v>-1823.93</v>
      </c>
      <c r="M21" s="31"/>
      <c r="N21" s="33">
        <f>L21-F21</f>
        <v>-2448.9300000000003</v>
      </c>
      <c r="O21" s="31"/>
      <c r="P21" s="30"/>
      <c r="Q21" s="33">
        <v>0</v>
      </c>
      <c r="R21" s="31">
        <f>O21-K21</f>
        <v>62.894137931034486</v>
      </c>
      <c r="S21" s="34">
        <f>L21-Q21</f>
        <v>-1823.93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28750</v>
      </c>
      <c r="G22" s="41"/>
      <c r="H22" s="30"/>
      <c r="I22" s="30"/>
      <c r="J22" s="31"/>
      <c r="K22" s="30">
        <f>IF(J13=0,0,L22/(J13+J15))</f>
        <v>917.55137931034471</v>
      </c>
      <c r="L22" s="33">
        <v>26608.989999999998</v>
      </c>
      <c r="M22" s="31"/>
      <c r="N22" s="33">
        <f>L22-F22</f>
        <v>-2141.010000000002</v>
      </c>
      <c r="O22" s="31"/>
      <c r="P22" s="30"/>
      <c r="Q22" s="33">
        <v>19652.099999999999</v>
      </c>
      <c r="R22" s="31">
        <f>O22-K22</f>
        <v>-917.55137931034471</v>
      </c>
      <c r="S22" s="34">
        <f>L22-Q22</f>
        <v>6956.8899999999994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12000</v>
      </c>
      <c r="G23" s="41"/>
      <c r="H23" s="30"/>
      <c r="I23" s="30"/>
      <c r="J23" s="31"/>
      <c r="K23" s="30">
        <f>IF(J13=0,0,L23/(J13+J15))</f>
        <v>442.7155172413793</v>
      </c>
      <c r="L23" s="33">
        <v>12838.75</v>
      </c>
      <c r="M23" s="51"/>
      <c r="N23" s="33">
        <f>L23-F23</f>
        <v>838.75</v>
      </c>
      <c r="O23" s="31"/>
      <c r="P23" s="30"/>
      <c r="Q23" s="33">
        <v>9571.14</v>
      </c>
      <c r="R23" s="31">
        <f>O23-K23</f>
        <v>-442.7155172413793</v>
      </c>
      <c r="S23" s="34">
        <f>L23-Q23</f>
        <v>3267.6100000000006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25</v>
      </c>
      <c r="E24" s="36">
        <f>IF(D24&lt;=0,0,F24/D24)</f>
        <v>1655</v>
      </c>
      <c r="F24" s="37">
        <f>F21+F22+F23</f>
        <v>41375</v>
      </c>
      <c r="G24" s="38"/>
      <c r="H24" s="36"/>
      <c r="I24" s="37"/>
      <c r="J24" s="38">
        <f>+J15+J13</f>
        <v>29</v>
      </c>
      <c r="K24" s="36">
        <f>IF(J24&lt;=0,0,L24/J24)</f>
        <v>1297.3727586206896</v>
      </c>
      <c r="L24" s="37">
        <f>L21+L22+L23</f>
        <v>37623.81</v>
      </c>
      <c r="M24" s="58">
        <f>J24-D24</f>
        <v>4</v>
      </c>
      <c r="N24" s="37">
        <f>L24-F24</f>
        <v>-3751.1900000000023</v>
      </c>
      <c r="O24" s="38">
        <f>+O15+O13</f>
        <v>23</v>
      </c>
      <c r="P24" s="36">
        <f>IF(O24&lt;=0,0,Q24/O24)</f>
        <v>1270.5756521739129</v>
      </c>
      <c r="Q24" s="37">
        <f>Q21+Q22+Q23</f>
        <v>29223.239999999998</v>
      </c>
      <c r="R24" s="56"/>
      <c r="S24" s="39">
        <f>L24-Q24</f>
        <v>8400.57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-9.0663202416918484E-2</v>
      </c>
      <c r="O25" s="41"/>
      <c r="P25" s="13"/>
      <c r="Q25" s="59"/>
      <c r="R25" s="60"/>
      <c r="S25" s="44">
        <f>IF(Q24=0,0,(S24/Q24))</f>
        <v>0.28746196520303702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25</v>
      </c>
      <c r="E27" s="64">
        <f>IF(D27&lt;=0,0,F27/D27)</f>
        <v>5462.0790101975444</v>
      </c>
      <c r="F27" s="65">
        <f>F13+F17+F24+F19+F15</f>
        <v>136551.97525493862</v>
      </c>
      <c r="G27" s="66"/>
      <c r="H27" s="67"/>
      <c r="I27" s="65"/>
      <c r="J27" s="66">
        <f>+J13+J15+J17</f>
        <v>29</v>
      </c>
      <c r="K27" s="67">
        <f>IF(J27&lt;=0,0,L27/J27)</f>
        <v>4560.1006896551735</v>
      </c>
      <c r="L27" s="65">
        <f>L13+L17+L24+L19+L15</f>
        <v>132242.92000000004</v>
      </c>
      <c r="M27" s="66">
        <f>J27-D27</f>
        <v>4</v>
      </c>
      <c r="N27" s="65">
        <f>L27-F27</f>
        <v>-4309.0552549385757</v>
      </c>
      <c r="O27" s="66">
        <f>+O13+O15+O17</f>
        <v>24</v>
      </c>
      <c r="P27" s="67">
        <f>IF(O27&lt;=0,0,Q27/O27)</f>
        <v>6050.5683333333391</v>
      </c>
      <c r="Q27" s="65">
        <f>Q13+Q17+Q24+Q19+Q15</f>
        <v>145213.64000000013</v>
      </c>
      <c r="R27" s="66">
        <f>J27-O27</f>
        <v>5</v>
      </c>
      <c r="S27" s="68">
        <f>L27-Q27</f>
        <v>-12970.720000000088</v>
      </c>
      <c r="T27" s="13"/>
      <c r="U27" s="13"/>
      <c r="V27" s="11" t="s">
        <v>221</v>
      </c>
      <c r="W27" s="497">
        <v>147000</v>
      </c>
      <c r="X27" s="490">
        <f>L27-W27</f>
        <v>-14757.079999999958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0.16</v>
      </c>
      <c r="N28" s="74">
        <f>N27/F27</f>
        <v>-3.1556154694164569E-2</v>
      </c>
      <c r="O28" s="72"/>
      <c r="P28" s="70"/>
      <c r="Q28" s="71"/>
      <c r="R28" s="73">
        <f>R27/O27</f>
        <v>0.20833333333333334</v>
      </c>
      <c r="S28" s="75">
        <f>IF(Q27=0,0,S27/Q27)</f>
        <v>-8.9321636727790019E-2</v>
      </c>
      <c r="T28" s="13"/>
      <c r="U28" s="13"/>
      <c r="V28" s="11"/>
      <c r="W28" s="497">
        <v>29</v>
      </c>
      <c r="X28" s="490">
        <f>J27-W28</f>
        <v>0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0.28879302366331699</v>
      </c>
      <c r="E31" s="82">
        <f t="shared" ref="E31:E36" si="10">F31/D$24</f>
        <v>1070.9115150014936</v>
      </c>
      <c r="F31" s="30">
        <v>26772.787875037338</v>
      </c>
      <c r="G31" s="157"/>
      <c r="H31" s="82"/>
      <c r="I31" s="30"/>
      <c r="J31" s="157">
        <f>L31/(L13+L15)</f>
        <v>0.24471008822934626</v>
      </c>
      <c r="K31" s="82">
        <f t="shared" ref="K31:K36" si="11">IF(L31=0,0,L31/J$24)</f>
        <v>781.56275862068969</v>
      </c>
      <c r="L31" s="30">
        <v>22665.32</v>
      </c>
      <c r="M31" s="41"/>
      <c r="N31" s="59">
        <f t="shared" ref="N31:N53" si="12">L31-F31</f>
        <v>-4107.4678750373387</v>
      </c>
      <c r="O31" s="157">
        <f>Q31/(Q13+Q15+Q17)</f>
        <v>0.27380187372707282</v>
      </c>
      <c r="P31" s="82">
        <f t="shared" ref="P31:P40" si="13">Q31/O$24</f>
        <v>1340.6695652173914</v>
      </c>
      <c r="Q31" s="33">
        <v>30835.4</v>
      </c>
      <c r="R31" s="41"/>
      <c r="S31" s="85">
        <f t="shared" ref="S31:S41" si="14">L31-Q31</f>
        <v>-8170.0800000000017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v>11378.125</v>
      </c>
      <c r="G32" s="162"/>
      <c r="H32" s="90"/>
      <c r="I32" s="22"/>
      <c r="J32" s="162">
        <f>L32/L24</f>
        <v>0.29546157074469598</v>
      </c>
      <c r="K32" s="88">
        <f t="shared" si="11"/>
        <v>383.32379310344828</v>
      </c>
      <c r="L32" s="22">
        <v>11116.39</v>
      </c>
      <c r="M32" s="23"/>
      <c r="N32" s="91">
        <f t="shared" si="12"/>
        <v>-261.73500000000058</v>
      </c>
      <c r="O32" s="162">
        <f>Q32/Q24</f>
        <v>0.27134705118255198</v>
      </c>
      <c r="P32" s="88">
        <f t="shared" si="13"/>
        <v>344.76695652173913</v>
      </c>
      <c r="Q32" s="22">
        <v>7929.64</v>
      </c>
      <c r="R32" s="23"/>
      <c r="S32" s="92">
        <f t="shared" si="14"/>
        <v>3186.7499999999991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v>3250</v>
      </c>
      <c r="G33" s="83"/>
      <c r="H33" s="82"/>
      <c r="I33" s="30"/>
      <c r="J33" s="41"/>
      <c r="K33" s="82">
        <f t="shared" si="11"/>
        <v>48.702068965517235</v>
      </c>
      <c r="L33" s="30">
        <v>1412.36</v>
      </c>
      <c r="M33" s="41"/>
      <c r="N33" s="59">
        <f t="shared" si="12"/>
        <v>-1837.64</v>
      </c>
      <c r="O33" s="41"/>
      <c r="P33" s="82">
        <f t="shared" si="13"/>
        <v>125.91260869565217</v>
      </c>
      <c r="Q33" s="33">
        <v>2895.99</v>
      </c>
      <c r="R33" s="41"/>
      <c r="S33" s="85">
        <f t="shared" si="14"/>
        <v>-1483.6299999999999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v>925</v>
      </c>
      <c r="G34" s="83"/>
      <c r="H34" s="82"/>
      <c r="I34" s="30"/>
      <c r="J34" s="41"/>
      <c r="K34" s="82">
        <f t="shared" si="11"/>
        <v>6.9913793103448274</v>
      </c>
      <c r="L34" s="30">
        <v>202.75</v>
      </c>
      <c r="M34" s="41"/>
      <c r="N34" s="59">
        <f t="shared" si="12"/>
        <v>-722.25</v>
      </c>
      <c r="O34" s="41"/>
      <c r="P34" s="82">
        <f t="shared" si="13"/>
        <v>30.17217391304348</v>
      </c>
      <c r="Q34" s="33">
        <v>693.96</v>
      </c>
      <c r="R34" s="41"/>
      <c r="S34" s="85">
        <f t="shared" si="14"/>
        <v>-491.21000000000004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61</v>
      </c>
      <c r="F35" s="22">
        <v>1525</v>
      </c>
      <c r="G35" s="89"/>
      <c r="H35" s="90"/>
      <c r="I35" s="22"/>
      <c r="J35" s="23"/>
      <c r="K35" s="88">
        <f t="shared" si="11"/>
        <v>39.439655172413794</v>
      </c>
      <c r="L35" s="22">
        <v>1143.75</v>
      </c>
      <c r="M35" s="23"/>
      <c r="N35" s="91">
        <f t="shared" si="12"/>
        <v>-381.25</v>
      </c>
      <c r="O35" s="23"/>
      <c r="P35" s="88">
        <f t="shared" si="13"/>
        <v>79.394347826086957</v>
      </c>
      <c r="Q35" s="33">
        <v>1826.07</v>
      </c>
      <c r="R35" s="23"/>
      <c r="S35" s="92">
        <f t="shared" si="14"/>
        <v>-682.31999999999994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v>12849.264705882353</v>
      </c>
      <c r="G36" s="83"/>
      <c r="H36" s="82"/>
      <c r="I36" s="30"/>
      <c r="J36" s="41"/>
      <c r="K36" s="82">
        <f t="shared" si="11"/>
        <v>626.61517241379306</v>
      </c>
      <c r="L36" s="459">
        <v>18171.84</v>
      </c>
      <c r="M36" s="13"/>
      <c r="N36" s="59">
        <f t="shared" si="12"/>
        <v>5322.575294117647</v>
      </c>
      <c r="O36" s="41"/>
      <c r="P36" s="82">
        <f t="shared" si="13"/>
        <v>956.57608695652175</v>
      </c>
      <c r="Q36" s="55">
        <v>22001.25</v>
      </c>
      <c r="R36" s="41"/>
      <c r="S36" s="85">
        <f t="shared" si="14"/>
        <v>-3829.41</v>
      </c>
      <c r="T36" s="13"/>
      <c r="U36" s="13"/>
      <c r="V36" s="11">
        <f>24238+13850-12000-7916</f>
        <v>18172</v>
      </c>
      <c r="W36" s="458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1057.7884935290861</v>
      </c>
      <c r="F37" s="30">
        <v>26444.712338227153</v>
      </c>
      <c r="G37" s="83"/>
      <c r="H37" s="82"/>
      <c r="I37" s="30"/>
      <c r="J37" s="41"/>
      <c r="K37" s="82">
        <f>IF(L37=0,0,L37/J$24)</f>
        <v>852.52103448275864</v>
      </c>
      <c r="L37" s="460">
        <v>24723.11</v>
      </c>
      <c r="M37" s="13"/>
      <c r="N37" s="59">
        <f t="shared" si="12"/>
        <v>-1721.6023382271524</v>
      </c>
      <c r="O37" s="41"/>
      <c r="P37" s="82">
        <f t="shared" si="13"/>
        <v>801.96173913043469</v>
      </c>
      <c r="Q37" s="33">
        <v>18445.12</v>
      </c>
      <c r="R37" s="41"/>
      <c r="S37" s="85">
        <f>L37-Q37</f>
        <v>6277.9900000000016</v>
      </c>
      <c r="T37" s="13"/>
      <c r="U37" s="13"/>
      <c r="V37" s="458">
        <v>24723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119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0.60888822562923539</v>
      </c>
      <c r="F41" s="96">
        <f>SUM(F31:F40)</f>
        <v>83144.889919146837</v>
      </c>
      <c r="G41" s="97"/>
      <c r="H41" s="95"/>
      <c r="I41" s="96"/>
      <c r="J41" s="97" t="s">
        <v>38</v>
      </c>
      <c r="K41" s="95">
        <f>L41/L$27</f>
        <v>0.6006788113874072</v>
      </c>
      <c r="L41" s="96">
        <f>SUM(L31:L40)</f>
        <v>79435.520000000004</v>
      </c>
      <c r="M41" s="98"/>
      <c r="N41" s="96">
        <f t="shared" si="12"/>
        <v>-3709.3699191468331</v>
      </c>
      <c r="O41" s="97" t="s">
        <v>38</v>
      </c>
      <c r="P41" s="95">
        <f>Q41/Q$27</f>
        <v>0.58277879405818844</v>
      </c>
      <c r="Q41" s="99">
        <f>SUM(Q31:Q40)</f>
        <v>84627.43</v>
      </c>
      <c r="R41" s="100"/>
      <c r="S41" s="101">
        <f t="shared" ref="S41:S51" si="16">L41-Q41</f>
        <v>-5191.9099999999889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12763.084482758622</v>
      </c>
      <c r="G42" s="41"/>
      <c r="H42" s="13"/>
      <c r="I42" s="30"/>
      <c r="J42" s="41"/>
      <c r="K42" s="13"/>
      <c r="L42" s="33">
        <v>15649.62</v>
      </c>
      <c r="M42" s="41"/>
      <c r="N42" s="59">
        <f t="shared" si="12"/>
        <v>2886.5355172413783</v>
      </c>
      <c r="O42" s="41"/>
      <c r="P42" s="13"/>
      <c r="Q42" s="33">
        <v>13952.2</v>
      </c>
      <c r="R42" s="41"/>
      <c r="S42" s="85">
        <f t="shared" si="16"/>
        <v>1697.42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10033.90459770115</v>
      </c>
      <c r="G43" s="83"/>
      <c r="H43" s="13"/>
      <c r="I43" s="22"/>
      <c r="J43" s="41"/>
      <c r="K43" s="13"/>
      <c r="L43" s="33">
        <v>9716.84</v>
      </c>
      <c r="M43" s="41"/>
      <c r="N43" s="59">
        <f t="shared" si="12"/>
        <v>-317.06459770114998</v>
      </c>
      <c r="O43" s="41"/>
      <c r="P43" s="13"/>
      <c r="Q43" s="33">
        <v>9673.2099999999991</v>
      </c>
      <c r="R43" s="41"/>
      <c r="S43" s="85">
        <f t="shared" si="16"/>
        <v>43.630000000001019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2"/>
        <v>0</v>
      </c>
      <c r="O44" s="107"/>
      <c r="P44" s="105"/>
      <c r="Q44" s="108">
        <v>342</v>
      </c>
      <c r="R44" s="107"/>
      <c r="S44" s="110">
        <f t="shared" si="16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128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7912.414865972517</v>
      </c>
      <c r="G49" s="83"/>
      <c r="H49" s="13"/>
      <c r="I49" s="22"/>
      <c r="J49" s="41"/>
      <c r="K49" s="13"/>
      <c r="L49" s="22">
        <v>5784.47</v>
      </c>
      <c r="M49" s="41"/>
      <c r="N49" s="59">
        <f t="shared" si="12"/>
        <v>-2127.9448659725167</v>
      </c>
      <c r="O49" s="41"/>
      <c r="P49" s="13"/>
      <c r="Q49" s="22">
        <v>7007.4</v>
      </c>
      <c r="R49" s="41"/>
      <c r="S49" s="85">
        <f t="shared" ref="S49:S60" si="18">L49-Q49</f>
        <v>-1222.9299999999994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8082.0910932346605</v>
      </c>
      <c r="G50" s="106"/>
      <c r="H50" s="105"/>
      <c r="I50" s="30"/>
      <c r="J50" s="107"/>
      <c r="K50" s="105"/>
      <c r="L50" s="33">
        <v>6891.78</v>
      </c>
      <c r="M50" s="107"/>
      <c r="N50" s="109">
        <f t="shared" si="12"/>
        <v>-1190.3110932346608</v>
      </c>
      <c r="O50" s="107"/>
      <c r="P50" s="105"/>
      <c r="Q50" s="33">
        <v>7096.33</v>
      </c>
      <c r="R50" s="107"/>
      <c r="S50" s="110">
        <f t="shared" si="18"/>
        <v>-204.55000000000018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4754.1712313145063</v>
      </c>
      <c r="G51" s="83"/>
      <c r="H51" s="13"/>
      <c r="I51" s="30"/>
      <c r="J51" s="41"/>
      <c r="K51" s="13"/>
      <c r="L51" s="33">
        <v>4064.63</v>
      </c>
      <c r="M51" s="41"/>
      <c r="N51" s="59">
        <f t="shared" si="12"/>
        <v>-689.54123131450615</v>
      </c>
      <c r="O51" s="41"/>
      <c r="P51" s="13"/>
      <c r="Q51" s="33">
        <v>5643.58</v>
      </c>
      <c r="R51" s="41"/>
      <c r="S51" s="85">
        <f t="shared" si="18"/>
        <v>-1578.9499999999998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1018.7509781388227</v>
      </c>
      <c r="G52" s="83"/>
      <c r="H52" s="13"/>
      <c r="I52" s="30"/>
      <c r="J52" s="41"/>
      <c r="K52" s="13"/>
      <c r="L52" s="33">
        <v>457.75</v>
      </c>
      <c r="M52" s="41"/>
      <c r="N52" s="59">
        <f t="shared" si="12"/>
        <v>-561.00097813882269</v>
      </c>
      <c r="O52" s="41"/>
      <c r="P52" s="13"/>
      <c r="Q52" s="33">
        <v>142.19999999999999</v>
      </c>
      <c r="R52" s="41"/>
      <c r="S52" s="85">
        <f t="shared" si="18"/>
        <v>315.55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0.32885952155053988</v>
      </c>
      <c r="F54" s="96">
        <f>+SUM(F42:F53)</f>
        <v>44906.417249120277</v>
      </c>
      <c r="G54" s="97"/>
      <c r="H54" s="95"/>
      <c r="I54" s="96"/>
      <c r="J54" s="97" t="s">
        <v>38</v>
      </c>
      <c r="K54" s="95">
        <f>L54/L$27</f>
        <v>0.32445661363194328</v>
      </c>
      <c r="L54" s="96">
        <f>+SUM(L42:L53)</f>
        <v>42907.09</v>
      </c>
      <c r="M54" s="100"/>
      <c r="N54" s="96">
        <f>+SUM(N42:N53)</f>
        <v>-1999.3272491202779</v>
      </c>
      <c r="O54" s="97" t="s">
        <v>38</v>
      </c>
      <c r="P54" s="95">
        <f>Q54/Q$27</f>
        <v>0.30201653233126008</v>
      </c>
      <c r="Q54" s="96">
        <f>+SUM(Q42:Q53)</f>
        <v>43856.92</v>
      </c>
      <c r="R54" s="100"/>
      <c r="S54" s="101">
        <f>+SUM(S42:S53)</f>
        <v>-949.82999999999834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71" si="20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8410.07</v>
      </c>
      <c r="M57" s="23"/>
      <c r="N57" s="91">
        <f t="shared" si="19"/>
        <v>1789.1366666666672</v>
      </c>
      <c r="O57" s="23"/>
      <c r="P57" s="111"/>
      <c r="Q57" s="22">
        <v>8049.91</v>
      </c>
      <c r="R57" s="23"/>
      <c r="S57" s="92">
        <f t="shared" si="20"/>
        <v>360.15999999999985</v>
      </c>
      <c r="T57" s="112"/>
      <c r="U57" s="13"/>
      <c r="V57" s="11" t="s">
        <v>249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4221.13</v>
      </c>
      <c r="M58" s="41"/>
      <c r="N58" s="59">
        <f t="shared" si="19"/>
        <v>-657.17000000000007</v>
      </c>
      <c r="O58" s="41"/>
      <c r="P58" s="13"/>
      <c r="Q58" s="33">
        <v>4885.13</v>
      </c>
      <c r="R58" s="41"/>
      <c r="S58" s="85">
        <f t="shared" si="20"/>
        <v>-664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27.88</v>
      </c>
      <c r="M59" s="41"/>
      <c r="N59" s="59">
        <f t="shared" si="19"/>
        <v>-797.12</v>
      </c>
      <c r="O59" s="41"/>
      <c r="P59" s="13"/>
      <c r="Q59" s="33">
        <v>874.14</v>
      </c>
      <c r="R59" s="41"/>
      <c r="S59" s="85">
        <f t="shared" si="20"/>
        <v>-846.26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1637.7</v>
      </c>
      <c r="M60" s="23"/>
      <c r="N60" s="91">
        <f t="shared" si="19"/>
        <v>-1677.0000000000002</v>
      </c>
      <c r="O60" s="23"/>
      <c r="P60" s="111"/>
      <c r="Q60" s="22">
        <v>3076.7</v>
      </c>
      <c r="R60" s="23"/>
      <c r="S60" s="92">
        <f t="shared" si="20"/>
        <v>-1438.9999999999998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0</v>
      </c>
      <c r="M61" s="41"/>
      <c r="N61" s="59">
        <f t="shared" si="19"/>
        <v>-40</v>
      </c>
      <c r="O61" s="41"/>
      <c r="P61" s="13"/>
      <c r="Q61" s="33">
        <v>301.85000000000002</v>
      </c>
      <c r="R61" s="41"/>
      <c r="S61" s="85">
        <f t="shared" si="20"/>
        <v>-301.85000000000002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0</v>
      </c>
      <c r="R62" s="41"/>
      <c r="S62" s="85">
        <f t="shared" si="20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464.45</v>
      </c>
      <c r="M63" s="41"/>
      <c r="N63" s="59">
        <f t="shared" si="19"/>
        <v>-244.3</v>
      </c>
      <c r="O63" s="41"/>
      <c r="P63" s="13"/>
      <c r="Q63" s="32">
        <v>856.73</v>
      </c>
      <c r="R63" s="41"/>
      <c r="S63" s="85">
        <f t="shared" si="20"/>
        <v>-392.28000000000003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192.44</v>
      </c>
      <c r="M64" s="41"/>
      <c r="N64" s="59">
        <f t="shared" si="19"/>
        <v>-17.960000000000008</v>
      </c>
      <c r="O64" s="41"/>
      <c r="P64" s="13"/>
      <c r="Q64" s="33">
        <v>213.35</v>
      </c>
      <c r="R64" s="41"/>
      <c r="S64" s="85">
        <f t="shared" si="20"/>
        <v>-20.909999999999997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20.23</v>
      </c>
      <c r="M65" s="41"/>
      <c r="N65" s="59">
        <f t="shared" si="19"/>
        <v>-182.27</v>
      </c>
      <c r="O65" s="41"/>
      <c r="P65" s="13"/>
      <c r="Q65" s="33">
        <v>82.64</v>
      </c>
      <c r="R65" s="41"/>
      <c r="S65" s="85">
        <f t="shared" si="20"/>
        <v>-62.41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248.86</v>
      </c>
      <c r="M66" s="41"/>
      <c r="N66" s="59">
        <f t="shared" si="19"/>
        <v>-534.59</v>
      </c>
      <c r="O66" s="41"/>
      <c r="P66" s="13"/>
      <c r="Q66" s="33">
        <v>650.70000000000005</v>
      </c>
      <c r="R66" s="41"/>
      <c r="S66" s="85">
        <f t="shared" si="20"/>
        <v>-401.84000000000003</v>
      </c>
      <c r="T66" s="13"/>
      <c r="U66" s="13"/>
      <c r="V66" s="11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33">
        <v>-1602.55</v>
      </c>
      <c r="M67" s="41"/>
      <c r="N67" s="59">
        <f t="shared" si="19"/>
        <v>-2160.73351</v>
      </c>
      <c r="O67" s="41"/>
      <c r="P67" s="13"/>
      <c r="Q67" s="33">
        <v>423.95</v>
      </c>
      <c r="R67" s="41"/>
      <c r="S67" s="85">
        <f>L67-Q67</f>
        <v>-2026.5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3106.8634265171104</v>
      </c>
      <c r="G68" s="83"/>
      <c r="H68" s="13"/>
      <c r="I68" s="30"/>
      <c r="J68" s="41"/>
      <c r="K68" s="13"/>
      <c r="L68" s="32">
        <v>2738.78</v>
      </c>
      <c r="M68" s="41"/>
      <c r="N68" s="59">
        <f t="shared" si="19"/>
        <v>-368.08342651711018</v>
      </c>
      <c r="O68" s="41"/>
      <c r="P68" s="13"/>
      <c r="Q68" s="33">
        <v>3948.54</v>
      </c>
      <c r="R68" s="41"/>
      <c r="S68" s="85">
        <f>L68-Q68</f>
        <v>-1209.7599999999998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149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86" si="22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0.15583136186879035</v>
      </c>
      <c r="F72" s="96">
        <f>+SUM(F55:F71)</f>
        <v>21279.080269850445</v>
      </c>
      <c r="G72" s="97"/>
      <c r="H72" s="95"/>
      <c r="I72" s="96"/>
      <c r="J72" s="97" t="s">
        <v>38</v>
      </c>
      <c r="K72" s="95">
        <f>L72/L$27</f>
        <v>0.12370408941363363</v>
      </c>
      <c r="L72" s="96">
        <f>+SUM(L55:L71)</f>
        <v>16358.990000000003</v>
      </c>
      <c r="M72" s="100"/>
      <c r="N72" s="96">
        <f>+SUM(N55:N71)</f>
        <v>-4920.0902698504433</v>
      </c>
      <c r="O72" s="97" t="s">
        <v>38</v>
      </c>
      <c r="P72" s="95">
        <f>Q72/Q$27</f>
        <v>0.16089149752048071</v>
      </c>
      <c r="Q72" s="96">
        <f>+SUM(Q55:Q71)</f>
        <v>23363.64</v>
      </c>
      <c r="R72" s="100"/>
      <c r="S72" s="101">
        <f>+SUM(S55:S71)</f>
        <v>-7004.65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1.0935791090485656</v>
      </c>
      <c r="F74" s="96">
        <f>F41+F54+F72</f>
        <v>149330.38743811756</v>
      </c>
      <c r="G74" s="97"/>
      <c r="H74" s="95"/>
      <c r="I74" s="96"/>
      <c r="J74" s="97" t="s">
        <v>38</v>
      </c>
      <c r="K74" s="95">
        <f>L74/L$27</f>
        <v>1.0488395144329841</v>
      </c>
      <c r="L74" s="96">
        <f>L41+L54+L72</f>
        <v>138701.6</v>
      </c>
      <c r="M74" s="100"/>
      <c r="N74" s="113">
        <f t="shared" ref="N74:N82" si="23">L74-F74</f>
        <v>-10628.78743811755</v>
      </c>
      <c r="O74" s="97" t="s">
        <v>38</v>
      </c>
      <c r="P74" s="95">
        <f>Q74/Q$27</f>
        <v>1.0456868239099293</v>
      </c>
      <c r="Q74" s="96">
        <f>Q41+Q54+Q72</f>
        <v>151847.99</v>
      </c>
      <c r="R74" s="100"/>
      <c r="S74" s="114">
        <f>L74-Q74</f>
        <v>-13146.389999999985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39573.891545454549</v>
      </c>
      <c r="G75" s="83"/>
      <c r="H75" s="13"/>
      <c r="I75" s="30"/>
      <c r="J75" s="41"/>
      <c r="K75" s="13"/>
      <c r="L75" s="32">
        <v>28703.58</v>
      </c>
      <c r="M75" s="41"/>
      <c r="N75" s="59">
        <f t="shared" si="23"/>
        <v>-10870.311545454548</v>
      </c>
      <c r="O75" s="41"/>
      <c r="P75" s="13"/>
      <c r="Q75" s="32">
        <v>46412.76</v>
      </c>
      <c r="R75" s="41"/>
      <c r="S75" s="85">
        <f>L75-Q75</f>
        <v>-17709.18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82" si="24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42782.585454545457</v>
      </c>
      <c r="G78" s="83"/>
      <c r="H78" s="13"/>
      <c r="I78" s="30"/>
      <c r="J78" s="41"/>
      <c r="K78" s="13"/>
      <c r="L78" s="33">
        <v>60122.8</v>
      </c>
      <c r="M78" s="41"/>
      <c r="N78" s="59">
        <f t="shared" si="23"/>
        <v>17340.214545454546</v>
      </c>
      <c r="O78" s="41"/>
      <c r="P78" s="13"/>
      <c r="Q78" s="32">
        <v>35867.599999999999</v>
      </c>
      <c r="R78" s="41"/>
      <c r="S78" s="85">
        <f t="shared" si="24"/>
        <v>24255.200000000004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161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14651.875</v>
      </c>
      <c r="G82" s="83"/>
      <c r="H82" s="13"/>
      <c r="I82" s="30"/>
      <c r="J82" s="41"/>
      <c r="K82" s="13"/>
      <c r="L82" s="32">
        <v>17255</v>
      </c>
      <c r="M82" s="41"/>
      <c r="N82" s="59">
        <f t="shared" si="23"/>
        <v>2603.125</v>
      </c>
      <c r="O82" s="41"/>
      <c r="P82" s="13"/>
      <c r="Q82" s="32">
        <v>13685</v>
      </c>
      <c r="R82" s="41"/>
      <c r="S82" s="85">
        <f t="shared" ref="S82:S87" si="26">L82-Q82</f>
        <v>3570</v>
      </c>
      <c r="T82" s="13"/>
      <c r="U82" s="13"/>
      <c r="V82" s="11">
        <f>L82/595</f>
        <v>29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97008.352000000014</v>
      </c>
      <c r="G83" s="97"/>
      <c r="H83" s="95"/>
      <c r="I83" s="96"/>
      <c r="J83" s="97"/>
      <c r="K83" s="95"/>
      <c r="L83" s="96">
        <f>+SUM(L75:L82)</f>
        <v>106081.38</v>
      </c>
      <c r="M83" s="100"/>
      <c r="N83" s="96">
        <f>+SUM(N75:N82)</f>
        <v>9073.0279999999984</v>
      </c>
      <c r="O83" s="97"/>
      <c r="P83" s="95"/>
      <c r="Q83" s="96">
        <f>+SUM(Q75:Q82)</f>
        <v>95965.36</v>
      </c>
      <c r="R83" s="100"/>
      <c r="S83" s="101">
        <f>+SUM(S75:S82)</f>
        <v>10116.020000000004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84229.939816821076</v>
      </c>
      <c r="G85" s="128"/>
      <c r="H85" s="126"/>
      <c r="I85" s="127"/>
      <c r="J85" s="128"/>
      <c r="K85" s="125"/>
      <c r="L85" s="127">
        <f>L27-L74+L83</f>
        <v>99622.700000000041</v>
      </c>
      <c r="M85" s="128"/>
      <c r="N85" s="127">
        <f>N27-N41-N54-N72+N83</f>
        <v>15392.760183178976</v>
      </c>
      <c r="O85" s="128"/>
      <c r="P85" s="125"/>
      <c r="Q85" s="127">
        <f>Q27-Q74+Q83</f>
        <v>89331.01000000014</v>
      </c>
      <c r="R85" s="128"/>
      <c r="S85" s="129">
        <f>S27-S41-S54-S72+S83</f>
        <v>10291.689999999902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Octobre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08" t="s">
        <v>5</v>
      </c>
      <c r="E91" s="509"/>
      <c r="F91" s="510"/>
      <c r="G91" s="511"/>
      <c r="H91" s="509"/>
      <c r="I91" s="510"/>
      <c r="J91" s="511" t="s">
        <v>7</v>
      </c>
      <c r="K91" s="509"/>
      <c r="L91" s="510"/>
      <c r="M91" s="511" t="s">
        <v>213</v>
      </c>
      <c r="N91" s="510"/>
      <c r="O91" s="508" t="s">
        <v>8</v>
      </c>
      <c r="P91" s="509"/>
      <c r="Q91" s="510"/>
      <c r="R91" s="515" t="s">
        <v>214</v>
      </c>
      <c r="S91" s="516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1377176.4705882352</v>
      </c>
      <c r="G93" s="46"/>
      <c r="H93" s="25"/>
      <c r="I93" s="22"/>
      <c r="J93" s="23"/>
      <c r="K93" s="25"/>
      <c r="L93" s="22">
        <v>1289465.2600000002</v>
      </c>
      <c r="M93" s="137"/>
      <c r="N93" s="138"/>
      <c r="O93" s="23"/>
      <c r="P93" s="25"/>
      <c r="Q93" s="22">
        <v>1387184.80999999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7"/>
        <v>Véhicules usagésCertifié</v>
      </c>
      <c r="B94" s="11" t="s">
        <v>70</v>
      </c>
      <c r="C94" s="29" t="s">
        <v>72</v>
      </c>
      <c r="D94" s="30">
        <v>6</v>
      </c>
      <c r="E94" s="30">
        <f>IF(D94=0,0,F94/D94)</f>
        <v>2300</v>
      </c>
      <c r="F94" s="30">
        <v>13800</v>
      </c>
      <c r="G94" s="31"/>
      <c r="H94" s="30"/>
      <c r="I94" s="30"/>
      <c r="J94" s="31">
        <v>4</v>
      </c>
      <c r="K94" s="30">
        <f>IF(J94=0,0,L94/J94)</f>
        <v>1812.4475000000002</v>
      </c>
      <c r="L94" s="33">
        <v>7249.7900000000009</v>
      </c>
      <c r="M94" s="31">
        <f>J94-D94</f>
        <v>-2</v>
      </c>
      <c r="N94" s="33">
        <f>L94-F94</f>
        <v>-6550.2099999999991</v>
      </c>
      <c r="O94" s="31">
        <v>5</v>
      </c>
      <c r="P94" s="30">
        <f t="shared" ref="P94:P96" si="28">IF(O94=0,0,Q94/O94)</f>
        <v>2141.4540000000002</v>
      </c>
      <c r="Q94" s="33">
        <v>10707.27</v>
      </c>
      <c r="R94" s="31">
        <f>J94-O94</f>
        <v>-1</v>
      </c>
      <c r="S94" s="34">
        <f>L94-Q94</f>
        <v>-3457.4799999999996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7"/>
        <v>Véhicules usagésNon Certifié</v>
      </c>
      <c r="B95" s="11" t="s">
        <v>70</v>
      </c>
      <c r="C95" s="29" t="s">
        <v>73</v>
      </c>
      <c r="D95" s="30">
        <v>6</v>
      </c>
      <c r="E95" s="30">
        <f t="shared" ref="E95:E105" si="29">IF(D95=0,0,F95/D95)</f>
        <v>1600</v>
      </c>
      <c r="F95" s="30">
        <v>9600</v>
      </c>
      <c r="G95" s="31"/>
      <c r="H95" s="30"/>
      <c r="I95" s="30"/>
      <c r="J95" s="31">
        <v>3</v>
      </c>
      <c r="K95" s="30">
        <f>IF(J95=0,0,L95/J95)</f>
        <v>1673.1299999999999</v>
      </c>
      <c r="L95" s="32">
        <v>5019.3899999999994</v>
      </c>
      <c r="M95" s="31">
        <f>J95-D95</f>
        <v>-3</v>
      </c>
      <c r="N95" s="33">
        <f>L95-F95</f>
        <v>-4580.6100000000006</v>
      </c>
      <c r="O95" s="31">
        <v>5</v>
      </c>
      <c r="P95" s="30">
        <f t="shared" si="28"/>
        <v>4364.8</v>
      </c>
      <c r="Q95" s="32">
        <v>21824</v>
      </c>
      <c r="R95" s="31">
        <f>J95-O95</f>
        <v>-2</v>
      </c>
      <c r="S95" s="34">
        <f>L95-Q95</f>
        <v>-16804.61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7"/>
        <v>Véhicules usagésAutres marques</v>
      </c>
      <c r="B96" s="11" t="s">
        <v>70</v>
      </c>
      <c r="C96" s="29" t="s">
        <v>207</v>
      </c>
      <c r="D96" s="30">
        <v>6</v>
      </c>
      <c r="E96" s="25">
        <f t="shared" si="29"/>
        <v>1500</v>
      </c>
      <c r="F96" s="30">
        <v>9000</v>
      </c>
      <c r="G96" s="31"/>
      <c r="H96" s="30"/>
      <c r="I96" s="30"/>
      <c r="J96" s="31">
        <v>7</v>
      </c>
      <c r="K96" s="30">
        <f>IF(J96=0,0,L96/J96)</f>
        <v>1841.8500000000017</v>
      </c>
      <c r="L96" s="32">
        <v>12892.950000000012</v>
      </c>
      <c r="M96" s="31">
        <f>J96-D96</f>
        <v>1</v>
      </c>
      <c r="N96" s="33">
        <f>L96-F96</f>
        <v>3892.9500000000116</v>
      </c>
      <c r="O96" s="31">
        <v>4</v>
      </c>
      <c r="P96" s="30">
        <f t="shared" si="28"/>
        <v>1300.2549999999976</v>
      </c>
      <c r="Q96" s="32">
        <v>5201.0199999999904</v>
      </c>
      <c r="R96" s="31">
        <f>J96-O96</f>
        <v>3</v>
      </c>
      <c r="S96" s="34">
        <f>L96-Q96</f>
        <v>7691.9300000000212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18</v>
      </c>
      <c r="E97" s="30">
        <f t="shared" si="29"/>
        <v>1800</v>
      </c>
      <c r="F97" s="37">
        <f>+F94+F95+F96</f>
        <v>32400</v>
      </c>
      <c r="G97" s="38"/>
      <c r="H97" s="36"/>
      <c r="I97" s="37"/>
      <c r="J97" s="38">
        <f>+J94+J95+J96</f>
        <v>14</v>
      </c>
      <c r="K97" s="36">
        <f>IF(J97&lt;=0,0,L97/J97)</f>
        <v>1797.2950000000008</v>
      </c>
      <c r="L97" s="37">
        <f>+L94+L95+L96</f>
        <v>25162.130000000012</v>
      </c>
      <c r="M97" s="38">
        <f>J97-D97</f>
        <v>-4</v>
      </c>
      <c r="N97" s="37">
        <f>L97-F97</f>
        <v>-7237.8699999999881</v>
      </c>
      <c r="O97" s="38">
        <f>+O95+O94+O96</f>
        <v>14</v>
      </c>
      <c r="P97" s="36">
        <f>IF(O97=0,0,Q97/O97)</f>
        <v>2695.1635714285708</v>
      </c>
      <c r="Q97" s="37">
        <f>+Q94+Q95+Q96</f>
        <v>37732.289999999994</v>
      </c>
      <c r="R97" s="38">
        <f>J97-O97</f>
        <v>0</v>
      </c>
      <c r="S97" s="39">
        <f>L97-Q97</f>
        <v>-12570.159999999982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-0.22222222222222221</v>
      </c>
      <c r="N98" s="43">
        <f>N97/F97</f>
        <v>-0.22339104938271567</v>
      </c>
      <c r="O98" s="41"/>
      <c r="P98" s="13"/>
      <c r="Q98" s="40"/>
      <c r="R98" s="42">
        <f>R97/O97</f>
        <v>0</v>
      </c>
      <c r="S98" s="44">
        <f>IF(Q97=0,0,(S97/Q97))</f>
        <v>-0.33314066016136268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7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7"/>
        <v>Véhicules usagésVentes au Gros</v>
      </c>
      <c r="B100" s="11" t="s">
        <v>70</v>
      </c>
      <c r="C100" s="29" t="s">
        <v>75</v>
      </c>
      <c r="D100" s="30">
        <v>18</v>
      </c>
      <c r="E100" s="30">
        <f t="shared" si="29"/>
        <v>350</v>
      </c>
      <c r="F100" s="30">
        <v>6300</v>
      </c>
      <c r="G100" s="31"/>
      <c r="H100" s="30"/>
      <c r="I100" s="30"/>
      <c r="J100" s="31">
        <v>20</v>
      </c>
      <c r="K100" s="30">
        <f>IF(J100=0,0,L100/J100)</f>
        <v>577.12550000000044</v>
      </c>
      <c r="L100" s="33">
        <v>11542.510000000009</v>
      </c>
      <c r="M100" s="31">
        <f>J100-D100</f>
        <v>2</v>
      </c>
      <c r="N100" s="33">
        <f>L100-F100</f>
        <v>5242.5100000000093</v>
      </c>
      <c r="O100" s="31">
        <v>20</v>
      </c>
      <c r="P100" s="30">
        <f>IF(O100=0,0,Q100/O100)</f>
        <v>614.64799999999502</v>
      </c>
      <c r="Q100" s="33">
        <v>12292.959999999901</v>
      </c>
      <c r="R100" s="31">
        <f>J100-O100</f>
        <v>0</v>
      </c>
      <c r="S100" s="34">
        <f>L100-Q100</f>
        <v>-750.44999999989159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7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7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12" si="30">IF(D102=0,0,F102/D102)</f>
        <v>0</v>
      </c>
      <c r="F102" s="33">
        <v>6840</v>
      </c>
      <c r="G102" s="31"/>
      <c r="H102" s="30"/>
      <c r="I102" s="30"/>
      <c r="J102" s="31"/>
      <c r="K102" s="30">
        <f>IF(J97=0,0,L102/J97)</f>
        <v>365.34785714285715</v>
      </c>
      <c r="L102" s="33">
        <v>5114.87</v>
      </c>
      <c r="M102" s="31"/>
      <c r="N102" s="33">
        <f>L102-F102</f>
        <v>-1725.13</v>
      </c>
      <c r="O102" s="31"/>
      <c r="P102" s="30"/>
      <c r="Q102" s="33">
        <v>7467.43</v>
      </c>
      <c r="R102" s="31">
        <f>O102-K102</f>
        <v>-365.34785714285715</v>
      </c>
      <c r="S102" s="34">
        <f>L102-Q102</f>
        <v>-2352.5600000000004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7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0"/>
        <v>0</v>
      </c>
      <c r="F103" s="33">
        <v>15300</v>
      </c>
      <c r="G103" s="31"/>
      <c r="H103" s="30"/>
      <c r="I103" s="30"/>
      <c r="J103" s="31"/>
      <c r="K103" s="30">
        <f>IF(J97=0,0,L103/J97)</f>
        <v>1167.2014285714286</v>
      </c>
      <c r="L103" s="33">
        <v>16340.82</v>
      </c>
      <c r="M103" s="31"/>
      <c r="N103" s="33">
        <f>L103-F103</f>
        <v>1040.8199999999997</v>
      </c>
      <c r="O103" s="31"/>
      <c r="P103" s="30"/>
      <c r="Q103" s="33">
        <v>10093.200000000001</v>
      </c>
      <c r="R103" s="31">
        <f>O103-K103</f>
        <v>-1167.2014285714286</v>
      </c>
      <c r="S103" s="34">
        <f>L103-Q103</f>
        <v>6247.619999999999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7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0"/>
        <v>0</v>
      </c>
      <c r="F104" s="33">
        <v>3960</v>
      </c>
      <c r="G104" s="31"/>
      <c r="H104" s="47"/>
      <c r="I104" s="30"/>
      <c r="J104" s="31"/>
      <c r="K104" s="47">
        <f>IF(J97=0,0,L104/J97)</f>
        <v>226.14142857142855</v>
      </c>
      <c r="L104" s="33">
        <v>3165.9799999999996</v>
      </c>
      <c r="M104" s="51"/>
      <c r="N104" s="33">
        <f>L104-F104</f>
        <v>-794.02000000000044</v>
      </c>
      <c r="O104" s="31"/>
      <c r="P104" s="47"/>
      <c r="Q104" s="33">
        <v>1974</v>
      </c>
      <c r="R104" s="31">
        <f>O104-K104</f>
        <v>-226.14142857142855</v>
      </c>
      <c r="S104" s="34">
        <f>L104-Q104</f>
        <v>1191.9799999999996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7"/>
        <v>Véhicules usagésTotal F&amp;I</v>
      </c>
      <c r="B105" s="11" t="s">
        <v>70</v>
      </c>
      <c r="C105" s="35" t="s">
        <v>27</v>
      </c>
      <c r="D105" s="36">
        <f>D97</f>
        <v>18</v>
      </c>
      <c r="E105" s="30">
        <f t="shared" si="30"/>
        <v>1450</v>
      </c>
      <c r="F105" s="37">
        <f>F102+F103+F104</f>
        <v>26100</v>
      </c>
      <c r="G105" s="38"/>
      <c r="H105" s="36"/>
      <c r="I105" s="37"/>
      <c r="J105" s="38">
        <f>J97</f>
        <v>14</v>
      </c>
      <c r="K105" s="36">
        <f>IF(J105&lt;=0,0,L105/J105)</f>
        <v>1758.6907142857142</v>
      </c>
      <c r="L105" s="37">
        <f>L102+L103+L104</f>
        <v>24621.67</v>
      </c>
      <c r="M105" s="31">
        <f>J105-D105</f>
        <v>-4</v>
      </c>
      <c r="N105" s="37">
        <f>L105-F105</f>
        <v>-1478.3300000000017</v>
      </c>
      <c r="O105" s="38">
        <f>O97</f>
        <v>14</v>
      </c>
      <c r="P105" s="36">
        <f t="shared" ref="P105" si="31">IF(O105=0,0,Q105/O105)</f>
        <v>1395.3307142857143</v>
      </c>
      <c r="Q105" s="37">
        <f>Q102+Q103+Q104</f>
        <v>19534.63</v>
      </c>
      <c r="R105" s="56"/>
      <c r="S105" s="39">
        <f>L105-Q105</f>
        <v>5087.0399999999972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7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-5.6640996168582446E-2</v>
      </c>
      <c r="O106" s="41"/>
      <c r="P106" s="13"/>
      <c r="Q106" s="59"/>
      <c r="R106" s="60"/>
      <c r="S106" s="44">
        <f>IF(Q105=0,0,(S105/Q105))</f>
        <v>0.26041138224783356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7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7"/>
        <v>Véhicules usagésTotal Dépt. Usagés</v>
      </c>
      <c r="B108" s="11" t="s">
        <v>70</v>
      </c>
      <c r="C108" s="62" t="s">
        <v>76</v>
      </c>
      <c r="D108" s="63">
        <f>D97+D100</f>
        <v>36</v>
      </c>
      <c r="E108" s="67">
        <f>IF(D108&lt;=0,0,F108/D108)</f>
        <v>1800</v>
      </c>
      <c r="F108" s="65">
        <f>F97+F105+F100</f>
        <v>64800</v>
      </c>
      <c r="G108" s="66"/>
      <c r="H108" s="67"/>
      <c r="I108" s="65"/>
      <c r="J108" s="66">
        <f>J97+J100</f>
        <v>34</v>
      </c>
      <c r="K108" s="67">
        <f>IF(J108&lt;=0,0,L108/J108)</f>
        <v>1803.7150000000006</v>
      </c>
      <c r="L108" s="65">
        <f>L97+L105+L100</f>
        <v>61326.310000000019</v>
      </c>
      <c r="M108" s="66">
        <f>J108-D108</f>
        <v>-2</v>
      </c>
      <c r="N108" s="65">
        <f>L108-F108</f>
        <v>-3473.6899999999805</v>
      </c>
      <c r="O108" s="66">
        <f>O97+O100</f>
        <v>34</v>
      </c>
      <c r="P108" s="67">
        <f>IF(O108&lt;=0,0,Q108/O108)</f>
        <v>2045.8788235294089</v>
      </c>
      <c r="Q108" s="65">
        <f>Q97+Q105+Q100</f>
        <v>69559.879999999903</v>
      </c>
      <c r="R108" s="66">
        <f>J108-O108</f>
        <v>0</v>
      </c>
      <c r="S108" s="68">
        <f>L108-Q108</f>
        <v>-8233.5699999998833</v>
      </c>
      <c r="T108" s="13"/>
      <c r="U108" s="13"/>
      <c r="V108" s="11" t="s">
        <v>221</v>
      </c>
      <c r="W108" s="497">
        <v>58300</v>
      </c>
      <c r="X108" s="490">
        <f>L108-W108</f>
        <v>3026.3100000000195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7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-5.5555555555555552E-2</v>
      </c>
      <c r="N109" s="74">
        <f>N108/F108</f>
        <v>-5.3606327160493523E-2</v>
      </c>
      <c r="O109" s="72"/>
      <c r="P109" s="70"/>
      <c r="Q109" s="71"/>
      <c r="R109" s="73" t="e">
        <f>O108/R108</f>
        <v>#DIV/0!</v>
      </c>
      <c r="S109" s="145">
        <f>IF(Q108=0,0,(S108/Q108))</f>
        <v>-0.11836665043125283</v>
      </c>
      <c r="T109" s="13"/>
      <c r="U109" s="13"/>
      <c r="V109" s="13"/>
      <c r="W109" s="498">
        <v>14</v>
      </c>
      <c r="X109" s="30">
        <f>J97-W109</f>
        <v>0</v>
      </c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7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7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7"/>
        <v>Véhicules usagésComm. vendeurs</v>
      </c>
      <c r="B112" s="11" t="s">
        <v>70</v>
      </c>
      <c r="C112" s="29" t="s">
        <v>30</v>
      </c>
      <c r="D112" s="148">
        <f>F112/(F97+F105)</f>
        <v>0.1935697678226414</v>
      </c>
      <c r="E112" s="82">
        <f t="shared" ref="E112:E121" si="32">F112/D$97</f>
        <v>629.10174542358459</v>
      </c>
      <c r="F112" s="30">
        <v>11323.831417624522</v>
      </c>
      <c r="G112" s="157"/>
      <c r="H112" s="82"/>
      <c r="I112" s="30"/>
      <c r="J112" s="157">
        <f>L112/L97</f>
        <v>0.25429882128420755</v>
      </c>
      <c r="K112" s="82">
        <f>IF($J$97=0,0,L112/(J$94+J$95+J96))</f>
        <v>457.05</v>
      </c>
      <c r="L112" s="33">
        <v>6398.7</v>
      </c>
      <c r="M112" s="41"/>
      <c r="N112" s="59">
        <f t="shared" ref="N112:N153" si="33">L112-F112</f>
        <v>-4925.1314176245223</v>
      </c>
      <c r="O112" s="157">
        <f>Q112/Q97</f>
        <v>0.24522550844382893</v>
      </c>
      <c r="P112" s="82">
        <f t="shared" ref="P112:P121" si="34">Q112/O$97</f>
        <v>660.9228571428572</v>
      </c>
      <c r="Q112" s="33">
        <v>9252.92</v>
      </c>
      <c r="R112" s="41"/>
      <c r="S112" s="85">
        <f t="shared" ref="S112:S122" si="35">L112-Q112</f>
        <v>-2854.2200000000003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7"/>
        <v>Véhicules usagésComm. F&amp;I</v>
      </c>
      <c r="B113" s="11" t="s">
        <v>70</v>
      </c>
      <c r="C113" s="86" t="s">
        <v>31</v>
      </c>
      <c r="D113" s="218">
        <f>F113/(F105+F19)</f>
        <v>0.25121471456000233</v>
      </c>
      <c r="E113" s="88">
        <f t="shared" si="32"/>
        <v>398.75</v>
      </c>
      <c r="F113" s="22">
        <v>7177.5</v>
      </c>
      <c r="G113" s="162"/>
      <c r="H113" s="88"/>
      <c r="I113" s="22"/>
      <c r="J113" s="162">
        <f>L113/L105</f>
        <v>0.24696375184948868</v>
      </c>
      <c r="K113" s="88">
        <f>IF($J$97=0,0,L113/(J$94+J$95+J96))</f>
        <v>434.33285714285711</v>
      </c>
      <c r="L113" s="33">
        <v>6080.66</v>
      </c>
      <c r="M113" s="23"/>
      <c r="N113" s="91">
        <f t="shared" si="33"/>
        <v>-1096.8400000000001</v>
      </c>
      <c r="O113" s="162">
        <f>Q113/(Q105+Q19)</f>
        <v>0.24238833754481431</v>
      </c>
      <c r="P113" s="88">
        <f t="shared" si="34"/>
        <v>396.5757142857143</v>
      </c>
      <c r="Q113" s="33">
        <v>5552.06</v>
      </c>
      <c r="R113" s="23"/>
      <c r="S113" s="92">
        <f t="shared" si="35"/>
        <v>528.59999999999945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7"/>
        <v>Véhicules usagésFrais de livraison</v>
      </c>
      <c r="B114" s="11" t="s">
        <v>70</v>
      </c>
      <c r="C114" s="29" t="s">
        <v>32</v>
      </c>
      <c r="D114" s="81"/>
      <c r="E114" s="82">
        <f t="shared" si="32"/>
        <v>90</v>
      </c>
      <c r="F114" s="30">
        <v>1620</v>
      </c>
      <c r="G114" s="83"/>
      <c r="H114" s="82"/>
      <c r="I114" s="30"/>
      <c r="J114" s="41"/>
      <c r="K114" s="82">
        <f>IF($J$97=0,0,L114/(J$94+J$95+J96))</f>
        <v>76.951428571428565</v>
      </c>
      <c r="L114" s="108">
        <v>1077.32</v>
      </c>
      <c r="M114" s="41"/>
      <c r="N114" s="59">
        <f t="shared" si="33"/>
        <v>-542.68000000000006</v>
      </c>
      <c r="O114" s="41"/>
      <c r="P114" s="82">
        <f t="shared" si="34"/>
        <v>96.957857142857151</v>
      </c>
      <c r="Q114" s="108">
        <v>1357.41</v>
      </c>
      <c r="R114" s="41"/>
      <c r="S114" s="85">
        <f t="shared" si="35"/>
        <v>-280.09000000000015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7"/>
        <v>Véhicules usagésService gratuit 1</v>
      </c>
      <c r="B115" s="11" t="s">
        <v>70</v>
      </c>
      <c r="C115" s="29" t="s">
        <v>33</v>
      </c>
      <c r="D115" s="81"/>
      <c r="E115" s="82">
        <f t="shared" si="32"/>
        <v>94</v>
      </c>
      <c r="F115" s="30">
        <v>1692</v>
      </c>
      <c r="G115" s="83"/>
      <c r="H115" s="82"/>
      <c r="I115" s="30"/>
      <c r="J115" s="41"/>
      <c r="K115" s="82">
        <f>IF($J$97=0,0,L115/(J$94+J$95+J96))</f>
        <v>99.237857142857138</v>
      </c>
      <c r="L115" s="33">
        <v>1389.33</v>
      </c>
      <c r="M115" s="41"/>
      <c r="N115" s="59">
        <f t="shared" si="33"/>
        <v>-302.67000000000007</v>
      </c>
      <c r="O115" s="41"/>
      <c r="P115" s="82">
        <f t="shared" si="34"/>
        <v>85.892142857142858</v>
      </c>
      <c r="Q115" s="33">
        <v>1202.49</v>
      </c>
      <c r="R115" s="41"/>
      <c r="S115" s="85">
        <f t="shared" si="35"/>
        <v>186.83999999999992</v>
      </c>
      <c r="T115" s="13"/>
      <c r="U115" s="13"/>
      <c r="V115" s="462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7"/>
        <v>Véhicules usagésEntretien stock</v>
      </c>
      <c r="B116" s="11" t="s">
        <v>70</v>
      </c>
      <c r="C116" s="86" t="s">
        <v>34</v>
      </c>
      <c r="D116" s="87"/>
      <c r="E116" s="88">
        <f t="shared" si="32"/>
        <v>104.44444444444444</v>
      </c>
      <c r="F116" s="22">
        <v>1880</v>
      </c>
      <c r="G116" s="89"/>
      <c r="H116" s="88"/>
      <c r="I116" s="22"/>
      <c r="J116" s="23"/>
      <c r="K116" s="88">
        <f>IF($J$97=0,0,L116/(J$94+J$95+J96))</f>
        <v>130.97714285714287</v>
      </c>
      <c r="L116" s="48">
        <v>1833.68</v>
      </c>
      <c r="M116" s="23"/>
      <c r="N116" s="91">
        <f t="shared" si="33"/>
        <v>-46.319999999999936</v>
      </c>
      <c r="O116" s="23"/>
      <c r="P116" s="88">
        <f t="shared" si="34"/>
        <v>125.94785714285715</v>
      </c>
      <c r="Q116" s="48">
        <v>1763.27</v>
      </c>
      <c r="R116" s="23"/>
      <c r="S116" s="92">
        <f t="shared" si="35"/>
        <v>70.410000000000082</v>
      </c>
      <c r="T116" s="13"/>
      <c r="U116" s="13"/>
      <c r="V116" s="11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7"/>
        <v>Véhicules usagésPublicité 1</v>
      </c>
      <c r="B117" s="11" t="s">
        <v>70</v>
      </c>
      <c r="C117" s="29" t="s">
        <v>35</v>
      </c>
      <c r="D117" s="81"/>
      <c r="E117" s="82">
        <f t="shared" si="32"/>
        <v>379.16666666666669</v>
      </c>
      <c r="F117" s="30">
        <v>6825</v>
      </c>
      <c r="G117" s="83"/>
      <c r="H117" s="82"/>
      <c r="I117" s="30"/>
      <c r="J117" s="41"/>
      <c r="K117" s="82">
        <f>IF($J$97=0,0,L117/(J$94+J$95+J96))</f>
        <v>585.63857142857148</v>
      </c>
      <c r="L117" s="33">
        <v>8198.94</v>
      </c>
      <c r="M117" s="41"/>
      <c r="N117" s="59">
        <f t="shared" si="33"/>
        <v>1373.9400000000005</v>
      </c>
      <c r="O117" s="41"/>
      <c r="P117" s="82">
        <f t="shared" si="34"/>
        <v>646.4507142857143</v>
      </c>
      <c r="Q117" s="33">
        <v>9050.31</v>
      </c>
      <c r="R117" s="41"/>
      <c r="S117" s="85">
        <f t="shared" si="35"/>
        <v>-851.36999999999898</v>
      </c>
      <c r="T117" s="13"/>
      <c r="U117" s="13"/>
      <c r="V117" s="13">
        <v>8199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2"/>
        <v>264.87168882817247</v>
      </c>
      <c r="F118" s="30">
        <v>4767.6903989071043</v>
      </c>
      <c r="G118" s="83"/>
      <c r="H118" s="82"/>
      <c r="I118" s="30"/>
      <c r="J118" s="41"/>
      <c r="K118" s="82">
        <f>IF($J$97=0,0,L118/(J$94+J$95+J96))</f>
        <v>231.21857142857144</v>
      </c>
      <c r="L118" s="33">
        <v>3237.06</v>
      </c>
      <c r="M118" s="41"/>
      <c r="N118" s="59">
        <f t="shared" si="33"/>
        <v>-1530.6303989071043</v>
      </c>
      <c r="O118" s="41"/>
      <c r="P118" s="82">
        <f t="shared" si="34"/>
        <v>349.82785714285717</v>
      </c>
      <c r="Q118" s="33">
        <v>4897.59</v>
      </c>
      <c r="R118" s="41"/>
      <c r="S118" s="85">
        <f>L118-Q118</f>
        <v>-1660.5300000000002</v>
      </c>
      <c r="T118" s="13"/>
      <c r="U118" s="13"/>
      <c r="V118" s="13">
        <v>3237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2"/>
        <v>0</v>
      </c>
      <c r="F119" s="30">
        <v>0</v>
      </c>
      <c r="G119" s="83"/>
      <c r="H119" s="82"/>
      <c r="I119" s="30"/>
      <c r="J119" s="41"/>
      <c r="K119" s="82">
        <f t="shared" ref="K119:K121" si="36">IF($J$97=0,0,L119/(J$94+J$95))</f>
        <v>0</v>
      </c>
      <c r="L119" s="33">
        <v>0</v>
      </c>
      <c r="M119" s="41"/>
      <c r="N119" s="59">
        <f t="shared" si="33"/>
        <v>0</v>
      </c>
      <c r="O119" s="41"/>
      <c r="P119" s="82">
        <f t="shared" si="34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2"/>
        <v>0</v>
      </c>
      <c r="F120" s="30">
        <v>0</v>
      </c>
      <c r="G120" s="83"/>
      <c r="H120" s="82"/>
      <c r="I120" s="30"/>
      <c r="J120" s="41"/>
      <c r="K120" s="82">
        <f t="shared" si="36"/>
        <v>0</v>
      </c>
      <c r="L120" s="33">
        <v>0</v>
      </c>
      <c r="M120" s="41"/>
      <c r="N120" s="59">
        <f t="shared" si="33"/>
        <v>0</v>
      </c>
      <c r="O120" s="41"/>
      <c r="P120" s="82">
        <f t="shared" si="34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2"/>
        <v>0</v>
      </c>
      <c r="F121" s="30">
        <v>0</v>
      </c>
      <c r="G121" s="83"/>
      <c r="H121" s="82"/>
      <c r="I121" s="30"/>
      <c r="J121" s="41"/>
      <c r="K121" s="82">
        <f t="shared" si="36"/>
        <v>0</v>
      </c>
      <c r="L121" s="33">
        <v>0</v>
      </c>
      <c r="M121" s="41"/>
      <c r="N121" s="59">
        <f t="shared" si="33"/>
        <v>0</v>
      </c>
      <c r="O121" s="41"/>
      <c r="P121" s="82">
        <f t="shared" si="34"/>
        <v>0</v>
      </c>
      <c r="Q121" s="33">
        <v>0</v>
      </c>
      <c r="R121" s="41"/>
      <c r="S121" s="85">
        <f t="shared" ref="S121:S131" si="37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87" si="38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0.5445373737119078</v>
      </c>
      <c r="F122" s="96">
        <f>SUM(F112:F121)</f>
        <v>35286.021816531626</v>
      </c>
      <c r="G122" s="97"/>
      <c r="H122" s="95"/>
      <c r="I122" s="96"/>
      <c r="J122" s="97" t="s">
        <v>38</v>
      </c>
      <c r="K122" s="95">
        <f>L122/L$108</f>
        <v>0.46009110934605374</v>
      </c>
      <c r="L122" s="96">
        <f>SUM(L112:L121)</f>
        <v>28215.69</v>
      </c>
      <c r="M122" s="100"/>
      <c r="N122" s="96">
        <f t="shared" si="33"/>
        <v>-7070.3318165316268</v>
      </c>
      <c r="O122" s="97" t="s">
        <v>38</v>
      </c>
      <c r="P122" s="95">
        <f>Q122/Q$108</f>
        <v>0.47550470184825</v>
      </c>
      <c r="Q122" s="96">
        <f>SUM(Q112:Q121)</f>
        <v>33076.050000000003</v>
      </c>
      <c r="R122" s="100"/>
      <c r="S122" s="101">
        <f t="shared" si="37"/>
        <v>-4860.3600000000042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38"/>
        <v>Véhicules usagésSalaires cadres</v>
      </c>
      <c r="B123" s="11" t="s">
        <v>70</v>
      </c>
      <c r="C123" s="102" t="s">
        <v>40</v>
      </c>
      <c r="D123" s="13"/>
      <c r="E123" s="13"/>
      <c r="F123" s="30">
        <v>5140.4031830238728</v>
      </c>
      <c r="G123" s="41"/>
      <c r="H123" s="13"/>
      <c r="I123" s="30"/>
      <c r="J123" s="41"/>
      <c r="K123" s="13"/>
      <c r="L123" s="33">
        <v>3919.93</v>
      </c>
      <c r="M123" s="41"/>
      <c r="N123" s="59">
        <f t="shared" si="33"/>
        <v>-1220.4731830238729</v>
      </c>
      <c r="O123" s="41"/>
      <c r="P123" s="13"/>
      <c r="Q123" s="33">
        <v>5053.7700000000004</v>
      </c>
      <c r="R123" s="41"/>
      <c r="S123" s="85">
        <f t="shared" si="37"/>
        <v>-1133.8400000000006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38"/>
        <v>Véhicules usagésSalaires commis</v>
      </c>
      <c r="B124" s="11" t="s">
        <v>70</v>
      </c>
      <c r="C124" s="103" t="s">
        <v>41</v>
      </c>
      <c r="D124" s="81"/>
      <c r="E124" s="13"/>
      <c r="F124" s="22">
        <v>3077.1664750957852</v>
      </c>
      <c r="G124" s="83"/>
      <c r="H124" s="13"/>
      <c r="I124" s="22"/>
      <c r="J124" s="41"/>
      <c r="K124" s="13"/>
      <c r="L124" s="22">
        <v>3094.78</v>
      </c>
      <c r="M124" s="41"/>
      <c r="N124" s="59">
        <f t="shared" si="33"/>
        <v>17.613524904214955</v>
      </c>
      <c r="O124" s="41"/>
      <c r="P124" s="13"/>
      <c r="Q124" s="22">
        <v>3054.3</v>
      </c>
      <c r="R124" s="41"/>
      <c r="S124" s="85">
        <f t="shared" si="37"/>
        <v>40.480000000000018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38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3"/>
        <v>0</v>
      </c>
      <c r="O125" s="107"/>
      <c r="P125" s="105"/>
      <c r="Q125" s="33">
        <v>2809</v>
      </c>
      <c r="R125" s="107"/>
      <c r="S125" s="110">
        <f t="shared" si="37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 hidden="1">
      <c r="A126" t="str">
        <f t="shared" si="3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3"/>
        <v>0</v>
      </c>
      <c r="O126" s="41"/>
      <c r="P126" s="13"/>
      <c r="Q126" s="33">
        <v>0</v>
      </c>
      <c r="R126" s="41"/>
      <c r="S126" s="85">
        <f t="shared" si="37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3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3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3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95" si="39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3611.614505441662</v>
      </c>
      <c r="G130" s="83"/>
      <c r="H130" s="13"/>
      <c r="I130" s="30"/>
      <c r="J130" s="41"/>
      <c r="K130" s="13"/>
      <c r="L130" s="33">
        <v>2783.96</v>
      </c>
      <c r="M130" s="41"/>
      <c r="N130" s="59">
        <f t="shared" si="33"/>
        <v>-827.65450544166197</v>
      </c>
      <c r="O130" s="41"/>
      <c r="P130" s="13"/>
      <c r="Q130" s="33">
        <v>3482.38</v>
      </c>
      <c r="R130" s="41"/>
      <c r="S130" s="85">
        <f>L130-Q130</f>
        <v>-698.42000000000007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39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3689.0630636870028</v>
      </c>
      <c r="G131" s="106"/>
      <c r="H131" s="105"/>
      <c r="I131" s="54"/>
      <c r="J131" s="107"/>
      <c r="K131" s="105"/>
      <c r="L131" s="55">
        <v>2506.61</v>
      </c>
      <c r="M131" s="107"/>
      <c r="N131" s="109">
        <f t="shared" si="33"/>
        <v>-1182.4530636870027</v>
      </c>
      <c r="O131" s="107"/>
      <c r="P131" s="105"/>
      <c r="Q131" s="55">
        <v>2573.73</v>
      </c>
      <c r="R131" s="107"/>
      <c r="S131" s="110">
        <f t="shared" ref="S131:S148" si="40">L131-Q131</f>
        <v>-67.119999999999891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39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2170.0370962864722</v>
      </c>
      <c r="G132" s="83"/>
      <c r="H132" s="13"/>
      <c r="I132" s="30"/>
      <c r="J132" s="41"/>
      <c r="K132" s="13"/>
      <c r="L132" s="33">
        <v>1890.24</v>
      </c>
      <c r="M132" s="41"/>
      <c r="N132" s="59">
        <f t="shared" si="33"/>
        <v>-279.7970962864722</v>
      </c>
      <c r="O132" s="41"/>
      <c r="P132" s="13"/>
      <c r="Q132" s="33">
        <v>2765.28</v>
      </c>
      <c r="R132" s="41"/>
      <c r="S132" s="85">
        <f t="shared" si="40"/>
        <v>-875.04000000000019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39"/>
        <v>Véhicules usagésCsst</v>
      </c>
      <c r="B133" s="11" t="s">
        <v>70</v>
      </c>
      <c r="C133" s="102" t="s">
        <v>47</v>
      </c>
      <c r="D133" s="81"/>
      <c r="E133" s="13"/>
      <c r="F133" s="30">
        <v>465.00794920424403</v>
      </c>
      <c r="G133" s="83"/>
      <c r="H133" s="13"/>
      <c r="I133" s="30"/>
      <c r="J133" s="41"/>
      <c r="K133" s="13"/>
      <c r="L133" s="33">
        <v>198.23</v>
      </c>
      <c r="M133" s="41"/>
      <c r="N133" s="59">
        <f t="shared" si="33"/>
        <v>-266.77794920424401</v>
      </c>
      <c r="O133" s="41"/>
      <c r="P133" s="13"/>
      <c r="Q133" s="33">
        <v>48.92</v>
      </c>
      <c r="R133" s="41"/>
      <c r="S133" s="85">
        <f t="shared" si="40"/>
        <v>149.31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39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3"/>
        <v>0</v>
      </c>
      <c r="O134" s="23"/>
      <c r="P134" s="111"/>
      <c r="Q134" s="33">
        <v>0</v>
      </c>
      <c r="R134" s="23"/>
      <c r="S134" s="92">
        <f t="shared" si="40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39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0.32349216470276287</v>
      </c>
      <c r="F135" s="96">
        <f>+SUM(F123:F134)</f>
        <v>20962.292272739036</v>
      </c>
      <c r="G135" s="97"/>
      <c r="H135" s="95"/>
      <c r="I135" s="96"/>
      <c r="J135" s="97" t="s">
        <v>38</v>
      </c>
      <c r="K135" s="95">
        <f>L135/L$108</f>
        <v>0.28051174120862638</v>
      </c>
      <c r="L135" s="96">
        <f>SUM(L123:L134)</f>
        <v>17202.75</v>
      </c>
      <c r="M135" s="463"/>
      <c r="N135" s="464">
        <f t="shared" si="33"/>
        <v>-3759.542272739036</v>
      </c>
      <c r="O135" s="97" t="s">
        <v>38</v>
      </c>
      <c r="P135" s="95">
        <f>Q135/Q$108</f>
        <v>0.28446541310882112</v>
      </c>
      <c r="Q135" s="96">
        <f>+SUM(Q123:Q134)</f>
        <v>19787.379999999997</v>
      </c>
      <c r="R135" s="147"/>
      <c r="S135" s="114">
        <f t="shared" si="40"/>
        <v>-2584.6299999999974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 hidden="1">
      <c r="A136" t="str">
        <f t="shared" si="39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3"/>
        <v>0</v>
      </c>
      <c r="O136" s="41"/>
      <c r="P136" s="13"/>
      <c r="Q136" s="33">
        <v>0</v>
      </c>
      <c r="R136" s="41"/>
      <c r="S136" s="85">
        <f t="shared" si="40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39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3"/>
        <v>0</v>
      </c>
      <c r="O137" s="41"/>
      <c r="P137" s="13"/>
      <c r="Q137" s="33">
        <v>0</v>
      </c>
      <c r="R137" s="41"/>
      <c r="S137" s="85">
        <f t="shared" si="40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39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1237.52</v>
      </c>
      <c r="M138" s="23"/>
      <c r="N138" s="91">
        <f t="shared" si="33"/>
        <v>293.88666666666654</v>
      </c>
      <c r="O138" s="23"/>
      <c r="P138" s="111"/>
      <c r="Q138" s="22">
        <v>1075.23</v>
      </c>
      <c r="R138" s="23"/>
      <c r="S138" s="92">
        <f t="shared" si="40"/>
        <v>162.28999999999996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39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1303.4000000000001</v>
      </c>
      <c r="M139" s="41"/>
      <c r="N139" s="59">
        <f t="shared" si="33"/>
        <v>-122</v>
      </c>
      <c r="O139" s="41"/>
      <c r="P139" s="13"/>
      <c r="Q139" s="33">
        <v>1689.63</v>
      </c>
      <c r="R139" s="41"/>
      <c r="S139" s="85">
        <f t="shared" si="40"/>
        <v>-386.23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39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93.46</v>
      </c>
      <c r="M140" s="41"/>
      <c r="N140" s="59">
        <f t="shared" si="33"/>
        <v>-89.873333333333349</v>
      </c>
      <c r="O140" s="41"/>
      <c r="P140" s="13"/>
      <c r="Q140" s="33">
        <v>224.01</v>
      </c>
      <c r="R140" s="41"/>
      <c r="S140" s="85">
        <f t="shared" si="40"/>
        <v>-130.55000000000001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39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383.75</v>
      </c>
      <c r="M141" s="23"/>
      <c r="N141" s="91">
        <f t="shared" si="33"/>
        <v>-352.85</v>
      </c>
      <c r="O141" s="23"/>
      <c r="P141" s="111"/>
      <c r="Q141" s="22">
        <v>896.26</v>
      </c>
      <c r="R141" s="23"/>
      <c r="S141" s="92">
        <f t="shared" si="40"/>
        <v>-512.51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39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0</v>
      </c>
      <c r="M142" s="41"/>
      <c r="N142" s="59">
        <f t="shared" si="33"/>
        <v>-17.5</v>
      </c>
      <c r="O142" s="41"/>
      <c r="P142" s="13"/>
      <c r="Q142" s="33">
        <v>167.94</v>
      </c>
      <c r="R142" s="41"/>
      <c r="S142" s="85">
        <f t="shared" si="40"/>
        <v>-167.94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39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3"/>
        <v>-10</v>
      </c>
      <c r="O143" s="41"/>
      <c r="P143" s="13"/>
      <c r="Q143" s="33">
        <v>0</v>
      </c>
      <c r="R143" s="41"/>
      <c r="S143" s="85">
        <f t="shared" si="40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39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121.71</v>
      </c>
      <c r="M144" s="41"/>
      <c r="N144" s="59">
        <f t="shared" si="33"/>
        <v>-35.790000000000006</v>
      </c>
      <c r="O144" s="41"/>
      <c r="P144" s="13"/>
      <c r="Q144" s="32">
        <v>190.39</v>
      </c>
      <c r="R144" s="41"/>
      <c r="S144" s="85">
        <f t="shared" si="40"/>
        <v>-68.679999999999993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39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67.349999999999994</v>
      </c>
      <c r="M145" s="41"/>
      <c r="N145" s="59">
        <f t="shared" si="33"/>
        <v>4.1499999999999915</v>
      </c>
      <c r="O145" s="41"/>
      <c r="P145" s="13"/>
      <c r="Q145" s="33">
        <v>76.97</v>
      </c>
      <c r="R145" s="41"/>
      <c r="S145" s="85">
        <f t="shared" si="40"/>
        <v>-9.6200000000000045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39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98.62</v>
      </c>
      <c r="M146" s="41"/>
      <c r="N146" s="59">
        <f t="shared" si="33"/>
        <v>53.620000000000005</v>
      </c>
      <c r="O146" s="41"/>
      <c r="P146" s="13"/>
      <c r="Q146" s="33">
        <v>135.56</v>
      </c>
      <c r="R146" s="41"/>
      <c r="S146" s="85">
        <f t="shared" si="40"/>
        <v>-36.94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39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55.3</v>
      </c>
      <c r="M147" s="41"/>
      <c r="N147" s="59">
        <f t="shared" si="33"/>
        <v>-118.80000000000003</v>
      </c>
      <c r="O147" s="41"/>
      <c r="P147" s="13"/>
      <c r="Q147" s="33">
        <v>144.6</v>
      </c>
      <c r="R147" s="41"/>
      <c r="S147" s="85">
        <f t="shared" si="40"/>
        <v>-89.3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39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-356.12</v>
      </c>
      <c r="M148" s="41"/>
      <c r="N148" s="59">
        <f t="shared" si="33"/>
        <v>-480.16077999999999</v>
      </c>
      <c r="O148" s="41"/>
      <c r="P148" s="13"/>
      <c r="Q148" s="33">
        <v>59.02</v>
      </c>
      <c r="R148" s="41"/>
      <c r="S148" s="85">
        <f t="shared" si="40"/>
        <v>-415.14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690.41409478158016</v>
      </c>
      <c r="G149" s="83"/>
      <c r="H149" s="13"/>
      <c r="I149" s="30"/>
      <c r="J149" s="41"/>
      <c r="K149" s="13"/>
      <c r="L149" s="33">
        <v>608.62</v>
      </c>
      <c r="M149" s="41"/>
      <c r="N149" s="59">
        <f t="shared" si="33"/>
        <v>-81.794094781580156</v>
      </c>
      <c r="O149" s="41"/>
      <c r="P149" s="13"/>
      <c r="Q149" s="33">
        <v>877.44</v>
      </c>
      <c r="R149" s="41"/>
      <c r="S149" s="85">
        <f>L149-Q149</f>
        <v>-268.82000000000005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3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3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3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218" si="41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7.05358262569174E-2</v>
      </c>
      <c r="F153" s="96">
        <f>+SUM(F136:F152)</f>
        <v>4570.7215414482471</v>
      </c>
      <c r="G153" s="97"/>
      <c r="H153" s="95"/>
      <c r="I153" s="96"/>
      <c r="J153" s="97" t="s">
        <v>38</v>
      </c>
      <c r="K153" s="95">
        <f>L153/L$108</f>
        <v>5.8924301820866103E-2</v>
      </c>
      <c r="L153" s="96">
        <f>+SUM(L136:L152)</f>
        <v>3613.61</v>
      </c>
      <c r="M153" s="100"/>
      <c r="N153" s="96">
        <f t="shared" si="33"/>
        <v>-957.11154144824695</v>
      </c>
      <c r="O153" s="97" t="s">
        <v>38</v>
      </c>
      <c r="P153" s="95">
        <f>Q153/Q$108</f>
        <v>7.9601201152158532E-2</v>
      </c>
      <c r="Q153" s="96">
        <f>+SUM(Q136:Q152)</f>
        <v>5537.0500000000011</v>
      </c>
      <c r="R153" s="100"/>
      <c r="S153" s="101">
        <f>L153-Q153</f>
        <v>-1923.440000000001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1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1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0.93856536467158802</v>
      </c>
      <c r="F155" s="96">
        <f>F122+F135+F153</f>
        <v>60819.035630718907</v>
      </c>
      <c r="G155" s="97"/>
      <c r="H155" s="95"/>
      <c r="I155" s="96"/>
      <c r="J155" s="97" t="s">
        <v>38</v>
      </c>
      <c r="K155" s="95">
        <f>L155/L$108</f>
        <v>0.79952715237554628</v>
      </c>
      <c r="L155" s="96">
        <f>L122+L135+L153</f>
        <v>49032.05</v>
      </c>
      <c r="M155" s="100"/>
      <c r="N155" s="113">
        <f t="shared" ref="N155:N162" si="42">L155-F155</f>
        <v>-11786.985630718904</v>
      </c>
      <c r="O155" s="97" t="s">
        <v>38</v>
      </c>
      <c r="P155" s="95">
        <f>Q155/Q$108</f>
        <v>0.83957131610922975</v>
      </c>
      <c r="Q155" s="96">
        <f>Q122+Q135+Q153</f>
        <v>58400.480000000003</v>
      </c>
      <c r="R155" s="100"/>
      <c r="S155" s="114">
        <f t="shared" ref="S155:S162" si="43">L155-Q155</f>
        <v>-9368.43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1"/>
        <v>Véhicules usagésRBSC used</v>
      </c>
      <c r="B156" s="11" t="s">
        <v>70</v>
      </c>
      <c r="C156" s="29" t="s">
        <v>218</v>
      </c>
      <c r="D156" s="149"/>
      <c r="E156" s="150"/>
      <c r="F156" s="30">
        <v>2250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2"/>
        <v>-2250</v>
      </c>
      <c r="O156" s="151"/>
      <c r="P156" s="150"/>
      <c r="Q156" s="33">
        <v>3000</v>
      </c>
      <c r="R156" s="41"/>
      <c r="S156" s="85">
        <f t="shared" si="43"/>
        <v>-3000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1"/>
        <v>Véhicules usagésProgramme 360</v>
      </c>
      <c r="B157" s="11" t="s">
        <v>70</v>
      </c>
      <c r="C157" s="29" t="s">
        <v>219</v>
      </c>
      <c r="D157" s="149"/>
      <c r="E157" s="150"/>
      <c r="F157" s="30">
        <v>804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2"/>
        <v>-804</v>
      </c>
      <c r="O157" s="151"/>
      <c r="P157" s="150"/>
      <c r="Q157" s="33">
        <v>0</v>
      </c>
      <c r="R157" s="41"/>
      <c r="S157" s="85">
        <f t="shared" si="43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1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2"/>
        <v>0</v>
      </c>
      <c r="O158" s="41"/>
      <c r="P158" s="13"/>
      <c r="Q158" s="33">
        <v>0</v>
      </c>
      <c r="R158" s="41"/>
      <c r="S158" s="85">
        <f t="shared" si="43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8889.2999999999993</v>
      </c>
      <c r="G159" s="83"/>
      <c r="H159" s="13"/>
      <c r="I159" s="30"/>
      <c r="J159" s="41"/>
      <c r="K159" s="13"/>
      <c r="L159" s="32">
        <v>7735</v>
      </c>
      <c r="M159" s="41"/>
      <c r="N159" s="59">
        <f t="shared" si="42"/>
        <v>-1154.2999999999993</v>
      </c>
      <c r="O159" s="41"/>
      <c r="P159" s="13"/>
      <c r="Q159" s="33">
        <v>7140</v>
      </c>
      <c r="R159" s="41"/>
      <c r="S159" s="85">
        <f t="shared" si="43"/>
        <v>595</v>
      </c>
      <c r="T159" s="112"/>
      <c r="U159" s="13"/>
      <c r="V159" s="11">
        <f>L159/595</f>
        <v>13</v>
      </c>
      <c r="W159" s="489">
        <f>V159/J97</f>
        <v>0.9285714285714286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2"/>
        <v>0</v>
      </c>
      <c r="O160" s="41"/>
      <c r="P160" s="13"/>
      <c r="Q160" s="33">
        <v>0</v>
      </c>
      <c r="R160" s="41"/>
      <c r="S160" s="85">
        <f t="shared" si="43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2"/>
        <v>0</v>
      </c>
      <c r="O161" s="41"/>
      <c r="P161" s="13"/>
      <c r="Q161" s="33">
        <v>0</v>
      </c>
      <c r="R161" s="41"/>
      <c r="S161" s="85">
        <f t="shared" si="43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2"/>
        <v>0</v>
      </c>
      <c r="O162" s="41"/>
      <c r="P162" s="13"/>
      <c r="Q162" s="33">
        <v>0</v>
      </c>
      <c r="R162" s="41"/>
      <c r="S162" s="85">
        <f t="shared" si="43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11943.3</v>
      </c>
      <c r="G163" s="97"/>
      <c r="H163" s="95"/>
      <c r="I163" s="96"/>
      <c r="J163" s="97"/>
      <c r="K163" s="95"/>
      <c r="L163" s="96">
        <f>+SUM(L156:L162)</f>
        <v>7735</v>
      </c>
      <c r="M163" s="100"/>
      <c r="N163" s="96">
        <f>SUM(N156:N159)</f>
        <v>-4208.2999999999993</v>
      </c>
      <c r="O163" s="97"/>
      <c r="P163" s="95"/>
      <c r="Q163" s="96">
        <f>+SUM(Q156:Q162)</f>
        <v>10140</v>
      </c>
      <c r="R163" s="100"/>
      <c r="S163" s="101">
        <f>+SUM(S156:S162)</f>
        <v>-2405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15924.264369281093</v>
      </c>
      <c r="G165" s="153"/>
      <c r="H165" s="125"/>
      <c r="I165" s="127"/>
      <c r="J165" s="154"/>
      <c r="K165" s="126"/>
      <c r="L165" s="127">
        <f>L108-L155+L163</f>
        <v>20029.260000000017</v>
      </c>
      <c r="M165" s="154"/>
      <c r="N165" s="127">
        <f>L165-F165</f>
        <v>4104.9956307189241</v>
      </c>
      <c r="O165" s="154"/>
      <c r="P165" s="126"/>
      <c r="Q165" s="127">
        <f>Q108-Q155+Q163</f>
        <v>21299.3999999999</v>
      </c>
      <c r="R165" s="154"/>
      <c r="S165" s="129">
        <f>L165-Q165</f>
        <v>-1270.139999999883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Octobre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08" t="s">
        <v>5</v>
      </c>
      <c r="E170" s="509"/>
      <c r="F170" s="510"/>
      <c r="G170" s="511"/>
      <c r="H170" s="509"/>
      <c r="I170" s="510"/>
      <c r="J170" s="511" t="s">
        <v>7</v>
      </c>
      <c r="K170" s="509"/>
      <c r="L170" s="510"/>
      <c r="M170" s="511" t="s">
        <v>213</v>
      </c>
      <c r="N170" s="510"/>
      <c r="O170" s="508" t="s">
        <v>8</v>
      </c>
      <c r="P170" s="509"/>
      <c r="Q170" s="510"/>
      <c r="R170" s="515" t="s">
        <v>214</v>
      </c>
      <c r="S170" s="516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44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4"/>
        <v>ServiceM/O Client</v>
      </c>
      <c r="B172" s="11" t="s">
        <v>78</v>
      </c>
      <c r="C172" s="29" t="s">
        <v>81</v>
      </c>
      <c r="D172" s="491">
        <v>278.08363697684797</v>
      </c>
      <c r="E172" s="82">
        <v>94548.43657212831</v>
      </c>
      <c r="F172" s="82">
        <v>74125.974272548599</v>
      </c>
      <c r="G172" s="156"/>
      <c r="H172" s="82"/>
      <c r="I172" s="82"/>
      <c r="J172" s="60">
        <v>296</v>
      </c>
      <c r="K172" s="30">
        <v>91456.92</v>
      </c>
      <c r="L172" s="33">
        <v>71739.75</v>
      </c>
      <c r="M172" s="157">
        <f>(K172-E172)/E172</f>
        <v>-3.2697701667122568E-2</v>
      </c>
      <c r="N172" s="59">
        <f>L172-F172</f>
        <v>-2386.2242725485994</v>
      </c>
      <c r="O172" s="60">
        <v>330</v>
      </c>
      <c r="P172" s="30">
        <v>89572.72</v>
      </c>
      <c r="Q172" s="33">
        <v>71477.289999999994</v>
      </c>
      <c r="R172" s="157">
        <f>IF(O172=0,0,J172/O172)</f>
        <v>0.89696969696969697</v>
      </c>
      <c r="S172" s="85">
        <f>L172-Q172</f>
        <v>262.4600000000064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4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/>
      <c r="J173" s="60"/>
      <c r="K173" s="13"/>
      <c r="L173" s="158">
        <f>IF(L172=0,0,L172/K172)</f>
        <v>0.78441029940654028</v>
      </c>
      <c r="M173" s="157"/>
      <c r="N173" s="59"/>
      <c r="O173" s="60"/>
      <c r="P173" s="13"/>
      <c r="Q173" s="158">
        <f>Q172/P172</f>
        <v>0.79798056819085084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4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465">
        <f>IFERROR(K172/J172,0)</f>
        <v>308.97608108108108</v>
      </c>
      <c r="L174" s="160"/>
      <c r="M174" s="162"/>
      <c r="N174" s="91"/>
      <c r="O174" s="161"/>
      <c r="P174" s="465">
        <f>IFERROR(P172/O172,0)</f>
        <v>271.43248484848488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4"/>
        <v>ServiceM/O Garantie</v>
      </c>
      <c r="B175" s="11" t="s">
        <v>78</v>
      </c>
      <c r="C175" s="14" t="s">
        <v>83</v>
      </c>
      <c r="D175" s="493">
        <v>153.48585268768451</v>
      </c>
      <c r="E175" s="82">
        <v>22408.934492401939</v>
      </c>
      <c r="F175" s="82">
        <v>14341.718075137242</v>
      </c>
      <c r="G175" s="164"/>
      <c r="H175" s="82"/>
      <c r="I175" s="82"/>
      <c r="J175" s="164">
        <v>180</v>
      </c>
      <c r="K175" s="165">
        <v>27444.34</v>
      </c>
      <c r="L175" s="33">
        <v>18003.13</v>
      </c>
      <c r="M175" s="157">
        <f>(K175-E175)/E175</f>
        <v>0.22470526250613948</v>
      </c>
      <c r="N175" s="109">
        <f>L175-F175</f>
        <v>3661.4119248627594</v>
      </c>
      <c r="O175" s="164">
        <v>194</v>
      </c>
      <c r="P175" s="165">
        <v>32031.9</v>
      </c>
      <c r="Q175" s="33">
        <v>22008.22</v>
      </c>
      <c r="R175" s="157">
        <f>IF(O175=0,0,J175/O175)</f>
        <v>0.92783505154639179</v>
      </c>
      <c r="S175" s="85">
        <f>L175-Q175</f>
        <v>-4005.09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4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0.65598699039583397</v>
      </c>
      <c r="M176" s="42"/>
      <c r="N176" s="43"/>
      <c r="O176" s="41"/>
      <c r="P176" s="13"/>
      <c r="Q176" s="158">
        <f>Q175/P175</f>
        <v>0.68707195014969458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4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165.11288659793814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4"/>
        <v>ServiceM/O Interne</v>
      </c>
      <c r="B178" s="11" t="s">
        <v>78</v>
      </c>
      <c r="C178" s="29" t="s">
        <v>84</v>
      </c>
      <c r="D178" s="491">
        <v>180.95150336252576</v>
      </c>
      <c r="E178" s="82">
        <v>43428.360807006189</v>
      </c>
      <c r="F178" s="82">
        <v>29314.143544729181</v>
      </c>
      <c r="G178" s="41"/>
      <c r="H178" s="82"/>
      <c r="I178" s="82"/>
      <c r="J178" s="60">
        <v>136</v>
      </c>
      <c r="K178" s="165">
        <v>51267.160000000011</v>
      </c>
      <c r="L178" s="33">
        <v>39875.350000000013</v>
      </c>
      <c r="M178" s="157">
        <f>(K178-E178)/E178</f>
        <v>0.18049954102180177</v>
      </c>
      <c r="N178" s="59">
        <f>L178-F178</f>
        <v>10561.206455270833</v>
      </c>
      <c r="O178" s="60">
        <v>172</v>
      </c>
      <c r="P178" s="165">
        <v>46200.43</v>
      </c>
      <c r="Q178" s="33">
        <v>31253.35</v>
      </c>
      <c r="R178" s="157">
        <f>IF(O178=0,0,J178/O178)</f>
        <v>0.79069767441860461</v>
      </c>
      <c r="S178" s="85">
        <f>L178-Q178</f>
        <v>8622.0000000000146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4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0.77779518116470669</v>
      </c>
      <c r="M179" s="157"/>
      <c r="N179" s="59">
        <f>L179-F179</f>
        <v>0.10279518116470665</v>
      </c>
      <c r="O179" s="60"/>
      <c r="P179" s="144"/>
      <c r="Q179" s="158">
        <f>Q178/P178</f>
        <v>0.67647314105085166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4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268.60715116279067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4"/>
        <v>ServiceM/O Esthétique</v>
      </c>
      <c r="B181" s="11" t="s">
        <v>78</v>
      </c>
      <c r="C181" s="14" t="s">
        <v>85</v>
      </c>
      <c r="D181" s="493">
        <v>84.918069835115787</v>
      </c>
      <c r="E181" s="82">
        <v>16983.613967023157</v>
      </c>
      <c r="F181" s="82">
        <v>6793.4455868092627</v>
      </c>
      <c r="G181" s="107"/>
      <c r="H181" s="82"/>
      <c r="I181" s="82"/>
      <c r="J181" s="164">
        <v>68</v>
      </c>
      <c r="K181" s="165">
        <v>15993.25</v>
      </c>
      <c r="L181" s="108">
        <v>12514.12</v>
      </c>
      <c r="M181" s="173">
        <f>IF(E181=0,0,(K181-E181)/E181)</f>
        <v>-5.8312910841363481E-2</v>
      </c>
      <c r="N181" s="109">
        <f>L181-F181</f>
        <v>5720.6744131907381</v>
      </c>
      <c r="O181" s="164">
        <v>99</v>
      </c>
      <c r="P181" s="165">
        <v>17782.45</v>
      </c>
      <c r="Q181" s="108">
        <v>6067.88</v>
      </c>
      <c r="R181" s="157">
        <f>IF(O181=0,0,J181/O181)</f>
        <v>0.68686868686868685</v>
      </c>
      <c r="S181" s="110">
        <f>L181-Q181</f>
        <v>6446.2400000000007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4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0.78246260140996993</v>
      </c>
      <c r="M182" s="60">
        <f>J182-D182</f>
        <v>0</v>
      </c>
      <c r="N182" s="176"/>
      <c r="O182" s="175"/>
      <c r="P182" s="174"/>
      <c r="Q182" s="158">
        <f>IFERROR(Q181/P181,0)</f>
        <v>0.34122857086621922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4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179.62070707070708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4"/>
        <v>ServiceAjustement M/O</v>
      </c>
      <c r="B184" s="11" t="s">
        <v>78</v>
      </c>
      <c r="C184" s="29" t="s">
        <v>86</v>
      </c>
      <c r="D184" s="13"/>
      <c r="E184" s="13"/>
      <c r="F184" s="59">
        <v>-3364.9228532932289</v>
      </c>
      <c r="G184" s="41"/>
      <c r="H184" s="82"/>
      <c r="I184" s="82"/>
      <c r="J184" s="60"/>
      <c r="K184" s="82"/>
      <c r="L184" s="82">
        <v>-3782.41</v>
      </c>
      <c r="M184" s="175"/>
      <c r="N184" s="59">
        <f>L184-F184</f>
        <v>-417.487146706771</v>
      </c>
      <c r="O184" s="60"/>
      <c r="P184" s="82"/>
      <c r="Q184" s="82">
        <v>-2411.91</v>
      </c>
      <c r="R184" s="184"/>
      <c r="S184" s="85">
        <f>L184-Q184</f>
        <v>-1370.5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4"/>
        <v>ServiceSous-total M/O</v>
      </c>
      <c r="B185" s="11" t="s">
        <v>78</v>
      </c>
      <c r="C185" s="185" t="s">
        <v>87</v>
      </c>
      <c r="D185" s="186">
        <f>D172+D175+D178+D181+D184</f>
        <v>697.43906286217407</v>
      </c>
      <c r="E185" s="186">
        <f>E172+E175+E178+E181+E184</f>
        <v>177369.34583855959</v>
      </c>
      <c r="F185" s="187">
        <f>F172+F175+F178+F181+F184</f>
        <v>121210.35862593105</v>
      </c>
      <c r="G185" s="188"/>
      <c r="H185" s="186"/>
      <c r="I185" s="187"/>
      <c r="J185" s="188">
        <f>J172+J175+J178+J181+J184</f>
        <v>680</v>
      </c>
      <c r="K185" s="186">
        <f>K172+K175+K178+K181+K184</f>
        <v>186161.67</v>
      </c>
      <c r="L185" s="187">
        <f>L172+L175+L178+L181+L184</f>
        <v>138349.94</v>
      </c>
      <c r="M185" s="189">
        <f>(K185-E185)/E185</f>
        <v>4.9570708624268933E-2</v>
      </c>
      <c r="N185" s="187">
        <f>L185-F185</f>
        <v>17139.581374068948</v>
      </c>
      <c r="O185" s="188">
        <f t="shared" ref="O185:Q185" si="45">O172+O175+O178+O181+O184</f>
        <v>795</v>
      </c>
      <c r="P185" s="186">
        <f t="shared" si="45"/>
        <v>185587.5</v>
      </c>
      <c r="Q185" s="187">
        <f t="shared" si="45"/>
        <v>128394.82999999999</v>
      </c>
      <c r="R185" s="42">
        <f>IF(O185=0,0,J185/O185)</f>
        <v>0.85534591194968557</v>
      </c>
      <c r="S185" s="190">
        <f>L185-Q185</f>
        <v>9955.1100000000151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4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0.68337828080087704</v>
      </c>
      <c r="G186" s="194"/>
      <c r="H186" s="192"/>
      <c r="I186" s="43"/>
      <c r="J186" s="194"/>
      <c r="K186" s="443">
        <f>IF(J185=0,0,K185/J185)</f>
        <v>273.76716176470592</v>
      </c>
      <c r="L186" s="43">
        <f>IF(L185=0,0,L185/K185)</f>
        <v>0.7431709223493751</v>
      </c>
      <c r="M186" s="194"/>
      <c r="N186" s="193">
        <f>N185/F185</f>
        <v>0.14140360253337461</v>
      </c>
      <c r="O186" s="194"/>
      <c r="P186" s="443">
        <f>IF(O185=0,0,P185/O185)</f>
        <v>233.4433962264151</v>
      </c>
      <c r="Q186" s="43">
        <f>Q185/P185</f>
        <v>0.69182908331649484</v>
      </c>
      <c r="R186" s="194"/>
      <c r="S186" s="44">
        <f>IF(R185=0,0,S185/R185)</f>
        <v>11638.694779411782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4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4"/>
        <v>ServiceSous-traitement</v>
      </c>
      <c r="B188" s="11" t="s">
        <v>78</v>
      </c>
      <c r="C188" s="29" t="s">
        <v>89</v>
      </c>
      <c r="D188" s="82"/>
      <c r="E188" s="82">
        <v>5538.1709391603681</v>
      </c>
      <c r="F188" s="82">
        <v>636.88965800344238</v>
      </c>
      <c r="G188" s="60"/>
      <c r="H188" s="82"/>
      <c r="I188" s="82"/>
      <c r="J188" s="60"/>
      <c r="K188" s="30">
        <v>6152.42</v>
      </c>
      <c r="L188" s="33">
        <v>157.75</v>
      </c>
      <c r="M188" s="84">
        <f>IF(E188=0,0,(K188-E188)/E188)</f>
        <v>0.11091189990115349</v>
      </c>
      <c r="N188" s="59">
        <f>L188-F188</f>
        <v>-479.13965800344238</v>
      </c>
      <c r="O188" s="60"/>
      <c r="P188" s="30">
        <v>799.95</v>
      </c>
      <c r="Q188" s="33">
        <v>74.95</v>
      </c>
      <c r="R188" s="157">
        <f>IF(O188=0,0,J188/O188)</f>
        <v>0</v>
      </c>
      <c r="S188" s="85">
        <f>L188-Q188</f>
        <v>82.8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4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/>
      <c r="J189" s="175"/>
      <c r="K189" s="174"/>
      <c r="L189" s="158">
        <f>IF(L188=0,0,L188/K188)</f>
        <v>2.5640317143498004E-2</v>
      </c>
      <c r="M189" s="175"/>
      <c r="N189" s="176"/>
      <c r="O189" s="175"/>
      <c r="P189" s="174"/>
      <c r="Q189" s="158">
        <f>IFERROR(Q188/P188,0)</f>
        <v>9.3693355834739672E-2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4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4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4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4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4"/>
        <v>ServiceTotal Mécanique</v>
      </c>
      <c r="B194" s="11" t="s">
        <v>78</v>
      </c>
      <c r="C194" s="62" t="s">
        <v>91</v>
      </c>
      <c r="D194" s="63"/>
      <c r="E194" s="63">
        <f>E185+E188+E191</f>
        <v>182907.51677771995</v>
      </c>
      <c r="F194" s="65">
        <f>F185+F188+F191</f>
        <v>121847.2482839345</v>
      </c>
      <c r="G194" s="66"/>
      <c r="H194" s="63"/>
      <c r="I194" s="65"/>
      <c r="J194" s="66"/>
      <c r="K194" s="63">
        <f>K185+K188+K191</f>
        <v>192314.09000000003</v>
      </c>
      <c r="L194" s="65">
        <f>L185+L188+L191</f>
        <v>138507.69</v>
      </c>
      <c r="M194" s="206">
        <f>L195-F195</f>
        <v>5.4047406516477214E-2</v>
      </c>
      <c r="N194" s="65">
        <f>L194-F194</f>
        <v>16660.441716065499</v>
      </c>
      <c r="O194" s="66"/>
      <c r="P194" s="63">
        <f t="shared" ref="P194:Q194" si="46">P185+P188+P191</f>
        <v>186387.45</v>
      </c>
      <c r="Q194" s="65">
        <f t="shared" si="46"/>
        <v>128469.77999999998</v>
      </c>
      <c r="R194" s="206">
        <f>L195-Q195</f>
        <v>3.0954063058881931E-2</v>
      </c>
      <c r="S194" s="68">
        <f>L194-Q194</f>
        <v>10037.910000000018</v>
      </c>
      <c r="T194" s="112"/>
      <c r="U194" s="13"/>
      <c r="V194" s="11" t="s">
        <v>221</v>
      </c>
      <c r="W194" s="497">
        <v>141954</v>
      </c>
      <c r="X194" s="490">
        <f>L194-W194</f>
        <v>-3446.3099999999977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4"/>
        <v>Service</v>
      </c>
      <c r="B195" s="11" t="s">
        <v>78</v>
      </c>
      <c r="C195" s="69"/>
      <c r="D195" s="70"/>
      <c r="E195" s="70"/>
      <c r="F195" s="74">
        <f>F194/E194</f>
        <v>0.66616862133670807</v>
      </c>
      <c r="G195" s="72"/>
      <c r="H195" s="70"/>
      <c r="I195" s="74"/>
      <c r="J195" s="72"/>
      <c r="K195" s="70"/>
      <c r="L195" s="74">
        <f>L194/K194</f>
        <v>0.72021602785318528</v>
      </c>
      <c r="M195" s="73"/>
      <c r="N195" s="74">
        <f>N194/F194</f>
        <v>0.13673219502866829</v>
      </c>
      <c r="O195" s="72"/>
      <c r="P195" s="70"/>
      <c r="Q195" s="74">
        <f>Q194/P194</f>
        <v>0.68926196479430335</v>
      </c>
      <c r="R195" s="73"/>
      <c r="S195" s="75">
        <f>L194/S194</f>
        <v>13.798459041772615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4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4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4"/>
        <v>ServiceSalaires cadres</v>
      </c>
      <c r="B198" s="11" t="s">
        <v>78</v>
      </c>
      <c r="C198" s="102" t="s">
        <v>40</v>
      </c>
      <c r="D198" s="13"/>
      <c r="E198" s="13"/>
      <c r="F198" s="30">
        <v>10609.936678455644</v>
      </c>
      <c r="G198" s="41"/>
      <c r="H198" s="13"/>
      <c r="I198" s="30"/>
      <c r="J198" s="41"/>
      <c r="K198" s="13"/>
      <c r="L198" s="33">
        <v>11552.71</v>
      </c>
      <c r="M198" s="41"/>
      <c r="N198" s="59">
        <f t="shared" ref="N198:N229" si="47">L198-F198</f>
        <v>942.77332154435499</v>
      </c>
      <c r="O198" s="41"/>
      <c r="P198" s="13"/>
      <c r="Q198" s="33">
        <v>13005.57</v>
      </c>
      <c r="R198" s="41"/>
      <c r="S198" s="85">
        <f t="shared" ref="S198:S228" si="48">L198-Q198</f>
        <v>-1452.8600000000006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4"/>
        <v>ServiceSalaires commis</v>
      </c>
      <c r="B199" s="11" t="s">
        <v>78</v>
      </c>
      <c r="C199" s="103" t="s">
        <v>41</v>
      </c>
      <c r="D199" s="81"/>
      <c r="E199" s="13"/>
      <c r="F199" s="22">
        <v>5720.6015325670505</v>
      </c>
      <c r="G199" s="83"/>
      <c r="H199" s="13"/>
      <c r="I199" s="22"/>
      <c r="J199" s="41"/>
      <c r="K199" s="13"/>
      <c r="L199" s="33">
        <v>6010.93</v>
      </c>
      <c r="M199" s="41"/>
      <c r="N199" s="59">
        <f t="shared" si="47"/>
        <v>290.32846743294976</v>
      </c>
      <c r="O199" s="41"/>
      <c r="P199" s="13"/>
      <c r="Q199" s="33">
        <v>5058.6099999999997</v>
      </c>
      <c r="R199" s="41"/>
      <c r="S199" s="85">
        <f t="shared" si="48"/>
        <v>952.32000000000062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4"/>
        <v>ServiceSalaires autres</v>
      </c>
      <c r="B200" s="11" t="s">
        <v>78</v>
      </c>
      <c r="C200" s="102" t="s">
        <v>42</v>
      </c>
      <c r="D200" s="104"/>
      <c r="E200" s="105"/>
      <c r="F200" s="30">
        <v>8568.3438474561171</v>
      </c>
      <c r="G200" s="106"/>
      <c r="H200" s="105"/>
      <c r="I200" s="30"/>
      <c r="J200" s="107"/>
      <c r="K200" s="105"/>
      <c r="L200" s="108">
        <v>6369.01</v>
      </c>
      <c r="M200" s="107"/>
      <c r="N200" s="109">
        <f t="shared" si="47"/>
        <v>-2199.3338474561169</v>
      </c>
      <c r="O200" s="107"/>
      <c r="P200" s="105"/>
      <c r="Q200" s="108">
        <v>9581.2000000000007</v>
      </c>
      <c r="R200" s="107"/>
      <c r="S200" s="110">
        <f t="shared" si="48"/>
        <v>-3212.1900000000005</v>
      </c>
      <c r="T200" s="13"/>
      <c r="U200" s="13"/>
      <c r="V200" s="462" t="s">
        <v>244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4"/>
        <v>ServiceSalaires spécialistes</v>
      </c>
      <c r="B201" s="11" t="s">
        <v>78</v>
      </c>
      <c r="C201" s="102" t="s">
        <v>43</v>
      </c>
      <c r="D201" s="81"/>
      <c r="E201" s="13"/>
      <c r="F201" s="30">
        <v>14702.865444444444</v>
      </c>
      <c r="G201" s="83"/>
      <c r="H201" s="13"/>
      <c r="I201" s="30"/>
      <c r="J201" s="41"/>
      <c r="K201" s="13"/>
      <c r="L201" s="33">
        <v>18459.82</v>
      </c>
      <c r="M201" s="41"/>
      <c r="N201" s="59">
        <f t="shared" si="47"/>
        <v>3756.954555555556</v>
      </c>
      <c r="O201" s="41"/>
      <c r="P201" s="13"/>
      <c r="Q201" s="33">
        <v>15814.28</v>
      </c>
      <c r="R201" s="41"/>
      <c r="S201" s="85">
        <f t="shared" si="48"/>
        <v>2645.5399999999991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4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7"/>
        <v>0</v>
      </c>
      <c r="O202" s="41"/>
      <c r="P202" s="13"/>
      <c r="Q202" s="33">
        <v>0</v>
      </c>
      <c r="R202" s="41"/>
      <c r="S202" s="85">
        <f t="shared" si="48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4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7"/>
        <v>0</v>
      </c>
      <c r="O203" s="41"/>
      <c r="P203" s="13"/>
      <c r="Q203" s="33">
        <v>0</v>
      </c>
      <c r="R203" s="41"/>
      <c r="S203" s="85">
        <f t="shared" si="48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4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7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4"/>
        <v>ServiceSalaires en absences</v>
      </c>
      <c r="B205" s="11" t="s">
        <v>78</v>
      </c>
      <c r="C205" s="103" t="s">
        <v>44</v>
      </c>
      <c r="D205" s="81"/>
      <c r="E205" s="13"/>
      <c r="F205" s="30">
        <v>11323.720736677875</v>
      </c>
      <c r="G205" s="83"/>
      <c r="H205" s="13"/>
      <c r="I205" s="30"/>
      <c r="J205" s="41"/>
      <c r="K205" s="13"/>
      <c r="L205" s="33">
        <v>9358.86</v>
      </c>
      <c r="M205" s="41"/>
      <c r="N205" s="59">
        <f t="shared" si="47"/>
        <v>-1964.8607366778742</v>
      </c>
      <c r="O205" s="41"/>
      <c r="P205" s="13"/>
      <c r="Q205" s="33">
        <v>8709.2900000000009</v>
      </c>
      <c r="R205" s="41"/>
      <c r="S205" s="85">
        <f>L205-Q205</f>
        <v>649.56999999999971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4"/>
        <v>ServiceDéduction à la source</v>
      </c>
      <c r="B206" s="11" t="s">
        <v>78</v>
      </c>
      <c r="C206" s="102" t="s">
        <v>45</v>
      </c>
      <c r="D206" s="104"/>
      <c r="E206" s="105"/>
      <c r="F206" s="55">
        <v>11566.550042991483</v>
      </c>
      <c r="G206" s="106"/>
      <c r="H206" s="105"/>
      <c r="I206" s="55"/>
      <c r="J206" s="107"/>
      <c r="K206" s="105"/>
      <c r="L206" s="108">
        <v>13294.95</v>
      </c>
      <c r="M206" s="107"/>
      <c r="N206" s="109">
        <f t="shared" si="47"/>
        <v>1728.399957008518</v>
      </c>
      <c r="O206" s="107"/>
      <c r="P206" s="105"/>
      <c r="Q206" s="108">
        <v>12168.59</v>
      </c>
      <c r="R206" s="107"/>
      <c r="S206" s="110">
        <f t="shared" ref="S206:S236" si="49">L206-Q206</f>
        <v>1126.3600000000006</v>
      </c>
      <c r="T206" s="13"/>
      <c r="U206" s="13"/>
      <c r="V206" s="462" t="s">
        <v>244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4"/>
        <v>ServiceBénéfices marginaux</v>
      </c>
      <c r="B207" s="11" t="s">
        <v>78</v>
      </c>
      <c r="C207" s="102" t="s">
        <v>46</v>
      </c>
      <c r="D207" s="81"/>
      <c r="E207" s="13"/>
      <c r="F207" s="30">
        <v>6803.8529664655789</v>
      </c>
      <c r="G207" s="83"/>
      <c r="H207" s="13"/>
      <c r="I207" s="30"/>
      <c r="J207" s="41"/>
      <c r="K207" s="13"/>
      <c r="L207" s="33">
        <v>6986.79</v>
      </c>
      <c r="M207" s="41"/>
      <c r="N207" s="59">
        <f t="shared" si="47"/>
        <v>182.93703353442106</v>
      </c>
      <c r="O207" s="41"/>
      <c r="P207" s="13"/>
      <c r="Q207" s="33">
        <v>4869.6099999999997</v>
      </c>
      <c r="R207" s="41"/>
      <c r="S207" s="85">
        <f t="shared" si="49"/>
        <v>2117.1800000000003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4"/>
        <v>ServiceCsst</v>
      </c>
      <c r="B208" s="11" t="s">
        <v>78</v>
      </c>
      <c r="C208" s="102" t="s">
        <v>47</v>
      </c>
      <c r="D208" s="81"/>
      <c r="E208" s="13"/>
      <c r="F208" s="30">
        <v>1457.9684928140523</v>
      </c>
      <c r="G208" s="83"/>
      <c r="H208" s="13"/>
      <c r="I208" s="30"/>
      <c r="J208" s="41"/>
      <c r="K208" s="13"/>
      <c r="L208" s="33">
        <v>2048.4499999999998</v>
      </c>
      <c r="M208" s="467"/>
      <c r="N208" s="146">
        <f t="shared" si="47"/>
        <v>590.48150718594752</v>
      </c>
      <c r="O208" s="467"/>
      <c r="P208" s="468"/>
      <c r="Q208" s="22">
        <v>1646.95</v>
      </c>
      <c r="R208" s="467"/>
      <c r="S208" s="469">
        <f t="shared" si="49"/>
        <v>401.49999999999977</v>
      </c>
      <c r="T208" s="13"/>
      <c r="U208" s="13"/>
      <c r="V208" s="13" t="s">
        <v>244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4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7"/>
        <v>0</v>
      </c>
      <c r="O209" s="23"/>
      <c r="P209" s="111"/>
      <c r="Q209" s="33">
        <v>0</v>
      </c>
      <c r="R209" s="23"/>
      <c r="S209" s="92">
        <f t="shared" si="49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4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0.5806765498470523</v>
      </c>
      <c r="F210" s="96">
        <f>+SUM(F198:F209)</f>
        <v>70753.839741872245</v>
      </c>
      <c r="G210" s="97"/>
      <c r="H210" s="95"/>
      <c r="I210" s="96"/>
      <c r="J210" s="97" t="s">
        <v>92</v>
      </c>
      <c r="K210" s="95">
        <f>L210/L$194</f>
        <v>0.5348549239396021</v>
      </c>
      <c r="L210" s="96">
        <f>+SUM(L198:L209)</f>
        <v>74081.51999999999</v>
      </c>
      <c r="M210" s="147"/>
      <c r="N210" s="113">
        <f t="shared" si="47"/>
        <v>3327.6802581277443</v>
      </c>
      <c r="O210" s="97" t="s">
        <v>92</v>
      </c>
      <c r="P210" s="95">
        <f>Q210/Q$194</f>
        <v>0.55152347890686837</v>
      </c>
      <c r="Q210" s="96">
        <f>+SUM(Q198:Q209)</f>
        <v>70854.100000000006</v>
      </c>
      <c r="R210" s="147"/>
      <c r="S210" s="114">
        <f t="shared" si="49"/>
        <v>3227.4199999999837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4"/>
        <v>ServicePublicité 2</v>
      </c>
      <c r="B211" s="11" t="s">
        <v>78</v>
      </c>
      <c r="C211" s="29" t="s">
        <v>49</v>
      </c>
      <c r="D211" s="81"/>
      <c r="E211" s="13"/>
      <c r="F211" s="30">
        <v>6717.7232526126827</v>
      </c>
      <c r="G211" s="83"/>
      <c r="H211" s="13"/>
      <c r="I211" s="30"/>
      <c r="J211" s="41"/>
      <c r="K211" s="13"/>
      <c r="L211" s="33">
        <v>14052.77</v>
      </c>
      <c r="M211" s="41"/>
      <c r="N211" s="59">
        <f t="shared" si="47"/>
        <v>7335.0467473873177</v>
      </c>
      <c r="O211" s="41"/>
      <c r="P211" s="13"/>
      <c r="Q211" s="33">
        <v>4720.4399999999996</v>
      </c>
      <c r="R211" s="41"/>
      <c r="S211" s="85">
        <f t="shared" si="49"/>
        <v>9332.3300000000017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4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2172.25</v>
      </c>
      <c r="M212" s="41"/>
      <c r="N212" s="59">
        <f t="shared" si="47"/>
        <v>-586.08333333333348</v>
      </c>
      <c r="O212" s="41"/>
      <c r="P212" s="13"/>
      <c r="Q212" s="33">
        <v>4386.93</v>
      </c>
      <c r="R212" s="41"/>
      <c r="S212" s="85">
        <f t="shared" si="49"/>
        <v>-2214.6800000000003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4"/>
        <v>ServiceFrais véhicules de cie</v>
      </c>
      <c r="B213" s="11" t="s">
        <v>78</v>
      </c>
      <c r="C213" s="86" t="s">
        <v>51</v>
      </c>
      <c r="D213" s="87"/>
      <c r="E213" s="111"/>
      <c r="F213" s="22">
        <v>6592.8333333333339</v>
      </c>
      <c r="G213" s="89"/>
      <c r="H213" s="111"/>
      <c r="I213" s="22"/>
      <c r="J213" s="23"/>
      <c r="K213" s="111"/>
      <c r="L213" s="33">
        <v>5402.15</v>
      </c>
      <c r="M213" s="23"/>
      <c r="N213" s="91">
        <f t="shared" si="47"/>
        <v>-1190.6833333333343</v>
      </c>
      <c r="O213" s="23"/>
      <c r="P213" s="111"/>
      <c r="Q213" s="33">
        <v>5749.36</v>
      </c>
      <c r="R213" s="23"/>
      <c r="S213" s="92">
        <f t="shared" si="49"/>
        <v>-347.21000000000004</v>
      </c>
      <c r="T213" s="13"/>
      <c r="U213" s="13"/>
      <c r="V213" s="462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4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6052.64</v>
      </c>
      <c r="M214" s="41"/>
      <c r="N214" s="59">
        <f t="shared" si="47"/>
        <v>19.140000000000327</v>
      </c>
      <c r="O214" s="41"/>
      <c r="P214" s="13"/>
      <c r="Q214" s="108">
        <v>6363.22</v>
      </c>
      <c r="R214" s="41"/>
      <c r="S214" s="85">
        <f t="shared" si="49"/>
        <v>-310.57999999999993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4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-55.57</v>
      </c>
      <c r="M215" s="41"/>
      <c r="N215" s="59">
        <f t="shared" si="47"/>
        <v>-513.90333333333331</v>
      </c>
      <c r="O215" s="41"/>
      <c r="P215" s="13"/>
      <c r="Q215" s="33">
        <v>555.9</v>
      </c>
      <c r="R215" s="41"/>
      <c r="S215" s="85">
        <f t="shared" si="49"/>
        <v>-611.47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4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987.86</v>
      </c>
      <c r="M216" s="467"/>
      <c r="N216" s="146">
        <f t="shared" si="47"/>
        <v>-4653.6400000000003</v>
      </c>
      <c r="O216" s="467"/>
      <c r="P216" s="468"/>
      <c r="Q216" s="22">
        <v>8677.14</v>
      </c>
      <c r="R216" s="23"/>
      <c r="S216" s="92">
        <f t="shared" si="49"/>
        <v>-7689.28</v>
      </c>
      <c r="T216" s="13"/>
      <c r="U216" s="13"/>
      <c r="V216" s="462" t="s">
        <v>245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7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75" si="50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4269.1499999999996</v>
      </c>
      <c r="M218" s="41"/>
      <c r="N218" s="59">
        <f t="shared" si="47"/>
        <v>3169.1499999999996</v>
      </c>
      <c r="O218" s="41"/>
      <c r="P218" s="13"/>
      <c r="Q218" s="33">
        <v>2212.33</v>
      </c>
      <c r="R218" s="41"/>
      <c r="S218" s="85">
        <f t="shared" ref="S218:S248" si="51">L218-Q218</f>
        <v>2056.8199999999997</v>
      </c>
      <c r="T218" s="13"/>
      <c r="U218" s="13"/>
      <c r="V218" s="462" t="s">
        <v>246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0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897.7</v>
      </c>
      <c r="M219" s="41"/>
      <c r="N219" s="59">
        <f t="shared" si="47"/>
        <v>-102.29999999999995</v>
      </c>
      <c r="O219" s="41"/>
      <c r="P219" s="13"/>
      <c r="Q219" s="33">
        <v>739.84</v>
      </c>
      <c r="R219" s="41"/>
      <c r="S219" s="85">
        <f t="shared" si="51"/>
        <v>157.86000000000001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0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288.31</v>
      </c>
      <c r="M220" s="41"/>
      <c r="N220" s="59">
        <f t="shared" si="47"/>
        <v>-105.44</v>
      </c>
      <c r="O220" s="41"/>
      <c r="P220" s="13"/>
      <c r="Q220" s="32">
        <v>428.36</v>
      </c>
      <c r="R220" s="41"/>
      <c r="S220" s="85">
        <f t="shared" si="51"/>
        <v>-140.05000000000001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0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113.04</v>
      </c>
      <c r="M221" s="41"/>
      <c r="N221" s="59">
        <f t="shared" si="47"/>
        <v>-6.9599999999999937</v>
      </c>
      <c r="O221" s="41"/>
      <c r="P221" s="13"/>
      <c r="Q221" s="33">
        <v>73.459999999999994</v>
      </c>
      <c r="R221" s="41"/>
      <c r="S221" s="85">
        <f t="shared" si="51"/>
        <v>39.580000000000013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0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56.23</v>
      </c>
      <c r="M222" s="41"/>
      <c r="N222" s="59">
        <f t="shared" si="47"/>
        <v>-56.27</v>
      </c>
      <c r="O222" s="41"/>
      <c r="P222" s="13"/>
      <c r="Q222" s="33">
        <v>280.58</v>
      </c>
      <c r="R222" s="41"/>
      <c r="S222" s="85">
        <f t="shared" si="51"/>
        <v>-224.35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0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138.26</v>
      </c>
      <c r="M223" s="41"/>
      <c r="N223" s="59">
        <f t="shared" si="47"/>
        <v>-296.99</v>
      </c>
      <c r="O223" s="41"/>
      <c r="P223" s="13"/>
      <c r="Q223" s="33">
        <v>325.36</v>
      </c>
      <c r="R223" s="41"/>
      <c r="S223" s="85">
        <f t="shared" si="51"/>
        <v>-187.10000000000002</v>
      </c>
      <c r="T223" s="13"/>
      <c r="U223" s="13"/>
      <c r="V223" s="458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0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-788.11</v>
      </c>
      <c r="M224" s="41"/>
      <c r="N224" s="59">
        <f t="shared" si="47"/>
        <v>-2431.8252833333336</v>
      </c>
      <c r="O224" s="41"/>
      <c r="P224" s="13"/>
      <c r="Q224" s="33">
        <v>2267.9299999999998</v>
      </c>
      <c r="R224" s="41"/>
      <c r="S224" s="85">
        <f t="shared" si="51"/>
        <v>-3056.04</v>
      </c>
      <c r="T224" s="13"/>
      <c r="U224" s="13"/>
      <c r="V224" s="462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0"/>
        <v>ServiceFrais bancaires</v>
      </c>
      <c r="B225" s="11" t="s">
        <v>78</v>
      </c>
      <c r="C225" s="29" t="s">
        <v>62</v>
      </c>
      <c r="D225" s="81"/>
      <c r="E225" s="13"/>
      <c r="F225" s="30">
        <v>1726.0352369539503</v>
      </c>
      <c r="G225" s="83"/>
      <c r="H225" s="13"/>
      <c r="I225" s="30"/>
      <c r="J225" s="41"/>
      <c r="K225" s="13"/>
      <c r="L225" s="33">
        <v>1521.55</v>
      </c>
      <c r="M225" s="41"/>
      <c r="N225" s="59">
        <f t="shared" si="47"/>
        <v>-204.48523695395033</v>
      </c>
      <c r="O225" s="41"/>
      <c r="P225" s="13"/>
      <c r="Q225" s="33">
        <v>1974.28</v>
      </c>
      <c r="R225" s="41"/>
      <c r="S225" s="85">
        <f t="shared" si="51"/>
        <v>-452.73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0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7"/>
        <v>0</v>
      </c>
      <c r="O226" s="41"/>
      <c r="P226" s="13"/>
      <c r="Q226" s="33">
        <v>0</v>
      </c>
      <c r="R226" s="41"/>
      <c r="S226" s="85">
        <f t="shared" si="51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7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:A285" si="52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7"/>
        <v>0</v>
      </c>
      <c r="O228" s="41"/>
      <c r="P228" s="13"/>
      <c r="Q228" s="33">
        <v>0</v>
      </c>
      <c r="R228" s="41"/>
      <c r="S228" s="85">
        <f t="shared" ref="S228:S258" si="53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0.28505751473321989</v>
      </c>
      <c r="F229" s="96">
        <f>+SUM(F211:F228)</f>
        <v>34733.473772899961</v>
      </c>
      <c r="G229" s="97"/>
      <c r="H229" s="95"/>
      <c r="I229" s="96"/>
      <c r="J229" s="97" t="s">
        <v>92</v>
      </c>
      <c r="K229" s="95">
        <f>L229/L$194</f>
        <v>0.25347495146298377</v>
      </c>
      <c r="L229" s="96">
        <f>+SUM(L211:L228)</f>
        <v>35108.230000000003</v>
      </c>
      <c r="M229" s="100"/>
      <c r="N229" s="96">
        <f t="shared" si="47"/>
        <v>374.75622710004245</v>
      </c>
      <c r="O229" s="97" t="s">
        <v>92</v>
      </c>
      <c r="P229" s="95">
        <f>Q229/Q$194</f>
        <v>0.30166728704602752</v>
      </c>
      <c r="Q229" s="96">
        <f>+SUM(Q211:Q228)</f>
        <v>38755.129999999997</v>
      </c>
      <c r="R229" s="100"/>
      <c r="S229" s="101">
        <f>L229-Q229</f>
        <v>-3646.8999999999942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0.86573406458027213</v>
      </c>
      <c r="F231" s="96">
        <f>F210+F229</f>
        <v>105487.31351477221</v>
      </c>
      <c r="G231" s="97"/>
      <c r="H231" s="95"/>
      <c r="I231" s="96"/>
      <c r="J231" s="97" t="s">
        <v>38</v>
      </c>
      <c r="K231" s="95">
        <f>L231/L$194</f>
        <v>0.78832987540258592</v>
      </c>
      <c r="L231" s="96">
        <f>L210+L229</f>
        <v>109189.75</v>
      </c>
      <c r="M231" s="100"/>
      <c r="N231" s="113">
        <f>L231-F231</f>
        <v>3702.436485227794</v>
      </c>
      <c r="O231" s="97" t="s">
        <v>38</v>
      </c>
      <c r="P231" s="95">
        <f>Q231/Q$194</f>
        <v>0.85319076595289589</v>
      </c>
      <c r="Q231" s="96">
        <f>Q210+Q229</f>
        <v>109609.23000000001</v>
      </c>
      <c r="R231" s="100"/>
      <c r="S231" s="114">
        <f>L231-Q231</f>
        <v>-419.48000000001048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16359.934769162297</v>
      </c>
      <c r="G233" s="153"/>
      <c r="H233" s="125"/>
      <c r="I233" s="127"/>
      <c r="J233" s="154"/>
      <c r="K233" s="126"/>
      <c r="L233" s="127">
        <f>L194-L231</f>
        <v>29317.940000000002</v>
      </c>
      <c r="M233" s="154"/>
      <c r="N233" s="127">
        <f>L233-F233</f>
        <v>12958.005230837705</v>
      </c>
      <c r="O233" s="154"/>
      <c r="P233" s="126"/>
      <c r="Q233" s="127">
        <f>Q194-Q231</f>
        <v>18860.549999999974</v>
      </c>
      <c r="R233" s="154"/>
      <c r="S233" s="129">
        <f>L233-Q233</f>
        <v>10457.390000000029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Octobre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08" t="s">
        <v>5</v>
      </c>
      <c r="E238" s="509"/>
      <c r="F238" s="510"/>
      <c r="G238" s="511"/>
      <c r="H238" s="509"/>
      <c r="I238" s="510"/>
      <c r="J238" s="511" t="s">
        <v>7</v>
      </c>
      <c r="K238" s="509"/>
      <c r="L238" s="510"/>
      <c r="M238" s="511" t="s">
        <v>213</v>
      </c>
      <c r="N238" s="510"/>
      <c r="O238" s="508" t="s">
        <v>8</v>
      </c>
      <c r="P238" s="509"/>
      <c r="Q238" s="510"/>
      <c r="R238" s="515" t="s">
        <v>214</v>
      </c>
      <c r="S238" s="516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54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4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4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0</v>
      </c>
      <c r="K241" s="30">
        <v>0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12</v>
      </c>
      <c r="P241" s="30">
        <v>6515.27</v>
      </c>
      <c r="Q241" s="33">
        <v>688.94</v>
      </c>
      <c r="R241" s="157">
        <f>IF(O241=0,0,J241/O241)</f>
        <v>0</v>
      </c>
      <c r="S241" s="85">
        <f>L241-Q241</f>
        <v>-688.94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4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0.10574235603436236</v>
      </c>
      <c r="R242" s="60"/>
      <c r="S242" s="85">
        <f>IFERROR(S241/R241,0)</f>
        <v>0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4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4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4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4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4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4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4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4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5">P244+P247+P241</f>
        <v>6515.27</v>
      </c>
      <c r="Q250" s="65">
        <f t="shared" si="55"/>
        <v>688.94</v>
      </c>
      <c r="R250" s="206">
        <f>L251-Q251</f>
        <v>-0.10574235603436236</v>
      </c>
      <c r="S250" s="68">
        <f>L250-Q250</f>
        <v>-688.94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4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0.10574235603436236</v>
      </c>
      <c r="R251" s="73"/>
      <c r="S251" s="75">
        <f>IF(R250=0,0,S250/R250)</f>
        <v>6515.27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4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4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4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6">L254-F254</f>
        <v>0</v>
      </c>
      <c r="O254" s="41"/>
      <c r="P254" s="13"/>
      <c r="Q254" s="33">
        <v>304.27</v>
      </c>
      <c r="R254" s="41"/>
      <c r="S254" s="85">
        <f t="shared" ref="S254:S265" si="57">L254-Q254</f>
        <v>-304.27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4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6"/>
        <v>0</v>
      </c>
      <c r="O255" s="41"/>
      <c r="P255" s="13"/>
      <c r="Q255" s="33">
        <v>378.45</v>
      </c>
      <c r="R255" s="41"/>
      <c r="S255" s="85">
        <f>L255-Q255</f>
        <v>-378.45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4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6"/>
        <v>0</v>
      </c>
      <c r="O256" s="107"/>
      <c r="P256" s="105"/>
      <c r="Q256" s="108">
        <v>19</v>
      </c>
      <c r="R256" s="107"/>
      <c r="S256" s="110">
        <f t="shared" ref="S256:S272" si="58">L256-Q256</f>
        <v>-19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4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6"/>
        <v>0</v>
      </c>
      <c r="O257" s="41"/>
      <c r="P257" s="13"/>
      <c r="Q257" s="33">
        <v>0</v>
      </c>
      <c r="R257" s="41"/>
      <c r="S257" s="85">
        <f t="shared" si="58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4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6"/>
        <v>0</v>
      </c>
      <c r="O258" s="41"/>
      <c r="P258" s="13"/>
      <c r="Q258" s="33">
        <v>0</v>
      </c>
      <c r="R258" s="41"/>
      <c r="S258" s="85">
        <f t="shared" si="58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4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6"/>
        <v>0</v>
      </c>
      <c r="O259" s="41"/>
      <c r="P259" s="13"/>
      <c r="Q259" s="33">
        <v>0</v>
      </c>
      <c r="R259" s="41"/>
      <c r="S259" s="85">
        <f t="shared" si="58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4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6"/>
        <v>0</v>
      </c>
      <c r="O260" s="41"/>
      <c r="P260" s="13"/>
      <c r="Q260" s="33">
        <v>0</v>
      </c>
      <c r="R260" s="41"/>
      <c r="S260" s="85">
        <f t="shared" si="58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4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6"/>
        <v>0</v>
      </c>
      <c r="O261" s="41"/>
      <c r="P261" s="13"/>
      <c r="Q261" s="33">
        <v>51.12</v>
      </c>
      <c r="R261" s="41"/>
      <c r="S261" s="85">
        <f t="shared" si="58"/>
        <v>-51.12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4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6"/>
        <v>0</v>
      </c>
      <c r="O262" s="107"/>
      <c r="P262" s="105"/>
      <c r="Q262" s="108">
        <v>219.11</v>
      </c>
      <c r="R262" s="107"/>
      <c r="S262" s="110">
        <f t="shared" si="58"/>
        <v>-219.11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4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6"/>
        <v>0</v>
      </c>
      <c r="O263" s="41"/>
      <c r="P263" s="13"/>
      <c r="Q263" s="33">
        <v>48.07</v>
      </c>
      <c r="R263" s="41"/>
      <c r="S263" s="85">
        <f t="shared" si="58"/>
        <v>-48.07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4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6"/>
        <v>0</v>
      </c>
      <c r="O264" s="41"/>
      <c r="P264" s="13"/>
      <c r="Q264" s="33">
        <v>4.8899999999999997</v>
      </c>
      <c r="R264" s="41"/>
      <c r="S264" s="85">
        <f t="shared" si="58"/>
        <v>-4.8899999999999997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4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6"/>
        <v>0</v>
      </c>
      <c r="O265" s="23"/>
      <c r="P265" s="111"/>
      <c r="Q265" s="33">
        <v>0</v>
      </c>
      <c r="R265" s="23"/>
      <c r="S265" s="92">
        <f t="shared" si="58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4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6"/>
        <v>0</v>
      </c>
      <c r="O266" s="97" t="s">
        <v>38</v>
      </c>
      <c r="P266" s="95">
        <f>IF(Q244=0,0,Q266/Q$244)</f>
        <v>0</v>
      </c>
      <c r="Q266" s="96">
        <f>+SUM(Q254:Q265)</f>
        <v>1024.9100000000001</v>
      </c>
      <c r="R266" s="147"/>
      <c r="S266" s="114">
        <f t="shared" si="58"/>
        <v>-1024.9100000000001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4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6"/>
        <v>0</v>
      </c>
      <c r="O267" s="41"/>
      <c r="P267" s="13"/>
      <c r="Q267" s="33">
        <v>6.5</v>
      </c>
      <c r="R267" s="41"/>
      <c r="S267" s="85">
        <f t="shared" si="58"/>
        <v>-6.5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4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6"/>
        <v>0</v>
      </c>
      <c r="O268" s="41"/>
      <c r="P268" s="13"/>
      <c r="Q268" s="33">
        <v>0</v>
      </c>
      <c r="R268" s="41"/>
      <c r="S268" s="85">
        <f t="shared" si="58"/>
        <v>0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4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6"/>
        <v>0</v>
      </c>
      <c r="O269" s="23"/>
      <c r="P269" s="111"/>
      <c r="Q269" s="33">
        <v>171.24</v>
      </c>
      <c r="R269" s="23"/>
      <c r="S269" s="92">
        <f t="shared" si="58"/>
        <v>-171.24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4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6"/>
        <v>0</v>
      </c>
      <c r="O270" s="41"/>
      <c r="P270" s="13"/>
      <c r="Q270" s="108">
        <v>234.31</v>
      </c>
      <c r="R270" s="41"/>
      <c r="S270" s="85">
        <f t="shared" si="58"/>
        <v>-234.31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4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6"/>
        <v>0</v>
      </c>
      <c r="O271" s="41"/>
      <c r="P271" s="13"/>
      <c r="Q271" s="33">
        <v>55.98</v>
      </c>
      <c r="R271" s="41"/>
      <c r="S271" s="85">
        <f t="shared" si="58"/>
        <v>-55.98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4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6"/>
        <v>0</v>
      </c>
      <c r="O272" s="23"/>
      <c r="P272" s="111"/>
      <c r="Q272" s="22">
        <v>144.32</v>
      </c>
      <c r="R272" s="23"/>
      <c r="S272" s="92">
        <f t="shared" si="58"/>
        <v>-144.32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6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319" si="59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6"/>
        <v>0</v>
      </c>
      <c r="O274" s="41"/>
      <c r="P274" s="13"/>
      <c r="Q274" s="33">
        <v>0.21</v>
      </c>
      <c r="R274" s="41"/>
      <c r="S274" s="85">
        <f t="shared" ref="S274:S292" si="60">L274-Q274</f>
        <v>-0.21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59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6"/>
        <v>0</v>
      </c>
      <c r="O275" s="41"/>
      <c r="P275" s="13"/>
      <c r="Q275" s="33">
        <v>0</v>
      </c>
      <c r="R275" s="41"/>
      <c r="S275" s="85">
        <f t="shared" si="60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59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6"/>
        <v>0</v>
      </c>
      <c r="O276" s="41"/>
      <c r="P276" s="13"/>
      <c r="Q276" s="32">
        <v>47.61</v>
      </c>
      <c r="R276" s="41"/>
      <c r="S276" s="85">
        <f t="shared" si="60"/>
        <v>-47.61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59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6"/>
        <v>0</v>
      </c>
      <c r="O277" s="41"/>
      <c r="P277" s="13"/>
      <c r="Q277" s="33">
        <v>8.14</v>
      </c>
      <c r="R277" s="41"/>
      <c r="S277" s="85">
        <f t="shared" si="60"/>
        <v>-8.14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59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6"/>
        <v>0</v>
      </c>
      <c r="O278" s="41"/>
      <c r="P278" s="13"/>
      <c r="Q278" s="33">
        <v>4.58</v>
      </c>
      <c r="R278" s="41"/>
      <c r="S278" s="85">
        <f t="shared" si="60"/>
        <v>-4.58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59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6"/>
        <v>0</v>
      </c>
      <c r="O279" s="41"/>
      <c r="P279" s="13"/>
      <c r="Q279" s="33">
        <v>36.14</v>
      </c>
      <c r="R279" s="41"/>
      <c r="S279" s="85">
        <f t="shared" si="60"/>
        <v>-36.14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59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6"/>
        <v>0</v>
      </c>
      <c r="O280" s="41"/>
      <c r="P280" s="13"/>
      <c r="Q280" s="33">
        <v>27.95</v>
      </c>
      <c r="R280" s="41"/>
      <c r="S280" s="85">
        <f t="shared" si="60"/>
        <v>-27.95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59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6"/>
        <v>0</v>
      </c>
      <c r="O281" s="41"/>
      <c r="P281" s="13"/>
      <c r="Q281" s="33">
        <v>219.36</v>
      </c>
      <c r="R281" s="41"/>
      <c r="S281" s="85">
        <f t="shared" si="60"/>
        <v>-219.36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59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6"/>
        <v>0</v>
      </c>
      <c r="O282" s="41"/>
      <c r="P282" s="13"/>
      <c r="Q282" s="33">
        <v>0</v>
      </c>
      <c r="R282" s="41"/>
      <c r="S282" s="85">
        <f t="shared" si="60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6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:A329" si="61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6"/>
        <v>0</v>
      </c>
      <c r="O284" s="41"/>
      <c r="P284" s="13"/>
      <c r="Q284" s="33">
        <v>0</v>
      </c>
      <c r="R284" s="41"/>
      <c r="S284" s="85">
        <f t="shared" ref="S284:S302" si="62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956.34000000000015</v>
      </c>
      <c r="R285" s="100"/>
      <c r="S285" s="101">
        <f>L285-Q285</f>
        <v>-956.34000000000015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1981.2500000000002</v>
      </c>
      <c r="R287" s="100"/>
      <c r="S287" s="114">
        <f>L287-Q287</f>
        <v>-1981.2500000000002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-1292.3100000000002</v>
      </c>
      <c r="R289" s="154"/>
      <c r="S289" s="129">
        <f>L289-Q289</f>
        <v>1292.3100000000002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Octobre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08" t="s">
        <v>5</v>
      </c>
      <c r="E293" s="509"/>
      <c r="F293" s="510"/>
      <c r="G293" s="511"/>
      <c r="H293" s="509"/>
      <c r="I293" s="510"/>
      <c r="J293" s="511" t="s">
        <v>7</v>
      </c>
      <c r="K293" s="509"/>
      <c r="L293" s="510"/>
      <c r="M293" s="511" t="s">
        <v>213</v>
      </c>
      <c r="N293" s="510"/>
      <c r="O293" s="508" t="s">
        <v>8</v>
      </c>
      <c r="P293" s="509"/>
      <c r="Q293" s="510"/>
      <c r="R293" s="515" t="s">
        <v>214</v>
      </c>
      <c r="S293" s="51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3" si="63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3"/>
        <v>PiècesPièces Ro Clients</v>
      </c>
      <c r="B295" s="11" t="s">
        <v>98</v>
      </c>
      <c r="C295" s="29" t="s">
        <v>100</v>
      </c>
      <c r="D295" s="82">
        <v>63406.97646851209</v>
      </c>
      <c r="E295" s="148">
        <f>IF(D295=0,0,F295/D295)</f>
        <v>0.41</v>
      </c>
      <c r="F295" s="85">
        <v>25996.860352089956</v>
      </c>
      <c r="G295" s="82"/>
      <c r="H295" s="148"/>
      <c r="I295" s="85"/>
      <c r="J295" s="30">
        <v>63975.58</v>
      </c>
      <c r="K295" s="148">
        <f t="shared" ref="K295:K300" si="64">IF(J295&lt;=0,0,L295/J295)</f>
        <v>0.40223613447506062</v>
      </c>
      <c r="L295" s="33">
        <v>25733.29</v>
      </c>
      <c r="M295" s="157">
        <f t="shared" ref="M295:M301" si="65">(+J295-D295)/D295</f>
        <v>8.9675231836717582E-3</v>
      </c>
      <c r="N295" s="59">
        <f t="shared" ref="N295:N304" si="66">L295-F295</f>
        <v>-263.57035208995512</v>
      </c>
      <c r="O295" s="30">
        <v>59024.789999999899</v>
      </c>
      <c r="P295" s="148">
        <f t="shared" ref="P295:P303" si="67">IF(O295=0,0,Q295/O295)</f>
        <v>0.4077474905035654</v>
      </c>
      <c r="Q295" s="33">
        <v>24067.209999999901</v>
      </c>
      <c r="R295" s="157">
        <f>IF(O295=0,0,(J295-O295)/O295)</f>
        <v>8.3876452588820927E-2</v>
      </c>
      <c r="S295" s="85">
        <f t="shared" ref="S295:S300" si="68">L295-Q295</f>
        <v>1666.0800000001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3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3" si="69">IF(D296=0,0,F296/D296)</f>
        <v>0</v>
      </c>
      <c r="F296" s="85">
        <v>0</v>
      </c>
      <c r="G296" s="82"/>
      <c r="H296" s="148"/>
      <c r="I296" s="85"/>
      <c r="J296" s="30">
        <v>0</v>
      </c>
      <c r="K296" s="148">
        <f t="shared" si="64"/>
        <v>0</v>
      </c>
      <c r="L296" s="33">
        <v>0</v>
      </c>
      <c r="M296" s="157" t="e">
        <f t="shared" si="65"/>
        <v>#DIV/0!</v>
      </c>
      <c r="N296" s="59">
        <f t="shared" si="66"/>
        <v>0</v>
      </c>
      <c r="O296" s="30">
        <v>2525.73</v>
      </c>
      <c r="P296" s="148">
        <f t="shared" si="67"/>
        <v>0.38764634382930835</v>
      </c>
      <c r="Q296" s="33">
        <v>979.08999999999901</v>
      </c>
      <c r="R296" s="157">
        <f t="shared" ref="R296:R303" si="70">IF(O296=0,0,(J296-O296)/O296)</f>
        <v>-1</v>
      </c>
      <c r="S296" s="85">
        <f t="shared" si="68"/>
        <v>-979.08999999999901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3"/>
        <v>PiècesP/A Garantie</v>
      </c>
      <c r="B297" s="11" t="s">
        <v>98</v>
      </c>
      <c r="C297" s="29" t="s">
        <v>102</v>
      </c>
      <c r="D297" s="82">
        <v>44644.230766166322</v>
      </c>
      <c r="E297" s="148">
        <f t="shared" si="69"/>
        <v>0.28499999999999998</v>
      </c>
      <c r="F297" s="85">
        <v>12723.6057683574</v>
      </c>
      <c r="G297" s="82"/>
      <c r="H297" s="148"/>
      <c r="I297" s="85"/>
      <c r="J297" s="30">
        <v>38383.699999999997</v>
      </c>
      <c r="K297" s="148">
        <f t="shared" si="64"/>
        <v>0.28603678123786919</v>
      </c>
      <c r="L297" s="33">
        <v>10979.149999999998</v>
      </c>
      <c r="M297" s="157">
        <f t="shared" si="65"/>
        <v>-0.14023157435407924</v>
      </c>
      <c r="N297" s="59">
        <f t="shared" si="66"/>
        <v>-1744.4557683574021</v>
      </c>
      <c r="O297" s="30">
        <v>70610.179999999993</v>
      </c>
      <c r="P297" s="148">
        <f t="shared" si="67"/>
        <v>0.28525985913079394</v>
      </c>
      <c r="Q297" s="33">
        <v>20142.25</v>
      </c>
      <c r="R297" s="157">
        <f t="shared" si="70"/>
        <v>-0.45639991287375276</v>
      </c>
      <c r="S297" s="85">
        <f t="shared" si="68"/>
        <v>-9163.1000000000022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3"/>
        <v>PiècesVentes Internes</v>
      </c>
      <c r="B298" s="11" t="s">
        <v>98</v>
      </c>
      <c r="C298" s="29" t="s">
        <v>103</v>
      </c>
      <c r="D298" s="82">
        <v>24167.961473658779</v>
      </c>
      <c r="E298" s="148">
        <f t="shared" si="69"/>
        <v>0.35</v>
      </c>
      <c r="F298" s="85">
        <v>8458.7865157805718</v>
      </c>
      <c r="G298" s="82"/>
      <c r="H298" s="148"/>
      <c r="I298" s="85"/>
      <c r="J298" s="30">
        <v>24634.07</v>
      </c>
      <c r="K298" s="148">
        <f t="shared" si="64"/>
        <v>0.35360376908890812</v>
      </c>
      <c r="L298" s="33">
        <v>8710.6999999999989</v>
      </c>
      <c r="M298" s="157">
        <f t="shared" si="65"/>
        <v>1.9286216044710393E-2</v>
      </c>
      <c r="N298" s="59">
        <f t="shared" si="66"/>
        <v>251.91348421942712</v>
      </c>
      <c r="O298" s="30">
        <v>27413.58</v>
      </c>
      <c r="P298" s="148">
        <f t="shared" si="67"/>
        <v>0.3434888839764817</v>
      </c>
      <c r="Q298" s="33">
        <v>9416.26</v>
      </c>
      <c r="R298" s="157">
        <f t="shared" si="70"/>
        <v>-0.10139171899474647</v>
      </c>
      <c r="S298" s="85">
        <f t="shared" si="68"/>
        <v>-705.56000000000131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3"/>
        <v>PiècesVentes Détails</v>
      </c>
      <c r="B299" s="11" t="s">
        <v>98</v>
      </c>
      <c r="C299" s="29" t="s">
        <v>104</v>
      </c>
      <c r="D299" s="82">
        <v>32088.589869270709</v>
      </c>
      <c r="E299" s="148">
        <f t="shared" si="69"/>
        <v>0.3</v>
      </c>
      <c r="F299" s="85">
        <v>9626.5769607812126</v>
      </c>
      <c r="G299" s="82"/>
      <c r="H299" s="148"/>
      <c r="I299" s="85"/>
      <c r="J299" s="30">
        <v>28011.840000000004</v>
      </c>
      <c r="K299" s="148">
        <f t="shared" si="64"/>
        <v>0.36361767024229763</v>
      </c>
      <c r="L299" s="33">
        <v>10185.600000000004</v>
      </c>
      <c r="M299" s="157">
        <f t="shared" si="65"/>
        <v>-0.12704671304907544</v>
      </c>
      <c r="N299" s="59">
        <f t="shared" si="66"/>
        <v>559.02303921879138</v>
      </c>
      <c r="O299" s="30">
        <v>40701.300000000003</v>
      </c>
      <c r="P299" s="148">
        <f t="shared" si="67"/>
        <v>0.28592403682437656</v>
      </c>
      <c r="Q299" s="33">
        <v>11637.48</v>
      </c>
      <c r="R299" s="157">
        <f t="shared" si="70"/>
        <v>-0.3117703857124956</v>
      </c>
      <c r="S299" s="85">
        <f t="shared" si="68"/>
        <v>-1451.8799999999956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35067.91215398952</v>
      </c>
      <c r="E300" s="148">
        <f t="shared" si="69"/>
        <v>0.2</v>
      </c>
      <c r="F300" s="85">
        <v>7013.5824307979046</v>
      </c>
      <c r="G300" s="82"/>
      <c r="H300" s="148"/>
      <c r="I300" s="85"/>
      <c r="J300" s="30">
        <v>44070.080000000002</v>
      </c>
      <c r="K300" s="148">
        <f t="shared" si="64"/>
        <v>0.19408905089348594</v>
      </c>
      <c r="L300" s="33">
        <v>8553.5199999999968</v>
      </c>
      <c r="M300" s="157">
        <f t="shared" si="65"/>
        <v>0.2567066954679349</v>
      </c>
      <c r="N300" s="59">
        <f t="shared" si="66"/>
        <v>1539.9375692020922</v>
      </c>
      <c r="O300" s="30">
        <v>19252.650000000001</v>
      </c>
      <c r="P300" s="148">
        <f t="shared" si="67"/>
        <v>0.23594206511830837</v>
      </c>
      <c r="Q300" s="33">
        <v>4542.51</v>
      </c>
      <c r="R300" s="157">
        <f t="shared" si="70"/>
        <v>1.2890396906399897</v>
      </c>
      <c r="S300" s="85">
        <f t="shared" si="68"/>
        <v>4011.0099999999966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5"/>
        <v>#DIV/0!</v>
      </c>
      <c r="N301" s="59">
        <f t="shared" si="66"/>
        <v>0</v>
      </c>
      <c r="O301" s="30">
        <v>0</v>
      </c>
      <c r="P301" s="148">
        <f t="shared" si="67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51" si="71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9" si="72">IF(D302=0,0,F302/D302)</f>
        <v>0</v>
      </c>
      <c r="F302" s="85">
        <v>5215.8973668010267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20561.64</v>
      </c>
      <c r="M302" s="157"/>
      <c r="N302" s="59">
        <f t="shared" si="66"/>
        <v>15345.742633198974</v>
      </c>
      <c r="O302" s="30">
        <v>0</v>
      </c>
      <c r="P302" s="148">
        <f t="shared" si="67"/>
        <v>0</v>
      </c>
      <c r="Q302" s="33">
        <v>9632.99</v>
      </c>
      <c r="R302" s="157">
        <f t="shared" ref="R302:R309" si="73">IF(O302=0,0,(J302-O302)/O302)</f>
        <v>0</v>
      </c>
      <c r="S302" s="85">
        <f>L302-Q302</f>
        <v>10928.65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1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2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6"/>
        <v>0</v>
      </c>
      <c r="O303" s="30">
        <v>0</v>
      </c>
      <c r="P303" s="148">
        <f t="shared" si="67"/>
        <v>0</v>
      </c>
      <c r="Q303" s="33">
        <v>0</v>
      </c>
      <c r="R303" s="157">
        <f t="shared" si="73"/>
        <v>0</v>
      </c>
      <c r="S303" s="85">
        <f>L303-Q303</f>
        <v>0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1"/>
        <v>PiècesSous-total Pièces</v>
      </c>
      <c r="B304" s="11" t="s">
        <v>98</v>
      </c>
      <c r="C304" s="53" t="s">
        <v>108</v>
      </c>
      <c r="D304" s="195">
        <f>SUM(D295:D303)</f>
        <v>199375.67073159741</v>
      </c>
      <c r="E304" s="213">
        <f>IF(D304&lt;=0,0,F304/D304)</f>
        <v>0.34625744024477517</v>
      </c>
      <c r="F304" s="199">
        <f>SUM(F295:F303)</f>
        <v>69035.309394608063</v>
      </c>
      <c r="G304" s="195"/>
      <c r="H304" s="213"/>
      <c r="I304" s="199"/>
      <c r="J304" s="195">
        <f>SUM(J295:J303)</f>
        <v>199075.27000000002</v>
      </c>
      <c r="K304" s="213">
        <f>IF(J304&lt;=0,0,L304/J304)</f>
        <v>0.42558726656505347</v>
      </c>
      <c r="L304" s="197">
        <f>SUM(L295:L303)</f>
        <v>84723.9</v>
      </c>
      <c r="M304" s="214">
        <f>(+J304-D304)/D304</f>
        <v>-1.5067070645835763E-3</v>
      </c>
      <c r="N304" s="197">
        <f t="shared" si="66"/>
        <v>15688.590605391932</v>
      </c>
      <c r="O304" s="195">
        <f>SUM(O295:O303)</f>
        <v>219528.22999999989</v>
      </c>
      <c r="P304" s="213">
        <f>IF(O304&lt;=0,0,Q304/O304)</f>
        <v>0.36632095106857077</v>
      </c>
      <c r="Q304" s="197">
        <f t="shared" ref="Q304" si="74">SUM(Q295:Q303)</f>
        <v>80417.789999999906</v>
      </c>
      <c r="R304" s="214">
        <f>IF(O304=0,0,(J304-O304)/O304)</f>
        <v>-9.3167789855545621E-2</v>
      </c>
      <c r="S304" s="199">
        <f>L304-Q304</f>
        <v>4306.1100000000879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1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0.22725458526904602</v>
      </c>
      <c r="O305" s="41"/>
      <c r="P305" s="13"/>
      <c r="Q305" s="40"/>
      <c r="R305" s="41"/>
      <c r="S305" s="44">
        <f>IF(Q304=0,0,S304/Q304)</f>
        <v>5.3546733875677169E-2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1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1"/>
        <v>PiècesVentes Pneus</v>
      </c>
      <c r="B307" s="11" t="s">
        <v>98</v>
      </c>
      <c r="C307" s="29" t="s">
        <v>109</v>
      </c>
      <c r="D307" s="82">
        <v>113604.17645072647</v>
      </c>
      <c r="E307" s="148">
        <f>IF(D307=0,0,F307/D307)</f>
        <v>0.24</v>
      </c>
      <c r="F307" s="110">
        <v>27265.002348174352</v>
      </c>
      <c r="G307" s="82"/>
      <c r="H307" s="148"/>
      <c r="I307" s="110"/>
      <c r="J307" s="30">
        <v>71250.720000000001</v>
      </c>
      <c r="K307" s="148">
        <f>IF(J307&lt;=0,0,L307/J307)</f>
        <v>0.23677781782415677</v>
      </c>
      <c r="L307" s="33">
        <v>16870.590000000004</v>
      </c>
      <c r="M307" s="157">
        <f>(+J307-D307)/D307</f>
        <v>-0.37281601587153296</v>
      </c>
      <c r="N307" s="59">
        <f>L307-F307</f>
        <v>-10394.412348174348</v>
      </c>
      <c r="O307" s="30">
        <v>117139.92</v>
      </c>
      <c r="P307" s="148">
        <f t="shared" ref="P307:P308" si="75">IF(O307=0,0,Q307/O307)</f>
        <v>0.25722093714935013</v>
      </c>
      <c r="Q307" s="33">
        <v>30130.839999999898</v>
      </c>
      <c r="R307" s="157">
        <f>IF(O307=0,0,(J307-O307)/O307)</f>
        <v>-0.39174689550752634</v>
      </c>
      <c r="S307" s="85">
        <f>L307-Q307</f>
        <v>-13260.249999999894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1"/>
        <v>PiècesHuiles et Graisse</v>
      </c>
      <c r="B308" s="11" t="s">
        <v>98</v>
      </c>
      <c r="C308" s="86" t="s">
        <v>110</v>
      </c>
      <c r="D308" s="82">
        <v>13391.907496579703</v>
      </c>
      <c r="E308" s="148">
        <f>IF(D308=0,0,F308/D308)</f>
        <v>0.34399999999999997</v>
      </c>
      <c r="F308" s="92">
        <v>4606.8161788234174</v>
      </c>
      <c r="G308" s="82"/>
      <c r="H308" s="148"/>
      <c r="I308" s="92"/>
      <c r="J308" s="30">
        <v>13462.53</v>
      </c>
      <c r="K308" s="148">
        <f>IF(J308&lt;=0,0,L308/J308)</f>
        <v>0.35435687051393755</v>
      </c>
      <c r="L308" s="33">
        <v>4770.54</v>
      </c>
      <c r="M308" s="157">
        <f>(+J308-D308)/D308</f>
        <v>5.2735208511808362E-3</v>
      </c>
      <c r="N308" s="59">
        <f>L308-F308</f>
        <v>163.72382117658253</v>
      </c>
      <c r="O308" s="30">
        <v>13999.09</v>
      </c>
      <c r="P308" s="148">
        <f t="shared" si="75"/>
        <v>0.35547453441616561</v>
      </c>
      <c r="Q308" s="33">
        <v>4976.32</v>
      </c>
      <c r="R308" s="157">
        <f>IF(O308=0,0,(J308-O308)/O308)</f>
        <v>-3.8328205619079486E-2</v>
      </c>
      <c r="S308" s="85">
        <f>L308-Q308</f>
        <v>-205.77999999999975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1"/>
        <v>PiècesSous-total Pièces et Acc.</v>
      </c>
      <c r="B309" s="11" t="s">
        <v>98</v>
      </c>
      <c r="C309" s="53" t="s">
        <v>111</v>
      </c>
      <c r="D309" s="195">
        <f>D304+D307+D308</f>
        <v>326371.75467890356</v>
      </c>
      <c r="E309" s="213">
        <f>IF(D309&lt;=0,0,F309/D309)</f>
        <v>0.30917849499838596</v>
      </c>
      <c r="F309" s="197">
        <f>F304+F307+F308</f>
        <v>100907.12792160583</v>
      </c>
      <c r="G309" s="198"/>
      <c r="H309" s="213"/>
      <c r="I309" s="197"/>
      <c r="J309" s="198">
        <f>J304+J307+J308</f>
        <v>283788.52</v>
      </c>
      <c r="K309" s="213">
        <f>IF(J309&lt;=0,0,L309/J309)</f>
        <v>0.37480385041650022</v>
      </c>
      <c r="L309" s="197">
        <f>L304+L307+L308</f>
        <v>106365.02999999998</v>
      </c>
      <c r="M309" s="214">
        <f>(+J309-D309)/D309</f>
        <v>-0.13047463228182377</v>
      </c>
      <c r="N309" s="197">
        <f>L309-F309</f>
        <v>5457.9020783941523</v>
      </c>
      <c r="O309" s="198">
        <f>O304+O307+O308</f>
        <v>350667.23999999993</v>
      </c>
      <c r="P309" s="213">
        <f>IF(O309&lt;=0,0,Q309/O309)</f>
        <v>0.32944323513083179</v>
      </c>
      <c r="Q309" s="197">
        <f t="shared" ref="Q309" si="76">Q304+Q307+Q308</f>
        <v>115524.94999999981</v>
      </c>
      <c r="R309" s="214">
        <f>IF(O309=0,0,(J309-O309)/O309)</f>
        <v>-0.19071847144888679</v>
      </c>
      <c r="S309" s="199">
        <f>L309-Q309</f>
        <v>-9159.9199999998236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1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5.4088370076634876E-2</v>
      </c>
      <c r="O310" s="41"/>
      <c r="P310" s="13"/>
      <c r="Q310" s="40"/>
      <c r="R310" s="41"/>
      <c r="S310" s="44">
        <f>IF(Q309=0,0,S309/Q309)</f>
        <v>-7.9289538753315528E-2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1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1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1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1"/>
        <v>PiècesTotal Dépt. Pièces</v>
      </c>
      <c r="B314" s="11" t="s">
        <v>98</v>
      </c>
      <c r="C314" s="62" t="s">
        <v>113</v>
      </c>
      <c r="D314" s="63">
        <f>D309+D312</f>
        <v>326371.75467890356</v>
      </c>
      <c r="E314" s="219">
        <f>IF(D314&lt;=0,0,F314/D314)</f>
        <v>0.30917849499838596</v>
      </c>
      <c r="F314" s="65">
        <f>F309+F312</f>
        <v>100907.12792160583</v>
      </c>
      <c r="G314" s="66"/>
      <c r="H314" s="219"/>
      <c r="I314" s="65"/>
      <c r="J314" s="66">
        <f>J309+J312</f>
        <v>283788.52</v>
      </c>
      <c r="K314" s="219">
        <f>IF(J314&lt;=0,0,L314/J314)</f>
        <v>0.37480385041650022</v>
      </c>
      <c r="L314" s="65">
        <f>L309+L312</f>
        <v>106365.02999999998</v>
      </c>
      <c r="M314" s="220">
        <f>(+J314-D314)/D314</f>
        <v>-0.13047463228182377</v>
      </c>
      <c r="N314" s="221">
        <f>L314-F314</f>
        <v>5457.9020783941523</v>
      </c>
      <c r="O314" s="66">
        <f>O309+O312</f>
        <v>350667.23999999993</v>
      </c>
      <c r="P314" s="219">
        <f>IF(O314&lt;=0,0,Q314/O314)</f>
        <v>0.32944323513083179</v>
      </c>
      <c r="Q314" s="65">
        <f t="shared" ref="Q314" si="77">Q309+Q312</f>
        <v>115524.94999999981</v>
      </c>
      <c r="R314" s="220">
        <f>IF(O314=0,0,(J314-O314)/O314)</f>
        <v>-0.19071847144888679</v>
      </c>
      <c r="S314" s="222">
        <f>L314-Q314</f>
        <v>-9159.9199999998236</v>
      </c>
      <c r="T314" s="13"/>
      <c r="U314" s="13"/>
      <c r="V314" s="11" t="s">
        <v>221</v>
      </c>
      <c r="W314" s="497">
        <v>97470</v>
      </c>
      <c r="X314" s="490">
        <f>L314-W314</f>
        <v>8895.0299999999843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1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5.4088370076634876E-2</v>
      </c>
      <c r="O315" s="227"/>
      <c r="P315" s="225"/>
      <c r="Q315" s="226"/>
      <c r="R315" s="228"/>
      <c r="S315" s="75">
        <f>IF(Q314=0,0,S314/Q314)</f>
        <v>-7.9289538753315528E-2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1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1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1"/>
        <v>PiècesSalaires cadres</v>
      </c>
      <c r="B318" s="11" t="s">
        <v>98</v>
      </c>
      <c r="C318" s="102" t="s">
        <v>40</v>
      </c>
      <c r="D318" s="13"/>
      <c r="E318" s="13"/>
      <c r="F318" s="30">
        <v>4325.9966696139118</v>
      </c>
      <c r="G318" s="41"/>
      <c r="H318" s="13"/>
      <c r="I318" s="30"/>
      <c r="J318" s="41"/>
      <c r="K318" s="13"/>
      <c r="L318" s="33">
        <v>4239.6099999999997</v>
      </c>
      <c r="M318" s="41"/>
      <c r="N318" s="59">
        <f t="shared" ref="N318:N348" si="78">L318-F318</f>
        <v>-86.38666961391209</v>
      </c>
      <c r="O318" s="41"/>
      <c r="P318" s="13"/>
      <c r="Q318" s="33">
        <v>2434.1999999999998</v>
      </c>
      <c r="R318" s="41"/>
      <c r="S318" s="85">
        <f t="shared" ref="S318:S343" si="79">L318-Q318</f>
        <v>1805.4099999999999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1"/>
        <v>PiècesSalaires commis</v>
      </c>
      <c r="B319" s="11" t="s">
        <v>98</v>
      </c>
      <c r="C319" s="103" t="s">
        <v>41</v>
      </c>
      <c r="D319" s="81"/>
      <c r="E319" s="13"/>
      <c r="F319" s="22">
        <v>2917.7478927203065</v>
      </c>
      <c r="G319" s="83"/>
      <c r="H319" s="13"/>
      <c r="I319" s="22"/>
      <c r="J319" s="41"/>
      <c r="K319" s="13"/>
      <c r="L319" s="33">
        <v>3003.9</v>
      </c>
      <c r="M319" s="41"/>
      <c r="N319" s="59">
        <f t="shared" si="78"/>
        <v>86.15210727969361</v>
      </c>
      <c r="O319" s="41"/>
      <c r="P319" s="13"/>
      <c r="Q319" s="33">
        <v>3027.72</v>
      </c>
      <c r="R319" s="41"/>
      <c r="S319" s="85">
        <f t="shared" si="79"/>
        <v>-23.819999999999709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1"/>
        <v>PiècesSalaires autres</v>
      </c>
      <c r="B320" s="11" t="s">
        <v>98</v>
      </c>
      <c r="C320" s="102" t="s">
        <v>42</v>
      </c>
      <c r="D320" s="104"/>
      <c r="E320" s="105"/>
      <c r="F320" s="30">
        <v>15429.558697318007</v>
      </c>
      <c r="G320" s="106"/>
      <c r="H320" s="105"/>
      <c r="I320" s="30"/>
      <c r="J320" s="107"/>
      <c r="K320" s="105"/>
      <c r="L320" s="108">
        <v>15464.15</v>
      </c>
      <c r="M320" s="107"/>
      <c r="N320" s="109">
        <f t="shared" si="78"/>
        <v>34.591302681992602</v>
      </c>
      <c r="O320" s="107"/>
      <c r="P320" s="105"/>
      <c r="Q320" s="108">
        <v>15276.95</v>
      </c>
      <c r="R320" s="107"/>
      <c r="S320" s="110">
        <f t="shared" si="79"/>
        <v>187.19999999999891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 hidden="1">
      <c r="A321" t="str">
        <f t="shared" si="71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78"/>
        <v>0</v>
      </c>
      <c r="O321" s="41"/>
      <c r="P321" s="13"/>
      <c r="Q321" s="33">
        <v>0</v>
      </c>
      <c r="R321" s="41"/>
      <c r="S321" s="85">
        <f t="shared" si="79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78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78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78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74" si="80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2984.6059626054007</v>
      </c>
      <c r="G325" s="83"/>
      <c r="H325" s="13"/>
      <c r="I325" s="22"/>
      <c r="J325" s="41"/>
      <c r="K325" s="13"/>
      <c r="L325" s="33">
        <v>3081.07</v>
      </c>
      <c r="M325" s="41"/>
      <c r="N325" s="59">
        <f t="shared" si="78"/>
        <v>96.464037394599472</v>
      </c>
      <c r="O325" s="41"/>
      <c r="P325" s="13"/>
      <c r="Q325" s="33">
        <v>1843.89</v>
      </c>
      <c r="R325" s="41"/>
      <c r="S325" s="85">
        <f t="shared" ref="S325:S350" si="81">L325-Q325</f>
        <v>1237.18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0"/>
        <v>PiècesDéduction à la source</v>
      </c>
      <c r="B326" s="11" t="s">
        <v>98</v>
      </c>
      <c r="C326" s="102" t="s">
        <v>45</v>
      </c>
      <c r="D326" s="104"/>
      <c r="E326" s="105"/>
      <c r="F326" s="30">
        <v>3048.6087592455056</v>
      </c>
      <c r="G326" s="106"/>
      <c r="H326" s="105"/>
      <c r="I326" s="30"/>
      <c r="J326" s="107"/>
      <c r="K326" s="105"/>
      <c r="L326" s="108">
        <v>3938.26</v>
      </c>
      <c r="M326" s="107"/>
      <c r="N326" s="109">
        <f t="shared" si="78"/>
        <v>889.65124075449467</v>
      </c>
      <c r="O326" s="107"/>
      <c r="P326" s="105"/>
      <c r="Q326" s="108">
        <v>3045.94</v>
      </c>
      <c r="R326" s="107"/>
      <c r="S326" s="110">
        <f t="shared" si="81"/>
        <v>892.32000000000016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0"/>
        <v>PiècesBénéfices marginaux</v>
      </c>
      <c r="B327" s="11" t="s">
        <v>98</v>
      </c>
      <c r="C327" s="102" t="s">
        <v>46</v>
      </c>
      <c r="D327" s="81"/>
      <c r="E327" s="13"/>
      <c r="F327" s="30">
        <v>1793.299270144415</v>
      </c>
      <c r="G327" s="83"/>
      <c r="H327" s="13"/>
      <c r="I327" s="30"/>
      <c r="J327" s="41"/>
      <c r="K327" s="13"/>
      <c r="L327" s="33">
        <v>2781.79</v>
      </c>
      <c r="M327" s="41"/>
      <c r="N327" s="59">
        <f t="shared" si="78"/>
        <v>988.49072985558496</v>
      </c>
      <c r="O327" s="41"/>
      <c r="P327" s="13"/>
      <c r="Q327" s="33">
        <v>1781.51</v>
      </c>
      <c r="R327" s="41"/>
      <c r="S327" s="85">
        <f t="shared" si="81"/>
        <v>1000.28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0"/>
        <v>PiècesCsst</v>
      </c>
      <c r="B328" s="11" t="s">
        <v>98</v>
      </c>
      <c r="C328" s="102" t="s">
        <v>47</v>
      </c>
      <c r="D328" s="81"/>
      <c r="E328" s="13"/>
      <c r="F328" s="30">
        <v>384.27841503094606</v>
      </c>
      <c r="G328" s="83"/>
      <c r="H328" s="13"/>
      <c r="I328" s="30"/>
      <c r="J328" s="41"/>
      <c r="K328" s="13"/>
      <c r="L328" s="33">
        <v>544.67999999999995</v>
      </c>
      <c r="M328" s="467"/>
      <c r="N328" s="146">
        <f t="shared" si="78"/>
        <v>160.40158496905389</v>
      </c>
      <c r="O328" s="41"/>
      <c r="P328" s="13"/>
      <c r="Q328" s="33">
        <v>280.26</v>
      </c>
      <c r="R328" s="41"/>
      <c r="S328" s="85">
        <f t="shared" si="81"/>
        <v>264.41999999999996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0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78"/>
        <v>0</v>
      </c>
      <c r="O329" s="23"/>
      <c r="P329" s="111"/>
      <c r="Q329" s="33">
        <v>0</v>
      </c>
      <c r="R329" s="23"/>
      <c r="S329" s="92">
        <f t="shared" si="81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0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0.30606455958861667</v>
      </c>
      <c r="F330" s="96">
        <f>+SUM(F318:F329)</f>
        <v>30884.095666678491</v>
      </c>
      <c r="G330" s="97"/>
      <c r="H330" s="95"/>
      <c r="I330" s="96"/>
      <c r="J330" s="97" t="s">
        <v>38</v>
      </c>
      <c r="K330" s="95">
        <f>L330/L$314</f>
        <v>0.31075495395432129</v>
      </c>
      <c r="L330" s="96">
        <f>+SUM(L318:L329)</f>
        <v>33053.46</v>
      </c>
      <c r="M330" s="147"/>
      <c r="N330" s="113">
        <f t="shared" si="78"/>
        <v>2169.3643333215077</v>
      </c>
      <c r="O330" s="97" t="s">
        <v>38</v>
      </c>
      <c r="P330" s="95">
        <f>Q330/Q$314</f>
        <v>0.23969255126273625</v>
      </c>
      <c r="Q330" s="96">
        <f>+SUM(Q318:Q329)</f>
        <v>27690.469999999998</v>
      </c>
      <c r="R330" s="147"/>
      <c r="S330" s="114">
        <f t="shared" si="81"/>
        <v>5362.9900000000016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0"/>
        <v>PiècesPublicité 2</v>
      </c>
      <c r="B331" s="11" t="s">
        <v>98</v>
      </c>
      <c r="C331" s="211" t="s">
        <v>49</v>
      </c>
      <c r="D331" s="81"/>
      <c r="E331" s="13"/>
      <c r="F331" s="30">
        <v>3617.2355975606752</v>
      </c>
      <c r="G331" s="83"/>
      <c r="H331" s="13"/>
      <c r="I331" s="30"/>
      <c r="J331" s="41"/>
      <c r="K331" s="13"/>
      <c r="L331" s="33">
        <v>7165.58</v>
      </c>
      <c r="M331" s="41"/>
      <c r="N331" s="59">
        <f t="shared" si="78"/>
        <v>3548.3444024393248</v>
      </c>
      <c r="O331" s="41"/>
      <c r="P331" s="13"/>
      <c r="Q331" s="33">
        <v>8006.57</v>
      </c>
      <c r="R331" s="41"/>
      <c r="S331" s="85">
        <f t="shared" si="81"/>
        <v>-840.98999999999978</v>
      </c>
      <c r="T331" s="13"/>
      <c r="U331" s="13"/>
      <c r="V331" s="462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0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1785.26</v>
      </c>
      <c r="M332" s="41"/>
      <c r="N332" s="59">
        <f t="shared" si="78"/>
        <v>1210.26</v>
      </c>
      <c r="O332" s="41"/>
      <c r="P332" s="13"/>
      <c r="Q332" s="33">
        <v>569.41</v>
      </c>
      <c r="R332" s="41"/>
      <c r="S332" s="85">
        <f t="shared" si="81"/>
        <v>1215.8499999999999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0"/>
        <v>PiècesFrais véhicules de cie</v>
      </c>
      <c r="B333" s="11" t="s">
        <v>98</v>
      </c>
      <c r="C333" s="103" t="s">
        <v>51</v>
      </c>
      <c r="D333" s="87"/>
      <c r="E333" s="111"/>
      <c r="F333" s="22">
        <v>6053.9333333333334</v>
      </c>
      <c r="G333" s="89"/>
      <c r="H333" s="111"/>
      <c r="I333" s="22"/>
      <c r="J333" s="23"/>
      <c r="K333" s="111"/>
      <c r="L333" s="22">
        <v>4542.76</v>
      </c>
      <c r="M333" s="23"/>
      <c r="N333" s="91">
        <f t="shared" si="78"/>
        <v>-1511.1733333333332</v>
      </c>
      <c r="O333" s="23"/>
      <c r="P333" s="111"/>
      <c r="Q333" s="33">
        <v>5082.68</v>
      </c>
      <c r="R333" s="23"/>
      <c r="S333" s="92">
        <f t="shared" si="81"/>
        <v>-539.92000000000007</v>
      </c>
      <c r="T333" s="13"/>
      <c r="U333" s="13"/>
      <c r="V333" s="462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0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1583.43</v>
      </c>
      <c r="M334" s="41"/>
      <c r="N334" s="59">
        <f t="shared" si="78"/>
        <v>-243.37000000000012</v>
      </c>
      <c r="O334" s="41"/>
      <c r="P334" s="13"/>
      <c r="Q334" s="108">
        <v>2020.06</v>
      </c>
      <c r="R334" s="41"/>
      <c r="S334" s="85">
        <f t="shared" si="81"/>
        <v>-436.62999999999988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0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-68.11</v>
      </c>
      <c r="M335" s="41"/>
      <c r="N335" s="59">
        <f t="shared" si="78"/>
        <v>-434.7766666666667</v>
      </c>
      <c r="O335" s="41"/>
      <c r="P335" s="13"/>
      <c r="Q335" s="33">
        <v>447.99</v>
      </c>
      <c r="R335" s="41"/>
      <c r="S335" s="85">
        <f t="shared" si="81"/>
        <v>-516.1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0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1258.01</v>
      </c>
      <c r="M336" s="23"/>
      <c r="N336" s="91">
        <f t="shared" si="78"/>
        <v>-765.19</v>
      </c>
      <c r="O336" s="23"/>
      <c r="P336" s="111"/>
      <c r="Q336" s="48">
        <v>1469.98</v>
      </c>
      <c r="R336" s="23"/>
      <c r="S336" s="92">
        <f t="shared" si="81"/>
        <v>-211.97000000000003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78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87" si="82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0</v>
      </c>
      <c r="M338" s="41"/>
      <c r="N338" s="59">
        <f t="shared" si="78"/>
        <v>-10</v>
      </c>
      <c r="O338" s="41"/>
      <c r="P338" s="13"/>
      <c r="Q338" s="33">
        <v>1.75</v>
      </c>
      <c r="R338" s="41"/>
      <c r="S338" s="85">
        <f t="shared" ref="S338:S363" si="83">L338-Q338</f>
        <v>-1.75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2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78"/>
        <v>-20</v>
      </c>
      <c r="O339" s="41"/>
      <c r="P339" s="13"/>
      <c r="Q339" s="33">
        <v>0</v>
      </c>
      <c r="R339" s="41"/>
      <c r="S339" s="85">
        <f t="shared" si="83"/>
        <v>0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2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182.31</v>
      </c>
      <c r="M340" s="41"/>
      <c r="N340" s="59">
        <f t="shared" si="78"/>
        <v>-132.69</v>
      </c>
      <c r="O340" s="41"/>
      <c r="P340" s="13"/>
      <c r="Q340" s="32">
        <v>380.76</v>
      </c>
      <c r="R340" s="41"/>
      <c r="S340" s="85">
        <f t="shared" si="83"/>
        <v>-198.45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116.31</v>
      </c>
      <c r="M341" s="41"/>
      <c r="N341" s="59">
        <f t="shared" si="78"/>
        <v>-2.0900000000000034</v>
      </c>
      <c r="O341" s="41"/>
      <c r="P341" s="13"/>
      <c r="Q341" s="33">
        <v>102.22</v>
      </c>
      <c r="R341" s="41"/>
      <c r="S341" s="85">
        <f t="shared" si="83"/>
        <v>14.090000000000003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2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526.95000000000005</v>
      </c>
      <c r="M342" s="41"/>
      <c r="N342" s="59">
        <f t="shared" si="78"/>
        <v>-63.049999999999955</v>
      </c>
      <c r="O342" s="41"/>
      <c r="P342" s="13"/>
      <c r="Q342" s="33">
        <v>1278.72</v>
      </c>
      <c r="R342" s="41"/>
      <c r="S342" s="85">
        <f t="shared" si="83"/>
        <v>-751.77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2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110.61</v>
      </c>
      <c r="M343" s="41"/>
      <c r="N343" s="59">
        <f t="shared" si="78"/>
        <v>-237.59000000000003</v>
      </c>
      <c r="O343" s="41"/>
      <c r="P343" s="13"/>
      <c r="Q343" s="33">
        <v>289.2</v>
      </c>
      <c r="R343" s="41"/>
      <c r="S343" s="85">
        <f t="shared" si="83"/>
        <v>-178.58999999999997</v>
      </c>
      <c r="T343" s="13"/>
      <c r="U343" s="13"/>
      <c r="V343" s="11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-712.25</v>
      </c>
      <c r="M344" s="41"/>
      <c r="N344" s="59">
        <f t="shared" si="78"/>
        <v>-968.66489333333334</v>
      </c>
      <c r="O344" s="41"/>
      <c r="P344" s="13"/>
      <c r="Q344" s="33">
        <v>223.62</v>
      </c>
      <c r="R344" s="41"/>
      <c r="S344" s="85">
        <f>L344-Q344</f>
        <v>-935.87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1380.8281895631603</v>
      </c>
      <c r="G345" s="83"/>
      <c r="H345" s="13"/>
      <c r="I345" s="30"/>
      <c r="J345" s="41"/>
      <c r="K345" s="13"/>
      <c r="L345" s="32">
        <v>1217.23</v>
      </c>
      <c r="M345" s="41"/>
      <c r="N345" s="59">
        <f t="shared" si="78"/>
        <v>-163.5981895631603</v>
      </c>
      <c r="O345" s="41"/>
      <c r="P345" s="13"/>
      <c r="Q345" s="33">
        <v>1754.92</v>
      </c>
      <c r="R345" s="41"/>
      <c r="S345" s="85">
        <f>L345-Q345</f>
        <v>-537.69000000000005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78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78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78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0.17344343299567619</v>
      </c>
      <c r="F349" s="96">
        <f>+SUM(F331:F348)</f>
        <v>17501.678680457168</v>
      </c>
      <c r="G349" s="97"/>
      <c r="H349" s="95"/>
      <c r="I349" s="96"/>
      <c r="J349" s="97" t="s">
        <v>38</v>
      </c>
      <c r="K349" s="95">
        <f>L349/L$314</f>
        <v>0.16648413487026711</v>
      </c>
      <c r="L349" s="96">
        <f>+SUM(L331:L348)</f>
        <v>17708.090000000004</v>
      </c>
      <c r="M349" s="100"/>
      <c r="N349" s="96">
        <f>+SUM(N331:N348)</f>
        <v>206.41131954283151</v>
      </c>
      <c r="O349" s="97" t="s">
        <v>38</v>
      </c>
      <c r="P349" s="95">
        <f>Q349/Q$314</f>
        <v>0.18721393084351071</v>
      </c>
      <c r="Q349" s="96">
        <f>+SUM(Q331:Q348)</f>
        <v>21627.879999999997</v>
      </c>
      <c r="R349" s="100"/>
      <c r="S349" s="101">
        <f>+SUM(S331:S348)</f>
        <v>-3919.7900000000004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0.47950799258429283</v>
      </c>
      <c r="F351" s="96">
        <f>F330+F349</f>
        <v>48385.774347135659</v>
      </c>
      <c r="G351" s="97"/>
      <c r="H351" s="95"/>
      <c r="I351" s="96"/>
      <c r="J351" s="97" t="s">
        <v>38</v>
      </c>
      <c r="K351" s="95">
        <f>L351/L$314</f>
        <v>0.47723908882458843</v>
      </c>
      <c r="L351" s="96">
        <f>L330+L349</f>
        <v>50761.55</v>
      </c>
      <c r="M351" s="100"/>
      <c r="N351" s="113">
        <f>L351-F351</f>
        <v>2375.775652864344</v>
      </c>
      <c r="O351" s="97" t="s">
        <v>38</v>
      </c>
      <c r="P351" s="95">
        <f>Q351/Q$314</f>
        <v>0.42690648210624693</v>
      </c>
      <c r="Q351" s="96">
        <f>Q330+Q349</f>
        <v>49318.349999999991</v>
      </c>
      <c r="R351" s="100"/>
      <c r="S351" s="114">
        <f>L351-Q351</f>
        <v>1443.2000000000116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52521.353574470173</v>
      </c>
      <c r="G353" s="153"/>
      <c r="H353" s="125"/>
      <c r="I353" s="127"/>
      <c r="J353" s="154"/>
      <c r="K353" s="126"/>
      <c r="L353" s="127">
        <f>L314-L351</f>
        <v>55603.479999999981</v>
      </c>
      <c r="M353" s="154"/>
      <c r="N353" s="127">
        <f>L353-F353</f>
        <v>3082.1264255298083</v>
      </c>
      <c r="O353" s="154"/>
      <c r="P353" s="126"/>
      <c r="Q353" s="127">
        <f>Q314-Q351</f>
        <v>66206.599999999817</v>
      </c>
      <c r="R353" s="154"/>
      <c r="S353" s="129">
        <f>L353-Q353</f>
        <v>-10603.119999999835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Octobre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08" t="s">
        <v>5</v>
      </c>
      <c r="E358" s="509"/>
      <c r="F358" s="510"/>
      <c r="G358" s="511"/>
      <c r="H358" s="509"/>
      <c r="I358" s="510"/>
      <c r="J358" s="511" t="s">
        <v>7</v>
      </c>
      <c r="K358" s="509"/>
      <c r="L358" s="510"/>
      <c r="M358" s="511"/>
      <c r="N358" s="510"/>
      <c r="O358" s="508" t="s">
        <v>8</v>
      </c>
      <c r="P358" s="509"/>
      <c r="Q358" s="510"/>
      <c r="R358" s="511" t="s">
        <v>9</v>
      </c>
      <c r="S358" s="512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4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4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4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4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5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4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4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4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4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6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4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6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4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6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4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6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4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6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4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6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4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6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4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6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4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6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4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6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4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6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4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6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4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6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4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6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4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6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4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6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4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6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4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6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4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6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4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6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4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6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4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6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4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6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4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6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4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6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4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6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4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6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4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6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4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6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68881.288343632477</v>
      </c>
      <c r="G401" s="13"/>
      <c r="H401" s="13"/>
      <c r="I401" s="13"/>
      <c r="J401" s="13"/>
      <c r="K401" s="13"/>
      <c r="L401" s="82">
        <f>L353+L289+L233</f>
        <v>84921.419999999984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Octobre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3" t="s">
        <v>117</v>
      </c>
      <c r="Y404" s="506"/>
      <c r="Z404" s="514"/>
      <c r="AA404" s="505"/>
      <c r="AB404" s="506"/>
      <c r="AC404" s="514"/>
      <c r="AD404" s="505" t="s">
        <v>7</v>
      </c>
      <c r="AE404" s="506"/>
      <c r="AF404" s="514"/>
      <c r="AG404" s="505" t="s">
        <v>213</v>
      </c>
      <c r="AH404" s="506"/>
      <c r="AI404" s="514"/>
      <c r="AJ404" s="505" t="s">
        <v>118</v>
      </c>
      <c r="AK404" s="506"/>
      <c r="AL404" s="506"/>
      <c r="AM404" s="505" t="s">
        <v>119</v>
      </c>
      <c r="AN404" s="506"/>
      <c r="AO404" s="507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7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7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4184327.8471610914</v>
      </c>
      <c r="AA406" s="263"/>
      <c r="AB406" s="263"/>
      <c r="AC406" s="264"/>
      <c r="AD406" s="265"/>
      <c r="AE406" s="266"/>
      <c r="AF406" s="266">
        <f>L5+L93+K194+K250+J314+J362</f>
        <v>4464713.04</v>
      </c>
      <c r="AG406" s="265"/>
      <c r="AH406" s="266"/>
      <c r="AI406" s="267"/>
      <c r="AJ406" s="265"/>
      <c r="AK406" s="266"/>
      <c r="AL406" s="266">
        <f>Q5+Q93+P194+P250+O314+O362</f>
        <v>4023235.1799999801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7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424106.35146047897</v>
      </c>
      <c r="AA407" s="271"/>
      <c r="AB407" s="271"/>
      <c r="AC407" s="272"/>
      <c r="AD407" s="273"/>
      <c r="AE407" s="274"/>
      <c r="AF407" s="274">
        <f>L27+L108+L194+L250+L314+L362</f>
        <v>438441.95</v>
      </c>
      <c r="AG407" s="273"/>
      <c r="AH407" s="274">
        <f>AF407-Z407</f>
        <v>14335.598539521045</v>
      </c>
      <c r="AI407" s="275">
        <f>AH407/Z407</f>
        <v>3.3801895421169917E-2</v>
      </c>
      <c r="AJ407" s="273">
        <f>+AL407/AL406</f>
        <v>0.1142009277220533</v>
      </c>
      <c r="AK407" s="274"/>
      <c r="AL407" s="274">
        <f>Q27+Q108+Q194+Q250+Q314+Q362</f>
        <v>459457.18999999983</v>
      </c>
      <c r="AM407" s="276"/>
      <c r="AN407" s="274">
        <f>AF407-AL407</f>
        <v>-21015.239999999816</v>
      </c>
      <c r="AO407" s="277">
        <f>IF(AL407=0,0,AN407/AL407)</f>
        <v>-4.5739277689831832E-2</v>
      </c>
      <c r="AP407" s="246"/>
      <c r="AQ407" s="246" t="s">
        <v>221</v>
      </c>
      <c r="AR407" s="310">
        <f>W27+W108+W194+W314</f>
        <v>444724</v>
      </c>
      <c r="AS407" s="310">
        <f>AF407-AR407</f>
        <v>-6282.0499999999884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7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7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88">Z409/(D$13+D$97)</f>
        <v>952.41548231654656</v>
      </c>
      <c r="Z409" s="280">
        <f t="shared" ref="Z409:Z414" si="89">+SUMIF($C:$C,$V409,F:F)</f>
        <v>38096.619292661861</v>
      </c>
      <c r="AA409" s="279"/>
      <c r="AB409" s="287"/>
      <c r="AC409" s="280"/>
      <c r="AD409" s="288"/>
      <c r="AE409" s="287">
        <f t="shared" ref="AE409:AE414" si="90">IF(AF409=0,0,AF409/(J$13+J$97))</f>
        <v>764.84263157894736</v>
      </c>
      <c r="AF409" s="280">
        <f t="shared" ref="AF409:AF415" si="91">+SUMIF($C:$C,$V409,L:L)</f>
        <v>29064.02</v>
      </c>
      <c r="AG409" s="281">
        <f t="shared" ref="AG409:AH424" si="92">AE409-Y409</f>
        <v>-187.5728507375992</v>
      </c>
      <c r="AH409" s="282">
        <f t="shared" si="92"/>
        <v>-9032.5992926618601</v>
      </c>
      <c r="AI409" s="283">
        <f t="shared" ref="AI409:AI418" si="93">IF(Z409=0,0,AH409/Z409)</f>
        <v>-0.23709713513612773</v>
      </c>
      <c r="AJ409" s="288"/>
      <c r="AK409" s="282">
        <f t="shared" ref="AK409:AK418" si="94">AL409/(O$13+O$97)</f>
        <v>1083.468108108108</v>
      </c>
      <c r="AL409" s="280">
        <f t="shared" ref="AL409:AL414" si="95">+SUMIF($C:$C,$V409,Q:Q)</f>
        <v>40088.32</v>
      </c>
      <c r="AM409" s="284">
        <f t="shared" ref="AM409:AM414" si="96">AE409-Y409</f>
        <v>-187.5728507375992</v>
      </c>
      <c r="AN409" s="282">
        <f t="shared" ref="AN409:AN414" si="97">AF409-AL409</f>
        <v>-11024.3</v>
      </c>
      <c r="AO409" s="289">
        <f t="shared" ref="AO409:AO431" si="98">IF(AL409=0,0,AN409/AL409)</f>
        <v>-0.27500029933905934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7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88"/>
        <v>463.890625</v>
      </c>
      <c r="Z410" s="264">
        <f t="shared" si="89"/>
        <v>18555.625</v>
      </c>
      <c r="AA410" s="263"/>
      <c r="AB410" s="291"/>
      <c r="AC410" s="264"/>
      <c r="AD410" s="292"/>
      <c r="AE410" s="291">
        <f t="shared" si="90"/>
        <v>452.55394736842101</v>
      </c>
      <c r="AF410" s="264">
        <f t="shared" si="91"/>
        <v>17197.05</v>
      </c>
      <c r="AG410" s="265">
        <f t="shared" si="92"/>
        <v>-11.336677631578993</v>
      </c>
      <c r="AH410" s="266">
        <f t="shared" si="92"/>
        <v>-1358.5750000000007</v>
      </c>
      <c r="AI410" s="293">
        <f t="shared" si="93"/>
        <v>-7.3216342753208305E-2</v>
      </c>
      <c r="AJ410" s="292"/>
      <c r="AK410" s="266">
        <f t="shared" si="94"/>
        <v>364.37027027027028</v>
      </c>
      <c r="AL410" s="264">
        <f t="shared" si="95"/>
        <v>13481.7</v>
      </c>
      <c r="AM410" s="268">
        <f t="shared" si="96"/>
        <v>-11.336677631578993</v>
      </c>
      <c r="AN410" s="266">
        <f t="shared" si="97"/>
        <v>3715.3499999999985</v>
      </c>
      <c r="AO410" s="294">
        <f t="shared" si="98"/>
        <v>0.27558468145708614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7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88"/>
        <v>121.75</v>
      </c>
      <c r="Z411" s="280">
        <f t="shared" si="89"/>
        <v>4870</v>
      </c>
      <c r="AA411" s="279"/>
      <c r="AB411" s="287"/>
      <c r="AC411" s="280"/>
      <c r="AD411" s="288"/>
      <c r="AE411" s="287">
        <f t="shared" si="90"/>
        <v>65.517894736842095</v>
      </c>
      <c r="AF411" s="280">
        <f t="shared" si="91"/>
        <v>2489.6799999999998</v>
      </c>
      <c r="AG411" s="281">
        <f t="shared" si="92"/>
        <v>-56.232105263157905</v>
      </c>
      <c r="AH411" s="282">
        <f t="shared" si="92"/>
        <v>-2380.3200000000002</v>
      </c>
      <c r="AI411" s="283">
        <f t="shared" si="93"/>
        <v>-0.48877207392197131</v>
      </c>
      <c r="AJ411" s="288"/>
      <c r="AK411" s="282">
        <f t="shared" si="94"/>
        <v>114.95675675675675</v>
      </c>
      <c r="AL411" s="280">
        <f t="shared" si="95"/>
        <v>4253.3999999999996</v>
      </c>
      <c r="AM411" s="284">
        <f t="shared" si="96"/>
        <v>-56.232105263157905</v>
      </c>
      <c r="AN411" s="282">
        <f t="shared" si="97"/>
        <v>-1763.7199999999998</v>
      </c>
      <c r="AO411" s="289">
        <f t="shared" si="98"/>
        <v>-0.41466121220670521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7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88"/>
        <v>65.424999999999997</v>
      </c>
      <c r="Z412" s="280">
        <f t="shared" si="89"/>
        <v>2617</v>
      </c>
      <c r="AA412" s="279"/>
      <c r="AB412" s="287"/>
      <c r="AC412" s="280"/>
      <c r="AD412" s="288"/>
      <c r="AE412" s="287">
        <f t="shared" si="90"/>
        <v>41.896842105263154</v>
      </c>
      <c r="AF412" s="280">
        <f t="shared" si="91"/>
        <v>1592.08</v>
      </c>
      <c r="AG412" s="281">
        <f t="shared" si="92"/>
        <v>-23.528157894736843</v>
      </c>
      <c r="AH412" s="282">
        <f t="shared" si="92"/>
        <v>-1024.92</v>
      </c>
      <c r="AI412" s="283">
        <f t="shared" si="93"/>
        <v>-0.39163928162017581</v>
      </c>
      <c r="AJ412" s="288"/>
      <c r="AK412" s="282">
        <f t="shared" si="94"/>
        <v>51.255405405405405</v>
      </c>
      <c r="AL412" s="280">
        <f t="shared" si="95"/>
        <v>1896.45</v>
      </c>
      <c r="AM412" s="284">
        <f t="shared" si="96"/>
        <v>-23.528157894736843</v>
      </c>
      <c r="AN412" s="282">
        <f t="shared" si="97"/>
        <v>-304.37000000000012</v>
      </c>
      <c r="AO412" s="295">
        <f t="shared" si="98"/>
        <v>-0.16049460834717505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7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88"/>
        <v>85.125</v>
      </c>
      <c r="Z413" s="264">
        <f t="shared" si="89"/>
        <v>3405</v>
      </c>
      <c r="AA413" s="263"/>
      <c r="AB413" s="291"/>
      <c r="AC413" s="264"/>
      <c r="AD413" s="292"/>
      <c r="AE413" s="291">
        <f t="shared" si="90"/>
        <v>78.353421052631589</v>
      </c>
      <c r="AF413" s="264">
        <f t="shared" si="91"/>
        <v>2977.4300000000003</v>
      </c>
      <c r="AG413" s="265">
        <f t="shared" si="92"/>
        <v>-6.7715789473684111</v>
      </c>
      <c r="AH413" s="266">
        <f t="shared" si="92"/>
        <v>-427.56999999999971</v>
      </c>
      <c r="AI413" s="293">
        <f t="shared" si="93"/>
        <v>-0.12557121879588831</v>
      </c>
      <c r="AJ413" s="292"/>
      <c r="AK413" s="266">
        <f t="shared" si="94"/>
        <v>97.009189189189186</v>
      </c>
      <c r="AL413" s="264">
        <f t="shared" si="95"/>
        <v>3589.34</v>
      </c>
      <c r="AM413" s="268">
        <f t="shared" si="96"/>
        <v>-6.7715789473684111</v>
      </c>
      <c r="AN413" s="266">
        <f t="shared" si="97"/>
        <v>-611.90999999999985</v>
      </c>
      <c r="AO413" s="294">
        <f t="shared" si="98"/>
        <v>-0.17047980965860013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7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88"/>
        <v>491.85661764705884</v>
      </c>
      <c r="Z414" s="280">
        <f t="shared" si="89"/>
        <v>19674.264705882353</v>
      </c>
      <c r="AA414" s="283"/>
      <c r="AB414" s="287"/>
      <c r="AC414" s="280"/>
      <c r="AD414" s="288"/>
      <c r="AE414" s="287">
        <f t="shared" si="90"/>
        <v>693.96789473684203</v>
      </c>
      <c r="AF414" s="280">
        <f t="shared" si="91"/>
        <v>26370.78</v>
      </c>
      <c r="AG414" s="281">
        <f t="shared" si="92"/>
        <v>202.11127708978319</v>
      </c>
      <c r="AH414" s="282">
        <f t="shared" si="92"/>
        <v>6696.5152941176457</v>
      </c>
      <c r="AI414" s="283">
        <f t="shared" si="93"/>
        <v>0.34036927906715991</v>
      </c>
      <c r="AJ414" s="288"/>
      <c r="AK414" s="282">
        <f t="shared" si="94"/>
        <v>839.23135135135124</v>
      </c>
      <c r="AL414" s="280">
        <f t="shared" si="95"/>
        <v>31051.559999999998</v>
      </c>
      <c r="AM414" s="284">
        <f t="shared" si="96"/>
        <v>202.11127708978319</v>
      </c>
      <c r="AN414" s="282">
        <f t="shared" si="97"/>
        <v>-4680.7799999999988</v>
      </c>
      <c r="AO414" s="289">
        <f t="shared" si="98"/>
        <v>-0.15074218493370378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7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88"/>
        <v>780.31006842835643</v>
      </c>
      <c r="Z415" s="280">
        <f>+SUMIF($C:$C,$V415,F:F)</f>
        <v>31212.402737134256</v>
      </c>
      <c r="AA415" s="279"/>
      <c r="AB415" s="287"/>
      <c r="AC415" s="280"/>
      <c r="AD415" s="288"/>
      <c r="AE415" s="287">
        <f>IF(AF415=0,0,AF415/(J$13+J$13))</f>
        <v>582.50354166666671</v>
      </c>
      <c r="AF415" s="280">
        <f t="shared" si="91"/>
        <v>27960.170000000002</v>
      </c>
      <c r="AG415" s="281">
        <f t="shared" si="92"/>
        <v>-197.80652676168972</v>
      </c>
      <c r="AH415" s="282">
        <f t="shared" si="92"/>
        <v>-3252.2327371342544</v>
      </c>
      <c r="AI415" s="283">
        <f t="shared" si="93"/>
        <v>-0.10419680806133465</v>
      </c>
      <c r="AJ415" s="288"/>
      <c r="AK415" s="282">
        <f t="shared" si="94"/>
        <v>630.88405405405399</v>
      </c>
      <c r="AL415" s="280">
        <f>IFERROR(SUMIF($C:$C,$V415,Q:Q),0)</f>
        <v>23342.71</v>
      </c>
      <c r="AM415" s="284">
        <f>AE415-Y415</f>
        <v>-197.80652676168972</v>
      </c>
      <c r="AN415" s="282">
        <f>AF415-AL415</f>
        <v>4617.4600000000028</v>
      </c>
      <c r="AO415" s="294">
        <f t="shared" si="98"/>
        <v>0.19781165083231567</v>
      </c>
      <c r="AP415" s="246"/>
      <c r="AQ415" s="246">
        <v>27960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7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88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2"/>
        <v>0</v>
      </c>
      <c r="AH416" s="282">
        <f t="shared" si="92"/>
        <v>0</v>
      </c>
      <c r="AI416" s="283">
        <f t="shared" si="93"/>
        <v>0</v>
      </c>
      <c r="AJ416" s="288"/>
      <c r="AK416" s="282">
        <f t="shared" si="94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98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7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88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2"/>
        <v>0</v>
      </c>
      <c r="AH417" s="282">
        <f t="shared" si="92"/>
        <v>0</v>
      </c>
      <c r="AI417" s="283">
        <f t="shared" si="93"/>
        <v>0</v>
      </c>
      <c r="AJ417" s="288"/>
      <c r="AK417" s="282">
        <f t="shared" si="94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98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7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88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2"/>
        <v>0</v>
      </c>
      <c r="AH418" s="282">
        <f t="shared" si="92"/>
        <v>0</v>
      </c>
      <c r="AI418" s="283">
        <f t="shared" si="93"/>
        <v>0</v>
      </c>
      <c r="AJ418" s="288"/>
      <c r="AK418" s="282">
        <f t="shared" si="94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98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7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0.2792481445463913</v>
      </c>
      <c r="Y419" s="297"/>
      <c r="Z419" s="299">
        <f>SUM(Z409:Z418)</f>
        <v>118430.91173567847</v>
      </c>
      <c r="AA419" s="298"/>
      <c r="AB419" s="297"/>
      <c r="AC419" s="299"/>
      <c r="AD419" s="300">
        <f>AF419/AF407</f>
        <v>0.24553127272607014</v>
      </c>
      <c r="AE419" s="297"/>
      <c r="AF419" s="299">
        <f>SUM(AF409:AF418)</f>
        <v>107651.21</v>
      </c>
      <c r="AG419" s="301"/>
      <c r="AH419" s="302">
        <f t="shared" si="92"/>
        <v>-10779.701735678464</v>
      </c>
      <c r="AI419" s="298">
        <f>AH419/Z419</f>
        <v>-9.102101451128973E-2</v>
      </c>
      <c r="AJ419" s="300">
        <f>IF($AL$407=0,0,AL419/$AL$407)</f>
        <v>0.25617942772862051</v>
      </c>
      <c r="AK419" s="297"/>
      <c r="AL419" s="299">
        <f>SUM(AL409:AL418)</f>
        <v>117703.48000000001</v>
      </c>
      <c r="AM419" s="303"/>
      <c r="AN419" s="302">
        <f t="shared" ref="AN419:AN431" si="99">AF419-AL419</f>
        <v>-10052.270000000004</v>
      </c>
      <c r="AO419" s="277">
        <f t="shared" si="98"/>
        <v>-8.5403337267513271E-2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7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14726.288712054229</v>
      </c>
      <c r="AA420" s="279"/>
      <c r="AB420" s="279"/>
      <c r="AC420" s="280"/>
      <c r="AD420" s="288"/>
      <c r="AE420" s="287"/>
      <c r="AF420" s="280">
        <v>24481.5</v>
      </c>
      <c r="AG420" s="281"/>
      <c r="AH420" s="282">
        <f t="shared" si="92"/>
        <v>9755.2112879457709</v>
      </c>
      <c r="AI420" s="283">
        <f t="shared" ref="AI420:AI432" si="100">IF(Z420=0,0,AH420/Z420)</f>
        <v>0.66243515108872109</v>
      </c>
      <c r="AJ420" s="288"/>
      <c r="AK420" s="279"/>
      <c r="AL420" s="280">
        <v>15620.88</v>
      </c>
      <c r="AM420" s="284"/>
      <c r="AN420" s="282">
        <f t="shared" si="99"/>
        <v>8860.6200000000008</v>
      </c>
      <c r="AO420" s="289">
        <f t="shared" si="98"/>
        <v>0.56722924700785116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7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1">+SUMIF($C:$C,$V421,F:F)</f>
        <v>32839.42101385205</v>
      </c>
      <c r="AA421" s="279"/>
      <c r="AB421" s="279"/>
      <c r="AC421" s="280"/>
      <c r="AD421" s="288"/>
      <c r="AE421" s="287"/>
      <c r="AF421" s="280">
        <f t="shared" ref="AF421:AF432" si="102">+SUMIF($C:$C,$V421,L:L)</f>
        <v>35361.869999999995</v>
      </c>
      <c r="AG421" s="281"/>
      <c r="AH421" s="282">
        <f t="shared" si="92"/>
        <v>2522.4489861479451</v>
      </c>
      <c r="AI421" s="283">
        <f t="shared" si="100"/>
        <v>7.6811615682382053E-2</v>
      </c>
      <c r="AJ421" s="288"/>
      <c r="AK421" s="279"/>
      <c r="AL421" s="280">
        <f t="shared" ref="AL421:AL429" si="103">+SUMIF($C:$C,$V421,Q:Q)</f>
        <v>34750.01</v>
      </c>
      <c r="AM421" s="284"/>
      <c r="AN421" s="282">
        <f t="shared" si="99"/>
        <v>611.85999999999331</v>
      </c>
      <c r="AO421" s="289">
        <f t="shared" si="98"/>
        <v>1.7607476947488456E-2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7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1"/>
        <v>21749.420498084291</v>
      </c>
      <c r="AA422" s="263"/>
      <c r="AB422" s="263"/>
      <c r="AC422" s="264"/>
      <c r="AD422" s="292"/>
      <c r="AE422" s="291"/>
      <c r="AF422" s="264">
        <f t="shared" si="102"/>
        <v>21826.450000000004</v>
      </c>
      <c r="AG422" s="265"/>
      <c r="AH422" s="266">
        <f t="shared" si="92"/>
        <v>77.029501915712899</v>
      </c>
      <c r="AI422" s="293">
        <f t="shared" si="100"/>
        <v>3.5416806586868704E-3</v>
      </c>
      <c r="AJ422" s="292"/>
      <c r="AK422" s="263"/>
      <c r="AL422" s="264">
        <f t="shared" si="103"/>
        <v>21192.29</v>
      </c>
      <c r="AM422" s="268"/>
      <c r="AN422" s="266">
        <f t="shared" si="99"/>
        <v>634.16000000000349</v>
      </c>
      <c r="AO422" s="269">
        <f t="shared" si="98"/>
        <v>2.9924090317752516E-2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7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1"/>
        <v>27148.902544774122</v>
      </c>
      <c r="AA423" s="279"/>
      <c r="AB423" s="279"/>
      <c r="AC423" s="280"/>
      <c r="AD423" s="288"/>
      <c r="AE423" s="287"/>
      <c r="AF423" s="280">
        <f t="shared" si="102"/>
        <v>24984.16</v>
      </c>
      <c r="AG423" s="281"/>
      <c r="AH423" s="282">
        <f t="shared" si="92"/>
        <v>-2164.7425447741225</v>
      </c>
      <c r="AI423" s="283">
        <f t="shared" si="100"/>
        <v>-7.9735913494256974E-2</v>
      </c>
      <c r="AJ423" s="288"/>
      <c r="AK423" s="279"/>
      <c r="AL423" s="280">
        <f t="shared" si="103"/>
        <v>28028.15</v>
      </c>
      <c r="AM423" s="284"/>
      <c r="AN423" s="282">
        <f t="shared" si="99"/>
        <v>-3043.9900000000016</v>
      </c>
      <c r="AO423" s="289">
        <f t="shared" si="98"/>
        <v>-0.10860474201829237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7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1"/>
        <v>14702.865444444444</v>
      </c>
      <c r="AA424" s="279"/>
      <c r="AB424" s="279"/>
      <c r="AC424" s="280"/>
      <c r="AD424" s="288"/>
      <c r="AE424" s="287"/>
      <c r="AF424" s="280">
        <f t="shared" si="102"/>
        <v>18459.82</v>
      </c>
      <c r="AG424" s="281"/>
      <c r="AH424" s="282">
        <f t="shared" si="92"/>
        <v>3756.954555555556</v>
      </c>
      <c r="AI424" s="283">
        <f t="shared" si="100"/>
        <v>0.25552533074259626</v>
      </c>
      <c r="AJ424" s="288"/>
      <c r="AK424" s="279"/>
      <c r="AL424" s="280">
        <f t="shared" si="103"/>
        <v>15814.28</v>
      </c>
      <c r="AM424" s="284"/>
      <c r="AN424" s="282">
        <f t="shared" si="99"/>
        <v>2645.5399999999991</v>
      </c>
      <c r="AO424" s="289">
        <f t="shared" si="98"/>
        <v>0.16728804599387381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7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1"/>
        <v>0</v>
      </c>
      <c r="AA425" s="279"/>
      <c r="AB425" s="279"/>
      <c r="AC425" s="282"/>
      <c r="AD425" s="288"/>
      <c r="AE425" s="287"/>
      <c r="AF425" s="280">
        <f t="shared" si="102"/>
        <v>0</v>
      </c>
      <c r="AG425" s="281"/>
      <c r="AH425" s="282">
        <f t="shared" ref="AH425:AH457" si="104">AF425-Z425</f>
        <v>0</v>
      </c>
      <c r="AI425" s="283">
        <f t="shared" si="100"/>
        <v>0</v>
      </c>
      <c r="AJ425" s="288"/>
      <c r="AK425" s="279"/>
      <c r="AL425" s="280">
        <f t="shared" si="103"/>
        <v>0</v>
      </c>
      <c r="AM425" s="284"/>
      <c r="AN425" s="282">
        <f t="shared" si="99"/>
        <v>0</v>
      </c>
      <c r="AO425" s="289">
        <f t="shared" si="98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7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1"/>
        <v>0</v>
      </c>
      <c r="AA426" s="279"/>
      <c r="AB426" s="279"/>
      <c r="AC426" s="282"/>
      <c r="AD426" s="288"/>
      <c r="AE426" s="287"/>
      <c r="AF426" s="280">
        <f t="shared" si="102"/>
        <v>0</v>
      </c>
      <c r="AG426" s="281"/>
      <c r="AH426" s="282">
        <f t="shared" si="104"/>
        <v>0</v>
      </c>
      <c r="AI426" s="283">
        <f t="shared" si="100"/>
        <v>0</v>
      </c>
      <c r="AJ426" s="288"/>
      <c r="AK426" s="279"/>
      <c r="AL426" s="280">
        <f t="shared" si="103"/>
        <v>0</v>
      </c>
      <c r="AM426" s="284"/>
      <c r="AN426" s="282">
        <f t="shared" si="99"/>
        <v>0</v>
      </c>
      <c r="AO426" s="289">
        <f t="shared" si="98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7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1"/>
        <v>0</v>
      </c>
      <c r="AA427" s="279"/>
      <c r="AB427" s="279"/>
      <c r="AC427" s="282"/>
      <c r="AD427" s="288"/>
      <c r="AE427" s="287"/>
      <c r="AF427" s="280">
        <f t="shared" si="102"/>
        <v>0</v>
      </c>
      <c r="AG427" s="281"/>
      <c r="AH427" s="282">
        <f t="shared" si="104"/>
        <v>0</v>
      </c>
      <c r="AI427" s="283">
        <f t="shared" si="100"/>
        <v>0</v>
      </c>
      <c r="AJ427" s="288"/>
      <c r="AK427" s="279"/>
      <c r="AL427" s="280">
        <f t="shared" si="103"/>
        <v>0</v>
      </c>
      <c r="AM427" s="284"/>
      <c r="AN427" s="282">
        <f t="shared" si="99"/>
        <v>0</v>
      </c>
      <c r="AO427" s="289">
        <f t="shared" si="98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7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1"/>
        <v>25832.356070697457</v>
      </c>
      <c r="AA428" s="263"/>
      <c r="AB428" s="263"/>
      <c r="AC428" s="264"/>
      <c r="AD428" s="292"/>
      <c r="AE428" s="291"/>
      <c r="AF428" s="264">
        <f t="shared" si="102"/>
        <v>21008.36</v>
      </c>
      <c r="AG428" s="265"/>
      <c r="AH428" s="266">
        <f t="shared" si="104"/>
        <v>-4823.9960706974562</v>
      </c>
      <c r="AI428" s="293">
        <f t="shared" si="100"/>
        <v>-0.18674239614440291</v>
      </c>
      <c r="AJ428" s="292"/>
      <c r="AK428" s="263"/>
      <c r="AL428" s="264">
        <f t="shared" si="103"/>
        <v>21094.079999999998</v>
      </c>
      <c r="AM428" s="268"/>
      <c r="AN428" s="266">
        <f t="shared" si="99"/>
        <v>-85.719999999997526</v>
      </c>
      <c r="AO428" s="294">
        <f t="shared" si="98"/>
        <v>-4.0636993886435215E-3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7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1"/>
        <v>26386.312959158651</v>
      </c>
      <c r="AA429" s="279"/>
      <c r="AB429" s="279"/>
      <c r="AC429" s="280"/>
      <c r="AD429" s="288"/>
      <c r="AE429" s="287"/>
      <c r="AF429" s="280">
        <f t="shared" si="102"/>
        <v>26631.599999999999</v>
      </c>
      <c r="AG429" s="281"/>
      <c r="AH429" s="282">
        <f t="shared" si="104"/>
        <v>245.28704084134733</v>
      </c>
      <c r="AI429" s="283">
        <f>IF(Z429=0,0,AH429/Z429)</f>
        <v>9.2959952844115928E-3</v>
      </c>
      <c r="AJ429" s="288"/>
      <c r="AK429" s="279"/>
      <c r="AL429" s="280">
        <f t="shared" si="103"/>
        <v>25103.7</v>
      </c>
      <c r="AM429" s="284"/>
      <c r="AN429" s="282">
        <f t="shared" si="99"/>
        <v>1527.8999999999978</v>
      </c>
      <c r="AO429" s="289">
        <f t="shared" si="98"/>
        <v>6.0863538044192603E-2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7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1"/>
        <v>15521.360564210971</v>
      </c>
      <c r="AA430" s="279"/>
      <c r="AB430" s="279"/>
      <c r="AC430" s="280"/>
      <c r="AD430" s="288"/>
      <c r="AE430" s="287"/>
      <c r="AF430" s="280">
        <f t="shared" si="102"/>
        <v>15723.45</v>
      </c>
      <c r="AG430" s="281"/>
      <c r="AH430" s="282">
        <f t="shared" si="104"/>
        <v>202.08943578903018</v>
      </c>
      <c r="AI430" s="283">
        <f t="shared" si="100"/>
        <v>1.3020085124174383E-2</v>
      </c>
      <c r="AJ430" s="288"/>
      <c r="AK430" s="279"/>
      <c r="AL430" s="280">
        <f>IFERROR(SUMIF($C:$C,$V430,Q:Q),0)</f>
        <v>15108.050000000001</v>
      </c>
      <c r="AM430" s="284"/>
      <c r="AN430" s="282">
        <f t="shared" si="99"/>
        <v>615.39999999999964</v>
      </c>
      <c r="AO430" s="289">
        <f t="shared" si="98"/>
        <v>4.0733251478516391E-2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7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1"/>
        <v>3326.0058351880652</v>
      </c>
      <c r="AA431" s="279"/>
      <c r="AB431" s="279"/>
      <c r="AC431" s="280"/>
      <c r="AD431" s="288"/>
      <c r="AE431" s="287"/>
      <c r="AF431" s="280">
        <f t="shared" si="102"/>
        <v>3249.1099999999997</v>
      </c>
      <c r="AG431" s="281"/>
      <c r="AH431" s="282">
        <f t="shared" si="104"/>
        <v>-76.895835188065575</v>
      </c>
      <c r="AI431" s="306">
        <f t="shared" si="100"/>
        <v>-2.3119573145221974E-2</v>
      </c>
      <c r="AJ431" s="288"/>
      <c r="AK431" s="279"/>
      <c r="AL431" s="280">
        <f>IFERROR(SUMIF($C:$C,$V431,Q:Q),0)</f>
        <v>2123.2200000000003</v>
      </c>
      <c r="AM431" s="284"/>
      <c r="AN431" s="282">
        <f t="shared" si="99"/>
        <v>1125.8899999999994</v>
      </c>
      <c r="AO431" s="294">
        <f t="shared" si="98"/>
        <v>0.53027477133787326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7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2"/>
        <v>0</v>
      </c>
      <c r="AG432" s="281"/>
      <c r="AH432" s="282">
        <f t="shared" si="104"/>
        <v>0</v>
      </c>
      <c r="AI432" s="283">
        <f t="shared" si="100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7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0.42968687692347829</v>
      </c>
      <c r="Y433" s="297"/>
      <c r="Z433" s="299">
        <f>SUM(Z420:Z432)</f>
        <v>182232.93364246425</v>
      </c>
      <c r="AA433" s="298"/>
      <c r="AB433" s="297"/>
      <c r="AC433" s="299"/>
      <c r="AD433" s="300">
        <f>AF433/AF407</f>
        <v>0.43729009051255252</v>
      </c>
      <c r="AE433" s="307"/>
      <c r="AF433" s="299">
        <f>SUM(AF420:AF432)</f>
        <v>191726.32000000004</v>
      </c>
      <c r="AG433" s="308"/>
      <c r="AH433" s="302">
        <f t="shared" si="104"/>
        <v>9493.3863575357827</v>
      </c>
      <c r="AI433" s="298">
        <f>AH433/Z433</f>
        <v>5.2094789716558766E-2</v>
      </c>
      <c r="AJ433" s="300">
        <f>IF($AL$407=0,0,AL433/$AL$407)</f>
        <v>0.38923030021578298</v>
      </c>
      <c r="AK433" s="297"/>
      <c r="AL433" s="299">
        <f>SUM(AL420:AL432)</f>
        <v>178834.65999999997</v>
      </c>
      <c r="AM433" s="309"/>
      <c r="AN433" s="302">
        <f t="shared" ref="AN433:AN447" si="105">AF433-AL433</f>
        <v>12891.660000000062</v>
      </c>
      <c r="AO433" s="277">
        <f>IF(AL433=0,0,AN433/AL433)</f>
        <v>7.2087032793307873E-2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7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6">+SUMIF($C:$C,$V434,F:F)</f>
        <v>10334.958850173358</v>
      </c>
      <c r="AA434" s="312"/>
      <c r="AB434" s="312"/>
      <c r="AC434" s="313"/>
      <c r="AD434" s="314"/>
      <c r="AE434" s="315"/>
      <c r="AF434" s="313">
        <f t="shared" ref="AF434:AF451" si="107">+SUMIF($C:$C,$V434,L:L)</f>
        <v>21218.35</v>
      </c>
      <c r="AG434" s="314"/>
      <c r="AH434" s="316">
        <f t="shared" si="104"/>
        <v>10883.391149826641</v>
      </c>
      <c r="AI434" s="317">
        <f t="shared" ref="AI434:AI451" si="108">IF(Z434=0,0,AH434/Z434)</f>
        <v>1.0530657458441728</v>
      </c>
      <c r="AJ434" s="314"/>
      <c r="AK434" s="312"/>
      <c r="AL434" s="313">
        <f t="shared" ref="AL434:AL448" si="109">+SUMIF($C:$C,$V434,Q:Q)</f>
        <v>12733.509999999998</v>
      </c>
      <c r="AM434" s="318"/>
      <c r="AN434" s="316">
        <f t="shared" si="105"/>
        <v>8484.84</v>
      </c>
      <c r="AO434" s="285">
        <f t="shared" ref="AO434:AO447" si="110">IF(AL434=0,0,AN434/AL434)</f>
        <v>0.66633944607574824</v>
      </c>
      <c r="AP434" s="246"/>
      <c r="AQ434" s="246">
        <f>25501-4283</f>
        <v>21218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7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6"/>
        <v>3333.3333333333335</v>
      </c>
      <c r="AA435" s="279"/>
      <c r="AB435" s="279"/>
      <c r="AC435" s="280"/>
      <c r="AD435" s="288"/>
      <c r="AE435" s="287"/>
      <c r="AF435" s="280">
        <f t="shared" si="107"/>
        <v>3957.51</v>
      </c>
      <c r="AG435" s="281"/>
      <c r="AH435" s="282">
        <f t="shared" si="104"/>
        <v>624.17666666666673</v>
      </c>
      <c r="AI435" s="283">
        <f t="shared" si="108"/>
        <v>0.187253</v>
      </c>
      <c r="AJ435" s="288"/>
      <c r="AK435" s="279"/>
      <c r="AL435" s="280">
        <f t="shared" si="109"/>
        <v>4956.34</v>
      </c>
      <c r="AM435" s="284"/>
      <c r="AN435" s="282">
        <f t="shared" si="105"/>
        <v>-998.82999999999993</v>
      </c>
      <c r="AO435" s="289">
        <f t="shared" si="110"/>
        <v>-0.20152572260982901</v>
      </c>
      <c r="AP435" s="246"/>
      <c r="AQ435" s="246">
        <v>3958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7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6"/>
        <v>20211.333333333332</v>
      </c>
      <c r="AA436" s="263"/>
      <c r="AB436" s="263"/>
      <c r="AC436" s="264"/>
      <c r="AD436" s="292"/>
      <c r="AE436" s="291"/>
      <c r="AF436" s="264">
        <f t="shared" si="107"/>
        <v>19592.5</v>
      </c>
      <c r="AG436" s="265"/>
      <c r="AH436" s="266">
        <f t="shared" si="104"/>
        <v>-618.83333333333212</v>
      </c>
      <c r="AI436" s="293">
        <f t="shared" si="108"/>
        <v>-3.0618135039746617E-2</v>
      </c>
      <c r="AJ436" s="292"/>
      <c r="AK436" s="263"/>
      <c r="AL436" s="264">
        <f t="shared" si="109"/>
        <v>20128.419999999998</v>
      </c>
      <c r="AM436" s="268"/>
      <c r="AN436" s="266">
        <f t="shared" si="105"/>
        <v>-535.91999999999825</v>
      </c>
      <c r="AO436" s="269">
        <f t="shared" si="110"/>
        <v>-2.6625040614216035E-2</v>
      </c>
      <c r="AP436" s="246"/>
      <c r="AQ436" s="485">
        <f>23976-2000-1669-715</f>
        <v>19592</v>
      </c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7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6"/>
        <v>14164</v>
      </c>
      <c r="AA437" s="279"/>
      <c r="AB437" s="279"/>
      <c r="AC437" s="280"/>
      <c r="AD437" s="288"/>
      <c r="AE437" s="287"/>
      <c r="AF437" s="280">
        <f t="shared" si="107"/>
        <v>13160.600000000002</v>
      </c>
      <c r="AG437" s="281"/>
      <c r="AH437" s="282">
        <f>AF437-Z437</f>
        <v>-1003.3999999999978</v>
      </c>
      <c r="AI437" s="283">
        <f t="shared" si="108"/>
        <v>-7.0841570177915689E-2</v>
      </c>
      <c r="AJ437" s="288"/>
      <c r="AK437" s="279"/>
      <c r="AL437" s="280">
        <f t="shared" si="109"/>
        <v>15192.349999999999</v>
      </c>
      <c r="AM437" s="284"/>
      <c r="AN437" s="282">
        <f t="shared" si="105"/>
        <v>-2031.7499999999964</v>
      </c>
      <c r="AO437" s="289">
        <f t="shared" si="110"/>
        <v>-0.13373507061119555</v>
      </c>
      <c r="AP437" s="485"/>
      <c r="AQ437" s="494">
        <f>14411-1250</f>
        <v>13161</v>
      </c>
      <c r="AR437" s="494" t="s">
        <v>251</v>
      </c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7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6"/>
        <v>1833.3333333333335</v>
      </c>
      <c r="AA438" s="279"/>
      <c r="AB438" s="279"/>
      <c r="AC438" s="280"/>
      <c r="AD438" s="288"/>
      <c r="AE438" s="287"/>
      <c r="AF438" s="280">
        <f t="shared" si="107"/>
        <v>-2.3400000000000176</v>
      </c>
      <c r="AG438" s="281"/>
      <c r="AH438" s="282">
        <f t="shared" si="104"/>
        <v>-1835.6733333333334</v>
      </c>
      <c r="AI438" s="283">
        <f t="shared" si="108"/>
        <v>-1.0012763636363635</v>
      </c>
      <c r="AJ438" s="288"/>
      <c r="AK438" s="279"/>
      <c r="AL438" s="280">
        <f t="shared" si="109"/>
        <v>2158.0200000000004</v>
      </c>
      <c r="AM438" s="284"/>
      <c r="AN438" s="282">
        <f t="shared" si="105"/>
        <v>-2160.3600000000006</v>
      </c>
      <c r="AO438" s="289">
        <f t="shared" si="110"/>
        <v>-1.0010843273000252</v>
      </c>
      <c r="AP438" s="485"/>
      <c r="AQ438" s="246">
        <f>2416-500-1918</f>
        <v>-2</v>
      </c>
      <c r="AR438" s="494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7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6"/>
        <v>11716</v>
      </c>
      <c r="AA439" s="279"/>
      <c r="AB439" s="279"/>
      <c r="AC439" s="280"/>
      <c r="AD439" s="288"/>
      <c r="AE439" s="287"/>
      <c r="AF439" s="280">
        <f t="shared" si="107"/>
        <v>4267.32</v>
      </c>
      <c r="AG439" s="281"/>
      <c r="AH439" s="282">
        <f t="shared" si="104"/>
        <v>-7448.68</v>
      </c>
      <c r="AI439" s="283">
        <f t="shared" si="108"/>
        <v>-0.63576988733356099</v>
      </c>
      <c r="AJ439" s="288"/>
      <c r="AK439" s="279"/>
      <c r="AL439" s="280">
        <f t="shared" si="109"/>
        <v>14264.399999999998</v>
      </c>
      <c r="AM439" s="284"/>
      <c r="AN439" s="282">
        <f t="shared" si="105"/>
        <v>-9997.0799999999981</v>
      </c>
      <c r="AO439" s="289">
        <f t="shared" si="110"/>
        <v>-0.7008412551526878</v>
      </c>
      <c r="AP439" s="246"/>
      <c r="AQ439" s="485">
        <f>6017-1750</f>
        <v>4267</v>
      </c>
      <c r="AR439" s="485" t="s">
        <v>252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 hidden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6"/>
        <v>0</v>
      </c>
      <c r="AA440" s="320"/>
      <c r="AB440" s="320"/>
      <c r="AC440" s="321"/>
      <c r="AD440" s="322"/>
      <c r="AE440" s="323"/>
      <c r="AF440" s="321">
        <f t="shared" si="107"/>
        <v>0</v>
      </c>
      <c r="AG440" s="324"/>
      <c r="AH440" s="325">
        <f t="shared" si="104"/>
        <v>0</v>
      </c>
      <c r="AI440" s="326">
        <f t="shared" si="108"/>
        <v>0</v>
      </c>
      <c r="AJ440" s="322"/>
      <c r="AK440" s="320"/>
      <c r="AL440" s="321">
        <f t="shared" si="109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7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6"/>
        <v>1167.5</v>
      </c>
      <c r="AA441" s="279"/>
      <c r="AB441" s="287"/>
      <c r="AC441" s="280"/>
      <c r="AD441" s="288"/>
      <c r="AE441" s="287"/>
      <c r="AF441" s="280">
        <f t="shared" si="107"/>
        <v>4269.1499999999996</v>
      </c>
      <c r="AG441" s="281"/>
      <c r="AH441" s="282">
        <f t="shared" si="104"/>
        <v>3101.6499999999996</v>
      </c>
      <c r="AI441" s="283">
        <f t="shared" si="108"/>
        <v>2.6566595289079227</v>
      </c>
      <c r="AJ441" s="288"/>
      <c r="AK441" s="279"/>
      <c r="AL441" s="280">
        <f t="shared" si="109"/>
        <v>2684.08</v>
      </c>
      <c r="AM441" s="284"/>
      <c r="AN441" s="282">
        <f t="shared" si="105"/>
        <v>1585.0699999999997</v>
      </c>
      <c r="AO441" s="289">
        <f t="shared" si="110"/>
        <v>0.59054499120741544</v>
      </c>
      <c r="AP441" s="246"/>
      <c r="AQ441" s="246">
        <v>4269</v>
      </c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7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6"/>
        <v>1060</v>
      </c>
      <c r="AA442" s="279"/>
      <c r="AB442" s="279"/>
      <c r="AC442" s="280"/>
      <c r="AD442" s="288"/>
      <c r="AE442" s="287"/>
      <c r="AF442" s="280">
        <f t="shared" si="107"/>
        <v>897.7</v>
      </c>
      <c r="AG442" s="281"/>
      <c r="AH442" s="282">
        <f t="shared" si="104"/>
        <v>-162.29999999999995</v>
      </c>
      <c r="AI442" s="306">
        <f t="shared" si="108"/>
        <v>-0.15311320754716976</v>
      </c>
      <c r="AJ442" s="288"/>
      <c r="AK442" s="279"/>
      <c r="AL442" s="280">
        <f t="shared" si="109"/>
        <v>739.84</v>
      </c>
      <c r="AM442" s="284"/>
      <c r="AN442" s="282">
        <f t="shared" si="105"/>
        <v>157.86000000000001</v>
      </c>
      <c r="AO442" s="289">
        <f t="shared" si="110"/>
        <v>0.21337045847750866</v>
      </c>
      <c r="AP442" s="246"/>
      <c r="AQ442" s="246">
        <v>898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6"/>
        <v>1575</v>
      </c>
      <c r="AA443" s="279"/>
      <c r="AB443" s="279"/>
      <c r="AC443" s="280"/>
      <c r="AD443" s="288"/>
      <c r="AE443" s="287"/>
      <c r="AF443" s="280">
        <f t="shared" si="107"/>
        <v>1056.78</v>
      </c>
      <c r="AG443" s="281"/>
      <c r="AH443" s="282">
        <f t="shared" si="104"/>
        <v>-518.22</v>
      </c>
      <c r="AI443" s="283">
        <f t="shared" si="108"/>
        <v>-0.32902857142857145</v>
      </c>
      <c r="AJ443" s="288"/>
      <c r="AK443" s="279"/>
      <c r="AL443" s="280">
        <f t="shared" si="109"/>
        <v>1903.85</v>
      </c>
      <c r="AM443" s="284"/>
      <c r="AN443" s="282">
        <f t="shared" si="105"/>
        <v>-847.06999999999994</v>
      </c>
      <c r="AO443" s="289">
        <f t="shared" si="110"/>
        <v>-0.44492475772776213</v>
      </c>
      <c r="AP443" s="246"/>
      <c r="AQ443" s="246">
        <f>1247+810-1000</f>
        <v>1057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7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6"/>
        <v>512</v>
      </c>
      <c r="AA444" s="279"/>
      <c r="AB444" s="279"/>
      <c r="AC444" s="280"/>
      <c r="AD444" s="288"/>
      <c r="AE444" s="287"/>
      <c r="AF444" s="280">
        <f t="shared" si="107"/>
        <v>489.14</v>
      </c>
      <c r="AG444" s="281"/>
      <c r="AH444" s="282">
        <f t="shared" si="104"/>
        <v>-22.860000000000014</v>
      </c>
      <c r="AI444" s="306">
        <f t="shared" si="108"/>
        <v>-4.4648437500000027E-2</v>
      </c>
      <c r="AJ444" s="288"/>
      <c r="AK444" s="279"/>
      <c r="AL444" s="280">
        <f t="shared" si="109"/>
        <v>474.14</v>
      </c>
      <c r="AM444" s="284"/>
      <c r="AN444" s="282">
        <f t="shared" si="105"/>
        <v>15</v>
      </c>
      <c r="AO444" s="289">
        <f t="shared" si="110"/>
        <v>3.1636225587379253E-2</v>
      </c>
      <c r="AP444" s="246"/>
      <c r="AQ444" s="246">
        <v>489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7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6"/>
        <v>950</v>
      </c>
      <c r="AA445" s="279"/>
      <c r="AB445" s="279"/>
      <c r="AC445" s="280"/>
      <c r="AD445" s="288"/>
      <c r="AE445" s="287"/>
      <c r="AF445" s="280">
        <f t="shared" si="107"/>
        <v>702.03000000000009</v>
      </c>
      <c r="AG445" s="281"/>
      <c r="AH445" s="282">
        <f t="shared" si="104"/>
        <v>-247.96999999999991</v>
      </c>
      <c r="AI445" s="283">
        <f t="shared" si="108"/>
        <v>-0.26102105263157888</v>
      </c>
      <c r="AJ445" s="288"/>
      <c r="AK445" s="279"/>
      <c r="AL445" s="280">
        <f t="shared" si="109"/>
        <v>1782.08</v>
      </c>
      <c r="AM445" s="284"/>
      <c r="AN445" s="282">
        <f t="shared" si="105"/>
        <v>-1080.0499999999997</v>
      </c>
      <c r="AO445" s="289">
        <f t="shared" si="110"/>
        <v>-0.60606145627581243</v>
      </c>
      <c r="AP445" s="246"/>
      <c r="AQ445" s="246">
        <v>702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7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6"/>
        <v>1741.0000000000002</v>
      </c>
      <c r="AA446" s="279"/>
      <c r="AB446" s="287"/>
      <c r="AC446" s="280"/>
      <c r="AD446" s="288"/>
      <c r="AE446" s="287"/>
      <c r="AF446" s="280">
        <f t="shared" si="107"/>
        <v>553.03</v>
      </c>
      <c r="AG446" s="281"/>
      <c r="AH446" s="282">
        <f t="shared" si="104"/>
        <v>-1187.9700000000003</v>
      </c>
      <c r="AI446" s="306">
        <f t="shared" si="108"/>
        <v>-0.68234922458357272</v>
      </c>
      <c r="AJ446" s="288"/>
      <c r="AK446" s="279"/>
      <c r="AL446" s="280">
        <f t="shared" si="109"/>
        <v>1446.0000000000002</v>
      </c>
      <c r="AM446" s="284"/>
      <c r="AN446" s="282">
        <f t="shared" si="105"/>
        <v>-892.97000000000025</v>
      </c>
      <c r="AO446" s="289">
        <f t="shared" si="110"/>
        <v>-0.61754495159059486</v>
      </c>
      <c r="AP446" s="246"/>
      <c r="AQ446" s="246">
        <f>1662-9-1100</f>
        <v>553</v>
      </c>
      <c r="AR446" s="485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7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6"/>
        <v>2582.3544666666662</v>
      </c>
      <c r="AA447" s="279"/>
      <c r="AB447" s="287"/>
      <c r="AC447" s="280"/>
      <c r="AD447" s="288"/>
      <c r="AE447" s="287"/>
      <c r="AF447" s="280">
        <f t="shared" si="107"/>
        <v>-3459.03</v>
      </c>
      <c r="AG447" s="281"/>
      <c r="AH447" s="282">
        <f t="shared" si="104"/>
        <v>-6041.3844666666664</v>
      </c>
      <c r="AI447" s="283">
        <f t="shared" si="108"/>
        <v>-2.3394869080327911</v>
      </c>
      <c r="AJ447" s="288"/>
      <c r="AK447" s="279"/>
      <c r="AL447" s="280">
        <f t="shared" si="109"/>
        <v>3002.4699999999993</v>
      </c>
      <c r="AM447" s="284"/>
      <c r="AN447" s="282">
        <f t="shared" si="105"/>
        <v>-6461.5</v>
      </c>
      <c r="AO447" s="289">
        <f t="shared" si="110"/>
        <v>-2.1520614693902025</v>
      </c>
      <c r="AP447" s="246"/>
      <c r="AQ447" s="246">
        <f>791-4250</f>
        <v>-3459</v>
      </c>
      <c r="AR447" s="246" t="s">
        <v>253</v>
      </c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7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1.6500000000000002E-3</v>
      </c>
      <c r="Z448" s="280">
        <f t="shared" si="106"/>
        <v>6904.1409478158021</v>
      </c>
      <c r="AA448" s="279"/>
      <c r="AB448" s="287"/>
      <c r="AC448" s="280"/>
      <c r="AD448" s="288"/>
      <c r="AE448" s="287"/>
      <c r="AF448" s="280">
        <f t="shared" si="107"/>
        <v>6086.18</v>
      </c>
      <c r="AG448" s="281"/>
      <c r="AH448" s="282">
        <f t="shared" si="104"/>
        <v>-817.96094781580177</v>
      </c>
      <c r="AI448" s="283">
        <f t="shared" si="108"/>
        <v>-0.11847396424816216</v>
      </c>
      <c r="AJ448" s="288"/>
      <c r="AK448" s="279"/>
      <c r="AL448" s="280">
        <f t="shared" si="109"/>
        <v>8774.5399999999991</v>
      </c>
      <c r="AM448" s="284"/>
      <c r="AN448" s="282">
        <f>AF448-AL448</f>
        <v>-2688.3599999999988</v>
      </c>
      <c r="AO448" s="289">
        <f>IF(AL448=0,0,AN448/AL448)</f>
        <v>-0.30638187300986708</v>
      </c>
      <c r="AP448" s="246"/>
      <c r="AQ448" s="246">
        <f>7086-1000</f>
        <v>6086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7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7"/>
        <v>0</v>
      </c>
      <c r="AG449" s="281"/>
      <c r="AH449" s="282">
        <f t="shared" si="104"/>
        <v>0</v>
      </c>
      <c r="AI449" s="283">
        <f t="shared" si="108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7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7"/>
        <v>0</v>
      </c>
      <c r="AG450" s="281"/>
      <c r="AH450" s="282">
        <f t="shared" si="104"/>
        <v>0</v>
      </c>
      <c r="AI450" s="283">
        <f t="shared" si="108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7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7"/>
        <v>0</v>
      </c>
      <c r="AG451" s="281"/>
      <c r="AH451" s="282">
        <f t="shared" si="104"/>
        <v>0</v>
      </c>
      <c r="AI451" s="283">
        <f t="shared" si="108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7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0.18411644625400597</v>
      </c>
      <c r="Y452" s="297"/>
      <c r="Z452" s="299">
        <f>+SUM(Z434:Z451)</f>
        <v>78084.95426465584</v>
      </c>
      <c r="AA452" s="298"/>
      <c r="AB452" s="297"/>
      <c r="AC452" s="299"/>
      <c r="AD452" s="300">
        <f>AF452/AF407</f>
        <v>0.1660172344366227</v>
      </c>
      <c r="AE452" s="297"/>
      <c r="AF452" s="299">
        <f>+SUM(AF434:AF451)</f>
        <v>72788.920000000013</v>
      </c>
      <c r="AG452" s="308"/>
      <c r="AH452" s="302">
        <f>+SUM(AH434:AH451)</f>
        <v>-5296.0342646558256</v>
      </c>
      <c r="AI452" s="298">
        <f>AH452/Z452</f>
        <v>-6.7824004182749559E-2</v>
      </c>
      <c r="AJ452" s="300">
        <f>IF($AL$407=0,0,AL452/$AL$407)</f>
        <v>0.19640576307011329</v>
      </c>
      <c r="AK452" s="298"/>
      <c r="AL452" s="299">
        <f>+SUM(AL434:AL451)</f>
        <v>90240.04</v>
      </c>
      <c r="AM452" s="309"/>
      <c r="AN452" s="302">
        <f>+SUM(AN434:AN451)</f>
        <v>-17451.119999999995</v>
      </c>
      <c r="AO452" s="331">
        <f>IF(AL452=0,0,AN452/AL452)</f>
        <v>-0.19338555257732595</v>
      </c>
      <c r="AP452" s="246"/>
      <c r="AQ452" s="246"/>
      <c r="AR452" s="310">
        <f>SUM(AQ434:AQ448)-AF452</f>
        <v>7.9999999987194315E-2</v>
      </c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7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1">AF453-Z453</f>
        <v>0</v>
      </c>
      <c r="AI453" s="283">
        <f t="shared" ref="AI453:AI461" si="112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3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7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6163.6900000000005</v>
      </c>
      <c r="AG454" s="281"/>
      <c r="AH454" s="282">
        <f t="shared" si="111"/>
        <v>230.6200000000008</v>
      </c>
      <c r="AI454" s="283">
        <f t="shared" si="112"/>
        <v>3.887026446679389E-2</v>
      </c>
      <c r="AJ454" s="288"/>
      <c r="AK454" s="279"/>
      <c r="AL454" s="280">
        <v>5535.5099999999902</v>
      </c>
      <c r="AM454" s="284"/>
      <c r="AN454" s="282">
        <f t="shared" ref="AN454:AN461" si="114">AF454-AL454</f>
        <v>628.1800000000103</v>
      </c>
      <c r="AO454" s="289">
        <f t="shared" si="113"/>
        <v>0.11348186526625575</v>
      </c>
      <c r="AP454" s="246"/>
      <c r="AQ454" s="486">
        <v>6164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7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2641.58</v>
      </c>
      <c r="AG455" s="265"/>
      <c r="AH455" s="266">
        <f t="shared" si="111"/>
        <v>98.829999999999927</v>
      </c>
      <c r="AI455" s="293">
        <f t="shared" si="112"/>
        <v>3.886736800707892E-2</v>
      </c>
      <c r="AJ455" s="292"/>
      <c r="AK455" s="263"/>
      <c r="AL455" s="264">
        <v>2372.36</v>
      </c>
      <c r="AM455" s="268"/>
      <c r="AN455" s="266">
        <f t="shared" si="114"/>
        <v>269.2199999999998</v>
      </c>
      <c r="AO455" s="269">
        <f t="shared" si="113"/>
        <v>0.11348193360198275</v>
      </c>
      <c r="AP455" s="246"/>
      <c r="AQ455" s="486">
        <v>2642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 hidden="1">
      <c r="A456" t="str">
        <f t="shared" si="87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1"/>
        <v>0</v>
      </c>
      <c r="AI456" s="283">
        <f t="shared" si="112"/>
        <v>0</v>
      </c>
      <c r="AJ456" s="288"/>
      <c r="AK456" s="279"/>
      <c r="AL456" s="280">
        <v>0</v>
      </c>
      <c r="AM456" s="284"/>
      <c r="AN456" s="282">
        <f t="shared" si="114"/>
        <v>0</v>
      </c>
      <c r="AO456" s="289">
        <f t="shared" si="11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7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4853.83</v>
      </c>
      <c r="AG457" s="265"/>
      <c r="AH457" s="266">
        <f t="shared" si="111"/>
        <v>-0.17000000000007276</v>
      </c>
      <c r="AI457" s="293">
        <f t="shared" si="112"/>
        <v>-3.5022661722305881E-5</v>
      </c>
      <c r="AJ457" s="292"/>
      <c r="AK457" s="263"/>
      <c r="AL457" s="264">
        <v>4349.75</v>
      </c>
      <c r="AM457" s="268"/>
      <c r="AN457" s="266">
        <f t="shared" si="114"/>
        <v>504.07999999999993</v>
      </c>
      <c r="AO457" s="269">
        <f t="shared" si="113"/>
        <v>0.11588711994942236</v>
      </c>
      <c r="AP457" s="246"/>
      <c r="AQ457" s="486">
        <v>4854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7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4165.4399999999996</v>
      </c>
      <c r="AG458" s="281"/>
      <c r="AH458" s="282">
        <f t="shared" si="111"/>
        <v>-834.5600000000004</v>
      </c>
      <c r="AI458" s="283">
        <f t="shared" si="112"/>
        <v>-0.16691200000000009</v>
      </c>
      <c r="AJ458" s="288"/>
      <c r="AK458" s="279"/>
      <c r="AL458" s="280">
        <v>4054.53999999999</v>
      </c>
      <c r="AM458" s="284"/>
      <c r="AN458" s="282">
        <f t="shared" si="114"/>
        <v>110.90000000000964</v>
      </c>
      <c r="AO458" s="289">
        <f t="shared" si="113"/>
        <v>2.7352054733708366E-2</v>
      </c>
      <c r="AP458" s="246"/>
      <c r="AQ458" s="246">
        <f>4404-239</f>
        <v>4165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7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1"/>
        <v>-234.0033333333331</v>
      </c>
      <c r="AI459" s="283">
        <f t="shared" si="112"/>
        <v>-3.5773033020790837E-2</v>
      </c>
      <c r="AJ459" s="288"/>
      <c r="AK459" s="279"/>
      <c r="AL459" s="280">
        <v>6307.33</v>
      </c>
      <c r="AM459" s="284"/>
      <c r="AN459" s="282">
        <f t="shared" si="114"/>
        <v>0</v>
      </c>
      <c r="AO459" s="289">
        <f t="shared" si="113"/>
        <v>0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7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-1600</v>
      </c>
      <c r="AG460" s="265"/>
      <c r="AH460" s="266">
        <f t="shared" si="111"/>
        <v>-2033.3333333333333</v>
      </c>
      <c r="AI460" s="293">
        <f t="shared" si="112"/>
        <v>-4.6923076923076925</v>
      </c>
      <c r="AJ460" s="292"/>
      <c r="AK460" s="263"/>
      <c r="AL460" s="264">
        <v>0</v>
      </c>
      <c r="AM460" s="268"/>
      <c r="AN460" s="266">
        <f t="shared" si="114"/>
        <v>-1600</v>
      </c>
      <c r="AO460" s="269">
        <f t="shared" si="113"/>
        <v>0</v>
      </c>
      <c r="AP460" s="246"/>
      <c r="AQ460" s="246">
        <v>-1600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7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164</v>
      </c>
      <c r="AG461" s="281"/>
      <c r="AH461" s="282">
        <f t="shared" si="111"/>
        <v>-48.000000000000028</v>
      </c>
      <c r="AI461" s="335">
        <f t="shared" si="112"/>
        <v>-0.22641509433962276</v>
      </c>
      <c r="AJ461" s="279"/>
      <c r="AK461" s="279"/>
      <c r="AL461" s="280">
        <v>529.32000000000005</v>
      </c>
      <c r="AM461" s="284"/>
      <c r="AN461" s="282">
        <f t="shared" si="114"/>
        <v>-365.32000000000005</v>
      </c>
      <c r="AO461" s="289">
        <f t="shared" si="113"/>
        <v>-0.69016851809869273</v>
      </c>
      <c r="AP461" s="246"/>
      <c r="AQ461" s="246">
        <v>164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 hidden="1">
      <c r="A462" t="str">
        <f t="shared" si="87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7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7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7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7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0.17806025872193001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0.16580500565696327</v>
      </c>
      <c r="AE466" s="297"/>
      <c r="AF466" s="299">
        <f>SUM(AF453:AF465)</f>
        <v>72695.87000000001</v>
      </c>
      <c r="AG466" s="308"/>
      <c r="AH466" s="302">
        <f>SUM(AH453:AH465)</f>
        <v>-2820.6166666666659</v>
      </c>
      <c r="AI466" s="298">
        <f>IF(Z466=0,0,AH466/Z466)</f>
        <v>-3.7351004941702348E-2</v>
      </c>
      <c r="AJ466" s="300">
        <f>IF($AL$407=0,0,AL466/$AL$407)</f>
        <v>0.159207019918439</v>
      </c>
      <c r="AK466" s="298"/>
      <c r="AL466" s="299">
        <f>SUM(AL453:AL465)</f>
        <v>73148.809999999983</v>
      </c>
      <c r="AM466" s="309"/>
      <c r="AN466" s="302">
        <f>SUM(AN453:AN465)</f>
        <v>-452.93999999998039</v>
      </c>
      <c r="AO466" s="331">
        <f t="shared" ref="AO466:AO483" si="115">IF(AL466=0,0,AN466/AL466)</f>
        <v>-6.1920351130794948E-3</v>
      </c>
      <c r="AP466" s="246"/>
      <c r="AQ466" s="246"/>
      <c r="AR466" s="310">
        <f>SUM(AQ453:AQ461)-AF466</f>
        <v>0.1299999999901047</v>
      </c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7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6">AF467-Z467</f>
        <v>0</v>
      </c>
      <c r="AI467" s="283"/>
      <c r="AJ467" s="288"/>
      <c r="AK467" s="279"/>
      <c r="AL467" s="336"/>
      <c r="AM467" s="337"/>
      <c r="AN467" s="282">
        <f t="shared" ref="AN467:AN483" si="117">AF467-AL467</f>
        <v>0</v>
      </c>
      <c r="AO467" s="338">
        <f t="shared" si="11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7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1.0711117264458054</v>
      </c>
      <c r="Y468" s="297"/>
      <c r="Z468" s="299">
        <f>Z419+Z433+Z452+Z466</f>
        <v>454265.28630946518</v>
      </c>
      <c r="AA468" s="298"/>
      <c r="AB468" s="297"/>
      <c r="AC468" s="299"/>
      <c r="AD468" s="300">
        <f>AF468/AF407</f>
        <v>1.0146436033322086</v>
      </c>
      <c r="AE468" s="297"/>
      <c r="AF468" s="299">
        <f>AF419+AF433+AF452+AF466</f>
        <v>444862.32000000007</v>
      </c>
      <c r="AG468" s="308"/>
      <c r="AH468" s="302">
        <f t="shared" si="116"/>
        <v>-9402.9663094651187</v>
      </c>
      <c r="AI468" s="298">
        <f>AH468/Z468</f>
        <v>-2.0699284301154836E-2</v>
      </c>
      <c r="AJ468" s="300">
        <f>IF($AL$407=0,0,AL468/$AL$407)</f>
        <v>1.0010225109329558</v>
      </c>
      <c r="AK468" s="298"/>
      <c r="AL468" s="299">
        <f>AL419+AL433+AL452+AL466</f>
        <v>459926.99</v>
      </c>
      <c r="AM468" s="309"/>
      <c r="AN468" s="302">
        <f t="shared" si="117"/>
        <v>-15064.669999999925</v>
      </c>
      <c r="AO468" s="277">
        <f t="shared" si="115"/>
        <v>-3.2754481314523257E-2</v>
      </c>
      <c r="AP468" s="310">
        <f>AF468-AF415</f>
        <v>416902.15000000008</v>
      </c>
      <c r="AQ468" s="246" t="s">
        <v>221</v>
      </c>
      <c r="AR468" s="499">
        <v>418806</v>
      </c>
      <c r="AS468" s="310">
        <f>AP468-AR468</f>
        <v>-1903.8499999999185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7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0.66</v>
      </c>
      <c r="AG469" s="342"/>
      <c r="AH469" s="282">
        <f t="shared" si="116"/>
        <v>0.66</v>
      </c>
      <c r="AI469" s="335" t="e">
        <f>IF(AH469=0,0,AH469/Z469)</f>
        <v>#DIV/0!</v>
      </c>
      <c r="AJ469" s="341"/>
      <c r="AK469" s="339"/>
      <c r="AL469" s="343">
        <v>533.38</v>
      </c>
      <c r="AM469" s="344"/>
      <c r="AN469" s="282">
        <f t="shared" si="117"/>
        <v>-532.72</v>
      </c>
      <c r="AO469" s="289">
        <f t="shared" si="115"/>
        <v>-0.99876260827177632</v>
      </c>
      <c r="AP469" s="246"/>
      <c r="AQ469" s="246"/>
      <c r="AR469" s="246" t="s">
        <v>254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7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42782.585454545457</v>
      </c>
      <c r="AA470" s="332"/>
      <c r="AB470" s="333"/>
      <c r="AC470" s="280"/>
      <c r="AD470" s="345"/>
      <c r="AE470" s="333"/>
      <c r="AF470" s="280">
        <f t="shared" ref="AF470:AF476" si="118">+SUMIF($C:$C,$V470,L:L)</f>
        <v>60122.8</v>
      </c>
      <c r="AG470" s="346"/>
      <c r="AH470" s="282">
        <f t="shared" si="116"/>
        <v>17340.214545454546</v>
      </c>
      <c r="AI470" s="306">
        <f>IF(Z470=0,0,AH470/Z470)</f>
        <v>0.4053101130102979</v>
      </c>
      <c r="AJ470" s="345"/>
      <c r="AK470" s="332"/>
      <c r="AL470" s="347">
        <f>+SUMIF($C:$C,$V470,Q:Q)</f>
        <v>35867.599999999999</v>
      </c>
      <c r="AM470" s="348"/>
      <c r="AN470" s="282">
        <f t="shared" si="117"/>
        <v>24255.200000000004</v>
      </c>
      <c r="AO470" s="289">
        <f t="shared" si="115"/>
        <v>0.67624262565658155</v>
      </c>
      <c r="AP470" s="246"/>
      <c r="AQ470" s="246">
        <v>60123</v>
      </c>
      <c r="AR470" s="246">
        <v>37500</v>
      </c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7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39573.891545454549</v>
      </c>
      <c r="AA471" s="332"/>
      <c r="AB471" s="333"/>
      <c r="AC471" s="280"/>
      <c r="AD471" s="345"/>
      <c r="AE471" s="333"/>
      <c r="AF471" s="280">
        <f t="shared" si="118"/>
        <v>28703.58</v>
      </c>
      <c r="AG471" s="346"/>
      <c r="AH471" s="282">
        <f t="shared" si="116"/>
        <v>-10870.311545454548</v>
      </c>
      <c r="AI471" s="306">
        <f t="shared" ref="AI471:AI480" si="119">IF(AH471=0,0,AH471/Z471)</f>
        <v>-0.2746839171216941</v>
      </c>
      <c r="AJ471" s="345"/>
      <c r="AK471" s="332"/>
      <c r="AL471" s="347">
        <v>46412.76</v>
      </c>
      <c r="AM471" s="348"/>
      <c r="AN471" s="282">
        <f t="shared" si="117"/>
        <v>-17709.18</v>
      </c>
      <c r="AO471" s="289">
        <f t="shared" si="115"/>
        <v>-0.38155843349975305</v>
      </c>
      <c r="AP471" s="246"/>
      <c r="AQ471" s="246">
        <v>28704</v>
      </c>
      <c r="AR471" s="246">
        <v>24375</v>
      </c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7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18"/>
        <v>0</v>
      </c>
      <c r="AG472" s="346"/>
      <c r="AH472" s="282">
        <f t="shared" si="116"/>
        <v>0</v>
      </c>
      <c r="AI472" s="306">
        <f t="shared" si="119"/>
        <v>0</v>
      </c>
      <c r="AJ472" s="345"/>
      <c r="AK472" s="332"/>
      <c r="AL472" s="347">
        <f>+SUMIF($C:$C,$V472,Q:Q)</f>
        <v>0</v>
      </c>
      <c r="AM472" s="348"/>
      <c r="AN472" s="282">
        <f t="shared" si="117"/>
        <v>0</v>
      </c>
      <c r="AO472" s="289">
        <f t="shared" si="11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7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18"/>
        <v>0</v>
      </c>
      <c r="AG473" s="346"/>
      <c r="AH473" s="282">
        <f t="shared" si="116"/>
        <v>0</v>
      </c>
      <c r="AI473" s="306">
        <f t="shared" si="119"/>
        <v>0</v>
      </c>
      <c r="AJ473" s="345"/>
      <c r="AK473" s="332"/>
      <c r="AL473" s="347">
        <f>+SUMIF($C:$C,$V473,Q:Q)</f>
        <v>0</v>
      </c>
      <c r="AM473" s="348"/>
      <c r="AN473" s="282">
        <f t="shared" si="117"/>
        <v>0</v>
      </c>
      <c r="AO473" s="289">
        <f t="shared" si="11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7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2250</v>
      </c>
      <c r="AA474" s="332"/>
      <c r="AB474" s="333"/>
      <c r="AC474" s="280"/>
      <c r="AD474" s="345"/>
      <c r="AE474" s="333"/>
      <c r="AF474" s="280">
        <f t="shared" si="118"/>
        <v>0</v>
      </c>
      <c r="AG474" s="346"/>
      <c r="AH474" s="282">
        <f t="shared" si="116"/>
        <v>-2250</v>
      </c>
      <c r="AI474" s="306">
        <f t="shared" si="119"/>
        <v>-1</v>
      </c>
      <c r="AJ474" s="345"/>
      <c r="AK474" s="332"/>
      <c r="AL474" s="347">
        <v>3000</v>
      </c>
      <c r="AM474" s="348"/>
      <c r="AN474" s="282">
        <f t="shared" si="117"/>
        <v>-3000</v>
      </c>
      <c r="AO474" s="289">
        <f t="shared" si="115"/>
        <v>-1</v>
      </c>
      <c r="AP474" s="246"/>
      <c r="AQ474" s="246">
        <v>0</v>
      </c>
      <c r="AR474" s="246">
        <v>3000</v>
      </c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7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804</v>
      </c>
      <c r="AA475" s="332"/>
      <c r="AB475" s="333"/>
      <c r="AC475" s="280"/>
      <c r="AD475" s="345"/>
      <c r="AE475" s="333"/>
      <c r="AF475" s="280">
        <f t="shared" si="118"/>
        <v>0</v>
      </c>
      <c r="AG475" s="346"/>
      <c r="AH475" s="282">
        <f t="shared" si="116"/>
        <v>-804</v>
      </c>
      <c r="AI475" s="306">
        <f t="shared" si="119"/>
        <v>-1</v>
      </c>
      <c r="AJ475" s="345"/>
      <c r="AK475" s="332"/>
      <c r="AL475" s="347">
        <f>+SUMIF($C:$C,$V475,Q:Q)</f>
        <v>0</v>
      </c>
      <c r="AM475" s="348"/>
      <c r="AN475" s="282">
        <f t="shared" si="117"/>
        <v>0</v>
      </c>
      <c r="AO475" s="289">
        <f t="shared" si="115"/>
        <v>0</v>
      </c>
      <c r="AP475" s="246"/>
      <c r="AQ475" s="246">
        <v>0</v>
      </c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7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18"/>
        <v>0</v>
      </c>
      <c r="AG476" s="346"/>
      <c r="AH476" s="282">
        <f t="shared" si="116"/>
        <v>0</v>
      </c>
      <c r="AI476" s="306">
        <f t="shared" si="119"/>
        <v>0</v>
      </c>
      <c r="AJ476" s="345"/>
      <c r="AK476" s="332"/>
      <c r="AL476" s="347">
        <f>+SUMIF($C:$C,$V476,Q:Q)</f>
        <v>0</v>
      </c>
      <c r="AM476" s="348"/>
      <c r="AN476" s="282">
        <f t="shared" si="117"/>
        <v>0</v>
      </c>
      <c r="AO476" s="289">
        <f t="shared" si="11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7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22460.857363636369</v>
      </c>
      <c r="AA477" s="332"/>
      <c r="AB477" s="333"/>
      <c r="AC477" s="280"/>
      <c r="AD477" s="345"/>
      <c r="AE477" s="333"/>
      <c r="AF477" s="280">
        <v>25259.85</v>
      </c>
      <c r="AG477" s="346"/>
      <c r="AH477" s="282">
        <f t="shared" si="116"/>
        <v>2798.9926363636296</v>
      </c>
      <c r="AI477" s="306">
        <f t="shared" si="119"/>
        <v>0.12461646459209241</v>
      </c>
      <c r="AJ477" s="345"/>
      <c r="AK477" s="332"/>
      <c r="AL477" s="347">
        <v>21659.19</v>
      </c>
      <c r="AM477" s="348"/>
      <c r="AN477" s="282">
        <f t="shared" si="117"/>
        <v>3600.66</v>
      </c>
      <c r="AO477" s="289">
        <f t="shared" si="115"/>
        <v>0.16624167385760963</v>
      </c>
      <c r="AP477" s="246"/>
      <c r="AQ477" s="246">
        <v>25260</v>
      </c>
      <c r="AR477" s="246">
        <v>21450</v>
      </c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7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6"/>
        <v>0</v>
      </c>
      <c r="AI478" s="283">
        <f t="shared" si="119"/>
        <v>0</v>
      </c>
      <c r="AJ478" s="288"/>
      <c r="AK478" s="279"/>
      <c r="AL478" s="280">
        <f>+SUMIF($C:$C,$V478,Q:Q)</f>
        <v>0</v>
      </c>
      <c r="AM478" s="348"/>
      <c r="AN478" s="282">
        <f t="shared" si="117"/>
        <v>0</v>
      </c>
      <c r="AO478" s="289">
        <f t="shared" si="11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7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6"/>
        <v>0</v>
      </c>
      <c r="AI479" s="283">
        <f t="shared" si="119"/>
        <v>0</v>
      </c>
      <c r="AJ479" s="288"/>
      <c r="AK479" s="279"/>
      <c r="AL479" s="280">
        <f>+SUMIF($C:$C,$V479,Q:Q)</f>
        <v>0</v>
      </c>
      <c r="AM479" s="348"/>
      <c r="AN479" s="282">
        <f t="shared" si="117"/>
        <v>0</v>
      </c>
      <c r="AO479" s="289">
        <f t="shared" si="11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7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23541.174999999999</v>
      </c>
      <c r="AA480" s="332"/>
      <c r="AB480" s="333"/>
      <c r="AC480" s="280"/>
      <c r="AD480" s="345"/>
      <c r="AE480" s="333"/>
      <c r="AF480" s="280">
        <f>+SUMIF($C:$C,$V480,L:L)</f>
        <v>24990</v>
      </c>
      <c r="AG480" s="346"/>
      <c r="AH480" s="282">
        <f t="shared" si="116"/>
        <v>1448.8250000000007</v>
      </c>
      <c r="AI480" s="306">
        <f t="shared" si="119"/>
        <v>6.154429419941871E-2</v>
      </c>
      <c r="AJ480" s="345"/>
      <c r="AK480" s="332"/>
      <c r="AL480" s="347">
        <v>20825</v>
      </c>
      <c r="AM480" s="348"/>
      <c r="AN480" s="282">
        <f t="shared" si="117"/>
        <v>4165</v>
      </c>
      <c r="AO480" s="289">
        <f t="shared" si="115"/>
        <v>0.2</v>
      </c>
      <c r="AP480" s="246"/>
      <c r="AQ480" s="246">
        <v>24990</v>
      </c>
      <c r="AR480" s="246">
        <v>23324</v>
      </c>
      <c r="AS480" s="246">
        <f>SUM(AR470:AR480)</f>
        <v>109649</v>
      </c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7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0.30985744238702412</v>
      </c>
      <c r="Y481" s="330"/>
      <c r="Z481" s="299">
        <f>SUM(Z469:Z480)</f>
        <v>131412.50936363637</v>
      </c>
      <c r="AA481" s="298"/>
      <c r="AB481" s="330"/>
      <c r="AC481" s="299"/>
      <c r="AD481" s="298">
        <f>AF481/+AF407</f>
        <v>0.31720707838289652</v>
      </c>
      <c r="AE481" s="330"/>
      <c r="AF481" s="299">
        <f>SUM(AF469:AF480)</f>
        <v>139076.89000000001</v>
      </c>
      <c r="AG481" s="308"/>
      <c r="AH481" s="302">
        <f t="shared" si="116"/>
        <v>7664.3806363636395</v>
      </c>
      <c r="AI481" s="298">
        <f>AH481/Z481</f>
        <v>5.8323067366100212E-2</v>
      </c>
      <c r="AJ481" s="349"/>
      <c r="AK481" s="350"/>
      <c r="AL481" s="299">
        <f>SUM(AL469:AL480)</f>
        <v>128297.93</v>
      </c>
      <c r="AM481" s="351"/>
      <c r="AN481" s="302">
        <f t="shared" si="117"/>
        <v>10778.960000000021</v>
      </c>
      <c r="AO481" s="331">
        <f t="shared" si="115"/>
        <v>8.4015073353093245E-2</v>
      </c>
      <c r="AP481" s="246"/>
      <c r="AQ481" s="246" t="s">
        <v>221</v>
      </c>
      <c r="AR481" s="499">
        <v>127000</v>
      </c>
      <c r="AS481" s="310">
        <f>AF481-AR481</f>
        <v>12076.890000000014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7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7"/>
        <v>0</v>
      </c>
      <c r="AO482" s="364">
        <f t="shared" si="11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7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2.4198288999593302E-2</v>
      </c>
      <c r="Z483" s="369">
        <f>Z407-Z468+Z481</f>
        <v>101253.57451465016</v>
      </c>
      <c r="AA483" s="367"/>
      <c r="AB483" s="368"/>
      <c r="AC483" s="369"/>
      <c r="AD483" s="367" t="s">
        <v>180</v>
      </c>
      <c r="AE483" s="368">
        <f>AF483/AF406</f>
        <v>2.9712216398122635E-2</v>
      </c>
      <c r="AF483" s="370">
        <f>AF407-AF468+AF481</f>
        <v>132656.51999999996</v>
      </c>
      <c r="AG483" s="371"/>
      <c r="AH483" s="370">
        <f>AF483-Z483</f>
        <v>31402.945485349803</v>
      </c>
      <c r="AI483" s="487">
        <f>AH483/Z483</f>
        <v>0.31014159881146891</v>
      </c>
      <c r="AJ483" s="373" t="s">
        <v>180</v>
      </c>
      <c r="AK483" s="368">
        <f>IF($AL$406=0,0,AL483/$AL$406)</f>
        <v>3.1772472719330432E-2</v>
      </c>
      <c r="AL483" s="370">
        <f>AL407-AL468+AL481</f>
        <v>127828.12999999983</v>
      </c>
      <c r="AM483" s="374"/>
      <c r="AN483" s="370">
        <f t="shared" si="117"/>
        <v>4828.3900000001304</v>
      </c>
      <c r="AO483" s="375">
        <f t="shared" si="115"/>
        <v>3.7772515329764556E-2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7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Octobre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 hidden="1">
      <c r="A486" t="str">
        <f t="shared" si="12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3.165764779680387E-2</v>
      </c>
      <c r="Z488" s="449">
        <f>Z489+Z415</f>
        <v>132465.97725178441</v>
      </c>
      <c r="AA488" s="446"/>
      <c r="AB488" s="447"/>
      <c r="AC488" s="448"/>
      <c r="AD488" s="446" t="s">
        <v>180</v>
      </c>
      <c r="AE488" s="447">
        <f>AF488/AF406</f>
        <v>3.5974695027656239E-2</v>
      </c>
      <c r="AF488" s="449">
        <f>AF489+AF415</f>
        <v>160616.68999999997</v>
      </c>
      <c r="AG488" s="450"/>
      <c r="AH488" s="449">
        <f t="shared" ref="AH488" si="121">AF488-Z488</f>
        <v>28150.712748215563</v>
      </c>
      <c r="AI488" s="500">
        <f>AH488/Z488</f>
        <v>0.21251277748631378</v>
      </c>
      <c r="AJ488" s="446" t="s">
        <v>180</v>
      </c>
      <c r="AK488" s="447">
        <f>IF($AL$406=0,0,AL488/$AL$406)</f>
        <v>3.757444773586429E-2</v>
      </c>
      <c r="AL488" s="449">
        <f>AL489+AL415</f>
        <v>151170.83999999982</v>
      </c>
      <c r="AM488" s="452"/>
      <c r="AN488" s="449">
        <f t="shared" ref="AN488" si="122">AF488-AL488</f>
        <v>9445.8500000001513</v>
      </c>
      <c r="AO488" s="453">
        <f t="shared" ref="AO488" si="123">IF(AL488=0,0,AN488/AL488)</f>
        <v>6.2484603512159904E-2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thickTop="1" thickBot="1">
      <c r="A489" t="str">
        <f t="shared" si="12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2.4198288999593302E-2</v>
      </c>
      <c r="Z489" s="381">
        <f>Z483</f>
        <v>101253.57451465016</v>
      </c>
      <c r="AA489" s="379"/>
      <c r="AB489" s="380"/>
      <c r="AC489" s="381"/>
      <c r="AD489" s="379" t="s">
        <v>180</v>
      </c>
      <c r="AE489" s="380">
        <f>AF489/AF406</f>
        <v>2.9712216398122635E-2</v>
      </c>
      <c r="AF489" s="381">
        <f>AF483</f>
        <v>132656.51999999996</v>
      </c>
      <c r="AG489" s="382"/>
      <c r="AH489" s="370">
        <f>AF489-Z489</f>
        <v>31402.945485349803</v>
      </c>
      <c r="AI489" s="487">
        <f>AH489/Z489</f>
        <v>0.31014159881146891</v>
      </c>
      <c r="AJ489" s="379" t="s">
        <v>180</v>
      </c>
      <c r="AK489" s="380">
        <f>IF($AL$406=0,0,AL489/$AL$406)</f>
        <v>3.1772472719330432E-2</v>
      </c>
      <c r="AL489" s="383">
        <f>AL483</f>
        <v>127828.12999999983</v>
      </c>
      <c r="AM489" s="384"/>
      <c r="AN489" s="385">
        <f>AF489-AL489</f>
        <v>4828.3900000001304</v>
      </c>
      <c r="AO489" s="386">
        <f>IF(AL489=0,0,AN489/AL489)</f>
        <v>3.7772515329764556E-2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15300</v>
      </c>
      <c r="AG491" s="279"/>
      <c r="AH491" s="282">
        <f t="shared" ref="AH491:AH498" si="124">AF491-Z491</f>
        <v>-4000</v>
      </c>
      <c r="AI491" s="306">
        <f t="shared" ref="AI491:AI497" si="125">IF(Z491=0,0,AH491/Z491)</f>
        <v>-0.20725388601036268</v>
      </c>
      <c r="AJ491" s="279"/>
      <c r="AK491" s="279"/>
      <c r="AL491" s="280">
        <v>20970</v>
      </c>
      <c r="AM491" s="284"/>
      <c r="AN491" s="282">
        <f t="shared" ref="AN491:AN498" si="126">AF491-AL491</f>
        <v>-5670</v>
      </c>
      <c r="AO491" s="289">
        <f t="shared" ref="AO491:AO498" si="127">IF(AL491=0,0,AN491/AL491)</f>
        <v>-0.27038626609442062</v>
      </c>
      <c r="AP491" s="246"/>
      <c r="AQ491" s="486">
        <f>19300-4000</f>
        <v>15300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 hidden="1">
      <c r="A492" t="str">
        <f t="shared" si="12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4"/>
        <v>0</v>
      </c>
      <c r="AI492" s="306">
        <f t="shared" si="125"/>
        <v>0</v>
      </c>
      <c r="AJ492" s="10"/>
      <c r="AK492" s="10"/>
      <c r="AL492" s="280">
        <v>0</v>
      </c>
      <c r="AM492" s="393"/>
      <c r="AN492" s="282">
        <f t="shared" si="126"/>
        <v>0</v>
      </c>
      <c r="AO492" s="289">
        <f t="shared" si="127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4"/>
        <v>0</v>
      </c>
      <c r="AI493" s="306">
        <f t="shared" si="125"/>
        <v>0</v>
      </c>
      <c r="AJ493" s="10"/>
      <c r="AK493" s="10"/>
      <c r="AL493" s="280">
        <v>0</v>
      </c>
      <c r="AM493" s="393"/>
      <c r="AN493" s="282">
        <f t="shared" si="126"/>
        <v>0</v>
      </c>
      <c r="AO493" s="289">
        <f t="shared" si="127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 hidden="1">
      <c r="A494" t="str">
        <f t="shared" si="12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4"/>
        <v>0</v>
      </c>
      <c r="AI494" s="306">
        <f t="shared" si="125"/>
        <v>0</v>
      </c>
      <c r="AJ494" s="10"/>
      <c r="AK494" s="10"/>
      <c r="AL494" s="280">
        <v>0</v>
      </c>
      <c r="AM494" s="393"/>
      <c r="AN494" s="282">
        <f t="shared" si="126"/>
        <v>0</v>
      </c>
      <c r="AO494" s="289">
        <f t="shared" si="127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2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4"/>
        <v>0</v>
      </c>
      <c r="AI495" s="283">
        <f t="shared" si="125"/>
        <v>0</v>
      </c>
      <c r="AJ495" s="288"/>
      <c r="AK495" s="279"/>
      <c r="AL495" s="280"/>
      <c r="AM495" s="393"/>
      <c r="AN495" s="282">
        <f t="shared" si="126"/>
        <v>0</v>
      </c>
      <c r="AO495" s="289">
        <f t="shared" si="127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v>-2632.4590163934427</v>
      </c>
      <c r="AA496" s="282"/>
      <c r="AB496" s="282"/>
      <c r="AC496" s="282"/>
      <c r="AD496" s="281"/>
      <c r="AE496" s="282"/>
      <c r="AF496" s="280">
        <v>-2632.46</v>
      </c>
      <c r="AG496" s="281"/>
      <c r="AH496" s="282">
        <f t="shared" si="124"/>
        <v>-9.8360655738360947E-4</v>
      </c>
      <c r="AI496" s="283">
        <f t="shared" si="125"/>
        <v>3.7364553493834957E-7</v>
      </c>
      <c r="AJ496" s="288"/>
      <c r="AK496" s="279"/>
      <c r="AL496" s="280">
        <v>-3379.51</v>
      </c>
      <c r="AM496" s="393"/>
      <c r="AN496" s="282">
        <f t="shared" si="126"/>
        <v>747.05000000000018</v>
      </c>
      <c r="AO496" s="289">
        <f t="shared" si="127"/>
        <v>-0.22105275616879375</v>
      </c>
      <c r="AP496" s="246"/>
      <c r="AQ496" s="495">
        <f>Z496</f>
        <v>-2632.4590163934427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4"/>
        <v>0</v>
      </c>
      <c r="AI497" s="283">
        <f t="shared" si="125"/>
        <v>0</v>
      </c>
      <c r="AJ497" s="288"/>
      <c r="AK497" s="279"/>
      <c r="AL497" s="280"/>
      <c r="AM497" s="393"/>
      <c r="AN497" s="282">
        <f t="shared" si="126"/>
        <v>0</v>
      </c>
      <c r="AO497" s="289">
        <f t="shared" si="127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2.0214963220062224E-2</v>
      </c>
      <c r="Z498" s="369">
        <f>Z489-Z491-Z492-Z493-Z497-Z496-Z494-Z495</f>
        <v>84586.033531043606</v>
      </c>
      <c r="AA498" s="367"/>
      <c r="AB498" s="368"/>
      <c r="AC498" s="369"/>
      <c r="AD498" s="367" t="s">
        <v>180</v>
      </c>
      <c r="AE498" s="368">
        <f>AF498/AF406</f>
        <v>2.6874959023122338E-2</v>
      </c>
      <c r="AF498" s="370">
        <f>AF489-AF491-AF492-AF493-AF497-AF496-AF494-AF495</f>
        <v>119988.97999999997</v>
      </c>
      <c r="AG498" s="371"/>
      <c r="AH498" s="370">
        <f t="shared" si="124"/>
        <v>35402.946468956361</v>
      </c>
      <c r="AI498" s="487">
        <f>AH498/Z498</f>
        <v>0.41854364120245996</v>
      </c>
      <c r="AJ498" s="373" t="s">
        <v>180</v>
      </c>
      <c r="AK498" s="368">
        <f>IF($AL$406=0,0,AL498/$AL$406)</f>
        <v>2.7400247578865219E-2</v>
      </c>
      <c r="AL498" s="370">
        <f>AL489-AL491-AL492-AL493-AL497-AL496-AL494-AL495</f>
        <v>110237.63999999982</v>
      </c>
      <c r="AM498" s="374"/>
      <c r="AN498" s="370">
        <f t="shared" si="126"/>
        <v>9751.340000000142</v>
      </c>
      <c r="AO498" s="394">
        <f t="shared" si="127"/>
        <v>8.8457445206557017E-2</v>
      </c>
      <c r="AP498" s="310">
        <f>SUM(AF490:AF497)+AF415</f>
        <v>40627.710000000006</v>
      </c>
      <c r="AQ498" s="246" t="s">
        <v>221</v>
      </c>
      <c r="AR498" s="499">
        <v>37923</v>
      </c>
      <c r="AS498" s="310">
        <f>AP498-AR498</f>
        <v>2704.7100000000064</v>
      </c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31197.14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88791.839999999967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114995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0.26000004333731319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6">
        <v>114996</v>
      </c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4992.9799999999668</v>
      </c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 t="s">
        <v>247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246"/>
      <c r="X512" s="246"/>
      <c r="Y512" s="246"/>
      <c r="Z512" s="246"/>
      <c r="AA512" s="246"/>
      <c r="AB512" s="246"/>
      <c r="AC512" s="246"/>
      <c r="AD512" s="246" t="s">
        <v>248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>
        <f>AF498+AF509+AF510+AF511+AF512</f>
        <v>119988.97999999997</v>
      </c>
      <c r="AG513" s="310">
        <f>AF513-AF505</f>
        <v>4992.9799999999668</v>
      </c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310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246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V518" s="246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5.75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8.75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15.75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5.75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8.75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 ht="15.75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V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 ht="15.75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V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  <mergeCell ref="R238:S238"/>
    <mergeCell ref="D170:F170"/>
    <mergeCell ref="G170:I170"/>
    <mergeCell ref="J170:L170"/>
    <mergeCell ref="M170:N170"/>
    <mergeCell ref="O170:Q170"/>
    <mergeCell ref="R170:S170"/>
    <mergeCell ref="D238:F238"/>
    <mergeCell ref="G238:I238"/>
    <mergeCell ref="J238:L238"/>
    <mergeCell ref="M238:N238"/>
    <mergeCell ref="O238:Q238"/>
    <mergeCell ref="R358:S358"/>
    <mergeCell ref="D293:F293"/>
    <mergeCell ref="G293:I293"/>
    <mergeCell ref="J293:L293"/>
    <mergeCell ref="M293:N293"/>
    <mergeCell ref="O293:Q293"/>
    <mergeCell ref="R293:S293"/>
    <mergeCell ref="D358:F358"/>
    <mergeCell ref="G358:I358"/>
    <mergeCell ref="J358:L358"/>
    <mergeCell ref="M358:N358"/>
    <mergeCell ref="O358:Q358"/>
    <mergeCell ref="AM404:AO404"/>
    <mergeCell ref="X404:Z404"/>
    <mergeCell ref="AA404:AC404"/>
    <mergeCell ref="AD404:AF404"/>
    <mergeCell ref="AG404:AI404"/>
    <mergeCell ref="AJ404:AL404"/>
  </mergeCells>
  <conditionalFormatting sqref="D31:D32">
    <cfRule type="expression" dxfId="221" priority="6" stopIfTrue="1">
      <formula>"esterreur(reference)"</formula>
    </cfRule>
  </conditionalFormatting>
  <conditionalFormatting sqref="D112:D113">
    <cfRule type="expression" dxfId="220" priority="1" stopIfTrue="1">
      <formula>"esterreur(reference)"</formula>
    </cfRule>
  </conditionalFormatting>
  <conditionalFormatting sqref="F5">
    <cfRule type="expression" dxfId="219" priority="67" stopIfTrue="1">
      <formula>"esterreur(reference)"</formula>
    </cfRule>
  </conditionalFormatting>
  <conditionalFormatting sqref="F184">
    <cfRule type="expression" dxfId="218" priority="76" stopIfTrue="1">
      <formula>"esterreur(reference)"</formula>
    </cfRule>
  </conditionalFormatting>
  <conditionalFormatting sqref="G31:G32">
    <cfRule type="expression" dxfId="217" priority="5" stopIfTrue="1">
      <formula>"esterreur(reference)"</formula>
    </cfRule>
  </conditionalFormatting>
  <conditionalFormatting sqref="G112:G113">
    <cfRule type="expression" dxfId="216" priority="2" stopIfTrue="1">
      <formula>"esterreur(reference)"</formula>
    </cfRule>
  </conditionalFormatting>
  <conditionalFormatting sqref="H136:H152">
    <cfRule type="expression" dxfId="215" priority="31" stopIfTrue="1">
      <formula>"esterreur(reference)"</formula>
    </cfRule>
  </conditionalFormatting>
  <conditionalFormatting sqref="H360">
    <cfRule type="expression" dxfId="214" priority="109" stopIfTrue="1">
      <formula>"esterreur(reference)"</formula>
    </cfRule>
  </conditionalFormatting>
  <conditionalFormatting sqref="H197:L197">
    <cfRule type="expression" dxfId="213" priority="111" stopIfTrue="1">
      <formula>"esterreur(reference)"</formula>
    </cfRule>
  </conditionalFormatting>
  <conditionalFormatting sqref="H396:L399">
    <cfRule type="expression" dxfId="212" priority="107" stopIfTrue="1">
      <formula>"esterreur(reference)"</formula>
    </cfRule>
  </conditionalFormatting>
  <conditionalFormatting sqref="I377:L377 H378:H395">
    <cfRule type="expression" dxfId="211" priority="108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0" priority="101" stopIfTrue="1">
      <formula>"esterreur(reference)"</formula>
    </cfRule>
  </conditionalFormatting>
  <conditionalFormatting sqref="J49:L72">
    <cfRule type="expression" dxfId="209" priority="32" stopIfTrue="1">
      <formula>"esterreur(reference)"</formula>
    </cfRule>
  </conditionalFormatting>
  <conditionalFormatting sqref="J102:L104">
    <cfRule type="expression" dxfId="208" priority="97" stopIfTrue="1">
      <formula>"esterreur(reference)"</formula>
    </cfRule>
  </conditionalFormatting>
  <conditionalFormatting sqref="J149:L152">
    <cfRule type="expression" dxfId="207" priority="30" stopIfTrue="1">
      <formula>"esterreur(reference)"</formula>
    </cfRule>
  </conditionalFormatting>
  <conditionalFormatting sqref="J295:L303">
    <cfRule type="expression" dxfId="206" priority="93" stopIfTrue="1">
      <formula>"esterreur(reference)"</formula>
    </cfRule>
  </conditionalFormatting>
  <conditionalFormatting sqref="J307:L308">
    <cfRule type="expression" dxfId="205" priority="83" stopIfTrue="1">
      <formula>"esterreur(reference)"</formula>
    </cfRule>
  </conditionalFormatting>
  <conditionalFormatting sqref="J360:L360">
    <cfRule type="expression" dxfId="204" priority="75" stopIfTrue="1">
      <formula>"esterreur(reference)"</formula>
    </cfRule>
  </conditionalFormatting>
  <conditionalFormatting sqref="J365:L376">
    <cfRule type="expression" dxfId="203" priority="80" stopIfTrue="1">
      <formula>"esterreur(reference)"</formula>
    </cfRule>
  </conditionalFormatting>
  <conditionalFormatting sqref="J378:L394">
    <cfRule type="expression" dxfId="202" priority="79" stopIfTrue="1">
      <formula>"esterreur(reference)"</formula>
    </cfRule>
  </conditionalFormatting>
  <conditionalFormatting sqref="J312:M312">
    <cfRule type="expression" dxfId="201" priority="81" stopIfTrue="1">
      <formula>"esterreur(reference)"</formula>
    </cfRule>
  </conditionalFormatting>
  <conditionalFormatting sqref="J112:Q121">
    <cfRule type="expression" dxfId="200" priority="3" stopIfTrue="1">
      <formula>"esterreur(reference)"</formula>
    </cfRule>
  </conditionalFormatting>
  <conditionalFormatting sqref="J123:Q134">
    <cfRule type="expression" dxfId="199" priority="57" stopIfTrue="1">
      <formula>"esterreur(reference)"</formula>
    </cfRule>
  </conditionalFormatting>
  <conditionalFormatting sqref="K5">
    <cfRule type="expression" dxfId="198" priority="90" stopIfTrue="1">
      <formula>"esterreur(reference)"</formula>
    </cfRule>
  </conditionalFormatting>
  <conditionalFormatting sqref="K175">
    <cfRule type="expression" dxfId="197" priority="87" stopIfTrue="1">
      <formula>"esterreur(reference)"</formula>
    </cfRule>
  </conditionalFormatting>
  <conditionalFormatting sqref="K183:K184">
    <cfRule type="expression" dxfId="196" priority="89" stopIfTrue="1">
      <formula>"esterreur(reference)"</formula>
    </cfRule>
  </conditionalFormatting>
  <conditionalFormatting sqref="K287">
    <cfRule type="expression" dxfId="195" priority="73" stopIfTrue="1">
      <formula>"esterreur(reference)"</formula>
    </cfRule>
  </conditionalFormatting>
  <conditionalFormatting sqref="K395">
    <cfRule type="expression" dxfId="194" priority="110" stopIfTrue="1">
      <formula>"esterreur(reference)"</formula>
    </cfRule>
  </conditionalFormatting>
  <conditionalFormatting sqref="K93:L96">
    <cfRule type="expression" dxfId="193" priority="78" stopIfTrue="1">
      <formula>"esterreur(reference)"</formula>
    </cfRule>
  </conditionalFormatting>
  <conditionalFormatting sqref="K99:L100">
    <cfRule type="expression" dxfId="192" priority="98" stopIfTrue="1">
      <formula>"esterreur(reference)"</formula>
    </cfRule>
  </conditionalFormatting>
  <conditionalFormatting sqref="K171:L173">
    <cfRule type="expression" dxfId="191" priority="88" stopIfTrue="1">
      <formula>"esterreur(reference)"</formula>
    </cfRule>
  </conditionalFormatting>
  <conditionalFormatting sqref="K176:L182">
    <cfRule type="expression" dxfId="190" priority="86" stopIfTrue="1">
      <formula>"esterreur(reference)"</formula>
    </cfRule>
  </conditionalFormatting>
  <conditionalFormatting sqref="K185:L196">
    <cfRule type="expression" dxfId="189" priority="82" stopIfTrue="1">
      <formula>"esterreur(reference)"</formula>
    </cfRule>
  </conditionalFormatting>
  <conditionalFormatting sqref="K239:L241">
    <cfRule type="expression" dxfId="188" priority="77" stopIfTrue="1">
      <formula>"esterreur(reference)"</formula>
    </cfRule>
  </conditionalFormatting>
  <conditionalFormatting sqref="K244:L244">
    <cfRule type="expression" dxfId="187" priority="85" stopIfTrue="1">
      <formula>"esterreur(reference)"</formula>
    </cfRule>
  </conditionalFormatting>
  <conditionalFormatting sqref="K247:L247">
    <cfRule type="expression" dxfId="186" priority="84" stopIfTrue="1">
      <formula>"esterreur(reference)"</formula>
    </cfRule>
  </conditionalFormatting>
  <conditionalFormatting sqref="L16:L24">
    <cfRule type="expression" dxfId="185" priority="100" stopIfTrue="1">
      <formula>"esterreur(reference)"</formula>
    </cfRule>
  </conditionalFormatting>
  <conditionalFormatting sqref="L42:L48">
    <cfRule type="expression" dxfId="184" priority="99" stopIfTrue="1">
      <formula>"esterreur(reference)"</formula>
    </cfRule>
  </conditionalFormatting>
  <conditionalFormatting sqref="L75:L82">
    <cfRule type="expression" dxfId="183" priority="68" stopIfTrue="1">
      <formula>"esterreur(reference)"</formula>
    </cfRule>
  </conditionalFormatting>
  <conditionalFormatting sqref="L136:L147">
    <cfRule type="expression" dxfId="182" priority="72" stopIfTrue="1">
      <formula>"esterreur(reference)"</formula>
    </cfRule>
  </conditionalFormatting>
  <conditionalFormatting sqref="L174:L175">
    <cfRule type="expression" dxfId="181" priority="96" stopIfTrue="1">
      <formula>"esterreur(reference)"</formula>
    </cfRule>
  </conditionalFormatting>
  <conditionalFormatting sqref="L198:L209">
    <cfRule type="expression" dxfId="180" priority="95" stopIfTrue="1">
      <formula>"esterreur(reference)"</formula>
    </cfRule>
  </conditionalFormatting>
  <conditionalFormatting sqref="L211:L228">
    <cfRule type="expression" dxfId="179" priority="71" stopIfTrue="1">
      <formula>"esterreur(reference)"</formula>
    </cfRule>
  </conditionalFormatting>
  <conditionalFormatting sqref="L254:L265">
    <cfRule type="expression" dxfId="178" priority="94" stopIfTrue="1">
      <formula>"esterreur(reference)"</formula>
    </cfRule>
  </conditionalFormatting>
  <conditionalFormatting sqref="L267:L284">
    <cfRule type="expression" dxfId="177" priority="70" stopIfTrue="1">
      <formula>"esterreur(reference)"</formula>
    </cfRule>
  </conditionalFormatting>
  <conditionalFormatting sqref="L318:L329">
    <cfRule type="expression" dxfId="176" priority="92" stopIfTrue="1">
      <formula>"esterreur(reference)"</formula>
    </cfRule>
  </conditionalFormatting>
  <conditionalFormatting sqref="L331">
    <cfRule type="expression" dxfId="175" priority="69" stopIfTrue="1">
      <formula>"esterreur(reference)"</formula>
    </cfRule>
  </conditionalFormatting>
  <conditionalFormatting sqref="L334:L343 L345:L348">
    <cfRule type="expression" dxfId="174" priority="91" stopIfTrue="1">
      <formula>"esterreur(reference)"</formula>
    </cfRule>
  </conditionalFormatting>
  <conditionalFormatting sqref="L356:L357 H357:I357 K357 J357:J358 H359:L359">
    <cfRule type="expression" dxfId="173" priority="106" stopIfTrue="1">
      <formula>"esterreur(reference)"</formula>
    </cfRule>
  </conditionalFormatting>
  <conditionalFormatting sqref="L5:Q14">
    <cfRule type="expression" dxfId="172" priority="62" stopIfTrue="1">
      <formula>"esterreur(reference)"</formula>
    </cfRule>
  </conditionalFormatting>
  <conditionalFormatting sqref="L156:Q162">
    <cfRule type="expression" dxfId="171" priority="28" stopIfTrue="1">
      <formula>"esterreur(reference)"</formula>
    </cfRule>
  </conditionalFormatting>
  <conditionalFormatting sqref="M95:M97">
    <cfRule type="expression" dxfId="170" priority="102" stopIfTrue="1">
      <formula>"esterreur(reference)"</formula>
    </cfRule>
  </conditionalFormatting>
  <conditionalFormatting sqref="O13:O14 O16 O18:O24 O83:Q85">
    <cfRule type="expression" dxfId="169" priority="66" stopIfTrue="1">
      <formula>"esterreur(reference)"</formula>
    </cfRule>
  </conditionalFormatting>
  <conditionalFormatting sqref="O172:O196 Q183 O198:P229 O232:Q232 O233:P233">
    <cfRule type="expression" dxfId="168" priority="55" stopIfTrue="1">
      <formula>"esterreur(reference)"</formula>
    </cfRule>
  </conditionalFormatting>
  <conditionalFormatting sqref="O318:P348 O349:Q349 O352:Q352 O353:P353">
    <cfRule type="expression" dxfId="167" priority="39" stopIfTrue="1">
      <formula>"esterreur(reference)"</formula>
    </cfRule>
  </conditionalFormatting>
  <conditionalFormatting sqref="O25:Q72">
    <cfRule type="expression" dxfId="166" priority="4" stopIfTrue="1">
      <formula>"esterreur(reference)"</formula>
    </cfRule>
  </conditionalFormatting>
  <conditionalFormatting sqref="O97:Q98 O122:Q122 O156:P157 O164:Q164 O165:P165">
    <cfRule type="expression" dxfId="165" priority="61" stopIfTrue="1">
      <formula>"esterreur(reference)"</formula>
    </cfRule>
  </conditionalFormatting>
  <conditionalFormatting sqref="O101:Q111">
    <cfRule type="expression" dxfId="164" priority="59" stopIfTrue="1">
      <formula>"esterreur(reference)"</formula>
    </cfRule>
  </conditionalFormatting>
  <conditionalFormatting sqref="O135:Q153">
    <cfRule type="expression" dxfId="163" priority="29" stopIfTrue="1">
      <formula>"esterreur(reference)"</formula>
    </cfRule>
  </conditionalFormatting>
  <conditionalFormatting sqref="O197:Q197">
    <cfRule type="expression" dxfId="162" priority="56" stopIfTrue="1">
      <formula>"esterreur(reference)"</formula>
    </cfRule>
  </conditionalFormatting>
  <conditionalFormatting sqref="O243:Q243 O252:Q253 O254:P284 O285:Q285 O288:Q288 O289:P289">
    <cfRule type="expression" dxfId="161" priority="46" stopIfTrue="1">
      <formula>"esterreur(reference)"</formula>
    </cfRule>
  </conditionalFormatting>
  <conditionalFormatting sqref="O295:Q317">
    <cfRule type="expression" dxfId="160" priority="37" stopIfTrue="1">
      <formula>"esterreur(reference)"</formula>
    </cfRule>
  </conditionalFormatting>
  <conditionalFormatting sqref="O359:Q394">
    <cfRule type="expression" dxfId="159" priority="33" stopIfTrue="1">
      <formula>"esterreur(reference)"</formula>
    </cfRule>
  </conditionalFormatting>
  <conditionalFormatting sqref="O396:Q399">
    <cfRule type="expression" dxfId="158" priority="34" stopIfTrue="1">
      <formula>"esterreur(reference)"</formula>
    </cfRule>
  </conditionalFormatting>
  <conditionalFormatting sqref="P5">
    <cfRule type="expression" dxfId="157" priority="63" stopIfTrue="1">
      <formula>"esterreur(reference)"</formula>
    </cfRule>
  </conditionalFormatting>
  <conditionalFormatting sqref="P175">
    <cfRule type="expression" dxfId="156" priority="50" stopIfTrue="1">
      <formula>"esterreur(reference)"</formula>
    </cfRule>
  </conditionalFormatting>
  <conditionalFormatting sqref="P183:P184">
    <cfRule type="expression" dxfId="155" priority="52" stopIfTrue="1">
      <formula>"esterreur(reference)"</formula>
    </cfRule>
  </conditionalFormatting>
  <conditionalFormatting sqref="P287">
    <cfRule type="expression" dxfId="154" priority="41" stopIfTrue="1">
      <formula>"esterreur(reference)"</formula>
    </cfRule>
  </conditionalFormatting>
  <conditionalFormatting sqref="P395">
    <cfRule type="expression" dxfId="153" priority="35" stopIfTrue="1">
      <formula>"esterreur(reference)"</formula>
    </cfRule>
  </conditionalFormatting>
  <conditionalFormatting sqref="P93:Q96">
    <cfRule type="expression" dxfId="152" priority="58" stopIfTrue="1">
      <formula>"esterreur(reference)"</formula>
    </cfRule>
  </conditionalFormatting>
  <conditionalFormatting sqref="P99:Q100">
    <cfRule type="expression" dxfId="151" priority="60" stopIfTrue="1">
      <formula>"esterreur(reference)"</formula>
    </cfRule>
  </conditionalFormatting>
  <conditionalFormatting sqref="P172:Q173">
    <cfRule type="expression" dxfId="150" priority="51" stopIfTrue="1">
      <formula>"esterreur(reference)"</formula>
    </cfRule>
  </conditionalFormatting>
  <conditionalFormatting sqref="P176:Q182">
    <cfRule type="expression" dxfId="149" priority="49" stopIfTrue="1">
      <formula>"esterreur(reference)"</formula>
    </cfRule>
  </conditionalFormatting>
  <conditionalFormatting sqref="P185:Q196">
    <cfRule type="expression" dxfId="148" priority="48" stopIfTrue="1">
      <formula>"esterreur(reference)"</formula>
    </cfRule>
  </conditionalFormatting>
  <conditionalFormatting sqref="P241:Q241">
    <cfRule type="expression" dxfId="147" priority="42" stopIfTrue="1">
      <formula>"esterreur(reference)"</formula>
    </cfRule>
  </conditionalFormatting>
  <conditionalFormatting sqref="P244:Q244">
    <cfRule type="expression" dxfId="146" priority="44" stopIfTrue="1">
      <formula>"esterreur(reference)"</formula>
    </cfRule>
  </conditionalFormatting>
  <conditionalFormatting sqref="P247:Q247">
    <cfRule type="expression" dxfId="145" priority="43" stopIfTrue="1">
      <formula>"esterreur(reference)"</formula>
    </cfRule>
  </conditionalFormatting>
  <conditionalFormatting sqref="Q16:Q24">
    <cfRule type="expression" dxfId="144" priority="65" stopIfTrue="1">
      <formula>"esterreur(reference)"</formula>
    </cfRule>
  </conditionalFormatting>
  <conditionalFormatting sqref="Q75:Q82">
    <cfRule type="expression" dxfId="143" priority="64" stopIfTrue="1">
      <formula>"esterreur(reference)"</formula>
    </cfRule>
  </conditionalFormatting>
  <conditionalFormatting sqref="Q174:Q175">
    <cfRule type="expression" dxfId="142" priority="54" stopIfTrue="1">
      <formula>"esterreur(reference)"</formula>
    </cfRule>
  </conditionalFormatting>
  <conditionalFormatting sqref="Q198:Q209">
    <cfRule type="expression" dxfId="141" priority="53" stopIfTrue="1">
      <formula>"esterreur(reference)"</formula>
    </cfRule>
  </conditionalFormatting>
  <conditionalFormatting sqref="Q211:Q228">
    <cfRule type="expression" dxfId="140" priority="47" stopIfTrue="1">
      <formula>"esterreur(reference)"</formula>
    </cfRule>
  </conditionalFormatting>
  <conditionalFormatting sqref="Q254:Q265">
    <cfRule type="expression" dxfId="139" priority="45" stopIfTrue="1">
      <formula>"esterreur(reference)"</formula>
    </cfRule>
  </conditionalFormatting>
  <conditionalFormatting sqref="Q267:Q284">
    <cfRule type="expression" dxfId="138" priority="40" stopIfTrue="1">
      <formula>"esterreur(reference)"</formula>
    </cfRule>
  </conditionalFormatting>
  <conditionalFormatting sqref="Q318:Q329">
    <cfRule type="expression" dxfId="137" priority="38" stopIfTrue="1">
      <formula>"esterreur(reference)"</formula>
    </cfRule>
  </conditionalFormatting>
  <conditionalFormatting sqref="Q331:Q348">
    <cfRule type="expression" dxfId="136" priority="36" stopIfTrue="1">
      <formula>"esterreur(reference)"</formula>
    </cfRule>
  </conditionalFormatting>
  <conditionalFormatting sqref="R312">
    <cfRule type="expression" dxfId="135" priority="103" stopIfTrue="1">
      <formula>"esterreur(reference)"</formula>
    </cfRule>
  </conditionalFormatting>
  <conditionalFormatting sqref="S186">
    <cfRule type="expression" dxfId="134" priority="74" stopIfTrue="1">
      <formula>"esterreur(reference)"</formula>
    </cfRule>
  </conditionalFormatting>
  <conditionalFormatting sqref="Z425:Z427">
    <cfRule type="cellIs" dxfId="133" priority="24" operator="greaterThan">
      <formula>0</formula>
    </cfRule>
  </conditionalFormatting>
  <conditionalFormatting sqref="Z432">
    <cfRule type="cellIs" dxfId="132" priority="21" operator="greaterThan">
      <formula>0</formula>
    </cfRule>
  </conditionalFormatting>
  <conditionalFormatting sqref="Z449:Z451">
    <cfRule type="cellIs" dxfId="131" priority="17" operator="greaterThan">
      <formula>0</formula>
    </cfRule>
  </conditionalFormatting>
  <conditionalFormatting sqref="Z463:Z465">
    <cfRule type="cellIs" dxfId="130" priority="13" operator="greaterThan">
      <formula>0</formula>
    </cfRule>
  </conditionalFormatting>
  <conditionalFormatting sqref="Z478:Z479">
    <cfRule type="cellIs" dxfId="129" priority="10" operator="greaterThan">
      <formula>0</formula>
    </cfRule>
  </conditionalFormatting>
  <conditionalFormatting sqref="Z495:Z497">
    <cfRule type="cellIs" dxfId="128" priority="7" operator="greaterThan">
      <formula>0</formula>
    </cfRule>
  </conditionalFormatting>
  <conditionalFormatting sqref="AC425:AC427">
    <cfRule type="cellIs" dxfId="127" priority="25" operator="greaterThan">
      <formula>0</formula>
    </cfRule>
  </conditionalFormatting>
  <conditionalFormatting sqref="AC432">
    <cfRule type="cellIs" dxfId="126" priority="22" operator="greaterThan">
      <formula>0</formula>
    </cfRule>
  </conditionalFormatting>
  <conditionalFormatting sqref="AC449:AC451">
    <cfRule type="cellIs" dxfId="125" priority="18" operator="greaterThan">
      <formula>0</formula>
    </cfRule>
  </conditionalFormatting>
  <conditionalFormatting sqref="AC463:AC465">
    <cfRule type="cellIs" dxfId="124" priority="14" operator="greaterThan">
      <formula>0</formula>
    </cfRule>
  </conditionalFormatting>
  <conditionalFormatting sqref="AC478:AC479">
    <cfRule type="cellIs" dxfId="123" priority="11" operator="greaterThan">
      <formula>0</formula>
    </cfRule>
  </conditionalFormatting>
  <conditionalFormatting sqref="AC495:AC497">
    <cfRule type="cellIs" dxfId="122" priority="8" operator="greaterThan">
      <formula>0</formula>
    </cfRule>
  </conditionalFormatting>
  <conditionalFormatting sqref="AG409:AI418">
    <cfRule type="cellIs" dxfId="121" priority="27" operator="greaterThan">
      <formula>0</formula>
    </cfRule>
  </conditionalFormatting>
  <conditionalFormatting sqref="AH449:AH452">
    <cfRule type="cellIs" dxfId="120" priority="19" operator="greaterThan">
      <formula>0</formula>
    </cfRule>
  </conditionalFormatting>
  <conditionalFormatting sqref="AH461:AH466">
    <cfRule type="cellIs" dxfId="119" priority="15" operator="greaterThan">
      <formula>0</formula>
    </cfRule>
  </conditionalFormatting>
  <conditionalFormatting sqref="AH420:AI448">
    <cfRule type="cellIs" dxfId="118" priority="23" operator="greaterThan">
      <formula>0</formula>
    </cfRule>
  </conditionalFormatting>
  <conditionalFormatting sqref="AH453:AI460 AH467:AI468">
    <cfRule type="cellIs" dxfId="117" priority="104" operator="greaterThan">
      <formula>0</formula>
    </cfRule>
  </conditionalFormatting>
  <conditionalFormatting sqref="AH469:AI477 AH480:AI480">
    <cfRule type="cellIs" dxfId="116" priority="105" operator="lessThan">
      <formula>0</formula>
    </cfRule>
  </conditionalFormatting>
  <conditionalFormatting sqref="AH478:AI479">
    <cfRule type="cellIs" dxfId="115" priority="12" operator="greaterThan">
      <formula>0</formula>
    </cfRule>
  </conditionalFormatting>
  <conditionalFormatting sqref="AH491:AI497">
    <cfRule type="cellIs" dxfId="114" priority="9" operator="greaterThan">
      <formula>0</formula>
    </cfRule>
  </conditionalFormatting>
  <conditionalFormatting sqref="AI449:AI451">
    <cfRule type="cellIs" dxfId="113" priority="20" operator="greaterThan">
      <formula>0</formula>
    </cfRule>
  </conditionalFormatting>
  <conditionalFormatting sqref="AI463:AI465">
    <cfRule type="cellIs" dxfId="112" priority="16" operator="greaterThan">
      <formula>0</formula>
    </cfRule>
  </conditionalFormatting>
  <conditionalFormatting sqref="AO409:AO418">
    <cfRule type="cellIs" dxfId="111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04"/>
  <sheetViews>
    <sheetView topLeftCell="A165" zoomScale="60" zoomScaleNormal="60" workbookViewId="0">
      <selection activeCell="A165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291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6.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508" t="s">
        <v>5</v>
      </c>
      <c r="E3" s="509"/>
      <c r="F3" s="510"/>
      <c r="G3" s="511"/>
      <c r="H3" s="509"/>
      <c r="I3" s="510"/>
      <c r="J3" s="511" t="s">
        <v>7</v>
      </c>
      <c r="K3" s="509"/>
      <c r="L3" s="510"/>
      <c r="M3" s="511" t="s">
        <v>213</v>
      </c>
      <c r="N3" s="510"/>
      <c r="O3" s="508" t="s">
        <v>8</v>
      </c>
      <c r="P3" s="509"/>
      <c r="Q3" s="510"/>
      <c r="R3" s="515" t="s">
        <v>214</v>
      </c>
      <c r="S3" s="516"/>
      <c r="T3" s="13"/>
      <c r="U3" s="13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1921112.4895841447</v>
      </c>
      <c r="G5" s="23"/>
      <c r="H5" s="21"/>
      <c r="I5" s="24"/>
      <c r="J5" s="23"/>
      <c r="K5" s="25"/>
      <c r="L5" s="22">
        <v>1161482.5300000003</v>
      </c>
      <c r="M5" s="26"/>
      <c r="N5" s="27"/>
      <c r="O5" s="23"/>
      <c r="P5" s="25"/>
      <c r="Q5" s="22">
        <v>3424220.96</v>
      </c>
      <c r="R5" s="26"/>
      <c r="S5" s="28"/>
      <c r="T5" s="13"/>
      <c r="U5" s="13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7</v>
      </c>
      <c r="E6" s="30">
        <f>IF(D6=0,0,F6/D6)</f>
        <v>4306.395348837209</v>
      </c>
      <c r="F6" s="30">
        <v>30144.767441860462</v>
      </c>
      <c r="G6" s="31"/>
      <c r="H6" s="30"/>
      <c r="I6" s="30"/>
      <c r="J6" s="31">
        <v>1</v>
      </c>
      <c r="K6" s="30">
        <f>IF(J6=0,0,L6/J6)</f>
        <v>4194.4400000000023</v>
      </c>
      <c r="L6" s="32">
        <v>4194.4400000000023</v>
      </c>
      <c r="M6" s="31">
        <f t="shared" ref="M6:M12" si="2">J6-D6</f>
        <v>-6</v>
      </c>
      <c r="N6" s="33">
        <f t="shared" ref="N6:N12" si="3">L6-F6</f>
        <v>-25950.32744186046</v>
      </c>
      <c r="O6" s="31">
        <v>9</v>
      </c>
      <c r="P6" s="30">
        <f t="shared" ref="P6:P12" si="4">IF(O6=0,0,Q6/O6)</f>
        <v>5377.2044444444437</v>
      </c>
      <c r="Q6" s="32">
        <v>48394.84</v>
      </c>
      <c r="R6" s="31">
        <f>J6-O6</f>
        <v>-8</v>
      </c>
      <c r="S6" s="34">
        <f>L6-Q6</f>
        <v>-44200.399999999994</v>
      </c>
      <c r="T6" s="13"/>
      <c r="U6" s="13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11</v>
      </c>
      <c r="E7" s="30">
        <f t="shared" ref="E7:E12" si="5">IF(D7=0,0,F7/D7)</f>
        <v>4000.3311258278145</v>
      </c>
      <c r="F7" s="30">
        <v>44003.642384105959</v>
      </c>
      <c r="G7" s="31"/>
      <c r="H7" s="30"/>
      <c r="I7" s="30"/>
      <c r="J7" s="31">
        <v>8</v>
      </c>
      <c r="K7" s="30">
        <f t="shared" ref="K7:K12" si="6">IF(J7=0,0,L7/J7)</f>
        <v>3904.0600000000122</v>
      </c>
      <c r="L7" s="32">
        <v>31232.480000000098</v>
      </c>
      <c r="M7" s="31">
        <f t="shared" si="2"/>
        <v>-3</v>
      </c>
      <c r="N7" s="33">
        <f t="shared" si="3"/>
        <v>-12771.162384105861</v>
      </c>
      <c r="O7" s="31">
        <v>23</v>
      </c>
      <c r="P7" s="30">
        <f t="shared" si="4"/>
        <v>3739.0256521739084</v>
      </c>
      <c r="Q7" s="32">
        <v>85997.589999999895</v>
      </c>
      <c r="R7" s="31">
        <f t="shared" ref="R7:R12" si="7">J7-O7</f>
        <v>-15</v>
      </c>
      <c r="S7" s="34">
        <f t="shared" ref="S7:S12" si="8">L7-Q7</f>
        <v>-54765.109999999797</v>
      </c>
      <c r="T7" s="13"/>
      <c r="U7" s="13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91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18</v>
      </c>
      <c r="E13" s="36">
        <f>IF(D13&lt;=0,0,F13/D13)</f>
        <v>4119.3561014425786</v>
      </c>
      <c r="F13" s="37">
        <f>+SUM(F6:F12)</f>
        <v>74148.409825966417</v>
      </c>
      <c r="G13" s="38"/>
      <c r="H13" s="36"/>
      <c r="I13" s="37"/>
      <c r="J13" s="38">
        <f>+SUM(J6:J12)</f>
        <v>9</v>
      </c>
      <c r="K13" s="36">
        <f>IF(J13&lt;=0,0,L13/J13)</f>
        <v>3936.3244444444554</v>
      </c>
      <c r="L13" s="37">
        <f>+SUM(L6:L12)</f>
        <v>35426.9200000001</v>
      </c>
      <c r="M13" s="38">
        <f>+SUM(M6:M12)</f>
        <v>-9</v>
      </c>
      <c r="N13" s="37">
        <f>+SUM(N6:N12)</f>
        <v>-38721.489825966317</v>
      </c>
      <c r="O13" s="38">
        <f>+SUM(O6:O12)</f>
        <v>32</v>
      </c>
      <c r="P13" s="36">
        <f>IF(O13&lt;=0,0,Q13/O13)</f>
        <v>4199.7634374999961</v>
      </c>
      <c r="Q13" s="37">
        <f>+SUM(Q6:Q12)</f>
        <v>134392.42999999988</v>
      </c>
      <c r="R13" s="38">
        <f>+SUM(R6:R12)</f>
        <v>-23</v>
      </c>
      <c r="S13" s="39">
        <f>+SUM(S6:S12)</f>
        <v>-98965.509999999791</v>
      </c>
      <c r="T13" s="13"/>
      <c r="U13" s="13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-0.5</v>
      </c>
      <c r="N14" s="43">
        <f>IF(F13=0,0,N13/F13)</f>
        <v>-0.52221605179193253</v>
      </c>
      <c r="O14" s="41"/>
      <c r="P14" s="30"/>
      <c r="Q14" s="40"/>
      <c r="R14" s="42">
        <f>R13/O13</f>
        <v>-0.71875</v>
      </c>
      <c r="S14" s="44">
        <f>IF(Q13=0,0,(S13/Q13))</f>
        <v>-0.73639199767427288</v>
      </c>
      <c r="T14" s="13"/>
      <c r="U14" s="13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</v>
      </c>
      <c r="E15" s="25">
        <f>IF(D15=0,0,F15/D15)</f>
        <v>750</v>
      </c>
      <c r="F15" s="22">
        <v>2250</v>
      </c>
      <c r="G15" s="46"/>
      <c r="H15" s="47"/>
      <c r="I15" s="48"/>
      <c r="J15" s="49">
        <v>3</v>
      </c>
      <c r="K15" s="50">
        <f>IF(J15=0,0,L15/J15)</f>
        <v>4171.7233333333279</v>
      </c>
      <c r="L15" s="50">
        <v>12515.169999999984</v>
      </c>
      <c r="M15" s="51">
        <f>J15-D15</f>
        <v>0</v>
      </c>
      <c r="N15" s="48">
        <f>L15-F15</f>
        <v>10265.169999999984</v>
      </c>
      <c r="O15" s="49">
        <v>3</v>
      </c>
      <c r="P15" s="50">
        <f>IF(O15=0,0,Q15/O15)</f>
        <v>-5578.1033333332998</v>
      </c>
      <c r="Q15" s="50">
        <v>-16734.309999999899</v>
      </c>
      <c r="R15" s="51">
        <f>J15-O15</f>
        <v>0</v>
      </c>
      <c r="S15" s="52">
        <f>L15-Q15</f>
        <v>29249.479999999883</v>
      </c>
      <c r="T15" s="13"/>
      <c r="U15" s="13"/>
      <c r="V15" s="11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0</v>
      </c>
      <c r="K17" s="30">
        <f>IF(J17=0,0,L17/J17)</f>
        <v>0</v>
      </c>
      <c r="L17" s="33">
        <v>0</v>
      </c>
      <c r="M17" s="51">
        <f>J17-D17</f>
        <v>0</v>
      </c>
      <c r="N17" s="33">
        <f>L17-F17</f>
        <v>0</v>
      </c>
      <c r="O17" s="51">
        <v>2</v>
      </c>
      <c r="P17" s="30">
        <f>IF(O17=0,0,Q17/O17)</f>
        <v>26.790000000000848</v>
      </c>
      <c r="Q17" s="33">
        <v>53.580000000001696</v>
      </c>
      <c r="R17" s="31">
        <f>J17-O17</f>
        <v>-2</v>
      </c>
      <c r="S17" s="34">
        <f>L17-Q17</f>
        <v>-53.580000000001696</v>
      </c>
      <c r="T17" s="13"/>
      <c r="U17" s="13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1909.7846549970564</v>
      </c>
      <c r="G19" s="31"/>
      <c r="H19" s="30"/>
      <c r="I19" s="30"/>
      <c r="J19" s="46"/>
      <c r="K19" s="30"/>
      <c r="L19" s="33">
        <v>1997.6500000000015</v>
      </c>
      <c r="M19" s="31"/>
      <c r="N19" s="33">
        <f>L19-F19</f>
        <v>87.865345002945105</v>
      </c>
      <c r="O19" s="46"/>
      <c r="P19" s="30"/>
      <c r="Q19" s="33">
        <v>999</v>
      </c>
      <c r="R19" s="31">
        <f>O19-K19</f>
        <v>0</v>
      </c>
      <c r="S19" s="34">
        <f>L19-Q19</f>
        <v>998.65000000000146</v>
      </c>
      <c r="T19" s="13"/>
      <c r="U19" s="13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525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-525</v>
      </c>
      <c r="O21" s="31"/>
      <c r="P21" s="30"/>
      <c r="Q21" s="33">
        <v>0</v>
      </c>
      <c r="R21" s="31">
        <f>O21-K21</f>
        <v>0</v>
      </c>
      <c r="S21" s="34">
        <f>L21-Q21</f>
        <v>0</v>
      </c>
      <c r="T21" s="13"/>
      <c r="U21" s="13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24150</v>
      </c>
      <c r="G22" s="41"/>
      <c r="H22" s="30"/>
      <c r="I22" s="30"/>
      <c r="J22" s="31"/>
      <c r="K22" s="30">
        <f>IF(J13=0,0,L22/(J13+J15))</f>
        <v>967.91666666666663</v>
      </c>
      <c r="L22" s="33">
        <v>11615</v>
      </c>
      <c r="M22" s="31"/>
      <c r="N22" s="33">
        <f>L22-F22</f>
        <v>-12535</v>
      </c>
      <c r="O22" s="31"/>
      <c r="P22" s="30"/>
      <c r="Q22" s="33">
        <v>50935.39</v>
      </c>
      <c r="R22" s="31">
        <f>O22-K22</f>
        <v>-967.91666666666663</v>
      </c>
      <c r="S22" s="34">
        <f>L22-Q22</f>
        <v>-39320.39</v>
      </c>
      <c r="T22" s="13"/>
      <c r="U22" s="13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10080</v>
      </c>
      <c r="G23" s="41"/>
      <c r="H23" s="30"/>
      <c r="I23" s="30"/>
      <c r="J23" s="31"/>
      <c r="K23" s="30">
        <f>IF(J13=0,0,L23/(J13+J15))</f>
        <v>589.82083333333333</v>
      </c>
      <c r="L23" s="33">
        <v>7077.85</v>
      </c>
      <c r="M23" s="51"/>
      <c r="N23" s="33">
        <f>L23-F23</f>
        <v>-3002.1499999999996</v>
      </c>
      <c r="O23" s="31"/>
      <c r="P23" s="30"/>
      <c r="Q23" s="33">
        <v>15625.95</v>
      </c>
      <c r="R23" s="31">
        <f>O23-K23</f>
        <v>-589.82083333333333</v>
      </c>
      <c r="S23" s="34">
        <f>L23-Q23</f>
        <v>-8548.1</v>
      </c>
      <c r="T23" s="13"/>
      <c r="U23" s="13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21</v>
      </c>
      <c r="E24" s="36">
        <f>IF(D24&lt;=0,0,F24/D24)</f>
        <v>1655</v>
      </c>
      <c r="F24" s="37">
        <f>F21+F22+F23</f>
        <v>34755</v>
      </c>
      <c r="G24" s="38"/>
      <c r="H24" s="36"/>
      <c r="I24" s="37"/>
      <c r="J24" s="38">
        <f>+J15+J13</f>
        <v>12</v>
      </c>
      <c r="K24" s="36">
        <f>IF(J24&lt;=0,0,L24/J24)</f>
        <v>1557.7375</v>
      </c>
      <c r="L24" s="37">
        <f>L21+L22+L23</f>
        <v>18692.849999999999</v>
      </c>
      <c r="M24" s="58">
        <f>J24-D24</f>
        <v>-9</v>
      </c>
      <c r="N24" s="37">
        <f>L24-F24</f>
        <v>-16062.150000000001</v>
      </c>
      <c r="O24" s="38">
        <f>+O15+O13</f>
        <v>35</v>
      </c>
      <c r="P24" s="36">
        <f>IF(O24&lt;=0,0,Q24/O24)</f>
        <v>1901.7525714285714</v>
      </c>
      <c r="Q24" s="37">
        <f>Q21+Q22+Q23</f>
        <v>66561.34</v>
      </c>
      <c r="R24" s="56"/>
      <c r="S24" s="39">
        <f>L24-Q24</f>
        <v>-47868.49</v>
      </c>
      <c r="T24" s="13"/>
      <c r="U24" s="13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-0.4621536469572724</v>
      </c>
      <c r="O25" s="41"/>
      <c r="P25" s="13"/>
      <c r="Q25" s="59"/>
      <c r="R25" s="60"/>
      <c r="S25" s="44">
        <f>IF(Q24=0,0,(S24/Q24))</f>
        <v>-0.71916355650291897</v>
      </c>
      <c r="T25" s="13"/>
      <c r="U25" s="13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21</v>
      </c>
      <c r="E27" s="64">
        <f>IF(D27&lt;=0,0,F27/D27)</f>
        <v>5383.9616419506419</v>
      </c>
      <c r="F27" s="65">
        <f>F13+F17+F24+F19+F15</f>
        <v>113063.19448096347</v>
      </c>
      <c r="G27" s="66"/>
      <c r="H27" s="67"/>
      <c r="I27" s="65"/>
      <c r="J27" s="66">
        <f>+J13+J15+J17</f>
        <v>12</v>
      </c>
      <c r="K27" s="67">
        <f>IF(J27&lt;=0,0,L27/J27)</f>
        <v>5719.382500000007</v>
      </c>
      <c r="L27" s="65">
        <f>L13+L17+L24+L19+L15</f>
        <v>68632.590000000084</v>
      </c>
      <c r="M27" s="66">
        <f>J27-D27</f>
        <v>-9</v>
      </c>
      <c r="N27" s="65">
        <f>L27-F27</f>
        <v>-44430.60448096339</v>
      </c>
      <c r="O27" s="66">
        <f>+O13+O15+O17</f>
        <v>37</v>
      </c>
      <c r="P27" s="67">
        <f>IF(O27&lt;=0,0,Q27/O27)</f>
        <v>5007.3524324324308</v>
      </c>
      <c r="Q27" s="65">
        <f>Q13+Q17+Q24+Q19+Q15</f>
        <v>185272.03999999995</v>
      </c>
      <c r="R27" s="66">
        <f>J27-O27</f>
        <v>-25</v>
      </c>
      <c r="S27" s="68">
        <f>L27-Q27</f>
        <v>-116639.44999999987</v>
      </c>
      <c r="T27" s="13"/>
      <c r="U27" s="13"/>
      <c r="V27" s="11" t="s">
        <v>221</v>
      </c>
      <c r="W27" s="497"/>
      <c r="X27" s="490">
        <f>L27-W27</f>
        <v>68632.590000000084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-0.42857142857142855</v>
      </c>
      <c r="N28" s="74">
        <f>N27/F27</f>
        <v>-0.39297142350284647</v>
      </c>
      <c r="O28" s="72"/>
      <c r="P28" s="70"/>
      <c r="Q28" s="71"/>
      <c r="R28" s="73">
        <f>R27/O27</f>
        <v>-0.67567567567567566</v>
      </c>
      <c r="S28" s="75">
        <f>IF(Q27=0,0,S27/Q27)</f>
        <v>-0.62955775733888342</v>
      </c>
      <c r="T28" s="13"/>
      <c r="U28" s="13"/>
      <c r="V28" s="11"/>
      <c r="W28" s="497"/>
      <c r="X28" s="490">
        <f>J27-W28</f>
        <v>12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0.29015115608967729</v>
      </c>
      <c r="E31" s="82">
        <f t="shared" ref="E31:E36" si="10">F31/D$24</f>
        <v>1055.575568305577</v>
      </c>
      <c r="F31" s="30">
        <v>22167.086934417115</v>
      </c>
      <c r="G31" s="157"/>
      <c r="H31" s="82"/>
      <c r="I31" s="30"/>
      <c r="J31" s="157">
        <f>L31/(L13+L15)</f>
        <v>0.28407564209236552</v>
      </c>
      <c r="K31" s="82">
        <f t="shared" ref="K31:K36" si="11">IF(L31=0,0,L31/J$24)</f>
        <v>1134.9316666666666</v>
      </c>
      <c r="L31" s="30">
        <v>13619.18</v>
      </c>
      <c r="M31" s="41"/>
      <c r="N31" s="59">
        <f t="shared" ref="N31:N53" si="12">L31-F31</f>
        <v>-8547.9069344171148</v>
      </c>
      <c r="O31" s="157">
        <f>Q31/(Q13+Q15+Q17)</f>
        <v>0.39256386578394509</v>
      </c>
      <c r="P31" s="82">
        <f t="shared" ref="P31:P40" si="13">Q31/O$24</f>
        <v>1320.2674285714286</v>
      </c>
      <c r="Q31" s="33">
        <v>46209.36</v>
      </c>
      <c r="R31" s="41"/>
      <c r="S31" s="85">
        <f t="shared" ref="S31:S41" si="14">L31-Q31</f>
        <v>-32590.18</v>
      </c>
      <c r="T31" s="13"/>
      <c r="U31" s="13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v>9557.625</v>
      </c>
      <c r="G32" s="162"/>
      <c r="H32" s="90"/>
      <c r="I32" s="22"/>
      <c r="J32" s="162">
        <f>L32/L24</f>
        <v>0.32525109868211644</v>
      </c>
      <c r="K32" s="88">
        <f t="shared" si="11"/>
        <v>506.65583333333331</v>
      </c>
      <c r="L32" s="22">
        <v>6079.87</v>
      </c>
      <c r="M32" s="23"/>
      <c r="N32" s="91">
        <f t="shared" si="12"/>
        <v>-3477.7550000000001</v>
      </c>
      <c r="O32" s="162">
        <f>Q32/Q24</f>
        <v>0.421297407774543</v>
      </c>
      <c r="P32" s="88">
        <f t="shared" si="13"/>
        <v>801.2034285714285</v>
      </c>
      <c r="Q32" s="22">
        <v>28042.12</v>
      </c>
      <c r="R32" s="23"/>
      <c r="S32" s="92">
        <f t="shared" si="14"/>
        <v>-21962.25</v>
      </c>
      <c r="T32" s="13"/>
      <c r="U32" s="13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v>2730</v>
      </c>
      <c r="G33" s="83"/>
      <c r="H33" s="82"/>
      <c r="I33" s="30"/>
      <c r="J33" s="41"/>
      <c r="K33" s="82">
        <f t="shared" si="11"/>
        <v>154.9675</v>
      </c>
      <c r="L33" s="30">
        <v>1859.61</v>
      </c>
      <c r="M33" s="41"/>
      <c r="N33" s="59">
        <f t="shared" si="12"/>
        <v>-870.3900000000001</v>
      </c>
      <c r="O33" s="41"/>
      <c r="P33" s="82">
        <f t="shared" si="13"/>
        <v>67.887428571428572</v>
      </c>
      <c r="Q33" s="33">
        <v>2376.06</v>
      </c>
      <c r="R33" s="41"/>
      <c r="S33" s="85">
        <f t="shared" si="14"/>
        <v>-516.45000000000005</v>
      </c>
      <c r="T33" s="13"/>
      <c r="U33" s="13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v>777</v>
      </c>
      <c r="G34" s="83"/>
      <c r="H34" s="82"/>
      <c r="I34" s="30"/>
      <c r="J34" s="41"/>
      <c r="K34" s="82">
        <f t="shared" si="11"/>
        <v>140.0025</v>
      </c>
      <c r="L34" s="30">
        <v>1680.03</v>
      </c>
      <c r="M34" s="41"/>
      <c r="N34" s="59">
        <f t="shared" si="12"/>
        <v>903.03</v>
      </c>
      <c r="O34" s="41"/>
      <c r="P34" s="82">
        <f t="shared" si="13"/>
        <v>50.454571428571434</v>
      </c>
      <c r="Q34" s="33">
        <v>1765.91</v>
      </c>
      <c r="R34" s="41"/>
      <c r="S34" s="85">
        <f t="shared" si="14"/>
        <v>-85.880000000000109</v>
      </c>
      <c r="T34" s="13"/>
      <c r="U34" s="13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62.142857142857146</v>
      </c>
      <c r="F35" s="22">
        <v>1305</v>
      </c>
      <c r="G35" s="89"/>
      <c r="H35" s="90"/>
      <c r="I35" s="22"/>
      <c r="J35" s="23"/>
      <c r="K35" s="88">
        <f t="shared" si="11"/>
        <v>197.07833333333335</v>
      </c>
      <c r="L35" s="22">
        <v>2364.94</v>
      </c>
      <c r="M35" s="23"/>
      <c r="N35" s="91">
        <f t="shared" si="12"/>
        <v>1059.94</v>
      </c>
      <c r="O35" s="23"/>
      <c r="P35" s="88">
        <f t="shared" si="13"/>
        <v>70.689428571428579</v>
      </c>
      <c r="Q35" s="33">
        <v>2474.13</v>
      </c>
      <c r="R35" s="23"/>
      <c r="S35" s="92">
        <f t="shared" si="14"/>
        <v>-109.19000000000005</v>
      </c>
      <c r="T35" s="13"/>
      <c r="U35" s="13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v>10793.382352941177</v>
      </c>
      <c r="G36" s="83"/>
      <c r="H36" s="82"/>
      <c r="I36" s="30"/>
      <c r="J36" s="41"/>
      <c r="K36" s="82">
        <f t="shared" si="11"/>
        <v>824.43333333333339</v>
      </c>
      <c r="L36" s="459">
        <v>9893.2000000000007</v>
      </c>
      <c r="M36" s="13"/>
      <c r="N36" s="59">
        <f t="shared" si="12"/>
        <v>-900.18235294117585</v>
      </c>
      <c r="O36" s="41"/>
      <c r="P36" s="82">
        <f t="shared" si="13"/>
        <v>338.08399999999716</v>
      </c>
      <c r="Q36" s="55">
        <v>11832.9399999999</v>
      </c>
      <c r="R36" s="41"/>
      <c r="S36" s="85">
        <f t="shared" si="14"/>
        <v>-1939.7399999998997</v>
      </c>
      <c r="T36" s="13"/>
      <c r="U36" s="13"/>
      <c r="V36" s="11"/>
      <c r="W36" s="458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1149.0993430023393</v>
      </c>
      <c r="F37" s="30">
        <v>24131.086203049126</v>
      </c>
      <c r="G37" s="83"/>
      <c r="H37" s="82"/>
      <c r="I37" s="30"/>
      <c r="J37" s="41"/>
      <c r="K37" s="82">
        <f>IF(L37=0,0,L37/J$24)</f>
        <v>1893.1933333333334</v>
      </c>
      <c r="L37" s="460">
        <v>22718.32</v>
      </c>
      <c r="M37" s="13"/>
      <c r="N37" s="59">
        <f t="shared" si="12"/>
        <v>-1412.7662030491265</v>
      </c>
      <c r="O37" s="41"/>
      <c r="P37" s="82">
        <f t="shared" si="13"/>
        <v>986.47199999999987</v>
      </c>
      <c r="Q37" s="33">
        <v>34526.519999999997</v>
      </c>
      <c r="R37" s="41"/>
      <c r="S37" s="85">
        <f>L37-Q37</f>
        <v>-11808.199999999997</v>
      </c>
      <c r="T37" s="13"/>
      <c r="U37" s="13"/>
      <c r="V37" s="458">
        <v>22718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119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0.6320463597235384</v>
      </c>
      <c r="F41" s="96">
        <f>SUM(F31:F40)</f>
        <v>71461.180490407423</v>
      </c>
      <c r="G41" s="97"/>
      <c r="H41" s="95"/>
      <c r="I41" s="96"/>
      <c r="J41" s="97" t="s">
        <v>38</v>
      </c>
      <c r="K41" s="95">
        <f>L41/L$27</f>
        <v>0.84821438328350907</v>
      </c>
      <c r="L41" s="96">
        <f>SUM(L31:L40)</f>
        <v>58215.15</v>
      </c>
      <c r="M41" s="98"/>
      <c r="N41" s="96">
        <f t="shared" si="12"/>
        <v>-13246.030490407422</v>
      </c>
      <c r="O41" s="97" t="s">
        <v>38</v>
      </c>
      <c r="P41" s="95">
        <f>Q41/Q$27</f>
        <v>0.68670394086447106</v>
      </c>
      <c r="Q41" s="99">
        <f>SUM(Q31:Q40)</f>
        <v>127227.03999999989</v>
      </c>
      <c r="R41" s="100"/>
      <c r="S41" s="101">
        <f t="shared" ref="S41:S51" si="16">L41-Q41</f>
        <v>-69011.889999999898</v>
      </c>
      <c r="T41" s="13"/>
      <c r="U41" s="13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12192.601724137932</v>
      </c>
      <c r="G42" s="41"/>
      <c r="H42" s="13"/>
      <c r="I42" s="30"/>
      <c r="J42" s="41"/>
      <c r="K42" s="13"/>
      <c r="L42" s="33">
        <v>10612.95</v>
      </c>
      <c r="M42" s="41"/>
      <c r="N42" s="59">
        <f t="shared" si="12"/>
        <v>-1579.6517241379315</v>
      </c>
      <c r="O42" s="41"/>
      <c r="P42" s="13"/>
      <c r="Q42" s="33">
        <v>13561.95</v>
      </c>
      <c r="R42" s="41"/>
      <c r="S42" s="85">
        <f t="shared" si="16"/>
        <v>-2949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9074.1735632183918</v>
      </c>
      <c r="G43" s="83"/>
      <c r="H43" s="13"/>
      <c r="I43" s="22"/>
      <c r="J43" s="41"/>
      <c r="K43" s="13"/>
      <c r="L43" s="33">
        <v>8809.68</v>
      </c>
      <c r="M43" s="41"/>
      <c r="N43" s="59">
        <f t="shared" si="12"/>
        <v>-264.4935632183915</v>
      </c>
      <c r="O43" s="41"/>
      <c r="P43" s="13"/>
      <c r="Q43" s="33">
        <v>10795.04</v>
      </c>
      <c r="R43" s="41"/>
      <c r="S43" s="85">
        <f t="shared" si="16"/>
        <v>-1985.3600000000006</v>
      </c>
      <c r="T43" s="13"/>
      <c r="U43" s="13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342</v>
      </c>
      <c r="M44" s="107"/>
      <c r="N44" s="109">
        <f t="shared" si="12"/>
        <v>0</v>
      </c>
      <c r="O44" s="107"/>
      <c r="P44" s="105"/>
      <c r="Q44" s="108">
        <v>342</v>
      </c>
      <c r="R44" s="107"/>
      <c r="S44" s="110">
        <f t="shared" si="16"/>
        <v>0</v>
      </c>
      <c r="T44" s="13"/>
      <c r="U44" s="13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128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5460.6458980371081</v>
      </c>
      <c r="G49" s="83"/>
      <c r="H49" s="13"/>
      <c r="I49" s="22"/>
      <c r="J49" s="41"/>
      <c r="K49" s="13"/>
      <c r="L49" s="22">
        <v>6229.35</v>
      </c>
      <c r="M49" s="41"/>
      <c r="N49" s="59">
        <f t="shared" si="12"/>
        <v>768.70410196289231</v>
      </c>
      <c r="O49" s="41"/>
      <c r="P49" s="13"/>
      <c r="Q49" s="22">
        <v>6518.5</v>
      </c>
      <c r="R49" s="41"/>
      <c r="S49" s="85">
        <f t="shared" ref="S49:S60" si="18">L49-Q49</f>
        <v>-289.14999999999964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6914.8396426230784</v>
      </c>
      <c r="G50" s="106"/>
      <c r="H50" s="105"/>
      <c r="I50" s="30"/>
      <c r="J50" s="107"/>
      <c r="K50" s="105"/>
      <c r="L50" s="33">
        <v>2828.19</v>
      </c>
      <c r="M50" s="107"/>
      <c r="N50" s="109">
        <f t="shared" si="12"/>
        <v>-4086.6496426230783</v>
      </c>
      <c r="O50" s="107"/>
      <c r="P50" s="105"/>
      <c r="Q50" s="33">
        <v>6563.34</v>
      </c>
      <c r="R50" s="107"/>
      <c r="S50" s="110">
        <f t="shared" si="18"/>
        <v>-3735.15</v>
      </c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4154.8392702456267</v>
      </c>
      <c r="G51" s="83"/>
      <c r="H51" s="13"/>
      <c r="I51" s="30"/>
      <c r="J51" s="41"/>
      <c r="K51" s="13"/>
      <c r="L51" s="33">
        <v>3604.97</v>
      </c>
      <c r="M51" s="41"/>
      <c r="N51" s="59">
        <f t="shared" si="12"/>
        <v>-549.86927024562692</v>
      </c>
      <c r="O51" s="41"/>
      <c r="P51" s="13"/>
      <c r="Q51" s="33">
        <v>2314.0700000000002</v>
      </c>
      <c r="R51" s="41"/>
      <c r="S51" s="85">
        <f t="shared" si="18"/>
        <v>1290.8999999999996</v>
      </c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890.32270076691987</v>
      </c>
      <c r="G52" s="83"/>
      <c r="H52" s="13"/>
      <c r="I52" s="30"/>
      <c r="J52" s="41"/>
      <c r="K52" s="13"/>
      <c r="L52" s="33">
        <v>395.57</v>
      </c>
      <c r="M52" s="41"/>
      <c r="N52" s="59">
        <f t="shared" si="12"/>
        <v>-494.75270076691987</v>
      </c>
      <c r="O52" s="41"/>
      <c r="P52" s="13"/>
      <c r="Q52" s="33">
        <v>157.28</v>
      </c>
      <c r="R52" s="41"/>
      <c r="S52" s="85">
        <f t="shared" si="18"/>
        <v>238.29</v>
      </c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0.34520007132471797</v>
      </c>
      <c r="F54" s="96">
        <f>+SUM(F42:F53)</f>
        <v>39029.422799029053</v>
      </c>
      <c r="G54" s="97"/>
      <c r="H54" s="95"/>
      <c r="I54" s="96"/>
      <c r="J54" s="97" t="s">
        <v>38</v>
      </c>
      <c r="K54" s="95">
        <f>L54/L$27</f>
        <v>0.47823796246069056</v>
      </c>
      <c r="L54" s="96">
        <f>+SUM(L42:L53)</f>
        <v>32822.710000000006</v>
      </c>
      <c r="M54" s="100"/>
      <c r="N54" s="96">
        <f>+SUM(N42:N53)</f>
        <v>-6206.7127990290555</v>
      </c>
      <c r="O54" s="97" t="s">
        <v>38</v>
      </c>
      <c r="P54" s="95">
        <f>Q54/Q$27</f>
        <v>0.21725987364310348</v>
      </c>
      <c r="Q54" s="96">
        <f>+SUM(Q42:Q53)</f>
        <v>40252.18</v>
      </c>
      <c r="R54" s="100"/>
      <c r="S54" s="101">
        <f>+SUM(S42:S53)</f>
        <v>-7429.47</v>
      </c>
      <c r="T54" s="82"/>
      <c r="U54" s="13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71" si="20">L55-Q55</f>
        <v>0</v>
      </c>
      <c r="T55" s="82"/>
      <c r="U55" s="13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8798.8700000000008</v>
      </c>
      <c r="M57" s="23"/>
      <c r="N57" s="91">
        <f t="shared" si="19"/>
        <v>2177.9366666666683</v>
      </c>
      <c r="O57" s="23"/>
      <c r="P57" s="111"/>
      <c r="Q57" s="22">
        <v>9735.27</v>
      </c>
      <c r="R57" s="23"/>
      <c r="S57" s="92">
        <f t="shared" si="20"/>
        <v>-936.39999999999964</v>
      </c>
      <c r="T57" s="112"/>
      <c r="U57" s="13"/>
      <c r="V57" s="11" t="s">
        <v>249</v>
      </c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4705.18</v>
      </c>
      <c r="M58" s="41"/>
      <c r="N58" s="59">
        <f t="shared" si="19"/>
        <v>-173.11999999999989</v>
      </c>
      <c r="O58" s="41"/>
      <c r="P58" s="13"/>
      <c r="Q58" s="33">
        <v>4394.9399999999996</v>
      </c>
      <c r="R58" s="41"/>
      <c r="S58" s="85">
        <f t="shared" si="20"/>
        <v>310.24000000000069</v>
      </c>
      <c r="T58" s="82"/>
      <c r="U58" s="13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1677.99</v>
      </c>
      <c r="M59" s="41"/>
      <c r="N59" s="59">
        <f t="shared" si="19"/>
        <v>852.99</v>
      </c>
      <c r="O59" s="41"/>
      <c r="P59" s="13"/>
      <c r="Q59" s="33">
        <v>1199.4000000000001</v>
      </c>
      <c r="R59" s="41"/>
      <c r="S59" s="85">
        <f t="shared" si="20"/>
        <v>478.58999999999992</v>
      </c>
      <c r="T59" s="13"/>
      <c r="U59" s="13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4126.96</v>
      </c>
      <c r="M60" s="23"/>
      <c r="N60" s="91">
        <f t="shared" si="19"/>
        <v>812.25999999999976</v>
      </c>
      <c r="O60" s="23"/>
      <c r="P60" s="111"/>
      <c r="Q60" s="22">
        <v>3731.16</v>
      </c>
      <c r="R60" s="23"/>
      <c r="S60" s="92">
        <f t="shared" si="20"/>
        <v>395.80000000000018</v>
      </c>
      <c r="T60" s="13"/>
      <c r="U60" s="13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385.2</v>
      </c>
      <c r="M61" s="41"/>
      <c r="N61" s="59">
        <f t="shared" si="19"/>
        <v>345.2</v>
      </c>
      <c r="O61" s="41"/>
      <c r="P61" s="13"/>
      <c r="Q61" s="33">
        <v>10.79</v>
      </c>
      <c r="R61" s="41"/>
      <c r="S61" s="85">
        <f t="shared" si="20"/>
        <v>374.40999999999997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0</v>
      </c>
      <c r="R62" s="41"/>
      <c r="S62" s="85">
        <f t="shared" si="20"/>
        <v>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611.08000000000004</v>
      </c>
      <c r="M63" s="41"/>
      <c r="N63" s="59">
        <f t="shared" si="19"/>
        <v>-97.669999999999959</v>
      </c>
      <c r="O63" s="41"/>
      <c r="P63" s="13"/>
      <c r="Q63" s="32">
        <v>802.33</v>
      </c>
      <c r="R63" s="41"/>
      <c r="S63" s="85">
        <f t="shared" si="20"/>
        <v>-191.25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204.52</v>
      </c>
      <c r="M64" s="41"/>
      <c r="N64" s="59">
        <f t="shared" si="19"/>
        <v>-5.8799999999999955</v>
      </c>
      <c r="O64" s="41"/>
      <c r="P64" s="13"/>
      <c r="Q64" s="33">
        <v>387.42</v>
      </c>
      <c r="R64" s="41"/>
      <c r="S64" s="85">
        <f t="shared" si="20"/>
        <v>-182.9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34.83</v>
      </c>
      <c r="M65" s="41"/>
      <c r="N65" s="59">
        <f t="shared" si="19"/>
        <v>-167.67000000000002</v>
      </c>
      <c r="O65" s="41"/>
      <c r="P65" s="13"/>
      <c r="Q65" s="33">
        <v>55.24</v>
      </c>
      <c r="R65" s="41"/>
      <c r="S65" s="85">
        <f t="shared" si="20"/>
        <v>-20.410000000000004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597.37</v>
      </c>
      <c r="M66" s="41"/>
      <c r="N66" s="59">
        <f t="shared" si="19"/>
        <v>-186.08000000000004</v>
      </c>
      <c r="O66" s="41"/>
      <c r="P66" s="13"/>
      <c r="Q66" s="33">
        <v>739.8</v>
      </c>
      <c r="R66" s="41"/>
      <c r="S66" s="85">
        <f t="shared" si="20"/>
        <v>-142.42999999999995</v>
      </c>
      <c r="T66" s="13"/>
      <c r="U66" s="13"/>
      <c r="V66" s="11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33">
        <v>1076.6400000000001</v>
      </c>
      <c r="M67" s="41"/>
      <c r="N67" s="59">
        <f t="shared" si="19"/>
        <v>518.45649000000026</v>
      </c>
      <c r="O67" s="41"/>
      <c r="P67" s="13"/>
      <c r="Q67" s="33">
        <v>1301.5899999999999</v>
      </c>
      <c r="R67" s="41"/>
      <c r="S67" s="85">
        <f>L67-Q67</f>
        <v>-224.94999999999982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2870.8287847472384</v>
      </c>
      <c r="G68" s="83"/>
      <c r="H68" s="13"/>
      <c r="I68" s="30"/>
      <c r="J68" s="41"/>
      <c r="K68" s="13"/>
      <c r="L68" s="32">
        <v>4507.29</v>
      </c>
      <c r="M68" s="41"/>
      <c r="N68" s="59">
        <f t="shared" si="19"/>
        <v>1636.4612152527616</v>
      </c>
      <c r="O68" s="41"/>
      <c r="P68" s="13"/>
      <c r="Q68" s="33">
        <v>4789.05</v>
      </c>
      <c r="R68" s="41"/>
      <c r="S68" s="85">
        <f>L68-Q68</f>
        <v>-281.76000000000022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149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86" si="22">L70-Q70</f>
        <v>0</v>
      </c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0.1861175577488535</v>
      </c>
      <c r="F72" s="96">
        <f>+SUM(F55:F71)</f>
        <v>21043.045628080574</v>
      </c>
      <c r="G72" s="97"/>
      <c r="H72" s="95"/>
      <c r="I72" s="96"/>
      <c r="J72" s="97" t="s">
        <v>38</v>
      </c>
      <c r="K72" s="95">
        <f>L72/L$27</f>
        <v>0.38940582017959646</v>
      </c>
      <c r="L72" s="96">
        <f>+SUM(L55:L71)</f>
        <v>26725.930000000004</v>
      </c>
      <c r="M72" s="100"/>
      <c r="N72" s="96">
        <f>+SUM(N55:N71)</f>
        <v>5682.8843719194292</v>
      </c>
      <c r="O72" s="97" t="s">
        <v>38</v>
      </c>
      <c r="P72" s="95">
        <f>Q72/Q$27</f>
        <v>0.14652502341961585</v>
      </c>
      <c r="Q72" s="96">
        <f>+SUM(Q55:Q71)</f>
        <v>27146.989999999998</v>
      </c>
      <c r="R72" s="100"/>
      <c r="S72" s="101">
        <f>+SUM(S55:S71)</f>
        <v>-421.05999999999887</v>
      </c>
      <c r="T72" s="13"/>
      <c r="U72" s="13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1.1633639887971099</v>
      </c>
      <c r="F74" s="96">
        <f>F41+F54+F72</f>
        <v>131533.64891751704</v>
      </c>
      <c r="G74" s="97"/>
      <c r="H74" s="95"/>
      <c r="I74" s="96"/>
      <c r="J74" s="97" t="s">
        <v>38</v>
      </c>
      <c r="K74" s="95">
        <f>L74/L$27</f>
        <v>1.7158581659237961</v>
      </c>
      <c r="L74" s="96">
        <f>L41+L54+L72</f>
        <v>117763.79000000002</v>
      </c>
      <c r="M74" s="100"/>
      <c r="N74" s="113">
        <f t="shared" ref="N74:N82" si="23">L74-F74</f>
        <v>-13769.85891751702</v>
      </c>
      <c r="O74" s="97" t="s">
        <v>38</v>
      </c>
      <c r="P74" s="95">
        <f>Q74/Q$27</f>
        <v>1.0504888379271904</v>
      </c>
      <c r="Q74" s="96">
        <f>Q41+Q54+Q72</f>
        <v>194626.20999999988</v>
      </c>
      <c r="R74" s="100"/>
      <c r="S74" s="114">
        <f>L74-Q74</f>
        <v>-76862.419999999853</v>
      </c>
      <c r="T74" s="13"/>
      <c r="U74" s="13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33242.068898181817</v>
      </c>
      <c r="G75" s="83"/>
      <c r="H75" s="13"/>
      <c r="I75" s="30"/>
      <c r="J75" s="41"/>
      <c r="K75" s="13"/>
      <c r="L75" s="32">
        <v>11409.6</v>
      </c>
      <c r="M75" s="41"/>
      <c r="N75" s="59">
        <f t="shared" si="23"/>
        <v>-21832.468898181818</v>
      </c>
      <c r="O75" s="41"/>
      <c r="P75" s="13"/>
      <c r="Q75" s="32">
        <v>53053.83</v>
      </c>
      <c r="R75" s="41"/>
      <c r="S75" s="85">
        <f>L75-Q75</f>
        <v>-41644.230000000003</v>
      </c>
      <c r="T75" s="13"/>
      <c r="U75" s="13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82" si="24">L77-Q77</f>
        <v>0</v>
      </c>
      <c r="T77" s="13"/>
      <c r="U77" s="13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35937.371781818183</v>
      </c>
      <c r="G78" s="83"/>
      <c r="H78" s="13"/>
      <c r="I78" s="30"/>
      <c r="J78" s="41"/>
      <c r="K78" s="13"/>
      <c r="L78" s="33">
        <v>31024</v>
      </c>
      <c r="M78" s="41"/>
      <c r="N78" s="59">
        <f t="shared" si="23"/>
        <v>-4913.3717818181831</v>
      </c>
      <c r="O78" s="41"/>
      <c r="P78" s="13"/>
      <c r="Q78" s="32">
        <v>76456</v>
      </c>
      <c r="R78" s="41"/>
      <c r="S78" s="85">
        <f t="shared" si="24"/>
        <v>-45432</v>
      </c>
      <c r="T78" s="13"/>
      <c r="U78" s="13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161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12307.575000000001</v>
      </c>
      <c r="G82" s="83"/>
      <c r="H82" s="13"/>
      <c r="I82" s="30"/>
      <c r="J82" s="41"/>
      <c r="K82" s="13"/>
      <c r="L82" s="32">
        <v>7140</v>
      </c>
      <c r="M82" s="41"/>
      <c r="N82" s="59">
        <f t="shared" si="23"/>
        <v>-5167.5750000000007</v>
      </c>
      <c r="O82" s="41"/>
      <c r="P82" s="13"/>
      <c r="Q82" s="32">
        <v>20825</v>
      </c>
      <c r="R82" s="41"/>
      <c r="S82" s="85">
        <f t="shared" ref="S82:S87" si="26">L82-Q82</f>
        <v>-13685</v>
      </c>
      <c r="T82" s="13"/>
      <c r="U82" s="13"/>
      <c r="V82" s="11">
        <f>L82/595</f>
        <v>12</v>
      </c>
      <c r="W82" s="489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81487.015679999997</v>
      </c>
      <c r="G83" s="97"/>
      <c r="H83" s="95"/>
      <c r="I83" s="96"/>
      <c r="J83" s="97"/>
      <c r="K83" s="95"/>
      <c r="L83" s="96">
        <f>+SUM(L75:L82)</f>
        <v>49573.599999999999</v>
      </c>
      <c r="M83" s="100"/>
      <c r="N83" s="96">
        <f>+SUM(N75:N82)</f>
        <v>-31913.415680000002</v>
      </c>
      <c r="O83" s="97"/>
      <c r="P83" s="95"/>
      <c r="Q83" s="96">
        <f>+SUM(Q75:Q82)</f>
        <v>150334.83000000002</v>
      </c>
      <c r="R83" s="100"/>
      <c r="S83" s="101">
        <f>+SUM(S75:S82)</f>
        <v>-100761.23000000001</v>
      </c>
      <c r="T83" s="13"/>
      <c r="U83" s="13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63016.561243446427</v>
      </c>
      <c r="G85" s="128"/>
      <c r="H85" s="126"/>
      <c r="I85" s="127"/>
      <c r="J85" s="128"/>
      <c r="K85" s="125"/>
      <c r="L85" s="127">
        <f>L27-L74+L83</f>
        <v>442.40000000005966</v>
      </c>
      <c r="M85" s="128"/>
      <c r="N85" s="127">
        <f>N27-N41-N54-N72+N83</f>
        <v>-62574.161243446346</v>
      </c>
      <c r="O85" s="128"/>
      <c r="P85" s="125"/>
      <c r="Q85" s="127">
        <f>Q27-Q74+Q83</f>
        <v>140980.66000000009</v>
      </c>
      <c r="R85" s="128"/>
      <c r="S85" s="129">
        <f>S27-S41-S54-S72+S83</f>
        <v>-140538.25999999998</v>
      </c>
      <c r="T85" s="13"/>
      <c r="U85" s="13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5.75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Novembre 2025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08" t="s">
        <v>5</v>
      </c>
      <c r="E91" s="509"/>
      <c r="F91" s="510"/>
      <c r="G91" s="511"/>
      <c r="H91" s="509"/>
      <c r="I91" s="510"/>
      <c r="J91" s="511" t="s">
        <v>7</v>
      </c>
      <c r="K91" s="509"/>
      <c r="L91" s="510"/>
      <c r="M91" s="511" t="s">
        <v>213</v>
      </c>
      <c r="N91" s="510"/>
      <c r="O91" s="508" t="s">
        <v>8</v>
      </c>
      <c r="P91" s="509"/>
      <c r="Q91" s="510"/>
      <c r="R91" s="515" t="s">
        <v>214</v>
      </c>
      <c r="S91" s="516"/>
      <c r="T91" s="13"/>
      <c r="U91" s="13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1345176.4705882352</v>
      </c>
      <c r="G93" s="46"/>
      <c r="H93" s="25"/>
      <c r="I93" s="22"/>
      <c r="J93" s="23"/>
      <c r="K93" s="25"/>
      <c r="L93" s="22">
        <v>1740009.0300000003</v>
      </c>
      <c r="M93" s="137"/>
      <c r="N93" s="138"/>
      <c r="O93" s="23"/>
      <c r="P93" s="25"/>
      <c r="Q93" s="22">
        <v>842711.86</v>
      </c>
      <c r="R93" s="137"/>
      <c r="S93" s="139"/>
      <c r="T93" s="13"/>
      <c r="U93" s="13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7"/>
        <v>Véhicules usagésCertifié</v>
      </c>
      <c r="B94" s="11" t="s">
        <v>70</v>
      </c>
      <c r="C94" s="29" t="s">
        <v>72</v>
      </c>
      <c r="D94" s="30">
        <v>6</v>
      </c>
      <c r="E94" s="30">
        <f>IF(D94=0,0,F94/D94)</f>
        <v>2300</v>
      </c>
      <c r="F94" s="30">
        <v>13800</v>
      </c>
      <c r="G94" s="31"/>
      <c r="H94" s="30"/>
      <c r="I94" s="30"/>
      <c r="J94" s="31">
        <v>4</v>
      </c>
      <c r="K94" s="30">
        <f>IF(J94=0,0,L94/J94)</f>
        <v>3394.9200000000146</v>
      </c>
      <c r="L94" s="33">
        <v>13579.680000000058</v>
      </c>
      <c r="M94" s="31">
        <f>J94-D94</f>
        <v>-2</v>
      </c>
      <c r="N94" s="33">
        <f>L94-F94</f>
        <v>-220.3199999999415</v>
      </c>
      <c r="O94" s="31">
        <v>2</v>
      </c>
      <c r="P94" s="30">
        <f t="shared" ref="P94:P96" si="28">IF(O94=0,0,Q94/O94)</f>
        <v>1366.4749999999949</v>
      </c>
      <c r="Q94" s="33">
        <v>2732.9499999999898</v>
      </c>
      <c r="R94" s="31">
        <f>J94-O94</f>
        <v>2</v>
      </c>
      <c r="S94" s="34">
        <f>L94-Q94</f>
        <v>10846.730000000069</v>
      </c>
      <c r="T94" s="13"/>
      <c r="U94" s="13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5.5">
      <c r="A95" t="str">
        <f t="shared" si="27"/>
        <v>Véhicules usagésNon Certifié</v>
      </c>
      <c r="B95" s="11" t="s">
        <v>70</v>
      </c>
      <c r="C95" s="29" t="s">
        <v>73</v>
      </c>
      <c r="D95" s="30">
        <v>6</v>
      </c>
      <c r="E95" s="30">
        <f t="shared" ref="E95:E105" si="29">IF(D95=0,0,F95/D95)</f>
        <v>1600</v>
      </c>
      <c r="F95" s="30">
        <v>9600</v>
      </c>
      <c r="G95" s="31"/>
      <c r="H95" s="30"/>
      <c r="I95" s="30"/>
      <c r="J95" s="31">
        <v>10</v>
      </c>
      <c r="K95" s="30">
        <f>IF(J95=0,0,L95/J95)</f>
        <v>1411.3990000000019</v>
      </c>
      <c r="L95" s="32">
        <v>14113.99000000002</v>
      </c>
      <c r="M95" s="31">
        <f>J95-D95</f>
        <v>4</v>
      </c>
      <c r="N95" s="33">
        <f>L95-F95</f>
        <v>4513.9900000000198</v>
      </c>
      <c r="O95" s="31">
        <v>2</v>
      </c>
      <c r="P95" s="30">
        <f t="shared" si="28"/>
        <v>1534.64</v>
      </c>
      <c r="Q95" s="32">
        <v>3069.28</v>
      </c>
      <c r="R95" s="31">
        <f>J95-O95</f>
        <v>8</v>
      </c>
      <c r="S95" s="34">
        <f>L95-Q95</f>
        <v>11044.710000000019</v>
      </c>
      <c r="T95" s="13"/>
      <c r="U95" s="13"/>
      <c r="V95" s="140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5.5">
      <c r="A96" t="str">
        <f t="shared" si="27"/>
        <v>Véhicules usagésAutres marques</v>
      </c>
      <c r="B96" s="11" t="s">
        <v>70</v>
      </c>
      <c r="C96" s="29" t="s">
        <v>207</v>
      </c>
      <c r="D96" s="30">
        <v>6</v>
      </c>
      <c r="E96" s="25">
        <f t="shared" si="29"/>
        <v>1500</v>
      </c>
      <c r="F96" s="30">
        <v>9000</v>
      </c>
      <c r="G96" s="31"/>
      <c r="H96" s="30"/>
      <c r="I96" s="30"/>
      <c r="J96" s="31">
        <v>4</v>
      </c>
      <c r="K96" s="30">
        <f>IF(J96=0,0,L96/J96)</f>
        <v>2151.2624999999971</v>
      </c>
      <c r="L96" s="32">
        <v>8605.0499999999884</v>
      </c>
      <c r="M96" s="31">
        <f>J96-D96</f>
        <v>-2</v>
      </c>
      <c r="N96" s="33">
        <f>L96-F96</f>
        <v>-394.95000000001164</v>
      </c>
      <c r="O96" s="31">
        <v>3</v>
      </c>
      <c r="P96" s="30">
        <f t="shared" si="28"/>
        <v>419.0699999999967</v>
      </c>
      <c r="Q96" s="32">
        <v>1257.20999999999</v>
      </c>
      <c r="R96" s="31">
        <f>J96-O96</f>
        <v>1</v>
      </c>
      <c r="S96" s="34">
        <f>L96-Q96</f>
        <v>7347.8399999999983</v>
      </c>
      <c r="T96" s="13"/>
      <c r="U96" s="13"/>
      <c r="V96" s="140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18</v>
      </c>
      <c r="E97" s="30">
        <f t="shared" si="29"/>
        <v>1800</v>
      </c>
      <c r="F97" s="37">
        <f>+F94+F95+F96</f>
        <v>32400</v>
      </c>
      <c r="G97" s="38"/>
      <c r="H97" s="36"/>
      <c r="I97" s="37"/>
      <c r="J97" s="38">
        <f>+J94+J95+J96</f>
        <v>18</v>
      </c>
      <c r="K97" s="36">
        <f>IF(J97&lt;=0,0,L97/J97)</f>
        <v>2016.5955555555593</v>
      </c>
      <c r="L97" s="37">
        <f>+L94+L95+L96</f>
        <v>36298.720000000067</v>
      </c>
      <c r="M97" s="38">
        <f>J97-D97</f>
        <v>0</v>
      </c>
      <c r="N97" s="37">
        <f>L97-F97</f>
        <v>3898.7200000000666</v>
      </c>
      <c r="O97" s="38">
        <f>+O95+O94+O96</f>
        <v>7</v>
      </c>
      <c r="P97" s="36">
        <f>IF(O97=0,0,Q97/O97)</f>
        <v>1008.4914285714258</v>
      </c>
      <c r="Q97" s="37">
        <f>+Q94+Q95+Q96</f>
        <v>7059.4399999999805</v>
      </c>
      <c r="R97" s="38">
        <f>J97-O97</f>
        <v>11</v>
      </c>
      <c r="S97" s="39">
        <f>L97-Q97</f>
        <v>29239.280000000086</v>
      </c>
      <c r="T97" s="13"/>
      <c r="U97" s="13"/>
      <c r="V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0</v>
      </c>
      <c r="N98" s="43">
        <f>N97/F97</f>
        <v>0.12033086419753292</v>
      </c>
      <c r="O98" s="41"/>
      <c r="P98" s="13"/>
      <c r="Q98" s="40"/>
      <c r="R98" s="42">
        <f>R97/O97</f>
        <v>1.5714285714285714</v>
      </c>
      <c r="S98" s="44">
        <f>IF(Q97=0,0,(S97/Q97))</f>
        <v>4.1418696100540791</v>
      </c>
      <c r="T98" s="13"/>
      <c r="U98" s="13"/>
      <c r="V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7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V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7"/>
        <v>Véhicules usagésVentes au Gros</v>
      </c>
      <c r="B100" s="11" t="s">
        <v>70</v>
      </c>
      <c r="C100" s="29" t="s">
        <v>75</v>
      </c>
      <c r="D100" s="30">
        <v>17</v>
      </c>
      <c r="E100" s="30">
        <f t="shared" si="29"/>
        <v>350</v>
      </c>
      <c r="F100" s="30">
        <v>5950</v>
      </c>
      <c r="G100" s="31"/>
      <c r="H100" s="30"/>
      <c r="I100" s="30"/>
      <c r="J100" s="31">
        <v>30</v>
      </c>
      <c r="K100" s="30">
        <f>IF(J100=0,0,L100/J100)</f>
        <v>297.97799999999893</v>
      </c>
      <c r="L100" s="33">
        <v>8939.3399999999674</v>
      </c>
      <c r="M100" s="31">
        <f>J100-D100</f>
        <v>13</v>
      </c>
      <c r="N100" s="33">
        <f>L100-F100</f>
        <v>2989.3399999999674</v>
      </c>
      <c r="O100" s="31">
        <v>20</v>
      </c>
      <c r="P100" s="30">
        <f>IF(O100=0,0,Q100/O100)</f>
        <v>1233.664</v>
      </c>
      <c r="Q100" s="33">
        <v>24673.279999999999</v>
      </c>
      <c r="R100" s="31">
        <f>J100-O100</f>
        <v>10</v>
      </c>
      <c r="S100" s="34">
        <f>L100-Q100</f>
        <v>-15733.940000000031</v>
      </c>
      <c r="T100" s="13"/>
      <c r="U100" s="13"/>
      <c r="V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7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7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12" si="30">IF(D102=0,0,F102/D102)</f>
        <v>0</v>
      </c>
      <c r="F102" s="33">
        <v>6840</v>
      </c>
      <c r="G102" s="31"/>
      <c r="H102" s="30"/>
      <c r="I102" s="30"/>
      <c r="J102" s="31"/>
      <c r="K102" s="30">
        <f>IF(J97=0,0,L102/J97)</f>
        <v>63.36</v>
      </c>
      <c r="L102" s="33">
        <v>1140.48</v>
      </c>
      <c r="M102" s="31"/>
      <c r="N102" s="33">
        <f>L102-F102</f>
        <v>-5699.52</v>
      </c>
      <c r="O102" s="31"/>
      <c r="P102" s="30"/>
      <c r="Q102" s="33">
        <v>1425.11</v>
      </c>
      <c r="R102" s="31">
        <f>O102-K102</f>
        <v>-63.36</v>
      </c>
      <c r="S102" s="34">
        <f>L102-Q102</f>
        <v>-284.62999999999988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7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0"/>
        <v>0</v>
      </c>
      <c r="F103" s="33">
        <v>15300</v>
      </c>
      <c r="G103" s="31"/>
      <c r="H103" s="30"/>
      <c r="I103" s="30"/>
      <c r="J103" s="31"/>
      <c r="K103" s="30">
        <f>IF(J97=0,0,L103/J97)</f>
        <v>465.005</v>
      </c>
      <c r="L103" s="33">
        <v>8370.09</v>
      </c>
      <c r="M103" s="31"/>
      <c r="N103" s="33">
        <f>L103-F103</f>
        <v>-6929.91</v>
      </c>
      <c r="O103" s="31"/>
      <c r="P103" s="30"/>
      <c r="Q103" s="33">
        <v>9518</v>
      </c>
      <c r="R103" s="31">
        <f>O103-K103</f>
        <v>-465.005</v>
      </c>
      <c r="S103" s="34">
        <f>L103-Q103</f>
        <v>-1147.9099999999999</v>
      </c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7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0"/>
        <v>0</v>
      </c>
      <c r="F104" s="33">
        <v>3960</v>
      </c>
      <c r="G104" s="31"/>
      <c r="H104" s="47"/>
      <c r="I104" s="30"/>
      <c r="J104" s="31"/>
      <c r="K104" s="47">
        <f>IF(J97=0,0,L104/J97)</f>
        <v>132.88888888888889</v>
      </c>
      <c r="L104" s="33">
        <v>2392</v>
      </c>
      <c r="M104" s="51"/>
      <c r="N104" s="33">
        <f>L104-F104</f>
        <v>-1568</v>
      </c>
      <c r="O104" s="31"/>
      <c r="P104" s="47"/>
      <c r="Q104" s="33">
        <v>1645</v>
      </c>
      <c r="R104" s="31">
        <f>O104-K104</f>
        <v>-132.88888888888889</v>
      </c>
      <c r="S104" s="34">
        <f>L104-Q104</f>
        <v>747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7"/>
        <v>Véhicules usagésTotal F&amp;I</v>
      </c>
      <c r="B105" s="11" t="s">
        <v>70</v>
      </c>
      <c r="C105" s="35" t="s">
        <v>27</v>
      </c>
      <c r="D105" s="36">
        <f>D97</f>
        <v>18</v>
      </c>
      <c r="E105" s="30">
        <f t="shared" si="30"/>
        <v>1450</v>
      </c>
      <c r="F105" s="37">
        <f>F102+F103+F104</f>
        <v>26100</v>
      </c>
      <c r="G105" s="38"/>
      <c r="H105" s="36"/>
      <c r="I105" s="37"/>
      <c r="J105" s="38">
        <f>J97</f>
        <v>18</v>
      </c>
      <c r="K105" s="36">
        <f>IF(J105&lt;=0,0,L105/J105)</f>
        <v>661.25388888888892</v>
      </c>
      <c r="L105" s="37">
        <f>L102+L103+L104</f>
        <v>11902.57</v>
      </c>
      <c r="M105" s="31">
        <f>J105-D105</f>
        <v>0</v>
      </c>
      <c r="N105" s="37">
        <f>L105-F105</f>
        <v>-14197.43</v>
      </c>
      <c r="O105" s="38">
        <f>O97</f>
        <v>7</v>
      </c>
      <c r="P105" s="36">
        <f t="shared" ref="P105" si="31">IF(O105=0,0,Q105/O105)</f>
        <v>1798.3014285714287</v>
      </c>
      <c r="Q105" s="37">
        <f>Q102+Q103+Q104</f>
        <v>12588.11</v>
      </c>
      <c r="R105" s="56"/>
      <c r="S105" s="39">
        <f>L105-Q105</f>
        <v>-685.54000000000087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7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-0.54396283524904221</v>
      </c>
      <c r="O106" s="41"/>
      <c r="P106" s="13"/>
      <c r="Q106" s="59"/>
      <c r="R106" s="60"/>
      <c r="S106" s="44">
        <f>IF(Q105=0,0,(S105/Q105))</f>
        <v>-5.4459327095171622E-2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7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7"/>
        <v>Véhicules usagésTotal Dépt. Usagés</v>
      </c>
      <c r="B108" s="11" t="s">
        <v>70</v>
      </c>
      <c r="C108" s="62" t="s">
        <v>76</v>
      </c>
      <c r="D108" s="63">
        <f>D97+D100</f>
        <v>35</v>
      </c>
      <c r="E108" s="67">
        <f>IF(D108&lt;=0,0,F108/D108)</f>
        <v>1841.4285714285713</v>
      </c>
      <c r="F108" s="65">
        <f>F97+F105+F100</f>
        <v>64450</v>
      </c>
      <c r="G108" s="66"/>
      <c r="H108" s="67"/>
      <c r="I108" s="65"/>
      <c r="J108" s="66">
        <f>J97+J100</f>
        <v>48</v>
      </c>
      <c r="K108" s="67">
        <f>IF(J108&lt;=0,0,L108/J108)</f>
        <v>1190.4297916666674</v>
      </c>
      <c r="L108" s="65">
        <f>L97+L105+L100</f>
        <v>57140.630000000034</v>
      </c>
      <c r="M108" s="66">
        <f>J108-D108</f>
        <v>13</v>
      </c>
      <c r="N108" s="65">
        <f>L108-F108</f>
        <v>-7309.3699999999662</v>
      </c>
      <c r="O108" s="66">
        <f>O97+O100</f>
        <v>27</v>
      </c>
      <c r="P108" s="67">
        <f>IF(O108&lt;=0,0,Q108/O108)</f>
        <v>1641.5122222222215</v>
      </c>
      <c r="Q108" s="65">
        <f>Q97+Q105+Q100</f>
        <v>44320.82999999998</v>
      </c>
      <c r="R108" s="66">
        <f>J108-O108</f>
        <v>21</v>
      </c>
      <c r="S108" s="68">
        <f>L108-Q108</f>
        <v>12819.800000000054</v>
      </c>
      <c r="T108" s="13"/>
      <c r="U108" s="13"/>
      <c r="V108" s="11" t="s">
        <v>221</v>
      </c>
      <c r="W108" s="497"/>
      <c r="X108" s="490">
        <f>L108-W108</f>
        <v>57140.630000000034</v>
      </c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7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0.37142857142857144</v>
      </c>
      <c r="N109" s="74">
        <f>N108/F108</f>
        <v>-0.11341148176881251</v>
      </c>
      <c r="O109" s="72"/>
      <c r="P109" s="70"/>
      <c r="Q109" s="71"/>
      <c r="R109" s="73">
        <f>O108/R108</f>
        <v>1.2857142857142858</v>
      </c>
      <c r="S109" s="145">
        <f>IF(Q108=0,0,(S108/Q108))</f>
        <v>0.28924999825138786</v>
      </c>
      <c r="T109" s="13"/>
      <c r="U109" s="13"/>
      <c r="V109" s="13"/>
      <c r="W109" s="498"/>
      <c r="X109" s="30">
        <f>J97-W109</f>
        <v>18</v>
      </c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7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7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7"/>
        <v>Véhicules usagésComm. vendeurs</v>
      </c>
      <c r="B112" s="11" t="s">
        <v>70</v>
      </c>
      <c r="C112" s="29" t="s">
        <v>30</v>
      </c>
      <c r="D112" s="148">
        <f>F112/(F97+F105)</f>
        <v>0.18999377803975503</v>
      </c>
      <c r="E112" s="82">
        <f t="shared" ref="E112:E121" si="32">F112/D$97</f>
        <v>617.47977862920391</v>
      </c>
      <c r="F112" s="30">
        <v>11114.63601532567</v>
      </c>
      <c r="G112" s="157"/>
      <c r="H112" s="82"/>
      <c r="I112" s="30"/>
      <c r="J112" s="157">
        <f>L112/L97</f>
        <v>0.25792286890556976</v>
      </c>
      <c r="K112" s="82">
        <f>IF($J$97=0,0,L112/(J$94+J$95+J96))</f>
        <v>520.12611111111119</v>
      </c>
      <c r="L112" s="33">
        <v>9362.27</v>
      </c>
      <c r="M112" s="41"/>
      <c r="N112" s="59">
        <f t="shared" ref="N112:N153" si="33">L112-F112</f>
        <v>-1752.3660153256697</v>
      </c>
      <c r="O112" s="157">
        <f>Q112/Q97</f>
        <v>0.82817333952835004</v>
      </c>
      <c r="P112" s="82">
        <f t="shared" ref="P112:P121" si="34">Q112/O$97</f>
        <v>835.20571428571418</v>
      </c>
      <c r="Q112" s="33">
        <v>5846.44</v>
      </c>
      <c r="R112" s="41"/>
      <c r="S112" s="85">
        <f t="shared" ref="S112:S122" si="35">L112-Q112</f>
        <v>3515.8300000000008</v>
      </c>
      <c r="T112" s="13"/>
      <c r="U112" s="13"/>
      <c r="V112" s="1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7"/>
        <v>Véhicules usagésComm. F&amp;I</v>
      </c>
      <c r="B113" s="11" t="s">
        <v>70</v>
      </c>
      <c r="C113" s="86" t="s">
        <v>31</v>
      </c>
      <c r="D113" s="218">
        <f>F113/(F105+F19)</f>
        <v>0.25624973873976237</v>
      </c>
      <c r="E113" s="88">
        <f t="shared" si="32"/>
        <v>398.75</v>
      </c>
      <c r="F113" s="22">
        <v>7177.5</v>
      </c>
      <c r="G113" s="162"/>
      <c r="H113" s="88"/>
      <c r="I113" s="22"/>
      <c r="J113" s="162">
        <f>L113/L105</f>
        <v>0.18382416570538967</v>
      </c>
      <c r="K113" s="88">
        <f>IF($J$97=0,0,L113/(J$94+J$95+J96))</f>
        <v>121.55444444444444</v>
      </c>
      <c r="L113" s="33">
        <v>2187.98</v>
      </c>
      <c r="M113" s="23"/>
      <c r="N113" s="91">
        <f t="shared" si="33"/>
        <v>-4989.5200000000004</v>
      </c>
      <c r="O113" s="162">
        <f>Q113/(Q105+Q19)</f>
        <v>0.3260847965461382</v>
      </c>
      <c r="P113" s="88">
        <f t="shared" si="34"/>
        <v>632.93571428571431</v>
      </c>
      <c r="Q113" s="33">
        <v>4430.55</v>
      </c>
      <c r="R113" s="23"/>
      <c r="S113" s="92">
        <f t="shared" si="35"/>
        <v>-2242.5700000000002</v>
      </c>
      <c r="T113" s="13"/>
      <c r="U113" s="13"/>
      <c r="V113" s="1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7"/>
        <v>Véhicules usagésFrais de livraison</v>
      </c>
      <c r="B114" s="11" t="s">
        <v>70</v>
      </c>
      <c r="C114" s="29" t="s">
        <v>32</v>
      </c>
      <c r="D114" s="81"/>
      <c r="E114" s="82">
        <f t="shared" si="32"/>
        <v>90</v>
      </c>
      <c r="F114" s="30">
        <v>1620</v>
      </c>
      <c r="G114" s="83"/>
      <c r="H114" s="82"/>
      <c r="I114" s="30"/>
      <c r="J114" s="41"/>
      <c r="K114" s="82">
        <f>IF($J$97=0,0,L114/(J$94+J$95+J96))</f>
        <v>58.51166666666667</v>
      </c>
      <c r="L114" s="108">
        <v>1053.21</v>
      </c>
      <c r="M114" s="41"/>
      <c r="N114" s="59">
        <f t="shared" si="33"/>
        <v>-566.79</v>
      </c>
      <c r="O114" s="41"/>
      <c r="P114" s="82">
        <f t="shared" si="34"/>
        <v>218.22285714285712</v>
      </c>
      <c r="Q114" s="108">
        <v>1527.56</v>
      </c>
      <c r="R114" s="41"/>
      <c r="S114" s="85">
        <f t="shared" si="35"/>
        <v>-474.34999999999991</v>
      </c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7"/>
        <v>Véhicules usagésService gratuit 1</v>
      </c>
      <c r="B115" s="11" t="s">
        <v>70</v>
      </c>
      <c r="C115" s="29" t="s">
        <v>33</v>
      </c>
      <c r="D115" s="81"/>
      <c r="E115" s="82">
        <f t="shared" si="32"/>
        <v>94</v>
      </c>
      <c r="F115" s="30">
        <v>1692</v>
      </c>
      <c r="G115" s="83"/>
      <c r="H115" s="82"/>
      <c r="I115" s="30"/>
      <c r="J115" s="41"/>
      <c r="K115" s="82">
        <f>IF($J$97=0,0,L115/(J$94+J$95+J96))</f>
        <v>75.811666666666667</v>
      </c>
      <c r="L115" s="33">
        <v>1364.61</v>
      </c>
      <c r="M115" s="41"/>
      <c r="N115" s="59">
        <f t="shared" si="33"/>
        <v>-327.3900000000001</v>
      </c>
      <c r="O115" s="41"/>
      <c r="P115" s="82">
        <f t="shared" si="34"/>
        <v>305.24714285714288</v>
      </c>
      <c r="Q115" s="33">
        <v>2136.73</v>
      </c>
      <c r="R115" s="41"/>
      <c r="S115" s="85">
        <f t="shared" si="35"/>
        <v>-772.12000000000012</v>
      </c>
      <c r="T115" s="13"/>
      <c r="U115" s="13"/>
      <c r="V115" s="462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7"/>
        <v>Véhicules usagésEntretien stock</v>
      </c>
      <c r="B116" s="11" t="s">
        <v>70</v>
      </c>
      <c r="C116" s="86" t="s">
        <v>34</v>
      </c>
      <c r="D116" s="87"/>
      <c r="E116" s="88">
        <f t="shared" si="32"/>
        <v>104.44444444444444</v>
      </c>
      <c r="F116" s="22">
        <v>1880</v>
      </c>
      <c r="G116" s="89"/>
      <c r="H116" s="88"/>
      <c r="I116" s="22"/>
      <c r="J116" s="23"/>
      <c r="K116" s="88">
        <f>IF($J$97=0,0,L116/(J$94+J$95+J96))</f>
        <v>134.88499999999999</v>
      </c>
      <c r="L116" s="48">
        <v>2427.9299999999998</v>
      </c>
      <c r="M116" s="23"/>
      <c r="N116" s="91">
        <f t="shared" si="33"/>
        <v>547.92999999999984</v>
      </c>
      <c r="O116" s="23"/>
      <c r="P116" s="88">
        <f t="shared" si="34"/>
        <v>259.76714285714286</v>
      </c>
      <c r="Q116" s="48">
        <v>1818.37</v>
      </c>
      <c r="R116" s="23"/>
      <c r="S116" s="92">
        <f t="shared" si="35"/>
        <v>609.55999999999995</v>
      </c>
      <c r="T116" s="13"/>
      <c r="U116" s="13"/>
      <c r="V116" s="11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7"/>
        <v>Véhicules usagésPublicité 1</v>
      </c>
      <c r="B117" s="11" t="s">
        <v>70</v>
      </c>
      <c r="C117" s="29" t="s">
        <v>35</v>
      </c>
      <c r="D117" s="81"/>
      <c r="E117" s="82">
        <f t="shared" si="32"/>
        <v>379.16666666666669</v>
      </c>
      <c r="F117" s="30">
        <v>6825</v>
      </c>
      <c r="G117" s="83"/>
      <c r="H117" s="82"/>
      <c r="I117" s="30"/>
      <c r="J117" s="41"/>
      <c r="K117" s="82">
        <f>IF($J$97=0,0,L117/(J$94+J$95+J96))</f>
        <v>315.96722222222223</v>
      </c>
      <c r="L117" s="33">
        <v>5687.41</v>
      </c>
      <c r="M117" s="41"/>
      <c r="N117" s="59">
        <f t="shared" si="33"/>
        <v>-1137.5900000000001</v>
      </c>
      <c r="O117" s="41"/>
      <c r="P117" s="82">
        <f t="shared" si="34"/>
        <v>1101.4585714285699</v>
      </c>
      <c r="Q117" s="33">
        <v>7710.20999999999</v>
      </c>
      <c r="R117" s="41"/>
      <c r="S117" s="85">
        <f t="shared" si="35"/>
        <v>-2022.7999999999902</v>
      </c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2"/>
        <v>236.60994535519123</v>
      </c>
      <c r="F118" s="30">
        <v>4258.9790163934422</v>
      </c>
      <c r="G118" s="83"/>
      <c r="H118" s="82"/>
      <c r="I118" s="30"/>
      <c r="J118" s="41"/>
      <c r="K118" s="82">
        <f>IF($J$97=0,0,L118/(J$94+J$95+J96))</f>
        <v>187.81777777777776</v>
      </c>
      <c r="L118" s="33">
        <v>3380.72</v>
      </c>
      <c r="M118" s="41"/>
      <c r="N118" s="59">
        <f t="shared" si="33"/>
        <v>-878.25901639344238</v>
      </c>
      <c r="O118" s="41"/>
      <c r="P118" s="82">
        <f t="shared" si="34"/>
        <v>558.21857142857141</v>
      </c>
      <c r="Q118" s="33">
        <v>3907.53</v>
      </c>
      <c r="R118" s="41"/>
      <c r="S118" s="85">
        <f>L118-Q118</f>
        <v>-526.8100000000004</v>
      </c>
      <c r="T118" s="13"/>
      <c r="U118" s="13"/>
      <c r="V118" s="13">
        <v>3381</v>
      </c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2"/>
        <v>0</v>
      </c>
      <c r="F119" s="30">
        <v>0</v>
      </c>
      <c r="G119" s="83"/>
      <c r="H119" s="82"/>
      <c r="I119" s="30"/>
      <c r="J119" s="41"/>
      <c r="K119" s="82">
        <f t="shared" ref="K119:K121" si="36">IF($J$97=0,0,L119/(J$94+J$95))</f>
        <v>0</v>
      </c>
      <c r="L119" s="33">
        <v>0</v>
      </c>
      <c r="M119" s="41"/>
      <c r="N119" s="59">
        <f t="shared" si="33"/>
        <v>0</v>
      </c>
      <c r="O119" s="41"/>
      <c r="P119" s="82">
        <f t="shared" si="34"/>
        <v>0</v>
      </c>
      <c r="Q119" s="33">
        <v>0</v>
      </c>
      <c r="R119" s="41"/>
      <c r="S119" s="85">
        <f>L119-Q119</f>
        <v>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2"/>
        <v>0</v>
      </c>
      <c r="F120" s="30">
        <v>0</v>
      </c>
      <c r="G120" s="83"/>
      <c r="H120" s="82"/>
      <c r="I120" s="30"/>
      <c r="J120" s="41"/>
      <c r="K120" s="82">
        <f t="shared" si="36"/>
        <v>0</v>
      </c>
      <c r="L120" s="33">
        <v>0</v>
      </c>
      <c r="M120" s="41"/>
      <c r="N120" s="59">
        <f t="shared" si="33"/>
        <v>0</v>
      </c>
      <c r="O120" s="41"/>
      <c r="P120" s="82">
        <f t="shared" si="34"/>
        <v>0</v>
      </c>
      <c r="Q120" s="33">
        <v>0</v>
      </c>
      <c r="R120" s="41"/>
      <c r="S120" s="85">
        <f>L120-Q120</f>
        <v>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2"/>
        <v>0</v>
      </c>
      <c r="F121" s="30">
        <v>0</v>
      </c>
      <c r="G121" s="83"/>
      <c r="H121" s="82"/>
      <c r="I121" s="30"/>
      <c r="J121" s="41"/>
      <c r="K121" s="82">
        <f t="shared" si="36"/>
        <v>0</v>
      </c>
      <c r="L121" s="33">
        <v>0</v>
      </c>
      <c r="M121" s="41"/>
      <c r="N121" s="59">
        <f t="shared" si="33"/>
        <v>0</v>
      </c>
      <c r="O121" s="41"/>
      <c r="P121" s="82">
        <f t="shared" si="34"/>
        <v>0</v>
      </c>
      <c r="Q121" s="33">
        <v>0</v>
      </c>
      <c r="R121" s="41"/>
      <c r="S121" s="85">
        <f t="shared" ref="S121:S131" si="37">L121-Q121</f>
        <v>0</v>
      </c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87" si="38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0.5363555474277597</v>
      </c>
      <c r="F122" s="96">
        <f>SUM(F112:F121)</f>
        <v>34568.115031719113</v>
      </c>
      <c r="G122" s="97"/>
      <c r="H122" s="95"/>
      <c r="I122" s="96"/>
      <c r="J122" s="97" t="s">
        <v>38</v>
      </c>
      <c r="K122" s="95">
        <f>L122/L$108</f>
        <v>0.44563964380511706</v>
      </c>
      <c r="L122" s="96">
        <f>SUM(L112:L121)</f>
        <v>25464.13</v>
      </c>
      <c r="M122" s="100"/>
      <c r="N122" s="96">
        <f t="shared" si="33"/>
        <v>-9103.9850317191122</v>
      </c>
      <c r="O122" s="97" t="s">
        <v>38</v>
      </c>
      <c r="P122" s="95">
        <f>Q122/Q$108</f>
        <v>0.61770932538943868</v>
      </c>
      <c r="Q122" s="96">
        <f>SUM(Q112:Q121)</f>
        <v>27377.389999999985</v>
      </c>
      <c r="R122" s="100"/>
      <c r="S122" s="101">
        <f t="shared" si="37"/>
        <v>-1913.2599999999838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38"/>
        <v>Véhicules usagésSalaires cadres</v>
      </c>
      <c r="B123" s="11" t="s">
        <v>70</v>
      </c>
      <c r="C123" s="102" t="s">
        <v>40</v>
      </c>
      <c r="D123" s="13"/>
      <c r="E123" s="13"/>
      <c r="F123" s="30">
        <v>4833.2201591511939</v>
      </c>
      <c r="G123" s="41"/>
      <c r="H123" s="13"/>
      <c r="I123" s="30"/>
      <c r="J123" s="41"/>
      <c r="K123" s="13"/>
      <c r="L123" s="33">
        <v>4619.41</v>
      </c>
      <c r="M123" s="41"/>
      <c r="N123" s="59">
        <f t="shared" si="33"/>
        <v>-213.81015915119406</v>
      </c>
      <c r="O123" s="41"/>
      <c r="P123" s="13"/>
      <c r="Q123" s="33">
        <v>4843.63</v>
      </c>
      <c r="R123" s="41"/>
      <c r="S123" s="85">
        <f t="shared" si="37"/>
        <v>-224.22000000000025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38"/>
        <v>Véhicules usagésSalaires commis</v>
      </c>
      <c r="B124" s="11" t="s">
        <v>70</v>
      </c>
      <c r="C124" s="103" t="s">
        <v>41</v>
      </c>
      <c r="D124" s="81"/>
      <c r="E124" s="13"/>
      <c r="F124" s="22">
        <v>2615.1969348659004</v>
      </c>
      <c r="G124" s="83"/>
      <c r="H124" s="13"/>
      <c r="I124" s="22"/>
      <c r="J124" s="41"/>
      <c r="K124" s="13"/>
      <c r="L124" s="22">
        <v>2771.17</v>
      </c>
      <c r="M124" s="41"/>
      <c r="N124" s="59">
        <f t="shared" si="33"/>
        <v>155.97306513409967</v>
      </c>
      <c r="O124" s="41"/>
      <c r="P124" s="13"/>
      <c r="Q124" s="22">
        <v>3812.17</v>
      </c>
      <c r="R124" s="41"/>
      <c r="S124" s="85">
        <f t="shared" si="37"/>
        <v>-1041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38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2809</v>
      </c>
      <c r="M125" s="107"/>
      <c r="N125" s="109">
        <f t="shared" si="33"/>
        <v>0</v>
      </c>
      <c r="O125" s="107"/>
      <c r="P125" s="105"/>
      <c r="Q125" s="33">
        <v>2809</v>
      </c>
      <c r="R125" s="107"/>
      <c r="S125" s="110">
        <f t="shared" si="37"/>
        <v>0</v>
      </c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 hidden="1">
      <c r="A126" t="str">
        <f t="shared" si="3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3"/>
        <v>0</v>
      </c>
      <c r="O126" s="41"/>
      <c r="P126" s="13"/>
      <c r="Q126" s="33">
        <v>0</v>
      </c>
      <c r="R126" s="41"/>
      <c r="S126" s="85">
        <f t="shared" si="37"/>
        <v>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3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3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3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95" si="39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2749.6622357559681</v>
      </c>
      <c r="G130" s="83"/>
      <c r="H130" s="13"/>
      <c r="I130" s="30"/>
      <c r="J130" s="41"/>
      <c r="K130" s="13"/>
      <c r="L130" s="33">
        <v>2882.43</v>
      </c>
      <c r="M130" s="41"/>
      <c r="N130" s="59">
        <f t="shared" si="33"/>
        <v>132.7677642440317</v>
      </c>
      <c r="O130" s="41"/>
      <c r="P130" s="13"/>
      <c r="Q130" s="33">
        <v>2451.91</v>
      </c>
      <c r="R130" s="41"/>
      <c r="S130" s="85">
        <f>L130-Q130</f>
        <v>430.52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39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3481.9092441909816</v>
      </c>
      <c r="G131" s="106"/>
      <c r="H131" s="105"/>
      <c r="I131" s="54"/>
      <c r="J131" s="107"/>
      <c r="K131" s="105"/>
      <c r="L131" s="55">
        <v>1515.95</v>
      </c>
      <c r="M131" s="107"/>
      <c r="N131" s="109">
        <f t="shared" si="33"/>
        <v>-1965.9592441909815</v>
      </c>
      <c r="O131" s="107"/>
      <c r="P131" s="105"/>
      <c r="Q131" s="55">
        <v>2303.4</v>
      </c>
      <c r="R131" s="107"/>
      <c r="S131" s="110">
        <f t="shared" ref="S131:S148" si="40">L131-Q131</f>
        <v>-787.45</v>
      </c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39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2092.1343098143238</v>
      </c>
      <c r="G132" s="83"/>
      <c r="H132" s="13"/>
      <c r="I132" s="30"/>
      <c r="J132" s="41"/>
      <c r="K132" s="13"/>
      <c r="L132" s="33">
        <v>1671.57</v>
      </c>
      <c r="M132" s="41"/>
      <c r="N132" s="59">
        <f t="shared" si="33"/>
        <v>-420.56430981432391</v>
      </c>
      <c r="O132" s="41"/>
      <c r="P132" s="13"/>
      <c r="Q132" s="33">
        <v>1663.16</v>
      </c>
      <c r="R132" s="41"/>
      <c r="S132" s="85">
        <f t="shared" si="40"/>
        <v>8.4099999999998545</v>
      </c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39"/>
        <v>Véhicules usagésCsst</v>
      </c>
      <c r="B133" s="11" t="s">
        <v>70</v>
      </c>
      <c r="C133" s="102" t="s">
        <v>47</v>
      </c>
      <c r="D133" s="81"/>
      <c r="E133" s="13"/>
      <c r="F133" s="30">
        <v>448.31449496021219</v>
      </c>
      <c r="G133" s="83"/>
      <c r="H133" s="13"/>
      <c r="I133" s="30"/>
      <c r="J133" s="41"/>
      <c r="K133" s="13"/>
      <c r="L133" s="33">
        <v>174.55</v>
      </c>
      <c r="M133" s="41"/>
      <c r="N133" s="59">
        <f t="shared" si="33"/>
        <v>-273.76449496021218</v>
      </c>
      <c r="O133" s="41"/>
      <c r="P133" s="13"/>
      <c r="Q133" s="33">
        <v>66.73</v>
      </c>
      <c r="R133" s="41"/>
      <c r="S133" s="85">
        <f t="shared" si="40"/>
        <v>107.82000000000001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39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3"/>
        <v>0</v>
      </c>
      <c r="O134" s="23"/>
      <c r="P134" s="111"/>
      <c r="Q134" s="33">
        <v>0</v>
      </c>
      <c r="R134" s="23"/>
      <c r="S134" s="92">
        <f t="shared" si="40"/>
        <v>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39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0.29525891976320529</v>
      </c>
      <c r="F135" s="96">
        <f>+SUM(F123:F134)</f>
        <v>19029.437378738581</v>
      </c>
      <c r="G135" s="97"/>
      <c r="H135" s="95"/>
      <c r="I135" s="96"/>
      <c r="J135" s="97" t="s">
        <v>38</v>
      </c>
      <c r="K135" s="95">
        <f>L135/L$108</f>
        <v>0.28778261632747121</v>
      </c>
      <c r="L135" s="96">
        <f>SUM(L123:L134)</f>
        <v>16444.080000000002</v>
      </c>
      <c r="M135" s="463"/>
      <c r="N135" s="464">
        <f t="shared" si="33"/>
        <v>-2585.3573787385794</v>
      </c>
      <c r="O135" s="97" t="s">
        <v>38</v>
      </c>
      <c r="P135" s="95">
        <f>Q135/Q$108</f>
        <v>0.40500144063186561</v>
      </c>
      <c r="Q135" s="96">
        <f>+SUM(Q123:Q134)</f>
        <v>17950</v>
      </c>
      <c r="R135" s="147"/>
      <c r="S135" s="114">
        <f t="shared" si="40"/>
        <v>-1505.9199999999983</v>
      </c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 hidden="1">
      <c r="A136" t="str">
        <f t="shared" si="39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3"/>
        <v>0</v>
      </c>
      <c r="O136" s="41"/>
      <c r="P136" s="13"/>
      <c r="Q136" s="33">
        <v>0</v>
      </c>
      <c r="R136" s="41"/>
      <c r="S136" s="85">
        <f t="shared" si="40"/>
        <v>0</v>
      </c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39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3"/>
        <v>0</v>
      </c>
      <c r="O137" s="41"/>
      <c r="P137" s="13"/>
      <c r="Q137" s="33">
        <v>0</v>
      </c>
      <c r="R137" s="41"/>
      <c r="S137" s="85">
        <f t="shared" si="40"/>
        <v>0</v>
      </c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39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1099.56</v>
      </c>
      <c r="M138" s="23"/>
      <c r="N138" s="91">
        <f t="shared" si="33"/>
        <v>155.92666666666651</v>
      </c>
      <c r="O138" s="23"/>
      <c r="P138" s="111"/>
      <c r="Q138" s="22">
        <v>1118.01</v>
      </c>
      <c r="R138" s="23"/>
      <c r="S138" s="92">
        <f t="shared" si="40"/>
        <v>-18.450000000000045</v>
      </c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39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1350.6</v>
      </c>
      <c r="M139" s="41"/>
      <c r="N139" s="59">
        <f t="shared" si="33"/>
        <v>-74.800000000000182</v>
      </c>
      <c r="O139" s="41"/>
      <c r="P139" s="13"/>
      <c r="Q139" s="33">
        <v>1497.55</v>
      </c>
      <c r="R139" s="41"/>
      <c r="S139" s="85">
        <f t="shared" si="40"/>
        <v>-146.95000000000005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39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220.84</v>
      </c>
      <c r="M140" s="41"/>
      <c r="N140" s="59">
        <f t="shared" si="33"/>
        <v>37.506666666666661</v>
      </c>
      <c r="O140" s="41"/>
      <c r="P140" s="13"/>
      <c r="Q140" s="33">
        <v>70.63</v>
      </c>
      <c r="R140" s="41"/>
      <c r="S140" s="85">
        <f t="shared" si="40"/>
        <v>150.21</v>
      </c>
      <c r="T140" s="148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39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956.72</v>
      </c>
      <c r="M141" s="23"/>
      <c r="N141" s="91">
        <f t="shared" si="33"/>
        <v>220.12</v>
      </c>
      <c r="O141" s="23"/>
      <c r="P141" s="111"/>
      <c r="Q141" s="22">
        <v>848.97</v>
      </c>
      <c r="R141" s="23"/>
      <c r="S141" s="92">
        <f t="shared" si="40"/>
        <v>107.75</v>
      </c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39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0</v>
      </c>
      <c r="M142" s="41"/>
      <c r="N142" s="59">
        <f t="shared" si="33"/>
        <v>-17.5</v>
      </c>
      <c r="O142" s="41"/>
      <c r="P142" s="13"/>
      <c r="Q142" s="33">
        <v>2.4</v>
      </c>
      <c r="R142" s="41"/>
      <c r="S142" s="85">
        <f t="shared" si="40"/>
        <v>-2.4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39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3"/>
        <v>-10</v>
      </c>
      <c r="O143" s="41"/>
      <c r="P143" s="13"/>
      <c r="Q143" s="33">
        <v>0</v>
      </c>
      <c r="R143" s="41"/>
      <c r="S143" s="85">
        <f t="shared" si="40"/>
        <v>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39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135.80000000000001</v>
      </c>
      <c r="M144" s="41"/>
      <c r="N144" s="59">
        <f t="shared" si="33"/>
        <v>-21.699999999999989</v>
      </c>
      <c r="O144" s="41"/>
      <c r="P144" s="13"/>
      <c r="Q144" s="32">
        <v>306.95999999999998</v>
      </c>
      <c r="R144" s="41"/>
      <c r="S144" s="85">
        <f t="shared" si="40"/>
        <v>-171.15999999999997</v>
      </c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39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65.12</v>
      </c>
      <c r="M145" s="41"/>
      <c r="N145" s="59">
        <f t="shared" si="33"/>
        <v>1.9200000000000017</v>
      </c>
      <c r="O145" s="41"/>
      <c r="P145" s="13"/>
      <c r="Q145" s="33">
        <v>118.1</v>
      </c>
      <c r="R145" s="41"/>
      <c r="S145" s="85">
        <f t="shared" si="40"/>
        <v>-52.97999999999999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39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169.18</v>
      </c>
      <c r="M146" s="41"/>
      <c r="N146" s="59">
        <f t="shared" si="33"/>
        <v>124.18</v>
      </c>
      <c r="O146" s="41"/>
      <c r="P146" s="13"/>
      <c r="Q146" s="33">
        <v>198.33</v>
      </c>
      <c r="R146" s="41"/>
      <c r="S146" s="85">
        <f t="shared" si="40"/>
        <v>-29.150000000000006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39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132.75</v>
      </c>
      <c r="M147" s="41"/>
      <c r="N147" s="59">
        <f t="shared" si="33"/>
        <v>-41.350000000000023</v>
      </c>
      <c r="O147" s="41"/>
      <c r="P147" s="13"/>
      <c r="Q147" s="33">
        <v>164.4</v>
      </c>
      <c r="R147" s="41"/>
      <c r="S147" s="85">
        <f t="shared" si="40"/>
        <v>-31.650000000000006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39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239.25</v>
      </c>
      <c r="M148" s="41"/>
      <c r="N148" s="59">
        <f t="shared" si="33"/>
        <v>115.20922000000002</v>
      </c>
      <c r="O148" s="41"/>
      <c r="P148" s="13"/>
      <c r="Q148" s="33">
        <v>-26.49</v>
      </c>
      <c r="R148" s="41"/>
      <c r="S148" s="85">
        <f t="shared" si="40"/>
        <v>265.74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637.96195216605292</v>
      </c>
      <c r="G149" s="83"/>
      <c r="H149" s="13"/>
      <c r="I149" s="30"/>
      <c r="J149" s="41"/>
      <c r="K149" s="13"/>
      <c r="L149" s="33">
        <v>1001.61</v>
      </c>
      <c r="M149" s="41"/>
      <c r="N149" s="59">
        <f t="shared" si="33"/>
        <v>363.64804783394709</v>
      </c>
      <c r="O149" s="41"/>
      <c r="P149" s="13"/>
      <c r="Q149" s="33">
        <v>1064.24</v>
      </c>
      <c r="R149" s="41"/>
      <c r="S149" s="85">
        <f>L149-Q149</f>
        <v>-62.629999999999995</v>
      </c>
      <c r="T149" s="82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3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3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3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218" si="41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7.0105033341081757E-2</v>
      </c>
      <c r="F153" s="96">
        <f>+SUM(F136:F152)</f>
        <v>4518.2693988327192</v>
      </c>
      <c r="G153" s="97"/>
      <c r="H153" s="95"/>
      <c r="I153" s="96"/>
      <c r="J153" s="97" t="s">
        <v>38</v>
      </c>
      <c r="K153" s="95">
        <f>L153/L$108</f>
        <v>9.4003688793770676E-2</v>
      </c>
      <c r="L153" s="96">
        <f>+SUM(L136:L152)</f>
        <v>5371.4299999999994</v>
      </c>
      <c r="M153" s="100"/>
      <c r="N153" s="96">
        <f t="shared" si="33"/>
        <v>853.16060116728022</v>
      </c>
      <c r="O153" s="97" t="s">
        <v>38</v>
      </c>
      <c r="P153" s="95">
        <f>Q153/Q$108</f>
        <v>0.12100630786923444</v>
      </c>
      <c r="Q153" s="96">
        <f>+SUM(Q136:Q152)</f>
        <v>5363.0999999999995</v>
      </c>
      <c r="R153" s="100"/>
      <c r="S153" s="101">
        <f>L153-Q153</f>
        <v>8.3299999999999272</v>
      </c>
      <c r="T153" s="112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1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1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0.90171950053204675</v>
      </c>
      <c r="F155" s="96">
        <f>F122+F135+F153</f>
        <v>58115.821809290414</v>
      </c>
      <c r="G155" s="97"/>
      <c r="H155" s="95"/>
      <c r="I155" s="96"/>
      <c r="J155" s="97" t="s">
        <v>38</v>
      </c>
      <c r="K155" s="95">
        <f>L155/L$108</f>
        <v>0.82742594892635901</v>
      </c>
      <c r="L155" s="96">
        <f>L122+L135+L153</f>
        <v>47279.640000000007</v>
      </c>
      <c r="M155" s="100"/>
      <c r="N155" s="113">
        <f t="shared" ref="N155:N162" si="42">L155-F155</f>
        <v>-10836.181809290407</v>
      </c>
      <c r="O155" s="97" t="s">
        <v>38</v>
      </c>
      <c r="P155" s="95">
        <f>Q155/Q$108</f>
        <v>1.1437170738905387</v>
      </c>
      <c r="Q155" s="96">
        <f>Q122+Q135+Q153</f>
        <v>50690.489999999983</v>
      </c>
      <c r="R155" s="100"/>
      <c r="S155" s="114">
        <f t="shared" ref="S155:S162" si="43">L155-Q155</f>
        <v>-3410.8499999999767</v>
      </c>
      <c r="T155" s="112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1"/>
        <v>Véhicules usagésRBSC used</v>
      </c>
      <c r="B156" s="11" t="s">
        <v>70</v>
      </c>
      <c r="C156" s="29" t="s">
        <v>218</v>
      </c>
      <c r="D156" s="149"/>
      <c r="E156" s="150"/>
      <c r="F156" s="30">
        <v>2250</v>
      </c>
      <c r="G156" s="151"/>
      <c r="H156" s="150"/>
      <c r="I156" s="30"/>
      <c r="J156" s="151"/>
      <c r="K156" s="150"/>
      <c r="L156" s="32">
        <v>2250</v>
      </c>
      <c r="M156" s="41"/>
      <c r="N156" s="59">
        <f t="shared" si="42"/>
        <v>0</v>
      </c>
      <c r="O156" s="151"/>
      <c r="P156" s="150"/>
      <c r="Q156" s="33">
        <v>0</v>
      </c>
      <c r="R156" s="41"/>
      <c r="S156" s="85">
        <f t="shared" si="43"/>
        <v>2250</v>
      </c>
      <c r="T156" s="112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1"/>
        <v>Véhicules usagésProgramme 360</v>
      </c>
      <c r="B157" s="11" t="s">
        <v>70</v>
      </c>
      <c r="C157" s="29" t="s">
        <v>219</v>
      </c>
      <c r="D157" s="149"/>
      <c r="E157" s="150"/>
      <c r="F157" s="30">
        <v>804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2"/>
        <v>-804</v>
      </c>
      <c r="O157" s="151"/>
      <c r="P157" s="150"/>
      <c r="Q157" s="33">
        <v>0</v>
      </c>
      <c r="R157" s="41"/>
      <c r="S157" s="85">
        <f t="shared" si="43"/>
        <v>0</v>
      </c>
      <c r="T157" s="112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1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2"/>
        <v>0</v>
      </c>
      <c r="O158" s="41"/>
      <c r="P158" s="13"/>
      <c r="Q158" s="33">
        <v>0</v>
      </c>
      <c r="R158" s="41"/>
      <c r="S158" s="85">
        <f t="shared" si="43"/>
        <v>0</v>
      </c>
      <c r="T158" s="112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8889.2999999999993</v>
      </c>
      <c r="G159" s="83"/>
      <c r="H159" s="13"/>
      <c r="I159" s="30"/>
      <c r="J159" s="41"/>
      <c r="K159" s="13"/>
      <c r="L159" s="32">
        <v>8330</v>
      </c>
      <c r="M159" s="41"/>
      <c r="N159" s="59">
        <f t="shared" si="42"/>
        <v>-559.29999999999927</v>
      </c>
      <c r="O159" s="41"/>
      <c r="P159" s="13"/>
      <c r="Q159" s="33">
        <v>4165</v>
      </c>
      <c r="R159" s="41"/>
      <c r="S159" s="85">
        <f t="shared" si="43"/>
        <v>4165</v>
      </c>
      <c r="T159" s="112"/>
      <c r="U159" s="13"/>
      <c r="V159" s="11">
        <f>L159/595</f>
        <v>14</v>
      </c>
      <c r="W159" s="489">
        <f>V159/J97</f>
        <v>0.77777777777777779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2"/>
        <v>0</v>
      </c>
      <c r="O160" s="41"/>
      <c r="P160" s="13"/>
      <c r="Q160" s="33">
        <v>0</v>
      </c>
      <c r="R160" s="41"/>
      <c r="S160" s="85">
        <f t="shared" si="43"/>
        <v>0</v>
      </c>
      <c r="T160" s="112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2"/>
        <v>0</v>
      </c>
      <c r="O161" s="41"/>
      <c r="P161" s="13"/>
      <c r="Q161" s="33">
        <v>0</v>
      </c>
      <c r="R161" s="41"/>
      <c r="S161" s="85">
        <f t="shared" si="43"/>
        <v>0</v>
      </c>
      <c r="T161" s="112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2"/>
        <v>0</v>
      </c>
      <c r="O162" s="41"/>
      <c r="P162" s="13"/>
      <c r="Q162" s="33">
        <v>0</v>
      </c>
      <c r="R162" s="41"/>
      <c r="S162" s="85">
        <f t="shared" si="43"/>
        <v>0</v>
      </c>
      <c r="T162" s="112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11943.3</v>
      </c>
      <c r="G163" s="97"/>
      <c r="H163" s="95"/>
      <c r="I163" s="96"/>
      <c r="J163" s="97"/>
      <c r="K163" s="95"/>
      <c r="L163" s="96">
        <f>+SUM(L156:L162)</f>
        <v>10580</v>
      </c>
      <c r="M163" s="100"/>
      <c r="N163" s="96">
        <f>SUM(N156:N159)</f>
        <v>-1363.2999999999993</v>
      </c>
      <c r="O163" s="97"/>
      <c r="P163" s="95"/>
      <c r="Q163" s="96">
        <f>+SUM(Q156:Q162)</f>
        <v>4165</v>
      </c>
      <c r="R163" s="100"/>
      <c r="S163" s="101">
        <f>+SUM(S156:S162)</f>
        <v>6415</v>
      </c>
      <c r="T163" s="112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18277.478190709586</v>
      </c>
      <c r="G165" s="153"/>
      <c r="H165" s="125"/>
      <c r="I165" s="127"/>
      <c r="J165" s="154"/>
      <c r="K165" s="126"/>
      <c r="L165" s="127">
        <f>L108-L155+L163</f>
        <v>20440.990000000027</v>
      </c>
      <c r="M165" s="154"/>
      <c r="N165" s="127">
        <f>L165-F165</f>
        <v>2163.5118092904413</v>
      </c>
      <c r="O165" s="154"/>
      <c r="P165" s="126"/>
      <c r="Q165" s="127">
        <f>Q108-Q155+Q163</f>
        <v>-2204.6600000000035</v>
      </c>
      <c r="R165" s="154"/>
      <c r="S165" s="129">
        <f>L165-Q165</f>
        <v>22645.650000000031</v>
      </c>
      <c r="T165" s="82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Novembre 2025</v>
      </c>
      <c r="T168" s="2"/>
      <c r="U168" s="6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08" t="s">
        <v>5</v>
      </c>
      <c r="E170" s="509"/>
      <c r="F170" s="510"/>
      <c r="G170" s="511"/>
      <c r="H170" s="509"/>
      <c r="I170" s="510"/>
      <c r="J170" s="511" t="s">
        <v>7</v>
      </c>
      <c r="K170" s="509"/>
      <c r="L170" s="510"/>
      <c r="M170" s="511" t="s">
        <v>213</v>
      </c>
      <c r="N170" s="510"/>
      <c r="O170" s="508" t="s">
        <v>8</v>
      </c>
      <c r="P170" s="509"/>
      <c r="Q170" s="510"/>
      <c r="R170" s="515" t="s">
        <v>214</v>
      </c>
      <c r="S170" s="516"/>
      <c r="T170" s="149"/>
      <c r="U170" s="13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44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4"/>
        <v>ServiceM/O Client</v>
      </c>
      <c r="B172" s="11" t="s">
        <v>78</v>
      </c>
      <c r="C172" s="29" t="s">
        <v>81</v>
      </c>
      <c r="D172" s="491">
        <v>319.79118326427306</v>
      </c>
      <c r="E172" s="82">
        <v>108729.00230985283</v>
      </c>
      <c r="F172" s="82">
        <v>85243.537810924623</v>
      </c>
      <c r="G172" s="156"/>
      <c r="H172" s="82"/>
      <c r="I172" s="82"/>
      <c r="J172" s="60">
        <v>403</v>
      </c>
      <c r="K172" s="30">
        <v>109912.62</v>
      </c>
      <c r="L172" s="33">
        <v>86139.42</v>
      </c>
      <c r="M172" s="157">
        <f>(K172-E172)/E172</f>
        <v>1.0885942710796908E-2</v>
      </c>
      <c r="N172" s="59">
        <f>L172-F172</f>
        <v>895.88218907537521</v>
      </c>
      <c r="O172" s="60">
        <v>334</v>
      </c>
      <c r="P172" s="30">
        <v>102245.31</v>
      </c>
      <c r="Q172" s="33">
        <v>80750.669999999896</v>
      </c>
      <c r="R172" s="157">
        <f>IF(O172=0,0,J172/O172)</f>
        <v>1.2065868263473054</v>
      </c>
      <c r="S172" s="85">
        <f>L172-Q172</f>
        <v>5388.7500000001019</v>
      </c>
      <c r="T172" s="82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4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/>
      <c r="J173" s="60"/>
      <c r="K173" s="13"/>
      <c r="L173" s="158">
        <f>IF(L172=0,0,L172/K172)</f>
        <v>0.78370818564783551</v>
      </c>
      <c r="M173" s="157"/>
      <c r="N173" s="59"/>
      <c r="O173" s="60"/>
      <c r="P173" s="13"/>
      <c r="Q173" s="158">
        <f>Q172/P172</f>
        <v>0.78977382923480699</v>
      </c>
      <c r="R173" s="60"/>
      <c r="S173" s="85"/>
      <c r="T173" s="82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4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465">
        <f>IFERROR(K172/J172,0)</f>
        <v>272.73602977667491</v>
      </c>
      <c r="L174" s="160"/>
      <c r="M174" s="162"/>
      <c r="N174" s="91"/>
      <c r="O174" s="161"/>
      <c r="P174" s="465">
        <f>IFERROR(P172/O172,0)</f>
        <v>306.12368263473053</v>
      </c>
      <c r="Q174" s="160"/>
      <c r="R174" s="161"/>
      <c r="S174" s="92"/>
      <c r="T174" s="82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4"/>
        <v>ServiceM/O Garantie</v>
      </c>
      <c r="B175" s="11" t="s">
        <v>78</v>
      </c>
      <c r="C175" s="14" t="s">
        <v>83</v>
      </c>
      <c r="D175" s="493">
        <v>165.11897702335153</v>
      </c>
      <c r="E175" s="82">
        <v>24107.370645409326</v>
      </c>
      <c r="F175" s="82">
        <v>15428.717213061969</v>
      </c>
      <c r="G175" s="164"/>
      <c r="H175" s="82"/>
      <c r="I175" s="82"/>
      <c r="J175" s="164">
        <v>198</v>
      </c>
      <c r="K175" s="165">
        <v>28635.54</v>
      </c>
      <c r="L175" s="33">
        <v>18463.02</v>
      </c>
      <c r="M175" s="157">
        <f>(K175-E175)/E175</f>
        <v>0.1878333983906684</v>
      </c>
      <c r="N175" s="109">
        <f>L175-F175</f>
        <v>3034.3027869380312</v>
      </c>
      <c r="O175" s="164">
        <v>168</v>
      </c>
      <c r="P175" s="165">
        <v>29558.97</v>
      </c>
      <c r="Q175" s="33">
        <v>19564.3999999999</v>
      </c>
      <c r="R175" s="157">
        <f>IF(O175=0,0,J175/O175)</f>
        <v>1.1785714285714286</v>
      </c>
      <c r="S175" s="85">
        <f>L175-Q175</f>
        <v>-1101.3799999998992</v>
      </c>
      <c r="T175" s="82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4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0.64475892544718905</v>
      </c>
      <c r="M176" s="42"/>
      <c r="N176" s="43"/>
      <c r="O176" s="41"/>
      <c r="P176" s="13"/>
      <c r="Q176" s="158">
        <f>Q175/P175</f>
        <v>0.66187691925665537</v>
      </c>
      <c r="R176" s="42"/>
      <c r="S176" s="44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4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175.94625000000002</v>
      </c>
      <c r="Q177" s="160"/>
      <c r="R177" s="167"/>
      <c r="S177" s="169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4"/>
        <v>ServiceM/O Interne</v>
      </c>
      <c r="B178" s="11" t="s">
        <v>78</v>
      </c>
      <c r="C178" s="29" t="s">
        <v>84</v>
      </c>
      <c r="D178" s="491">
        <v>216.34458887598535</v>
      </c>
      <c r="E178" s="82">
        <v>51922.701330236487</v>
      </c>
      <c r="F178" s="82">
        <v>35047.823397909633</v>
      </c>
      <c r="G178" s="41"/>
      <c r="H178" s="82"/>
      <c r="I178" s="82"/>
      <c r="J178" s="60">
        <v>152</v>
      </c>
      <c r="K178" s="165">
        <v>59224.63</v>
      </c>
      <c r="L178" s="33">
        <v>44867.889999999992</v>
      </c>
      <c r="M178" s="157">
        <f>(K178-E178)/E178</f>
        <v>0.14063075461582988</v>
      </c>
      <c r="N178" s="59">
        <f>L178-F178</f>
        <v>9820.0666020903591</v>
      </c>
      <c r="O178" s="60">
        <v>193</v>
      </c>
      <c r="P178" s="165">
        <v>50906.729999999901</v>
      </c>
      <c r="Q178" s="33">
        <v>33664.799999999901</v>
      </c>
      <c r="R178" s="157">
        <f>IF(O178=0,0,J178/O178)</f>
        <v>0.78756476683937826</v>
      </c>
      <c r="S178" s="85">
        <f>L178-Q178</f>
        <v>11203.090000000091</v>
      </c>
      <c r="T178" s="82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4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0.7575883547098563</v>
      </c>
      <c r="M179" s="157"/>
      <c r="N179" s="59">
        <f>L179-F179</f>
        <v>8.258835470985626E-2</v>
      </c>
      <c r="O179" s="60"/>
      <c r="P179" s="144"/>
      <c r="Q179" s="158">
        <f>Q178/P178</f>
        <v>0.66130352509383272</v>
      </c>
      <c r="R179" s="60">
        <f>O179-K179</f>
        <v>0</v>
      </c>
      <c r="S179" s="85"/>
      <c r="T179" s="82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4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263.76544041450728</v>
      </c>
      <c r="Q180" s="158"/>
      <c r="R180" s="172"/>
      <c r="S180" s="85"/>
      <c r="T180" s="82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4"/>
        <v>ServiceM/O Esthétique</v>
      </c>
      <c r="B181" s="11" t="s">
        <v>78</v>
      </c>
      <c r="C181" s="14" t="s">
        <v>85</v>
      </c>
      <c r="D181" s="493">
        <v>67.699534983785327</v>
      </c>
      <c r="E181" s="82">
        <v>13539.906996757065</v>
      </c>
      <c r="F181" s="82">
        <v>5415.9627987028261</v>
      </c>
      <c r="G181" s="107"/>
      <c r="H181" s="82"/>
      <c r="I181" s="82"/>
      <c r="J181" s="164">
        <v>77</v>
      </c>
      <c r="K181" s="165">
        <v>19154.560000000001</v>
      </c>
      <c r="L181" s="108">
        <v>14421.500000000002</v>
      </c>
      <c r="M181" s="173">
        <f>IF(E181=0,0,(K181-E181)/E181)</f>
        <v>0.41467441427682616</v>
      </c>
      <c r="N181" s="109">
        <f>L181-F181</f>
        <v>9005.5372012971748</v>
      </c>
      <c r="O181" s="164">
        <v>59</v>
      </c>
      <c r="P181" s="165">
        <v>10564.15</v>
      </c>
      <c r="Q181" s="108">
        <v>3755.12</v>
      </c>
      <c r="R181" s="157">
        <f>IF(O181=0,0,J181/O181)</f>
        <v>1.3050847457627119</v>
      </c>
      <c r="S181" s="110">
        <f>L181-Q181</f>
        <v>10666.380000000001</v>
      </c>
      <c r="T181" s="82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4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0.75290165892612526</v>
      </c>
      <c r="M182" s="60">
        <f>J182-D182</f>
        <v>0</v>
      </c>
      <c r="N182" s="176"/>
      <c r="O182" s="175"/>
      <c r="P182" s="174"/>
      <c r="Q182" s="158">
        <f>IFERROR(Q181/P181,0)</f>
        <v>0.35545879223600574</v>
      </c>
      <c r="R182" s="41"/>
      <c r="S182" s="177"/>
      <c r="T182" s="112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4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179.05338983050848</v>
      </c>
      <c r="Q183" s="160"/>
      <c r="R183" s="23"/>
      <c r="S183" s="183"/>
      <c r="T183" s="112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4"/>
        <v>ServiceAjustement M/O</v>
      </c>
      <c r="B184" s="11" t="s">
        <v>78</v>
      </c>
      <c r="C184" s="29" t="s">
        <v>86</v>
      </c>
      <c r="D184" s="13"/>
      <c r="E184" s="13"/>
      <c r="F184" s="59">
        <v>-3643.3808555769469</v>
      </c>
      <c r="G184" s="41"/>
      <c r="H184" s="82"/>
      <c r="I184" s="82"/>
      <c r="J184" s="60"/>
      <c r="K184" s="82"/>
      <c r="L184" s="82">
        <v>-3306.25</v>
      </c>
      <c r="M184" s="175"/>
      <c r="N184" s="59">
        <f>L184-F184</f>
        <v>337.13085557694694</v>
      </c>
      <c r="O184" s="60"/>
      <c r="P184" s="82"/>
      <c r="Q184" s="82">
        <v>-1386.92</v>
      </c>
      <c r="R184" s="184"/>
      <c r="S184" s="85">
        <f>L184-Q184</f>
        <v>-1919.33</v>
      </c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4"/>
        <v>ServiceSous-total M/O</v>
      </c>
      <c r="B185" s="11" t="s">
        <v>78</v>
      </c>
      <c r="C185" s="185" t="s">
        <v>87</v>
      </c>
      <c r="D185" s="186">
        <f>D172+D175+D178+D181+D184</f>
        <v>768.95428414739536</v>
      </c>
      <c r="E185" s="186">
        <f>E172+E175+E178+E181+E184</f>
        <v>198298.9812822557</v>
      </c>
      <c r="F185" s="187">
        <f>F172+F175+F178+F181+F184</f>
        <v>137492.66036502211</v>
      </c>
      <c r="G185" s="188"/>
      <c r="H185" s="186"/>
      <c r="I185" s="187"/>
      <c r="J185" s="188">
        <f>J172+J175+J178+J181+J184</f>
        <v>830</v>
      </c>
      <c r="K185" s="186">
        <f>K172+K175+K178+K181+K184</f>
        <v>216927.35</v>
      </c>
      <c r="L185" s="187">
        <f>L172+L175+L178+L181+L184</f>
        <v>160585.57999999999</v>
      </c>
      <c r="M185" s="189">
        <f>(K185-E185)/E185</f>
        <v>9.3940819046513274E-2</v>
      </c>
      <c r="N185" s="187">
        <f>L185-F185</f>
        <v>23092.919634977879</v>
      </c>
      <c r="O185" s="188">
        <f t="shared" ref="O185:Q185" si="45">O172+O175+O178+O181+O184</f>
        <v>754</v>
      </c>
      <c r="P185" s="186">
        <f t="shared" si="45"/>
        <v>193275.15999999989</v>
      </c>
      <c r="Q185" s="187">
        <f t="shared" si="45"/>
        <v>136348.06999999969</v>
      </c>
      <c r="R185" s="42">
        <f>IF(O185=0,0,J185/O185)</f>
        <v>1.1007957559681698</v>
      </c>
      <c r="S185" s="190">
        <f>L185-Q185</f>
        <v>24237.5100000003</v>
      </c>
      <c r="T185" s="112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4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0.69336039689138484</v>
      </c>
      <c r="G186" s="194"/>
      <c r="H186" s="192"/>
      <c r="I186" s="43"/>
      <c r="J186" s="194"/>
      <c r="K186" s="443">
        <f>IF(J185=0,0,K185/J185)</f>
        <v>261.35825301204818</v>
      </c>
      <c r="L186" s="43">
        <f>IF(L185=0,0,L185/K185)</f>
        <v>0.74027355241282389</v>
      </c>
      <c r="M186" s="194"/>
      <c r="N186" s="193">
        <f>N185/F185</f>
        <v>0.16795747186555041</v>
      </c>
      <c r="O186" s="194"/>
      <c r="P186" s="443">
        <f>IF(O185=0,0,P185/O185)</f>
        <v>256.33310344827572</v>
      </c>
      <c r="Q186" s="43">
        <f>Q185/P185</f>
        <v>0.705460908685833</v>
      </c>
      <c r="R186" s="194"/>
      <c r="S186" s="44">
        <f>IF(R185=0,0,S185/R185)</f>
        <v>22018.171734940031</v>
      </c>
      <c r="T186" s="112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4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4"/>
        <v>ServiceSous-traitement</v>
      </c>
      <c r="B188" s="11" t="s">
        <v>78</v>
      </c>
      <c r="C188" s="29" t="s">
        <v>89</v>
      </c>
      <c r="D188" s="82"/>
      <c r="E188" s="82">
        <v>10165.297149872033</v>
      </c>
      <c r="F188" s="82">
        <v>1169.0091722352838</v>
      </c>
      <c r="G188" s="60"/>
      <c r="H188" s="82"/>
      <c r="I188" s="82"/>
      <c r="J188" s="60"/>
      <c r="K188" s="30">
        <v>4466.7</v>
      </c>
      <c r="L188" s="33">
        <v>564.6899999999996</v>
      </c>
      <c r="M188" s="84">
        <f>IF(E188=0,0,(K188-E188)/E188)</f>
        <v>-0.56059326804271237</v>
      </c>
      <c r="N188" s="59">
        <f>L188-F188</f>
        <v>-604.31917223528421</v>
      </c>
      <c r="O188" s="60"/>
      <c r="P188" s="30">
        <v>611.30999999999995</v>
      </c>
      <c r="Q188" s="33">
        <v>204.51</v>
      </c>
      <c r="R188" s="157">
        <f>IF(O188=0,0,J188/O188)</f>
        <v>0</v>
      </c>
      <c r="S188" s="85">
        <f>L188-Q188</f>
        <v>360.17999999999961</v>
      </c>
      <c r="T188" s="112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4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/>
      <c r="J189" s="175"/>
      <c r="K189" s="174"/>
      <c r="L189" s="158">
        <f>IF(L188=0,0,L188/K188)</f>
        <v>0.12642219087917245</v>
      </c>
      <c r="M189" s="175"/>
      <c r="N189" s="176"/>
      <c r="O189" s="175"/>
      <c r="P189" s="174"/>
      <c r="Q189" s="158">
        <f>IFERROR(Q188/P188,0)</f>
        <v>0.33454384845659324</v>
      </c>
      <c r="R189" s="175"/>
      <c r="S189" s="177"/>
      <c r="T189" s="112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4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4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4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4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4"/>
        <v>ServiceTotal Mécanique</v>
      </c>
      <c r="B194" s="11" t="s">
        <v>78</v>
      </c>
      <c r="C194" s="62" t="s">
        <v>91</v>
      </c>
      <c r="D194" s="63"/>
      <c r="E194" s="63">
        <f>E185+E188+E191</f>
        <v>208464.27843212773</v>
      </c>
      <c r="F194" s="65">
        <f>F185+F188+F191</f>
        <v>138661.6695372574</v>
      </c>
      <c r="G194" s="66"/>
      <c r="H194" s="63"/>
      <c r="I194" s="65"/>
      <c r="J194" s="66"/>
      <c r="K194" s="63">
        <f>K185+K188+K191</f>
        <v>221394.05000000002</v>
      </c>
      <c r="L194" s="65">
        <f>L185+L188+L191</f>
        <v>161150.26999999999</v>
      </c>
      <c r="M194" s="206">
        <f>L195-F195</f>
        <v>6.2730955375848385E-2</v>
      </c>
      <c r="N194" s="65">
        <f>L194-F194</f>
        <v>22488.600462742586</v>
      </c>
      <c r="O194" s="66"/>
      <c r="P194" s="63">
        <f t="shared" ref="P194:Q194" si="46">P185+P188+P191</f>
        <v>193886.46999999988</v>
      </c>
      <c r="Q194" s="65">
        <f t="shared" si="46"/>
        <v>136552.5799999997</v>
      </c>
      <c r="R194" s="206">
        <f>L195-Q195</f>
        <v>2.3597459075528571E-2</v>
      </c>
      <c r="S194" s="68">
        <f>L194-Q194</f>
        <v>24597.690000000293</v>
      </c>
      <c r="T194" s="112"/>
      <c r="U194" s="13"/>
      <c r="V194" s="11" t="s">
        <v>221</v>
      </c>
      <c r="W194" s="497"/>
      <c r="X194" s="490">
        <f>L194-W194</f>
        <v>161150.26999999999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4"/>
        <v>Service</v>
      </c>
      <c r="B195" s="11" t="s">
        <v>78</v>
      </c>
      <c r="C195" s="69"/>
      <c r="D195" s="70"/>
      <c r="E195" s="70"/>
      <c r="F195" s="74">
        <f>F194/E194</f>
        <v>0.66515793775384491</v>
      </c>
      <c r="G195" s="72"/>
      <c r="H195" s="70"/>
      <c r="I195" s="74"/>
      <c r="J195" s="72"/>
      <c r="K195" s="70"/>
      <c r="L195" s="74">
        <f>L194/K194</f>
        <v>0.72788889312969329</v>
      </c>
      <c r="M195" s="73"/>
      <c r="N195" s="74">
        <f>N194/F194</f>
        <v>0.16218325177961354</v>
      </c>
      <c r="O195" s="72"/>
      <c r="P195" s="70"/>
      <c r="Q195" s="74">
        <f>Q194/P194</f>
        <v>0.70429143405416472</v>
      </c>
      <c r="R195" s="73"/>
      <c r="S195" s="75">
        <f>L194/S194</f>
        <v>6.5514391798578675</v>
      </c>
      <c r="T195" s="76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4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4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4"/>
        <v>ServiceSalaires cadres</v>
      </c>
      <c r="B198" s="11" t="s">
        <v>78</v>
      </c>
      <c r="C198" s="102" t="s">
        <v>40</v>
      </c>
      <c r="D198" s="13"/>
      <c r="E198" s="13"/>
      <c r="F198" s="30">
        <v>9996.9471117005596</v>
      </c>
      <c r="G198" s="41"/>
      <c r="H198" s="13"/>
      <c r="I198" s="30"/>
      <c r="J198" s="41"/>
      <c r="K198" s="13"/>
      <c r="L198" s="33">
        <v>11911.66</v>
      </c>
      <c r="M198" s="41"/>
      <c r="N198" s="59">
        <f t="shared" ref="N198:N229" si="47">L198-F198</f>
        <v>1914.7128882994402</v>
      </c>
      <c r="O198" s="41"/>
      <c r="P198" s="13"/>
      <c r="Q198" s="33">
        <v>11433.39</v>
      </c>
      <c r="R198" s="41"/>
      <c r="S198" s="85">
        <f t="shared" ref="S198:S228" si="48">L198-Q198</f>
        <v>478.27000000000044</v>
      </c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4"/>
        <v>ServiceSalaires commis</v>
      </c>
      <c r="B199" s="11" t="s">
        <v>78</v>
      </c>
      <c r="C199" s="103" t="s">
        <v>41</v>
      </c>
      <c r="D199" s="81"/>
      <c r="E199" s="13"/>
      <c r="F199" s="22">
        <v>5416.2078544061305</v>
      </c>
      <c r="G199" s="83"/>
      <c r="H199" s="13"/>
      <c r="I199" s="22"/>
      <c r="J199" s="41"/>
      <c r="K199" s="13"/>
      <c r="L199" s="33">
        <v>3465.26</v>
      </c>
      <c r="M199" s="41"/>
      <c r="N199" s="59">
        <f t="shared" si="47"/>
        <v>-1950.9478544061303</v>
      </c>
      <c r="O199" s="41"/>
      <c r="P199" s="13"/>
      <c r="Q199" s="33">
        <v>5254.98</v>
      </c>
      <c r="R199" s="41"/>
      <c r="S199" s="85">
        <f t="shared" si="48"/>
        <v>-1789.7199999999993</v>
      </c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4"/>
        <v>ServiceSalaires autres</v>
      </c>
      <c r="B200" s="11" t="s">
        <v>78</v>
      </c>
      <c r="C200" s="102" t="s">
        <v>42</v>
      </c>
      <c r="D200" s="104"/>
      <c r="E200" s="105"/>
      <c r="F200" s="30">
        <v>7605.9511717009709</v>
      </c>
      <c r="G200" s="106"/>
      <c r="H200" s="105"/>
      <c r="I200" s="30"/>
      <c r="J200" s="107"/>
      <c r="K200" s="105"/>
      <c r="L200" s="108">
        <v>11459.71</v>
      </c>
      <c r="M200" s="107"/>
      <c r="N200" s="109">
        <f t="shared" si="47"/>
        <v>3853.7588282990282</v>
      </c>
      <c r="O200" s="107"/>
      <c r="P200" s="105"/>
      <c r="Q200" s="108">
        <v>10033.18</v>
      </c>
      <c r="R200" s="107"/>
      <c r="S200" s="110">
        <f t="shared" si="48"/>
        <v>1426.5299999999988</v>
      </c>
      <c r="T200" s="13"/>
      <c r="U200" s="13"/>
      <c r="V200" s="462" t="s">
        <v>244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4"/>
        <v>ServiceSalaires spécialistes</v>
      </c>
      <c r="B201" s="11" t="s">
        <v>78</v>
      </c>
      <c r="C201" s="102" t="s">
        <v>43</v>
      </c>
      <c r="D201" s="81"/>
      <c r="E201" s="13"/>
      <c r="F201" s="30">
        <v>13849.198777777778</v>
      </c>
      <c r="G201" s="83"/>
      <c r="H201" s="13"/>
      <c r="I201" s="30"/>
      <c r="J201" s="41"/>
      <c r="K201" s="13"/>
      <c r="L201" s="33">
        <v>18518</v>
      </c>
      <c r="M201" s="41"/>
      <c r="N201" s="59">
        <f t="shared" si="47"/>
        <v>4668.8012222222223</v>
      </c>
      <c r="O201" s="41"/>
      <c r="P201" s="13"/>
      <c r="Q201" s="33">
        <v>15341.02</v>
      </c>
      <c r="R201" s="41"/>
      <c r="S201" s="85">
        <f t="shared" si="48"/>
        <v>3176.9799999999996</v>
      </c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4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7"/>
        <v>0</v>
      </c>
      <c r="O202" s="41"/>
      <c r="P202" s="13"/>
      <c r="Q202" s="33">
        <v>0</v>
      </c>
      <c r="R202" s="41"/>
      <c r="S202" s="85">
        <f t="shared" si="48"/>
        <v>0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4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7"/>
        <v>0</v>
      </c>
      <c r="O203" s="41"/>
      <c r="P203" s="13"/>
      <c r="Q203" s="33">
        <v>0</v>
      </c>
      <c r="R203" s="41"/>
      <c r="S203" s="85">
        <f t="shared" si="48"/>
        <v>0</v>
      </c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4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7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4"/>
        <v>ServiceSalaires en absences</v>
      </c>
      <c r="B205" s="11" t="s">
        <v>78</v>
      </c>
      <c r="C205" s="103" t="s">
        <v>44</v>
      </c>
      <c r="D205" s="81"/>
      <c r="E205" s="13"/>
      <c r="F205" s="30">
        <v>8208.8618312749459</v>
      </c>
      <c r="G205" s="83"/>
      <c r="H205" s="13"/>
      <c r="I205" s="30"/>
      <c r="J205" s="41"/>
      <c r="K205" s="13"/>
      <c r="L205" s="33">
        <v>5447.87</v>
      </c>
      <c r="M205" s="41"/>
      <c r="N205" s="59">
        <f t="shared" si="47"/>
        <v>-2760.991831274946</v>
      </c>
      <c r="O205" s="41"/>
      <c r="P205" s="13"/>
      <c r="Q205" s="33">
        <v>6133.75</v>
      </c>
      <c r="R205" s="41"/>
      <c r="S205" s="85">
        <f>L205-Q205</f>
        <v>-685.88000000000011</v>
      </c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4"/>
        <v>ServiceDéduction à la source</v>
      </c>
      <c r="B206" s="11" t="s">
        <v>78</v>
      </c>
      <c r="C206" s="102" t="s">
        <v>45</v>
      </c>
      <c r="D206" s="104"/>
      <c r="E206" s="105"/>
      <c r="F206" s="55">
        <v>10394.917427647079</v>
      </c>
      <c r="G206" s="106"/>
      <c r="H206" s="105"/>
      <c r="I206" s="55"/>
      <c r="J206" s="107"/>
      <c r="K206" s="105"/>
      <c r="L206" s="108">
        <v>10133.31</v>
      </c>
      <c r="M206" s="107"/>
      <c r="N206" s="109">
        <f t="shared" si="47"/>
        <v>-261.60742764707902</v>
      </c>
      <c r="O206" s="107"/>
      <c r="P206" s="105"/>
      <c r="Q206" s="108">
        <v>11073.56</v>
      </c>
      <c r="R206" s="107"/>
      <c r="S206" s="110">
        <f t="shared" ref="S206:S236" si="49">L206-Q206</f>
        <v>-940.25</v>
      </c>
      <c r="T206" s="13"/>
      <c r="U206" s="13"/>
      <c r="V206" s="462" t="s">
        <v>244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4"/>
        <v>ServiceBénéfices marginaux</v>
      </c>
      <c r="B207" s="11" t="s">
        <v>78</v>
      </c>
      <c r="C207" s="102" t="s">
        <v>46</v>
      </c>
      <c r="D207" s="81"/>
      <c r="E207" s="13"/>
      <c r="F207" s="30">
        <v>6245.8731324918072</v>
      </c>
      <c r="G207" s="83"/>
      <c r="H207" s="13"/>
      <c r="I207" s="30"/>
      <c r="J207" s="41"/>
      <c r="K207" s="13"/>
      <c r="L207" s="33">
        <v>5918.95</v>
      </c>
      <c r="M207" s="41"/>
      <c r="N207" s="59">
        <f t="shared" si="47"/>
        <v>-326.92313249180734</v>
      </c>
      <c r="O207" s="41"/>
      <c r="P207" s="13"/>
      <c r="Q207" s="33">
        <v>3329.59</v>
      </c>
      <c r="R207" s="41"/>
      <c r="S207" s="85">
        <f t="shared" si="49"/>
        <v>2589.3599999999997</v>
      </c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4"/>
        <v>ServiceCsst</v>
      </c>
      <c r="B208" s="11" t="s">
        <v>78</v>
      </c>
      <c r="C208" s="102" t="s">
        <v>47</v>
      </c>
      <c r="D208" s="81"/>
      <c r="E208" s="13"/>
      <c r="F208" s="30">
        <v>1338.4013855339585</v>
      </c>
      <c r="G208" s="83"/>
      <c r="H208" s="13"/>
      <c r="I208" s="30"/>
      <c r="J208" s="41"/>
      <c r="K208" s="13"/>
      <c r="L208" s="33">
        <v>1941.18</v>
      </c>
      <c r="M208" s="467"/>
      <c r="N208" s="146">
        <f t="shared" si="47"/>
        <v>602.77861446604152</v>
      </c>
      <c r="O208" s="467"/>
      <c r="P208" s="468"/>
      <c r="Q208" s="22">
        <v>1482.15</v>
      </c>
      <c r="R208" s="467"/>
      <c r="S208" s="469">
        <f t="shared" si="49"/>
        <v>459.03</v>
      </c>
      <c r="T208" s="13"/>
      <c r="U208" s="13"/>
      <c r="V208" s="13" t="s">
        <v>244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4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7"/>
        <v>0</v>
      </c>
      <c r="O209" s="23"/>
      <c r="P209" s="111"/>
      <c r="Q209" s="33">
        <v>0</v>
      </c>
      <c r="R209" s="23"/>
      <c r="S209" s="92">
        <f t="shared" si="49"/>
        <v>0</v>
      </c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4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0.45474974376816107</v>
      </c>
      <c r="F210" s="96">
        <f>+SUM(F198:F209)</f>
        <v>63056.358692533227</v>
      </c>
      <c r="G210" s="97"/>
      <c r="H210" s="95"/>
      <c r="I210" s="96"/>
      <c r="J210" s="97" t="s">
        <v>92</v>
      </c>
      <c r="K210" s="95">
        <f>L210/L$194</f>
        <v>0.42690552116356983</v>
      </c>
      <c r="L210" s="96">
        <f>+SUM(L198:L209)</f>
        <v>68795.939999999988</v>
      </c>
      <c r="M210" s="147"/>
      <c r="N210" s="113">
        <f t="shared" si="47"/>
        <v>5739.5813074667603</v>
      </c>
      <c r="O210" s="97" t="s">
        <v>92</v>
      </c>
      <c r="P210" s="95">
        <f>Q210/Q$194</f>
        <v>0.46928164960339924</v>
      </c>
      <c r="Q210" s="96">
        <f>+SUM(Q198:Q209)</f>
        <v>64081.62</v>
      </c>
      <c r="R210" s="147"/>
      <c r="S210" s="114">
        <f t="shared" si="49"/>
        <v>4714.3199999999852</v>
      </c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4"/>
        <v>ServicePublicité 2</v>
      </c>
      <c r="B211" s="11" t="s">
        <v>78</v>
      </c>
      <c r="C211" s="29" t="s">
        <v>49</v>
      </c>
      <c r="D211" s="81"/>
      <c r="E211" s="13"/>
      <c r="F211" s="30">
        <v>6763.8677719094085</v>
      </c>
      <c r="G211" s="83"/>
      <c r="H211" s="13"/>
      <c r="I211" s="30"/>
      <c r="J211" s="41"/>
      <c r="K211" s="13"/>
      <c r="L211" s="33">
        <v>15095.15</v>
      </c>
      <c r="M211" s="41"/>
      <c r="N211" s="59">
        <f t="shared" si="47"/>
        <v>8331.2822280905912</v>
      </c>
      <c r="O211" s="41"/>
      <c r="P211" s="13"/>
      <c r="Q211" s="33">
        <v>13862.87</v>
      </c>
      <c r="R211" s="41"/>
      <c r="S211" s="85">
        <f t="shared" si="49"/>
        <v>1232.2799999999988</v>
      </c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4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5473.3899999999994</v>
      </c>
      <c r="M212" s="41"/>
      <c r="N212" s="59">
        <f t="shared" si="47"/>
        <v>2715.0566666666659</v>
      </c>
      <c r="O212" s="41"/>
      <c r="P212" s="13"/>
      <c r="Q212" s="33">
        <v>3747.66</v>
      </c>
      <c r="R212" s="41"/>
      <c r="S212" s="85">
        <f t="shared" si="49"/>
        <v>1725.7299999999996</v>
      </c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4"/>
        <v>ServiceFrais véhicules de cie</v>
      </c>
      <c r="B213" s="11" t="s">
        <v>78</v>
      </c>
      <c r="C213" s="86" t="s">
        <v>51</v>
      </c>
      <c r="D213" s="87"/>
      <c r="E213" s="111"/>
      <c r="F213" s="22">
        <v>6592.8333333333339</v>
      </c>
      <c r="G213" s="89"/>
      <c r="H213" s="111"/>
      <c r="I213" s="22"/>
      <c r="J213" s="23"/>
      <c r="K213" s="111"/>
      <c r="L213" s="33">
        <v>7720</v>
      </c>
      <c r="M213" s="23"/>
      <c r="N213" s="91">
        <f t="shared" si="47"/>
        <v>1127.1666666666661</v>
      </c>
      <c r="O213" s="23"/>
      <c r="P213" s="111"/>
      <c r="Q213" s="33">
        <v>8311.58</v>
      </c>
      <c r="R213" s="23"/>
      <c r="S213" s="92">
        <f t="shared" si="49"/>
        <v>-591.57999999999993</v>
      </c>
      <c r="T213" s="13"/>
      <c r="U213" s="13"/>
      <c r="V213" s="462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4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5987.14</v>
      </c>
      <c r="M214" s="41"/>
      <c r="N214" s="59">
        <f t="shared" si="47"/>
        <v>-46.359999999999673</v>
      </c>
      <c r="O214" s="41"/>
      <c r="P214" s="13"/>
      <c r="Q214" s="108">
        <v>5624.18</v>
      </c>
      <c r="R214" s="41"/>
      <c r="S214" s="85">
        <f t="shared" si="49"/>
        <v>362.96000000000004</v>
      </c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4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500.99</v>
      </c>
      <c r="M215" s="41"/>
      <c r="N215" s="59">
        <f t="shared" si="47"/>
        <v>42.656666666666695</v>
      </c>
      <c r="O215" s="41"/>
      <c r="P215" s="13"/>
      <c r="Q215" s="33">
        <v>491.23</v>
      </c>
      <c r="R215" s="41"/>
      <c r="S215" s="85">
        <f t="shared" si="49"/>
        <v>9.7599999999999909</v>
      </c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4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2475.0100000000002</v>
      </c>
      <c r="M216" s="467"/>
      <c r="N216" s="146">
        <f t="shared" si="47"/>
        <v>-3166.49</v>
      </c>
      <c r="O216" s="467"/>
      <c r="P216" s="468"/>
      <c r="Q216" s="22">
        <v>8141.26</v>
      </c>
      <c r="R216" s="23"/>
      <c r="S216" s="92">
        <f t="shared" si="49"/>
        <v>-5666.25</v>
      </c>
      <c r="T216" s="13"/>
      <c r="U216" s="13"/>
      <c r="V216" s="462" t="s">
        <v>245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7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75" si="50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3462.69</v>
      </c>
      <c r="M218" s="41"/>
      <c r="N218" s="59">
        <f t="shared" si="47"/>
        <v>2362.69</v>
      </c>
      <c r="O218" s="41"/>
      <c r="P218" s="13"/>
      <c r="Q218" s="33">
        <v>527.96</v>
      </c>
      <c r="R218" s="41"/>
      <c r="S218" s="85">
        <f t="shared" ref="S218:S248" si="51">L218-Q218</f>
        <v>2934.73</v>
      </c>
      <c r="T218" s="13"/>
      <c r="U218" s="13"/>
      <c r="V218" s="462" t="s">
        <v>246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0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2583.73</v>
      </c>
      <c r="M219" s="41"/>
      <c r="N219" s="59">
        <f t="shared" si="47"/>
        <v>1583.73</v>
      </c>
      <c r="O219" s="41"/>
      <c r="P219" s="13"/>
      <c r="Q219" s="33">
        <v>2026.62</v>
      </c>
      <c r="R219" s="41"/>
      <c r="S219" s="85">
        <f t="shared" si="51"/>
        <v>557.11000000000013</v>
      </c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0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339.49</v>
      </c>
      <c r="M220" s="41"/>
      <c r="N220" s="59">
        <f t="shared" si="47"/>
        <v>-54.259999999999991</v>
      </c>
      <c r="O220" s="41"/>
      <c r="P220" s="13"/>
      <c r="Q220" s="32">
        <v>278.7</v>
      </c>
      <c r="R220" s="41"/>
      <c r="S220" s="85">
        <f t="shared" si="51"/>
        <v>60.79000000000002</v>
      </c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0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118.53</v>
      </c>
      <c r="M221" s="41"/>
      <c r="N221" s="59">
        <f t="shared" si="47"/>
        <v>-1.4699999999999989</v>
      </c>
      <c r="O221" s="41"/>
      <c r="P221" s="13"/>
      <c r="Q221" s="33">
        <v>277.70999999999998</v>
      </c>
      <c r="R221" s="41"/>
      <c r="S221" s="85">
        <f t="shared" si="51"/>
        <v>-159.17999999999998</v>
      </c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0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43.25</v>
      </c>
      <c r="M222" s="41"/>
      <c r="N222" s="59">
        <f t="shared" si="47"/>
        <v>-69.25</v>
      </c>
      <c r="O222" s="41"/>
      <c r="P222" s="13"/>
      <c r="Q222" s="33">
        <v>292.77999999999997</v>
      </c>
      <c r="R222" s="41"/>
      <c r="S222" s="85">
        <f t="shared" si="51"/>
        <v>-249.52999999999997</v>
      </c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0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331.87</v>
      </c>
      <c r="M223" s="41"/>
      <c r="N223" s="59">
        <f t="shared" si="47"/>
        <v>-103.38</v>
      </c>
      <c r="O223" s="41"/>
      <c r="P223" s="13"/>
      <c r="Q223" s="33">
        <v>369.91</v>
      </c>
      <c r="R223" s="41"/>
      <c r="S223" s="85">
        <f t="shared" si="51"/>
        <v>-38.04000000000002</v>
      </c>
      <c r="T223" s="13"/>
      <c r="U223" s="13"/>
      <c r="V223" s="458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0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1048.1300000000001</v>
      </c>
      <c r="M224" s="41"/>
      <c r="N224" s="59">
        <f t="shared" si="47"/>
        <v>-595.58528333333334</v>
      </c>
      <c r="O224" s="41"/>
      <c r="P224" s="13"/>
      <c r="Q224" s="33">
        <v>1253.26</v>
      </c>
      <c r="R224" s="41"/>
      <c r="S224" s="85">
        <f t="shared" si="51"/>
        <v>-205.12999999999988</v>
      </c>
      <c r="T224" s="13"/>
      <c r="U224" s="13"/>
      <c r="V224" s="462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0"/>
        <v>ServiceFrais bancaires</v>
      </c>
      <c r="B225" s="11" t="s">
        <v>78</v>
      </c>
      <c r="C225" s="29" t="s">
        <v>62</v>
      </c>
      <c r="D225" s="81"/>
      <c r="E225" s="13"/>
      <c r="F225" s="30">
        <v>1594.9048804151323</v>
      </c>
      <c r="G225" s="83"/>
      <c r="H225" s="13"/>
      <c r="I225" s="30"/>
      <c r="J225" s="41"/>
      <c r="K225" s="13"/>
      <c r="L225" s="33">
        <v>2504.06</v>
      </c>
      <c r="M225" s="41"/>
      <c r="N225" s="59">
        <f t="shared" si="47"/>
        <v>909.15511958486763</v>
      </c>
      <c r="O225" s="41"/>
      <c r="P225" s="13"/>
      <c r="Q225" s="33">
        <v>2394.5300000000002</v>
      </c>
      <c r="R225" s="41"/>
      <c r="S225" s="85">
        <f t="shared" si="51"/>
        <v>109.52999999999975</v>
      </c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0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7"/>
        <v>0</v>
      </c>
      <c r="O226" s="41"/>
      <c r="P226" s="13"/>
      <c r="Q226" s="33">
        <v>0</v>
      </c>
      <c r="R226" s="41"/>
      <c r="S226" s="85">
        <f t="shared" si="51"/>
        <v>0</v>
      </c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7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:A285" si="52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7"/>
        <v>0</v>
      </c>
      <c r="O228" s="41"/>
      <c r="P228" s="13"/>
      <c r="Q228" s="33">
        <v>0</v>
      </c>
      <c r="R228" s="41"/>
      <c r="S228" s="85">
        <f t="shared" ref="S228:S258" si="53">L228-Q228</f>
        <v>0</v>
      </c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0.24987790823006117</v>
      </c>
      <c r="F229" s="96">
        <f>+SUM(F211:F228)</f>
        <v>34648.487935657875</v>
      </c>
      <c r="G229" s="97"/>
      <c r="H229" s="95"/>
      <c r="I229" s="96"/>
      <c r="J229" s="97" t="s">
        <v>92</v>
      </c>
      <c r="K229" s="95">
        <f>L229/L$194</f>
        <v>0.29589419862591609</v>
      </c>
      <c r="L229" s="96">
        <f>+SUM(L211:L228)</f>
        <v>47683.43</v>
      </c>
      <c r="M229" s="100"/>
      <c r="N229" s="96">
        <f t="shared" si="47"/>
        <v>13034.942064342125</v>
      </c>
      <c r="O229" s="97" t="s">
        <v>92</v>
      </c>
      <c r="P229" s="95">
        <f>Q229/Q$194</f>
        <v>0.34858550457267162</v>
      </c>
      <c r="Q229" s="96">
        <f>+SUM(Q211:Q228)</f>
        <v>47600.25</v>
      </c>
      <c r="R229" s="100"/>
      <c r="S229" s="101">
        <f>L229-Q229</f>
        <v>83.180000000000291</v>
      </c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0.70462765199822219</v>
      </c>
      <c r="F231" s="96">
        <f>F210+F229</f>
        <v>97704.846628191095</v>
      </c>
      <c r="G231" s="97"/>
      <c r="H231" s="95"/>
      <c r="I231" s="96"/>
      <c r="J231" s="97" t="s">
        <v>38</v>
      </c>
      <c r="K231" s="95">
        <f>L231/L$194</f>
        <v>0.72279971978948598</v>
      </c>
      <c r="L231" s="96">
        <f>L210+L229</f>
        <v>116479.37</v>
      </c>
      <c r="M231" s="100"/>
      <c r="N231" s="113">
        <f>L231-F231</f>
        <v>18774.5233718089</v>
      </c>
      <c r="O231" s="97" t="s">
        <v>38</v>
      </c>
      <c r="P231" s="95">
        <f>Q231/Q$194</f>
        <v>0.81786715417607081</v>
      </c>
      <c r="Q231" s="96">
        <f>Q210+Q229</f>
        <v>111681.87</v>
      </c>
      <c r="R231" s="100"/>
      <c r="S231" s="114">
        <f>L231-Q231</f>
        <v>4797.5</v>
      </c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40956.822909066308</v>
      </c>
      <c r="G233" s="153"/>
      <c r="H233" s="125"/>
      <c r="I233" s="127"/>
      <c r="J233" s="154"/>
      <c r="K233" s="126"/>
      <c r="L233" s="127">
        <f>L194-L231</f>
        <v>44670.899999999994</v>
      </c>
      <c r="M233" s="154"/>
      <c r="N233" s="127">
        <f>L233-F233</f>
        <v>3714.0770909336861</v>
      </c>
      <c r="O233" s="154"/>
      <c r="P233" s="126"/>
      <c r="Q233" s="127">
        <f>Q194-Q231</f>
        <v>24870.709999999701</v>
      </c>
      <c r="R233" s="154"/>
      <c r="S233" s="129">
        <f>L233-Q233</f>
        <v>19800.190000000293</v>
      </c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Novembre 2025</v>
      </c>
      <c r="T236" s="2"/>
      <c r="U236" s="6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08" t="s">
        <v>5</v>
      </c>
      <c r="E238" s="509"/>
      <c r="F238" s="510"/>
      <c r="G238" s="511"/>
      <c r="H238" s="509"/>
      <c r="I238" s="510"/>
      <c r="J238" s="511" t="s">
        <v>7</v>
      </c>
      <c r="K238" s="509"/>
      <c r="L238" s="510"/>
      <c r="M238" s="511" t="s">
        <v>213</v>
      </c>
      <c r="N238" s="510"/>
      <c r="O238" s="508" t="s">
        <v>8</v>
      </c>
      <c r="P238" s="509"/>
      <c r="Q238" s="510"/>
      <c r="R238" s="515" t="s">
        <v>214</v>
      </c>
      <c r="S238" s="516"/>
      <c r="T238" s="149"/>
      <c r="U238" s="13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54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4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4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0</v>
      </c>
      <c r="K241" s="30">
        <v>0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15</v>
      </c>
      <c r="P241" s="30">
        <v>3725.96</v>
      </c>
      <c r="Q241" s="33">
        <v>905.42</v>
      </c>
      <c r="R241" s="157">
        <f>IF(O241=0,0,J241/O241)</f>
        <v>0</v>
      </c>
      <c r="S241" s="85">
        <f>L241-Q241</f>
        <v>-905.42</v>
      </c>
      <c r="T241" s="80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4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0.24300314549807298</v>
      </c>
      <c r="R242" s="60"/>
      <c r="S242" s="85">
        <f>IFERROR(S241/R241,0)</f>
        <v>0</v>
      </c>
      <c r="T242" s="80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4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4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4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4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4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4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4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4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5">P244+P247+P241</f>
        <v>3725.96</v>
      </c>
      <c r="Q250" s="65">
        <f t="shared" si="55"/>
        <v>905.42</v>
      </c>
      <c r="R250" s="206">
        <f>L251-Q251</f>
        <v>-0.24300314549807298</v>
      </c>
      <c r="S250" s="68">
        <f>L250-Q250</f>
        <v>-905.42</v>
      </c>
      <c r="T250" s="148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4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0.24300314549807298</v>
      </c>
      <c r="R251" s="73"/>
      <c r="S251" s="75">
        <f>IF(R250=0,0,S250/R250)</f>
        <v>3725.96</v>
      </c>
      <c r="T251" s="148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4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4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4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6">L254-F254</f>
        <v>0</v>
      </c>
      <c r="O254" s="41"/>
      <c r="P254" s="13"/>
      <c r="Q254" s="33">
        <v>304.27</v>
      </c>
      <c r="R254" s="41"/>
      <c r="S254" s="85">
        <f t="shared" ref="S254:S265" si="57">L254-Q254</f>
        <v>-304.27</v>
      </c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4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6"/>
        <v>0</v>
      </c>
      <c r="O255" s="41"/>
      <c r="P255" s="13"/>
      <c r="Q255" s="33">
        <v>351.44</v>
      </c>
      <c r="R255" s="41"/>
      <c r="S255" s="85">
        <f>L255-Q255</f>
        <v>-351.44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4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6"/>
        <v>0</v>
      </c>
      <c r="O256" s="107"/>
      <c r="P256" s="105"/>
      <c r="Q256" s="108">
        <v>19</v>
      </c>
      <c r="R256" s="107"/>
      <c r="S256" s="110">
        <f t="shared" ref="S256:S272" si="58">L256-Q256</f>
        <v>-19</v>
      </c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4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6"/>
        <v>0</v>
      </c>
      <c r="O257" s="41"/>
      <c r="P257" s="13"/>
      <c r="Q257" s="33">
        <v>0</v>
      </c>
      <c r="R257" s="41"/>
      <c r="S257" s="85">
        <f t="shared" si="58"/>
        <v>0</v>
      </c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4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6"/>
        <v>0</v>
      </c>
      <c r="O258" s="41"/>
      <c r="P258" s="13"/>
      <c r="Q258" s="33">
        <v>0</v>
      </c>
      <c r="R258" s="41"/>
      <c r="S258" s="85">
        <f t="shared" si="58"/>
        <v>0</v>
      </c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4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6"/>
        <v>0</v>
      </c>
      <c r="O259" s="41"/>
      <c r="P259" s="13"/>
      <c r="Q259" s="33">
        <v>0</v>
      </c>
      <c r="R259" s="41"/>
      <c r="S259" s="85">
        <f t="shared" si="58"/>
        <v>0</v>
      </c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4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6"/>
        <v>0</v>
      </c>
      <c r="O260" s="41"/>
      <c r="P260" s="13"/>
      <c r="Q260" s="33">
        <v>0</v>
      </c>
      <c r="R260" s="41"/>
      <c r="S260" s="85">
        <f t="shared" si="58"/>
        <v>0</v>
      </c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4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6"/>
        <v>0</v>
      </c>
      <c r="O261" s="41"/>
      <c r="P261" s="13"/>
      <c r="Q261" s="33">
        <v>185.86</v>
      </c>
      <c r="R261" s="41"/>
      <c r="S261" s="85">
        <f t="shared" si="58"/>
        <v>-185.86</v>
      </c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4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6"/>
        <v>0</v>
      </c>
      <c r="O262" s="107"/>
      <c r="P262" s="105"/>
      <c r="Q262" s="108">
        <v>216.21</v>
      </c>
      <c r="R262" s="107"/>
      <c r="S262" s="110">
        <f t="shared" si="58"/>
        <v>-216.21</v>
      </c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4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6"/>
        <v>0</v>
      </c>
      <c r="O263" s="41"/>
      <c r="P263" s="13"/>
      <c r="Q263" s="33">
        <v>-73.3</v>
      </c>
      <c r="R263" s="41"/>
      <c r="S263" s="85">
        <f t="shared" si="58"/>
        <v>73.3</v>
      </c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4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6"/>
        <v>0</v>
      </c>
      <c r="O264" s="41"/>
      <c r="P264" s="13"/>
      <c r="Q264" s="33">
        <v>3.16</v>
      </c>
      <c r="R264" s="41"/>
      <c r="S264" s="85">
        <f t="shared" si="58"/>
        <v>-3.16</v>
      </c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4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6"/>
        <v>0</v>
      </c>
      <c r="O265" s="23"/>
      <c r="P265" s="111"/>
      <c r="Q265" s="33">
        <v>0</v>
      </c>
      <c r="R265" s="23"/>
      <c r="S265" s="92">
        <f t="shared" si="58"/>
        <v>0</v>
      </c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4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6"/>
        <v>0</v>
      </c>
      <c r="O266" s="97" t="s">
        <v>38</v>
      </c>
      <c r="P266" s="95">
        <f>IF(Q244=0,0,Q266/Q$244)</f>
        <v>0</v>
      </c>
      <c r="Q266" s="96">
        <f>+SUM(Q254:Q265)</f>
        <v>1006.64</v>
      </c>
      <c r="R266" s="147"/>
      <c r="S266" s="114">
        <f t="shared" si="58"/>
        <v>-1006.64</v>
      </c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4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6"/>
        <v>0</v>
      </c>
      <c r="O267" s="41"/>
      <c r="P267" s="13"/>
      <c r="Q267" s="33">
        <v>40.76</v>
      </c>
      <c r="R267" s="41"/>
      <c r="S267" s="85">
        <f t="shared" si="58"/>
        <v>-40.76</v>
      </c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4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6"/>
        <v>0</v>
      </c>
      <c r="O268" s="41"/>
      <c r="P268" s="13"/>
      <c r="Q268" s="33">
        <v>85.71</v>
      </c>
      <c r="R268" s="41"/>
      <c r="S268" s="85">
        <f t="shared" si="58"/>
        <v>-85.71</v>
      </c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4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6"/>
        <v>0</v>
      </c>
      <c r="O269" s="23"/>
      <c r="P269" s="111"/>
      <c r="Q269" s="33">
        <v>151.13</v>
      </c>
      <c r="R269" s="23"/>
      <c r="S269" s="92">
        <f t="shared" si="58"/>
        <v>-151.13</v>
      </c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4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6"/>
        <v>0</v>
      </c>
      <c r="O270" s="41"/>
      <c r="P270" s="13"/>
      <c r="Q270" s="108">
        <v>214.63</v>
      </c>
      <c r="R270" s="41"/>
      <c r="S270" s="85">
        <f t="shared" si="58"/>
        <v>-214.63</v>
      </c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4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6"/>
        <v>0</v>
      </c>
      <c r="O271" s="41"/>
      <c r="P271" s="13"/>
      <c r="Q271" s="33">
        <v>17.63</v>
      </c>
      <c r="R271" s="41"/>
      <c r="S271" s="85">
        <f t="shared" si="58"/>
        <v>-17.63</v>
      </c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4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6"/>
        <v>0</v>
      </c>
      <c r="O272" s="23"/>
      <c r="P272" s="111"/>
      <c r="Q272" s="22">
        <v>204.79</v>
      </c>
      <c r="R272" s="23"/>
      <c r="S272" s="92">
        <f t="shared" si="58"/>
        <v>-204.79</v>
      </c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6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319" si="59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6"/>
        <v>0</v>
      </c>
      <c r="O274" s="41"/>
      <c r="P274" s="13"/>
      <c r="Q274" s="33">
        <v>0.6</v>
      </c>
      <c r="R274" s="41"/>
      <c r="S274" s="85">
        <f t="shared" ref="S274:S292" si="60">L274-Q274</f>
        <v>-0.6</v>
      </c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59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6"/>
        <v>0</v>
      </c>
      <c r="O275" s="41"/>
      <c r="P275" s="13"/>
      <c r="Q275" s="33">
        <v>0</v>
      </c>
      <c r="R275" s="41"/>
      <c r="S275" s="85">
        <f t="shared" si="60"/>
        <v>0</v>
      </c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59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6"/>
        <v>0</v>
      </c>
      <c r="O276" s="41"/>
      <c r="P276" s="13"/>
      <c r="Q276" s="32">
        <v>28.49</v>
      </c>
      <c r="R276" s="41"/>
      <c r="S276" s="85">
        <f t="shared" si="60"/>
        <v>-28.49</v>
      </c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59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6"/>
        <v>0</v>
      </c>
      <c r="O277" s="41"/>
      <c r="P277" s="13"/>
      <c r="Q277" s="33">
        <v>17.52</v>
      </c>
      <c r="R277" s="41"/>
      <c r="S277" s="85">
        <f t="shared" si="60"/>
        <v>-17.52</v>
      </c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59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6"/>
        <v>0</v>
      </c>
      <c r="O278" s="41"/>
      <c r="P278" s="13"/>
      <c r="Q278" s="33">
        <v>3.05</v>
      </c>
      <c r="R278" s="41"/>
      <c r="S278" s="85">
        <f t="shared" si="60"/>
        <v>-3.05</v>
      </c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59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6"/>
        <v>0</v>
      </c>
      <c r="O279" s="41"/>
      <c r="P279" s="13"/>
      <c r="Q279" s="33">
        <v>41.09</v>
      </c>
      <c r="R279" s="41"/>
      <c r="S279" s="85">
        <f t="shared" si="60"/>
        <v>-41.09</v>
      </c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59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6"/>
        <v>0</v>
      </c>
      <c r="O280" s="41"/>
      <c r="P280" s="13"/>
      <c r="Q280" s="33">
        <v>-6.63</v>
      </c>
      <c r="R280" s="41"/>
      <c r="S280" s="85">
        <f t="shared" si="60"/>
        <v>6.63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59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6"/>
        <v>0</v>
      </c>
      <c r="O281" s="41"/>
      <c r="P281" s="13"/>
      <c r="Q281" s="33">
        <v>266.06</v>
      </c>
      <c r="R281" s="41"/>
      <c r="S281" s="85">
        <f t="shared" si="60"/>
        <v>-266.06</v>
      </c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59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6"/>
        <v>0</v>
      </c>
      <c r="O282" s="41"/>
      <c r="P282" s="13"/>
      <c r="Q282" s="33">
        <v>0</v>
      </c>
      <c r="R282" s="41"/>
      <c r="S282" s="85">
        <f t="shared" si="60"/>
        <v>0</v>
      </c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6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:A329" si="61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6"/>
        <v>0</v>
      </c>
      <c r="O284" s="41"/>
      <c r="P284" s="13"/>
      <c r="Q284" s="33">
        <v>0</v>
      </c>
      <c r="R284" s="41"/>
      <c r="S284" s="85">
        <f t="shared" ref="S284:S302" si="62">L284-Q284</f>
        <v>0</v>
      </c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1064.83</v>
      </c>
      <c r="R285" s="100"/>
      <c r="S285" s="101">
        <f>L285-Q285</f>
        <v>-1064.83</v>
      </c>
      <c r="T285" s="76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2071.4699999999998</v>
      </c>
      <c r="R287" s="100"/>
      <c r="S287" s="114">
        <f>L287-Q287</f>
        <v>-2071.4699999999998</v>
      </c>
      <c r="T287" s="76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-1166.0499999999997</v>
      </c>
      <c r="R289" s="154"/>
      <c r="S289" s="129">
        <f>L289-Q289</f>
        <v>1166.0499999999997</v>
      </c>
      <c r="T289" s="76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Novembre 2025</v>
      </c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08" t="s">
        <v>5</v>
      </c>
      <c r="E293" s="509"/>
      <c r="F293" s="510"/>
      <c r="G293" s="511"/>
      <c r="H293" s="509"/>
      <c r="I293" s="510"/>
      <c r="J293" s="511" t="s">
        <v>7</v>
      </c>
      <c r="K293" s="509"/>
      <c r="L293" s="510"/>
      <c r="M293" s="511" t="s">
        <v>213</v>
      </c>
      <c r="N293" s="510"/>
      <c r="O293" s="508" t="s">
        <v>8</v>
      </c>
      <c r="P293" s="509"/>
      <c r="Q293" s="510"/>
      <c r="R293" s="515" t="s">
        <v>214</v>
      </c>
      <c r="S293" s="51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3" si="63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3"/>
        <v>PiècesPièces Ro Clients</v>
      </c>
      <c r="B295" s="11" t="s">
        <v>98</v>
      </c>
      <c r="C295" s="29" t="s">
        <v>100</v>
      </c>
      <c r="D295" s="82">
        <v>79156.896088608351</v>
      </c>
      <c r="E295" s="148">
        <f>IF(D295=0,0,F295/D295)</f>
        <v>0.41</v>
      </c>
      <c r="F295" s="85">
        <v>32454.327396329423</v>
      </c>
      <c r="G295" s="82"/>
      <c r="H295" s="148"/>
      <c r="I295" s="85"/>
      <c r="J295" s="30">
        <v>67696.600000000006</v>
      </c>
      <c r="K295" s="148">
        <f t="shared" ref="K295:K300" si="64">IF(J295&lt;=0,0,L295/J295)</f>
        <v>0.36578380598139354</v>
      </c>
      <c r="L295" s="33">
        <v>24762.320000000007</v>
      </c>
      <c r="M295" s="157">
        <f t="shared" ref="M295:M301" si="65">(+J295-D295)/D295</f>
        <v>-0.14477950317530985</v>
      </c>
      <c r="N295" s="59">
        <f t="shared" ref="N295:N304" si="66">L295-F295</f>
        <v>-7692.0073963294162</v>
      </c>
      <c r="O295" s="30">
        <v>76600.95</v>
      </c>
      <c r="P295" s="148">
        <f t="shared" ref="P295:P303" si="67">IF(O295=0,0,Q295/O295)</f>
        <v>0.37806776547810439</v>
      </c>
      <c r="Q295" s="33">
        <v>28960.35</v>
      </c>
      <c r="R295" s="157">
        <f>IF(O295=0,0,(J295-O295)/O295)</f>
        <v>-0.11624333640770763</v>
      </c>
      <c r="S295" s="85">
        <f t="shared" ref="S295:S300" si="68">L295-Q295</f>
        <v>-4198.0299999999916</v>
      </c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3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3" si="69">IF(D296=0,0,F296/D296)</f>
        <v>0</v>
      </c>
      <c r="F296" s="85">
        <v>0</v>
      </c>
      <c r="G296" s="82"/>
      <c r="H296" s="148"/>
      <c r="I296" s="85"/>
      <c r="J296" s="30">
        <v>0</v>
      </c>
      <c r="K296" s="148">
        <f t="shared" si="64"/>
        <v>0</v>
      </c>
      <c r="L296" s="33">
        <v>0</v>
      </c>
      <c r="M296" s="157" t="e">
        <f t="shared" si="65"/>
        <v>#DIV/0!</v>
      </c>
      <c r="N296" s="59">
        <f t="shared" si="66"/>
        <v>0</v>
      </c>
      <c r="O296" s="30">
        <v>236.24</v>
      </c>
      <c r="P296" s="148">
        <f t="shared" si="67"/>
        <v>0.33999322722654923</v>
      </c>
      <c r="Q296" s="33">
        <v>80.319999999999993</v>
      </c>
      <c r="R296" s="157">
        <f t="shared" ref="R296:R303" si="70">IF(O296=0,0,(J296-O296)/O296)</f>
        <v>-1</v>
      </c>
      <c r="S296" s="85">
        <f t="shared" si="68"/>
        <v>-80.319999999999993</v>
      </c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3"/>
        <v>PiècesP/A Garantie</v>
      </c>
      <c r="B297" s="11" t="s">
        <v>98</v>
      </c>
      <c r="C297" s="29" t="s">
        <v>102</v>
      </c>
      <c r="D297" s="82">
        <v>43079.472829361701</v>
      </c>
      <c r="E297" s="148">
        <f t="shared" si="69"/>
        <v>0.28499999999999998</v>
      </c>
      <c r="F297" s="85">
        <v>12277.649756368084</v>
      </c>
      <c r="G297" s="82"/>
      <c r="H297" s="148"/>
      <c r="I297" s="85"/>
      <c r="J297" s="30">
        <v>41301.49</v>
      </c>
      <c r="K297" s="148">
        <f t="shared" si="64"/>
        <v>0.27899162959980384</v>
      </c>
      <c r="L297" s="33">
        <v>11522.770000000002</v>
      </c>
      <c r="M297" s="157">
        <f t="shared" si="65"/>
        <v>-4.1272158468705356E-2</v>
      </c>
      <c r="N297" s="59">
        <f t="shared" si="66"/>
        <v>-754.87975636808187</v>
      </c>
      <c r="O297" s="30">
        <v>82161.429999999993</v>
      </c>
      <c r="P297" s="148">
        <f t="shared" si="67"/>
        <v>0.2859726273021283</v>
      </c>
      <c r="Q297" s="33">
        <v>23495.9199999999</v>
      </c>
      <c r="R297" s="157">
        <f t="shared" si="70"/>
        <v>-0.49731291191012617</v>
      </c>
      <c r="S297" s="85">
        <f t="shared" si="68"/>
        <v>-11973.149999999898</v>
      </c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3"/>
        <v>PiècesVentes Internes</v>
      </c>
      <c r="B298" s="11" t="s">
        <v>98</v>
      </c>
      <c r="C298" s="29" t="s">
        <v>103</v>
      </c>
      <c r="D298" s="82">
        <v>30334.351860371611</v>
      </c>
      <c r="E298" s="148">
        <f t="shared" si="69"/>
        <v>0.35</v>
      </c>
      <c r="F298" s="85">
        <v>10617.023151130063</v>
      </c>
      <c r="G298" s="82"/>
      <c r="H298" s="148"/>
      <c r="I298" s="85"/>
      <c r="J298" s="30">
        <v>30393.85</v>
      </c>
      <c r="K298" s="148">
        <f t="shared" si="64"/>
        <v>0.31035620693002036</v>
      </c>
      <c r="L298" s="33">
        <v>9432.9199999999983</v>
      </c>
      <c r="M298" s="157">
        <f t="shared" si="65"/>
        <v>1.961411270702474E-3</v>
      </c>
      <c r="N298" s="59">
        <f t="shared" si="66"/>
        <v>-1184.1031511300644</v>
      </c>
      <c r="O298" s="30">
        <v>30386.959999999999</v>
      </c>
      <c r="P298" s="148">
        <f t="shared" si="67"/>
        <v>0.32565021311773212</v>
      </c>
      <c r="Q298" s="33">
        <v>9895.52</v>
      </c>
      <c r="R298" s="157">
        <f t="shared" si="70"/>
        <v>2.2674199722510637E-4</v>
      </c>
      <c r="S298" s="85">
        <f t="shared" si="68"/>
        <v>-462.60000000000218</v>
      </c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3"/>
        <v>PiècesVentes Détails</v>
      </c>
      <c r="B299" s="11" t="s">
        <v>98</v>
      </c>
      <c r="C299" s="29" t="s">
        <v>104</v>
      </c>
      <c r="D299" s="82">
        <v>26654.02245254481</v>
      </c>
      <c r="E299" s="148">
        <f t="shared" si="69"/>
        <v>0.3</v>
      </c>
      <c r="F299" s="85">
        <v>7996.2067357634423</v>
      </c>
      <c r="G299" s="82"/>
      <c r="H299" s="148"/>
      <c r="I299" s="85"/>
      <c r="J299" s="30">
        <v>20308.849999999999</v>
      </c>
      <c r="K299" s="148">
        <f t="shared" si="64"/>
        <v>0.27080558475738403</v>
      </c>
      <c r="L299" s="33">
        <v>5499.7499999999982</v>
      </c>
      <c r="M299" s="157">
        <f t="shared" si="65"/>
        <v>-0.23805684353428622</v>
      </c>
      <c r="N299" s="59">
        <f t="shared" si="66"/>
        <v>-2496.4567357634442</v>
      </c>
      <c r="O299" s="30">
        <v>26330.03</v>
      </c>
      <c r="P299" s="148">
        <f t="shared" si="67"/>
        <v>0.27260280371879525</v>
      </c>
      <c r="Q299" s="33">
        <v>7177.6399999999903</v>
      </c>
      <c r="R299" s="157">
        <f t="shared" si="70"/>
        <v>-0.22868109151413807</v>
      </c>
      <c r="S299" s="85">
        <f t="shared" si="68"/>
        <v>-1677.8899999999921</v>
      </c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61767.125077228797</v>
      </c>
      <c r="E300" s="148">
        <f t="shared" si="69"/>
        <v>0.2</v>
      </c>
      <c r="F300" s="85">
        <v>12353.42501544576</v>
      </c>
      <c r="G300" s="82"/>
      <c r="H300" s="148"/>
      <c r="I300" s="85"/>
      <c r="J300" s="30">
        <v>50422.46</v>
      </c>
      <c r="K300" s="148">
        <f t="shared" si="64"/>
        <v>0.18355133803467741</v>
      </c>
      <c r="L300" s="33">
        <v>9255.11</v>
      </c>
      <c r="M300" s="157">
        <f t="shared" si="65"/>
        <v>-0.18366833591565598</v>
      </c>
      <c r="N300" s="59">
        <f t="shared" si="66"/>
        <v>-3098.3150154457599</v>
      </c>
      <c r="O300" s="30">
        <v>54580.51</v>
      </c>
      <c r="P300" s="148">
        <f t="shared" si="67"/>
        <v>0.21461800192046573</v>
      </c>
      <c r="Q300" s="33">
        <v>11713.96</v>
      </c>
      <c r="R300" s="157">
        <f t="shared" si="70"/>
        <v>-7.6181955793377581E-2</v>
      </c>
      <c r="S300" s="85">
        <f t="shared" si="68"/>
        <v>-2458.8499999999985</v>
      </c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5"/>
        <v>#DIV/0!</v>
      </c>
      <c r="N301" s="59">
        <f t="shared" si="66"/>
        <v>0</v>
      </c>
      <c r="O301" s="30">
        <v>0</v>
      </c>
      <c r="P301" s="148">
        <f t="shared" si="67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51" si="71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9" si="72">IF(D302=0,0,F302/D302)</f>
        <v>0</v>
      </c>
      <c r="F302" s="85">
        <v>6304.6250664201443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7662.76</v>
      </c>
      <c r="M302" s="157"/>
      <c r="N302" s="59">
        <f t="shared" si="66"/>
        <v>1358.1349335798559</v>
      </c>
      <c r="O302" s="30">
        <v>0</v>
      </c>
      <c r="P302" s="148">
        <f t="shared" si="67"/>
        <v>0</v>
      </c>
      <c r="Q302" s="33">
        <v>2545.65</v>
      </c>
      <c r="R302" s="157">
        <f t="shared" ref="R302:R309" si="73">IF(O302=0,0,(J302-O302)/O302)</f>
        <v>0</v>
      </c>
      <c r="S302" s="85">
        <f>L302-Q302</f>
        <v>5117.1100000000006</v>
      </c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1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2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20577.169999999998</v>
      </c>
      <c r="M303" s="157"/>
      <c r="N303" s="59">
        <f t="shared" si="66"/>
        <v>20577.169999999998</v>
      </c>
      <c r="O303" s="30">
        <v>0</v>
      </c>
      <c r="P303" s="148">
        <f t="shared" si="67"/>
        <v>0</v>
      </c>
      <c r="Q303" s="33">
        <v>0</v>
      </c>
      <c r="R303" s="157">
        <f t="shared" si="73"/>
        <v>0</v>
      </c>
      <c r="S303" s="85">
        <f>L303-Q303</f>
        <v>20577.169999999998</v>
      </c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1"/>
        <v>PiècesSous-total Pièces</v>
      </c>
      <c r="B304" s="11" t="s">
        <v>98</v>
      </c>
      <c r="C304" s="53" t="s">
        <v>108</v>
      </c>
      <c r="D304" s="195">
        <f>SUM(D295:D303)</f>
        <v>240991.86830811526</v>
      </c>
      <c r="E304" s="213">
        <f>IF(D304&lt;=0,0,F304/D304)</f>
        <v>0.34027395902260626</v>
      </c>
      <c r="F304" s="199">
        <f>SUM(F295:F303)</f>
        <v>82003.257121456933</v>
      </c>
      <c r="G304" s="195"/>
      <c r="H304" s="213"/>
      <c r="I304" s="199"/>
      <c r="J304" s="195">
        <f>SUM(J295:J303)</f>
        <v>210123.25</v>
      </c>
      <c r="K304" s="213">
        <f>IF(J304&lt;=0,0,L304/J304)</f>
        <v>0.42219411702417509</v>
      </c>
      <c r="L304" s="197">
        <f>SUM(L295:L303)</f>
        <v>88712.8</v>
      </c>
      <c r="M304" s="214">
        <f>(+J304-D304)/D304</f>
        <v>-0.12808987508511618</v>
      </c>
      <c r="N304" s="197">
        <f t="shared" si="66"/>
        <v>6709.5428785430704</v>
      </c>
      <c r="O304" s="195">
        <f>SUM(O295:O303)</f>
        <v>270296.12</v>
      </c>
      <c r="P304" s="213">
        <f>IF(O304&lt;=0,0,Q304/O304)</f>
        <v>0.31028695491448366</v>
      </c>
      <c r="Q304" s="197">
        <f t="shared" ref="Q304" si="74">SUM(Q295:Q303)</f>
        <v>83869.35999999987</v>
      </c>
      <c r="R304" s="214">
        <f>IF(O304=0,0,(J304-O304)/O304)</f>
        <v>-0.22261832689274266</v>
      </c>
      <c r="S304" s="199">
        <f>L304-Q304</f>
        <v>4843.4400000001333</v>
      </c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1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8.1820443651468747E-2</v>
      </c>
      <c r="O305" s="41"/>
      <c r="P305" s="13"/>
      <c r="Q305" s="40"/>
      <c r="R305" s="41"/>
      <c r="S305" s="44">
        <f>IF(Q304=0,0,S304/Q304)</f>
        <v>5.7749814711834463E-2</v>
      </c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1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1"/>
        <v>PiècesVentes Pneus</v>
      </c>
      <c r="B307" s="11" t="s">
        <v>98</v>
      </c>
      <c r="C307" s="29" t="s">
        <v>109</v>
      </c>
      <c r="D307" s="82">
        <v>137205.10504824581</v>
      </c>
      <c r="E307" s="148">
        <f>IF(D307=0,0,F307/D307)</f>
        <v>0.24000000000000002</v>
      </c>
      <c r="F307" s="110">
        <v>32929.225211578996</v>
      </c>
      <c r="G307" s="82"/>
      <c r="H307" s="148"/>
      <c r="I307" s="110"/>
      <c r="J307" s="30">
        <v>204347.3</v>
      </c>
      <c r="K307" s="148">
        <f>IF(J307&lt;=0,0,L307/J307)</f>
        <v>0.24262987570670119</v>
      </c>
      <c r="L307" s="33">
        <v>49580.75999999998</v>
      </c>
      <c r="M307" s="157">
        <f>(+J307-D307)/D307</f>
        <v>0.4893563904064997</v>
      </c>
      <c r="N307" s="59">
        <f>L307-F307</f>
        <v>16651.534788420984</v>
      </c>
      <c r="O307" s="30">
        <v>162274.26</v>
      </c>
      <c r="P307" s="148">
        <f t="shared" ref="P307:P308" si="75">IF(O307=0,0,Q307/O307)</f>
        <v>0.24469580080044734</v>
      </c>
      <c r="Q307" s="33">
        <v>39707.83</v>
      </c>
      <c r="R307" s="157">
        <f>IF(O307=0,0,(J307-O307)/O307)</f>
        <v>0.25927118693993723</v>
      </c>
      <c r="S307" s="85">
        <f>L307-Q307</f>
        <v>9872.9299999999785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1"/>
        <v>PiècesHuiles et Graisse</v>
      </c>
      <c r="B308" s="11" t="s">
        <v>98</v>
      </c>
      <c r="C308" s="86" t="s">
        <v>110</v>
      </c>
      <c r="D308" s="82">
        <v>13485.861772785223</v>
      </c>
      <c r="E308" s="148">
        <f>IF(D308=0,0,F308/D308)</f>
        <v>0.34399999999999997</v>
      </c>
      <c r="F308" s="92">
        <v>4639.1364498381163</v>
      </c>
      <c r="G308" s="82"/>
      <c r="H308" s="148"/>
      <c r="I308" s="92"/>
      <c r="J308" s="30">
        <v>12387.68</v>
      </c>
      <c r="K308" s="148">
        <f>IF(J308&lt;=0,0,L308/J308)</f>
        <v>0.38427373002854459</v>
      </c>
      <c r="L308" s="33">
        <v>4760.2600000000011</v>
      </c>
      <c r="M308" s="157">
        <f>(+J308-D308)/D308</f>
        <v>-8.143207985427961E-2</v>
      </c>
      <c r="N308" s="59">
        <f>L308-F308</f>
        <v>121.12355016188485</v>
      </c>
      <c r="O308" s="30">
        <v>13794.31</v>
      </c>
      <c r="P308" s="148">
        <f t="shared" si="75"/>
        <v>0.35493402714597538</v>
      </c>
      <c r="Q308" s="33">
        <v>4896.07</v>
      </c>
      <c r="R308" s="157">
        <f>IF(O308=0,0,(J308-O308)/O308)</f>
        <v>-0.10197175502072951</v>
      </c>
      <c r="S308" s="85">
        <f>L308-Q308</f>
        <v>-135.80999999999858</v>
      </c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1"/>
        <v>PiècesSous-total Pièces et Acc.</v>
      </c>
      <c r="B309" s="11" t="s">
        <v>98</v>
      </c>
      <c r="C309" s="53" t="s">
        <v>111</v>
      </c>
      <c r="D309" s="195">
        <f>D304+D307+D308</f>
        <v>391682.83512914623</v>
      </c>
      <c r="E309" s="213">
        <f>IF(D309&lt;=0,0,F309/D309)</f>
        <v>0.30527663726557924</v>
      </c>
      <c r="F309" s="197">
        <f>F304+F307+F308</f>
        <v>119571.61878287405</v>
      </c>
      <c r="G309" s="198"/>
      <c r="H309" s="213"/>
      <c r="I309" s="197"/>
      <c r="J309" s="198">
        <f>J304+J307+J308</f>
        <v>426858.23</v>
      </c>
      <c r="K309" s="213">
        <f>IF(J309&lt;=0,0,L309/J309)</f>
        <v>0.33513192424566818</v>
      </c>
      <c r="L309" s="197">
        <f>L304+L307+L308</f>
        <v>143053.82</v>
      </c>
      <c r="M309" s="214">
        <f>(+J309-D309)/D309</f>
        <v>8.9805811529258539E-2</v>
      </c>
      <c r="N309" s="197">
        <f>L309-F309</f>
        <v>23482.201217125956</v>
      </c>
      <c r="O309" s="198">
        <f>O304+O307+O308</f>
        <v>446364.69</v>
      </c>
      <c r="P309" s="213">
        <f>IF(O309&lt;=0,0,Q309/O309)</f>
        <v>0.28782128801451534</v>
      </c>
      <c r="Q309" s="197">
        <f t="shared" ref="Q309" si="76">Q304+Q307+Q308</f>
        <v>128473.25999999986</v>
      </c>
      <c r="R309" s="214">
        <f>IF(O309=0,0,(J309-O309)/O309)</f>
        <v>-4.3700723728841588E-2</v>
      </c>
      <c r="S309" s="199">
        <f>L309-Q309</f>
        <v>14580.560000000143</v>
      </c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1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0.19638607770098412</v>
      </c>
      <c r="O310" s="41"/>
      <c r="P310" s="13"/>
      <c r="Q310" s="40"/>
      <c r="R310" s="41"/>
      <c r="S310" s="44">
        <f>IF(Q309=0,0,S309/Q309)</f>
        <v>0.11349100972451512</v>
      </c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1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1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1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1"/>
        <v>PiècesTotal Dépt. Pièces</v>
      </c>
      <c r="B314" s="11" t="s">
        <v>98</v>
      </c>
      <c r="C314" s="62" t="s">
        <v>113</v>
      </c>
      <c r="D314" s="63">
        <f>D309+D312</f>
        <v>391682.83512914623</v>
      </c>
      <c r="E314" s="219">
        <f>IF(D314&lt;=0,0,F314/D314)</f>
        <v>0.30527663726557924</v>
      </c>
      <c r="F314" s="65">
        <f>F309+F312</f>
        <v>119571.61878287405</v>
      </c>
      <c r="G314" s="66"/>
      <c r="H314" s="219"/>
      <c r="I314" s="65"/>
      <c r="J314" s="66">
        <f>J309+J312</f>
        <v>426858.23</v>
      </c>
      <c r="K314" s="219">
        <f>IF(J314&lt;=0,0,L314/J314)</f>
        <v>0.33513192424566818</v>
      </c>
      <c r="L314" s="65">
        <f>L309+L312</f>
        <v>143053.82</v>
      </c>
      <c r="M314" s="220">
        <f>(+J314-D314)/D314</f>
        <v>8.9805811529258539E-2</v>
      </c>
      <c r="N314" s="221">
        <f>L314-F314</f>
        <v>23482.201217125956</v>
      </c>
      <c r="O314" s="66">
        <f>O309+O312</f>
        <v>446364.69</v>
      </c>
      <c r="P314" s="219">
        <f>IF(O314&lt;=0,0,Q314/O314)</f>
        <v>0.28782128801451534</v>
      </c>
      <c r="Q314" s="65">
        <f t="shared" ref="Q314" si="77">Q309+Q312</f>
        <v>128473.25999999986</v>
      </c>
      <c r="R314" s="220">
        <f>IF(O314=0,0,(J314-O314)/O314)</f>
        <v>-4.3700723728841588E-2</v>
      </c>
      <c r="S314" s="222">
        <f>L314-Q314</f>
        <v>14580.560000000143</v>
      </c>
      <c r="T314" s="13"/>
      <c r="U314" s="13"/>
      <c r="V314" s="11" t="s">
        <v>221</v>
      </c>
      <c r="W314" s="497"/>
      <c r="X314" s="490">
        <f>L314-W314</f>
        <v>143053.82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1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0.19638607770098412</v>
      </c>
      <c r="O315" s="227"/>
      <c r="P315" s="225"/>
      <c r="Q315" s="226"/>
      <c r="R315" s="228"/>
      <c r="S315" s="75">
        <f>IF(Q314=0,0,S314/Q314)</f>
        <v>0.11349100972451512</v>
      </c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1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1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1"/>
        <v>PiècesSalaires cadres</v>
      </c>
      <c r="B318" s="11" t="s">
        <v>98</v>
      </c>
      <c r="C318" s="102" t="s">
        <v>40</v>
      </c>
      <c r="D318" s="13"/>
      <c r="E318" s="13"/>
      <c r="F318" s="30">
        <v>4172.7492779251406</v>
      </c>
      <c r="G318" s="41"/>
      <c r="H318" s="13"/>
      <c r="I318" s="30"/>
      <c r="J318" s="41"/>
      <c r="K318" s="13"/>
      <c r="L318" s="33">
        <v>4326.13</v>
      </c>
      <c r="M318" s="41"/>
      <c r="N318" s="59">
        <f t="shared" ref="N318:N348" si="78">L318-F318</f>
        <v>153.38072207485948</v>
      </c>
      <c r="O318" s="41"/>
      <c r="P318" s="13"/>
      <c r="Q318" s="33">
        <v>2434.1999999999998</v>
      </c>
      <c r="R318" s="41"/>
      <c r="S318" s="85">
        <f t="shared" ref="S318:S343" si="79">L318-Q318</f>
        <v>1891.9300000000003</v>
      </c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1"/>
        <v>PiècesSalaires commis</v>
      </c>
      <c r="B319" s="11" t="s">
        <v>98</v>
      </c>
      <c r="C319" s="103" t="s">
        <v>41</v>
      </c>
      <c r="D319" s="81"/>
      <c r="E319" s="13"/>
      <c r="F319" s="22">
        <v>2674.232950191571</v>
      </c>
      <c r="G319" s="83"/>
      <c r="H319" s="13"/>
      <c r="I319" s="22"/>
      <c r="J319" s="41"/>
      <c r="K319" s="13"/>
      <c r="L319" s="33">
        <v>2772.21</v>
      </c>
      <c r="M319" s="41"/>
      <c r="N319" s="59">
        <f t="shared" si="78"/>
        <v>97.977049808429001</v>
      </c>
      <c r="O319" s="41"/>
      <c r="P319" s="13"/>
      <c r="Q319" s="33">
        <v>2811.6</v>
      </c>
      <c r="R319" s="41"/>
      <c r="S319" s="85">
        <f t="shared" si="79"/>
        <v>-39.389999999999873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1"/>
        <v>PiècesSalaires autres</v>
      </c>
      <c r="B320" s="11" t="s">
        <v>98</v>
      </c>
      <c r="C320" s="102" t="s">
        <v>42</v>
      </c>
      <c r="D320" s="104"/>
      <c r="E320" s="105"/>
      <c r="F320" s="30">
        <v>14037.305823754788</v>
      </c>
      <c r="G320" s="106"/>
      <c r="H320" s="105"/>
      <c r="I320" s="30"/>
      <c r="J320" s="107"/>
      <c r="K320" s="105"/>
      <c r="L320" s="108">
        <v>21041.61</v>
      </c>
      <c r="M320" s="107"/>
      <c r="N320" s="109">
        <f t="shared" si="78"/>
        <v>7004.3041762452121</v>
      </c>
      <c r="O320" s="107"/>
      <c r="P320" s="105"/>
      <c r="Q320" s="108">
        <v>16511.98</v>
      </c>
      <c r="R320" s="107"/>
      <c r="S320" s="110">
        <f t="shared" si="79"/>
        <v>4529.630000000001</v>
      </c>
      <c r="T320" s="13"/>
      <c r="U320" s="13"/>
      <c r="V320" s="462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 hidden="1">
      <c r="A321" t="str">
        <f t="shared" si="71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78"/>
        <v>0</v>
      </c>
      <c r="O321" s="41"/>
      <c r="P321" s="13"/>
      <c r="Q321" s="33">
        <v>0</v>
      </c>
      <c r="R321" s="41"/>
      <c r="S321" s="85">
        <f t="shared" si="79"/>
        <v>0</v>
      </c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78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78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78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74" si="80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2167.5612001650456</v>
      </c>
      <c r="G325" s="83"/>
      <c r="H325" s="13"/>
      <c r="I325" s="22"/>
      <c r="J325" s="41"/>
      <c r="K325" s="13"/>
      <c r="L325" s="33">
        <v>2129.5500000000002</v>
      </c>
      <c r="M325" s="41"/>
      <c r="N325" s="59">
        <f t="shared" si="78"/>
        <v>-38.011200165045466</v>
      </c>
      <c r="O325" s="41"/>
      <c r="P325" s="13"/>
      <c r="Q325" s="33">
        <v>2596.4299999999998</v>
      </c>
      <c r="R325" s="41"/>
      <c r="S325" s="85">
        <f t="shared" ref="S325:S350" si="81">L325-Q325</f>
        <v>-466.87999999999965</v>
      </c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0"/>
        <v>PiècesDéduction à la source</v>
      </c>
      <c r="B326" s="11" t="s">
        <v>98</v>
      </c>
      <c r="C326" s="102" t="s">
        <v>45</v>
      </c>
      <c r="D326" s="104"/>
      <c r="E326" s="105"/>
      <c r="F326" s="30">
        <v>2744.7921719481287</v>
      </c>
      <c r="G326" s="106"/>
      <c r="H326" s="105"/>
      <c r="I326" s="30"/>
      <c r="J326" s="107"/>
      <c r="K326" s="105"/>
      <c r="L326" s="108">
        <v>1756.92</v>
      </c>
      <c r="M326" s="107"/>
      <c r="N326" s="109">
        <f t="shared" si="78"/>
        <v>-987.87217194812865</v>
      </c>
      <c r="O326" s="107"/>
      <c r="P326" s="105"/>
      <c r="Q326" s="108">
        <v>2755.91</v>
      </c>
      <c r="R326" s="107"/>
      <c r="S326" s="110">
        <f t="shared" si="81"/>
        <v>-998.98999999999978</v>
      </c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0"/>
        <v>PiècesBénéfices marginaux</v>
      </c>
      <c r="B327" s="11" t="s">
        <v>98</v>
      </c>
      <c r="C327" s="102" t="s">
        <v>46</v>
      </c>
      <c r="D327" s="81"/>
      <c r="E327" s="13"/>
      <c r="F327" s="30">
        <v>1649.2313479516654</v>
      </c>
      <c r="G327" s="83"/>
      <c r="H327" s="13"/>
      <c r="I327" s="30"/>
      <c r="J327" s="41"/>
      <c r="K327" s="13"/>
      <c r="L327" s="33">
        <v>2326.9699999999998</v>
      </c>
      <c r="M327" s="41"/>
      <c r="N327" s="59">
        <f t="shared" si="78"/>
        <v>677.73865204833442</v>
      </c>
      <c r="O327" s="41"/>
      <c r="P327" s="13"/>
      <c r="Q327" s="33">
        <v>735.92</v>
      </c>
      <c r="R327" s="41"/>
      <c r="S327" s="85">
        <f t="shared" si="81"/>
        <v>1591.0499999999997</v>
      </c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0"/>
        <v>PiècesCsst</v>
      </c>
      <c r="B328" s="11" t="s">
        <v>98</v>
      </c>
      <c r="C328" s="102" t="s">
        <v>47</v>
      </c>
      <c r="D328" s="81"/>
      <c r="E328" s="13"/>
      <c r="F328" s="30">
        <v>353.40671741821399</v>
      </c>
      <c r="G328" s="83"/>
      <c r="H328" s="13"/>
      <c r="I328" s="30"/>
      <c r="J328" s="41"/>
      <c r="K328" s="13"/>
      <c r="L328" s="33">
        <v>439.14</v>
      </c>
      <c r="M328" s="467"/>
      <c r="N328" s="146">
        <f t="shared" si="78"/>
        <v>85.733282581786</v>
      </c>
      <c r="O328" s="41"/>
      <c r="P328" s="13"/>
      <c r="Q328" s="33">
        <v>256.94</v>
      </c>
      <c r="R328" s="41"/>
      <c r="S328" s="85">
        <f t="shared" si="81"/>
        <v>182.2</v>
      </c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0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78"/>
        <v>0</v>
      </c>
      <c r="O329" s="23"/>
      <c r="P329" s="111"/>
      <c r="Q329" s="33">
        <v>0</v>
      </c>
      <c r="R329" s="23"/>
      <c r="S329" s="92">
        <f t="shared" si="81"/>
        <v>0</v>
      </c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0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0.23249061752550407</v>
      </c>
      <c r="F330" s="96">
        <f>+SUM(F318:F329)</f>
        <v>27799.279489354551</v>
      </c>
      <c r="G330" s="97"/>
      <c r="H330" s="95"/>
      <c r="I330" s="96"/>
      <c r="J330" s="97" t="s">
        <v>38</v>
      </c>
      <c r="K330" s="95">
        <f>L330/L$314</f>
        <v>0.24321286911457518</v>
      </c>
      <c r="L330" s="96">
        <f>+SUM(L318:L329)</f>
        <v>34792.53</v>
      </c>
      <c r="M330" s="147"/>
      <c r="N330" s="113">
        <f t="shared" si="78"/>
        <v>6993.2505106454482</v>
      </c>
      <c r="O330" s="97" t="s">
        <v>38</v>
      </c>
      <c r="P330" s="95">
        <f>Q330/Q$314</f>
        <v>0.21874575300727969</v>
      </c>
      <c r="Q330" s="96">
        <f>+SUM(Q318:Q329)</f>
        <v>28102.979999999996</v>
      </c>
      <c r="R330" s="147"/>
      <c r="S330" s="114">
        <f t="shared" si="81"/>
        <v>6689.5500000000029</v>
      </c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0"/>
        <v>PiècesPublicité 2</v>
      </c>
      <c r="B331" s="11" t="s">
        <v>98</v>
      </c>
      <c r="C331" s="211" t="s">
        <v>49</v>
      </c>
      <c r="D331" s="81"/>
      <c r="E331" s="13"/>
      <c r="F331" s="30">
        <v>3642.0826464127581</v>
      </c>
      <c r="G331" s="83"/>
      <c r="H331" s="13"/>
      <c r="I331" s="30"/>
      <c r="J331" s="41"/>
      <c r="K331" s="13"/>
      <c r="L331" s="33">
        <v>7567.43</v>
      </c>
      <c r="M331" s="41"/>
      <c r="N331" s="59">
        <f t="shared" si="78"/>
        <v>3925.3473535872422</v>
      </c>
      <c r="O331" s="41"/>
      <c r="P331" s="13"/>
      <c r="Q331" s="33">
        <v>1451.71</v>
      </c>
      <c r="R331" s="41"/>
      <c r="S331" s="85">
        <f t="shared" si="81"/>
        <v>6115.72</v>
      </c>
      <c r="T331" s="13"/>
      <c r="U331" s="13"/>
      <c r="V331" s="462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0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3090.3599999999997</v>
      </c>
      <c r="M332" s="41"/>
      <c r="N332" s="59">
        <f t="shared" si="78"/>
        <v>2515.3599999999997</v>
      </c>
      <c r="O332" s="41"/>
      <c r="P332" s="13"/>
      <c r="Q332" s="33">
        <v>817.42</v>
      </c>
      <c r="R332" s="41"/>
      <c r="S332" s="85">
        <f t="shared" si="81"/>
        <v>2272.9399999999996</v>
      </c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0"/>
        <v>PiècesFrais véhicules de cie</v>
      </c>
      <c r="B333" s="11" t="s">
        <v>98</v>
      </c>
      <c r="C333" s="103" t="s">
        <v>51</v>
      </c>
      <c r="D333" s="87"/>
      <c r="E333" s="111"/>
      <c r="F333" s="22">
        <v>6053.9333333333334</v>
      </c>
      <c r="G333" s="89"/>
      <c r="H333" s="111"/>
      <c r="I333" s="22"/>
      <c r="J333" s="23"/>
      <c r="K333" s="111"/>
      <c r="L333" s="22">
        <v>6964.09</v>
      </c>
      <c r="M333" s="23"/>
      <c r="N333" s="91">
        <f t="shared" si="78"/>
        <v>910.15666666666675</v>
      </c>
      <c r="O333" s="23"/>
      <c r="P333" s="111"/>
      <c r="Q333" s="33">
        <v>6702.78999999999</v>
      </c>
      <c r="R333" s="23"/>
      <c r="S333" s="92">
        <f t="shared" si="81"/>
        <v>261.30000000001019</v>
      </c>
      <c r="T333" s="13"/>
      <c r="U333" s="13"/>
      <c r="V333" s="462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0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1786.18</v>
      </c>
      <c r="M334" s="41"/>
      <c r="N334" s="59">
        <f t="shared" si="78"/>
        <v>-40.620000000000118</v>
      </c>
      <c r="O334" s="41"/>
      <c r="P334" s="13"/>
      <c r="Q334" s="108">
        <v>1717.09</v>
      </c>
      <c r="R334" s="41"/>
      <c r="S334" s="85">
        <f t="shared" si="81"/>
        <v>69.090000000000146</v>
      </c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0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400.77</v>
      </c>
      <c r="M335" s="41"/>
      <c r="N335" s="59">
        <f t="shared" si="78"/>
        <v>34.103333333333296</v>
      </c>
      <c r="O335" s="41"/>
      <c r="P335" s="13"/>
      <c r="Q335" s="33">
        <v>141.25</v>
      </c>
      <c r="R335" s="41"/>
      <c r="S335" s="85">
        <f t="shared" si="81"/>
        <v>259.52</v>
      </c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0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2344.59</v>
      </c>
      <c r="M336" s="23"/>
      <c r="N336" s="91">
        <f t="shared" si="78"/>
        <v>321.3900000000001</v>
      </c>
      <c r="O336" s="23"/>
      <c r="P336" s="111"/>
      <c r="Q336" s="48">
        <v>1813.58</v>
      </c>
      <c r="R336" s="23"/>
      <c r="S336" s="92">
        <f t="shared" si="81"/>
        <v>531.01000000000022</v>
      </c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78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87" si="82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0</v>
      </c>
      <c r="M338" s="41"/>
      <c r="N338" s="59">
        <f t="shared" si="78"/>
        <v>-10</v>
      </c>
      <c r="O338" s="41"/>
      <c r="P338" s="13"/>
      <c r="Q338" s="33">
        <v>70.61</v>
      </c>
      <c r="R338" s="41"/>
      <c r="S338" s="85">
        <f t="shared" ref="S338:S363" si="83">L338-Q338</f>
        <v>-70.61</v>
      </c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2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290.45</v>
      </c>
      <c r="M339" s="41"/>
      <c r="N339" s="59">
        <f t="shared" si="78"/>
        <v>270.45</v>
      </c>
      <c r="O339" s="41"/>
      <c r="P339" s="13"/>
      <c r="Q339" s="33">
        <v>0</v>
      </c>
      <c r="R339" s="41"/>
      <c r="S339" s="85">
        <f t="shared" si="83"/>
        <v>290.45</v>
      </c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2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271.57</v>
      </c>
      <c r="M340" s="41"/>
      <c r="N340" s="59">
        <f t="shared" si="78"/>
        <v>-43.430000000000007</v>
      </c>
      <c r="O340" s="41"/>
      <c r="P340" s="13"/>
      <c r="Q340" s="32">
        <v>227.93</v>
      </c>
      <c r="R340" s="41"/>
      <c r="S340" s="85">
        <f t="shared" si="83"/>
        <v>43.639999999999986</v>
      </c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115.51</v>
      </c>
      <c r="M341" s="41"/>
      <c r="N341" s="59">
        <f t="shared" si="78"/>
        <v>-2.8900000000000006</v>
      </c>
      <c r="O341" s="41"/>
      <c r="P341" s="13"/>
      <c r="Q341" s="33">
        <v>186.34</v>
      </c>
      <c r="R341" s="41"/>
      <c r="S341" s="85">
        <f t="shared" si="83"/>
        <v>-70.83</v>
      </c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2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922.74</v>
      </c>
      <c r="M342" s="41"/>
      <c r="N342" s="59">
        <f t="shared" si="78"/>
        <v>332.74</v>
      </c>
      <c r="O342" s="41"/>
      <c r="P342" s="13"/>
      <c r="Q342" s="33">
        <v>383.89</v>
      </c>
      <c r="R342" s="41"/>
      <c r="S342" s="85">
        <f t="shared" si="83"/>
        <v>538.85</v>
      </c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2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265.5</v>
      </c>
      <c r="M343" s="41"/>
      <c r="N343" s="59">
        <f t="shared" si="78"/>
        <v>-82.700000000000045</v>
      </c>
      <c r="O343" s="41"/>
      <c r="P343" s="13"/>
      <c r="Q343" s="33">
        <v>328.8</v>
      </c>
      <c r="R343" s="41"/>
      <c r="S343" s="85">
        <f t="shared" si="83"/>
        <v>-63.300000000000011</v>
      </c>
      <c r="T343" s="13"/>
      <c r="U343" s="13"/>
      <c r="V343" s="11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478.51</v>
      </c>
      <c r="M344" s="41"/>
      <c r="N344" s="59">
        <f t="shared" si="78"/>
        <v>222.09510666666671</v>
      </c>
      <c r="O344" s="41"/>
      <c r="P344" s="13"/>
      <c r="Q344" s="33">
        <v>-53</v>
      </c>
      <c r="R344" s="41"/>
      <c r="S344" s="85">
        <f>L344-Q344</f>
        <v>531.51</v>
      </c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1275.9239043321058</v>
      </c>
      <c r="G345" s="83"/>
      <c r="H345" s="13"/>
      <c r="I345" s="30"/>
      <c r="J345" s="41"/>
      <c r="K345" s="13"/>
      <c r="L345" s="32">
        <v>2003.24</v>
      </c>
      <c r="M345" s="41"/>
      <c r="N345" s="59">
        <f t="shared" si="78"/>
        <v>727.31609566789416</v>
      </c>
      <c r="O345" s="41"/>
      <c r="P345" s="13"/>
      <c r="Q345" s="33">
        <v>2128.4699999999998</v>
      </c>
      <c r="R345" s="41"/>
      <c r="S345" s="85">
        <f>L345-Q345</f>
        <v>-125.22999999999979</v>
      </c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78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78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78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0.1457003059874393</v>
      </c>
      <c r="F349" s="96">
        <f>+SUM(F331:F348)</f>
        <v>17421.621444078195</v>
      </c>
      <c r="G349" s="97"/>
      <c r="H349" s="95"/>
      <c r="I349" s="96"/>
      <c r="J349" s="97" t="s">
        <v>38</v>
      </c>
      <c r="K349" s="95">
        <f>L349/L$314</f>
        <v>0.18525153679922704</v>
      </c>
      <c r="L349" s="96">
        <f>+SUM(L331:L348)</f>
        <v>26500.940000000002</v>
      </c>
      <c r="M349" s="100"/>
      <c r="N349" s="96">
        <f>+SUM(N331:N348)</f>
        <v>9079.3185559218036</v>
      </c>
      <c r="O349" s="97" t="s">
        <v>38</v>
      </c>
      <c r="P349" s="95">
        <f>Q349/Q$314</f>
        <v>0.12389255164849096</v>
      </c>
      <c r="Q349" s="96">
        <f>+SUM(Q331:Q348)</f>
        <v>15916.87999999999</v>
      </c>
      <c r="R349" s="100"/>
      <c r="S349" s="101">
        <f>+SUM(S331:S348)</f>
        <v>10584.060000000012</v>
      </c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0.37819092351294337</v>
      </c>
      <c r="F351" s="96">
        <f>F330+F349</f>
        <v>45220.900933432742</v>
      </c>
      <c r="G351" s="97"/>
      <c r="H351" s="95"/>
      <c r="I351" s="96"/>
      <c r="J351" s="97" t="s">
        <v>38</v>
      </c>
      <c r="K351" s="95">
        <f>L351/L$314</f>
        <v>0.42846440591380219</v>
      </c>
      <c r="L351" s="96">
        <f>L330+L349</f>
        <v>61293.47</v>
      </c>
      <c r="M351" s="100"/>
      <c r="N351" s="113">
        <f>L351-F351</f>
        <v>16072.569066567259</v>
      </c>
      <c r="O351" s="97" t="s">
        <v>38</v>
      </c>
      <c r="P351" s="95">
        <f>Q351/Q$314</f>
        <v>0.34263830465577066</v>
      </c>
      <c r="Q351" s="96">
        <f>Q330+Q349</f>
        <v>44019.859999999986</v>
      </c>
      <c r="R351" s="100"/>
      <c r="S351" s="114">
        <f>L351-Q351</f>
        <v>17273.610000000015</v>
      </c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74350.717849441309</v>
      </c>
      <c r="G353" s="153"/>
      <c r="H353" s="125"/>
      <c r="I353" s="127"/>
      <c r="J353" s="154"/>
      <c r="K353" s="126"/>
      <c r="L353" s="127">
        <f>L314-L351</f>
        <v>81760.350000000006</v>
      </c>
      <c r="M353" s="154"/>
      <c r="N353" s="127">
        <f>L353-F353</f>
        <v>7409.6321505586966</v>
      </c>
      <c r="O353" s="154"/>
      <c r="P353" s="126"/>
      <c r="Q353" s="127">
        <f>Q314-Q351</f>
        <v>84453.399999999878</v>
      </c>
      <c r="R353" s="154"/>
      <c r="S353" s="129">
        <f>L353-Q353</f>
        <v>-2693.0499999998719</v>
      </c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Novembre 2025</v>
      </c>
      <c r="T356" s="10"/>
      <c r="U356" s="10"/>
      <c r="V356" s="13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t="20.25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3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08" t="s">
        <v>5</v>
      </c>
      <c r="E358" s="509"/>
      <c r="F358" s="510"/>
      <c r="G358" s="511"/>
      <c r="H358" s="509"/>
      <c r="I358" s="510"/>
      <c r="J358" s="511" t="s">
        <v>7</v>
      </c>
      <c r="K358" s="509"/>
      <c r="L358" s="510"/>
      <c r="M358" s="511"/>
      <c r="N358" s="510"/>
      <c r="O358" s="508" t="s">
        <v>8</v>
      </c>
      <c r="P358" s="509"/>
      <c r="Q358" s="510"/>
      <c r="R358" s="511" t="s">
        <v>9</v>
      </c>
      <c r="S358" s="512"/>
      <c r="T358" s="10"/>
      <c r="U358" s="10"/>
      <c r="V358" s="13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4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V359" s="13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7.75" hidden="1" thickTop="1">
      <c r="A360" t="str">
        <f t="shared" si="84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V360" s="239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4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V361" s="13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4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5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V362" s="13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4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V363" s="13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4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V364" s="13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4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V365" s="13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4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6">L366-Q366</f>
        <v>0</v>
      </c>
      <c r="T366" s="10"/>
      <c r="U366" s="10"/>
      <c r="V366" s="13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4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6"/>
        <v>0</v>
      </c>
      <c r="T367" s="10"/>
      <c r="U367" s="10"/>
      <c r="V367" s="13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4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6"/>
        <v>0</v>
      </c>
      <c r="T368" s="10"/>
      <c r="U368" s="10"/>
      <c r="V368" s="13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4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6"/>
        <v>0</v>
      </c>
      <c r="T369" s="10"/>
      <c r="U369" s="10"/>
      <c r="V369" s="13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4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6"/>
        <v>0</v>
      </c>
      <c r="T370" s="10"/>
      <c r="U370" s="10"/>
      <c r="V370" s="13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4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6"/>
        <v>0</v>
      </c>
      <c r="T371" s="10"/>
      <c r="U371" s="10"/>
      <c r="V371" s="13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4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6"/>
        <v>0</v>
      </c>
      <c r="T372" s="10"/>
      <c r="U372" s="10"/>
      <c r="V372" s="13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4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6"/>
        <v>0</v>
      </c>
      <c r="T373" s="10"/>
      <c r="U373" s="10"/>
      <c r="V373" s="13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4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6"/>
        <v>0</v>
      </c>
      <c r="T374" s="10"/>
      <c r="U374" s="10"/>
      <c r="V374" s="13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4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6"/>
        <v>0</v>
      </c>
      <c r="T375" s="10"/>
      <c r="U375" s="10"/>
      <c r="V375" s="13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4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6"/>
        <v>0</v>
      </c>
      <c r="T376" s="10"/>
      <c r="U376" s="10"/>
      <c r="V376" s="13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4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6"/>
        <v>0</v>
      </c>
      <c r="T377" s="10"/>
      <c r="U377" s="10"/>
      <c r="V377" s="13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4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6"/>
        <v>0</v>
      </c>
      <c r="T378" s="10"/>
      <c r="U378" s="10"/>
      <c r="V378" s="13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4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6"/>
        <v>0</v>
      </c>
      <c r="T379" s="10"/>
      <c r="U379" s="10"/>
      <c r="V379" s="13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4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6"/>
        <v>0</v>
      </c>
      <c r="T380" s="10"/>
      <c r="U380" s="10"/>
      <c r="V380" s="13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4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6"/>
        <v>0</v>
      </c>
      <c r="T381" s="10"/>
      <c r="U381" s="10"/>
      <c r="V381" s="13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4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6"/>
        <v>0</v>
      </c>
      <c r="T382" s="10"/>
      <c r="U382" s="10"/>
      <c r="V382" s="13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4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6"/>
        <v>0</v>
      </c>
      <c r="T383" s="10"/>
      <c r="U383" s="10"/>
      <c r="V383" s="13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4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6"/>
        <v>0</v>
      </c>
      <c r="T384" s="10"/>
      <c r="U384" s="10"/>
      <c r="V384" s="13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4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6"/>
        <v>0</v>
      </c>
      <c r="T385" s="10"/>
      <c r="U385" s="10"/>
      <c r="V385" s="13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4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6"/>
        <v>0</v>
      </c>
      <c r="T386" s="10"/>
      <c r="U386" s="10"/>
      <c r="V386" s="13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4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6"/>
        <v>0</v>
      </c>
      <c r="T387" s="10"/>
      <c r="U387" s="10"/>
      <c r="V387" s="13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4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6"/>
        <v>0</v>
      </c>
      <c r="T388" s="10"/>
      <c r="U388" s="10"/>
      <c r="V388" s="13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4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6"/>
        <v>0</v>
      </c>
      <c r="T389" s="10"/>
      <c r="U389" s="10"/>
      <c r="V389" s="13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4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6"/>
        <v>0</v>
      </c>
      <c r="T390" s="10"/>
      <c r="U390" s="10"/>
      <c r="V390" s="13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4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6"/>
        <v>0</v>
      </c>
      <c r="T391" s="10"/>
      <c r="U391" s="10"/>
      <c r="V391" s="13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4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6"/>
        <v>0</v>
      </c>
      <c r="T392" s="10"/>
      <c r="U392" s="10"/>
      <c r="V392" s="13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4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6"/>
        <v>0</v>
      </c>
      <c r="T393" s="10"/>
      <c r="U393" s="10"/>
      <c r="V393" s="13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4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6"/>
        <v>0</v>
      </c>
      <c r="T394" s="10"/>
      <c r="U394" s="10"/>
      <c r="V394" s="13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V395" s="13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V396" s="13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V397" s="13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V398" s="13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V399" s="13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115307.54075850762</v>
      </c>
      <c r="G401" s="13"/>
      <c r="H401" s="13"/>
      <c r="I401" s="13"/>
      <c r="J401" s="13"/>
      <c r="K401" s="13"/>
      <c r="L401" s="82">
        <f>L353+L289+L233</f>
        <v>126431.25</v>
      </c>
      <c r="M401" s="13"/>
      <c r="N401" s="13"/>
      <c r="O401" s="13"/>
      <c r="P401" s="13"/>
      <c r="Q401" s="13"/>
      <c r="R401" s="13"/>
      <c r="S401" s="13"/>
      <c r="T401" s="10"/>
      <c r="U401" s="10"/>
      <c r="V401" s="13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Novembre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3" t="s">
        <v>117</v>
      </c>
      <c r="Y404" s="506"/>
      <c r="Z404" s="514"/>
      <c r="AA404" s="505"/>
      <c r="AB404" s="506"/>
      <c r="AC404" s="514"/>
      <c r="AD404" s="505" t="s">
        <v>7</v>
      </c>
      <c r="AE404" s="506"/>
      <c r="AF404" s="514"/>
      <c r="AG404" s="505" t="s">
        <v>213</v>
      </c>
      <c r="AH404" s="506"/>
      <c r="AI404" s="514"/>
      <c r="AJ404" s="505" t="s">
        <v>118</v>
      </c>
      <c r="AK404" s="506"/>
      <c r="AL404" s="506"/>
      <c r="AM404" s="505" t="s">
        <v>119</v>
      </c>
      <c r="AN404" s="506"/>
      <c r="AO404" s="507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7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7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3866436.0737336539</v>
      </c>
      <c r="AA406" s="263"/>
      <c r="AB406" s="263"/>
      <c r="AC406" s="264"/>
      <c r="AD406" s="265"/>
      <c r="AE406" s="266"/>
      <c r="AF406" s="266">
        <f>L5+L93+K194+K250+J314+J362</f>
        <v>3549743.8400000003</v>
      </c>
      <c r="AG406" s="265"/>
      <c r="AH406" s="266"/>
      <c r="AI406" s="267"/>
      <c r="AJ406" s="265"/>
      <c r="AK406" s="266"/>
      <c r="AL406" s="266">
        <f>Q5+Q93+P194+P250+O314+O362</f>
        <v>4910909.9400000004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7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435746.48280109488</v>
      </c>
      <c r="AA407" s="271"/>
      <c r="AB407" s="271"/>
      <c r="AC407" s="272"/>
      <c r="AD407" s="273"/>
      <c r="AE407" s="274"/>
      <c r="AF407" s="274">
        <f>L27+L108+L194+L250+L314+L362</f>
        <v>429977.31000000011</v>
      </c>
      <c r="AG407" s="273"/>
      <c r="AH407" s="274">
        <f>AF407-Z407</f>
        <v>-5769.17280109477</v>
      </c>
      <c r="AI407" s="275">
        <f>AH407/Z407</f>
        <v>-1.3239746111107965E-2</v>
      </c>
      <c r="AJ407" s="273">
        <f>+AL407/AL406</f>
        <v>0.10090271172840921</v>
      </c>
      <c r="AK407" s="274"/>
      <c r="AL407" s="274">
        <f>Q27+Q108+Q194+Q250+Q314+Q362</f>
        <v>495524.12999999942</v>
      </c>
      <c r="AM407" s="276"/>
      <c r="AN407" s="274">
        <f>AF407-AL407</f>
        <v>-65546.819999999308</v>
      </c>
      <c r="AO407" s="277">
        <f>IF(AL407=0,0,AN407/AL407)</f>
        <v>-0.13227775608021225</v>
      </c>
      <c r="AP407" s="246"/>
      <c r="AQ407" s="246" t="s">
        <v>221</v>
      </c>
      <c r="AR407" s="310">
        <f>W27+W108+W194+W314</f>
        <v>0</v>
      </c>
      <c r="AS407" s="310">
        <f>AF407-AR407</f>
        <v>429977.31000000011</v>
      </c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7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7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88">Z409/(D$13+D$97)</f>
        <v>924.49230415952172</v>
      </c>
      <c r="Z409" s="280">
        <f t="shared" ref="Z409:Z414" si="89">+SUMIF($C:$C,$V409,F:F)</f>
        <v>33281.722949742783</v>
      </c>
      <c r="AA409" s="279"/>
      <c r="AB409" s="287"/>
      <c r="AC409" s="280"/>
      <c r="AD409" s="288"/>
      <c r="AE409" s="287">
        <f t="shared" ref="AE409:AE414" si="90">IF(AF409=0,0,AF409/(J$13+J$97))</f>
        <v>851.1648148148148</v>
      </c>
      <c r="AF409" s="280">
        <f t="shared" ref="AF409:AF415" si="91">+SUMIF($C:$C,$V409,L:L)</f>
        <v>22981.45</v>
      </c>
      <c r="AG409" s="281">
        <f t="shared" ref="AG409:AH424" si="92">AE409-Y409</f>
        <v>-73.327489344706919</v>
      </c>
      <c r="AH409" s="282">
        <f t="shared" si="92"/>
        <v>-10300.272949742783</v>
      </c>
      <c r="AI409" s="283">
        <f t="shared" ref="AI409:AI418" si="93">IF(Z409=0,0,AH409/Z409)</f>
        <v>-0.30948737135083892</v>
      </c>
      <c r="AJ409" s="288"/>
      <c r="AK409" s="282">
        <f t="shared" ref="AK409:AK418" si="94">AL409/(O$13+O$97)</f>
        <v>1334.7641025641026</v>
      </c>
      <c r="AL409" s="280">
        <f t="shared" ref="AL409:AL414" si="95">+SUMIF($C:$C,$V409,Q:Q)</f>
        <v>52055.8</v>
      </c>
      <c r="AM409" s="284">
        <f t="shared" ref="AM409:AM414" si="96">AE409-Y409</f>
        <v>-73.327489344706919</v>
      </c>
      <c r="AN409" s="282">
        <f t="shared" ref="AN409:AN414" si="97">AF409-AL409</f>
        <v>-29074.350000000002</v>
      </c>
      <c r="AO409" s="289">
        <f t="shared" ref="AO409:AO431" si="98">IF(AL409=0,0,AN409/AL409)</f>
        <v>-0.55852277748108758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7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88"/>
        <v>464.86458333333331</v>
      </c>
      <c r="Z410" s="264">
        <f t="shared" si="89"/>
        <v>16735.125</v>
      </c>
      <c r="AA410" s="263"/>
      <c r="AB410" s="291"/>
      <c r="AC410" s="264"/>
      <c r="AD410" s="292"/>
      <c r="AE410" s="291">
        <f t="shared" si="90"/>
        <v>306.2166666666667</v>
      </c>
      <c r="AF410" s="264">
        <f t="shared" si="91"/>
        <v>8267.85</v>
      </c>
      <c r="AG410" s="265">
        <f t="shared" si="92"/>
        <v>-158.64791666666662</v>
      </c>
      <c r="AH410" s="266">
        <f t="shared" si="92"/>
        <v>-8467.2749999999996</v>
      </c>
      <c r="AI410" s="293">
        <f t="shared" si="93"/>
        <v>-0.50595827637977009</v>
      </c>
      <c r="AJ410" s="292"/>
      <c r="AK410" s="266">
        <f t="shared" si="94"/>
        <v>832.63256410256406</v>
      </c>
      <c r="AL410" s="264">
        <f t="shared" si="95"/>
        <v>32472.67</v>
      </c>
      <c r="AM410" s="268">
        <f t="shared" si="96"/>
        <v>-158.64791666666662</v>
      </c>
      <c r="AN410" s="266">
        <f t="shared" si="97"/>
        <v>-24204.82</v>
      </c>
      <c r="AO410" s="294">
        <f t="shared" si="98"/>
        <v>-0.74539050838751486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7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88"/>
        <v>120.83333333333333</v>
      </c>
      <c r="Z411" s="280">
        <f t="shared" si="89"/>
        <v>4350</v>
      </c>
      <c r="AA411" s="279"/>
      <c r="AB411" s="287"/>
      <c r="AC411" s="280"/>
      <c r="AD411" s="288"/>
      <c r="AE411" s="287">
        <f t="shared" si="90"/>
        <v>107.88222222222221</v>
      </c>
      <c r="AF411" s="280">
        <f t="shared" si="91"/>
        <v>2912.8199999999997</v>
      </c>
      <c r="AG411" s="281">
        <f t="shared" si="92"/>
        <v>-12.951111111111118</v>
      </c>
      <c r="AH411" s="282">
        <f t="shared" si="92"/>
        <v>-1437.1800000000003</v>
      </c>
      <c r="AI411" s="283">
        <f t="shared" si="93"/>
        <v>-0.33038620689655179</v>
      </c>
      <c r="AJ411" s="288"/>
      <c r="AK411" s="282">
        <f t="shared" si="94"/>
        <v>100.09282051282051</v>
      </c>
      <c r="AL411" s="280">
        <f t="shared" si="95"/>
        <v>3903.62</v>
      </c>
      <c r="AM411" s="284">
        <f t="shared" si="96"/>
        <v>-12.951111111111118</v>
      </c>
      <c r="AN411" s="282">
        <f t="shared" si="97"/>
        <v>-990.80000000000018</v>
      </c>
      <c r="AO411" s="289">
        <f t="shared" si="98"/>
        <v>-0.25381568902710822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7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88"/>
        <v>68.583333333333329</v>
      </c>
      <c r="Z412" s="280">
        <f t="shared" si="89"/>
        <v>2469</v>
      </c>
      <c r="AA412" s="279"/>
      <c r="AB412" s="287"/>
      <c r="AC412" s="280"/>
      <c r="AD412" s="288"/>
      <c r="AE412" s="287">
        <f t="shared" si="90"/>
        <v>112.76444444444444</v>
      </c>
      <c r="AF412" s="280">
        <f t="shared" si="91"/>
        <v>3044.64</v>
      </c>
      <c r="AG412" s="281">
        <f t="shared" si="92"/>
        <v>44.181111111111107</v>
      </c>
      <c r="AH412" s="282">
        <f t="shared" si="92"/>
        <v>575.63999999999987</v>
      </c>
      <c r="AI412" s="283">
        <f t="shared" si="93"/>
        <v>0.23314702308626969</v>
      </c>
      <c r="AJ412" s="288"/>
      <c r="AK412" s="282">
        <f t="shared" si="94"/>
        <v>100.06769230769231</v>
      </c>
      <c r="AL412" s="280">
        <f t="shared" si="95"/>
        <v>3902.6400000000003</v>
      </c>
      <c r="AM412" s="284">
        <f t="shared" si="96"/>
        <v>44.181111111111107</v>
      </c>
      <c r="AN412" s="282">
        <f t="shared" si="97"/>
        <v>-858.00000000000045</v>
      </c>
      <c r="AO412" s="295">
        <f t="shared" si="98"/>
        <v>-0.21985117766435039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7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88"/>
        <v>88.472222222222229</v>
      </c>
      <c r="Z413" s="264">
        <f t="shared" si="89"/>
        <v>3185</v>
      </c>
      <c r="AA413" s="263"/>
      <c r="AB413" s="291"/>
      <c r="AC413" s="264"/>
      <c r="AD413" s="292"/>
      <c r="AE413" s="291">
        <f t="shared" si="90"/>
        <v>177.5137037037037</v>
      </c>
      <c r="AF413" s="264">
        <f t="shared" si="91"/>
        <v>4792.87</v>
      </c>
      <c r="AG413" s="265">
        <f t="shared" si="92"/>
        <v>89.041481481481469</v>
      </c>
      <c r="AH413" s="266">
        <f t="shared" si="92"/>
        <v>1607.87</v>
      </c>
      <c r="AI413" s="293">
        <f t="shared" si="93"/>
        <v>0.50482574568288852</v>
      </c>
      <c r="AJ413" s="292"/>
      <c r="AK413" s="266">
        <f t="shared" si="94"/>
        <v>110.06410256410257</v>
      </c>
      <c r="AL413" s="264">
        <f t="shared" si="95"/>
        <v>4292.5</v>
      </c>
      <c r="AM413" s="268">
        <f t="shared" si="96"/>
        <v>89.041481481481469</v>
      </c>
      <c r="AN413" s="266">
        <f t="shared" si="97"/>
        <v>500.36999999999989</v>
      </c>
      <c r="AO413" s="294">
        <f t="shared" si="98"/>
        <v>0.1165684333139196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7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88"/>
        <v>489.39950980392155</v>
      </c>
      <c r="Z414" s="280">
        <f t="shared" si="89"/>
        <v>17618.382352941175</v>
      </c>
      <c r="AA414" s="283"/>
      <c r="AB414" s="287"/>
      <c r="AC414" s="280"/>
      <c r="AD414" s="288"/>
      <c r="AE414" s="287">
        <f t="shared" si="90"/>
        <v>577.05962962962963</v>
      </c>
      <c r="AF414" s="280">
        <f t="shared" si="91"/>
        <v>15580.61</v>
      </c>
      <c r="AG414" s="281">
        <f t="shared" si="92"/>
        <v>87.66011982570808</v>
      </c>
      <c r="AH414" s="282">
        <f t="shared" si="92"/>
        <v>-2037.7723529411742</v>
      </c>
      <c r="AI414" s="283">
        <f t="shared" si="93"/>
        <v>-0.11566171695672121</v>
      </c>
      <c r="AJ414" s="288"/>
      <c r="AK414" s="282">
        <f t="shared" si="94"/>
        <v>501.10641025640751</v>
      </c>
      <c r="AL414" s="280">
        <f t="shared" si="95"/>
        <v>19543.149999999892</v>
      </c>
      <c r="AM414" s="284">
        <f t="shared" si="96"/>
        <v>87.66011982570808</v>
      </c>
      <c r="AN414" s="282">
        <f t="shared" si="97"/>
        <v>-3962.5399999998917</v>
      </c>
      <c r="AO414" s="289">
        <f t="shared" si="98"/>
        <v>-0.20275851129423422</v>
      </c>
      <c r="AP414" s="246"/>
      <c r="AQ414" s="246"/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7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88"/>
        <v>788.61292276229358</v>
      </c>
      <c r="Z415" s="280">
        <f>+SUMIF($C:$C,$V415,F:F)</f>
        <v>28390.065219442567</v>
      </c>
      <c r="AA415" s="279"/>
      <c r="AB415" s="287"/>
      <c r="AC415" s="280"/>
      <c r="AD415" s="288"/>
      <c r="AE415" s="287">
        <f>IF(AF415=0,0,AF415/(J$13+J$13))</f>
        <v>1449.9466666666667</v>
      </c>
      <c r="AF415" s="280">
        <f t="shared" si="91"/>
        <v>26099.040000000001</v>
      </c>
      <c r="AG415" s="281">
        <f t="shared" si="92"/>
        <v>661.33374390437314</v>
      </c>
      <c r="AH415" s="282">
        <f t="shared" si="92"/>
        <v>-2291.0252194425666</v>
      </c>
      <c r="AI415" s="283">
        <f t="shared" si="93"/>
        <v>-8.0698131608150994E-2</v>
      </c>
      <c r="AJ415" s="288"/>
      <c r="AK415" s="282">
        <f t="shared" si="94"/>
        <v>985.48846153846148</v>
      </c>
      <c r="AL415" s="280">
        <f>IFERROR(SUMIF($C:$C,$V415,Q:Q),0)</f>
        <v>38434.049999999996</v>
      </c>
      <c r="AM415" s="284">
        <f>AE415-Y415</f>
        <v>661.33374390437314</v>
      </c>
      <c r="AN415" s="282">
        <f>AF415-AL415</f>
        <v>-12335.009999999995</v>
      </c>
      <c r="AO415" s="294">
        <f t="shared" si="98"/>
        <v>-0.32093963555753285</v>
      </c>
      <c r="AP415" s="246"/>
      <c r="AQ415" s="246">
        <v>26099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>
      <c r="A416" t="str">
        <f t="shared" si="87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88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2"/>
        <v>0</v>
      </c>
      <c r="AH416" s="282">
        <f t="shared" si="92"/>
        <v>0</v>
      </c>
      <c r="AI416" s="283">
        <f t="shared" si="93"/>
        <v>0</v>
      </c>
      <c r="AJ416" s="288"/>
      <c r="AK416" s="282">
        <f t="shared" si="94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98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>
      <c r="A417" t="str">
        <f t="shared" si="87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88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2"/>
        <v>0</v>
      </c>
      <c r="AH417" s="282">
        <f t="shared" si="92"/>
        <v>0</v>
      </c>
      <c r="AI417" s="283">
        <f t="shared" si="93"/>
        <v>0</v>
      </c>
      <c r="AJ417" s="288"/>
      <c r="AK417" s="282">
        <f t="shared" si="94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98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>
      <c r="A418" t="str">
        <f t="shared" si="87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88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2"/>
        <v>0</v>
      </c>
      <c r="AH418" s="282">
        <f t="shared" si="92"/>
        <v>0</v>
      </c>
      <c r="AI418" s="283">
        <f t="shared" si="93"/>
        <v>0</v>
      </c>
      <c r="AJ418" s="288"/>
      <c r="AK418" s="282">
        <f t="shared" si="94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98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7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0.24332794344211767</v>
      </c>
      <c r="Y419" s="297"/>
      <c r="Z419" s="299">
        <f>SUM(Z409:Z418)</f>
        <v>106029.29552212651</v>
      </c>
      <c r="AA419" s="298"/>
      <c r="AB419" s="297"/>
      <c r="AC419" s="299"/>
      <c r="AD419" s="300">
        <f>AF419/AF407</f>
        <v>0.1946132459873289</v>
      </c>
      <c r="AE419" s="297"/>
      <c r="AF419" s="299">
        <f>SUM(AF409:AF418)</f>
        <v>83679.28</v>
      </c>
      <c r="AG419" s="301"/>
      <c r="AH419" s="302">
        <f t="shared" si="92"/>
        <v>-22350.015522126516</v>
      </c>
      <c r="AI419" s="298">
        <f>AH419/Z419</f>
        <v>-0.21079094614433655</v>
      </c>
      <c r="AJ419" s="300">
        <f>IF($AL$407=0,0,AL419/$AL$407)</f>
        <v>0.31200181916468944</v>
      </c>
      <c r="AK419" s="297"/>
      <c r="AL419" s="299">
        <f>SUM(AL409:AL418)</f>
        <v>154604.42999999988</v>
      </c>
      <c r="AM419" s="303"/>
      <c r="AN419" s="302">
        <f t="shared" ref="AN419:AN431" si="99">AF419-AL419</f>
        <v>-70925.149999999878</v>
      </c>
      <c r="AO419" s="277">
        <f t="shared" si="98"/>
        <v>-0.45875237857026435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7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13380.798880047158</v>
      </c>
      <c r="AA420" s="279"/>
      <c r="AB420" s="279"/>
      <c r="AC420" s="280"/>
      <c r="AD420" s="288"/>
      <c r="AE420" s="287"/>
      <c r="AF420" s="280">
        <v>9774.1</v>
      </c>
      <c r="AG420" s="281"/>
      <c r="AH420" s="282">
        <f t="shared" si="92"/>
        <v>-3606.6988800471572</v>
      </c>
      <c r="AI420" s="283">
        <f t="shared" ref="AI420:AI432" si="100">IF(Z420=0,0,AH420/Z420)</f>
        <v>-0.26954286604107797</v>
      </c>
      <c r="AJ420" s="288"/>
      <c r="AK420" s="279"/>
      <c r="AL420" s="280">
        <v>13343.38</v>
      </c>
      <c r="AM420" s="284"/>
      <c r="AN420" s="282">
        <f t="shared" si="99"/>
        <v>-3569.2799999999988</v>
      </c>
      <c r="AO420" s="289">
        <f t="shared" si="98"/>
        <v>-0.26749444293724672</v>
      </c>
      <c r="AP420" s="246"/>
      <c r="AQ420" s="246"/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7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1">+SUMIF($C:$C,$V421,F:F)</f>
        <v>31195.518272914826</v>
      </c>
      <c r="AA421" s="279"/>
      <c r="AB421" s="279"/>
      <c r="AC421" s="280"/>
      <c r="AD421" s="288"/>
      <c r="AE421" s="287"/>
      <c r="AF421" s="280">
        <f t="shared" ref="AF421:AF432" si="102">+SUMIF($C:$C,$V421,L:L)</f>
        <v>31470.15</v>
      </c>
      <c r="AG421" s="281"/>
      <c r="AH421" s="282">
        <f t="shared" si="92"/>
        <v>274.63172708517595</v>
      </c>
      <c r="AI421" s="283">
        <f t="shared" si="100"/>
        <v>8.8035635337920318E-3</v>
      </c>
      <c r="AJ421" s="288"/>
      <c r="AK421" s="279"/>
      <c r="AL421" s="280">
        <f t="shared" ref="AL421:AL429" si="103">+SUMIF($C:$C,$V421,Q:Q)</f>
        <v>32577.440000000002</v>
      </c>
      <c r="AM421" s="284"/>
      <c r="AN421" s="282">
        <f t="shared" si="99"/>
        <v>-1107.2900000000009</v>
      </c>
      <c r="AO421" s="289">
        <f t="shared" si="98"/>
        <v>-3.3989472469291654E-2</v>
      </c>
      <c r="AP421" s="246"/>
      <c r="AQ421" s="246"/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7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1"/>
        <v>19779.811302681992</v>
      </c>
      <c r="AA422" s="263"/>
      <c r="AB422" s="263"/>
      <c r="AC422" s="264"/>
      <c r="AD422" s="292"/>
      <c r="AE422" s="291"/>
      <c r="AF422" s="264">
        <f t="shared" si="102"/>
        <v>17818.32</v>
      </c>
      <c r="AG422" s="265"/>
      <c r="AH422" s="266">
        <f t="shared" si="92"/>
        <v>-1961.4913026819922</v>
      </c>
      <c r="AI422" s="293">
        <f t="shared" si="100"/>
        <v>-9.9166330389412208E-2</v>
      </c>
      <c r="AJ422" s="292"/>
      <c r="AK422" s="263"/>
      <c r="AL422" s="264">
        <f t="shared" si="103"/>
        <v>23025.23</v>
      </c>
      <c r="AM422" s="268"/>
      <c r="AN422" s="266">
        <f t="shared" si="99"/>
        <v>-5206.91</v>
      </c>
      <c r="AO422" s="269">
        <f t="shared" si="98"/>
        <v>-0.22613932629554623</v>
      </c>
      <c r="AP422" s="246"/>
      <c r="AQ422" s="246"/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7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1"/>
        <v>24794.256995455758</v>
      </c>
      <c r="AA423" s="279"/>
      <c r="AB423" s="279"/>
      <c r="AC423" s="280"/>
      <c r="AD423" s="288"/>
      <c r="AE423" s="287"/>
      <c r="AF423" s="280">
        <f t="shared" si="102"/>
        <v>35652.32</v>
      </c>
      <c r="AG423" s="281"/>
      <c r="AH423" s="282">
        <f t="shared" si="92"/>
        <v>10858.063004544241</v>
      </c>
      <c r="AI423" s="283">
        <f t="shared" si="100"/>
        <v>0.43792653300860296</v>
      </c>
      <c r="AJ423" s="288"/>
      <c r="AK423" s="279"/>
      <c r="AL423" s="280">
        <f t="shared" si="103"/>
        <v>29715.16</v>
      </c>
      <c r="AM423" s="284"/>
      <c r="AN423" s="282">
        <f t="shared" si="99"/>
        <v>5937.16</v>
      </c>
      <c r="AO423" s="289">
        <f t="shared" si="98"/>
        <v>0.19980239042966619</v>
      </c>
      <c r="AP423" s="246"/>
      <c r="AQ423" s="246"/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7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1"/>
        <v>13849.198777777778</v>
      </c>
      <c r="AA424" s="279"/>
      <c r="AB424" s="279"/>
      <c r="AC424" s="280"/>
      <c r="AD424" s="288"/>
      <c r="AE424" s="287"/>
      <c r="AF424" s="280">
        <f t="shared" si="102"/>
        <v>18518</v>
      </c>
      <c r="AG424" s="281"/>
      <c r="AH424" s="282">
        <f t="shared" si="92"/>
        <v>4668.8012222222223</v>
      </c>
      <c r="AI424" s="283">
        <f t="shared" si="100"/>
        <v>0.33711706338663522</v>
      </c>
      <c r="AJ424" s="288"/>
      <c r="AK424" s="279"/>
      <c r="AL424" s="280">
        <f t="shared" si="103"/>
        <v>15341.02</v>
      </c>
      <c r="AM424" s="284"/>
      <c r="AN424" s="282">
        <f t="shared" si="99"/>
        <v>3176.9799999999996</v>
      </c>
      <c r="AO424" s="289">
        <f t="shared" si="98"/>
        <v>0.20709053244178025</v>
      </c>
      <c r="AP424" s="246"/>
      <c r="AQ424" s="246"/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>
      <c r="A425" t="str">
        <f t="shared" si="87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1"/>
        <v>0</v>
      </c>
      <c r="AA425" s="279"/>
      <c r="AB425" s="279"/>
      <c r="AC425" s="282"/>
      <c r="AD425" s="288"/>
      <c r="AE425" s="287"/>
      <c r="AF425" s="280">
        <f t="shared" si="102"/>
        <v>0</v>
      </c>
      <c r="AG425" s="281"/>
      <c r="AH425" s="282">
        <f t="shared" ref="AH425:AH457" si="104">AF425-Z425</f>
        <v>0</v>
      </c>
      <c r="AI425" s="283">
        <f t="shared" si="100"/>
        <v>0</v>
      </c>
      <c r="AJ425" s="288"/>
      <c r="AK425" s="279"/>
      <c r="AL425" s="280">
        <f t="shared" si="103"/>
        <v>0</v>
      </c>
      <c r="AM425" s="284"/>
      <c r="AN425" s="282">
        <f t="shared" si="99"/>
        <v>0</v>
      </c>
      <c r="AO425" s="289">
        <f t="shared" si="98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>
      <c r="A426" t="str">
        <f t="shared" si="87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1"/>
        <v>0</v>
      </c>
      <c r="AA426" s="279"/>
      <c r="AB426" s="279"/>
      <c r="AC426" s="282"/>
      <c r="AD426" s="288"/>
      <c r="AE426" s="287"/>
      <c r="AF426" s="280">
        <f t="shared" si="102"/>
        <v>0</v>
      </c>
      <c r="AG426" s="281"/>
      <c r="AH426" s="282">
        <f t="shared" si="104"/>
        <v>0</v>
      </c>
      <c r="AI426" s="283">
        <f t="shared" si="100"/>
        <v>0</v>
      </c>
      <c r="AJ426" s="288"/>
      <c r="AK426" s="279"/>
      <c r="AL426" s="280">
        <f t="shared" si="103"/>
        <v>0</v>
      </c>
      <c r="AM426" s="284"/>
      <c r="AN426" s="282">
        <f t="shared" si="99"/>
        <v>0</v>
      </c>
      <c r="AO426" s="289">
        <f t="shared" si="98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>
      <c r="A427" t="str">
        <f t="shared" si="87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1"/>
        <v>0</v>
      </c>
      <c r="AA427" s="279"/>
      <c r="AB427" s="279"/>
      <c r="AC427" s="282"/>
      <c r="AD427" s="288"/>
      <c r="AE427" s="287"/>
      <c r="AF427" s="280">
        <f t="shared" si="102"/>
        <v>0</v>
      </c>
      <c r="AG427" s="281"/>
      <c r="AH427" s="282">
        <f t="shared" si="104"/>
        <v>0</v>
      </c>
      <c r="AI427" s="283">
        <f t="shared" si="100"/>
        <v>0</v>
      </c>
      <c r="AJ427" s="288"/>
      <c r="AK427" s="279"/>
      <c r="AL427" s="280">
        <f t="shared" si="103"/>
        <v>0</v>
      </c>
      <c r="AM427" s="284"/>
      <c r="AN427" s="282">
        <f t="shared" si="99"/>
        <v>0</v>
      </c>
      <c r="AO427" s="289">
        <f t="shared" si="98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7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1"/>
        <v>18586.731165233068</v>
      </c>
      <c r="AA428" s="263"/>
      <c r="AB428" s="263"/>
      <c r="AC428" s="264"/>
      <c r="AD428" s="292"/>
      <c r="AE428" s="291"/>
      <c r="AF428" s="264">
        <f t="shared" si="102"/>
        <v>16689.2</v>
      </c>
      <c r="AG428" s="265"/>
      <c r="AH428" s="266">
        <f t="shared" si="104"/>
        <v>-1897.5311652330674</v>
      </c>
      <c r="AI428" s="293">
        <f t="shared" si="100"/>
        <v>-0.1020906338163671</v>
      </c>
      <c r="AJ428" s="292"/>
      <c r="AK428" s="263"/>
      <c r="AL428" s="264">
        <f t="shared" si="103"/>
        <v>17886.45</v>
      </c>
      <c r="AM428" s="268"/>
      <c r="AN428" s="266">
        <f t="shared" si="99"/>
        <v>-1197.25</v>
      </c>
      <c r="AO428" s="294">
        <f t="shared" si="98"/>
        <v>-6.6936144399811021E-2</v>
      </c>
      <c r="AP428" s="475"/>
      <c r="AQ428" s="483"/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7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1"/>
        <v>23536.458486409265</v>
      </c>
      <c r="AA429" s="279"/>
      <c r="AB429" s="279"/>
      <c r="AC429" s="280"/>
      <c r="AD429" s="288"/>
      <c r="AE429" s="287"/>
      <c r="AF429" s="280">
        <f t="shared" si="102"/>
        <v>16234.37</v>
      </c>
      <c r="AG429" s="281"/>
      <c r="AH429" s="282">
        <f t="shared" si="104"/>
        <v>-7302.0884864092641</v>
      </c>
      <c r="AI429" s="283">
        <f>IF(Z429=0,0,AH429/Z429)</f>
        <v>-0.31024584648645137</v>
      </c>
      <c r="AJ429" s="288"/>
      <c r="AK429" s="279"/>
      <c r="AL429" s="280">
        <f t="shared" si="103"/>
        <v>22912.42</v>
      </c>
      <c r="AM429" s="284"/>
      <c r="AN429" s="282">
        <f t="shared" si="99"/>
        <v>-6678.0499999999975</v>
      </c>
      <c r="AO429" s="289">
        <f t="shared" si="98"/>
        <v>-0.29145982833764383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7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1"/>
        <v>14142.078060503422</v>
      </c>
      <c r="AA430" s="279"/>
      <c r="AB430" s="279"/>
      <c r="AC430" s="280"/>
      <c r="AD430" s="288"/>
      <c r="AE430" s="287"/>
      <c r="AF430" s="280">
        <f t="shared" si="102"/>
        <v>13522.46</v>
      </c>
      <c r="AG430" s="281"/>
      <c r="AH430" s="282">
        <f t="shared" si="104"/>
        <v>-619.61806050342238</v>
      </c>
      <c r="AI430" s="283">
        <f t="shared" si="100"/>
        <v>-4.3813791569565524E-2</v>
      </c>
      <c r="AJ430" s="288"/>
      <c r="AK430" s="279"/>
      <c r="AL430" s="280">
        <f>IFERROR(SUMIF($C:$C,$V430,Q:Q),0)</f>
        <v>7969.4400000000005</v>
      </c>
      <c r="AM430" s="284"/>
      <c r="AN430" s="282">
        <f t="shared" si="99"/>
        <v>5553.0199999999986</v>
      </c>
      <c r="AO430" s="289">
        <f t="shared" si="98"/>
        <v>0.69678923487723077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7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1"/>
        <v>3030.4452986793049</v>
      </c>
      <c r="AA431" s="279"/>
      <c r="AB431" s="279"/>
      <c r="AC431" s="280"/>
      <c r="AD431" s="288"/>
      <c r="AE431" s="287"/>
      <c r="AF431" s="280">
        <f t="shared" si="102"/>
        <v>2950.44</v>
      </c>
      <c r="AG431" s="281"/>
      <c r="AH431" s="282">
        <f t="shared" si="104"/>
        <v>-80.005298679304815</v>
      </c>
      <c r="AI431" s="306">
        <f t="shared" si="100"/>
        <v>-2.6400509098175057E-2</v>
      </c>
      <c r="AJ431" s="288"/>
      <c r="AK431" s="279"/>
      <c r="AL431" s="280">
        <f>IFERROR(SUMIF($C:$C,$V431,Q:Q),0)</f>
        <v>1966.2600000000002</v>
      </c>
      <c r="AM431" s="284"/>
      <c r="AN431" s="282">
        <f t="shared" si="99"/>
        <v>984.17999999999984</v>
      </c>
      <c r="AO431" s="294">
        <f t="shared" si="98"/>
        <v>0.5005340087272282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20.25" hidden="1">
      <c r="A432" t="str">
        <f t="shared" si="87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2"/>
        <v>0</v>
      </c>
      <c r="AG432" s="281"/>
      <c r="AH432" s="282">
        <f t="shared" si="104"/>
        <v>0</v>
      </c>
      <c r="AI432" s="283">
        <f t="shared" si="100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7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0.37245348762524716</v>
      </c>
      <c r="Y433" s="297"/>
      <c r="Z433" s="299">
        <f>SUM(Z420:Z432)</f>
        <v>162295.29723970257</v>
      </c>
      <c r="AA433" s="298"/>
      <c r="AB433" s="297"/>
      <c r="AC433" s="299"/>
      <c r="AD433" s="300">
        <f>AF433/AF407</f>
        <v>0.37822777206546071</v>
      </c>
      <c r="AE433" s="307"/>
      <c r="AF433" s="299">
        <f>SUM(AF420:AF432)</f>
        <v>162629.35999999999</v>
      </c>
      <c r="AG433" s="308"/>
      <c r="AH433" s="302">
        <f t="shared" si="104"/>
        <v>334.06276029741275</v>
      </c>
      <c r="AI433" s="298">
        <f>AH433/Z433</f>
        <v>2.0583637725744923E-3</v>
      </c>
      <c r="AJ433" s="300">
        <f>IF($AL$407=0,0,AL433/$AL$407)</f>
        <v>0.33244960240382287</v>
      </c>
      <c r="AK433" s="297"/>
      <c r="AL433" s="299">
        <f>SUM(AL420:AL432)</f>
        <v>164736.80000000005</v>
      </c>
      <c r="AM433" s="309"/>
      <c r="AN433" s="302">
        <f t="shared" ref="AN433:AN447" si="105">AF433-AL433</f>
        <v>-2107.4400000000605</v>
      </c>
      <c r="AO433" s="277">
        <f>IF(AL433=0,0,AN433/AL433)</f>
        <v>-1.2792770042880887E-2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7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6">+SUMIF($C:$C,$V434,F:F)</f>
        <v>10405.950418322167</v>
      </c>
      <c r="AA434" s="312"/>
      <c r="AB434" s="312"/>
      <c r="AC434" s="313"/>
      <c r="AD434" s="314"/>
      <c r="AE434" s="315"/>
      <c r="AF434" s="313">
        <f t="shared" ref="AF434:AF451" si="107">+SUMIF($C:$C,$V434,L:L)</f>
        <v>22662.58</v>
      </c>
      <c r="AG434" s="314"/>
      <c r="AH434" s="316">
        <f t="shared" si="104"/>
        <v>12256.629581677835</v>
      </c>
      <c r="AI434" s="317">
        <f t="shared" ref="AI434:AI451" si="108">IF(Z434=0,0,AH434/Z434)</f>
        <v>1.177848162729769</v>
      </c>
      <c r="AJ434" s="314"/>
      <c r="AK434" s="312"/>
      <c r="AL434" s="313">
        <f t="shared" ref="AL434:AL448" si="109">+SUMIF($C:$C,$V434,Q:Q)</f>
        <v>15355.34</v>
      </c>
      <c r="AM434" s="318"/>
      <c r="AN434" s="316">
        <f t="shared" si="105"/>
        <v>7307.2400000000016</v>
      </c>
      <c r="AO434" s="285">
        <f t="shared" ref="AO434:AO447" si="110">IF(AL434=0,0,AN434/AL434)</f>
        <v>0.47587614471577977</v>
      </c>
      <c r="AP434" s="246"/>
      <c r="AQ434" s="246">
        <v>22663</v>
      </c>
      <c r="AR434" s="246"/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7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6"/>
        <v>3333.3333333333335</v>
      </c>
      <c r="AA435" s="279"/>
      <c r="AB435" s="279"/>
      <c r="AC435" s="280"/>
      <c r="AD435" s="288"/>
      <c r="AE435" s="287"/>
      <c r="AF435" s="280">
        <f t="shared" si="107"/>
        <v>8563.75</v>
      </c>
      <c r="AG435" s="281"/>
      <c r="AH435" s="282">
        <f t="shared" si="104"/>
        <v>5230.4166666666661</v>
      </c>
      <c r="AI435" s="283">
        <f t="shared" si="108"/>
        <v>1.5691249999999997</v>
      </c>
      <c r="AJ435" s="288"/>
      <c r="AK435" s="279"/>
      <c r="AL435" s="280">
        <f t="shared" si="109"/>
        <v>4650.79</v>
      </c>
      <c r="AM435" s="284"/>
      <c r="AN435" s="282">
        <f t="shared" si="105"/>
        <v>3912.96</v>
      </c>
      <c r="AO435" s="289">
        <f t="shared" si="110"/>
        <v>0.84135383450983603</v>
      </c>
      <c r="AP435" s="246"/>
      <c r="AQ435" s="246">
        <v>8564</v>
      </c>
      <c r="AR435" s="246" t="s">
        <v>255</v>
      </c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7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6"/>
        <v>20211.333333333332</v>
      </c>
      <c r="AA436" s="263"/>
      <c r="AB436" s="263"/>
      <c r="AC436" s="264"/>
      <c r="AD436" s="292"/>
      <c r="AE436" s="291"/>
      <c r="AF436" s="264">
        <f t="shared" si="107"/>
        <v>24582.52</v>
      </c>
      <c r="AG436" s="265"/>
      <c r="AH436" s="266">
        <f t="shared" si="104"/>
        <v>4371.1866666666683</v>
      </c>
      <c r="AI436" s="293">
        <f t="shared" si="108"/>
        <v>0.21627403766863484</v>
      </c>
      <c r="AJ436" s="292"/>
      <c r="AK436" s="263"/>
      <c r="AL436" s="264">
        <f t="shared" si="109"/>
        <v>26018.779999999992</v>
      </c>
      <c r="AM436" s="268"/>
      <c r="AN436" s="266">
        <f t="shared" si="105"/>
        <v>-1436.2599999999911</v>
      </c>
      <c r="AO436" s="269">
        <f t="shared" si="110"/>
        <v>-5.5200897198100431E-2</v>
      </c>
      <c r="AP436" s="246"/>
      <c r="AQ436" s="485">
        <v>24583</v>
      </c>
      <c r="AR436" s="485"/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7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6"/>
        <v>14164</v>
      </c>
      <c r="AA437" s="279"/>
      <c r="AB437" s="279"/>
      <c r="AC437" s="280"/>
      <c r="AD437" s="288"/>
      <c r="AE437" s="287"/>
      <c r="AF437" s="280">
        <f t="shared" si="107"/>
        <v>13829.100000000002</v>
      </c>
      <c r="AG437" s="281"/>
      <c r="AH437" s="282">
        <f>AF437-Z437</f>
        <v>-334.89999999999782</v>
      </c>
      <c r="AI437" s="283">
        <f t="shared" si="108"/>
        <v>-2.36444507201354E-2</v>
      </c>
      <c r="AJ437" s="288"/>
      <c r="AK437" s="279"/>
      <c r="AL437" s="280">
        <f t="shared" si="109"/>
        <v>13448.39</v>
      </c>
      <c r="AM437" s="284"/>
      <c r="AN437" s="282">
        <f t="shared" si="105"/>
        <v>380.71000000000276</v>
      </c>
      <c r="AO437" s="289">
        <f t="shared" si="110"/>
        <v>2.8308964864939432E-2</v>
      </c>
      <c r="AP437" s="485"/>
      <c r="AQ437" s="494">
        <v>13829</v>
      </c>
      <c r="AR437" s="494"/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7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6"/>
        <v>1833.3333333333335</v>
      </c>
      <c r="AA438" s="279"/>
      <c r="AB438" s="279"/>
      <c r="AC438" s="280"/>
      <c r="AD438" s="288"/>
      <c r="AE438" s="287"/>
      <c r="AF438" s="280">
        <f t="shared" si="107"/>
        <v>2800.5899999999997</v>
      </c>
      <c r="AG438" s="281"/>
      <c r="AH438" s="282">
        <f t="shared" si="104"/>
        <v>967.25666666666621</v>
      </c>
      <c r="AI438" s="283">
        <f t="shared" si="108"/>
        <v>0.52759454545454521</v>
      </c>
      <c r="AJ438" s="288"/>
      <c r="AK438" s="279"/>
      <c r="AL438" s="280">
        <f t="shared" si="109"/>
        <v>1920.1400000000003</v>
      </c>
      <c r="AM438" s="284"/>
      <c r="AN438" s="282">
        <f t="shared" si="105"/>
        <v>880.44999999999936</v>
      </c>
      <c r="AO438" s="289">
        <f t="shared" si="110"/>
        <v>0.45853427354255377</v>
      </c>
      <c r="AP438" s="485"/>
      <c r="AQ438" s="246">
        <v>2801</v>
      </c>
      <c r="AR438" s="494" t="s">
        <v>256</v>
      </c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7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6"/>
        <v>11716</v>
      </c>
      <c r="AA439" s="279"/>
      <c r="AB439" s="279"/>
      <c r="AC439" s="280"/>
      <c r="AD439" s="288"/>
      <c r="AE439" s="287"/>
      <c r="AF439" s="280">
        <f t="shared" si="107"/>
        <v>9903.2800000000007</v>
      </c>
      <c r="AG439" s="281"/>
      <c r="AH439" s="282">
        <f t="shared" si="104"/>
        <v>-1812.7199999999993</v>
      </c>
      <c r="AI439" s="283">
        <f t="shared" si="108"/>
        <v>-0.15472174803687261</v>
      </c>
      <c r="AJ439" s="288"/>
      <c r="AK439" s="279"/>
      <c r="AL439" s="280">
        <f t="shared" si="109"/>
        <v>14739.76</v>
      </c>
      <c r="AM439" s="284"/>
      <c r="AN439" s="282">
        <f t="shared" si="105"/>
        <v>-4836.4799999999996</v>
      </c>
      <c r="AO439" s="289">
        <f t="shared" si="110"/>
        <v>-0.32812474558608823</v>
      </c>
      <c r="AP439" s="246"/>
      <c r="AQ439" s="485">
        <v>9903</v>
      </c>
      <c r="AR439" s="485"/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 hidden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6"/>
        <v>0</v>
      </c>
      <c r="AA440" s="320"/>
      <c r="AB440" s="320"/>
      <c r="AC440" s="321"/>
      <c r="AD440" s="322"/>
      <c r="AE440" s="323"/>
      <c r="AF440" s="321">
        <f t="shared" si="107"/>
        <v>0</v>
      </c>
      <c r="AG440" s="324"/>
      <c r="AH440" s="325">
        <f t="shared" si="104"/>
        <v>0</v>
      </c>
      <c r="AI440" s="326">
        <f t="shared" si="108"/>
        <v>0</v>
      </c>
      <c r="AJ440" s="322"/>
      <c r="AK440" s="320"/>
      <c r="AL440" s="321">
        <f t="shared" si="109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7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6"/>
        <v>1167.5</v>
      </c>
      <c r="AA441" s="279"/>
      <c r="AB441" s="287"/>
      <c r="AC441" s="280"/>
      <c r="AD441" s="288"/>
      <c r="AE441" s="287"/>
      <c r="AF441" s="280">
        <f t="shared" si="107"/>
        <v>3847.89</v>
      </c>
      <c r="AG441" s="281"/>
      <c r="AH441" s="282">
        <f t="shared" si="104"/>
        <v>2680.39</v>
      </c>
      <c r="AI441" s="283">
        <f t="shared" si="108"/>
        <v>2.2958372591006424</v>
      </c>
      <c r="AJ441" s="288"/>
      <c r="AK441" s="279"/>
      <c r="AL441" s="280">
        <f t="shared" si="109"/>
        <v>612.36000000000013</v>
      </c>
      <c r="AM441" s="284"/>
      <c r="AN441" s="282">
        <f t="shared" si="105"/>
        <v>3235.5299999999997</v>
      </c>
      <c r="AO441" s="289">
        <f t="shared" si="110"/>
        <v>5.283705663335291</v>
      </c>
      <c r="AP441" s="246"/>
      <c r="AQ441" s="246">
        <v>3848</v>
      </c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7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6"/>
        <v>1060</v>
      </c>
      <c r="AA442" s="279"/>
      <c r="AB442" s="279"/>
      <c r="AC442" s="280"/>
      <c r="AD442" s="288"/>
      <c r="AE442" s="287"/>
      <c r="AF442" s="280">
        <f t="shared" si="107"/>
        <v>2874.18</v>
      </c>
      <c r="AG442" s="281"/>
      <c r="AH442" s="282">
        <f t="shared" si="104"/>
        <v>1814.1799999999998</v>
      </c>
      <c r="AI442" s="306">
        <f t="shared" si="108"/>
        <v>1.7114905660377357</v>
      </c>
      <c r="AJ442" s="288"/>
      <c r="AK442" s="279"/>
      <c r="AL442" s="280">
        <f t="shared" si="109"/>
        <v>2026.62</v>
      </c>
      <c r="AM442" s="284"/>
      <c r="AN442" s="282">
        <f t="shared" si="105"/>
        <v>847.56</v>
      </c>
      <c r="AO442" s="289">
        <f t="shared" si="110"/>
        <v>0.41821357728631908</v>
      </c>
      <c r="AP442" s="246"/>
      <c r="AQ442" s="246">
        <v>2874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6"/>
        <v>1575</v>
      </c>
      <c r="AA443" s="279"/>
      <c r="AB443" s="279"/>
      <c r="AC443" s="280"/>
      <c r="AD443" s="288"/>
      <c r="AE443" s="287"/>
      <c r="AF443" s="280">
        <f t="shared" si="107"/>
        <v>1357.94</v>
      </c>
      <c r="AG443" s="281"/>
      <c r="AH443" s="282">
        <f t="shared" si="104"/>
        <v>-217.05999999999995</v>
      </c>
      <c r="AI443" s="283">
        <f t="shared" si="108"/>
        <v>-0.13781587301587298</v>
      </c>
      <c r="AJ443" s="288"/>
      <c r="AK443" s="279"/>
      <c r="AL443" s="280">
        <f t="shared" si="109"/>
        <v>1644.41</v>
      </c>
      <c r="AM443" s="284"/>
      <c r="AN443" s="282">
        <f t="shared" si="105"/>
        <v>-286.47000000000003</v>
      </c>
      <c r="AO443" s="289">
        <f t="shared" si="110"/>
        <v>-0.17420837868901309</v>
      </c>
      <c r="AP443" s="246"/>
      <c r="AQ443" s="246">
        <v>1358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7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6"/>
        <v>512</v>
      </c>
      <c r="AA444" s="279"/>
      <c r="AB444" s="279"/>
      <c r="AC444" s="280"/>
      <c r="AD444" s="288"/>
      <c r="AE444" s="287"/>
      <c r="AF444" s="280">
        <f t="shared" si="107"/>
        <v>503.67999999999995</v>
      </c>
      <c r="AG444" s="281"/>
      <c r="AH444" s="282">
        <f t="shared" si="104"/>
        <v>-8.32000000000005</v>
      </c>
      <c r="AI444" s="306">
        <f t="shared" si="108"/>
        <v>-1.6250000000000098E-2</v>
      </c>
      <c r="AJ444" s="288"/>
      <c r="AK444" s="279"/>
      <c r="AL444" s="280">
        <f t="shared" si="109"/>
        <v>987.09</v>
      </c>
      <c r="AM444" s="284"/>
      <c r="AN444" s="282">
        <f t="shared" si="105"/>
        <v>-483.41000000000008</v>
      </c>
      <c r="AO444" s="289">
        <f t="shared" si="110"/>
        <v>-0.48973244587626263</v>
      </c>
      <c r="AP444" s="246"/>
      <c r="AQ444" s="246">
        <v>504</v>
      </c>
      <c r="AR444" s="246"/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7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6"/>
        <v>950</v>
      </c>
      <c r="AA445" s="279"/>
      <c r="AB445" s="279"/>
      <c r="AC445" s="280"/>
      <c r="AD445" s="288"/>
      <c r="AE445" s="287"/>
      <c r="AF445" s="280">
        <f t="shared" si="107"/>
        <v>1170</v>
      </c>
      <c r="AG445" s="281"/>
      <c r="AH445" s="282">
        <f t="shared" si="104"/>
        <v>220</v>
      </c>
      <c r="AI445" s="283">
        <f t="shared" si="108"/>
        <v>0.23157894736842105</v>
      </c>
      <c r="AJ445" s="288"/>
      <c r="AK445" s="279"/>
      <c r="AL445" s="280">
        <f t="shared" si="109"/>
        <v>933.29</v>
      </c>
      <c r="AM445" s="284"/>
      <c r="AN445" s="282">
        <f t="shared" si="105"/>
        <v>236.71000000000004</v>
      </c>
      <c r="AO445" s="289">
        <f t="shared" si="110"/>
        <v>0.25362963280438028</v>
      </c>
      <c r="AP445" s="246"/>
      <c r="AQ445" s="246">
        <v>1170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7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6"/>
        <v>1741.0000000000002</v>
      </c>
      <c r="AA446" s="279"/>
      <c r="AB446" s="287"/>
      <c r="AC446" s="280"/>
      <c r="AD446" s="288"/>
      <c r="AE446" s="287"/>
      <c r="AF446" s="280">
        <f t="shared" si="107"/>
        <v>1327.49</v>
      </c>
      <c r="AG446" s="281"/>
      <c r="AH446" s="282">
        <f t="shared" si="104"/>
        <v>-413.51000000000022</v>
      </c>
      <c r="AI446" s="306">
        <f t="shared" si="108"/>
        <v>-0.23751292360712245</v>
      </c>
      <c r="AJ446" s="288"/>
      <c r="AK446" s="279"/>
      <c r="AL446" s="280">
        <f t="shared" si="109"/>
        <v>1643.9999999999998</v>
      </c>
      <c r="AM446" s="284"/>
      <c r="AN446" s="282">
        <f t="shared" si="105"/>
        <v>-316.50999999999976</v>
      </c>
      <c r="AO446" s="289">
        <f t="shared" si="110"/>
        <v>-0.19252433090024318</v>
      </c>
      <c r="AP446" s="246"/>
      <c r="AQ446" s="246">
        <v>1327</v>
      </c>
      <c r="AR446" s="485"/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7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6"/>
        <v>2582.3544666666662</v>
      </c>
      <c r="AA447" s="279"/>
      <c r="AB447" s="287"/>
      <c r="AC447" s="280"/>
      <c r="AD447" s="288"/>
      <c r="AE447" s="287"/>
      <c r="AF447" s="280">
        <f t="shared" si="107"/>
        <v>2842.5300000000007</v>
      </c>
      <c r="AG447" s="281"/>
      <c r="AH447" s="282">
        <f t="shared" si="104"/>
        <v>260.17553333333444</v>
      </c>
      <c r="AI447" s="283">
        <f t="shared" si="108"/>
        <v>0.10075128596469257</v>
      </c>
      <c r="AJ447" s="288"/>
      <c r="AK447" s="279"/>
      <c r="AL447" s="280">
        <f t="shared" si="109"/>
        <v>2468.7299999999996</v>
      </c>
      <c r="AM447" s="284"/>
      <c r="AN447" s="282">
        <f t="shared" si="105"/>
        <v>373.80000000000109</v>
      </c>
      <c r="AO447" s="289">
        <f t="shared" si="110"/>
        <v>0.15141388487197918</v>
      </c>
      <c r="AP447" s="246"/>
      <c r="AQ447" s="246">
        <v>2843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7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1.65E-3</v>
      </c>
      <c r="Z448" s="280">
        <f t="shared" si="106"/>
        <v>6379.6195216605292</v>
      </c>
      <c r="AA448" s="279"/>
      <c r="AB448" s="287"/>
      <c r="AC448" s="280"/>
      <c r="AD448" s="288"/>
      <c r="AE448" s="287"/>
      <c r="AF448" s="280">
        <f t="shared" si="107"/>
        <v>10016.199999999999</v>
      </c>
      <c r="AG448" s="281"/>
      <c r="AH448" s="282">
        <f t="shared" si="104"/>
        <v>3636.5804783394697</v>
      </c>
      <c r="AI448" s="283">
        <f t="shared" si="108"/>
        <v>0.57003093460233767</v>
      </c>
      <c r="AJ448" s="288"/>
      <c r="AK448" s="279"/>
      <c r="AL448" s="280">
        <f t="shared" si="109"/>
        <v>10642.349999999999</v>
      </c>
      <c r="AM448" s="284"/>
      <c r="AN448" s="282">
        <f>AF448-AL448</f>
        <v>-626.14999999999964</v>
      </c>
      <c r="AO448" s="289">
        <f>IF(AL448=0,0,AN448/AL448)</f>
        <v>-5.8835689485874802E-2</v>
      </c>
      <c r="AP448" s="246"/>
      <c r="AQ448" s="246">
        <v>10016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>
      <c r="A449" t="str">
        <f t="shared" si="87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7"/>
        <v>0</v>
      </c>
      <c r="AG449" s="281"/>
      <c r="AH449" s="282">
        <f t="shared" si="104"/>
        <v>0</v>
      </c>
      <c r="AI449" s="283">
        <f t="shared" si="108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>
      <c r="A450" t="str">
        <f t="shared" si="87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7"/>
        <v>0</v>
      </c>
      <c r="AG450" s="281"/>
      <c r="AH450" s="282">
        <f t="shared" si="104"/>
        <v>0</v>
      </c>
      <c r="AI450" s="283">
        <f t="shared" si="108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>
      <c r="A451" t="str">
        <f t="shared" si="87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7"/>
        <v>0</v>
      </c>
      <c r="AG451" s="281"/>
      <c r="AH451" s="282">
        <f t="shared" si="104"/>
        <v>0</v>
      </c>
      <c r="AI451" s="283">
        <f t="shared" si="108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7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0.17815731731811998</v>
      </c>
      <c r="Y452" s="297"/>
      <c r="Z452" s="299">
        <f>+SUM(Z434:Z451)</f>
        <v>77631.42440664937</v>
      </c>
      <c r="AA452" s="298"/>
      <c r="AB452" s="297"/>
      <c r="AC452" s="299"/>
      <c r="AD452" s="300">
        <f>AF452/AF407</f>
        <v>0.24717985700222175</v>
      </c>
      <c r="AE452" s="297"/>
      <c r="AF452" s="299">
        <f>+SUM(AF434:AF451)</f>
        <v>106281.73</v>
      </c>
      <c r="AG452" s="308"/>
      <c r="AH452" s="302">
        <f>+SUM(AH434:AH451)</f>
        <v>28650.30559335064</v>
      </c>
      <c r="AI452" s="298">
        <f>AH452/Z452</f>
        <v>0.36905551859095675</v>
      </c>
      <c r="AJ452" s="300">
        <f>IF($AL$407=0,0,AL452/$AL$407)</f>
        <v>0.19593808680921365</v>
      </c>
      <c r="AK452" s="298"/>
      <c r="AL452" s="299">
        <f>+SUM(AL434:AL451)</f>
        <v>97092.049999999959</v>
      </c>
      <c r="AM452" s="309"/>
      <c r="AN452" s="302">
        <f>+SUM(AN434:AN451)</f>
        <v>9189.680000000013</v>
      </c>
      <c r="AO452" s="331">
        <f>IF(AL452=0,0,AN452/AL452)</f>
        <v>9.4649149956150036E-2</v>
      </c>
      <c r="AP452" s="246"/>
      <c r="AQ452" s="246"/>
      <c r="AR452" s="310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7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50000</v>
      </c>
      <c r="AG453" s="281"/>
      <c r="AH453" s="282">
        <f t="shared" ref="AH453:AH461" si="111">AF453-Z453</f>
        <v>0</v>
      </c>
      <c r="AI453" s="283">
        <f t="shared" ref="AI453:AI461" si="112">IF(Z453=0,0,AH453/Z453)</f>
        <v>0</v>
      </c>
      <c r="AJ453" s="288"/>
      <c r="AK453" s="279"/>
      <c r="AL453" s="280">
        <v>50000</v>
      </c>
      <c r="AM453" s="284"/>
      <c r="AN453" s="282">
        <f>AF453-AL453</f>
        <v>0</v>
      </c>
      <c r="AO453" s="289">
        <f t="shared" ref="AO453:AO461" si="113">IF(AL453=0,0,AN453/AL453)</f>
        <v>0</v>
      </c>
      <c r="AP453" s="246"/>
      <c r="AQ453" s="486">
        <v>50000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7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6168.3600000000006</v>
      </c>
      <c r="AG454" s="281"/>
      <c r="AH454" s="282">
        <f t="shared" si="111"/>
        <v>235.29000000000087</v>
      </c>
      <c r="AI454" s="283">
        <f t="shared" si="112"/>
        <v>3.9657378052172128E-2</v>
      </c>
      <c r="AJ454" s="288"/>
      <c r="AK454" s="279"/>
      <c r="AL454" s="280">
        <v>5535.51</v>
      </c>
      <c r="AM454" s="284"/>
      <c r="AN454" s="282">
        <f t="shared" ref="AN454:AN461" si="114">AF454-AL454</f>
        <v>632.85000000000036</v>
      </c>
      <c r="AO454" s="289">
        <f t="shared" si="113"/>
        <v>0.11432550930266594</v>
      </c>
      <c r="AP454" s="246"/>
      <c r="AQ454" s="486">
        <v>6168</v>
      </c>
      <c r="AR454" s="310"/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7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2643.58</v>
      </c>
      <c r="AG455" s="265"/>
      <c r="AH455" s="266">
        <f t="shared" si="111"/>
        <v>100.82999999999993</v>
      </c>
      <c r="AI455" s="293">
        <f t="shared" si="112"/>
        <v>3.9653918002162981E-2</v>
      </c>
      <c r="AJ455" s="292"/>
      <c r="AK455" s="263"/>
      <c r="AL455" s="264">
        <v>2372.3599999999901</v>
      </c>
      <c r="AM455" s="268"/>
      <c r="AN455" s="266">
        <f t="shared" si="114"/>
        <v>271.2200000000098</v>
      </c>
      <c r="AO455" s="269">
        <f t="shared" si="113"/>
        <v>0.11432497597329702</v>
      </c>
      <c r="AP455" s="246"/>
      <c r="AQ455" s="486">
        <v>2644</v>
      </c>
      <c r="AR455" s="310"/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 hidden="1">
      <c r="A456" t="str">
        <f t="shared" si="87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1"/>
        <v>0</v>
      </c>
      <c r="AI456" s="283">
        <f t="shared" si="112"/>
        <v>0</v>
      </c>
      <c r="AJ456" s="288"/>
      <c r="AK456" s="279"/>
      <c r="AL456" s="280">
        <v>0</v>
      </c>
      <c r="AM456" s="284"/>
      <c r="AN456" s="282">
        <f t="shared" si="114"/>
        <v>0</v>
      </c>
      <c r="AO456" s="289">
        <f t="shared" si="11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7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4853.83</v>
      </c>
      <c r="AG457" s="265"/>
      <c r="AH457" s="266">
        <f t="shared" si="111"/>
        <v>-0.17000000000007276</v>
      </c>
      <c r="AI457" s="293">
        <f t="shared" si="112"/>
        <v>-3.5022661722305881E-5</v>
      </c>
      <c r="AJ457" s="292"/>
      <c r="AK457" s="263"/>
      <c r="AL457" s="264">
        <v>4349.75</v>
      </c>
      <c r="AM457" s="268"/>
      <c r="AN457" s="266">
        <f t="shared" si="114"/>
        <v>504.07999999999993</v>
      </c>
      <c r="AO457" s="269">
        <f t="shared" si="113"/>
        <v>0.11588711994942236</v>
      </c>
      <c r="AP457" s="246"/>
      <c r="AQ457" s="486">
        <v>4854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7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7266.5</v>
      </c>
      <c r="AG458" s="281"/>
      <c r="AH458" s="282">
        <f t="shared" si="111"/>
        <v>2266.5</v>
      </c>
      <c r="AI458" s="283">
        <f t="shared" si="112"/>
        <v>0.45329999999999998</v>
      </c>
      <c r="AJ458" s="288"/>
      <c r="AK458" s="279"/>
      <c r="AL458" s="280">
        <v>4522.5</v>
      </c>
      <c r="AM458" s="284"/>
      <c r="AN458" s="282">
        <f t="shared" si="114"/>
        <v>2744</v>
      </c>
      <c r="AO458" s="289">
        <f t="shared" si="113"/>
        <v>0.60674405749032612</v>
      </c>
      <c r="AP458" s="246"/>
      <c r="AQ458" s="246">
        <v>7267</v>
      </c>
      <c r="AR458" s="310"/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7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6307.33</v>
      </c>
      <c r="AG459" s="281"/>
      <c r="AH459" s="282">
        <f t="shared" si="111"/>
        <v>-234.0033333333331</v>
      </c>
      <c r="AI459" s="283">
        <f t="shared" si="112"/>
        <v>-3.5773033020790837E-2</v>
      </c>
      <c r="AJ459" s="288"/>
      <c r="AK459" s="279"/>
      <c r="AL459" s="280">
        <v>6307.33</v>
      </c>
      <c r="AM459" s="284"/>
      <c r="AN459" s="282">
        <f t="shared" si="114"/>
        <v>0</v>
      </c>
      <c r="AO459" s="289">
        <f t="shared" si="113"/>
        <v>0</v>
      </c>
      <c r="AP459" s="246"/>
      <c r="AQ459" s="486">
        <v>6307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7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0</v>
      </c>
      <c r="AG460" s="265"/>
      <c r="AH460" s="266">
        <f t="shared" si="111"/>
        <v>-433.33333333333331</v>
      </c>
      <c r="AI460" s="293">
        <f t="shared" si="112"/>
        <v>-1</v>
      </c>
      <c r="AJ460" s="292"/>
      <c r="AK460" s="263"/>
      <c r="AL460" s="264">
        <v>371.68</v>
      </c>
      <c r="AM460" s="268"/>
      <c r="AN460" s="266">
        <f t="shared" si="114"/>
        <v>-371.68</v>
      </c>
      <c r="AO460" s="269">
        <f t="shared" si="113"/>
        <v>-1</v>
      </c>
      <c r="AP460" s="246"/>
      <c r="AQ460" s="246">
        <v>0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7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863.42</v>
      </c>
      <c r="AG461" s="281"/>
      <c r="AH461" s="282">
        <f t="shared" si="111"/>
        <v>651.41999999999996</v>
      </c>
      <c r="AI461" s="335">
        <f t="shared" si="112"/>
        <v>3.072735849056603</v>
      </c>
      <c r="AJ461" s="279"/>
      <c r="AK461" s="279"/>
      <c r="AL461" s="280">
        <v>618.86</v>
      </c>
      <c r="AM461" s="284"/>
      <c r="AN461" s="282">
        <f t="shared" si="114"/>
        <v>244.55999999999995</v>
      </c>
      <c r="AO461" s="289">
        <f t="shared" si="113"/>
        <v>0.39517823094076193</v>
      </c>
      <c r="AP461" s="246"/>
      <c r="AQ461" s="246"/>
      <c r="AR461" s="310" t="s">
        <v>257</v>
      </c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 hidden="1">
      <c r="A462" t="str">
        <f t="shared" si="87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>
      <c r="A463" t="str">
        <f t="shared" si="87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>
      <c r="A464" t="str">
        <f t="shared" si="87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>
      <c r="A465" t="str">
        <f t="shared" si="87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7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0.17330372050561715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0.1816445151489505</v>
      </c>
      <c r="AE466" s="297"/>
      <c r="AF466" s="299">
        <f>SUM(AF453:AF465)</f>
        <v>78103.02</v>
      </c>
      <c r="AG466" s="308"/>
      <c r="AH466" s="302">
        <f>SUM(AH453:AH465)</f>
        <v>2586.5333333333342</v>
      </c>
      <c r="AI466" s="298">
        <f>IF(Z466=0,0,AH466/Z466)</f>
        <v>3.42512403251811E-2</v>
      </c>
      <c r="AJ466" s="300">
        <f>IF($AL$407=0,0,AL466/$AL$407)</f>
        <v>0.14949421332922794</v>
      </c>
      <c r="AK466" s="298"/>
      <c r="AL466" s="299">
        <f>SUM(AL453:AL465)</f>
        <v>74077.989999999991</v>
      </c>
      <c r="AM466" s="309"/>
      <c r="AN466" s="302">
        <f>SUM(AN453:AN465)</f>
        <v>4025.0300000000107</v>
      </c>
      <c r="AO466" s="331">
        <f t="shared" ref="AO466:AO483" si="115">IF(AL466=0,0,AN466/AL466)</f>
        <v>5.433503257850289E-2</v>
      </c>
      <c r="AP466" s="246"/>
      <c r="AQ466" s="246"/>
      <c r="AR466" s="310">
        <f>SUM(AQ453:AQ461)-AF466</f>
        <v>-863.02000000000407</v>
      </c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7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6">AF467-Z467</f>
        <v>0</v>
      </c>
      <c r="AI467" s="283"/>
      <c r="AJ467" s="288"/>
      <c r="AK467" s="279"/>
      <c r="AL467" s="336"/>
      <c r="AM467" s="337"/>
      <c r="AN467" s="282">
        <f t="shared" ref="AN467:AN483" si="117">AF467-AL467</f>
        <v>0</v>
      </c>
      <c r="AO467" s="338">
        <f t="shared" si="11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7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0.96724246889110199</v>
      </c>
      <c r="Y468" s="297"/>
      <c r="Z468" s="299">
        <f>Z419+Z433+Z452+Z466</f>
        <v>421472.50383514515</v>
      </c>
      <c r="AA468" s="298"/>
      <c r="AB468" s="297"/>
      <c r="AC468" s="299"/>
      <c r="AD468" s="300">
        <f>AF468/AF407</f>
        <v>1.0016653902039618</v>
      </c>
      <c r="AE468" s="297"/>
      <c r="AF468" s="299">
        <f>AF419+AF433+AF452+AF466</f>
        <v>430693.39</v>
      </c>
      <c r="AG468" s="308"/>
      <c r="AH468" s="302">
        <f t="shared" si="116"/>
        <v>9220.8861648548627</v>
      </c>
      <c r="AI468" s="298">
        <f>AH468/Z468</f>
        <v>2.1877788185351049E-2</v>
      </c>
      <c r="AJ468" s="300">
        <f>IF($AL$407=0,0,AL468/$AL$407)</f>
        <v>0.98988372170695393</v>
      </c>
      <c r="AK468" s="298"/>
      <c r="AL468" s="299">
        <f>AL419+AL433+AL452+AL466</f>
        <v>490511.2699999999</v>
      </c>
      <c r="AM468" s="309"/>
      <c r="AN468" s="302">
        <f t="shared" si="117"/>
        <v>-59817.879999999888</v>
      </c>
      <c r="AO468" s="277">
        <f t="shared" si="115"/>
        <v>-0.12195006243179672</v>
      </c>
      <c r="AP468" s="310">
        <f>AF468-AF415</f>
        <v>404594.35000000003</v>
      </c>
      <c r="AQ468" s="246" t="s">
        <v>221</v>
      </c>
      <c r="AR468" s="499"/>
      <c r="AS468" s="310">
        <f>AP468-AR468</f>
        <v>404594.35000000003</v>
      </c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7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1085.52</v>
      </c>
      <c r="AG469" s="342"/>
      <c r="AH469" s="282">
        <f t="shared" si="116"/>
        <v>1085.52</v>
      </c>
      <c r="AI469" s="335" t="e">
        <f>IF(AH469=0,0,AH469/Z469)</f>
        <v>#DIV/0!</v>
      </c>
      <c r="AJ469" s="341"/>
      <c r="AK469" s="339"/>
      <c r="AL469" s="343">
        <v>2213.87</v>
      </c>
      <c r="AM469" s="344"/>
      <c r="AN469" s="282">
        <f t="shared" si="117"/>
        <v>-1128.3499999999999</v>
      </c>
      <c r="AO469" s="289">
        <f t="shared" si="115"/>
        <v>-0.50967310637029273</v>
      </c>
      <c r="AP469" s="246"/>
      <c r="AQ469" s="246">
        <v>1086</v>
      </c>
      <c r="AR469" s="246" t="s">
        <v>258</v>
      </c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7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35937.371781818183</v>
      </c>
      <c r="AA470" s="332"/>
      <c r="AB470" s="333"/>
      <c r="AC470" s="280"/>
      <c r="AD470" s="345"/>
      <c r="AE470" s="333"/>
      <c r="AF470" s="280">
        <f t="shared" ref="AF470:AF476" si="118">+SUMIF($C:$C,$V470,L:L)</f>
        <v>31024</v>
      </c>
      <c r="AG470" s="346"/>
      <c r="AH470" s="282">
        <f t="shared" si="116"/>
        <v>-4913.3717818181831</v>
      </c>
      <c r="AI470" s="306">
        <f>IF(Z470=0,0,AH470/Z470)</f>
        <v>-0.13672039824303481</v>
      </c>
      <c r="AJ470" s="345"/>
      <c r="AK470" s="332"/>
      <c r="AL470" s="347">
        <f>+SUMIF($C:$C,$V470,Q:Q)</f>
        <v>76456</v>
      </c>
      <c r="AM470" s="348"/>
      <c r="AN470" s="282">
        <f t="shared" si="117"/>
        <v>-45432</v>
      </c>
      <c r="AO470" s="289">
        <f t="shared" si="115"/>
        <v>-0.59422412891074605</v>
      </c>
      <c r="AP470" s="246"/>
      <c r="AQ470" s="246">
        <v>31024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7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33242.068898181817</v>
      </c>
      <c r="AA471" s="332"/>
      <c r="AB471" s="333"/>
      <c r="AC471" s="280"/>
      <c r="AD471" s="345"/>
      <c r="AE471" s="333"/>
      <c r="AF471" s="280">
        <f t="shared" si="118"/>
        <v>11409.6</v>
      </c>
      <c r="AG471" s="346"/>
      <c r="AH471" s="282">
        <f t="shared" si="116"/>
        <v>-21832.468898181818</v>
      </c>
      <c r="AI471" s="306">
        <f t="shared" ref="AI471:AI480" si="119">IF(AH471=0,0,AH471/Z471)</f>
        <v>-0.65677226544031231</v>
      </c>
      <c r="AJ471" s="345"/>
      <c r="AK471" s="332"/>
      <c r="AL471" s="347">
        <v>53053.83</v>
      </c>
      <c r="AM471" s="348"/>
      <c r="AN471" s="282">
        <f t="shared" si="117"/>
        <v>-41644.230000000003</v>
      </c>
      <c r="AO471" s="289">
        <f t="shared" si="115"/>
        <v>-0.78494295322316976</v>
      </c>
      <c r="AP471" s="246"/>
      <c r="AQ471" s="246">
        <v>11410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>
      <c r="A472" t="str">
        <f t="shared" si="87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18"/>
        <v>0</v>
      </c>
      <c r="AG472" s="346"/>
      <c r="AH472" s="282">
        <f t="shared" si="116"/>
        <v>0</v>
      </c>
      <c r="AI472" s="306">
        <f t="shared" si="119"/>
        <v>0</v>
      </c>
      <c r="AJ472" s="345"/>
      <c r="AK472" s="332"/>
      <c r="AL472" s="347">
        <f>+SUMIF($C:$C,$V472,Q:Q)</f>
        <v>0</v>
      </c>
      <c r="AM472" s="348"/>
      <c r="AN472" s="282">
        <f t="shared" si="117"/>
        <v>0</v>
      </c>
      <c r="AO472" s="289">
        <f t="shared" si="11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>
      <c r="A473" t="str">
        <f t="shared" si="87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18"/>
        <v>0</v>
      </c>
      <c r="AG473" s="346"/>
      <c r="AH473" s="282">
        <f t="shared" si="116"/>
        <v>0</v>
      </c>
      <c r="AI473" s="306">
        <f t="shared" si="119"/>
        <v>0</v>
      </c>
      <c r="AJ473" s="345"/>
      <c r="AK473" s="332"/>
      <c r="AL473" s="347">
        <f>+SUMIF($C:$C,$V473,Q:Q)</f>
        <v>0</v>
      </c>
      <c r="AM473" s="348"/>
      <c r="AN473" s="282">
        <f t="shared" si="117"/>
        <v>0</v>
      </c>
      <c r="AO473" s="289">
        <f t="shared" si="11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7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2250</v>
      </c>
      <c r="AA474" s="332"/>
      <c r="AB474" s="333"/>
      <c r="AC474" s="280"/>
      <c r="AD474" s="345"/>
      <c r="AE474" s="333"/>
      <c r="AF474" s="280">
        <f t="shared" si="118"/>
        <v>2250</v>
      </c>
      <c r="AG474" s="346"/>
      <c r="AH474" s="282">
        <f t="shared" si="116"/>
        <v>0</v>
      </c>
      <c r="AI474" s="306">
        <f t="shared" si="119"/>
        <v>0</v>
      </c>
      <c r="AJ474" s="345"/>
      <c r="AK474" s="332"/>
      <c r="AL474" s="347">
        <v>0</v>
      </c>
      <c r="AM474" s="348"/>
      <c r="AN474" s="282">
        <f t="shared" si="117"/>
        <v>2250</v>
      </c>
      <c r="AO474" s="289">
        <f t="shared" si="115"/>
        <v>0</v>
      </c>
      <c r="AP474" s="246"/>
      <c r="AQ474" s="246">
        <v>2250</v>
      </c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7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804</v>
      </c>
      <c r="AA475" s="332"/>
      <c r="AB475" s="333"/>
      <c r="AC475" s="280"/>
      <c r="AD475" s="345"/>
      <c r="AE475" s="333"/>
      <c r="AF475" s="280">
        <f t="shared" si="118"/>
        <v>0</v>
      </c>
      <c r="AG475" s="346"/>
      <c r="AH475" s="282">
        <f t="shared" si="116"/>
        <v>-804</v>
      </c>
      <c r="AI475" s="306">
        <f t="shared" si="119"/>
        <v>-1</v>
      </c>
      <c r="AJ475" s="345"/>
      <c r="AK475" s="332"/>
      <c r="AL475" s="347">
        <f>+SUMIF($C:$C,$V475,Q:Q)</f>
        <v>0</v>
      </c>
      <c r="AM475" s="348"/>
      <c r="AN475" s="282">
        <f t="shared" si="117"/>
        <v>0</v>
      </c>
      <c r="AO475" s="289">
        <f t="shared" si="115"/>
        <v>0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>
      <c r="A476" t="str">
        <f t="shared" si="87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18"/>
        <v>0</v>
      </c>
      <c r="AG476" s="346"/>
      <c r="AH476" s="282">
        <f t="shared" si="116"/>
        <v>0</v>
      </c>
      <c r="AI476" s="306">
        <f t="shared" si="119"/>
        <v>0</v>
      </c>
      <c r="AJ476" s="345"/>
      <c r="AK476" s="332"/>
      <c r="AL476" s="347">
        <f>+SUMIF($C:$C,$V476,Q:Q)</f>
        <v>0</v>
      </c>
      <c r="AM476" s="348"/>
      <c r="AN476" s="282">
        <f t="shared" si="117"/>
        <v>0</v>
      </c>
      <c r="AO476" s="289">
        <f t="shared" si="11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7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18867.120185454547</v>
      </c>
      <c r="AA477" s="332"/>
      <c r="AB477" s="333"/>
      <c r="AC477" s="280"/>
      <c r="AD477" s="345"/>
      <c r="AE477" s="333"/>
      <c r="AF477" s="280">
        <v>10040.799999999999</v>
      </c>
      <c r="AG477" s="346"/>
      <c r="AH477" s="282">
        <f t="shared" si="116"/>
        <v>-8826.3201854545478</v>
      </c>
      <c r="AI477" s="306">
        <f t="shared" si="119"/>
        <v>-0.46781491285877996</v>
      </c>
      <c r="AJ477" s="345"/>
      <c r="AK477" s="332"/>
      <c r="AL477" s="347">
        <v>33761.279999999999</v>
      </c>
      <c r="AM477" s="348"/>
      <c r="AN477" s="282">
        <f t="shared" si="117"/>
        <v>-23720.48</v>
      </c>
      <c r="AO477" s="289">
        <f t="shared" si="115"/>
        <v>-0.70259421443736736</v>
      </c>
      <c r="AP477" s="246"/>
      <c r="AQ477" s="246">
        <v>10041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>
      <c r="A478" t="str">
        <f t="shared" si="87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6"/>
        <v>0</v>
      </c>
      <c r="AI478" s="283">
        <f t="shared" si="119"/>
        <v>0</v>
      </c>
      <c r="AJ478" s="288"/>
      <c r="AK478" s="279"/>
      <c r="AL478" s="280">
        <f>+SUMIF($C:$C,$V478,Q:Q)</f>
        <v>0</v>
      </c>
      <c r="AM478" s="348"/>
      <c r="AN478" s="282">
        <f t="shared" si="117"/>
        <v>0</v>
      </c>
      <c r="AO478" s="289">
        <f t="shared" si="11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>
      <c r="A479" t="str">
        <f t="shared" si="87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6"/>
        <v>0</v>
      </c>
      <c r="AI479" s="283">
        <f t="shared" si="119"/>
        <v>0</v>
      </c>
      <c r="AJ479" s="288"/>
      <c r="AK479" s="279"/>
      <c r="AL479" s="280">
        <f>+SUMIF($C:$C,$V479,Q:Q)</f>
        <v>0</v>
      </c>
      <c r="AM479" s="348"/>
      <c r="AN479" s="282">
        <f t="shared" si="117"/>
        <v>0</v>
      </c>
      <c r="AO479" s="289">
        <f t="shared" si="11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7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21196.875</v>
      </c>
      <c r="AA480" s="332"/>
      <c r="AB480" s="333"/>
      <c r="AC480" s="280"/>
      <c r="AD480" s="345"/>
      <c r="AE480" s="333"/>
      <c r="AF480" s="280">
        <f>+SUMIF($C:$C,$V480,L:L)</f>
        <v>15470</v>
      </c>
      <c r="AG480" s="346"/>
      <c r="AH480" s="282">
        <f t="shared" si="116"/>
        <v>-5726.875</v>
      </c>
      <c r="AI480" s="306">
        <f t="shared" si="119"/>
        <v>-0.27017543859649124</v>
      </c>
      <c r="AJ480" s="345"/>
      <c r="AK480" s="332"/>
      <c r="AL480" s="347">
        <v>24990</v>
      </c>
      <c r="AM480" s="348"/>
      <c r="AN480" s="282">
        <f t="shared" si="117"/>
        <v>-9520</v>
      </c>
      <c r="AO480" s="289">
        <f t="shared" si="115"/>
        <v>-0.38095238095238093</v>
      </c>
      <c r="AP480" s="246"/>
      <c r="AQ480" s="246">
        <v>15470</v>
      </c>
      <c r="AR480" s="246"/>
      <c r="AS480" s="246">
        <f>SUM(AR470:AR480)</f>
        <v>0</v>
      </c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7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0.25771277634549478</v>
      </c>
      <c r="Y481" s="330"/>
      <c r="Z481" s="299">
        <f>SUM(Z469:Z480)</f>
        <v>112297.43586545455</v>
      </c>
      <c r="AA481" s="298"/>
      <c r="AB481" s="330"/>
      <c r="AC481" s="299"/>
      <c r="AD481" s="298">
        <f>AF481/+AF407</f>
        <v>0.16577600338957416</v>
      </c>
      <c r="AE481" s="330"/>
      <c r="AF481" s="299">
        <f>SUM(AF469:AF480)</f>
        <v>71279.92</v>
      </c>
      <c r="AG481" s="308"/>
      <c r="AH481" s="302">
        <f t="shared" si="116"/>
        <v>-41017.515865454552</v>
      </c>
      <c r="AI481" s="298">
        <f>AH481/Z481</f>
        <v>-0.36525781331818058</v>
      </c>
      <c r="AJ481" s="349"/>
      <c r="AK481" s="350"/>
      <c r="AL481" s="299">
        <f>SUM(AL469:AL480)</f>
        <v>190474.98</v>
      </c>
      <c r="AM481" s="351"/>
      <c r="AN481" s="302">
        <f t="shared" si="117"/>
        <v>-119195.06000000001</v>
      </c>
      <c r="AO481" s="331">
        <f t="shared" si="115"/>
        <v>-0.62577804181945584</v>
      </c>
      <c r="AP481" s="246"/>
      <c r="AQ481" s="246" t="s">
        <v>221</v>
      </c>
      <c r="AR481" s="499"/>
      <c r="AS481" s="310">
        <f>AF481-AR481</f>
        <v>71279.92</v>
      </c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7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7"/>
        <v>0</v>
      </c>
      <c r="AO482" s="364">
        <f t="shared" si="11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7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3.2735938838161012E-2</v>
      </c>
      <c r="Z483" s="369">
        <f>Z407-Z468+Z481</f>
        <v>126571.41483140428</v>
      </c>
      <c r="AA483" s="367"/>
      <c r="AB483" s="368"/>
      <c r="AC483" s="369"/>
      <c r="AD483" s="367" t="s">
        <v>180</v>
      </c>
      <c r="AE483" s="368">
        <f>AF483/AF406</f>
        <v>1.9878572421158168E-2</v>
      </c>
      <c r="AF483" s="370">
        <f>AF407-AF468+AF481</f>
        <v>70563.840000000098</v>
      </c>
      <c r="AG483" s="371"/>
      <c r="AH483" s="370">
        <f>AF483-Z483</f>
        <v>-56007.574831404185</v>
      </c>
      <c r="AI483" s="487">
        <f>AH483/Z483</f>
        <v>-0.44249781758391044</v>
      </c>
      <c r="AJ483" s="373" t="s">
        <v>180</v>
      </c>
      <c r="AK483" s="368">
        <f>IF($AL$406=0,0,AL483/$AL$406)</f>
        <v>3.9806846875306272E-2</v>
      </c>
      <c r="AL483" s="370">
        <f>AL407-AL468+AL481</f>
        <v>195487.83999999953</v>
      </c>
      <c r="AM483" s="374"/>
      <c r="AN483" s="370">
        <f t="shared" si="117"/>
        <v>-124923.99999999943</v>
      </c>
      <c r="AO483" s="375">
        <f t="shared" si="115"/>
        <v>-0.63903719024160133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7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Novembre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 hidden="1">
      <c r="A486" t="str">
        <f t="shared" si="12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4.0078634974354328E-2</v>
      </c>
      <c r="Z488" s="449">
        <f>Z489+Z415</f>
        <v>154961.48005084685</v>
      </c>
      <c r="AA488" s="446"/>
      <c r="AB488" s="447"/>
      <c r="AC488" s="448"/>
      <c r="AD488" s="446" t="s">
        <v>180</v>
      </c>
      <c r="AE488" s="447">
        <f>AF488/AF406</f>
        <v>2.7230945205330672E-2</v>
      </c>
      <c r="AF488" s="449">
        <f>AF489+AF415</f>
        <v>96662.880000000092</v>
      </c>
      <c r="AG488" s="450"/>
      <c r="AH488" s="449">
        <f t="shared" ref="AH488" si="121">AF488-Z488</f>
        <v>-58298.600050846755</v>
      </c>
      <c r="AI488" s="500">
        <f>AH488/Z488</f>
        <v>-0.37621349532617709</v>
      </c>
      <c r="AJ488" s="446" t="s">
        <v>180</v>
      </c>
      <c r="AK488" s="447">
        <f>IF($AL$406=0,0,AL488/$AL$406)</f>
        <v>4.7633105240777331E-2</v>
      </c>
      <c r="AL488" s="449">
        <f>AL489+AL415</f>
        <v>233921.88999999952</v>
      </c>
      <c r="AM488" s="452"/>
      <c r="AN488" s="449">
        <f t="shared" ref="AN488" si="122">AF488-AL488</f>
        <v>-137259.00999999943</v>
      </c>
      <c r="AO488" s="453">
        <f t="shared" ref="AO488" si="123">IF(AL488=0,0,AN488/AL488)</f>
        <v>-0.58677283258954394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thickTop="1" thickBot="1">
      <c r="A489" t="str">
        <f t="shared" si="12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3.2735938838161012E-2</v>
      </c>
      <c r="Z489" s="381">
        <f>Z483</f>
        <v>126571.41483140428</v>
      </c>
      <c r="AA489" s="379"/>
      <c r="AB489" s="380"/>
      <c r="AC489" s="381"/>
      <c r="AD489" s="379" t="s">
        <v>180</v>
      </c>
      <c r="AE489" s="380">
        <f>AF489/AF406</f>
        <v>1.9878572421158168E-2</v>
      </c>
      <c r="AF489" s="381">
        <f>AF483</f>
        <v>70563.840000000098</v>
      </c>
      <c r="AG489" s="382"/>
      <c r="AH489" s="370">
        <f>AF489-Z489</f>
        <v>-56007.574831404185</v>
      </c>
      <c r="AI489" s="487">
        <f>AH489/Z489</f>
        <v>-0.44249781758391044</v>
      </c>
      <c r="AJ489" s="379" t="s">
        <v>180</v>
      </c>
      <c r="AK489" s="380">
        <f>IF($AL$406=0,0,AL489/$AL$406)</f>
        <v>3.9806846875306272E-2</v>
      </c>
      <c r="AL489" s="383">
        <f>AL483</f>
        <v>195487.83999999953</v>
      </c>
      <c r="AM489" s="384"/>
      <c r="AN489" s="385">
        <f>AF489-AL489</f>
        <v>-124923.99999999943</v>
      </c>
      <c r="AO489" s="386">
        <f>IF(AL489=0,0,AN489/AL489)</f>
        <v>-0.63903719024160133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ht="16.5" thickTop="1">
      <c r="A490" t="str">
        <f t="shared" si="12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18360.41</v>
      </c>
      <c r="AG491" s="279"/>
      <c r="AH491" s="282">
        <f t="shared" ref="AH491:AH498" si="124">AF491-Z491</f>
        <v>-939.59000000000015</v>
      </c>
      <c r="AI491" s="306">
        <f t="shared" ref="AI491:AI497" si="125">IF(Z491=0,0,AH491/Z491)</f>
        <v>-4.8683419689119177E-2</v>
      </c>
      <c r="AJ491" s="279"/>
      <c r="AK491" s="279"/>
      <c r="AL491" s="280">
        <v>20970</v>
      </c>
      <c r="AM491" s="284"/>
      <c r="AN491" s="282">
        <f t="shared" ref="AN491:AN498" si="126">AF491-AL491</f>
        <v>-2609.59</v>
      </c>
      <c r="AO491" s="289">
        <f t="shared" ref="AO491:AO498" si="127">IF(AL491=0,0,AN491/AL491)</f>
        <v>-0.12444396757272294</v>
      </c>
      <c r="AP491" s="246"/>
      <c r="AQ491" s="486">
        <f>19300-4000</f>
        <v>15300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 hidden="1">
      <c r="A492" t="str">
        <f t="shared" si="12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4"/>
        <v>0</v>
      </c>
      <c r="AI492" s="306">
        <f t="shared" si="125"/>
        <v>0</v>
      </c>
      <c r="AJ492" s="10"/>
      <c r="AK492" s="10"/>
      <c r="AL492" s="280">
        <v>0</v>
      </c>
      <c r="AM492" s="393"/>
      <c r="AN492" s="282">
        <f t="shared" si="126"/>
        <v>0</v>
      </c>
      <c r="AO492" s="289">
        <f t="shared" si="127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4"/>
        <v>0</v>
      </c>
      <c r="AI493" s="306">
        <f t="shared" si="125"/>
        <v>0</v>
      </c>
      <c r="AJ493" s="10"/>
      <c r="AK493" s="10"/>
      <c r="AL493" s="280">
        <v>0</v>
      </c>
      <c r="AM493" s="393"/>
      <c r="AN493" s="282">
        <f t="shared" si="126"/>
        <v>0</v>
      </c>
      <c r="AO493" s="289">
        <f t="shared" si="127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 hidden="1">
      <c r="A494" t="str">
        <f t="shared" si="12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4"/>
        <v>0</v>
      </c>
      <c r="AI494" s="306">
        <f t="shared" si="125"/>
        <v>0</v>
      </c>
      <c r="AJ494" s="10"/>
      <c r="AK494" s="10"/>
      <c r="AL494" s="280">
        <v>0</v>
      </c>
      <c r="AM494" s="393"/>
      <c r="AN494" s="282">
        <f t="shared" si="126"/>
        <v>0</v>
      </c>
      <c r="AO494" s="289">
        <f t="shared" si="127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>
      <c r="A495" t="str">
        <f t="shared" si="12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4"/>
        <v>0</v>
      </c>
      <c r="AI495" s="283">
        <f t="shared" si="125"/>
        <v>0</v>
      </c>
      <c r="AJ495" s="288"/>
      <c r="AK495" s="279"/>
      <c r="AL495" s="280"/>
      <c r="AM495" s="393"/>
      <c r="AN495" s="282">
        <f t="shared" si="126"/>
        <v>0</v>
      </c>
      <c r="AO495" s="289">
        <f t="shared" si="127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376">
        <v>-2547.5409836065573</v>
      </c>
      <c r="AA496" s="282"/>
      <c r="AB496" s="282"/>
      <c r="AC496" s="282"/>
      <c r="AD496" s="281"/>
      <c r="AE496" s="282"/>
      <c r="AF496" s="280">
        <v>-2547.54</v>
      </c>
      <c r="AG496" s="281"/>
      <c r="AH496" s="282">
        <f t="shared" si="124"/>
        <v>9.8360655738360947E-4</v>
      </c>
      <c r="AI496" s="283">
        <f t="shared" si="125"/>
        <v>-3.8610038610296127E-7</v>
      </c>
      <c r="AJ496" s="288"/>
      <c r="AK496" s="279"/>
      <c r="AL496" s="280">
        <v>-3007.92</v>
      </c>
      <c r="AM496" s="393"/>
      <c r="AN496" s="282">
        <f t="shared" si="126"/>
        <v>460.38000000000011</v>
      </c>
      <c r="AO496" s="289">
        <f t="shared" si="127"/>
        <v>-0.15305593233862605</v>
      </c>
      <c r="AP496" s="246"/>
      <c r="AQ496" s="495">
        <f>Z496</f>
        <v>-2547.5409836065573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thickBot="1">
      <c r="A497" t="str">
        <f t="shared" si="12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4"/>
        <v>0</v>
      </c>
      <c r="AI497" s="283">
        <f t="shared" si="125"/>
        <v>0</v>
      </c>
      <c r="AJ497" s="288"/>
      <c r="AK497" s="279"/>
      <c r="AL497" s="280"/>
      <c r="AM497" s="393"/>
      <c r="AN497" s="282">
        <f t="shared" si="126"/>
        <v>0</v>
      </c>
      <c r="AO497" s="289">
        <f t="shared" si="127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2.8403147943155651E-2</v>
      </c>
      <c r="Z498" s="369">
        <f>Z489-Z491-Z492-Z493-Z497-Z496-Z494-Z495</f>
        <v>109818.95581501084</v>
      </c>
      <c r="AA498" s="367"/>
      <c r="AB498" s="368"/>
      <c r="AC498" s="369"/>
      <c r="AD498" s="367" t="s">
        <v>180</v>
      </c>
      <c r="AE498" s="368">
        <f>AF498/AF406</f>
        <v>1.5423921406114783E-2</v>
      </c>
      <c r="AF498" s="370">
        <f>AF489-AF491-AF492-AF493-AF497-AF496-AF494-AF495</f>
        <v>54750.970000000096</v>
      </c>
      <c r="AG498" s="371"/>
      <c r="AH498" s="370">
        <f t="shared" si="124"/>
        <v>-55067.985815010739</v>
      </c>
      <c r="AI498" s="487">
        <f>AH498/Z498</f>
        <v>-0.50144335653466177</v>
      </c>
      <c r="AJ498" s="373" t="s">
        <v>180</v>
      </c>
      <c r="AK498" s="368">
        <f>IF($AL$406=0,0,AL498/$AL$406)</f>
        <v>3.6149259947536226E-2</v>
      </c>
      <c r="AL498" s="370">
        <f>AL489-AL491-AL492-AL493-AL497-AL496-AL494-AL495</f>
        <v>177525.75999999954</v>
      </c>
      <c r="AM498" s="374"/>
      <c r="AN498" s="370">
        <f t="shared" si="126"/>
        <v>-122774.78999999946</v>
      </c>
      <c r="AO498" s="394">
        <f t="shared" si="127"/>
        <v>-0.69158858973480675</v>
      </c>
      <c r="AP498" s="310">
        <f>SUM(AF490:AF497)+AF415</f>
        <v>41911.910000000003</v>
      </c>
      <c r="AQ498" s="246" t="s">
        <v>221</v>
      </c>
      <c r="AR498" s="499"/>
      <c r="AS498" s="310">
        <f>AP498-AR498</f>
        <v>41911.910000000003</v>
      </c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ht="16.5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80">
        <v>14235.25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40515.720000000096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0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6.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V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0.25999995981806306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 ht="15.75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V505" s="246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V506" s="246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 ht="15.75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V507" s="246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54750.970000000096</v>
      </c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 ht="15.75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V508" s="246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 ht="15.75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V509" s="246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 ht="15.75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V510" s="246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 ht="15.75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V511" s="246"/>
      <c r="W511" s="246"/>
      <c r="X511" s="246"/>
      <c r="Y511" s="246"/>
      <c r="Z511" s="246"/>
      <c r="AA511" s="246"/>
      <c r="AB511" s="246"/>
      <c r="AC511" s="246"/>
      <c r="AD511" s="246" t="s">
        <v>247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 ht="15.75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V512" s="246"/>
      <c r="W512" s="246"/>
      <c r="X512" s="246"/>
      <c r="Y512" s="246"/>
      <c r="Z512" s="246"/>
      <c r="AA512" s="246"/>
      <c r="AB512" s="246"/>
      <c r="AC512" s="246"/>
      <c r="AD512" s="246" t="s">
        <v>248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 ht="15.75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V513" s="246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>
        <f>AF498+AF509+AF510+AF511+AF512</f>
        <v>54750.970000000096</v>
      </c>
      <c r="AG513" s="310">
        <f>AF513-AF505</f>
        <v>54750.970000000096</v>
      </c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 ht="15.75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V514" s="246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 ht="15.75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V515" s="246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310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 ht="15.75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V516" s="246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 ht="15.75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V517" s="246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 ht="15.75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V518" s="246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 ht="15.75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V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 ht="15.75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V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 ht="15.75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V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 ht="15.75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V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 ht="15.75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V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 ht="15.75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V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 ht="15.75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V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 ht="15.75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V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 ht="15.75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V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 ht="15.75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V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 ht="15.75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V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 ht="15.75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V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 ht="15.75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V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8.75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V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 ht="15.75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V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 ht="15.75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V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 ht="15.75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V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 ht="15.75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V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 ht="15.75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V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 ht="15.75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V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 ht="15.75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V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 ht="15.75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V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 ht="15.75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V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 ht="15.75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V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 ht="15.75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V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 ht="15.75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V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 ht="15.75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V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 ht="15.75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V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 ht="15.75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V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 ht="15.75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V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 ht="15.75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V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 ht="15.75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V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 ht="15.75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V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 ht="15.75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V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 ht="15.75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V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 ht="15.75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V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 ht="15.75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V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 ht="15.75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V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 ht="15.75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V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 ht="15.75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V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 ht="15.75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V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 ht="15.75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V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 ht="15.75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V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 ht="15.75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V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 ht="15.75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V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 ht="15.75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V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 ht="15.75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V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 ht="15.75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V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 ht="15.75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V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 ht="15.75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V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 ht="15.75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V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 ht="15.75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V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 ht="15.75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V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 ht="15.75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V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 ht="15.75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V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 ht="15.75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V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 ht="15.75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V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 ht="15.75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V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 ht="15.75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V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 ht="15.75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V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 ht="15.75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V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 ht="15.75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V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 ht="15.75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V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 ht="15.75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V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 ht="15.75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V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 ht="15.75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V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 ht="15.75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V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 ht="15.75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V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 ht="15.75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V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 ht="15.75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V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 ht="15.75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V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 ht="15.75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V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 ht="15.75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V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 ht="15.75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V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 ht="15.75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V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 ht="15.75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V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 ht="15.75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V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 ht="15.75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V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 ht="15.75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V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 ht="15.75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V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 ht="15.75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V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 ht="15.75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V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 ht="15.75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V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 ht="15.75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V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 ht="15.75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V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 ht="15.75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V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 ht="15.75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V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 ht="15.75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V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 ht="15.75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V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 ht="15.75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V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 ht="15.75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V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 ht="15.75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V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 ht="15.75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V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 ht="15.75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V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 ht="15.75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V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 ht="15.75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V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 ht="15.75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V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 ht="15.75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V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 ht="15.75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V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 ht="15.75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V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 ht="15.75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V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 ht="15.75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V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 ht="15.75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V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 ht="15.75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V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 ht="15.75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V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 ht="15.75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V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 ht="15.75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V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 ht="15.75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V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 ht="15.75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V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 ht="15.75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V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 ht="15.75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V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 ht="15.75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V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 ht="15.75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V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 ht="15.75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V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 ht="15.75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V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 ht="15.75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V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 ht="15.75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V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 ht="15.75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V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 ht="15.75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V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 ht="15.75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V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 ht="15.75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V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 ht="15.75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V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 ht="15.75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V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 ht="15.75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V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 ht="15.75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V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 ht="15.75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V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 ht="15.75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V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 ht="15.75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V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 ht="15.75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V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 ht="15.75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V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 ht="15.75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V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 ht="15.75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V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 ht="15.75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V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V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8.75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V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 ht="15.75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V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 ht="15.75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V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 ht="15.75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V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 ht="15.75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V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 ht="15.75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V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 ht="15.75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V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 ht="15.75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V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 ht="15.75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V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 ht="15.75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V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 ht="15.75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V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 ht="15.75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V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 ht="15.75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V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 ht="15.75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V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 ht="15.75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V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 ht="15.75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V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 ht="15.75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V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 ht="15.75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V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 ht="15.75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V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 ht="15.75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V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 ht="15.75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V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 ht="15.75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V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 ht="15.75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V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 ht="15.75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V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 ht="15.75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V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 ht="15.75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V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 ht="15.75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V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 ht="15.75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V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 ht="15.75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V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 ht="15.75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V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 ht="15.75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V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 ht="15.75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V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 ht="15.75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V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 ht="15.75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V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 ht="15.75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V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 ht="15.75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V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 ht="15.75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V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 ht="15.75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V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 ht="15.75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V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 ht="15.75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V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 ht="15.75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V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 ht="15.75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V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 ht="15.75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V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 ht="15.75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V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 ht="15.75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V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 ht="15.75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V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 ht="15.75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V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 ht="15.75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V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 ht="15.75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V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 ht="15.75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V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 ht="15.75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V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 ht="15.75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V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</mergeCells>
  <conditionalFormatting sqref="D31:D32">
    <cfRule type="expression" dxfId="110" priority="6" stopIfTrue="1">
      <formula>"esterreur(reference)"</formula>
    </cfRule>
  </conditionalFormatting>
  <conditionalFormatting sqref="D112:D113">
    <cfRule type="expression" dxfId="109" priority="1" stopIfTrue="1">
      <formula>"esterreur(reference)"</formula>
    </cfRule>
  </conditionalFormatting>
  <conditionalFormatting sqref="F5">
    <cfRule type="expression" dxfId="108" priority="67" stopIfTrue="1">
      <formula>"esterreur(reference)"</formula>
    </cfRule>
  </conditionalFormatting>
  <conditionalFormatting sqref="F184">
    <cfRule type="expression" dxfId="107" priority="76" stopIfTrue="1">
      <formula>"esterreur(reference)"</formula>
    </cfRule>
  </conditionalFormatting>
  <conditionalFormatting sqref="G31:G32">
    <cfRule type="expression" dxfId="106" priority="5" stopIfTrue="1">
      <formula>"esterreur(reference)"</formula>
    </cfRule>
  </conditionalFormatting>
  <conditionalFormatting sqref="G112:G113">
    <cfRule type="expression" dxfId="105" priority="2" stopIfTrue="1">
      <formula>"esterreur(reference)"</formula>
    </cfRule>
  </conditionalFormatting>
  <conditionalFormatting sqref="H136:H152">
    <cfRule type="expression" dxfId="104" priority="31" stopIfTrue="1">
      <formula>"esterreur(reference)"</formula>
    </cfRule>
  </conditionalFormatting>
  <conditionalFormatting sqref="H360">
    <cfRule type="expression" dxfId="103" priority="109" stopIfTrue="1">
      <formula>"esterreur(reference)"</formula>
    </cfRule>
  </conditionalFormatting>
  <conditionalFormatting sqref="H197:L197">
    <cfRule type="expression" dxfId="102" priority="111" stopIfTrue="1">
      <formula>"esterreur(reference)"</formula>
    </cfRule>
  </conditionalFormatting>
  <conditionalFormatting sqref="H396:L399">
    <cfRule type="expression" dxfId="101" priority="107" stopIfTrue="1">
      <formula>"esterreur(reference)"</formula>
    </cfRule>
  </conditionalFormatting>
  <conditionalFormatting sqref="I377:L377 H378:H395">
    <cfRule type="expression" dxfId="100" priority="108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99" priority="101" stopIfTrue="1">
      <formula>"esterreur(reference)"</formula>
    </cfRule>
  </conditionalFormatting>
  <conditionalFormatting sqref="J49:L72">
    <cfRule type="expression" dxfId="98" priority="32" stopIfTrue="1">
      <formula>"esterreur(reference)"</formula>
    </cfRule>
  </conditionalFormatting>
  <conditionalFormatting sqref="J102:L104">
    <cfRule type="expression" dxfId="97" priority="97" stopIfTrue="1">
      <formula>"esterreur(reference)"</formula>
    </cfRule>
  </conditionalFormatting>
  <conditionalFormatting sqref="J149:L152">
    <cfRule type="expression" dxfId="96" priority="30" stopIfTrue="1">
      <formula>"esterreur(reference)"</formula>
    </cfRule>
  </conditionalFormatting>
  <conditionalFormatting sqref="J295:L303">
    <cfRule type="expression" dxfId="95" priority="93" stopIfTrue="1">
      <formula>"esterreur(reference)"</formula>
    </cfRule>
  </conditionalFormatting>
  <conditionalFormatting sqref="J307:L308">
    <cfRule type="expression" dxfId="94" priority="83" stopIfTrue="1">
      <formula>"esterreur(reference)"</formula>
    </cfRule>
  </conditionalFormatting>
  <conditionalFormatting sqref="J360:L360">
    <cfRule type="expression" dxfId="93" priority="75" stopIfTrue="1">
      <formula>"esterreur(reference)"</formula>
    </cfRule>
  </conditionalFormatting>
  <conditionalFormatting sqref="J365:L376">
    <cfRule type="expression" dxfId="92" priority="80" stopIfTrue="1">
      <formula>"esterreur(reference)"</formula>
    </cfRule>
  </conditionalFormatting>
  <conditionalFormatting sqref="J378:L394">
    <cfRule type="expression" dxfId="91" priority="79" stopIfTrue="1">
      <formula>"esterreur(reference)"</formula>
    </cfRule>
  </conditionalFormatting>
  <conditionalFormatting sqref="J312:M312">
    <cfRule type="expression" dxfId="90" priority="81" stopIfTrue="1">
      <formula>"esterreur(reference)"</formula>
    </cfRule>
  </conditionalFormatting>
  <conditionalFormatting sqref="J112:Q121">
    <cfRule type="expression" dxfId="89" priority="3" stopIfTrue="1">
      <formula>"esterreur(reference)"</formula>
    </cfRule>
  </conditionalFormatting>
  <conditionalFormatting sqref="J123:Q134">
    <cfRule type="expression" dxfId="88" priority="57" stopIfTrue="1">
      <formula>"esterreur(reference)"</formula>
    </cfRule>
  </conditionalFormatting>
  <conditionalFormatting sqref="K5">
    <cfRule type="expression" dxfId="87" priority="90" stopIfTrue="1">
      <formula>"esterreur(reference)"</formula>
    </cfRule>
  </conditionalFormatting>
  <conditionalFormatting sqref="K175">
    <cfRule type="expression" dxfId="86" priority="87" stopIfTrue="1">
      <formula>"esterreur(reference)"</formula>
    </cfRule>
  </conditionalFormatting>
  <conditionalFormatting sqref="K183:K184">
    <cfRule type="expression" dxfId="85" priority="89" stopIfTrue="1">
      <formula>"esterreur(reference)"</formula>
    </cfRule>
  </conditionalFormatting>
  <conditionalFormatting sqref="K287">
    <cfRule type="expression" dxfId="84" priority="73" stopIfTrue="1">
      <formula>"esterreur(reference)"</formula>
    </cfRule>
  </conditionalFormatting>
  <conditionalFormatting sqref="K395">
    <cfRule type="expression" dxfId="83" priority="110" stopIfTrue="1">
      <formula>"esterreur(reference)"</formula>
    </cfRule>
  </conditionalFormatting>
  <conditionalFormatting sqref="K93:L96">
    <cfRule type="expression" dxfId="82" priority="78" stopIfTrue="1">
      <formula>"esterreur(reference)"</formula>
    </cfRule>
  </conditionalFormatting>
  <conditionalFormatting sqref="K99:L100">
    <cfRule type="expression" dxfId="81" priority="98" stopIfTrue="1">
      <formula>"esterreur(reference)"</formula>
    </cfRule>
  </conditionalFormatting>
  <conditionalFormatting sqref="K171:L173">
    <cfRule type="expression" dxfId="80" priority="88" stopIfTrue="1">
      <formula>"esterreur(reference)"</formula>
    </cfRule>
  </conditionalFormatting>
  <conditionalFormatting sqref="K176:L182">
    <cfRule type="expression" dxfId="79" priority="86" stopIfTrue="1">
      <formula>"esterreur(reference)"</formula>
    </cfRule>
  </conditionalFormatting>
  <conditionalFormatting sqref="K185:L196">
    <cfRule type="expression" dxfId="78" priority="82" stopIfTrue="1">
      <formula>"esterreur(reference)"</formula>
    </cfRule>
  </conditionalFormatting>
  <conditionalFormatting sqref="K239:L241">
    <cfRule type="expression" dxfId="77" priority="77" stopIfTrue="1">
      <formula>"esterreur(reference)"</formula>
    </cfRule>
  </conditionalFormatting>
  <conditionalFormatting sqref="K244:L244">
    <cfRule type="expression" dxfId="76" priority="85" stopIfTrue="1">
      <formula>"esterreur(reference)"</formula>
    </cfRule>
  </conditionalFormatting>
  <conditionalFormatting sqref="K247:L247">
    <cfRule type="expression" dxfId="75" priority="84" stopIfTrue="1">
      <formula>"esterreur(reference)"</formula>
    </cfRule>
  </conditionalFormatting>
  <conditionalFormatting sqref="L16:L24">
    <cfRule type="expression" dxfId="74" priority="100" stopIfTrue="1">
      <formula>"esterreur(reference)"</formula>
    </cfRule>
  </conditionalFormatting>
  <conditionalFormatting sqref="L42:L48">
    <cfRule type="expression" dxfId="73" priority="99" stopIfTrue="1">
      <formula>"esterreur(reference)"</formula>
    </cfRule>
  </conditionalFormatting>
  <conditionalFormatting sqref="L75:L82">
    <cfRule type="expression" dxfId="72" priority="68" stopIfTrue="1">
      <formula>"esterreur(reference)"</formula>
    </cfRule>
  </conditionalFormatting>
  <conditionalFormatting sqref="L136:L147">
    <cfRule type="expression" dxfId="71" priority="72" stopIfTrue="1">
      <formula>"esterreur(reference)"</formula>
    </cfRule>
  </conditionalFormatting>
  <conditionalFormatting sqref="L174:L175">
    <cfRule type="expression" dxfId="70" priority="96" stopIfTrue="1">
      <formula>"esterreur(reference)"</formula>
    </cfRule>
  </conditionalFormatting>
  <conditionalFormatting sqref="L198:L209">
    <cfRule type="expression" dxfId="69" priority="95" stopIfTrue="1">
      <formula>"esterreur(reference)"</formula>
    </cfRule>
  </conditionalFormatting>
  <conditionalFormatting sqref="L211:L228">
    <cfRule type="expression" dxfId="68" priority="71" stopIfTrue="1">
      <formula>"esterreur(reference)"</formula>
    </cfRule>
  </conditionalFormatting>
  <conditionalFormatting sqref="L254:L265">
    <cfRule type="expression" dxfId="67" priority="94" stopIfTrue="1">
      <formula>"esterreur(reference)"</formula>
    </cfRule>
  </conditionalFormatting>
  <conditionalFormatting sqref="L267:L284">
    <cfRule type="expression" dxfId="66" priority="70" stopIfTrue="1">
      <formula>"esterreur(reference)"</formula>
    </cfRule>
  </conditionalFormatting>
  <conditionalFormatting sqref="L318:L329">
    <cfRule type="expression" dxfId="65" priority="92" stopIfTrue="1">
      <formula>"esterreur(reference)"</formula>
    </cfRule>
  </conditionalFormatting>
  <conditionalFormatting sqref="L331">
    <cfRule type="expression" dxfId="64" priority="69" stopIfTrue="1">
      <formula>"esterreur(reference)"</formula>
    </cfRule>
  </conditionalFormatting>
  <conditionalFormatting sqref="L334:L343 L345:L348">
    <cfRule type="expression" dxfId="63" priority="91" stopIfTrue="1">
      <formula>"esterreur(reference)"</formula>
    </cfRule>
  </conditionalFormatting>
  <conditionalFormatting sqref="L356:L357 H357:I357 K357 J357:J358 H359:L359">
    <cfRule type="expression" dxfId="62" priority="106" stopIfTrue="1">
      <formula>"esterreur(reference)"</formula>
    </cfRule>
  </conditionalFormatting>
  <conditionalFormatting sqref="L5:Q14">
    <cfRule type="expression" dxfId="61" priority="62" stopIfTrue="1">
      <formula>"esterreur(reference)"</formula>
    </cfRule>
  </conditionalFormatting>
  <conditionalFormatting sqref="L156:Q162">
    <cfRule type="expression" dxfId="60" priority="28" stopIfTrue="1">
      <formula>"esterreur(reference)"</formula>
    </cfRule>
  </conditionalFormatting>
  <conditionalFormatting sqref="M95:M97">
    <cfRule type="expression" dxfId="59" priority="102" stopIfTrue="1">
      <formula>"esterreur(reference)"</formula>
    </cfRule>
  </conditionalFormatting>
  <conditionalFormatting sqref="O13:O14 O16 O18:O24 O83:Q85">
    <cfRule type="expression" dxfId="58" priority="66" stopIfTrue="1">
      <formula>"esterreur(reference)"</formula>
    </cfRule>
  </conditionalFormatting>
  <conditionalFormatting sqref="O172:O196 Q183 O198:P229 O232:Q232 O233:P233">
    <cfRule type="expression" dxfId="57" priority="55" stopIfTrue="1">
      <formula>"esterreur(reference)"</formula>
    </cfRule>
  </conditionalFormatting>
  <conditionalFormatting sqref="O318:P348 O349:Q349 O352:Q352 O353:P353">
    <cfRule type="expression" dxfId="56" priority="39" stopIfTrue="1">
      <formula>"esterreur(reference)"</formula>
    </cfRule>
  </conditionalFormatting>
  <conditionalFormatting sqref="O25:Q72">
    <cfRule type="expression" dxfId="55" priority="4" stopIfTrue="1">
      <formula>"esterreur(reference)"</formula>
    </cfRule>
  </conditionalFormatting>
  <conditionalFormatting sqref="O97:Q98 O122:Q122 O156:P157 O164:Q164 O165:P165">
    <cfRule type="expression" dxfId="54" priority="61" stopIfTrue="1">
      <formula>"esterreur(reference)"</formula>
    </cfRule>
  </conditionalFormatting>
  <conditionalFormatting sqref="O101:Q111">
    <cfRule type="expression" dxfId="53" priority="59" stopIfTrue="1">
      <formula>"esterreur(reference)"</formula>
    </cfRule>
  </conditionalFormatting>
  <conditionalFormatting sqref="O135:Q153">
    <cfRule type="expression" dxfId="52" priority="29" stopIfTrue="1">
      <formula>"esterreur(reference)"</formula>
    </cfRule>
  </conditionalFormatting>
  <conditionalFormatting sqref="O197:Q197">
    <cfRule type="expression" dxfId="51" priority="56" stopIfTrue="1">
      <formula>"esterreur(reference)"</formula>
    </cfRule>
  </conditionalFormatting>
  <conditionalFormatting sqref="O243:Q243 O252:Q253 O254:P284 O285:Q285 O288:Q288 O289:P289">
    <cfRule type="expression" dxfId="50" priority="46" stopIfTrue="1">
      <formula>"esterreur(reference)"</formula>
    </cfRule>
  </conditionalFormatting>
  <conditionalFormatting sqref="O295:Q317">
    <cfRule type="expression" dxfId="49" priority="37" stopIfTrue="1">
      <formula>"esterreur(reference)"</formula>
    </cfRule>
  </conditionalFormatting>
  <conditionalFormatting sqref="O359:Q394">
    <cfRule type="expression" dxfId="48" priority="33" stopIfTrue="1">
      <formula>"esterreur(reference)"</formula>
    </cfRule>
  </conditionalFormatting>
  <conditionalFormatting sqref="O396:Q399">
    <cfRule type="expression" dxfId="47" priority="34" stopIfTrue="1">
      <formula>"esterreur(reference)"</formula>
    </cfRule>
  </conditionalFormatting>
  <conditionalFormatting sqref="P5">
    <cfRule type="expression" dxfId="46" priority="63" stopIfTrue="1">
      <formula>"esterreur(reference)"</formula>
    </cfRule>
  </conditionalFormatting>
  <conditionalFormatting sqref="P175">
    <cfRule type="expression" dxfId="45" priority="50" stopIfTrue="1">
      <formula>"esterreur(reference)"</formula>
    </cfRule>
  </conditionalFormatting>
  <conditionalFormatting sqref="P183:P184">
    <cfRule type="expression" dxfId="44" priority="52" stopIfTrue="1">
      <formula>"esterreur(reference)"</formula>
    </cfRule>
  </conditionalFormatting>
  <conditionalFormatting sqref="P287">
    <cfRule type="expression" dxfId="43" priority="41" stopIfTrue="1">
      <formula>"esterreur(reference)"</formula>
    </cfRule>
  </conditionalFormatting>
  <conditionalFormatting sqref="P395">
    <cfRule type="expression" dxfId="42" priority="35" stopIfTrue="1">
      <formula>"esterreur(reference)"</formula>
    </cfRule>
  </conditionalFormatting>
  <conditionalFormatting sqref="P93:Q96">
    <cfRule type="expression" dxfId="41" priority="58" stopIfTrue="1">
      <formula>"esterreur(reference)"</formula>
    </cfRule>
  </conditionalFormatting>
  <conditionalFormatting sqref="P99:Q100">
    <cfRule type="expression" dxfId="40" priority="60" stopIfTrue="1">
      <formula>"esterreur(reference)"</formula>
    </cfRule>
  </conditionalFormatting>
  <conditionalFormatting sqref="P172:Q173">
    <cfRule type="expression" dxfId="39" priority="51" stopIfTrue="1">
      <formula>"esterreur(reference)"</formula>
    </cfRule>
  </conditionalFormatting>
  <conditionalFormatting sqref="P176:Q182">
    <cfRule type="expression" dxfId="38" priority="49" stopIfTrue="1">
      <formula>"esterreur(reference)"</formula>
    </cfRule>
  </conditionalFormatting>
  <conditionalFormatting sqref="P185:Q196">
    <cfRule type="expression" dxfId="37" priority="48" stopIfTrue="1">
      <formula>"esterreur(reference)"</formula>
    </cfRule>
  </conditionalFormatting>
  <conditionalFormatting sqref="P241:Q241">
    <cfRule type="expression" dxfId="36" priority="42" stopIfTrue="1">
      <formula>"esterreur(reference)"</formula>
    </cfRule>
  </conditionalFormatting>
  <conditionalFormatting sqref="P244:Q244">
    <cfRule type="expression" dxfId="35" priority="44" stopIfTrue="1">
      <formula>"esterreur(reference)"</formula>
    </cfRule>
  </conditionalFormatting>
  <conditionalFormatting sqref="P247:Q247">
    <cfRule type="expression" dxfId="34" priority="43" stopIfTrue="1">
      <formula>"esterreur(reference)"</formula>
    </cfRule>
  </conditionalFormatting>
  <conditionalFormatting sqref="Q16:Q24">
    <cfRule type="expression" dxfId="33" priority="65" stopIfTrue="1">
      <formula>"esterreur(reference)"</formula>
    </cfRule>
  </conditionalFormatting>
  <conditionalFormatting sqref="Q75:Q82">
    <cfRule type="expression" dxfId="32" priority="64" stopIfTrue="1">
      <formula>"esterreur(reference)"</formula>
    </cfRule>
  </conditionalFormatting>
  <conditionalFormatting sqref="Q174:Q175">
    <cfRule type="expression" dxfId="31" priority="54" stopIfTrue="1">
      <formula>"esterreur(reference)"</formula>
    </cfRule>
  </conditionalFormatting>
  <conditionalFormatting sqref="Q198:Q209">
    <cfRule type="expression" dxfId="30" priority="53" stopIfTrue="1">
      <formula>"esterreur(reference)"</formula>
    </cfRule>
  </conditionalFormatting>
  <conditionalFormatting sqref="Q211:Q228">
    <cfRule type="expression" dxfId="29" priority="47" stopIfTrue="1">
      <formula>"esterreur(reference)"</formula>
    </cfRule>
  </conditionalFormatting>
  <conditionalFormatting sqref="Q254:Q265">
    <cfRule type="expression" dxfId="28" priority="45" stopIfTrue="1">
      <formula>"esterreur(reference)"</formula>
    </cfRule>
  </conditionalFormatting>
  <conditionalFormatting sqref="Q267:Q284">
    <cfRule type="expression" dxfId="27" priority="40" stopIfTrue="1">
      <formula>"esterreur(reference)"</formula>
    </cfRule>
  </conditionalFormatting>
  <conditionalFormatting sqref="Q318:Q329">
    <cfRule type="expression" dxfId="26" priority="38" stopIfTrue="1">
      <formula>"esterreur(reference)"</formula>
    </cfRule>
  </conditionalFormatting>
  <conditionalFormatting sqref="Q331:Q348">
    <cfRule type="expression" dxfId="25" priority="36" stopIfTrue="1">
      <formula>"esterreur(reference)"</formula>
    </cfRule>
  </conditionalFormatting>
  <conditionalFormatting sqref="R312">
    <cfRule type="expression" dxfId="24" priority="103" stopIfTrue="1">
      <formula>"esterreur(reference)"</formula>
    </cfRule>
  </conditionalFormatting>
  <conditionalFormatting sqref="S186">
    <cfRule type="expression" dxfId="23" priority="74" stopIfTrue="1">
      <formula>"esterreur(reference)"</formula>
    </cfRule>
  </conditionalFormatting>
  <conditionalFormatting sqref="Z425:Z427">
    <cfRule type="cellIs" dxfId="22" priority="24" operator="greaterThan">
      <formula>0</formula>
    </cfRule>
  </conditionalFormatting>
  <conditionalFormatting sqref="Z432">
    <cfRule type="cellIs" dxfId="21" priority="21" operator="greaterThan">
      <formula>0</formula>
    </cfRule>
  </conditionalFormatting>
  <conditionalFormatting sqref="Z449:Z451">
    <cfRule type="cellIs" dxfId="20" priority="17" operator="greaterThan">
      <formula>0</formula>
    </cfRule>
  </conditionalFormatting>
  <conditionalFormatting sqref="Z463:Z465">
    <cfRule type="cellIs" dxfId="19" priority="13" operator="greaterThan">
      <formula>0</formula>
    </cfRule>
  </conditionalFormatting>
  <conditionalFormatting sqref="Z478:Z479">
    <cfRule type="cellIs" dxfId="18" priority="10" operator="greaterThan">
      <formula>0</formula>
    </cfRule>
  </conditionalFormatting>
  <conditionalFormatting sqref="Z495:Z497">
    <cfRule type="cellIs" dxfId="17" priority="7" operator="greaterThan">
      <formula>0</formula>
    </cfRule>
  </conditionalFormatting>
  <conditionalFormatting sqref="AC425:AC427">
    <cfRule type="cellIs" dxfId="16" priority="25" operator="greaterThan">
      <formula>0</formula>
    </cfRule>
  </conditionalFormatting>
  <conditionalFormatting sqref="AC432">
    <cfRule type="cellIs" dxfId="15" priority="22" operator="greaterThan">
      <formula>0</formula>
    </cfRule>
  </conditionalFormatting>
  <conditionalFormatting sqref="AC449:AC451">
    <cfRule type="cellIs" dxfId="14" priority="18" operator="greaterThan">
      <formula>0</formula>
    </cfRule>
  </conditionalFormatting>
  <conditionalFormatting sqref="AC463:AC465">
    <cfRule type="cellIs" dxfId="13" priority="14" operator="greaterThan">
      <formula>0</formula>
    </cfRule>
  </conditionalFormatting>
  <conditionalFormatting sqref="AC478:AC479">
    <cfRule type="cellIs" dxfId="12" priority="11" operator="greaterThan">
      <formula>0</formula>
    </cfRule>
  </conditionalFormatting>
  <conditionalFormatting sqref="AC495:AC497">
    <cfRule type="cellIs" dxfId="11" priority="8" operator="greaterThan">
      <formula>0</formula>
    </cfRule>
  </conditionalFormatting>
  <conditionalFormatting sqref="AG409:AI418">
    <cfRule type="cellIs" dxfId="10" priority="27" operator="greaterThan">
      <formula>0</formula>
    </cfRule>
  </conditionalFormatting>
  <conditionalFormatting sqref="AH449:AH452">
    <cfRule type="cellIs" dxfId="9" priority="19" operator="greaterThan">
      <formula>0</formula>
    </cfRule>
  </conditionalFormatting>
  <conditionalFormatting sqref="AH461:AH466">
    <cfRule type="cellIs" dxfId="8" priority="15" operator="greaterThan">
      <formula>0</formula>
    </cfRule>
  </conditionalFormatting>
  <conditionalFormatting sqref="AH420:AI448">
    <cfRule type="cellIs" dxfId="7" priority="23" operator="greaterThan">
      <formula>0</formula>
    </cfRule>
  </conditionalFormatting>
  <conditionalFormatting sqref="AH453:AI460 AH467:AI468">
    <cfRule type="cellIs" dxfId="6" priority="104" operator="greaterThan">
      <formula>0</formula>
    </cfRule>
  </conditionalFormatting>
  <conditionalFormatting sqref="AH469:AI477 AH480:AI480">
    <cfRule type="cellIs" dxfId="5" priority="105" operator="lessThan">
      <formula>0</formula>
    </cfRule>
  </conditionalFormatting>
  <conditionalFormatting sqref="AH478:AI479">
    <cfRule type="cellIs" dxfId="4" priority="12" operator="greaterThan">
      <formula>0</formula>
    </cfRule>
  </conditionalFormatting>
  <conditionalFormatting sqref="AH491:AI497">
    <cfRule type="cellIs" dxfId="3" priority="9" operator="greaterThan">
      <formula>0</formula>
    </cfRule>
  </conditionalFormatting>
  <conditionalFormatting sqref="AI449:AI451">
    <cfRule type="cellIs" dxfId="2" priority="20" operator="greaterThan">
      <formula>0</formula>
    </cfRule>
  </conditionalFormatting>
  <conditionalFormatting sqref="AI463:AI465">
    <cfRule type="cellIs" dxfId="1" priority="16" operator="greaterThan">
      <formula>0</formula>
    </cfRule>
  </conditionalFormatting>
  <conditionalFormatting sqref="AO409:AO418">
    <cfRule type="cellIs" dxfId="0" priority="26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04"/>
  <sheetViews>
    <sheetView zoomScale="70" zoomScaleNormal="70" workbookViewId="0">
      <selection sqref="A1:XFD1048576"/>
    </sheetView>
  </sheetViews>
  <sheetFormatPr baseColWidth="10" defaultColWidth="12.625" defaultRowHeight="16.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517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"/>
      <c r="C1" s="1" t="s">
        <v>210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289</v>
      </c>
      <c r="T1" s="2" t="s">
        <v>1</v>
      </c>
      <c r="U1" s="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25" thickBot="1">
      <c r="B2" s="7"/>
      <c r="C2" s="8"/>
      <c r="D2" s="456" t="s">
        <v>2</v>
      </c>
      <c r="E2" s="456" t="s">
        <v>3</v>
      </c>
      <c r="F2" s="456" t="s">
        <v>4</v>
      </c>
      <c r="G2" s="456"/>
      <c r="H2" s="456"/>
      <c r="I2" s="456"/>
      <c r="J2" s="456" t="s">
        <v>211</v>
      </c>
      <c r="K2" s="456"/>
      <c r="L2" s="456" t="s">
        <v>212</v>
      </c>
      <c r="M2" s="457"/>
      <c r="N2" s="457"/>
      <c r="O2" s="456" t="s">
        <v>2</v>
      </c>
      <c r="P2" s="456" t="s">
        <v>3</v>
      </c>
      <c r="Q2" s="456" t="s">
        <v>4</v>
      </c>
      <c r="R2" s="10"/>
      <c r="S2" s="10"/>
      <c r="T2" s="10"/>
      <c r="U2" s="10"/>
    </row>
    <row r="3" spans="1:40" ht="21" thickTop="1">
      <c r="B3" s="11"/>
      <c r="C3" s="12"/>
      <c r="D3" s="508" t="s">
        <v>5</v>
      </c>
      <c r="E3" s="509"/>
      <c r="F3" s="510"/>
      <c r="G3" s="511"/>
      <c r="H3" s="509"/>
      <c r="I3" s="510"/>
      <c r="J3" s="511" t="s">
        <v>7</v>
      </c>
      <c r="K3" s="509"/>
      <c r="L3" s="510"/>
      <c r="M3" s="511" t="s">
        <v>213</v>
      </c>
      <c r="N3" s="510"/>
      <c r="O3" s="508" t="s">
        <v>8</v>
      </c>
      <c r="P3" s="509"/>
      <c r="Q3" s="510"/>
      <c r="R3" s="515" t="s">
        <v>214</v>
      </c>
      <c r="S3" s="516"/>
      <c r="T3" s="13"/>
      <c r="U3" s="13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25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215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25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1660512.8381089361</v>
      </c>
      <c r="G5" s="23"/>
      <c r="H5" s="21"/>
      <c r="I5" s="24"/>
      <c r="J5" s="23"/>
      <c r="K5" s="25"/>
      <c r="L5" s="22">
        <v>1337137.3800000001</v>
      </c>
      <c r="M5" s="26"/>
      <c r="N5" s="27"/>
      <c r="O5" s="23"/>
      <c r="P5" s="25"/>
      <c r="Q5" s="22">
        <v>2488233.5999999898</v>
      </c>
      <c r="R5" s="26"/>
      <c r="S5" s="28"/>
      <c r="T5" s="13"/>
      <c r="U5" s="13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25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6</v>
      </c>
      <c r="E6" s="30">
        <f>IF(D6=0,0,F6/D6)</f>
        <v>4306.395348837209</v>
      </c>
      <c r="F6" s="30">
        <v>25838.372093023252</v>
      </c>
      <c r="G6" s="31"/>
      <c r="H6" s="30"/>
      <c r="I6" s="30"/>
      <c r="J6" s="31">
        <v>2</v>
      </c>
      <c r="K6" s="30">
        <f>IF(J6=0,0,L6/J6)</f>
        <v>4989.5299999999988</v>
      </c>
      <c r="L6" s="32">
        <v>9979.0599999999977</v>
      </c>
      <c r="M6" s="31">
        <f t="shared" ref="M6:M12" si="2">J6-D6</f>
        <v>-4</v>
      </c>
      <c r="N6" s="33">
        <f t="shared" ref="N6:N12" si="3">L6-F6</f>
        <v>-15859.312093023254</v>
      </c>
      <c r="O6" s="31">
        <v>12</v>
      </c>
      <c r="P6" s="30">
        <f t="shared" ref="P6:P12" si="4">IF(O6=0,0,Q6/O6)</f>
        <v>6636.944166666658</v>
      </c>
      <c r="Q6" s="32">
        <v>79643.3299999999</v>
      </c>
      <c r="R6" s="31">
        <f>J6-O6</f>
        <v>-10</v>
      </c>
      <c r="S6" s="34">
        <f>L6-Q6</f>
        <v>-69664.269999999902</v>
      </c>
      <c r="T6" s="13"/>
      <c r="U6" s="13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25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10</v>
      </c>
      <c r="E7" s="30">
        <f t="shared" ref="E7:E12" si="5">IF(D7=0,0,F7/D7)</f>
        <v>4000.3311258278145</v>
      </c>
      <c r="F7" s="30">
        <v>40003.311258278147</v>
      </c>
      <c r="G7" s="31"/>
      <c r="H7" s="30"/>
      <c r="I7" s="30"/>
      <c r="J7" s="31">
        <v>6</v>
      </c>
      <c r="K7" s="30">
        <f t="shared" ref="K7:K12" si="6">IF(J7=0,0,L7/J7)</f>
        <v>3057.8933333333334</v>
      </c>
      <c r="L7" s="32">
        <v>18347.36</v>
      </c>
      <c r="M7" s="31">
        <f t="shared" si="2"/>
        <v>-4</v>
      </c>
      <c r="N7" s="33">
        <f t="shared" si="3"/>
        <v>-21655.951258278146</v>
      </c>
      <c r="O7" s="31">
        <v>11</v>
      </c>
      <c r="P7" s="30">
        <f t="shared" si="4"/>
        <v>5085.2609090909364</v>
      </c>
      <c r="Q7" s="32">
        <v>55937.870000000301</v>
      </c>
      <c r="R7" s="31">
        <f t="shared" ref="R7:R12" si="7">J7-O7</f>
        <v>-5</v>
      </c>
      <c r="S7" s="34">
        <f t="shared" ref="S7:S12" si="8">L7-Q7</f>
        <v>-37590.5100000003</v>
      </c>
      <c r="T7" s="13"/>
      <c r="U7" s="1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25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25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25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25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25" hidden="1">
      <c r="A12" t="str">
        <f t="shared" ref="A12:A91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0.25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16</v>
      </c>
      <c r="E13" s="36">
        <f>IF(D13&lt;=0,0,F13/D13)</f>
        <v>4115.1052094563374</v>
      </c>
      <c r="F13" s="37">
        <f>+SUM(F6:F12)</f>
        <v>65841.683351301399</v>
      </c>
      <c r="G13" s="38"/>
      <c r="H13" s="36"/>
      <c r="I13" s="37"/>
      <c r="J13" s="38">
        <f>+SUM(J6:J12)</f>
        <v>8</v>
      </c>
      <c r="K13" s="36">
        <f>IF(J13&lt;=0,0,L13/J13)</f>
        <v>3540.8024999999998</v>
      </c>
      <c r="L13" s="37">
        <f>+SUM(L6:L12)</f>
        <v>28326.42</v>
      </c>
      <c r="M13" s="38">
        <f>+SUM(M6:M12)</f>
        <v>-8</v>
      </c>
      <c r="N13" s="37">
        <f>+SUM(N6:N12)</f>
        <v>-37515.263351301401</v>
      </c>
      <c r="O13" s="38">
        <f>+SUM(O6:O12)</f>
        <v>23</v>
      </c>
      <c r="P13" s="36">
        <f>IF(O13&lt;=0,0,Q13/O13)</f>
        <v>5894.8347826087038</v>
      </c>
      <c r="Q13" s="37">
        <f>+SUM(Q6:Q12)</f>
        <v>135581.20000000019</v>
      </c>
      <c r="R13" s="38">
        <f>+SUM(R6:R12)</f>
        <v>-15</v>
      </c>
      <c r="S13" s="39">
        <f>+SUM(S6:S12)</f>
        <v>-107254.7800000002</v>
      </c>
      <c r="T13" s="13"/>
      <c r="U13" s="13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0.25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-0.5</v>
      </c>
      <c r="N14" s="43">
        <f>IF(F13=0,0,N13/F13)</f>
        <v>-0.56977983310567792</v>
      </c>
      <c r="O14" s="41"/>
      <c r="P14" s="30"/>
      <c r="Q14" s="40"/>
      <c r="R14" s="42">
        <f>R13/O13</f>
        <v>-0.65217391304347827</v>
      </c>
      <c r="S14" s="44">
        <f>IF(Q13=0,0,(S13/Q13))</f>
        <v>-0.7910741312217332</v>
      </c>
      <c r="T14" s="13"/>
      <c r="U14" s="13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0.25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2</v>
      </c>
      <c r="E15" s="25">
        <f>IF(D15=0,0,F15/D15)</f>
        <v>750</v>
      </c>
      <c r="F15" s="22">
        <v>1500</v>
      </c>
      <c r="G15" s="46"/>
      <c r="H15" s="47"/>
      <c r="I15" s="48"/>
      <c r="J15" s="49">
        <v>0</v>
      </c>
      <c r="K15" s="50">
        <f>IF(J15=0,0,L15/J15)</f>
        <v>0</v>
      </c>
      <c r="L15" s="50">
        <v>0</v>
      </c>
      <c r="M15" s="51">
        <f>J15-D15</f>
        <v>-2</v>
      </c>
      <c r="N15" s="48">
        <f>L15-F15</f>
        <v>-1500</v>
      </c>
      <c r="O15" s="49">
        <v>2</v>
      </c>
      <c r="P15" s="50">
        <f>IF(O15=0,0,Q15/O15)</f>
        <v>588.41999999999496</v>
      </c>
      <c r="Q15" s="50">
        <v>1176.8399999999899</v>
      </c>
      <c r="R15" s="51">
        <f>J15-O15</f>
        <v>-2</v>
      </c>
      <c r="S15" s="52">
        <f>L15-Q15</f>
        <v>-1176.8399999999899</v>
      </c>
      <c r="T15" s="13"/>
      <c r="U15" s="13"/>
      <c r="W15" s="458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0.25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0.25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0</v>
      </c>
      <c r="E17" s="30">
        <f>IF(D17=0,0,F17/D17)</f>
        <v>0</v>
      </c>
      <c r="F17" s="30">
        <v>0</v>
      </c>
      <c r="G17" s="31"/>
      <c r="H17" s="30"/>
      <c r="I17" s="30"/>
      <c r="J17" s="51">
        <v>4</v>
      </c>
      <c r="K17" s="30">
        <f>IF(J17=0,0,L17/J17)</f>
        <v>1875.1650000000045</v>
      </c>
      <c r="L17" s="33">
        <v>7500.660000000018</v>
      </c>
      <c r="M17" s="51">
        <f>J17-D17</f>
        <v>4</v>
      </c>
      <c r="N17" s="33">
        <f>L17-F17</f>
        <v>7500.660000000018</v>
      </c>
      <c r="O17" s="51">
        <v>0</v>
      </c>
      <c r="P17" s="30">
        <f>IF(O17=0,0,Q17/O17)</f>
        <v>0</v>
      </c>
      <c r="Q17" s="33">
        <v>0</v>
      </c>
      <c r="R17" s="31">
        <f>J17-O17</f>
        <v>4</v>
      </c>
      <c r="S17" s="34">
        <f>L17-Q17</f>
        <v>7500.660000000018</v>
      </c>
      <c r="T17" s="13"/>
      <c r="U17" s="13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0.25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31"/>
      <c r="K18" s="54"/>
      <c r="L18" s="55"/>
      <c r="M18" s="31"/>
      <c r="N18" s="55"/>
      <c r="O18" s="31"/>
      <c r="P18" s="54"/>
      <c r="Q18" s="55"/>
      <c r="R18" s="56"/>
      <c r="S18" s="57"/>
      <c r="T18" s="13"/>
      <c r="U18" s="1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0.25">
      <c r="A19" t="str">
        <f t="shared" si="9"/>
        <v>Véhicules neufsRachat bail</v>
      </c>
      <c r="B19" s="11" t="str">
        <f t="shared" si="0"/>
        <v>Véhicules neufs</v>
      </c>
      <c r="C19" s="45" t="s">
        <v>23</v>
      </c>
      <c r="D19" s="30">
        <v>0</v>
      </c>
      <c r="E19" s="30">
        <f>IF(D19=0,0,F19/D19)</f>
        <v>0</v>
      </c>
      <c r="F19" s="30">
        <v>1926.107206113109</v>
      </c>
      <c r="G19" s="31"/>
      <c r="H19" s="30"/>
      <c r="I19" s="30"/>
      <c r="J19" s="46"/>
      <c r="K19" s="30"/>
      <c r="L19" s="33">
        <v>999</v>
      </c>
      <c r="M19" s="31"/>
      <c r="N19" s="33">
        <f>L19-F19</f>
        <v>-927.10720611310899</v>
      </c>
      <c r="O19" s="46"/>
      <c r="P19" s="30"/>
      <c r="Q19" s="33">
        <v>1506.8799999999901</v>
      </c>
      <c r="R19" s="31">
        <f>O19-K19</f>
        <v>0</v>
      </c>
      <c r="S19" s="34">
        <f>L19-Q19</f>
        <v>-507.8799999999901</v>
      </c>
      <c r="T19" s="13"/>
      <c r="U19" s="13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0.25">
      <c r="A20" t="str">
        <f t="shared" si="9"/>
        <v>Véhicules neufs</v>
      </c>
      <c r="B20" s="11" t="str">
        <f t="shared" si="0"/>
        <v>Véhicules neufs</v>
      </c>
      <c r="C20" s="35"/>
      <c r="D20" s="54"/>
      <c r="E20" s="54"/>
      <c r="F20" s="55"/>
      <c r="G20" s="56"/>
      <c r="H20" s="54"/>
      <c r="I20" s="55"/>
      <c r="J20" s="31"/>
      <c r="K20" s="54"/>
      <c r="L20" s="55"/>
      <c r="M20" s="56"/>
      <c r="N20" s="55"/>
      <c r="O20" s="31"/>
      <c r="P20" s="54"/>
      <c r="Q20" s="55"/>
      <c r="R20" s="56"/>
      <c r="S20" s="57"/>
      <c r="T20" s="13"/>
      <c r="U20" s="13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25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v>450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-450</v>
      </c>
      <c r="O21" s="31"/>
      <c r="P21" s="30"/>
      <c r="Q21" s="33">
        <v>1241.6099999999999</v>
      </c>
      <c r="R21" s="31">
        <f>O21-K21</f>
        <v>0</v>
      </c>
      <c r="S21" s="34">
        <f>L21-Q21</f>
        <v>-1241.6099999999999</v>
      </c>
      <c r="T21" s="13"/>
      <c r="U21" s="13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25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v>20700</v>
      </c>
      <c r="G22" s="41"/>
      <c r="H22" s="30"/>
      <c r="I22" s="30"/>
      <c r="J22" s="31"/>
      <c r="K22" s="30">
        <f>IF(J13=0,0,L22/(J13+J15))</f>
        <v>912.25</v>
      </c>
      <c r="L22" s="33">
        <v>7298</v>
      </c>
      <c r="M22" s="31"/>
      <c r="N22" s="33">
        <f>L22-F22</f>
        <v>-13402</v>
      </c>
      <c r="O22" s="31"/>
      <c r="P22" s="30"/>
      <c r="Q22" s="33">
        <v>27169.62</v>
      </c>
      <c r="R22" s="31">
        <f>O22-K22</f>
        <v>-912.25</v>
      </c>
      <c r="S22" s="34">
        <f>L22-Q22</f>
        <v>-19871.62</v>
      </c>
      <c r="T22" s="13"/>
      <c r="U22" s="13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25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v>8640</v>
      </c>
      <c r="G23" s="41"/>
      <c r="H23" s="30"/>
      <c r="I23" s="30"/>
      <c r="J23" s="31"/>
      <c r="K23" s="30">
        <f>IF(J13=0,0,L23/(J13+J15))</f>
        <v>891.08125000000018</v>
      </c>
      <c r="L23" s="33">
        <v>7128.6500000000015</v>
      </c>
      <c r="M23" s="51"/>
      <c r="N23" s="33">
        <f>L23-F23</f>
        <v>-1511.3499999999985</v>
      </c>
      <c r="O23" s="31"/>
      <c r="P23" s="30"/>
      <c r="Q23" s="33">
        <v>11508.039999999901</v>
      </c>
      <c r="R23" s="31">
        <f>O23-K23</f>
        <v>-891.08125000000018</v>
      </c>
      <c r="S23" s="34">
        <f>L23-Q23</f>
        <v>-4379.3899999998994</v>
      </c>
      <c r="T23" s="13"/>
      <c r="U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0.25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18</v>
      </c>
      <c r="E24" s="36">
        <f>IF(D24&lt;=0,0,F24/D24)</f>
        <v>1655</v>
      </c>
      <c r="F24" s="37">
        <f>F21+F22+F23</f>
        <v>29790</v>
      </c>
      <c r="G24" s="38"/>
      <c r="H24" s="36"/>
      <c r="I24" s="37"/>
      <c r="J24" s="38">
        <f>+J15+J13</f>
        <v>8</v>
      </c>
      <c r="K24" s="36">
        <f>IF(J24&lt;=0,0,L24/J24)</f>
        <v>1803.3312500000002</v>
      </c>
      <c r="L24" s="37">
        <f>L21+L22+L23</f>
        <v>14426.650000000001</v>
      </c>
      <c r="M24" s="58">
        <f>J24-D24</f>
        <v>-10</v>
      </c>
      <c r="N24" s="37">
        <f>L24-F24</f>
        <v>-15363.349999999999</v>
      </c>
      <c r="O24" s="38">
        <f>+O15+O13</f>
        <v>25</v>
      </c>
      <c r="P24" s="36">
        <f>IF(O24&lt;=0,0,Q24/O24)</f>
        <v>1596.7707999999961</v>
      </c>
      <c r="Q24" s="37">
        <f>Q21+Q22+Q23</f>
        <v>39919.269999999902</v>
      </c>
      <c r="R24" s="56"/>
      <c r="S24" s="39">
        <f>L24-Q24</f>
        <v>-25492.619999999901</v>
      </c>
      <c r="T24" s="13"/>
      <c r="U24" s="13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0.25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-0.51572171869754946</v>
      </c>
      <c r="O25" s="41"/>
      <c r="P25" s="13"/>
      <c r="Q25" s="59"/>
      <c r="R25" s="60"/>
      <c r="S25" s="44">
        <f>IF(Q24=0,0,(S24/Q24))</f>
        <v>-0.63860436325614078</v>
      </c>
      <c r="T25" s="13"/>
      <c r="U25" s="1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18</v>
      </c>
      <c r="E27" s="64">
        <f>IF(D27&lt;=0,0,F27/D27)</f>
        <v>5503.2105865230287</v>
      </c>
      <c r="F27" s="65">
        <f>F13+F17+F24+F19+F15</f>
        <v>99057.790557414512</v>
      </c>
      <c r="G27" s="66"/>
      <c r="H27" s="67"/>
      <c r="I27" s="65"/>
      <c r="J27" s="66">
        <f>+J13+J15+J17</f>
        <v>12</v>
      </c>
      <c r="K27" s="67">
        <f>IF(J27&lt;=0,0,L27/J27)</f>
        <v>4271.0608333333348</v>
      </c>
      <c r="L27" s="65">
        <f>L13+L17+L24+L19+L15</f>
        <v>51252.730000000018</v>
      </c>
      <c r="M27" s="66">
        <f>J27-D27</f>
        <v>-6</v>
      </c>
      <c r="N27" s="65">
        <f>L27-F27</f>
        <v>-47805.060557414494</v>
      </c>
      <c r="O27" s="66">
        <f>+O13+O15+O17</f>
        <v>25</v>
      </c>
      <c r="P27" s="67">
        <f>IF(O27&lt;=0,0,Q27/O27)</f>
        <v>7127.3676000000032</v>
      </c>
      <c r="Q27" s="65">
        <f>Q13+Q17+Q24+Q19+Q15</f>
        <v>178184.19000000009</v>
      </c>
      <c r="R27" s="66">
        <f>J27-O27</f>
        <v>-13</v>
      </c>
      <c r="S27" s="68">
        <f>L27-Q27</f>
        <v>-126931.46000000008</v>
      </c>
      <c r="T27" s="13"/>
      <c r="U27" s="13"/>
      <c r="W27" s="11"/>
      <c r="X27" s="490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-0.33333333333333331</v>
      </c>
      <c r="N28" s="74">
        <f>N27/F27</f>
        <v>-0.48259768654648505</v>
      </c>
      <c r="O28" s="72"/>
      <c r="P28" s="70"/>
      <c r="Q28" s="71"/>
      <c r="R28" s="73">
        <f>R27/O27</f>
        <v>-0.52</v>
      </c>
      <c r="S28" s="75">
        <f>IF(Q27=0,0,S27/Q27)</f>
        <v>-0.71236095637890218</v>
      </c>
      <c r="T28" s="13"/>
      <c r="U28" s="13"/>
      <c r="W28" s="11"/>
      <c r="X28" s="490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0.25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25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8">
        <f>F31/(F13+F15)</f>
        <v>0.30138081928811916</v>
      </c>
      <c r="E31" s="82">
        <f t="shared" ref="E31:E36" si="10">F31/D$24</f>
        <v>1127.5273167031282</v>
      </c>
      <c r="F31" s="30">
        <v>20295.491700656308</v>
      </c>
      <c r="G31" s="157"/>
      <c r="H31" s="82"/>
      <c r="I31" s="30"/>
      <c r="J31" s="157">
        <f>L31/(L13+L15)</f>
        <v>0.32221826831629274</v>
      </c>
      <c r="K31" s="82">
        <f t="shared" ref="K31:K36" si="11">IF(L31=0,0,L31/J$24)</f>
        <v>1140.9112500000001</v>
      </c>
      <c r="L31" s="30">
        <v>9127.2900000000009</v>
      </c>
      <c r="M31" s="41"/>
      <c r="N31" s="59">
        <f t="shared" ref="N31:N53" si="12">L31-F31</f>
        <v>-11168.201700656307</v>
      </c>
      <c r="O31" s="157">
        <f>Q31/(Q13+Q15+Q17)</f>
        <v>0.26180588724436199</v>
      </c>
      <c r="P31" s="82">
        <f t="shared" ref="P31:P40" si="13">Q31/O$24</f>
        <v>1432.1623999999999</v>
      </c>
      <c r="Q31" s="33">
        <v>35804.06</v>
      </c>
      <c r="R31" s="41"/>
      <c r="S31" s="85">
        <f t="shared" ref="S31:S41" si="14">L31-Q31</f>
        <v>-26676.769999999997</v>
      </c>
      <c r="T31" s="13"/>
      <c r="U31" s="1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25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8">
        <f>F32/F24</f>
        <v>0.27500000000000002</v>
      </c>
      <c r="E32" s="88">
        <f t="shared" si="10"/>
        <v>455.125</v>
      </c>
      <c r="F32" s="22">
        <v>8192.25</v>
      </c>
      <c r="G32" s="162"/>
      <c r="H32" s="90"/>
      <c r="I32" s="22"/>
      <c r="J32" s="162">
        <f>L32/L24</f>
        <v>0.32295924556289918</v>
      </c>
      <c r="K32" s="88">
        <f t="shared" si="11"/>
        <v>582.40250000000003</v>
      </c>
      <c r="L32" s="22">
        <v>4659.22</v>
      </c>
      <c r="M32" s="23"/>
      <c r="N32" s="91">
        <f t="shared" si="12"/>
        <v>-3533.0299999999997</v>
      </c>
      <c r="O32" s="162">
        <f>Q32/Q24</f>
        <v>0.3335449270490175</v>
      </c>
      <c r="P32" s="88">
        <f t="shared" si="13"/>
        <v>532.59480000000008</v>
      </c>
      <c r="Q32" s="22">
        <v>13314.87</v>
      </c>
      <c r="R32" s="23"/>
      <c r="S32" s="92">
        <f t="shared" si="14"/>
        <v>-8655.6500000000015</v>
      </c>
      <c r="T32" s="13"/>
      <c r="U32" s="13"/>
      <c r="V32" s="517" t="s">
        <v>259</v>
      </c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25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130</v>
      </c>
      <c r="F33" s="30">
        <v>2340</v>
      </c>
      <c r="G33" s="83"/>
      <c r="H33" s="82"/>
      <c r="I33" s="30"/>
      <c r="J33" s="41"/>
      <c r="K33" s="82">
        <f t="shared" si="11"/>
        <v>0.46250000000000002</v>
      </c>
      <c r="L33" s="30">
        <v>3.7</v>
      </c>
      <c r="M33" s="41"/>
      <c r="N33" s="59">
        <f t="shared" si="12"/>
        <v>-2336.3000000000002</v>
      </c>
      <c r="O33" s="41"/>
      <c r="P33" s="82">
        <f t="shared" si="13"/>
        <v>100.46719999999999</v>
      </c>
      <c r="Q33" s="33">
        <v>2511.6799999999998</v>
      </c>
      <c r="R33" s="41"/>
      <c r="S33" s="85">
        <f t="shared" si="14"/>
        <v>-2507.98</v>
      </c>
      <c r="T33" s="13"/>
      <c r="U33" s="13"/>
      <c r="V33" s="517" t="s">
        <v>260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25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37</v>
      </c>
      <c r="F34" s="30">
        <v>666</v>
      </c>
      <c r="G34" s="83"/>
      <c r="H34" s="82"/>
      <c r="I34" s="30"/>
      <c r="J34" s="41"/>
      <c r="K34" s="82">
        <f t="shared" si="11"/>
        <v>0</v>
      </c>
      <c r="L34" s="30">
        <v>0</v>
      </c>
      <c r="M34" s="41"/>
      <c r="N34" s="59">
        <f t="shared" si="12"/>
        <v>-666</v>
      </c>
      <c r="O34" s="41"/>
      <c r="P34" s="82">
        <f t="shared" si="13"/>
        <v>37.722799999999999</v>
      </c>
      <c r="Q34" s="33">
        <v>943.07</v>
      </c>
      <c r="R34" s="41"/>
      <c r="S34" s="85">
        <f t="shared" si="14"/>
        <v>-943.07</v>
      </c>
      <c r="T34" s="13"/>
      <c r="U34" s="13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25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63.333333333333336</v>
      </c>
      <c r="F35" s="22">
        <v>1140</v>
      </c>
      <c r="G35" s="89"/>
      <c r="H35" s="90"/>
      <c r="I35" s="22"/>
      <c r="J35" s="23"/>
      <c r="K35" s="88">
        <f t="shared" si="11"/>
        <v>356.60874999999999</v>
      </c>
      <c r="L35" s="22">
        <v>2852.87</v>
      </c>
      <c r="M35" s="23"/>
      <c r="N35" s="91">
        <f t="shared" si="12"/>
        <v>1712.87</v>
      </c>
      <c r="O35" s="23"/>
      <c r="P35" s="88">
        <f t="shared" si="13"/>
        <v>83.334800000000001</v>
      </c>
      <c r="Q35" s="33">
        <v>2083.37</v>
      </c>
      <c r="R35" s="23"/>
      <c r="S35" s="92">
        <f t="shared" si="14"/>
        <v>769.5</v>
      </c>
      <c r="T35" s="13"/>
      <c r="U35" s="13"/>
      <c r="V35" s="517" t="s">
        <v>261</v>
      </c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25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513.97058823529414</v>
      </c>
      <c r="F36" s="30">
        <v>9251.4705882352937</v>
      </c>
      <c r="G36" s="83"/>
      <c r="H36" s="82"/>
      <c r="I36" s="30"/>
      <c r="J36" s="41"/>
      <c r="K36" s="82">
        <f t="shared" si="11"/>
        <v>1325.5687499999999</v>
      </c>
      <c r="L36" s="459">
        <v>10604.55</v>
      </c>
      <c r="M36" s="13"/>
      <c r="N36" s="59">
        <f t="shared" si="12"/>
        <v>1353.0794117647056</v>
      </c>
      <c r="O36" s="41"/>
      <c r="P36" s="82">
        <f t="shared" si="13"/>
        <v>813.90160000000003</v>
      </c>
      <c r="Q36" s="55">
        <v>20347.54</v>
      </c>
      <c r="R36" s="41"/>
      <c r="S36" s="85">
        <f t="shared" si="14"/>
        <v>-9742.9900000000016</v>
      </c>
      <c r="T36" s="13"/>
      <c r="U36" s="13"/>
      <c r="V36" s="517" t="s">
        <v>262</v>
      </c>
      <c r="W36" s="517"/>
      <c r="X36" s="458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25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>F37/D$24</f>
        <v>1313.562245429197</v>
      </c>
      <c r="F37" s="30">
        <v>23644.120417725546</v>
      </c>
      <c r="G37" s="83"/>
      <c r="H37" s="82"/>
      <c r="I37" s="30"/>
      <c r="J37" s="41"/>
      <c r="K37" s="82">
        <f>IF(L37=0,0,L37/J$24)</f>
        <v>2816.66</v>
      </c>
      <c r="L37" s="460">
        <v>22533.279999999999</v>
      </c>
      <c r="M37" s="13"/>
      <c r="N37" s="59">
        <f t="shared" si="12"/>
        <v>-1110.840417725547</v>
      </c>
      <c r="O37" s="41"/>
      <c r="P37" s="82">
        <f t="shared" si="13"/>
        <v>1073.2664</v>
      </c>
      <c r="Q37" s="33">
        <v>26831.66</v>
      </c>
      <c r="R37" s="41"/>
      <c r="S37" s="85">
        <f>L37-Q37</f>
        <v>-4298.380000000001</v>
      </c>
      <c r="T37" s="13"/>
      <c r="U37" s="13"/>
      <c r="V37" s="517" t="s">
        <v>263</v>
      </c>
      <c r="W37" s="518">
        <f>21204.8+1328.44</f>
        <v>22533.239999999998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25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>F38/D$24</f>
        <v>0</v>
      </c>
      <c r="F38" s="30">
        <v>0</v>
      </c>
      <c r="G38" s="83"/>
      <c r="H38" s="82"/>
      <c r="I38" s="30"/>
      <c r="J38" s="41"/>
      <c r="K38" s="82">
        <f>IF(L38=0,0,L38/J$24)</f>
        <v>0</v>
      </c>
      <c r="L38" s="460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25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>F39/D$24</f>
        <v>0</v>
      </c>
      <c r="F39" s="30">
        <v>0</v>
      </c>
      <c r="G39" s="83"/>
      <c r="H39" s="82"/>
      <c r="I39" s="30"/>
      <c r="J39" s="41"/>
      <c r="K39" s="82">
        <f>IF(L39=0,0,L39/J$24)</f>
        <v>0</v>
      </c>
      <c r="L39" s="460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25" hidden="1">
      <c r="A40" t="str">
        <f t="shared" ref="A40:A119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>F40/D$24</f>
        <v>0</v>
      </c>
      <c r="F40" s="30">
        <v>0</v>
      </c>
      <c r="G40" s="83"/>
      <c r="H40" s="82"/>
      <c r="I40" s="30"/>
      <c r="J40" s="41"/>
      <c r="K40" s="82">
        <f>IF(L40=0,0,L40/J$24)</f>
        <v>0</v>
      </c>
      <c r="L40" s="461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0.25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0.66152629023797915</v>
      </c>
      <c r="F41" s="96">
        <f>SUM(F31:F40)</f>
        <v>65529.332706617148</v>
      </c>
      <c r="G41" s="97"/>
      <c r="H41" s="95"/>
      <c r="I41" s="96"/>
      <c r="J41" s="97" t="s">
        <v>38</v>
      </c>
      <c r="K41" s="95">
        <f>L41/L$27</f>
        <v>0.97128309067634033</v>
      </c>
      <c r="L41" s="96">
        <f>SUM(L31:L40)</f>
        <v>49780.91</v>
      </c>
      <c r="M41" s="98"/>
      <c r="N41" s="96">
        <f t="shared" si="12"/>
        <v>-15748.422706617144</v>
      </c>
      <c r="O41" s="97" t="s">
        <v>38</v>
      </c>
      <c r="P41" s="95">
        <f>Q41/Q$27</f>
        <v>0.57152236682726987</v>
      </c>
      <c r="Q41" s="99">
        <f>SUM(Q31:Q40)</f>
        <v>101836.25</v>
      </c>
      <c r="R41" s="100"/>
      <c r="S41" s="101">
        <f t="shared" ref="S41:S51" si="16">L41-Q41</f>
        <v>-52055.34</v>
      </c>
      <c r="T41" s="13"/>
      <c r="U41" s="13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25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12763.084482758622</v>
      </c>
      <c r="G42" s="41"/>
      <c r="H42" s="13"/>
      <c r="I42" s="30"/>
      <c r="J42" s="41"/>
      <c r="K42" s="13"/>
      <c r="L42" s="33">
        <v>10268.969999999999</v>
      </c>
      <c r="M42" s="41"/>
      <c r="N42" s="59">
        <f t="shared" si="12"/>
        <v>-2494.1144827586231</v>
      </c>
      <c r="O42" s="41"/>
      <c r="P42" s="13"/>
      <c r="Q42" s="33">
        <v>10172.200000000001</v>
      </c>
      <c r="R42" s="41"/>
      <c r="S42" s="85">
        <f t="shared" si="16"/>
        <v>96.769999999998618</v>
      </c>
      <c r="T42" s="13"/>
      <c r="U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25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10418.90459770115</v>
      </c>
      <c r="G43" s="83"/>
      <c r="H43" s="13"/>
      <c r="I43" s="22"/>
      <c r="J43" s="41"/>
      <c r="K43" s="13"/>
      <c r="L43" s="33">
        <v>7244.51</v>
      </c>
      <c r="M43" s="41"/>
      <c r="N43" s="59">
        <f t="shared" si="12"/>
        <v>-3174.3945977011499</v>
      </c>
      <c r="O43" s="41"/>
      <c r="P43" s="13"/>
      <c r="Q43" s="33">
        <v>10762.7</v>
      </c>
      <c r="R43" s="41"/>
      <c r="S43" s="85">
        <f t="shared" si="16"/>
        <v>-3518.1900000000005</v>
      </c>
      <c r="T43" s="13"/>
      <c r="U43" s="13"/>
      <c r="V43" s="517" t="s">
        <v>264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25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342</v>
      </c>
      <c r="G44" s="106"/>
      <c r="H44" s="105"/>
      <c r="I44" s="30"/>
      <c r="J44" s="107"/>
      <c r="K44" s="105"/>
      <c r="L44" s="108">
        <v>0</v>
      </c>
      <c r="M44" s="107"/>
      <c r="N44" s="109">
        <f t="shared" si="12"/>
        <v>-342</v>
      </c>
      <c r="O44" s="107"/>
      <c r="P44" s="105"/>
      <c r="Q44" s="108">
        <v>342</v>
      </c>
      <c r="R44" s="107"/>
      <c r="S44" s="110">
        <f t="shared" si="16"/>
        <v>-342</v>
      </c>
      <c r="T44" s="13"/>
      <c r="U44" s="13"/>
      <c r="V44" s="517" t="s">
        <v>265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25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25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25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25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25">
      <c r="A49" t="str">
        <f t="shared" ref="A49:A128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11141.725772760459</v>
      </c>
      <c r="G49" s="83"/>
      <c r="H49" s="13"/>
      <c r="I49" s="22"/>
      <c r="J49" s="41"/>
      <c r="K49" s="13"/>
      <c r="L49" s="22">
        <v>8138.77</v>
      </c>
      <c r="M49" s="41"/>
      <c r="N49" s="59">
        <f t="shared" si="12"/>
        <v>-3002.9557727604588</v>
      </c>
      <c r="O49" s="41"/>
      <c r="P49" s="13"/>
      <c r="Q49" s="22">
        <v>14638.9</v>
      </c>
      <c r="R49" s="41"/>
      <c r="S49" s="85">
        <f t="shared" ref="S49:S60" si="18">L49-Q49</f>
        <v>-6500.1299999999992</v>
      </c>
      <c r="T49" s="13"/>
      <c r="U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25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6684.795919975616</v>
      </c>
      <c r="G50" s="106"/>
      <c r="H50" s="105"/>
      <c r="I50" s="30"/>
      <c r="J50" s="107"/>
      <c r="K50" s="105"/>
      <c r="L50" s="33">
        <v>6796.55</v>
      </c>
      <c r="M50" s="107"/>
      <c r="N50" s="109">
        <f t="shared" si="12"/>
        <v>111.75408002438417</v>
      </c>
      <c r="O50" s="107"/>
      <c r="P50" s="105"/>
      <c r="Q50" s="33">
        <v>8819.43</v>
      </c>
      <c r="R50" s="107"/>
      <c r="S50" s="110">
        <f t="shared" si="18"/>
        <v>-2022.88</v>
      </c>
      <c r="T50" s="13"/>
      <c r="U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25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4104.6992491078345</v>
      </c>
      <c r="G51" s="83"/>
      <c r="H51" s="13"/>
      <c r="I51" s="30"/>
      <c r="J51" s="41"/>
      <c r="K51" s="13"/>
      <c r="L51" s="33">
        <v>3722.69</v>
      </c>
      <c r="M51" s="41"/>
      <c r="N51" s="59">
        <f t="shared" si="12"/>
        <v>-382.00924910783442</v>
      </c>
      <c r="O51" s="41"/>
      <c r="P51" s="13"/>
      <c r="Q51" s="33">
        <v>6289</v>
      </c>
      <c r="R51" s="41"/>
      <c r="S51" s="85">
        <f t="shared" si="18"/>
        <v>-2566.31</v>
      </c>
      <c r="T51" s="13"/>
      <c r="U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25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879.57841052310732</v>
      </c>
      <c r="G52" s="83"/>
      <c r="H52" s="13"/>
      <c r="I52" s="30"/>
      <c r="J52" s="41"/>
      <c r="K52" s="13"/>
      <c r="L52" s="33">
        <v>1572.23</v>
      </c>
      <c r="M52" s="41"/>
      <c r="N52" s="59">
        <f t="shared" si="12"/>
        <v>692.6515894768927</v>
      </c>
      <c r="O52" s="41"/>
      <c r="P52" s="13"/>
      <c r="Q52" s="33">
        <v>124.53</v>
      </c>
      <c r="R52" s="41"/>
      <c r="S52" s="85">
        <f t="shared" si="18"/>
        <v>1447.7</v>
      </c>
      <c r="T52" s="13"/>
      <c r="U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25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0.25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0.46775511721080493</v>
      </c>
      <c r="F54" s="96">
        <f>+SUM(F42:F53)</f>
        <v>46334.78843282679</v>
      </c>
      <c r="G54" s="97"/>
      <c r="H54" s="95"/>
      <c r="I54" s="96"/>
      <c r="J54" s="97" t="s">
        <v>38</v>
      </c>
      <c r="K54" s="95">
        <f>L54/L$27</f>
        <v>0.73642360124036299</v>
      </c>
      <c r="L54" s="96">
        <f>+SUM(L42:L53)</f>
        <v>37743.72</v>
      </c>
      <c r="M54" s="100"/>
      <c r="N54" s="96">
        <f>+SUM(N42:N53)</f>
        <v>-8591.0684328267889</v>
      </c>
      <c r="O54" s="97" t="s">
        <v>38</v>
      </c>
      <c r="P54" s="95">
        <f>Q54/Q$27</f>
        <v>0.28705554628612101</v>
      </c>
      <c r="Q54" s="96">
        <f>+SUM(Q42:Q53)</f>
        <v>51148.76</v>
      </c>
      <c r="R54" s="100"/>
      <c r="S54" s="101">
        <f>+SUM(S42:S53)</f>
        <v>-13405.039999999999</v>
      </c>
      <c r="T54" s="82"/>
      <c r="U54" s="13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25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71" si="20">L55-Q55</f>
        <v>0</v>
      </c>
      <c r="T55" s="82"/>
      <c r="U55" s="1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25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0.25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6620.9333333333325</v>
      </c>
      <c r="G57" s="89"/>
      <c r="H57" s="111"/>
      <c r="I57" s="22"/>
      <c r="J57" s="23"/>
      <c r="K57" s="111"/>
      <c r="L57" s="22">
        <v>2004.38</v>
      </c>
      <c r="M57" s="23"/>
      <c r="N57" s="91">
        <f t="shared" si="19"/>
        <v>-4616.5533333333324</v>
      </c>
      <c r="O57" s="23"/>
      <c r="P57" s="111"/>
      <c r="Q57" s="22">
        <v>10008.93</v>
      </c>
      <c r="R57" s="23"/>
      <c r="S57" s="92">
        <f t="shared" si="20"/>
        <v>-8004.55</v>
      </c>
      <c r="T57" s="112"/>
      <c r="U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25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4878.3</v>
      </c>
      <c r="G58" s="83"/>
      <c r="H58" s="13"/>
      <c r="I58" s="30"/>
      <c r="J58" s="41"/>
      <c r="K58" s="13"/>
      <c r="L58" s="33">
        <v>5491.56</v>
      </c>
      <c r="M58" s="41"/>
      <c r="N58" s="59">
        <f t="shared" si="19"/>
        <v>613.26000000000022</v>
      </c>
      <c r="O58" s="41"/>
      <c r="P58" s="13"/>
      <c r="Q58" s="33">
        <v>4493.79</v>
      </c>
      <c r="R58" s="41"/>
      <c r="S58" s="85">
        <f t="shared" si="20"/>
        <v>997.77000000000044</v>
      </c>
      <c r="T58" s="82"/>
      <c r="U58" s="13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25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825</v>
      </c>
      <c r="G59" s="83"/>
      <c r="H59" s="13"/>
      <c r="I59" s="30"/>
      <c r="J59" s="41"/>
      <c r="K59" s="13"/>
      <c r="L59" s="33">
        <v>229.19</v>
      </c>
      <c r="M59" s="41"/>
      <c r="N59" s="59">
        <f t="shared" si="19"/>
        <v>-595.80999999999995</v>
      </c>
      <c r="O59" s="41"/>
      <c r="P59" s="13"/>
      <c r="Q59" s="33">
        <v>1127.21</v>
      </c>
      <c r="R59" s="41"/>
      <c r="S59" s="85">
        <f t="shared" si="20"/>
        <v>-898.02</v>
      </c>
      <c r="T59" s="13"/>
      <c r="U59" s="13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25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3314.7000000000003</v>
      </c>
      <c r="G60" s="89"/>
      <c r="H60" s="111"/>
      <c r="I60" s="22"/>
      <c r="J60" s="23"/>
      <c r="K60" s="111"/>
      <c r="L60" s="22">
        <v>4998.7700000000004</v>
      </c>
      <c r="M60" s="23"/>
      <c r="N60" s="91">
        <f t="shared" si="19"/>
        <v>1684.0700000000002</v>
      </c>
      <c r="O60" s="23"/>
      <c r="P60" s="111"/>
      <c r="Q60" s="22">
        <v>4492.53</v>
      </c>
      <c r="R60" s="23"/>
      <c r="S60" s="92">
        <f t="shared" si="20"/>
        <v>506.24000000000069</v>
      </c>
      <c r="T60" s="13"/>
      <c r="U60" s="13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25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40</v>
      </c>
      <c r="G61" s="83"/>
      <c r="H61" s="13"/>
      <c r="I61" s="30"/>
      <c r="J61" s="41"/>
      <c r="K61" s="13"/>
      <c r="L61" s="33">
        <v>13.12</v>
      </c>
      <c r="M61" s="41"/>
      <c r="N61" s="59">
        <f t="shared" si="19"/>
        <v>-26.880000000000003</v>
      </c>
      <c r="O61" s="41"/>
      <c r="P61" s="13"/>
      <c r="Q61" s="33">
        <v>486.48</v>
      </c>
      <c r="R61" s="41"/>
      <c r="S61" s="85">
        <f t="shared" si="20"/>
        <v>-473.36</v>
      </c>
      <c r="T61" s="13"/>
      <c r="U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25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0</v>
      </c>
      <c r="R62" s="41"/>
      <c r="S62" s="85">
        <f t="shared" si="20"/>
        <v>0</v>
      </c>
      <c r="T62" s="13"/>
      <c r="U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25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708.75</v>
      </c>
      <c r="G63" s="83"/>
      <c r="H63" s="13"/>
      <c r="I63" s="30"/>
      <c r="J63" s="41"/>
      <c r="K63" s="13"/>
      <c r="L63" s="32">
        <v>170.18</v>
      </c>
      <c r="M63" s="41"/>
      <c r="N63" s="59">
        <f t="shared" si="19"/>
        <v>-538.56999999999994</v>
      </c>
      <c r="O63" s="41"/>
      <c r="P63" s="13"/>
      <c r="Q63" s="32">
        <v>483.35</v>
      </c>
      <c r="R63" s="41"/>
      <c r="S63" s="85">
        <f t="shared" si="20"/>
        <v>-313.17</v>
      </c>
      <c r="T63" s="13"/>
      <c r="U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25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210.4</v>
      </c>
      <c r="G64" s="83"/>
      <c r="H64" s="13"/>
      <c r="I64" s="30"/>
      <c r="J64" s="41"/>
      <c r="K64" s="13"/>
      <c r="L64" s="33">
        <v>350.52</v>
      </c>
      <c r="M64" s="41"/>
      <c r="N64" s="59">
        <f t="shared" si="19"/>
        <v>140.11999999999998</v>
      </c>
      <c r="O64" s="41"/>
      <c r="P64" s="13"/>
      <c r="Q64" s="33">
        <v>190.85</v>
      </c>
      <c r="R64" s="41"/>
      <c r="S64" s="85">
        <f t="shared" si="20"/>
        <v>159.66999999999999</v>
      </c>
      <c r="T64" s="13"/>
      <c r="U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25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202.5</v>
      </c>
      <c r="G65" s="83"/>
      <c r="H65" s="13"/>
      <c r="I65" s="30"/>
      <c r="J65" s="41"/>
      <c r="K65" s="13"/>
      <c r="L65" s="33">
        <v>88.66</v>
      </c>
      <c r="M65" s="41"/>
      <c r="N65" s="59">
        <f t="shared" si="19"/>
        <v>-113.84</v>
      </c>
      <c r="O65" s="41"/>
      <c r="P65" s="13"/>
      <c r="Q65" s="33">
        <v>242.21</v>
      </c>
      <c r="R65" s="41"/>
      <c r="S65" s="85">
        <f t="shared" si="20"/>
        <v>-153.55000000000001</v>
      </c>
      <c r="T65" s="13"/>
      <c r="U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25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783.45</v>
      </c>
      <c r="G66" s="83"/>
      <c r="H66" s="13"/>
      <c r="I66" s="30"/>
      <c r="J66" s="41"/>
      <c r="K66" s="13"/>
      <c r="L66" s="33">
        <v>203.99</v>
      </c>
      <c r="M66" s="41"/>
      <c r="N66" s="59">
        <f t="shared" si="19"/>
        <v>-579.46</v>
      </c>
      <c r="O66" s="41"/>
      <c r="P66" s="13"/>
      <c r="Q66" s="33">
        <v>1075.4099999999901</v>
      </c>
      <c r="R66" s="41"/>
      <c r="S66" s="85">
        <f t="shared" si="20"/>
        <v>-871.41999999999007</v>
      </c>
      <c r="T66" s="13"/>
      <c r="U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25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558.18350999999984</v>
      </c>
      <c r="G67" s="83"/>
      <c r="H67" s="13"/>
      <c r="I67" s="30"/>
      <c r="J67" s="41"/>
      <c r="K67" s="13"/>
      <c r="L67" s="33">
        <v>925.53</v>
      </c>
      <c r="M67" s="41"/>
      <c r="N67" s="59">
        <f t="shared" si="19"/>
        <v>367.34649000000013</v>
      </c>
      <c r="O67" s="41"/>
      <c r="P67" s="13"/>
      <c r="Q67" s="33">
        <v>331.76</v>
      </c>
      <c r="R67" s="41"/>
      <c r="S67" s="85">
        <f>L67-Q67</f>
        <v>593.77</v>
      </c>
      <c r="T67" s="13"/>
      <c r="U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25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2142.5664258565575</v>
      </c>
      <c r="G68" s="83"/>
      <c r="H68" s="13"/>
      <c r="I68" s="30"/>
      <c r="J68" s="41"/>
      <c r="K68" s="13"/>
      <c r="L68" s="32">
        <v>2301.85</v>
      </c>
      <c r="M68" s="41"/>
      <c r="N68" s="59">
        <f t="shared" si="19"/>
        <v>159.28357414344237</v>
      </c>
      <c r="O68" s="41"/>
      <c r="P68" s="13"/>
      <c r="Q68" s="33">
        <v>2556.62</v>
      </c>
      <c r="R68" s="41"/>
      <c r="S68" s="85">
        <f>L68-Q68</f>
        <v>-254.76999999999998</v>
      </c>
      <c r="T68" s="13"/>
      <c r="U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25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25" hidden="1">
      <c r="A70" t="str">
        <f t="shared" ref="A70:A149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86" si="22">L70-Q70</f>
        <v>0</v>
      </c>
      <c r="T70" s="13"/>
      <c r="U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25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0.25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0.20508011691836919</v>
      </c>
      <c r="F72" s="96">
        <f>+SUM(F55:F71)</f>
        <v>20314.783269189895</v>
      </c>
      <c r="G72" s="97"/>
      <c r="H72" s="95"/>
      <c r="I72" s="96"/>
      <c r="J72" s="97" t="s">
        <v>38</v>
      </c>
      <c r="K72" s="95">
        <f>L72/L$27</f>
        <v>0.32735329415623321</v>
      </c>
      <c r="L72" s="96">
        <f>+SUM(L55:L71)</f>
        <v>16777.750000000004</v>
      </c>
      <c r="M72" s="100"/>
      <c r="N72" s="96">
        <f>+SUM(N55:N71)</f>
        <v>-3537.0332691898907</v>
      </c>
      <c r="O72" s="97" t="s">
        <v>38</v>
      </c>
      <c r="P72" s="95">
        <f>Q72/Q$27</f>
        <v>0.14304939175580039</v>
      </c>
      <c r="Q72" s="96">
        <f>+SUM(Q55:Q71)</f>
        <v>25489.139999999981</v>
      </c>
      <c r="R72" s="100"/>
      <c r="S72" s="101">
        <f>+SUM(S55:S71)</f>
        <v>-8711.3899999999885</v>
      </c>
      <c r="T72" s="13"/>
      <c r="U72" s="1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25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0.25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1.3343615243671532</v>
      </c>
      <c r="F74" s="96">
        <f>F41+F54+F72</f>
        <v>132178.90440863383</v>
      </c>
      <c r="G74" s="97"/>
      <c r="H74" s="95"/>
      <c r="I74" s="96"/>
      <c r="J74" s="97" t="s">
        <v>38</v>
      </c>
      <c r="K74" s="95">
        <f>L74/L$27</f>
        <v>2.0350599860729366</v>
      </c>
      <c r="L74" s="96">
        <f>L41+L54+L72</f>
        <v>104302.38</v>
      </c>
      <c r="M74" s="100"/>
      <c r="N74" s="113">
        <f t="shared" ref="N74:N82" si="23">L74-F74</f>
        <v>-27876.524408633821</v>
      </c>
      <c r="O74" s="97" t="s">
        <v>38</v>
      </c>
      <c r="P74" s="95">
        <f>Q74/Q$27</f>
        <v>1.0016273048691913</v>
      </c>
      <c r="Q74" s="96">
        <f>Q41+Q54+Q72</f>
        <v>178474.15</v>
      </c>
      <c r="R74" s="100"/>
      <c r="S74" s="114">
        <f>L74-Q74</f>
        <v>-74171.76999999999</v>
      </c>
      <c r="T74" s="13"/>
      <c r="U74" s="1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25">
      <c r="A75" t="str">
        <f t="shared" si="21"/>
        <v>Véhicules neufsRBSC neuf</v>
      </c>
      <c r="B75" s="11" t="str">
        <f t="shared" si="0"/>
        <v>Véhicules neufs</v>
      </c>
      <c r="C75" s="29" t="s">
        <v>216</v>
      </c>
      <c r="D75" s="81"/>
      <c r="E75" s="13"/>
      <c r="F75" s="30">
        <v>28493.201912727272</v>
      </c>
      <c r="G75" s="83"/>
      <c r="H75" s="13"/>
      <c r="I75" s="30"/>
      <c r="J75" s="41"/>
      <c r="K75" s="13"/>
      <c r="L75" s="32">
        <v>20598</v>
      </c>
      <c r="M75" s="41"/>
      <c r="N75" s="59">
        <f t="shared" si="23"/>
        <v>-7895.2019127272724</v>
      </c>
      <c r="O75" s="41"/>
      <c r="P75" s="13"/>
      <c r="Q75" s="32">
        <v>31920</v>
      </c>
      <c r="R75" s="41"/>
      <c r="S75" s="85">
        <f>L75-Q75</f>
        <v>-11322</v>
      </c>
      <c r="T75" s="13"/>
      <c r="U75" s="1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25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188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25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82" si="24">L77-Q77</f>
        <v>0</v>
      </c>
      <c r="T77" s="13"/>
      <c r="U77" s="1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25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30803.461527272728</v>
      </c>
      <c r="G78" s="83"/>
      <c r="H78" s="13"/>
      <c r="I78" s="30"/>
      <c r="J78" s="41"/>
      <c r="K78" s="13"/>
      <c r="L78" s="33">
        <v>32718</v>
      </c>
      <c r="M78" s="41"/>
      <c r="N78" s="59">
        <f t="shared" si="23"/>
        <v>1914.5384727272722</v>
      </c>
      <c r="O78" s="41"/>
      <c r="P78" s="13"/>
      <c r="Q78" s="32">
        <v>44065</v>
      </c>
      <c r="R78" s="41"/>
      <c r="S78" s="85">
        <f t="shared" si="24"/>
        <v>-11347</v>
      </c>
      <c r="T78" s="13"/>
      <c r="U78" s="13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25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25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25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25">
      <c r="A82" t="str">
        <f t="shared" ref="A82:A161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10549.35</v>
      </c>
      <c r="G82" s="83"/>
      <c r="H82" s="13"/>
      <c r="I82" s="30"/>
      <c r="J82" s="41"/>
      <c r="K82" s="13"/>
      <c r="L82" s="32">
        <v>4165</v>
      </c>
      <c r="M82" s="41"/>
      <c r="N82" s="59">
        <f t="shared" si="23"/>
        <v>-6384.35</v>
      </c>
      <c r="O82" s="41"/>
      <c r="P82" s="13"/>
      <c r="Q82" s="32">
        <v>14875</v>
      </c>
      <c r="R82" s="41"/>
      <c r="S82" s="85">
        <f t="shared" ref="S82:S87" si="26">L82-Q82</f>
        <v>-10710</v>
      </c>
      <c r="T82" s="13"/>
      <c r="U82" s="13"/>
      <c r="V82" s="517">
        <f>L82/595</f>
        <v>7</v>
      </c>
      <c r="W82" s="489">
        <f>V82/J27</f>
        <v>0.58333333333333337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0.25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69846.01344000001</v>
      </c>
      <c r="G83" s="97"/>
      <c r="H83" s="95"/>
      <c r="I83" s="96"/>
      <c r="J83" s="97"/>
      <c r="K83" s="95"/>
      <c r="L83" s="96">
        <f>+SUM(L75:L82)</f>
        <v>57481</v>
      </c>
      <c r="M83" s="100"/>
      <c r="N83" s="96">
        <f>+SUM(N75:N82)</f>
        <v>-12365.013440000001</v>
      </c>
      <c r="O83" s="97"/>
      <c r="P83" s="95"/>
      <c r="Q83" s="96">
        <f>+SUM(Q75:Q82)</f>
        <v>90860</v>
      </c>
      <c r="R83" s="100"/>
      <c r="S83" s="101">
        <f>+SUM(S75:S82)</f>
        <v>-33379</v>
      </c>
      <c r="T83" s="13"/>
      <c r="U83" s="13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0.25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36724.899588780696</v>
      </c>
      <c r="G85" s="128"/>
      <c r="H85" s="126"/>
      <c r="I85" s="127"/>
      <c r="J85" s="128"/>
      <c r="K85" s="125"/>
      <c r="L85" s="127">
        <f>L27-L74+L83</f>
        <v>4431.3500000000131</v>
      </c>
      <c r="M85" s="128"/>
      <c r="N85" s="127">
        <f>N27-N41-N54-N72+N83</f>
        <v>-32293.549588780668</v>
      </c>
      <c r="O85" s="128"/>
      <c r="P85" s="125"/>
      <c r="Q85" s="127">
        <f>Q27-Q74+Q83</f>
        <v>90570.040000000095</v>
      </c>
      <c r="R85" s="128"/>
      <c r="S85" s="129">
        <f>S27-S41-S54-S72+S83</f>
        <v>-86138.69000000009</v>
      </c>
      <c r="T85" s="13"/>
      <c r="U85" s="13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3.25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25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Décembre 2025</v>
      </c>
      <c r="T89" s="6"/>
      <c r="U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7.25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" thickTop="1">
      <c r="B91" s="11"/>
      <c r="C91" s="12"/>
      <c r="D91" s="508" t="s">
        <v>5</v>
      </c>
      <c r="E91" s="509"/>
      <c r="F91" s="510"/>
      <c r="G91" s="511"/>
      <c r="H91" s="509"/>
      <c r="I91" s="510"/>
      <c r="J91" s="511" t="s">
        <v>7</v>
      </c>
      <c r="K91" s="509"/>
      <c r="L91" s="510"/>
      <c r="M91" s="511" t="s">
        <v>213</v>
      </c>
      <c r="N91" s="510"/>
      <c r="O91" s="508" t="s">
        <v>8</v>
      </c>
      <c r="P91" s="509"/>
      <c r="Q91" s="510"/>
      <c r="R91" s="515" t="s">
        <v>214</v>
      </c>
      <c r="S91" s="516"/>
      <c r="T91" s="13"/>
      <c r="U91" s="1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25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215</v>
      </c>
      <c r="N92" s="134" t="s">
        <v>217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25">
      <c r="A93" t="str">
        <f t="shared" ref="A93:A158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886117.6470588235</v>
      </c>
      <c r="G93" s="46"/>
      <c r="H93" s="25"/>
      <c r="I93" s="22"/>
      <c r="J93" s="23"/>
      <c r="K93" s="25"/>
      <c r="L93" s="22">
        <v>324028.27999999997</v>
      </c>
      <c r="M93" s="137"/>
      <c r="N93" s="138"/>
      <c r="O93" s="23"/>
      <c r="P93" s="25"/>
      <c r="Q93" s="22">
        <v>1409394.12</v>
      </c>
      <c r="R93" s="137"/>
      <c r="S93" s="139"/>
      <c r="T93" s="13"/>
      <c r="U93" s="13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25">
      <c r="A94" t="str">
        <f t="shared" si="27"/>
        <v>Véhicules usagésCertifié</v>
      </c>
      <c r="B94" s="11" t="s">
        <v>70</v>
      </c>
      <c r="C94" s="29" t="s">
        <v>72</v>
      </c>
      <c r="D94" s="30">
        <v>4</v>
      </c>
      <c r="E94" s="30">
        <f>IF(D94=0,0,F94/D94)</f>
        <v>2300</v>
      </c>
      <c r="F94" s="30">
        <v>9200</v>
      </c>
      <c r="G94" s="31"/>
      <c r="H94" s="30"/>
      <c r="I94" s="30"/>
      <c r="J94" s="31">
        <v>3</v>
      </c>
      <c r="K94" s="30">
        <f>IF(J94=0,0,L94/J94)</f>
        <v>1877.2533333333324</v>
      </c>
      <c r="L94" s="33">
        <v>5631.7599999999975</v>
      </c>
      <c r="M94" s="31">
        <f>J94-D94</f>
        <v>-1</v>
      </c>
      <c r="N94" s="33">
        <f>L94-F94</f>
        <v>-3568.2400000000025</v>
      </c>
      <c r="O94" s="31">
        <v>5</v>
      </c>
      <c r="P94" s="30">
        <f t="shared" ref="P94:P96" si="28">IF(O94=0,0,Q94/O94)</f>
        <v>2218.59</v>
      </c>
      <c r="Q94" s="33">
        <v>11092.95</v>
      </c>
      <c r="R94" s="31">
        <f>J94-O94</f>
        <v>-2</v>
      </c>
      <c r="S94" s="34">
        <f>L94-Q94</f>
        <v>-5461.1900000000032</v>
      </c>
      <c r="T94" s="13"/>
      <c r="U94" s="13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0.25">
      <c r="A95" t="str">
        <f t="shared" si="27"/>
        <v>Véhicules usagésNon Certifié</v>
      </c>
      <c r="B95" s="11" t="s">
        <v>70</v>
      </c>
      <c r="C95" s="29" t="s">
        <v>73</v>
      </c>
      <c r="D95" s="30">
        <v>4</v>
      </c>
      <c r="E95" s="30">
        <f t="shared" ref="E95:E105" si="29">IF(D95=0,0,F95/D95)</f>
        <v>1600</v>
      </c>
      <c r="F95" s="30">
        <v>6400</v>
      </c>
      <c r="G95" s="31"/>
      <c r="H95" s="30"/>
      <c r="I95" s="30"/>
      <c r="J95" s="31">
        <v>2</v>
      </c>
      <c r="K95" s="30">
        <f>IF(J95=0,0,L95/J95)</f>
        <v>968.67500000000325</v>
      </c>
      <c r="L95" s="32">
        <v>1937.3500000000065</v>
      </c>
      <c r="M95" s="31">
        <f>J95-D95</f>
        <v>-2</v>
      </c>
      <c r="N95" s="33">
        <f>L95-F95</f>
        <v>-4462.6499999999933</v>
      </c>
      <c r="O95" s="31">
        <v>7</v>
      </c>
      <c r="P95" s="30">
        <f t="shared" si="28"/>
        <v>-183.16857142857</v>
      </c>
      <c r="Q95" s="32">
        <v>-1282.1799999999901</v>
      </c>
      <c r="R95" s="31">
        <f>J95-O95</f>
        <v>-5</v>
      </c>
      <c r="S95" s="34">
        <f>L95-Q95</f>
        <v>3219.5299999999966</v>
      </c>
      <c r="T95" s="13"/>
      <c r="U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0.25">
      <c r="A96" t="str">
        <f t="shared" si="27"/>
        <v>Véhicules usagésAutres marques</v>
      </c>
      <c r="B96" s="11" t="s">
        <v>70</v>
      </c>
      <c r="C96" s="29" t="s">
        <v>207</v>
      </c>
      <c r="D96" s="30">
        <v>4</v>
      </c>
      <c r="E96" s="25">
        <f t="shared" si="29"/>
        <v>1500</v>
      </c>
      <c r="F96" s="30">
        <v>6000</v>
      </c>
      <c r="G96" s="31"/>
      <c r="H96" s="30"/>
      <c r="I96" s="30"/>
      <c r="J96" s="31">
        <v>0</v>
      </c>
      <c r="K96" s="30">
        <f>IF(J96=0,0,L96/J96)</f>
        <v>0</v>
      </c>
      <c r="L96" s="32">
        <v>0</v>
      </c>
      <c r="M96" s="31">
        <f>J96-D96</f>
        <v>-4</v>
      </c>
      <c r="N96" s="33">
        <f>L96-F96</f>
        <v>-6000</v>
      </c>
      <c r="O96" s="31">
        <v>1</v>
      </c>
      <c r="P96" s="30">
        <f t="shared" si="28"/>
        <v>500</v>
      </c>
      <c r="Q96" s="32">
        <v>500</v>
      </c>
      <c r="R96" s="31">
        <f>J96-O96</f>
        <v>-1</v>
      </c>
      <c r="S96" s="34">
        <f>L96-Q96</f>
        <v>-500</v>
      </c>
      <c r="T96" s="13"/>
      <c r="U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0.25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12</v>
      </c>
      <c r="E97" s="30">
        <f t="shared" si="29"/>
        <v>1800</v>
      </c>
      <c r="F97" s="37">
        <f>+F94+F95+F96</f>
        <v>21600</v>
      </c>
      <c r="G97" s="38"/>
      <c r="H97" s="36"/>
      <c r="I97" s="37"/>
      <c r="J97" s="38">
        <f>+J94+J95+J96</f>
        <v>5</v>
      </c>
      <c r="K97" s="36">
        <f>IF(J97&lt;=0,0,L97/J97)</f>
        <v>1513.8220000000008</v>
      </c>
      <c r="L97" s="37">
        <f>+L94+L95+L96</f>
        <v>7569.1100000000042</v>
      </c>
      <c r="M97" s="38">
        <f>J97-D97</f>
        <v>-7</v>
      </c>
      <c r="N97" s="37">
        <f>L97-F97</f>
        <v>-14030.889999999996</v>
      </c>
      <c r="O97" s="38">
        <f>+O95+O94+O96</f>
        <v>13</v>
      </c>
      <c r="P97" s="36">
        <f>IF(O97=0,0,Q97/O97)</f>
        <v>793.13615384615468</v>
      </c>
      <c r="Q97" s="37">
        <f>+Q94+Q95+Q96</f>
        <v>10310.770000000011</v>
      </c>
      <c r="R97" s="38">
        <f>J97-O97</f>
        <v>-8</v>
      </c>
      <c r="S97" s="39">
        <f>L97-Q97</f>
        <v>-2741.6600000000071</v>
      </c>
      <c r="T97" s="13"/>
      <c r="U97" s="13"/>
      <c r="W97" s="462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0.25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-0.58333333333333337</v>
      </c>
      <c r="N98" s="43">
        <f>N97/F97</f>
        <v>-0.64957824074074055</v>
      </c>
      <c r="O98" s="41"/>
      <c r="P98" s="13"/>
      <c r="Q98" s="40"/>
      <c r="R98" s="42">
        <f>R97/O97</f>
        <v>-0.61538461538461542</v>
      </c>
      <c r="S98" s="44">
        <f>IF(Q97=0,0,(S97/Q97))</f>
        <v>-0.26590254656053858</v>
      </c>
      <c r="T98" s="13"/>
      <c r="U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0.25">
      <c r="A99" t="str">
        <f t="shared" si="27"/>
        <v>Véhicules usagés</v>
      </c>
      <c r="B99" s="11" t="s">
        <v>70</v>
      </c>
      <c r="C99" s="29"/>
      <c r="D99" s="30"/>
      <c r="E99" s="30"/>
      <c r="F99" s="30"/>
      <c r="G99" s="41"/>
      <c r="H99" s="30"/>
      <c r="I99" s="30"/>
      <c r="J99" s="31"/>
      <c r="K99" s="30"/>
      <c r="L99" s="33"/>
      <c r="M99" s="31"/>
      <c r="N99" s="33"/>
      <c r="O99" s="31"/>
      <c r="P99" s="30"/>
      <c r="Q99" s="33"/>
      <c r="R99" s="31"/>
      <c r="S99" s="34"/>
      <c r="T99" s="13"/>
      <c r="U99" s="13"/>
      <c r="W99" s="13"/>
      <c r="X99" s="13"/>
      <c r="Y99" s="13"/>
      <c r="Z99" s="13"/>
      <c r="AA99" s="13"/>
      <c r="AB99" s="13"/>
      <c r="AC99" s="11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20.25">
      <c r="A100" t="str">
        <f t="shared" si="27"/>
        <v>Véhicules usagésVentes au Gros</v>
      </c>
      <c r="B100" s="11" t="s">
        <v>70</v>
      </c>
      <c r="C100" s="29" t="s">
        <v>75</v>
      </c>
      <c r="D100" s="30">
        <v>11</v>
      </c>
      <c r="E100" s="30">
        <f t="shared" si="29"/>
        <v>350</v>
      </c>
      <c r="F100" s="30">
        <v>3850</v>
      </c>
      <c r="G100" s="31"/>
      <c r="H100" s="30"/>
      <c r="I100" s="30"/>
      <c r="J100" s="31">
        <v>2</v>
      </c>
      <c r="K100" s="30">
        <f>IF(J100=0,0,L100/J100)</f>
        <v>788.04999999999927</v>
      </c>
      <c r="L100" s="33">
        <v>1576.0999999999985</v>
      </c>
      <c r="M100" s="31">
        <f>J100-D100</f>
        <v>-9</v>
      </c>
      <c r="N100" s="33">
        <f>L100-F100</f>
        <v>-2273.9000000000015</v>
      </c>
      <c r="O100" s="31">
        <v>23</v>
      </c>
      <c r="P100" s="30">
        <f>IF(O100=0,0,Q100/O100)</f>
        <v>509.69086956521738</v>
      </c>
      <c r="Q100" s="33">
        <v>11722.89</v>
      </c>
      <c r="R100" s="31">
        <f>J100-O100</f>
        <v>-21</v>
      </c>
      <c r="S100" s="34">
        <f>L100-Q100</f>
        <v>-10146.790000000001</v>
      </c>
      <c r="T100" s="13"/>
      <c r="U100" s="13"/>
      <c r="W100" s="462"/>
      <c r="X100" s="13"/>
      <c r="Y100" s="13"/>
      <c r="Z100" s="13"/>
      <c r="AA100" s="13"/>
      <c r="AB100" s="13"/>
      <c r="AC100" s="82"/>
      <c r="AD100" s="13"/>
      <c r="AE100" s="13"/>
      <c r="AF100" s="141"/>
      <c r="AG100" s="13"/>
      <c r="AH100" s="13"/>
      <c r="AI100" s="13"/>
      <c r="AJ100" s="13"/>
      <c r="AK100" s="13"/>
      <c r="AL100" s="13"/>
      <c r="AM100" s="13"/>
      <c r="AN100" s="13"/>
    </row>
    <row r="101" spans="1:40" ht="20.25">
      <c r="A101" t="str">
        <f t="shared" si="27"/>
        <v>Véhicules usagés</v>
      </c>
      <c r="B101" s="11" t="s">
        <v>70</v>
      </c>
      <c r="C101" s="86"/>
      <c r="D101" s="25"/>
      <c r="E101" s="25"/>
      <c r="F101" s="48"/>
      <c r="G101" s="51"/>
      <c r="H101" s="47"/>
      <c r="I101" s="48"/>
      <c r="J101" s="51"/>
      <c r="K101" s="47"/>
      <c r="L101" s="48"/>
      <c r="M101" s="49"/>
      <c r="N101" s="142"/>
      <c r="O101" s="51"/>
      <c r="P101" s="47"/>
      <c r="Q101" s="48"/>
      <c r="R101" s="49"/>
      <c r="S101" s="143"/>
      <c r="T101" s="13"/>
      <c r="U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1"/>
      <c r="AG101" s="13"/>
      <c r="AH101" s="13"/>
      <c r="AI101" s="13"/>
      <c r="AJ101" s="13"/>
      <c r="AK101" s="13"/>
      <c r="AL101" s="13"/>
      <c r="AM101" s="13"/>
      <c r="AN101" s="13"/>
    </row>
    <row r="102" spans="1:40" ht="20.25">
      <c r="A102" t="str">
        <f t="shared" si="27"/>
        <v>Véhicules usagésRev. Finances</v>
      </c>
      <c r="B102" s="11" t="s">
        <v>70</v>
      </c>
      <c r="C102" s="29" t="s">
        <v>24</v>
      </c>
      <c r="D102" s="30">
        <v>0</v>
      </c>
      <c r="E102" s="30">
        <f t="shared" ref="E102:E112" si="30">IF(D102=0,0,F102/D102)</f>
        <v>0</v>
      </c>
      <c r="F102" s="33">
        <v>4560</v>
      </c>
      <c r="G102" s="31"/>
      <c r="H102" s="30"/>
      <c r="I102" s="30"/>
      <c r="J102" s="31"/>
      <c r="K102" s="30">
        <f>IF(J97=0,0,L102/J97)</f>
        <v>648.38600000000008</v>
      </c>
      <c r="L102" s="33">
        <v>3241.9300000000003</v>
      </c>
      <c r="M102" s="31"/>
      <c r="N102" s="33">
        <f>L102-F102</f>
        <v>-1318.0699999999997</v>
      </c>
      <c r="O102" s="31"/>
      <c r="P102" s="30"/>
      <c r="Q102" s="33">
        <v>2962.7599999999902</v>
      </c>
      <c r="R102" s="31">
        <f>O102-K102</f>
        <v>-648.38600000000008</v>
      </c>
      <c r="S102" s="34">
        <f>L102-Q102</f>
        <v>279.17000000001008</v>
      </c>
      <c r="T102" s="13"/>
      <c r="U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20.25">
      <c r="A103" t="str">
        <f t="shared" si="27"/>
        <v>Véhicules usagésRev. Protections</v>
      </c>
      <c r="B103" s="11" t="s">
        <v>70</v>
      </c>
      <c r="C103" s="29" t="s">
        <v>25</v>
      </c>
      <c r="D103" s="30">
        <v>0</v>
      </c>
      <c r="E103" s="30">
        <f t="shared" si="30"/>
        <v>0</v>
      </c>
      <c r="F103" s="33">
        <v>10200</v>
      </c>
      <c r="G103" s="31"/>
      <c r="H103" s="30"/>
      <c r="I103" s="30"/>
      <c r="J103" s="31"/>
      <c r="K103" s="30">
        <f>IF(J97=0,0,L103/J97)</f>
        <v>2259.6</v>
      </c>
      <c r="L103" s="33">
        <v>11298</v>
      </c>
      <c r="M103" s="31"/>
      <c r="N103" s="33">
        <f>L103-F103</f>
        <v>1098</v>
      </c>
      <c r="O103" s="31"/>
      <c r="P103" s="30"/>
      <c r="Q103" s="33">
        <v>13963.0999999999</v>
      </c>
      <c r="R103" s="31">
        <f>O103-K103</f>
        <v>-2259.6</v>
      </c>
      <c r="S103" s="34">
        <f>L103-Q103</f>
        <v>-2665.0999999999003</v>
      </c>
      <c r="T103" s="13"/>
      <c r="U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25">
      <c r="A104" t="str">
        <f t="shared" si="27"/>
        <v>Véhicules usagésRev. Autres</v>
      </c>
      <c r="B104" s="11" t="s">
        <v>70</v>
      </c>
      <c r="C104" s="29" t="s">
        <v>26</v>
      </c>
      <c r="D104" s="30">
        <v>0</v>
      </c>
      <c r="E104" s="25">
        <f t="shared" si="30"/>
        <v>0</v>
      </c>
      <c r="F104" s="33">
        <v>2640</v>
      </c>
      <c r="G104" s="31"/>
      <c r="H104" s="47"/>
      <c r="I104" s="30"/>
      <c r="J104" s="31"/>
      <c r="K104" s="47">
        <f>IF(J97=0,0,L104/J97)</f>
        <v>387.6</v>
      </c>
      <c r="L104" s="33">
        <v>1938</v>
      </c>
      <c r="M104" s="51"/>
      <c r="N104" s="33">
        <f>L104-F104</f>
        <v>-702</v>
      </c>
      <c r="O104" s="31"/>
      <c r="P104" s="47"/>
      <c r="Q104" s="33">
        <v>1645</v>
      </c>
      <c r="R104" s="31">
        <f>O104-K104</f>
        <v>-387.6</v>
      </c>
      <c r="S104" s="34">
        <f>L104-Q104</f>
        <v>293</v>
      </c>
      <c r="T104" s="13"/>
      <c r="U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25">
      <c r="A105" t="str">
        <f t="shared" si="27"/>
        <v>Véhicules usagésTotal F&amp;I</v>
      </c>
      <c r="B105" s="11" t="s">
        <v>70</v>
      </c>
      <c r="C105" s="35" t="s">
        <v>27</v>
      </c>
      <c r="D105" s="36">
        <f>D97</f>
        <v>12</v>
      </c>
      <c r="E105" s="30">
        <f t="shared" si="30"/>
        <v>1450</v>
      </c>
      <c r="F105" s="37">
        <f>F102+F103+F104</f>
        <v>17400</v>
      </c>
      <c r="G105" s="38"/>
      <c r="H105" s="36"/>
      <c r="I105" s="37"/>
      <c r="J105" s="38">
        <f>J97</f>
        <v>5</v>
      </c>
      <c r="K105" s="36">
        <f>IF(J105&lt;=0,0,L105/J105)</f>
        <v>3295.5860000000002</v>
      </c>
      <c r="L105" s="37">
        <f>L102+L103+L104</f>
        <v>16477.93</v>
      </c>
      <c r="M105" s="31">
        <f>J105-D105</f>
        <v>-7</v>
      </c>
      <c r="N105" s="37">
        <f>L105-F105</f>
        <v>-922.06999999999971</v>
      </c>
      <c r="O105" s="38">
        <f>O97</f>
        <v>13</v>
      </c>
      <c r="P105" s="36">
        <f t="shared" ref="P105" si="31">IF(O105=0,0,Q105/O105)</f>
        <v>1428.527692307684</v>
      </c>
      <c r="Q105" s="37">
        <f>Q102+Q103+Q104</f>
        <v>18570.859999999891</v>
      </c>
      <c r="R105" s="56"/>
      <c r="S105" s="39">
        <f>L105-Q105</f>
        <v>-2092.9299999998912</v>
      </c>
      <c r="T105" s="13"/>
      <c r="U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0.25">
      <c r="A106" t="str">
        <f t="shared" si="27"/>
        <v>Véhicules usagés</v>
      </c>
      <c r="B106" s="11" t="s">
        <v>70</v>
      </c>
      <c r="C106" s="29"/>
      <c r="D106" s="13"/>
      <c r="E106" s="13"/>
      <c r="F106" s="59"/>
      <c r="G106" s="41"/>
      <c r="H106" s="144"/>
      <c r="I106" s="59"/>
      <c r="J106" s="41"/>
      <c r="K106" s="13"/>
      <c r="L106" s="59"/>
      <c r="M106" s="42"/>
      <c r="N106" s="43">
        <f>N105/F105</f>
        <v>-5.299252873563217E-2</v>
      </c>
      <c r="O106" s="41"/>
      <c r="P106" s="13"/>
      <c r="Q106" s="59"/>
      <c r="R106" s="60"/>
      <c r="S106" s="44">
        <f>IF(Q105=0,0,(S105/Q105))</f>
        <v>-0.11269968111330889</v>
      </c>
      <c r="T106" s="13"/>
      <c r="U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 thickBot="1">
      <c r="A107" t="str">
        <f t="shared" si="27"/>
        <v>Véhicules usagés</v>
      </c>
      <c r="B107" s="11" t="s">
        <v>70</v>
      </c>
      <c r="C107" s="29"/>
      <c r="D107" s="13"/>
      <c r="E107" s="13"/>
      <c r="F107" s="59"/>
      <c r="G107" s="41"/>
      <c r="H107" s="144"/>
      <c r="I107" s="59"/>
      <c r="J107" s="41"/>
      <c r="K107" s="13"/>
      <c r="L107" s="59"/>
      <c r="M107" s="42"/>
      <c r="N107" s="43"/>
      <c r="O107" s="41"/>
      <c r="P107" s="13"/>
      <c r="Q107" s="59"/>
      <c r="R107" s="60"/>
      <c r="S107" s="44"/>
      <c r="T107" s="13"/>
      <c r="U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" thickTop="1">
      <c r="A108" t="str">
        <f t="shared" si="27"/>
        <v>Véhicules usagésTotal Dépt. Usagés</v>
      </c>
      <c r="B108" s="11" t="s">
        <v>70</v>
      </c>
      <c r="C108" s="62" t="s">
        <v>76</v>
      </c>
      <c r="D108" s="63">
        <f>D97+D100</f>
        <v>23</v>
      </c>
      <c r="E108" s="67">
        <f>IF(D108&lt;=0,0,F108/D108)</f>
        <v>1863.0434782608695</v>
      </c>
      <c r="F108" s="65">
        <f>F97+F105+F100</f>
        <v>42850</v>
      </c>
      <c r="G108" s="66"/>
      <c r="H108" s="67"/>
      <c r="I108" s="65"/>
      <c r="J108" s="66">
        <f>J97+J100</f>
        <v>7</v>
      </c>
      <c r="K108" s="67">
        <f>IF(J108&lt;=0,0,L108/J108)</f>
        <v>3660.448571428572</v>
      </c>
      <c r="L108" s="65">
        <f>L97+L105+L100</f>
        <v>25623.140000000003</v>
      </c>
      <c r="M108" s="66">
        <f>J108-D108</f>
        <v>-16</v>
      </c>
      <c r="N108" s="65">
        <f>L108-F108</f>
        <v>-17226.859999999997</v>
      </c>
      <c r="O108" s="66">
        <f>O97+O100</f>
        <v>36</v>
      </c>
      <c r="P108" s="67">
        <f>IF(O108&lt;=0,0,Q108/O108)</f>
        <v>1127.9033333333307</v>
      </c>
      <c r="Q108" s="65">
        <f>Q97+Q105+Q100</f>
        <v>40604.519999999902</v>
      </c>
      <c r="R108" s="66">
        <f>J108-O108</f>
        <v>-29</v>
      </c>
      <c r="S108" s="68">
        <f>L108-Q108</f>
        <v>-14981.379999999899</v>
      </c>
      <c r="T108" s="13"/>
      <c r="U108" s="13"/>
      <c r="W108" s="11"/>
      <c r="X108" s="490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" thickBot="1">
      <c r="A109" t="str">
        <f t="shared" si="27"/>
        <v>Véhicules usagés</v>
      </c>
      <c r="B109" s="11" t="s">
        <v>70</v>
      </c>
      <c r="C109" s="69"/>
      <c r="D109" s="70"/>
      <c r="E109" s="70"/>
      <c r="F109" s="71"/>
      <c r="G109" s="72"/>
      <c r="H109" s="70"/>
      <c r="I109" s="71"/>
      <c r="J109" s="72"/>
      <c r="K109" s="70"/>
      <c r="L109" s="71"/>
      <c r="M109" s="73">
        <f>M108/D108</f>
        <v>-0.69565217391304346</v>
      </c>
      <c r="N109" s="74">
        <f>N108/F108</f>
        <v>-0.4020270711785297</v>
      </c>
      <c r="O109" s="72"/>
      <c r="P109" s="70"/>
      <c r="Q109" s="71"/>
      <c r="R109" s="73">
        <f>O108/R108</f>
        <v>-1.2413793103448276</v>
      </c>
      <c r="S109" s="145">
        <f>IF(Q108=0,0,(S108/Q108))</f>
        <v>-0.36895843122883698</v>
      </c>
      <c r="T109" s="13"/>
      <c r="U109" s="13"/>
      <c r="W109" s="13"/>
      <c r="X109" s="30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" thickTop="1">
      <c r="A110" t="str">
        <f t="shared" si="27"/>
        <v>Véhicules usagés</v>
      </c>
      <c r="B110" s="11" t="s">
        <v>70</v>
      </c>
      <c r="C110" s="53"/>
      <c r="D110" s="76"/>
      <c r="E110" s="76"/>
      <c r="F110" s="77"/>
      <c r="G110" s="78"/>
      <c r="H110" s="76"/>
      <c r="I110" s="77"/>
      <c r="J110" s="78"/>
      <c r="K110" s="76"/>
      <c r="L110" s="77"/>
      <c r="M110" s="42"/>
      <c r="N110" s="43"/>
      <c r="O110" s="78"/>
      <c r="P110" s="76"/>
      <c r="Q110" s="77"/>
      <c r="R110" s="42"/>
      <c r="S110" s="44"/>
      <c r="T110" s="13"/>
      <c r="U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0.25">
      <c r="A111" t="str">
        <f t="shared" si="27"/>
        <v>Véhicules usagésDEPENSES</v>
      </c>
      <c r="B111" s="11" t="s">
        <v>70</v>
      </c>
      <c r="C111" s="79" t="s">
        <v>29</v>
      </c>
      <c r="D111" s="13"/>
      <c r="E111" s="80"/>
      <c r="F111" s="59"/>
      <c r="G111" s="41"/>
      <c r="H111" s="80"/>
      <c r="I111" s="59"/>
      <c r="J111" s="41"/>
      <c r="K111" s="80"/>
      <c r="L111" s="40"/>
      <c r="M111" s="41"/>
      <c r="N111" s="40"/>
      <c r="O111" s="41"/>
      <c r="P111" s="80"/>
      <c r="Q111" s="40"/>
      <c r="R111" s="41"/>
      <c r="S111" s="61"/>
      <c r="T111" s="13"/>
      <c r="U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0.25">
      <c r="A112" t="str">
        <f t="shared" si="27"/>
        <v>Véhicules usagésComm. vendeurs</v>
      </c>
      <c r="B112" s="11" t="s">
        <v>70</v>
      </c>
      <c r="C112" s="29" t="s">
        <v>30</v>
      </c>
      <c r="D112" s="148">
        <f>F112/(F97+F105)</f>
        <v>0.207277728657039</v>
      </c>
      <c r="E112" s="82">
        <f t="shared" ref="E112:E121" si="32">F112/D$97</f>
        <v>673.65261813537677</v>
      </c>
      <c r="F112" s="30">
        <v>8083.8314176245212</v>
      </c>
      <c r="G112" s="157"/>
      <c r="H112" s="82"/>
      <c r="I112" s="30"/>
      <c r="J112" s="157">
        <f>L112/L97</f>
        <v>0.5259667252821002</v>
      </c>
      <c r="K112" s="82">
        <f>IF($J$97=0,0,L112/(J$94+J$95+J96))</f>
        <v>796.22</v>
      </c>
      <c r="L112" s="33">
        <v>3981.1</v>
      </c>
      <c r="M112" s="41"/>
      <c r="N112" s="59">
        <f t="shared" ref="N112:N153" si="33">L112-F112</f>
        <v>-4102.7314176245218</v>
      </c>
      <c r="O112" s="157">
        <f>Q112/Q97</f>
        <v>1.037639283972001</v>
      </c>
      <c r="P112" s="82">
        <f t="shared" ref="P112:P121" si="34">Q112/O$97</f>
        <v>822.98923076923086</v>
      </c>
      <c r="Q112" s="33">
        <v>10698.86</v>
      </c>
      <c r="R112" s="41"/>
      <c r="S112" s="85">
        <f t="shared" ref="S112:S122" si="35">L112-Q112</f>
        <v>-6717.76</v>
      </c>
      <c r="T112" s="13"/>
      <c r="U112" s="13"/>
      <c r="V112" s="517" t="s">
        <v>266</v>
      </c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25">
      <c r="A113" t="str">
        <f t="shared" si="27"/>
        <v>Véhicules usagésComm. F&amp;I</v>
      </c>
      <c r="B113" s="11" t="s">
        <v>70</v>
      </c>
      <c r="C113" s="86" t="s">
        <v>31</v>
      </c>
      <c r="D113" s="218">
        <f>F113/(F105+F19)</f>
        <v>0.24759254147604232</v>
      </c>
      <c r="E113" s="88">
        <f t="shared" si="32"/>
        <v>398.75</v>
      </c>
      <c r="F113" s="22">
        <v>4785</v>
      </c>
      <c r="G113" s="162"/>
      <c r="H113" s="88"/>
      <c r="I113" s="22"/>
      <c r="J113" s="162">
        <f>L113/L105</f>
        <v>0.32313342756037922</v>
      </c>
      <c r="K113" s="88">
        <f>IF($J$97=0,0,L113/(J$94+J$95+J96))</f>
        <v>1064.914</v>
      </c>
      <c r="L113" s="33">
        <v>5324.57</v>
      </c>
      <c r="M113" s="23"/>
      <c r="N113" s="91">
        <f t="shared" si="33"/>
        <v>539.56999999999971</v>
      </c>
      <c r="O113" s="162">
        <f>Q113/(Q105+Q19)</f>
        <v>0.25110545310378707</v>
      </c>
      <c r="P113" s="88">
        <f t="shared" si="34"/>
        <v>387.81769230769231</v>
      </c>
      <c r="Q113" s="33">
        <v>5041.63</v>
      </c>
      <c r="R113" s="23"/>
      <c r="S113" s="92">
        <f t="shared" si="35"/>
        <v>282.9399999999996</v>
      </c>
      <c r="T113" s="13"/>
      <c r="U113" s="13"/>
      <c r="V113" s="517" t="s">
        <v>267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25">
      <c r="A114" t="str">
        <f t="shared" si="27"/>
        <v>Véhicules usagésFrais de livraison</v>
      </c>
      <c r="B114" s="11" t="s">
        <v>70</v>
      </c>
      <c r="C114" s="29" t="s">
        <v>32</v>
      </c>
      <c r="D114" s="81"/>
      <c r="E114" s="82">
        <f t="shared" si="32"/>
        <v>90</v>
      </c>
      <c r="F114" s="30">
        <v>1080</v>
      </c>
      <c r="G114" s="83"/>
      <c r="H114" s="82"/>
      <c r="I114" s="30"/>
      <c r="J114" s="41"/>
      <c r="K114" s="82">
        <f>IF($J$97=0,0,L114/(J$94+J$95+J96))</f>
        <v>94.311999999999998</v>
      </c>
      <c r="L114" s="108">
        <v>471.56</v>
      </c>
      <c r="M114" s="41"/>
      <c r="N114" s="59">
        <f t="shared" si="33"/>
        <v>-608.44000000000005</v>
      </c>
      <c r="O114" s="41"/>
      <c r="P114" s="82">
        <f t="shared" si="34"/>
        <v>50.706153846153839</v>
      </c>
      <c r="Q114" s="108">
        <v>659.18</v>
      </c>
      <c r="R114" s="41"/>
      <c r="S114" s="85">
        <f t="shared" si="35"/>
        <v>-187.61999999999995</v>
      </c>
      <c r="T114" s="13"/>
      <c r="U114" s="13"/>
      <c r="V114" s="517" t="s">
        <v>268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25">
      <c r="A115" t="str">
        <f t="shared" si="27"/>
        <v>Véhicules usagésService gratuit 1</v>
      </c>
      <c r="B115" s="11" t="s">
        <v>70</v>
      </c>
      <c r="C115" s="29" t="s">
        <v>33</v>
      </c>
      <c r="D115" s="81"/>
      <c r="E115" s="82">
        <f t="shared" si="32"/>
        <v>94</v>
      </c>
      <c r="F115" s="30">
        <v>1128</v>
      </c>
      <c r="G115" s="83"/>
      <c r="H115" s="82"/>
      <c r="I115" s="30"/>
      <c r="J115" s="41"/>
      <c r="K115" s="82">
        <f>IF($J$97=0,0,L115/(J$94+J$95+J96))</f>
        <v>38.4</v>
      </c>
      <c r="L115" s="33">
        <v>192</v>
      </c>
      <c r="M115" s="41"/>
      <c r="N115" s="59">
        <f t="shared" si="33"/>
        <v>-936</v>
      </c>
      <c r="O115" s="41"/>
      <c r="P115" s="82">
        <f t="shared" si="34"/>
        <v>151.87615384615384</v>
      </c>
      <c r="Q115" s="33">
        <v>1974.39</v>
      </c>
      <c r="R115" s="41"/>
      <c r="S115" s="85">
        <f t="shared" si="35"/>
        <v>-1782.39</v>
      </c>
      <c r="T115" s="13"/>
      <c r="U115" s="13"/>
      <c r="V115" s="517" t="s">
        <v>269</v>
      </c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25">
      <c r="A116" t="str">
        <f t="shared" si="27"/>
        <v>Véhicules usagésEntretien stock</v>
      </c>
      <c r="B116" s="11" t="s">
        <v>70</v>
      </c>
      <c r="C116" s="86" t="s">
        <v>34</v>
      </c>
      <c r="D116" s="87"/>
      <c r="E116" s="88">
        <f t="shared" si="32"/>
        <v>151.66666666666666</v>
      </c>
      <c r="F116" s="22">
        <v>1820</v>
      </c>
      <c r="G116" s="89"/>
      <c r="H116" s="88"/>
      <c r="I116" s="22"/>
      <c r="J116" s="23"/>
      <c r="K116" s="88">
        <f>IF($J$97=0,0,L116/(J$94+J$95+J96))</f>
        <v>406.464</v>
      </c>
      <c r="L116" s="48">
        <v>2032.32</v>
      </c>
      <c r="M116" s="23"/>
      <c r="N116" s="91">
        <f t="shared" si="33"/>
        <v>212.31999999999994</v>
      </c>
      <c r="O116" s="23"/>
      <c r="P116" s="88">
        <f t="shared" si="34"/>
        <v>132.74769230769232</v>
      </c>
      <c r="Q116" s="48">
        <v>1725.72</v>
      </c>
      <c r="R116" s="23"/>
      <c r="S116" s="92">
        <f t="shared" si="35"/>
        <v>306.59999999999991</v>
      </c>
      <c r="T116" s="13"/>
      <c r="U116" s="13"/>
      <c r="V116" s="517" t="s">
        <v>270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25">
      <c r="A117" t="str">
        <f t="shared" si="27"/>
        <v>Véhicules usagésPublicité 1</v>
      </c>
      <c r="B117" s="11" t="s">
        <v>70</v>
      </c>
      <c r="C117" s="29" t="s">
        <v>35</v>
      </c>
      <c r="D117" s="81"/>
      <c r="E117" s="82">
        <f t="shared" si="32"/>
        <v>618.75</v>
      </c>
      <c r="F117" s="30">
        <v>7425</v>
      </c>
      <c r="G117" s="83"/>
      <c r="H117" s="82"/>
      <c r="I117" s="30"/>
      <c r="J117" s="41"/>
      <c r="K117" s="82">
        <f>IF($J$97=0,0,L117/(J$94+J$95+J96))</f>
        <v>-30.7</v>
      </c>
      <c r="L117" s="33">
        <v>-153.5</v>
      </c>
      <c r="M117" s="41"/>
      <c r="N117" s="59">
        <f t="shared" si="33"/>
        <v>-7578.5</v>
      </c>
      <c r="O117" s="41"/>
      <c r="P117" s="82">
        <f t="shared" si="34"/>
        <v>552.71769230769235</v>
      </c>
      <c r="Q117" s="33">
        <v>7185.33</v>
      </c>
      <c r="R117" s="41"/>
      <c r="S117" s="85">
        <f t="shared" si="35"/>
        <v>-7338.83</v>
      </c>
      <c r="T117" s="13"/>
      <c r="U117" s="13"/>
      <c r="V117" s="517" t="s">
        <v>271</v>
      </c>
      <c r="W117" s="517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25">
      <c r="A118" t="str">
        <f>+B118&amp;C118</f>
        <v>Véhicules usagésIntérêt de gros</v>
      </c>
      <c r="B118" s="11" t="s">
        <v>70</v>
      </c>
      <c r="C118" s="29" t="s">
        <v>36</v>
      </c>
      <c r="D118" s="81"/>
      <c r="E118" s="82">
        <f t="shared" si="32"/>
        <v>336.1832973588343</v>
      </c>
      <c r="F118" s="30">
        <v>4034.1995683060113</v>
      </c>
      <c r="G118" s="83"/>
      <c r="H118" s="82"/>
      <c r="I118" s="30"/>
      <c r="J118" s="41"/>
      <c r="K118" s="82">
        <f>IF($J$97=0,0,L118/(J$94+J$95+J96))</f>
        <v>403.18200000000002</v>
      </c>
      <c r="L118" s="33">
        <v>2015.91</v>
      </c>
      <c r="M118" s="41"/>
      <c r="N118" s="59">
        <f t="shared" si="33"/>
        <v>-2018.2895683060112</v>
      </c>
      <c r="O118" s="41"/>
      <c r="P118" s="82">
        <f t="shared" si="34"/>
        <v>357.30538461538464</v>
      </c>
      <c r="Q118" s="33">
        <v>4644.97</v>
      </c>
      <c r="R118" s="41"/>
      <c r="S118" s="85">
        <f>L118-Q118</f>
        <v>-2629.0600000000004</v>
      </c>
      <c r="T118" s="13"/>
      <c r="U118" s="13"/>
      <c r="V118" s="517" t="s">
        <v>263</v>
      </c>
      <c r="W118" s="518">
        <f>1879.85+136.05</f>
        <v>2015.8999999999999</v>
      </c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25" hidden="1">
      <c r="A119" t="str">
        <f>+B119&amp;C119</f>
        <v>Véhicules usagés[...]</v>
      </c>
      <c r="B119" s="11" t="s">
        <v>70</v>
      </c>
      <c r="C119" s="29" t="s">
        <v>19</v>
      </c>
      <c r="D119" s="81"/>
      <c r="E119" s="82">
        <f t="shared" si="32"/>
        <v>0</v>
      </c>
      <c r="F119" s="30">
        <v>0</v>
      </c>
      <c r="G119" s="83"/>
      <c r="H119" s="82"/>
      <c r="I119" s="30"/>
      <c r="J119" s="41"/>
      <c r="K119" s="82">
        <f t="shared" ref="K119:K121" si="36">IF($J$97=0,0,L119/(J$94+J$95))</f>
        <v>0</v>
      </c>
      <c r="L119" s="33">
        <v>0</v>
      </c>
      <c r="M119" s="41"/>
      <c r="N119" s="59">
        <f t="shared" si="33"/>
        <v>0</v>
      </c>
      <c r="O119" s="41"/>
      <c r="P119" s="82">
        <f t="shared" si="34"/>
        <v>0</v>
      </c>
      <c r="Q119" s="33">
        <v>0</v>
      </c>
      <c r="R119" s="41"/>
      <c r="S119" s="85">
        <f>L119-Q119</f>
        <v>0</v>
      </c>
      <c r="T119" s="13"/>
      <c r="U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25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2"/>
        <v>0</v>
      </c>
      <c r="F120" s="30">
        <v>0</v>
      </c>
      <c r="G120" s="83"/>
      <c r="H120" s="82"/>
      <c r="I120" s="30"/>
      <c r="J120" s="41"/>
      <c r="K120" s="82">
        <f t="shared" si="36"/>
        <v>0</v>
      </c>
      <c r="L120" s="33">
        <v>0</v>
      </c>
      <c r="M120" s="41"/>
      <c r="N120" s="59">
        <f t="shared" si="33"/>
        <v>0</v>
      </c>
      <c r="O120" s="41"/>
      <c r="P120" s="82">
        <f t="shared" si="34"/>
        <v>0</v>
      </c>
      <c r="Q120" s="33">
        <v>0</v>
      </c>
      <c r="R120" s="41"/>
      <c r="S120" s="85">
        <f>L120-Q120</f>
        <v>0</v>
      </c>
      <c r="T120" s="13"/>
      <c r="U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25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2"/>
        <v>0</v>
      </c>
      <c r="F121" s="30">
        <v>0</v>
      </c>
      <c r="G121" s="83"/>
      <c r="H121" s="82"/>
      <c r="I121" s="30"/>
      <c r="J121" s="41"/>
      <c r="K121" s="82">
        <f t="shared" si="36"/>
        <v>0</v>
      </c>
      <c r="L121" s="33">
        <v>0</v>
      </c>
      <c r="M121" s="41"/>
      <c r="N121" s="59">
        <f t="shared" si="33"/>
        <v>0</v>
      </c>
      <c r="O121" s="41"/>
      <c r="P121" s="82">
        <f t="shared" si="34"/>
        <v>0</v>
      </c>
      <c r="Q121" s="33">
        <v>0</v>
      </c>
      <c r="R121" s="41"/>
      <c r="S121" s="85">
        <f t="shared" ref="S121:S131" si="37">L121-Q121</f>
        <v>0</v>
      </c>
      <c r="T121" s="13"/>
      <c r="U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25">
      <c r="A122" t="str">
        <f t="shared" ref="A122:A187" si="38">+B122&amp;C122</f>
        <v>Véhicules usagésTOTAL VARIABLES</v>
      </c>
      <c r="B122" s="11" t="s">
        <v>70</v>
      </c>
      <c r="C122" s="93" t="s">
        <v>37</v>
      </c>
      <c r="D122" s="94" t="s">
        <v>38</v>
      </c>
      <c r="E122" s="95">
        <f>F122/F$108</f>
        <v>0.66175101484085264</v>
      </c>
      <c r="F122" s="96">
        <f>SUM(F112:F121)</f>
        <v>28356.030985930534</v>
      </c>
      <c r="G122" s="97"/>
      <c r="H122" s="95"/>
      <c r="I122" s="96"/>
      <c r="J122" s="97" t="s">
        <v>38</v>
      </c>
      <c r="K122" s="95">
        <f>L122/L$108</f>
        <v>0.54107185926471146</v>
      </c>
      <c r="L122" s="96">
        <f>SUM(L112:L121)</f>
        <v>13863.96</v>
      </c>
      <c r="M122" s="100"/>
      <c r="N122" s="96">
        <f t="shared" si="33"/>
        <v>-14492.070985930535</v>
      </c>
      <c r="O122" s="97" t="s">
        <v>38</v>
      </c>
      <c r="P122" s="95">
        <f>Q122/Q$108</f>
        <v>0.78636762606724764</v>
      </c>
      <c r="Q122" s="96">
        <f>SUM(Q112:Q121)</f>
        <v>31930.080000000002</v>
      </c>
      <c r="R122" s="100"/>
      <c r="S122" s="101">
        <f t="shared" si="37"/>
        <v>-18066.120000000003</v>
      </c>
      <c r="T122" s="13"/>
      <c r="U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0.25">
      <c r="A123" t="str">
        <f t="shared" si="38"/>
        <v>Véhicules usagésSalaires cadres</v>
      </c>
      <c r="B123" s="11" t="s">
        <v>70</v>
      </c>
      <c r="C123" s="102" t="s">
        <v>40</v>
      </c>
      <c r="D123" s="13"/>
      <c r="E123" s="13"/>
      <c r="F123" s="30">
        <v>5140.4031830238728</v>
      </c>
      <c r="G123" s="41"/>
      <c r="H123" s="13"/>
      <c r="I123" s="30"/>
      <c r="J123" s="41"/>
      <c r="K123" s="13"/>
      <c r="L123" s="33">
        <v>3609.65</v>
      </c>
      <c r="M123" s="41"/>
      <c r="N123" s="59">
        <f t="shared" si="33"/>
        <v>-1530.7531830238727</v>
      </c>
      <c r="O123" s="41"/>
      <c r="P123" s="13"/>
      <c r="Q123" s="33">
        <v>3018.38</v>
      </c>
      <c r="R123" s="41"/>
      <c r="S123" s="85">
        <f t="shared" si="37"/>
        <v>591.27</v>
      </c>
      <c r="T123" s="13"/>
      <c r="U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25">
      <c r="A124" t="str">
        <f t="shared" si="38"/>
        <v>Véhicules usagésSalaires commis</v>
      </c>
      <c r="B124" s="11" t="s">
        <v>70</v>
      </c>
      <c r="C124" s="103" t="s">
        <v>41</v>
      </c>
      <c r="D124" s="81"/>
      <c r="E124" s="13"/>
      <c r="F124" s="22">
        <v>3407.1664750957852</v>
      </c>
      <c r="G124" s="83"/>
      <c r="H124" s="13"/>
      <c r="I124" s="22"/>
      <c r="J124" s="41"/>
      <c r="K124" s="13"/>
      <c r="L124" s="22">
        <v>2545.37</v>
      </c>
      <c r="M124" s="41"/>
      <c r="N124" s="59">
        <f t="shared" si="33"/>
        <v>-861.79647509578535</v>
      </c>
      <c r="O124" s="41"/>
      <c r="P124" s="13"/>
      <c r="Q124" s="22">
        <v>3804.18</v>
      </c>
      <c r="R124" s="41"/>
      <c r="S124" s="85">
        <f t="shared" si="37"/>
        <v>-1258.81</v>
      </c>
      <c r="T124" s="13"/>
      <c r="U124" s="13"/>
      <c r="V124" s="517" t="s">
        <v>264</v>
      </c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25">
      <c r="A125" t="str">
        <f t="shared" si="38"/>
        <v>Véhicules usagésSalaires autres</v>
      </c>
      <c r="B125" s="11" t="s">
        <v>70</v>
      </c>
      <c r="C125" s="102" t="s">
        <v>42</v>
      </c>
      <c r="D125" s="104"/>
      <c r="E125" s="105"/>
      <c r="F125" s="30">
        <v>2809</v>
      </c>
      <c r="G125" s="106"/>
      <c r="H125" s="105"/>
      <c r="I125" s="30"/>
      <c r="J125" s="107"/>
      <c r="K125" s="105"/>
      <c r="L125" s="33">
        <v>0</v>
      </c>
      <c r="M125" s="107"/>
      <c r="N125" s="109">
        <f t="shared" si="33"/>
        <v>-2809</v>
      </c>
      <c r="O125" s="107"/>
      <c r="P125" s="105"/>
      <c r="Q125" s="33">
        <v>2809</v>
      </c>
      <c r="R125" s="107"/>
      <c r="S125" s="110">
        <f t="shared" si="37"/>
        <v>-2809</v>
      </c>
      <c r="T125" s="13"/>
      <c r="U125" s="13"/>
      <c r="V125" s="517" t="s">
        <v>265</v>
      </c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25" hidden="1">
      <c r="A126" t="str">
        <f t="shared" si="38"/>
        <v>Véhicules usagésSalaires spécialistes</v>
      </c>
      <c r="B126" s="11" t="s">
        <v>70</v>
      </c>
      <c r="C126" s="102" t="s">
        <v>43</v>
      </c>
      <c r="D126" s="81"/>
      <c r="E126" s="13"/>
      <c r="F126" s="30">
        <v>0</v>
      </c>
      <c r="G126" s="83"/>
      <c r="H126" s="13"/>
      <c r="I126" s="30"/>
      <c r="J126" s="41"/>
      <c r="K126" s="13"/>
      <c r="L126" s="33">
        <v>0</v>
      </c>
      <c r="M126" s="41"/>
      <c r="N126" s="59">
        <f t="shared" si="33"/>
        <v>0</v>
      </c>
      <c r="O126" s="41"/>
      <c r="P126" s="13"/>
      <c r="Q126" s="33">
        <v>0</v>
      </c>
      <c r="R126" s="41"/>
      <c r="S126" s="85">
        <f t="shared" si="37"/>
        <v>0</v>
      </c>
      <c r="T126" s="13"/>
      <c r="U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25" hidden="1">
      <c r="A127" t="str">
        <f>+B127&amp;C127</f>
        <v>Véhicules usagés[...]</v>
      </c>
      <c r="B127" s="11" t="s">
        <v>70</v>
      </c>
      <c r="C127" s="102" t="s">
        <v>19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3"/>
        <v>0</v>
      </c>
      <c r="O127" s="41"/>
      <c r="P127" s="13"/>
      <c r="Q127" s="33">
        <v>0</v>
      </c>
      <c r="R127" s="41"/>
      <c r="S127" s="85">
        <f>L127-Q127</f>
        <v>0</v>
      </c>
      <c r="T127" s="13"/>
      <c r="U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25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3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25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3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25">
      <c r="A130" t="str">
        <f t="shared" ref="A130:A195" si="39">+B130&amp;C130</f>
        <v>Véhicules usagésSalaires en absences</v>
      </c>
      <c r="B130" s="11" t="s">
        <v>70</v>
      </c>
      <c r="C130" s="103" t="s">
        <v>44</v>
      </c>
      <c r="D130" s="81"/>
      <c r="E130" s="13"/>
      <c r="F130" s="30">
        <v>4882.8006544433583</v>
      </c>
      <c r="G130" s="83"/>
      <c r="H130" s="13"/>
      <c r="I130" s="30"/>
      <c r="J130" s="41"/>
      <c r="K130" s="13"/>
      <c r="L130" s="33">
        <v>3823.82</v>
      </c>
      <c r="M130" s="41"/>
      <c r="N130" s="59">
        <f t="shared" si="33"/>
        <v>-1058.9806544433582</v>
      </c>
      <c r="O130" s="41"/>
      <c r="P130" s="13"/>
      <c r="Q130" s="33">
        <v>8316.49</v>
      </c>
      <c r="R130" s="41"/>
      <c r="S130" s="85">
        <f>L130-Q130</f>
        <v>-4492.67</v>
      </c>
      <c r="T130" s="13"/>
      <c r="U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25">
      <c r="A131" t="str">
        <f t="shared" si="39"/>
        <v>Véhicules usagésDéduction à la source</v>
      </c>
      <c r="B131" s="11" t="s">
        <v>70</v>
      </c>
      <c r="C131" s="102" t="s">
        <v>45</v>
      </c>
      <c r="D131" s="104"/>
      <c r="E131" s="105"/>
      <c r="F131" s="54">
        <v>2929.5754139522546</v>
      </c>
      <c r="G131" s="106"/>
      <c r="H131" s="105"/>
      <c r="I131" s="54"/>
      <c r="J131" s="107"/>
      <c r="K131" s="105"/>
      <c r="L131" s="55">
        <v>2387.29</v>
      </c>
      <c r="M131" s="107"/>
      <c r="N131" s="109">
        <f t="shared" si="33"/>
        <v>-542.28541395225466</v>
      </c>
      <c r="O131" s="107"/>
      <c r="P131" s="105"/>
      <c r="Q131" s="55">
        <v>3303.92</v>
      </c>
      <c r="R131" s="107"/>
      <c r="S131" s="110">
        <f t="shared" ref="S131:S148" si="40">L131-Q131</f>
        <v>-916.63000000000011</v>
      </c>
      <c r="T131" s="13"/>
      <c r="U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25">
      <c r="A132" t="str">
        <f t="shared" si="39"/>
        <v>Véhicules usagésBénéfices marginaux</v>
      </c>
      <c r="B132" s="11" t="s">
        <v>70</v>
      </c>
      <c r="C132" s="102" t="s">
        <v>46</v>
      </c>
      <c r="D132" s="81"/>
      <c r="E132" s="13"/>
      <c r="F132" s="30">
        <v>1798.8620962864723</v>
      </c>
      <c r="G132" s="83"/>
      <c r="H132" s="13"/>
      <c r="I132" s="30"/>
      <c r="J132" s="41"/>
      <c r="K132" s="13"/>
      <c r="L132" s="33">
        <v>1383.53</v>
      </c>
      <c r="M132" s="41"/>
      <c r="N132" s="59">
        <f t="shared" si="33"/>
        <v>-415.33209628647228</v>
      </c>
      <c r="O132" s="41"/>
      <c r="P132" s="13"/>
      <c r="Q132" s="33">
        <v>3132.07</v>
      </c>
      <c r="R132" s="41"/>
      <c r="S132" s="85">
        <f t="shared" si="40"/>
        <v>-1748.5400000000002</v>
      </c>
      <c r="T132" s="13"/>
      <c r="U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25">
      <c r="A133" t="str">
        <f t="shared" si="39"/>
        <v>Véhicules usagésCsst</v>
      </c>
      <c r="B133" s="11" t="s">
        <v>70</v>
      </c>
      <c r="C133" s="102" t="s">
        <v>47</v>
      </c>
      <c r="D133" s="81"/>
      <c r="E133" s="13"/>
      <c r="F133" s="30">
        <v>385.47044920424401</v>
      </c>
      <c r="G133" s="83"/>
      <c r="H133" s="13"/>
      <c r="I133" s="30"/>
      <c r="J133" s="41"/>
      <c r="K133" s="13"/>
      <c r="L133" s="33">
        <v>621.11</v>
      </c>
      <c r="M133" s="41"/>
      <c r="N133" s="59">
        <f t="shared" si="33"/>
        <v>235.63955079575601</v>
      </c>
      <c r="O133" s="41"/>
      <c r="P133" s="13"/>
      <c r="Q133" s="33">
        <v>81.52</v>
      </c>
      <c r="R133" s="41"/>
      <c r="S133" s="85">
        <f t="shared" si="40"/>
        <v>539.59</v>
      </c>
      <c r="T133" s="13"/>
      <c r="U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25" hidden="1">
      <c r="A134" t="str">
        <f t="shared" si="39"/>
        <v>Véhicules usagés[...]</v>
      </c>
      <c r="B134" s="11" t="s">
        <v>70</v>
      </c>
      <c r="C134" s="29" t="s">
        <v>19</v>
      </c>
      <c r="D134" s="87"/>
      <c r="E134" s="111"/>
      <c r="F134" s="30">
        <v>0</v>
      </c>
      <c r="G134" s="89"/>
      <c r="H134" s="111"/>
      <c r="I134" s="30"/>
      <c r="J134" s="23"/>
      <c r="K134" s="111"/>
      <c r="L134" s="33">
        <v>0</v>
      </c>
      <c r="M134" s="41"/>
      <c r="N134" s="59">
        <f t="shared" si="33"/>
        <v>0</v>
      </c>
      <c r="O134" s="23"/>
      <c r="P134" s="111"/>
      <c r="Q134" s="33">
        <v>0</v>
      </c>
      <c r="R134" s="23"/>
      <c r="S134" s="92">
        <f t="shared" si="40"/>
        <v>0</v>
      </c>
      <c r="T134" s="13"/>
      <c r="U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25">
      <c r="A135" t="str">
        <f t="shared" si="39"/>
        <v>Véhicules usagésTOTAL PERSONNEL</v>
      </c>
      <c r="B135" s="11" t="s">
        <v>70</v>
      </c>
      <c r="C135" s="93" t="s">
        <v>48</v>
      </c>
      <c r="D135" s="94" t="s">
        <v>38</v>
      </c>
      <c r="E135" s="95">
        <f>F135/F$108</f>
        <v>0.4983262140491479</v>
      </c>
      <c r="F135" s="96">
        <f>+SUM(F123:F134)</f>
        <v>21353.278272005988</v>
      </c>
      <c r="G135" s="97"/>
      <c r="H135" s="95"/>
      <c r="I135" s="96"/>
      <c r="J135" s="97" t="s">
        <v>38</v>
      </c>
      <c r="K135" s="95">
        <f>L135/L$108</f>
        <v>0.56085124617825921</v>
      </c>
      <c r="L135" s="96">
        <f>SUM(L123:L134)</f>
        <v>14370.770000000002</v>
      </c>
      <c r="M135" s="463"/>
      <c r="N135" s="464">
        <f t="shared" si="33"/>
        <v>-6982.5082720059854</v>
      </c>
      <c r="O135" s="97" t="s">
        <v>38</v>
      </c>
      <c r="P135" s="95">
        <f>Q135/Q$108</f>
        <v>0.60253291998033864</v>
      </c>
      <c r="Q135" s="96">
        <f>+SUM(Q123:Q134)</f>
        <v>24465.56</v>
      </c>
      <c r="R135" s="147"/>
      <c r="S135" s="114">
        <f t="shared" si="40"/>
        <v>-10094.789999999999</v>
      </c>
      <c r="T135" s="13"/>
      <c r="U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0.25" hidden="1">
      <c r="A136" t="str">
        <f t="shared" si="39"/>
        <v>Véhicules usagésPublicité 2</v>
      </c>
      <c r="B136" s="11" t="s">
        <v>70</v>
      </c>
      <c r="C136" s="29" t="s">
        <v>49</v>
      </c>
      <c r="D136" s="81"/>
      <c r="E136" s="13"/>
      <c r="F136" s="30">
        <v>0</v>
      </c>
      <c r="G136" s="83"/>
      <c r="H136" s="13"/>
      <c r="I136" s="30"/>
      <c r="J136" s="41"/>
      <c r="K136" s="13"/>
      <c r="L136" s="33">
        <v>0</v>
      </c>
      <c r="M136" s="41"/>
      <c r="N136" s="59">
        <f t="shared" si="33"/>
        <v>0</v>
      </c>
      <c r="O136" s="41"/>
      <c r="P136" s="13"/>
      <c r="Q136" s="33">
        <v>0</v>
      </c>
      <c r="R136" s="41"/>
      <c r="S136" s="85">
        <f t="shared" si="40"/>
        <v>0</v>
      </c>
      <c r="T136" s="13"/>
      <c r="U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25" hidden="1">
      <c r="A137" t="str">
        <f t="shared" si="39"/>
        <v>Véhicules usagésService gratuit 2</v>
      </c>
      <c r="B137" s="11" t="s">
        <v>70</v>
      </c>
      <c r="C137" s="29" t="s">
        <v>50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3"/>
        <v>0</v>
      </c>
      <c r="O137" s="41"/>
      <c r="P137" s="13"/>
      <c r="Q137" s="33">
        <v>0</v>
      </c>
      <c r="R137" s="41"/>
      <c r="S137" s="85">
        <f t="shared" si="40"/>
        <v>0</v>
      </c>
      <c r="T137" s="13"/>
      <c r="U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25">
      <c r="A138" t="str">
        <f t="shared" si="39"/>
        <v>Véhicules usagésFrais véhicules de cie</v>
      </c>
      <c r="B138" s="11" t="s">
        <v>70</v>
      </c>
      <c r="C138" s="86" t="s">
        <v>51</v>
      </c>
      <c r="D138" s="87"/>
      <c r="E138" s="111"/>
      <c r="F138" s="22">
        <v>943.63333333333344</v>
      </c>
      <c r="G138" s="89"/>
      <c r="H138" s="111"/>
      <c r="I138" s="22"/>
      <c r="J138" s="23"/>
      <c r="K138" s="111"/>
      <c r="L138" s="22">
        <v>720.21</v>
      </c>
      <c r="M138" s="23"/>
      <c r="N138" s="91">
        <f t="shared" si="33"/>
        <v>-223.4233333333334</v>
      </c>
      <c r="O138" s="23"/>
      <c r="P138" s="111"/>
      <c r="Q138" s="22">
        <v>1705.44</v>
      </c>
      <c r="R138" s="23"/>
      <c r="S138" s="92">
        <f t="shared" si="40"/>
        <v>-985.23</v>
      </c>
      <c r="T138" s="13"/>
      <c r="U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25">
      <c r="A139" t="str">
        <f t="shared" si="39"/>
        <v>Véhicules usagésInformatique</v>
      </c>
      <c r="B139" s="11" t="s">
        <v>70</v>
      </c>
      <c r="C139" s="29" t="s">
        <v>52</v>
      </c>
      <c r="D139" s="81"/>
      <c r="E139" s="13"/>
      <c r="F139" s="30">
        <v>1425.4</v>
      </c>
      <c r="G139" s="83"/>
      <c r="H139" s="13"/>
      <c r="I139" s="30"/>
      <c r="J139" s="41"/>
      <c r="K139" s="13"/>
      <c r="L139" s="33">
        <v>1821.15</v>
      </c>
      <c r="M139" s="41"/>
      <c r="N139" s="59">
        <f t="shared" si="33"/>
        <v>395.75</v>
      </c>
      <c r="O139" s="41"/>
      <c r="P139" s="13"/>
      <c r="Q139" s="33">
        <v>1542.19</v>
      </c>
      <c r="R139" s="41"/>
      <c r="S139" s="85">
        <f t="shared" si="40"/>
        <v>278.96000000000004</v>
      </c>
      <c r="T139" s="13"/>
      <c r="U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25">
      <c r="A140" t="str">
        <f t="shared" si="39"/>
        <v>Véhicules usagésFrais de déplacement</v>
      </c>
      <c r="B140" s="11" t="s">
        <v>70</v>
      </c>
      <c r="C140" s="29" t="s">
        <v>53</v>
      </c>
      <c r="D140" s="81"/>
      <c r="E140" s="13"/>
      <c r="F140" s="30">
        <v>183.33333333333334</v>
      </c>
      <c r="G140" s="83"/>
      <c r="H140" s="13"/>
      <c r="I140" s="30"/>
      <c r="J140" s="41"/>
      <c r="K140" s="13"/>
      <c r="L140" s="33">
        <v>50.94</v>
      </c>
      <c r="M140" s="41"/>
      <c r="N140" s="59">
        <f t="shared" si="33"/>
        <v>-132.39333333333335</v>
      </c>
      <c r="O140" s="41"/>
      <c r="P140" s="13"/>
      <c r="Q140" s="33">
        <v>794.63</v>
      </c>
      <c r="R140" s="41"/>
      <c r="S140" s="85">
        <f t="shared" si="40"/>
        <v>-743.69</v>
      </c>
      <c r="T140" s="148"/>
      <c r="U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25">
      <c r="A141" t="str">
        <f t="shared" si="39"/>
        <v>Véhicules usagésServices extérieurs</v>
      </c>
      <c r="B141" s="11" t="s">
        <v>70</v>
      </c>
      <c r="C141" s="86" t="s">
        <v>54</v>
      </c>
      <c r="D141" s="87"/>
      <c r="E141" s="111"/>
      <c r="F141" s="22">
        <v>736.6</v>
      </c>
      <c r="G141" s="89"/>
      <c r="H141" s="111"/>
      <c r="I141" s="22"/>
      <c r="J141" s="23"/>
      <c r="K141" s="111"/>
      <c r="L141" s="22">
        <v>1124.04</v>
      </c>
      <c r="M141" s="23"/>
      <c r="N141" s="91">
        <f t="shared" si="33"/>
        <v>387.43999999999994</v>
      </c>
      <c r="O141" s="23"/>
      <c r="P141" s="111"/>
      <c r="Q141" s="22">
        <v>1317.83</v>
      </c>
      <c r="R141" s="23"/>
      <c r="S141" s="92">
        <f t="shared" si="40"/>
        <v>-193.78999999999996</v>
      </c>
      <c r="T141" s="13"/>
      <c r="U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25">
      <c r="A142" t="str">
        <f t="shared" si="39"/>
        <v>Véhicules usagésFournitures autres</v>
      </c>
      <c r="B142" s="11" t="s">
        <v>70</v>
      </c>
      <c r="C142" s="29" t="s">
        <v>55</v>
      </c>
      <c r="D142" s="81"/>
      <c r="E142" s="13"/>
      <c r="F142" s="30">
        <v>17.5</v>
      </c>
      <c r="G142" s="83"/>
      <c r="H142" s="13"/>
      <c r="I142" s="30"/>
      <c r="J142" s="41"/>
      <c r="K142" s="13"/>
      <c r="L142" s="33">
        <v>2.92</v>
      </c>
      <c r="M142" s="41"/>
      <c r="N142" s="59">
        <f t="shared" si="33"/>
        <v>-14.58</v>
      </c>
      <c r="O142" s="41"/>
      <c r="P142" s="13"/>
      <c r="Q142" s="33">
        <v>108.11</v>
      </c>
      <c r="R142" s="41"/>
      <c r="S142" s="85">
        <f t="shared" si="40"/>
        <v>-105.19</v>
      </c>
      <c r="T142" s="13"/>
      <c r="U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25">
      <c r="A143" t="str">
        <f t="shared" si="39"/>
        <v>Véhicules usagésUniformes</v>
      </c>
      <c r="B143" s="11" t="s">
        <v>70</v>
      </c>
      <c r="C143" s="29" t="s">
        <v>56</v>
      </c>
      <c r="D143" s="81"/>
      <c r="E143" s="13"/>
      <c r="F143" s="30">
        <v>10</v>
      </c>
      <c r="G143" s="83"/>
      <c r="H143" s="13"/>
      <c r="I143" s="30"/>
      <c r="J143" s="41"/>
      <c r="K143" s="13"/>
      <c r="L143" s="33">
        <v>0</v>
      </c>
      <c r="M143" s="41"/>
      <c r="N143" s="59">
        <f t="shared" si="33"/>
        <v>-10</v>
      </c>
      <c r="O143" s="41"/>
      <c r="P143" s="13"/>
      <c r="Q143" s="33">
        <v>0</v>
      </c>
      <c r="R143" s="41"/>
      <c r="S143" s="85">
        <f t="shared" si="40"/>
        <v>0</v>
      </c>
      <c r="T143" s="13"/>
      <c r="U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25">
      <c r="A144" t="str">
        <f t="shared" si="39"/>
        <v>Véhicules usagésPapeterie</v>
      </c>
      <c r="B144" s="11" t="s">
        <v>70</v>
      </c>
      <c r="C144" s="29" t="s">
        <v>57</v>
      </c>
      <c r="D144" s="81"/>
      <c r="E144" s="13"/>
      <c r="F144" s="30">
        <v>157.5</v>
      </c>
      <c r="G144" s="83"/>
      <c r="H144" s="13"/>
      <c r="I144" s="30"/>
      <c r="J144" s="41"/>
      <c r="K144" s="13"/>
      <c r="L144" s="32">
        <v>37.82</v>
      </c>
      <c r="M144" s="41"/>
      <c r="N144" s="59">
        <f t="shared" si="33"/>
        <v>-119.68</v>
      </c>
      <c r="O144" s="41"/>
      <c r="P144" s="13"/>
      <c r="Q144" s="32">
        <v>107.41</v>
      </c>
      <c r="R144" s="41"/>
      <c r="S144" s="85">
        <f t="shared" si="40"/>
        <v>-69.59</v>
      </c>
      <c r="T144" s="13"/>
      <c r="U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25">
      <c r="A145" t="str">
        <f t="shared" si="39"/>
        <v>Véhicules usagésTéléphone</v>
      </c>
      <c r="B145" s="11" t="s">
        <v>70</v>
      </c>
      <c r="C145" s="29" t="s">
        <v>58</v>
      </c>
      <c r="D145" s="81"/>
      <c r="E145" s="13"/>
      <c r="F145" s="30">
        <v>63.2</v>
      </c>
      <c r="G145" s="83"/>
      <c r="H145" s="13"/>
      <c r="I145" s="30"/>
      <c r="J145" s="41"/>
      <c r="K145" s="13"/>
      <c r="L145" s="33">
        <v>97.56</v>
      </c>
      <c r="M145" s="41"/>
      <c r="N145" s="59">
        <f t="shared" si="33"/>
        <v>34.36</v>
      </c>
      <c r="O145" s="41"/>
      <c r="P145" s="13"/>
      <c r="Q145" s="33">
        <v>62.09</v>
      </c>
      <c r="R145" s="41"/>
      <c r="S145" s="85">
        <f t="shared" si="40"/>
        <v>35.47</v>
      </c>
      <c r="T145" s="13"/>
      <c r="U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25">
      <c r="A146" t="str">
        <f t="shared" si="39"/>
        <v>Véhicules usagésFrais postaux</v>
      </c>
      <c r="B146" s="11" t="s">
        <v>70</v>
      </c>
      <c r="C146" s="29" t="s">
        <v>59</v>
      </c>
      <c r="D146" s="81"/>
      <c r="E146" s="13"/>
      <c r="F146" s="30">
        <v>45</v>
      </c>
      <c r="G146" s="83"/>
      <c r="H146" s="13"/>
      <c r="I146" s="30"/>
      <c r="J146" s="41"/>
      <c r="K146" s="13"/>
      <c r="L146" s="33">
        <v>14.42</v>
      </c>
      <c r="M146" s="41"/>
      <c r="N146" s="59">
        <f t="shared" si="33"/>
        <v>-30.58</v>
      </c>
      <c r="O146" s="41"/>
      <c r="P146" s="13"/>
      <c r="Q146" s="33">
        <v>53.84</v>
      </c>
      <c r="R146" s="41"/>
      <c r="S146" s="85">
        <f t="shared" si="40"/>
        <v>-39.42</v>
      </c>
      <c r="T146" s="13"/>
      <c r="U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25">
      <c r="A147" t="str">
        <f t="shared" si="39"/>
        <v>Véhicules usagésDivers</v>
      </c>
      <c r="B147" s="11" t="s">
        <v>70</v>
      </c>
      <c r="C147" s="29" t="s">
        <v>60</v>
      </c>
      <c r="D147" s="81"/>
      <c r="E147" s="13"/>
      <c r="F147" s="30">
        <v>174.10000000000002</v>
      </c>
      <c r="G147" s="83"/>
      <c r="H147" s="13"/>
      <c r="I147" s="30"/>
      <c r="J147" s="41"/>
      <c r="K147" s="13"/>
      <c r="L147" s="33">
        <v>136</v>
      </c>
      <c r="M147" s="41"/>
      <c r="N147" s="59">
        <f t="shared" si="33"/>
        <v>-38.100000000000023</v>
      </c>
      <c r="O147" s="41"/>
      <c r="P147" s="13"/>
      <c r="Q147" s="33">
        <v>238.98</v>
      </c>
      <c r="R147" s="41"/>
      <c r="S147" s="85">
        <f t="shared" si="40"/>
        <v>-102.97999999999999</v>
      </c>
      <c r="T147" s="13"/>
      <c r="U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25">
      <c r="A148" t="str">
        <f t="shared" si="39"/>
        <v>Véhicules usagésFormation</v>
      </c>
      <c r="B148" s="11" t="s">
        <v>70</v>
      </c>
      <c r="C148" s="29" t="s">
        <v>61</v>
      </c>
      <c r="D148" s="81"/>
      <c r="E148" s="13"/>
      <c r="F148" s="30">
        <v>124.04077999999998</v>
      </c>
      <c r="G148" s="83"/>
      <c r="H148" s="13"/>
      <c r="I148" s="30"/>
      <c r="J148" s="41"/>
      <c r="K148" s="13"/>
      <c r="L148" s="59">
        <v>205.67</v>
      </c>
      <c r="M148" s="41"/>
      <c r="N148" s="59">
        <f t="shared" si="33"/>
        <v>81.629220000000004</v>
      </c>
      <c r="O148" s="41"/>
      <c r="P148" s="13"/>
      <c r="Q148" s="33">
        <v>73.73</v>
      </c>
      <c r="R148" s="41"/>
      <c r="S148" s="85">
        <f t="shared" si="40"/>
        <v>131.94</v>
      </c>
      <c r="T148" s="13"/>
      <c r="U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25">
      <c r="A149" t="str">
        <f>+B149&amp;C149</f>
        <v>Véhicules usagésFrais bancaires</v>
      </c>
      <c r="B149" s="11" t="s">
        <v>70</v>
      </c>
      <c r="C149" s="29" t="s">
        <v>62</v>
      </c>
      <c r="D149" s="81"/>
      <c r="E149" s="13"/>
      <c r="F149" s="30">
        <v>476.12587241256836</v>
      </c>
      <c r="G149" s="83"/>
      <c r="H149" s="13"/>
      <c r="I149" s="30"/>
      <c r="J149" s="41"/>
      <c r="K149" s="13"/>
      <c r="L149" s="33">
        <v>511.52</v>
      </c>
      <c r="M149" s="41"/>
      <c r="N149" s="59">
        <f t="shared" si="33"/>
        <v>35.394127587431626</v>
      </c>
      <c r="O149" s="41"/>
      <c r="P149" s="13"/>
      <c r="Q149" s="33">
        <v>568.13</v>
      </c>
      <c r="R149" s="41"/>
      <c r="S149" s="85">
        <f>L149-Q149</f>
        <v>-56.610000000000014</v>
      </c>
      <c r="T149" s="82"/>
      <c r="U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25" hidden="1">
      <c r="A150" t="str">
        <f>+B150&amp;C150</f>
        <v>Véhicules usagés[...]</v>
      </c>
      <c r="B150" s="11" t="s">
        <v>70</v>
      </c>
      <c r="C150" s="29" t="s">
        <v>19</v>
      </c>
      <c r="D150" s="81"/>
      <c r="E150" s="13"/>
      <c r="F150" s="30">
        <v>0</v>
      </c>
      <c r="G150" s="83"/>
      <c r="H150" s="13"/>
      <c r="I150" s="30"/>
      <c r="J150" s="41"/>
      <c r="K150" s="13"/>
      <c r="L150" s="33">
        <v>0</v>
      </c>
      <c r="M150" s="41"/>
      <c r="N150" s="59">
        <f t="shared" si="33"/>
        <v>0</v>
      </c>
      <c r="O150" s="41"/>
      <c r="P150" s="13"/>
      <c r="Q150" s="33">
        <v>0</v>
      </c>
      <c r="R150" s="41"/>
      <c r="S150" s="85">
        <f>L150-Q150</f>
        <v>0</v>
      </c>
      <c r="T150" s="13"/>
      <c r="U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25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3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25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3"/>
        <v>0</v>
      </c>
      <c r="O152" s="41"/>
      <c r="P152" s="13"/>
      <c r="Q152" s="33">
        <v>0</v>
      </c>
      <c r="R152" s="41"/>
      <c r="S152" s="85">
        <f>L152-Q152</f>
        <v>0</v>
      </c>
      <c r="T152" s="82"/>
      <c r="U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25">
      <c r="A153" t="str">
        <f t="shared" ref="A153:A218" si="41">+B153&amp;C153</f>
        <v>Véhicules usagésTOTAL SEMI-FIXES</v>
      </c>
      <c r="B153" s="11" t="s">
        <v>70</v>
      </c>
      <c r="C153" s="93" t="s">
        <v>63</v>
      </c>
      <c r="D153" s="94" t="s">
        <v>38</v>
      </c>
      <c r="E153" s="95">
        <f>F153/F$108</f>
        <v>0.10166705528773011</v>
      </c>
      <c r="F153" s="96">
        <f>+SUM(F136:F152)</f>
        <v>4356.4333190792349</v>
      </c>
      <c r="G153" s="97"/>
      <c r="H153" s="95"/>
      <c r="I153" s="96"/>
      <c r="J153" s="97" t="s">
        <v>38</v>
      </c>
      <c r="K153" s="95">
        <f>L153/L$108</f>
        <v>0.18429630404392278</v>
      </c>
      <c r="L153" s="96">
        <f>+SUM(L136:L152)</f>
        <v>4722.25</v>
      </c>
      <c r="M153" s="100"/>
      <c r="N153" s="96">
        <f t="shared" si="33"/>
        <v>365.81668092076507</v>
      </c>
      <c r="O153" s="97" t="s">
        <v>38</v>
      </c>
      <c r="P153" s="95">
        <f>Q153/Q$108</f>
        <v>0.16186326054340786</v>
      </c>
      <c r="Q153" s="96">
        <f>+SUM(Q136:Q152)</f>
        <v>6572.3799999999992</v>
      </c>
      <c r="R153" s="100"/>
      <c r="S153" s="101">
        <f>L153-Q153</f>
        <v>-1850.1299999999992</v>
      </c>
      <c r="T153" s="112"/>
      <c r="U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0.25">
      <c r="A154" t="str">
        <f t="shared" si="41"/>
        <v>Véhicules usagés</v>
      </c>
      <c r="B154" s="11" t="s">
        <v>70</v>
      </c>
      <c r="C154" s="86"/>
      <c r="D154" s="87"/>
      <c r="E154" s="111"/>
      <c r="F154" s="59"/>
      <c r="G154" s="89"/>
      <c r="H154" s="111"/>
      <c r="I154" s="59"/>
      <c r="J154" s="23"/>
      <c r="K154" s="111"/>
      <c r="L154" s="91"/>
      <c r="M154" s="23"/>
      <c r="N154" s="91"/>
      <c r="O154" s="23"/>
      <c r="P154" s="111"/>
      <c r="Q154" s="91"/>
      <c r="R154" s="23"/>
      <c r="S154" s="92"/>
      <c r="T154" s="112"/>
      <c r="U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0.25">
      <c r="A155" t="str">
        <f t="shared" si="41"/>
        <v>Véhicules usagésTOTAL DES DÉPENSES</v>
      </c>
      <c r="B155" s="11" t="s">
        <v>70</v>
      </c>
      <c r="C155" s="93" t="s">
        <v>64</v>
      </c>
      <c r="D155" s="94" t="s">
        <v>38</v>
      </c>
      <c r="E155" s="95">
        <f>F155/F$108</f>
        <v>1.2617442841777307</v>
      </c>
      <c r="F155" s="96">
        <f>F122+F135+F153</f>
        <v>54065.742577015757</v>
      </c>
      <c r="G155" s="97"/>
      <c r="H155" s="95"/>
      <c r="I155" s="96"/>
      <c r="J155" s="97" t="s">
        <v>38</v>
      </c>
      <c r="K155" s="95">
        <f>L155/L$108</f>
        <v>1.2862194094868935</v>
      </c>
      <c r="L155" s="96">
        <f>L122+L135+L153</f>
        <v>32956.980000000003</v>
      </c>
      <c r="M155" s="100"/>
      <c r="N155" s="113">
        <f t="shared" ref="N155:N162" si="42">L155-F155</f>
        <v>-21108.762577015754</v>
      </c>
      <c r="O155" s="97" t="s">
        <v>38</v>
      </c>
      <c r="P155" s="95">
        <f>Q155/Q$108</f>
        <v>1.5507638065909941</v>
      </c>
      <c r="Q155" s="96">
        <f>Q122+Q135+Q153</f>
        <v>62968.02</v>
      </c>
      <c r="R155" s="100"/>
      <c r="S155" s="114">
        <f t="shared" ref="S155:S162" si="43">L155-Q155</f>
        <v>-30011.039999999994</v>
      </c>
      <c r="T155" s="112"/>
      <c r="U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0.25">
      <c r="A156" t="str">
        <f t="shared" si="41"/>
        <v>Véhicules usagésRBSC used</v>
      </c>
      <c r="B156" s="11" t="s">
        <v>70</v>
      </c>
      <c r="C156" s="29" t="s">
        <v>218</v>
      </c>
      <c r="D156" s="149"/>
      <c r="E156" s="150"/>
      <c r="F156" s="30">
        <v>1500</v>
      </c>
      <c r="G156" s="151"/>
      <c r="H156" s="150"/>
      <c r="I156" s="30"/>
      <c r="J156" s="151"/>
      <c r="K156" s="150"/>
      <c r="L156" s="32">
        <v>0</v>
      </c>
      <c r="M156" s="41"/>
      <c r="N156" s="59">
        <f t="shared" si="42"/>
        <v>-1500</v>
      </c>
      <c r="O156" s="151"/>
      <c r="P156" s="150"/>
      <c r="Q156" s="33">
        <v>0</v>
      </c>
      <c r="R156" s="41"/>
      <c r="S156" s="85">
        <f t="shared" si="43"/>
        <v>0</v>
      </c>
      <c r="T156" s="112"/>
      <c r="U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0.25">
      <c r="A157" t="str">
        <f t="shared" si="41"/>
        <v>Véhicules usagésProgramme 360</v>
      </c>
      <c r="B157" s="11" t="s">
        <v>70</v>
      </c>
      <c r="C157" s="29" t="s">
        <v>219</v>
      </c>
      <c r="D157" s="149"/>
      <c r="E157" s="150"/>
      <c r="F157" s="30">
        <v>536</v>
      </c>
      <c r="G157" s="151"/>
      <c r="H157" s="150"/>
      <c r="I157" s="30"/>
      <c r="J157" s="151"/>
      <c r="K157" s="150"/>
      <c r="L157" s="33">
        <v>0</v>
      </c>
      <c r="M157" s="41"/>
      <c r="N157" s="59">
        <f t="shared" si="42"/>
        <v>-536</v>
      </c>
      <c r="O157" s="151"/>
      <c r="P157" s="150"/>
      <c r="Q157" s="33">
        <v>-1450</v>
      </c>
      <c r="R157" s="41"/>
      <c r="S157" s="85">
        <f t="shared" si="43"/>
        <v>1450</v>
      </c>
      <c r="T157" s="112"/>
      <c r="U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0.25" hidden="1">
      <c r="A158" t="str">
        <f t="shared" si="41"/>
        <v>Véhicules usagésProgramme used 3</v>
      </c>
      <c r="B158" s="11" t="s">
        <v>70</v>
      </c>
      <c r="C158" s="29" t="s">
        <v>77</v>
      </c>
      <c r="D158" s="81"/>
      <c r="E158" s="13"/>
      <c r="F158" s="30">
        <v>0</v>
      </c>
      <c r="G158" s="83"/>
      <c r="H158" s="13"/>
      <c r="I158" s="30"/>
      <c r="J158" s="41"/>
      <c r="K158" s="13"/>
      <c r="L158" s="33">
        <v>0</v>
      </c>
      <c r="M158" s="41"/>
      <c r="N158" s="59">
        <f t="shared" si="42"/>
        <v>0</v>
      </c>
      <c r="O158" s="41"/>
      <c r="P158" s="13"/>
      <c r="Q158" s="33">
        <v>0</v>
      </c>
      <c r="R158" s="41"/>
      <c r="S158" s="85">
        <f t="shared" si="43"/>
        <v>0</v>
      </c>
      <c r="T158" s="112"/>
      <c r="U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0.25">
      <c r="A159" t="str">
        <f>+B159&amp;C159</f>
        <v>Véhicules usagésFrais administration</v>
      </c>
      <c r="B159" s="11" t="s">
        <v>70</v>
      </c>
      <c r="C159" s="29" t="s">
        <v>67</v>
      </c>
      <c r="D159" s="81"/>
      <c r="E159" s="13"/>
      <c r="F159" s="30">
        <v>5926.2</v>
      </c>
      <c r="G159" s="83"/>
      <c r="H159" s="13"/>
      <c r="I159" s="30"/>
      <c r="J159" s="41"/>
      <c r="K159" s="13"/>
      <c r="L159" s="32">
        <v>2975</v>
      </c>
      <c r="M159" s="41"/>
      <c r="N159" s="59">
        <f t="shared" si="42"/>
        <v>-2951.2</v>
      </c>
      <c r="O159" s="41"/>
      <c r="P159" s="13"/>
      <c r="Q159" s="33">
        <v>6545</v>
      </c>
      <c r="R159" s="41"/>
      <c r="S159" s="85">
        <f t="shared" si="43"/>
        <v>-3570</v>
      </c>
      <c r="T159" s="112"/>
      <c r="U159" s="13"/>
      <c r="V159" s="517">
        <f>L159/595</f>
        <v>5</v>
      </c>
      <c r="W159" s="489">
        <f>V159/J97</f>
        <v>1</v>
      </c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0.25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2"/>
        <v>0</v>
      </c>
      <c r="O160" s="41"/>
      <c r="P160" s="13"/>
      <c r="Q160" s="33">
        <v>0</v>
      </c>
      <c r="R160" s="41"/>
      <c r="S160" s="85">
        <f t="shared" si="43"/>
        <v>0</v>
      </c>
      <c r="T160" s="112"/>
      <c r="U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0.25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2"/>
        <v>0</v>
      </c>
      <c r="O161" s="41"/>
      <c r="P161" s="13"/>
      <c r="Q161" s="33">
        <v>0</v>
      </c>
      <c r="R161" s="41"/>
      <c r="S161" s="85">
        <f t="shared" si="43"/>
        <v>0</v>
      </c>
      <c r="T161" s="112"/>
      <c r="U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0.25" hidden="1">
      <c r="A162" t="str">
        <f>+B162&amp;C162</f>
        <v>Véhicules usagés[...]</v>
      </c>
      <c r="B162" s="11" t="s">
        <v>70</v>
      </c>
      <c r="C162" s="86" t="s">
        <v>19</v>
      </c>
      <c r="D162" s="87"/>
      <c r="E162" s="111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2"/>
        <v>0</v>
      </c>
      <c r="O162" s="41"/>
      <c r="P162" s="13"/>
      <c r="Q162" s="33">
        <v>0</v>
      </c>
      <c r="R162" s="41"/>
      <c r="S162" s="85">
        <f t="shared" si="43"/>
        <v>0</v>
      </c>
      <c r="T162" s="112"/>
      <c r="U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0.25">
      <c r="B163" s="11"/>
      <c r="C163" s="93" t="s">
        <v>68</v>
      </c>
      <c r="D163" s="94"/>
      <c r="E163" s="95"/>
      <c r="F163" s="96">
        <f>+SUM(F156:F162)</f>
        <v>7962.2</v>
      </c>
      <c r="G163" s="97"/>
      <c r="H163" s="95"/>
      <c r="I163" s="96"/>
      <c r="J163" s="97"/>
      <c r="K163" s="95"/>
      <c r="L163" s="96">
        <f>+SUM(L156:L162)</f>
        <v>2975</v>
      </c>
      <c r="M163" s="100"/>
      <c r="N163" s="96">
        <f>SUM(N156:N159)</f>
        <v>-4987.2</v>
      </c>
      <c r="O163" s="97"/>
      <c r="P163" s="95"/>
      <c r="Q163" s="96">
        <f>+SUM(Q156:Q162)</f>
        <v>5095</v>
      </c>
      <c r="R163" s="100"/>
      <c r="S163" s="101">
        <f>+SUM(S156:S162)</f>
        <v>-2120</v>
      </c>
      <c r="T163" s="112"/>
      <c r="U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0.25">
      <c r="B164" s="11"/>
      <c r="C164" s="29"/>
      <c r="D164" s="81"/>
      <c r="E164" s="13"/>
      <c r="F164" s="59"/>
      <c r="G164" s="83"/>
      <c r="H164" s="13"/>
      <c r="I164" s="59"/>
      <c r="J164" s="41"/>
      <c r="K164" s="13"/>
      <c r="L164" s="59"/>
      <c r="M164" s="41"/>
      <c r="N164" s="59"/>
      <c r="O164" s="41"/>
      <c r="P164" s="13"/>
      <c r="Q164" s="59"/>
      <c r="R164" s="41"/>
      <c r="S164" s="85"/>
      <c r="T164" s="150"/>
      <c r="U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 thickBot="1">
      <c r="B165" s="11"/>
      <c r="C165" s="124" t="s">
        <v>69</v>
      </c>
      <c r="D165" s="152"/>
      <c r="E165" s="125"/>
      <c r="F165" s="127">
        <f>F108-F155+F163</f>
        <v>-3253.5425770157572</v>
      </c>
      <c r="G165" s="153"/>
      <c r="H165" s="125"/>
      <c r="I165" s="127"/>
      <c r="J165" s="154"/>
      <c r="K165" s="126"/>
      <c r="L165" s="127">
        <f>L108-L155+L163</f>
        <v>-4358.84</v>
      </c>
      <c r="M165" s="154"/>
      <c r="N165" s="127">
        <f>L165-F165</f>
        <v>-1105.297422984243</v>
      </c>
      <c r="O165" s="154"/>
      <c r="P165" s="126"/>
      <c r="Q165" s="127">
        <f>Q108-Q155+Q163</f>
        <v>-17268.500000000095</v>
      </c>
      <c r="R165" s="154"/>
      <c r="S165" s="129">
        <f>L165-Q165</f>
        <v>12909.660000000094</v>
      </c>
      <c r="T165" s="82"/>
      <c r="U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" thickTop="1">
      <c r="B166" s="11"/>
      <c r="C166" s="10"/>
      <c r="D166" s="10"/>
      <c r="E166" s="10"/>
      <c r="F166" s="10"/>
      <c r="G166" s="10"/>
      <c r="H166" s="10"/>
      <c r="I166" s="10"/>
      <c r="J166" s="10"/>
      <c r="K166" s="10"/>
      <c r="L166" s="155"/>
      <c r="M166" s="10"/>
      <c r="N166" s="10"/>
      <c r="O166" s="10"/>
      <c r="P166" s="10"/>
      <c r="Q166" s="10"/>
      <c r="R166" s="10"/>
      <c r="S166" s="10"/>
      <c r="T166" s="155"/>
      <c r="U166" s="10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0.25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55"/>
      <c r="U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t="35.25">
      <c r="B168" s="11"/>
      <c r="C168" s="6" t="str">
        <f>C1</f>
        <v>BMW Sherbrooke</v>
      </c>
      <c r="D168" s="2"/>
      <c r="E168" s="2"/>
      <c r="F168" s="2"/>
      <c r="G168" s="2"/>
      <c r="H168" s="1"/>
      <c r="I168" s="1"/>
      <c r="J168" s="1"/>
      <c r="K168" s="3" t="s">
        <v>78</v>
      </c>
      <c r="L168" s="2"/>
      <c r="M168" s="2"/>
      <c r="N168" s="1"/>
      <c r="O168" s="1"/>
      <c r="P168" s="2"/>
      <c r="Q168" s="1"/>
      <c r="R168" s="2"/>
      <c r="S168" s="5" t="str">
        <f>$S$1</f>
        <v>Réalisé, Décembre 2025</v>
      </c>
      <c r="T168" s="2"/>
      <c r="U168" s="6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6" thickBot="1">
      <c r="B169" s="11"/>
      <c r="C169" s="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</row>
    <row r="170" spans="1:40" ht="21" thickTop="1">
      <c r="B170" s="11"/>
      <c r="C170" s="12"/>
      <c r="D170" s="508" t="s">
        <v>5</v>
      </c>
      <c r="E170" s="509"/>
      <c r="F170" s="510"/>
      <c r="G170" s="511"/>
      <c r="H170" s="509"/>
      <c r="I170" s="510"/>
      <c r="J170" s="511" t="s">
        <v>7</v>
      </c>
      <c r="K170" s="509"/>
      <c r="L170" s="510"/>
      <c r="M170" s="511" t="s">
        <v>213</v>
      </c>
      <c r="N170" s="510"/>
      <c r="O170" s="508" t="s">
        <v>8</v>
      </c>
      <c r="P170" s="509"/>
      <c r="Q170" s="510"/>
      <c r="R170" s="515" t="s">
        <v>214</v>
      </c>
      <c r="S170" s="516"/>
      <c r="T170" s="149"/>
      <c r="U170" s="13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t="20.25">
      <c r="A171" t="str">
        <f t="shared" ref="A171:A228" si="44">+B171&amp;C171</f>
        <v>Service</v>
      </c>
      <c r="B171" s="11" t="s">
        <v>78</v>
      </c>
      <c r="C171" s="29"/>
      <c r="D171" s="80" t="s">
        <v>39</v>
      </c>
      <c r="E171" s="80" t="s">
        <v>79</v>
      </c>
      <c r="F171" s="134" t="s">
        <v>12</v>
      </c>
      <c r="G171" s="135"/>
      <c r="H171" s="80"/>
      <c r="I171" s="134"/>
      <c r="J171" s="135" t="s">
        <v>39</v>
      </c>
      <c r="K171" s="80" t="s">
        <v>79</v>
      </c>
      <c r="L171" s="134" t="s">
        <v>12</v>
      </c>
      <c r="M171" s="135" t="s">
        <v>220</v>
      </c>
      <c r="N171" s="134" t="s">
        <v>217</v>
      </c>
      <c r="O171" s="80" t="s">
        <v>39</v>
      </c>
      <c r="P171" s="80" t="s">
        <v>79</v>
      </c>
      <c r="Q171" s="134" t="s">
        <v>12</v>
      </c>
      <c r="R171" s="135" t="s">
        <v>80</v>
      </c>
      <c r="S171" s="136" t="s">
        <v>12</v>
      </c>
      <c r="T171" s="80"/>
      <c r="U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ht="20.25">
      <c r="A172" t="str">
        <f t="shared" si="44"/>
        <v>ServiceM/O Client</v>
      </c>
      <c r="B172" s="11" t="s">
        <v>78</v>
      </c>
      <c r="C172" s="29" t="s">
        <v>81</v>
      </c>
      <c r="D172" s="491">
        <v>118.80283100870454</v>
      </c>
      <c r="E172" s="82">
        <v>40392.962542959547</v>
      </c>
      <c r="F172" s="82">
        <v>31668.082633680286</v>
      </c>
      <c r="G172" s="156"/>
      <c r="H172" s="82"/>
      <c r="I172" s="82"/>
      <c r="J172" s="60">
        <v>122</v>
      </c>
      <c r="K172" s="30">
        <v>43642.539999999994</v>
      </c>
      <c r="L172" s="33">
        <v>33796.769999999997</v>
      </c>
      <c r="M172" s="157">
        <f>(K172-E172)/E172</f>
        <v>8.0449099359433951E-2</v>
      </c>
      <c r="N172" s="59">
        <f>L172-F172</f>
        <v>2128.6873663197111</v>
      </c>
      <c r="O172" s="60">
        <v>97</v>
      </c>
      <c r="P172" s="30">
        <v>29494.33</v>
      </c>
      <c r="Q172" s="33">
        <v>23199.91</v>
      </c>
      <c r="R172" s="157">
        <f>IF(O172=0,0,J172/O172)</f>
        <v>1.2577319587628866</v>
      </c>
      <c r="S172" s="85">
        <f>L172-Q172</f>
        <v>10596.859999999997</v>
      </c>
      <c r="T172" s="82"/>
      <c r="U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25">
      <c r="A173" t="str">
        <f t="shared" si="44"/>
        <v>Service% profit / ventes</v>
      </c>
      <c r="B173" s="11" t="s">
        <v>78</v>
      </c>
      <c r="C173" s="29" t="s">
        <v>82</v>
      </c>
      <c r="D173" s="491"/>
      <c r="E173" s="144"/>
      <c r="F173" s="158">
        <f>F172/E172</f>
        <v>0.78400000000000003</v>
      </c>
      <c r="G173" s="41"/>
      <c r="H173" s="144"/>
      <c r="I173" s="158"/>
      <c r="J173" s="60"/>
      <c r="K173" s="13"/>
      <c r="L173" s="158">
        <f>IF(L172=0,0,L172/K172)</f>
        <v>0.77439970267541725</v>
      </c>
      <c r="M173" s="157"/>
      <c r="N173" s="59"/>
      <c r="O173" s="60"/>
      <c r="P173" s="13"/>
      <c r="Q173" s="158">
        <f>Q172/P172</f>
        <v>0.78658881215474286</v>
      </c>
      <c r="R173" s="60"/>
      <c r="S173" s="85"/>
      <c r="T173" s="82"/>
      <c r="U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25">
      <c r="A174" t="str">
        <f t="shared" si="44"/>
        <v>Service</v>
      </c>
      <c r="B174" s="11" t="s">
        <v>78</v>
      </c>
      <c r="C174" s="86"/>
      <c r="D174" s="492"/>
      <c r="E174" s="159">
        <f>IFERROR(E172/D172,0)</f>
        <v>340</v>
      </c>
      <c r="F174" s="160"/>
      <c r="G174" s="23"/>
      <c r="H174" s="159"/>
      <c r="I174" s="160"/>
      <c r="J174" s="161"/>
      <c r="K174" s="465">
        <f>IFERROR(K172/J172,0)</f>
        <v>357.725737704918</v>
      </c>
      <c r="L174" s="160"/>
      <c r="M174" s="162"/>
      <c r="N174" s="91"/>
      <c r="O174" s="161"/>
      <c r="P174" s="465">
        <f>IFERROR(P172/O172,0)</f>
        <v>304.06525773195881</v>
      </c>
      <c r="Q174" s="160"/>
      <c r="R174" s="161"/>
      <c r="S174" s="92"/>
      <c r="T174" s="82"/>
      <c r="U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25">
      <c r="A175" t="str">
        <f t="shared" si="44"/>
        <v>ServiceM/O Garantie</v>
      </c>
      <c r="B175" s="11" t="s">
        <v>78</v>
      </c>
      <c r="C175" s="14" t="s">
        <v>83</v>
      </c>
      <c r="D175" s="493">
        <v>122.78761307498306</v>
      </c>
      <c r="E175" s="82">
        <v>17926.991508947525</v>
      </c>
      <c r="F175" s="82">
        <v>11473.274565726417</v>
      </c>
      <c r="G175" s="164"/>
      <c r="H175" s="82"/>
      <c r="I175" s="82"/>
      <c r="J175" s="164">
        <v>179</v>
      </c>
      <c r="K175" s="165">
        <v>23967.52</v>
      </c>
      <c r="L175" s="33">
        <v>16036.509999999998</v>
      </c>
      <c r="M175" s="157">
        <f>(K175-E175)/E175</f>
        <v>0.33695160105573724</v>
      </c>
      <c r="N175" s="109">
        <f>L175-F175</f>
        <v>4563.2354342735816</v>
      </c>
      <c r="O175" s="164">
        <v>143</v>
      </c>
      <c r="P175" s="165">
        <v>35002.620000000003</v>
      </c>
      <c r="Q175" s="33">
        <v>23761.64</v>
      </c>
      <c r="R175" s="157">
        <f>IF(O175=0,0,J175/O175)</f>
        <v>1.2517482517482517</v>
      </c>
      <c r="S175" s="85">
        <f>L175-Q175</f>
        <v>-7725.130000000001</v>
      </c>
      <c r="T175" s="82"/>
      <c r="U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25">
      <c r="A176" t="str">
        <f t="shared" si="44"/>
        <v>Service% profit / ventes</v>
      </c>
      <c r="B176" s="11" t="s">
        <v>78</v>
      </c>
      <c r="C176" s="29" t="s">
        <v>82</v>
      </c>
      <c r="D176" s="491"/>
      <c r="E176" s="13"/>
      <c r="F176" s="158">
        <f>F175/E175</f>
        <v>0.64</v>
      </c>
      <c r="G176" s="41"/>
      <c r="H176" s="13"/>
      <c r="I176" s="158"/>
      <c r="J176" s="41"/>
      <c r="K176" s="13"/>
      <c r="L176" s="158">
        <f>IF(L175=0,0,L175/K175)</f>
        <v>0.6690934230992609</v>
      </c>
      <c r="M176" s="42"/>
      <c r="N176" s="43"/>
      <c r="O176" s="41"/>
      <c r="P176" s="13"/>
      <c r="Q176" s="158">
        <f>Q175/P175</f>
        <v>0.67885318299030184</v>
      </c>
      <c r="R176" s="42"/>
      <c r="S176" s="44"/>
      <c r="T176" s="13"/>
      <c r="U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0.25">
      <c r="A177" t="str">
        <f t="shared" si="44"/>
        <v>Service</v>
      </c>
      <c r="B177" s="11" t="s">
        <v>78</v>
      </c>
      <c r="C177" s="86"/>
      <c r="D177" s="492"/>
      <c r="E177" s="111"/>
      <c r="F177" s="160"/>
      <c r="G177" s="23"/>
      <c r="H177" s="111"/>
      <c r="I177" s="160"/>
      <c r="J177" s="23"/>
      <c r="K177" s="166"/>
      <c r="L177" s="160"/>
      <c r="M177" s="167"/>
      <c r="N177" s="168"/>
      <c r="O177" s="23"/>
      <c r="P177" s="166">
        <f>IFERROR(P175/O175,0)</f>
        <v>244.77356643356646</v>
      </c>
      <c r="Q177" s="160"/>
      <c r="R177" s="167"/>
      <c r="S177" s="169"/>
      <c r="T177" s="13"/>
      <c r="U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0.25">
      <c r="A178" t="str">
        <f t="shared" si="44"/>
        <v>ServiceM/O Interne</v>
      </c>
      <c r="B178" s="11" t="s">
        <v>78</v>
      </c>
      <c r="C178" s="29" t="s">
        <v>84</v>
      </c>
      <c r="D178" s="491">
        <v>119.16611645083479</v>
      </c>
      <c r="E178" s="82">
        <v>28599.867948200354</v>
      </c>
      <c r="F178" s="82">
        <v>19304.910865035239</v>
      </c>
      <c r="G178" s="41"/>
      <c r="H178" s="82"/>
      <c r="I178" s="82"/>
      <c r="J178" s="60">
        <v>82</v>
      </c>
      <c r="K178" s="165">
        <v>27839.84</v>
      </c>
      <c r="L178" s="33">
        <v>19376.63</v>
      </c>
      <c r="M178" s="157">
        <f>(K178-E178)/E178</f>
        <v>-2.6574526483020989E-2</v>
      </c>
      <c r="N178" s="59">
        <f>L178-F178</f>
        <v>71.719134964761906</v>
      </c>
      <c r="O178" s="60">
        <v>155</v>
      </c>
      <c r="P178" s="165">
        <v>43073.03</v>
      </c>
      <c r="Q178" s="33">
        <v>26387.31</v>
      </c>
      <c r="R178" s="157">
        <f>IF(O178=0,0,J178/O178)</f>
        <v>0.52903225806451615</v>
      </c>
      <c r="S178" s="85">
        <f>L178-Q178</f>
        <v>-7010.68</v>
      </c>
      <c r="T178" s="82"/>
      <c r="U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25">
      <c r="A179" t="str">
        <f t="shared" si="44"/>
        <v>Service% profit / ventes</v>
      </c>
      <c r="B179" s="11" t="s">
        <v>78</v>
      </c>
      <c r="C179" s="29" t="s">
        <v>82</v>
      </c>
      <c r="D179" s="491"/>
      <c r="E179" s="144"/>
      <c r="F179" s="158">
        <f>F178/E178</f>
        <v>0.67500000000000004</v>
      </c>
      <c r="G179" s="41"/>
      <c r="H179" s="144"/>
      <c r="I179" s="158"/>
      <c r="J179" s="60"/>
      <c r="K179" s="144"/>
      <c r="L179" s="158">
        <f>IF(L178=0,0,L178/K178)</f>
        <v>0.69600364082552202</v>
      </c>
      <c r="M179" s="157"/>
      <c r="N179" s="59">
        <f>L179-F179</f>
        <v>2.1003640825521974E-2</v>
      </c>
      <c r="O179" s="60"/>
      <c r="P179" s="144"/>
      <c r="Q179" s="158">
        <f>Q178/P178</f>
        <v>0.6126179189158506</v>
      </c>
      <c r="R179" s="60">
        <f>O179-K179</f>
        <v>0</v>
      </c>
      <c r="S179" s="85"/>
      <c r="T179" s="82"/>
      <c r="U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25">
      <c r="A180" t="str">
        <f t="shared" si="44"/>
        <v>Service</v>
      </c>
      <c r="B180" s="11" t="s">
        <v>78</v>
      </c>
      <c r="C180" s="29"/>
      <c r="D180" s="491"/>
      <c r="E180" s="170"/>
      <c r="F180" s="171"/>
      <c r="G180" s="41"/>
      <c r="H180" s="170"/>
      <c r="I180" s="160"/>
      <c r="J180" s="60"/>
      <c r="K180" s="455"/>
      <c r="L180" s="158"/>
      <c r="M180" s="157"/>
      <c r="N180" s="59"/>
      <c r="O180" s="60"/>
      <c r="P180" s="455">
        <f>IFERROR(P178/O178,0)</f>
        <v>277.89051612903228</v>
      </c>
      <c r="Q180" s="158"/>
      <c r="R180" s="172"/>
      <c r="S180" s="85"/>
      <c r="T180" s="82"/>
      <c r="U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25">
      <c r="A181" t="str">
        <f t="shared" si="44"/>
        <v>ServiceM/O Esthétique</v>
      </c>
      <c r="B181" s="11" t="s">
        <v>78</v>
      </c>
      <c r="C181" s="14" t="s">
        <v>85</v>
      </c>
      <c r="D181" s="493">
        <v>34.175216371203391</v>
      </c>
      <c r="E181" s="82">
        <v>6835.0432742406792</v>
      </c>
      <c r="F181" s="82">
        <v>2734.0173096962717</v>
      </c>
      <c r="G181" s="107"/>
      <c r="H181" s="82"/>
      <c r="I181" s="82"/>
      <c r="J181" s="164">
        <v>9</v>
      </c>
      <c r="K181" s="165">
        <v>1950.8600000000001</v>
      </c>
      <c r="L181" s="108">
        <v>1343.8600000000001</v>
      </c>
      <c r="M181" s="173">
        <f>IF(E181=0,0,(K181-E181)/E181)</f>
        <v>-0.71457971490067473</v>
      </c>
      <c r="N181" s="109">
        <f>L181-F181</f>
        <v>-1390.1573096962716</v>
      </c>
      <c r="O181" s="164">
        <v>18</v>
      </c>
      <c r="P181" s="165">
        <v>3523.4</v>
      </c>
      <c r="Q181" s="108">
        <v>1241.74</v>
      </c>
      <c r="R181" s="157">
        <f>IF(O181=0,0,J181/O181)</f>
        <v>0.5</v>
      </c>
      <c r="S181" s="110">
        <f>L181-Q181</f>
        <v>102.12000000000012</v>
      </c>
      <c r="T181" s="82"/>
      <c r="U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25">
      <c r="A182" t="str">
        <f t="shared" si="44"/>
        <v>Service% profit / ventes</v>
      </c>
      <c r="B182" s="11" t="s">
        <v>78</v>
      </c>
      <c r="C182" s="29" t="s">
        <v>82</v>
      </c>
      <c r="D182" s="76"/>
      <c r="E182" s="174"/>
      <c r="F182" s="158">
        <f>IFERROR(F181/E181,0)</f>
        <v>0.4</v>
      </c>
      <c r="G182" s="78"/>
      <c r="H182" s="174"/>
      <c r="I182" s="158"/>
      <c r="J182" s="175"/>
      <c r="K182" s="174"/>
      <c r="L182" s="158">
        <f>IF(L181=0,0,L181/K181)</f>
        <v>0.68885517156536091</v>
      </c>
      <c r="M182" s="60">
        <f>J182-D182</f>
        <v>0</v>
      </c>
      <c r="N182" s="176"/>
      <c r="O182" s="175"/>
      <c r="P182" s="174"/>
      <c r="Q182" s="158">
        <f>IFERROR(Q181/P181,0)</f>
        <v>0.35242663336549923</v>
      </c>
      <c r="R182" s="41"/>
      <c r="S182" s="177"/>
      <c r="T182" s="112"/>
      <c r="U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0.25">
      <c r="A183" t="str">
        <f t="shared" si="44"/>
        <v>Service</v>
      </c>
      <c r="B183" s="11" t="s">
        <v>78</v>
      </c>
      <c r="C183" s="86"/>
      <c r="D183" s="178"/>
      <c r="E183" s="179"/>
      <c r="F183" s="160"/>
      <c r="G183" s="180"/>
      <c r="H183" s="179"/>
      <c r="I183" s="160"/>
      <c r="J183" s="181"/>
      <c r="K183" s="25"/>
      <c r="L183" s="160"/>
      <c r="M183" s="161"/>
      <c r="N183" s="182"/>
      <c r="O183" s="181"/>
      <c r="P183" s="25">
        <f>IFERROR(P181/O181,0)</f>
        <v>195.74444444444444</v>
      </c>
      <c r="Q183" s="160"/>
      <c r="R183" s="23"/>
      <c r="S183" s="183"/>
      <c r="T183" s="112"/>
      <c r="U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 thickBot="1">
      <c r="A184" t="str">
        <f t="shared" si="44"/>
        <v>ServiceAjustement M/O</v>
      </c>
      <c r="B184" s="11" t="s">
        <v>78</v>
      </c>
      <c r="C184" s="29" t="s">
        <v>86</v>
      </c>
      <c r="D184" s="13"/>
      <c r="E184" s="13"/>
      <c r="F184" s="59">
        <v>-1821.2512731550603</v>
      </c>
      <c r="G184" s="41"/>
      <c r="H184" s="82"/>
      <c r="I184" s="82"/>
      <c r="J184" s="60"/>
      <c r="K184" s="82"/>
      <c r="L184" s="82">
        <v>-3692.2200000000003</v>
      </c>
      <c r="M184" s="175"/>
      <c r="N184" s="59">
        <f>L184-F184</f>
        <v>-1870.96872684494</v>
      </c>
      <c r="O184" s="60"/>
      <c r="P184" s="82"/>
      <c r="Q184" s="82">
        <v>-2565.34</v>
      </c>
      <c r="R184" s="184"/>
      <c r="S184" s="85">
        <f>L184-Q184</f>
        <v>-1126.8800000000001</v>
      </c>
      <c r="T184" s="13"/>
      <c r="U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" thickTop="1">
      <c r="A185" t="str">
        <f t="shared" si="44"/>
        <v>ServiceSous-total M/O</v>
      </c>
      <c r="B185" s="11" t="s">
        <v>78</v>
      </c>
      <c r="C185" s="185" t="s">
        <v>87</v>
      </c>
      <c r="D185" s="186">
        <f>D172+D175+D178+D181+D184</f>
        <v>394.93177690572577</v>
      </c>
      <c r="E185" s="186">
        <f>E172+E175+E178+E181+E184</f>
        <v>93754.865274348107</v>
      </c>
      <c r="F185" s="187">
        <f>F172+F175+F178+F181+F184</f>
        <v>63359.034100983154</v>
      </c>
      <c r="G185" s="188"/>
      <c r="H185" s="186"/>
      <c r="I185" s="187"/>
      <c r="J185" s="188">
        <f>J172+J175+J178+J181+J184</f>
        <v>392</v>
      </c>
      <c r="K185" s="186">
        <f>K172+K175+K178+K181+K184</f>
        <v>97400.76</v>
      </c>
      <c r="L185" s="187">
        <f>L172+L175+L178+L181+L184</f>
        <v>66861.55</v>
      </c>
      <c r="M185" s="189">
        <f>(K185-E185)/E185</f>
        <v>3.8887525623157462E-2</v>
      </c>
      <c r="N185" s="187">
        <f>L185-F185</f>
        <v>3502.5158990168493</v>
      </c>
      <c r="O185" s="188">
        <f t="shared" ref="O185:Q185" si="45">O172+O175+O178+O181+O184</f>
        <v>413</v>
      </c>
      <c r="P185" s="186">
        <f t="shared" si="45"/>
        <v>111093.38</v>
      </c>
      <c r="Q185" s="187">
        <f t="shared" si="45"/>
        <v>72025.260000000009</v>
      </c>
      <c r="R185" s="42">
        <f>IF(O185=0,0,J185/O185)</f>
        <v>0.94915254237288138</v>
      </c>
      <c r="S185" s="190">
        <f>L185-Q185</f>
        <v>-5163.7100000000064</v>
      </c>
      <c r="T185" s="112"/>
      <c r="U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0.25">
      <c r="A186" t="str">
        <f t="shared" si="44"/>
        <v>Service% protit / ventes</v>
      </c>
      <c r="B186" s="11" t="s">
        <v>78</v>
      </c>
      <c r="C186" s="191" t="s">
        <v>88</v>
      </c>
      <c r="D186" s="192"/>
      <c r="E186" s="192"/>
      <c r="F186" s="193">
        <f>F185/E185</f>
        <v>0.67579462586373706</v>
      </c>
      <c r="G186" s="194"/>
      <c r="H186" s="192"/>
      <c r="I186" s="43"/>
      <c r="J186" s="194"/>
      <c r="K186" s="443">
        <f>IF(J185=0,0,K185/J185)</f>
        <v>248.47132653061223</v>
      </c>
      <c r="L186" s="43">
        <f>IF(L185=0,0,L185/K185)</f>
        <v>0.68645819601407632</v>
      </c>
      <c r="M186" s="194"/>
      <c r="N186" s="193">
        <f>N185/F185</f>
        <v>5.5280449721415499E-2</v>
      </c>
      <c r="O186" s="194"/>
      <c r="P186" s="443">
        <f>IF(O185=0,0,P185/O185)</f>
        <v>268.99123486682811</v>
      </c>
      <c r="Q186" s="43">
        <f>Q185/P185</f>
        <v>0.64833080062916448</v>
      </c>
      <c r="R186" s="194"/>
      <c r="S186" s="44">
        <f>IF(R185=0,0,S185/R185)</f>
        <v>-5440.3373214285784</v>
      </c>
      <c r="T186" s="112"/>
      <c r="U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0.25">
      <c r="A187" t="str">
        <f t="shared" si="44"/>
        <v>Service</v>
      </c>
      <c r="B187" s="11" t="s">
        <v>78</v>
      </c>
      <c r="C187" s="35"/>
      <c r="D187" s="195"/>
      <c r="E187" s="196"/>
      <c r="F187" s="197"/>
      <c r="G187" s="198"/>
      <c r="H187" s="196"/>
      <c r="I187" s="197"/>
      <c r="J187" s="198"/>
      <c r="K187" s="196"/>
      <c r="L187" s="197"/>
      <c r="M187" s="198"/>
      <c r="N187" s="197"/>
      <c r="O187" s="198"/>
      <c r="P187" s="196"/>
      <c r="Q187" s="197"/>
      <c r="R187" s="198"/>
      <c r="S187" s="199"/>
      <c r="T187" s="112"/>
      <c r="U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0.25">
      <c r="A188" t="str">
        <f t="shared" si="44"/>
        <v>ServiceSous-traitement</v>
      </c>
      <c r="B188" s="11" t="s">
        <v>78</v>
      </c>
      <c r="C188" s="29" t="s">
        <v>89</v>
      </c>
      <c r="D188" s="82"/>
      <c r="E188" s="82">
        <v>6736.1154605737429</v>
      </c>
      <c r="F188" s="82">
        <v>774.65327796598046</v>
      </c>
      <c r="G188" s="60"/>
      <c r="H188" s="82"/>
      <c r="I188" s="82"/>
      <c r="J188" s="60"/>
      <c r="K188" s="30">
        <v>331.8</v>
      </c>
      <c r="L188" s="33">
        <v>0</v>
      </c>
      <c r="M188" s="84">
        <f>IF(E188=0,0,(K188-E188)/E188)</f>
        <v>-0.95074312458834553</v>
      </c>
      <c r="N188" s="59">
        <f>L188-F188</f>
        <v>-774.65327796598046</v>
      </c>
      <c r="O188" s="60"/>
      <c r="P188" s="30">
        <v>11177.31</v>
      </c>
      <c r="Q188" s="33">
        <v>227.090000000001</v>
      </c>
      <c r="R188" s="157">
        <f>IF(O188=0,0,J188/O188)</f>
        <v>0</v>
      </c>
      <c r="S188" s="85">
        <f>L188-Q188</f>
        <v>-227.090000000001</v>
      </c>
      <c r="T188" s="112"/>
      <c r="U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0.25">
      <c r="A189" t="str">
        <f t="shared" si="44"/>
        <v>Service% profit / ventes</v>
      </c>
      <c r="B189" s="11" t="s">
        <v>78</v>
      </c>
      <c r="C189" s="29" t="s">
        <v>82</v>
      </c>
      <c r="D189" s="13"/>
      <c r="E189" s="144"/>
      <c r="F189" s="158">
        <f>IFERROR(F188/E188,0)</f>
        <v>0.115</v>
      </c>
      <c r="G189" s="41"/>
      <c r="H189" s="144"/>
      <c r="I189" s="158"/>
      <c r="J189" s="175"/>
      <c r="K189" s="174"/>
      <c r="L189" s="158">
        <f>IF(L188=0,0,L188/K188)</f>
        <v>0</v>
      </c>
      <c r="M189" s="175"/>
      <c r="N189" s="176"/>
      <c r="O189" s="175"/>
      <c r="P189" s="174"/>
      <c r="Q189" s="158">
        <f>IFERROR(Q188/P188,0)</f>
        <v>2.0317053029754117E-2</v>
      </c>
      <c r="R189" s="175"/>
      <c r="S189" s="177"/>
      <c r="T189" s="112"/>
      <c r="U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0.25" hidden="1">
      <c r="A190" t="str">
        <f t="shared" si="44"/>
        <v>Service</v>
      </c>
      <c r="B190" s="11" t="s">
        <v>78</v>
      </c>
      <c r="C190" s="29"/>
      <c r="D190" s="13"/>
      <c r="E190" s="144"/>
      <c r="F190" s="158"/>
      <c r="G190" s="41"/>
      <c r="H190" s="144"/>
      <c r="I190" s="158"/>
      <c r="J190" s="175"/>
      <c r="K190" s="174"/>
      <c r="L190" s="158"/>
      <c r="M190" s="175"/>
      <c r="N190" s="176"/>
      <c r="O190" s="175"/>
      <c r="P190" s="174"/>
      <c r="Q190" s="158"/>
      <c r="R190" s="175"/>
      <c r="S190" s="177"/>
      <c r="T190" s="112"/>
      <c r="U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0.25" hidden="1">
      <c r="A191" t="str">
        <f t="shared" si="44"/>
        <v>ServiceM.O. Recond. MCPA</v>
      </c>
      <c r="B191" s="11" t="s">
        <v>78</v>
      </c>
      <c r="C191" s="29" t="s">
        <v>90</v>
      </c>
      <c r="D191" s="13"/>
      <c r="E191" s="82">
        <v>0</v>
      </c>
      <c r="F191" s="82">
        <v>0</v>
      </c>
      <c r="G191" s="41"/>
      <c r="H191" s="82"/>
      <c r="I191" s="82"/>
      <c r="J191" s="175"/>
      <c r="K191" s="30">
        <v>0</v>
      </c>
      <c r="L191" s="158"/>
      <c r="M191" s="175"/>
      <c r="N191" s="176"/>
      <c r="O191" s="175"/>
      <c r="P191" s="30">
        <v>0</v>
      </c>
      <c r="Q191" s="158">
        <v>0</v>
      </c>
      <c r="R191" s="175"/>
      <c r="S191" s="177"/>
      <c r="T191" s="112"/>
      <c r="U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0.25" hidden="1">
      <c r="A192" t="str">
        <f t="shared" si="44"/>
        <v>Service% profit / ventes</v>
      </c>
      <c r="B192" s="11" t="s">
        <v>78</v>
      </c>
      <c r="C192" s="29" t="s">
        <v>82</v>
      </c>
      <c r="D192" s="13"/>
      <c r="E192" s="144"/>
      <c r="F192" s="158">
        <f>IF(F191=0,0,F191/E191)</f>
        <v>0</v>
      </c>
      <c r="G192" s="41"/>
      <c r="H192" s="144"/>
      <c r="I192" s="158"/>
      <c r="J192" s="175"/>
      <c r="K192" s="174"/>
      <c r="L192" s="158">
        <f>IF(L191=0,0,L191/K191)</f>
        <v>0</v>
      </c>
      <c r="M192" s="175"/>
      <c r="N192" s="176"/>
      <c r="O192" s="175"/>
      <c r="P192" s="174"/>
      <c r="Q192" s="158">
        <f>IF(Q191=0,0,Q191/P191)</f>
        <v>0</v>
      </c>
      <c r="R192" s="175"/>
      <c r="S192" s="177"/>
      <c r="T192" s="112"/>
      <c r="U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thickBot="1">
      <c r="A193" t="str">
        <f t="shared" si="44"/>
        <v>Service</v>
      </c>
      <c r="B193" s="11" t="s">
        <v>78</v>
      </c>
      <c r="C193" s="200"/>
      <c r="D193" s="201"/>
      <c r="E193" s="202"/>
      <c r="F193" s="203"/>
      <c r="G193" s="204"/>
      <c r="H193" s="202"/>
      <c r="I193" s="203"/>
      <c r="J193" s="204"/>
      <c r="K193" s="202"/>
      <c r="L193" s="203"/>
      <c r="M193" s="204"/>
      <c r="N193" s="203"/>
      <c r="O193" s="204"/>
      <c r="P193" s="202"/>
      <c r="Q193" s="203"/>
      <c r="R193" s="204"/>
      <c r="S193" s="205"/>
      <c r="T193" s="112"/>
      <c r="U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" thickTop="1">
      <c r="A194" t="str">
        <f t="shared" si="44"/>
        <v>ServiceTotal Mécanique</v>
      </c>
      <c r="B194" s="11" t="s">
        <v>78</v>
      </c>
      <c r="C194" s="62" t="s">
        <v>91</v>
      </c>
      <c r="D194" s="63"/>
      <c r="E194" s="63">
        <f>E185+E188+E191</f>
        <v>100490.98073492185</v>
      </c>
      <c r="F194" s="65">
        <f>F185+F188+F191</f>
        <v>64133.687378949136</v>
      </c>
      <c r="G194" s="66"/>
      <c r="H194" s="63"/>
      <c r="I194" s="65"/>
      <c r="J194" s="66"/>
      <c r="K194" s="63">
        <f>K185+K188+K191</f>
        <v>97732.56</v>
      </c>
      <c r="L194" s="65">
        <f>L185+L188+L191</f>
        <v>66861.55</v>
      </c>
      <c r="M194" s="206">
        <f>L195-F195</f>
        <v>4.5924266817971349E-2</v>
      </c>
      <c r="N194" s="65">
        <f>L194-F194</f>
        <v>2727.8626210508664</v>
      </c>
      <c r="O194" s="66"/>
      <c r="P194" s="63">
        <f t="shared" ref="P194:Q194" si="46">P185+P188+P191</f>
        <v>122270.69</v>
      </c>
      <c r="Q194" s="65">
        <f t="shared" si="46"/>
        <v>72252.350000000006</v>
      </c>
      <c r="R194" s="206">
        <f>L195-Q195</f>
        <v>9.320642637761023E-2</v>
      </c>
      <c r="S194" s="68">
        <f>L194-Q194</f>
        <v>-5390.8000000000029</v>
      </c>
      <c r="T194" s="112"/>
      <c r="U194" s="13"/>
      <c r="V194" s="517" t="s">
        <v>221</v>
      </c>
      <c r="W194" s="497"/>
      <c r="X194" s="490">
        <f>L194-W194</f>
        <v>66861.55</v>
      </c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" thickBot="1">
      <c r="A195" t="str">
        <f t="shared" si="44"/>
        <v>Service</v>
      </c>
      <c r="B195" s="11" t="s">
        <v>78</v>
      </c>
      <c r="C195" s="69"/>
      <c r="D195" s="70"/>
      <c r="E195" s="70"/>
      <c r="F195" s="74">
        <f>F194/E194</f>
        <v>0.6382034179577063</v>
      </c>
      <c r="G195" s="72"/>
      <c r="H195" s="70"/>
      <c r="I195" s="74"/>
      <c r="J195" s="72"/>
      <c r="K195" s="70"/>
      <c r="L195" s="74">
        <f>L194/K194</f>
        <v>0.68412768477567765</v>
      </c>
      <c r="M195" s="73"/>
      <c r="N195" s="74">
        <f>N194/F194</f>
        <v>4.2534005645623367E-2</v>
      </c>
      <c r="O195" s="72"/>
      <c r="P195" s="70"/>
      <c r="Q195" s="74">
        <f>Q194/P194</f>
        <v>0.59092125839806742</v>
      </c>
      <c r="R195" s="73"/>
      <c r="S195" s="75">
        <f>L194/S194</f>
        <v>-12.40289938413593</v>
      </c>
      <c r="T195" s="76"/>
      <c r="U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" thickTop="1">
      <c r="A196" t="str">
        <f t="shared" si="44"/>
        <v>Service</v>
      </c>
      <c r="B196" s="11" t="s">
        <v>78</v>
      </c>
      <c r="C196" s="53"/>
      <c r="D196" s="76"/>
      <c r="E196" s="76"/>
      <c r="F196" s="43"/>
      <c r="G196" s="78"/>
      <c r="H196" s="76"/>
      <c r="I196" s="43"/>
      <c r="J196" s="78"/>
      <c r="K196" s="76"/>
      <c r="L196" s="466"/>
      <c r="M196" s="42"/>
      <c r="N196" s="43"/>
      <c r="O196" s="78"/>
      <c r="P196" s="76"/>
      <c r="Q196" s="43"/>
      <c r="R196" s="42"/>
      <c r="S196" s="44"/>
      <c r="T196" s="76"/>
      <c r="U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0.25">
      <c r="A197" t="str">
        <f t="shared" si="44"/>
        <v>ServiceDEPENSES</v>
      </c>
      <c r="B197" s="11" t="s">
        <v>78</v>
      </c>
      <c r="C197" s="79" t="s">
        <v>29</v>
      </c>
      <c r="D197" s="13"/>
      <c r="E197" s="13"/>
      <c r="F197" s="59"/>
      <c r="G197" s="41"/>
      <c r="H197" s="13"/>
      <c r="I197" s="59"/>
      <c r="J197" s="41"/>
      <c r="K197" s="13"/>
      <c r="L197" s="40"/>
      <c r="M197" s="41"/>
      <c r="N197" s="40"/>
      <c r="O197" s="41"/>
      <c r="P197" s="13"/>
      <c r="Q197" s="40"/>
      <c r="R197" s="41"/>
      <c r="S197" s="61"/>
      <c r="T197" s="13"/>
      <c r="U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0.25">
      <c r="A198" t="str">
        <f t="shared" si="44"/>
        <v>ServiceSalaires cadres</v>
      </c>
      <c r="B198" s="11" t="s">
        <v>78</v>
      </c>
      <c r="C198" s="102" t="s">
        <v>40</v>
      </c>
      <c r="D198" s="13"/>
      <c r="E198" s="13"/>
      <c r="F198" s="30">
        <v>10609.936678455644</v>
      </c>
      <c r="G198" s="41"/>
      <c r="H198" s="13"/>
      <c r="I198" s="30"/>
      <c r="J198" s="41"/>
      <c r="K198" s="13"/>
      <c r="L198" s="33">
        <v>12026.53</v>
      </c>
      <c r="M198" s="41"/>
      <c r="N198" s="59">
        <f t="shared" ref="N198:N229" si="47">L198-F198</f>
        <v>1416.5933215443565</v>
      </c>
      <c r="O198" s="41"/>
      <c r="P198" s="13"/>
      <c r="Q198" s="33">
        <v>10104.73</v>
      </c>
      <c r="R198" s="41"/>
      <c r="S198" s="85">
        <f t="shared" ref="S198:S228" si="48">L198-Q198</f>
        <v>1921.8000000000011</v>
      </c>
      <c r="T198" s="13"/>
      <c r="U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25">
      <c r="A199" t="str">
        <f t="shared" si="44"/>
        <v>ServiceSalaires commis</v>
      </c>
      <c r="B199" s="11" t="s">
        <v>78</v>
      </c>
      <c r="C199" s="103" t="s">
        <v>41</v>
      </c>
      <c r="D199" s="81"/>
      <c r="E199" s="13"/>
      <c r="F199" s="22">
        <v>5720.6015325670505</v>
      </c>
      <c r="G199" s="83"/>
      <c r="H199" s="13"/>
      <c r="I199" s="22"/>
      <c r="J199" s="41"/>
      <c r="K199" s="13"/>
      <c r="L199" s="33">
        <v>2381.37</v>
      </c>
      <c r="M199" s="41"/>
      <c r="N199" s="59">
        <f t="shared" si="47"/>
        <v>-3339.2315325670506</v>
      </c>
      <c r="O199" s="41"/>
      <c r="P199" s="13"/>
      <c r="Q199" s="33">
        <v>5958.02</v>
      </c>
      <c r="R199" s="41"/>
      <c r="S199" s="85">
        <f t="shared" si="48"/>
        <v>-3576.6500000000005</v>
      </c>
      <c r="T199" s="13"/>
      <c r="U199" s="13"/>
      <c r="V199" s="517" t="s">
        <v>272</v>
      </c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25">
      <c r="A200" t="str">
        <f t="shared" si="44"/>
        <v>ServiceSalaires autres</v>
      </c>
      <c r="B200" s="11" t="s">
        <v>78</v>
      </c>
      <c r="C200" s="102" t="s">
        <v>42</v>
      </c>
      <c r="D200" s="104"/>
      <c r="E200" s="105"/>
      <c r="F200" s="30">
        <v>4802.7624521072794</v>
      </c>
      <c r="G200" s="106"/>
      <c r="H200" s="105"/>
      <c r="I200" s="30"/>
      <c r="J200" s="107"/>
      <c r="K200" s="105"/>
      <c r="L200" s="108">
        <v>5793.79</v>
      </c>
      <c r="M200" s="107"/>
      <c r="N200" s="109">
        <f t="shared" si="47"/>
        <v>991.02754789272058</v>
      </c>
      <c r="O200" s="107"/>
      <c r="P200" s="105"/>
      <c r="Q200" s="108">
        <v>3642.54</v>
      </c>
      <c r="R200" s="107"/>
      <c r="S200" s="110">
        <f t="shared" si="48"/>
        <v>2151.25</v>
      </c>
      <c r="T200" s="13"/>
      <c r="U200" s="13"/>
      <c r="V200" s="517" t="s">
        <v>273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25">
      <c r="A201" t="str">
        <f t="shared" si="44"/>
        <v>ServiceSalaires spécialistes</v>
      </c>
      <c r="B201" s="11" t="s">
        <v>78</v>
      </c>
      <c r="C201" s="102" t="s">
        <v>43</v>
      </c>
      <c r="D201" s="81"/>
      <c r="E201" s="13"/>
      <c r="F201" s="30">
        <v>14702.865444444444</v>
      </c>
      <c r="G201" s="83"/>
      <c r="H201" s="13"/>
      <c r="I201" s="30"/>
      <c r="J201" s="41"/>
      <c r="K201" s="13"/>
      <c r="L201" s="33">
        <v>12308.67</v>
      </c>
      <c r="M201" s="41"/>
      <c r="N201" s="59">
        <f t="shared" si="47"/>
        <v>-2394.1954444444436</v>
      </c>
      <c r="O201" s="41"/>
      <c r="P201" s="13"/>
      <c r="Q201" s="33">
        <v>16655.73</v>
      </c>
      <c r="R201" s="41"/>
      <c r="S201" s="85">
        <f t="shared" si="48"/>
        <v>-4347.0599999999995</v>
      </c>
      <c r="T201" s="13"/>
      <c r="U201" s="13"/>
      <c r="V201" s="517" t="s">
        <v>274</v>
      </c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25" hidden="1">
      <c r="A202" t="str">
        <f t="shared" si="44"/>
        <v>Service[...]</v>
      </c>
      <c r="B202" s="11" t="s">
        <v>78</v>
      </c>
      <c r="C202" s="29" t="s">
        <v>19</v>
      </c>
      <c r="D202" s="81"/>
      <c r="E202" s="13"/>
      <c r="F202" s="30">
        <v>0</v>
      </c>
      <c r="G202" s="83"/>
      <c r="H202" s="13"/>
      <c r="I202" s="30"/>
      <c r="J202" s="41"/>
      <c r="K202" s="13"/>
      <c r="L202" s="33">
        <v>0</v>
      </c>
      <c r="M202" s="41"/>
      <c r="N202" s="59">
        <f t="shared" si="47"/>
        <v>0</v>
      </c>
      <c r="O202" s="41"/>
      <c r="P202" s="13"/>
      <c r="Q202" s="33">
        <v>0</v>
      </c>
      <c r="R202" s="41"/>
      <c r="S202" s="85">
        <f t="shared" si="48"/>
        <v>0</v>
      </c>
      <c r="T202" s="13"/>
      <c r="U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25" hidden="1">
      <c r="A203" t="str">
        <f t="shared" si="44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7"/>
        <v>0</v>
      </c>
      <c r="O203" s="41"/>
      <c r="P203" s="13"/>
      <c r="Q203" s="33">
        <v>0</v>
      </c>
      <c r="R203" s="41"/>
      <c r="S203" s="85">
        <f t="shared" si="48"/>
        <v>0</v>
      </c>
      <c r="T203" s="13"/>
      <c r="U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25" hidden="1">
      <c r="A204" t="str">
        <f t="shared" si="44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7"/>
        <v>0</v>
      </c>
      <c r="O204" s="41"/>
      <c r="P204" s="13"/>
      <c r="Q204" s="33">
        <v>0</v>
      </c>
      <c r="R204" s="41"/>
      <c r="S204" s="85">
        <f>L204-Q204</f>
        <v>0</v>
      </c>
      <c r="T204" s="13"/>
      <c r="U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25">
      <c r="A205" t="str">
        <f t="shared" si="44"/>
        <v>ServiceSalaires en absences</v>
      </c>
      <c r="B205" s="11" t="s">
        <v>78</v>
      </c>
      <c r="C205" s="103" t="s">
        <v>44</v>
      </c>
      <c r="D205" s="81"/>
      <c r="E205" s="13"/>
      <c r="F205" s="30">
        <v>14144.046409748131</v>
      </c>
      <c r="G205" s="83"/>
      <c r="H205" s="13"/>
      <c r="I205" s="30"/>
      <c r="J205" s="41"/>
      <c r="K205" s="13"/>
      <c r="L205" s="33">
        <v>16074.26</v>
      </c>
      <c r="M205" s="41"/>
      <c r="N205" s="59">
        <f t="shared" si="47"/>
        <v>1930.2135902518694</v>
      </c>
      <c r="O205" s="41"/>
      <c r="P205" s="13"/>
      <c r="Q205" s="33">
        <v>16030.02</v>
      </c>
      <c r="R205" s="41"/>
      <c r="S205" s="85">
        <f>L205-Q205</f>
        <v>44.239999999999782</v>
      </c>
      <c r="T205" s="13"/>
      <c r="U205" s="13"/>
      <c r="V205" s="517" t="s">
        <v>275</v>
      </c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25">
      <c r="A206" t="str">
        <f t="shared" si="44"/>
        <v>ServiceDéduction à la source</v>
      </c>
      <c r="B206" s="11" t="s">
        <v>78</v>
      </c>
      <c r="C206" s="102" t="s">
        <v>45</v>
      </c>
      <c r="D206" s="104"/>
      <c r="E206" s="105"/>
      <c r="F206" s="55">
        <v>8486.1237531970291</v>
      </c>
      <c r="G206" s="106"/>
      <c r="H206" s="105"/>
      <c r="I206" s="55"/>
      <c r="J206" s="107"/>
      <c r="K206" s="105"/>
      <c r="L206" s="108">
        <v>11409.93</v>
      </c>
      <c r="M206" s="107"/>
      <c r="N206" s="109">
        <f t="shared" si="47"/>
        <v>2923.8062468029711</v>
      </c>
      <c r="O206" s="107"/>
      <c r="P206" s="105"/>
      <c r="Q206" s="108">
        <v>9794.82</v>
      </c>
      <c r="R206" s="107"/>
      <c r="S206" s="110">
        <f t="shared" ref="S206:S236" si="49">L206-Q206</f>
        <v>1615.1100000000006</v>
      </c>
      <c r="T206" s="13"/>
      <c r="U206" s="13"/>
      <c r="V206" s="517" t="s">
        <v>275</v>
      </c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25">
      <c r="A207" t="str">
        <f t="shared" si="44"/>
        <v>ServiceBénéfices marginaux</v>
      </c>
      <c r="B207" s="11" t="s">
        <v>78</v>
      </c>
      <c r="C207" s="102" t="s">
        <v>46</v>
      </c>
      <c r="D207" s="81"/>
      <c r="E207" s="13"/>
      <c r="F207" s="30">
        <v>5210.7777431911591</v>
      </c>
      <c r="G207" s="83"/>
      <c r="H207" s="13"/>
      <c r="I207" s="30"/>
      <c r="J207" s="41"/>
      <c r="K207" s="13"/>
      <c r="L207" s="33">
        <v>5048.84</v>
      </c>
      <c r="M207" s="41"/>
      <c r="N207" s="59">
        <f t="shared" si="47"/>
        <v>-161.93774319115892</v>
      </c>
      <c r="O207" s="41"/>
      <c r="P207" s="13"/>
      <c r="Q207" s="33">
        <v>4048.18</v>
      </c>
      <c r="R207" s="41"/>
      <c r="S207" s="85">
        <f t="shared" si="49"/>
        <v>1000.6600000000003</v>
      </c>
      <c r="T207" s="13"/>
      <c r="U207" s="13"/>
      <c r="V207" s="517" t="s">
        <v>275</v>
      </c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25">
      <c r="A208" t="str">
        <f t="shared" si="44"/>
        <v>ServiceCsst</v>
      </c>
      <c r="B208" s="11" t="s">
        <v>78</v>
      </c>
      <c r="C208" s="102" t="s">
        <v>47</v>
      </c>
      <c r="D208" s="81"/>
      <c r="E208" s="13"/>
      <c r="F208" s="30">
        <v>1116.5952306838196</v>
      </c>
      <c r="G208" s="83"/>
      <c r="H208" s="13"/>
      <c r="I208" s="30"/>
      <c r="J208" s="41"/>
      <c r="K208" s="13"/>
      <c r="L208" s="33">
        <v>2414.58</v>
      </c>
      <c r="M208" s="467"/>
      <c r="N208" s="146">
        <f t="shared" si="47"/>
        <v>1297.9847693161803</v>
      </c>
      <c r="O208" s="467"/>
      <c r="P208" s="468"/>
      <c r="Q208" s="22">
        <v>1203.56</v>
      </c>
      <c r="R208" s="467"/>
      <c r="S208" s="469">
        <f t="shared" si="49"/>
        <v>1211.02</v>
      </c>
      <c r="T208" s="13"/>
      <c r="U208" s="13"/>
      <c r="V208" s="517" t="s">
        <v>275</v>
      </c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25" hidden="1">
      <c r="A209" t="str">
        <f t="shared" si="44"/>
        <v>Service[...]</v>
      </c>
      <c r="B209" s="11" t="s">
        <v>78</v>
      </c>
      <c r="C209" s="29" t="s">
        <v>19</v>
      </c>
      <c r="D209" s="87"/>
      <c r="E209" s="111"/>
      <c r="F209" s="30">
        <v>0</v>
      </c>
      <c r="G209" s="89"/>
      <c r="H209" s="111"/>
      <c r="I209" s="30"/>
      <c r="J209" s="23"/>
      <c r="K209" s="111"/>
      <c r="L209" s="33">
        <v>0</v>
      </c>
      <c r="M209" s="23"/>
      <c r="N209" s="91">
        <f t="shared" si="47"/>
        <v>0</v>
      </c>
      <c r="O209" s="23"/>
      <c r="P209" s="111"/>
      <c r="Q209" s="33">
        <v>0</v>
      </c>
      <c r="R209" s="23"/>
      <c r="S209" s="92">
        <f t="shared" si="49"/>
        <v>0</v>
      </c>
      <c r="T209" s="13"/>
      <c r="U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25">
      <c r="A210" t="str">
        <f t="shared" si="44"/>
        <v>ServiceTOTAL PERSONNEL</v>
      </c>
      <c r="B210" s="11" t="s">
        <v>78</v>
      </c>
      <c r="C210" s="93" t="s">
        <v>48</v>
      </c>
      <c r="D210" s="94" t="s">
        <v>92</v>
      </c>
      <c r="E210" s="95">
        <f>F210/F$194</f>
        <v>1.0102913444153854</v>
      </c>
      <c r="F210" s="96">
        <f>+SUM(F198:F209)</f>
        <v>64793.709244394558</v>
      </c>
      <c r="G210" s="97"/>
      <c r="H210" s="95"/>
      <c r="I210" s="96"/>
      <c r="J210" s="97" t="s">
        <v>92</v>
      </c>
      <c r="K210" s="95">
        <f>L210/L$194</f>
        <v>1.0089202239553225</v>
      </c>
      <c r="L210" s="96">
        <f>+SUM(L198:L209)</f>
        <v>67457.97</v>
      </c>
      <c r="M210" s="147"/>
      <c r="N210" s="113">
        <f t="shared" si="47"/>
        <v>2664.2607556054427</v>
      </c>
      <c r="O210" s="97" t="s">
        <v>92</v>
      </c>
      <c r="P210" s="95">
        <f>Q210/Q$194</f>
        <v>0.93336202905511034</v>
      </c>
      <c r="Q210" s="96">
        <f>+SUM(Q198:Q209)</f>
        <v>67437.600000000006</v>
      </c>
      <c r="R210" s="147"/>
      <c r="S210" s="114">
        <f t="shared" si="49"/>
        <v>20.369999999995343</v>
      </c>
      <c r="T210" s="13"/>
      <c r="U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0.25">
      <c r="A211" t="str">
        <f t="shared" si="44"/>
        <v>ServicePublicité 2</v>
      </c>
      <c r="B211" s="11" t="s">
        <v>78</v>
      </c>
      <c r="C211" s="29" t="s">
        <v>49</v>
      </c>
      <c r="D211" s="81"/>
      <c r="E211" s="13"/>
      <c r="F211" s="30">
        <v>6541.4976800521836</v>
      </c>
      <c r="G211" s="83"/>
      <c r="H211" s="13"/>
      <c r="I211" s="30"/>
      <c r="J211" s="41"/>
      <c r="K211" s="13"/>
      <c r="L211" s="33">
        <v>1382.06</v>
      </c>
      <c r="M211" s="41"/>
      <c r="N211" s="59">
        <f t="shared" si="47"/>
        <v>-5159.4376800521841</v>
      </c>
      <c r="O211" s="41"/>
      <c r="P211" s="13"/>
      <c r="Q211" s="33">
        <v>6436.33</v>
      </c>
      <c r="R211" s="41"/>
      <c r="S211" s="85">
        <f t="shared" si="49"/>
        <v>-5054.2700000000004</v>
      </c>
      <c r="T211" s="13"/>
      <c r="U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25">
      <c r="A212" t="str">
        <f t="shared" si="44"/>
        <v>ServiceService gratuit 2</v>
      </c>
      <c r="B212" s="11" t="s">
        <v>78</v>
      </c>
      <c r="C212" s="29" t="s">
        <v>50</v>
      </c>
      <c r="D212" s="81"/>
      <c r="E212" s="13"/>
      <c r="F212" s="30">
        <v>2758.3333333333335</v>
      </c>
      <c r="G212" s="83"/>
      <c r="H212" s="13"/>
      <c r="I212" s="30"/>
      <c r="J212" s="41"/>
      <c r="K212" s="13"/>
      <c r="L212" s="33">
        <v>1075.23</v>
      </c>
      <c r="M212" s="41"/>
      <c r="N212" s="59">
        <f t="shared" si="47"/>
        <v>-1683.1033333333335</v>
      </c>
      <c r="O212" s="41"/>
      <c r="P212" s="13"/>
      <c r="Q212" s="33">
        <v>5596.96</v>
      </c>
      <c r="R212" s="41"/>
      <c r="S212" s="85">
        <f t="shared" si="49"/>
        <v>-4521.7299999999996</v>
      </c>
      <c r="T212" s="13"/>
      <c r="U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25">
      <c r="A213" t="str">
        <f t="shared" si="44"/>
        <v>ServiceFrais véhicules de cie</v>
      </c>
      <c r="B213" s="11" t="s">
        <v>78</v>
      </c>
      <c r="C213" s="86" t="s">
        <v>51</v>
      </c>
      <c r="D213" s="87"/>
      <c r="E213" s="111"/>
      <c r="F213" s="22">
        <v>3992.8333333333335</v>
      </c>
      <c r="G213" s="89"/>
      <c r="H213" s="111"/>
      <c r="I213" s="22"/>
      <c r="J213" s="23"/>
      <c r="K213" s="111"/>
      <c r="L213" s="33">
        <v>2408.88</v>
      </c>
      <c r="M213" s="23"/>
      <c r="N213" s="91">
        <f t="shared" si="47"/>
        <v>-1583.9533333333334</v>
      </c>
      <c r="O213" s="23"/>
      <c r="P213" s="111"/>
      <c r="Q213" s="33">
        <v>7241.34</v>
      </c>
      <c r="R213" s="23"/>
      <c r="S213" s="92">
        <f t="shared" si="49"/>
        <v>-4832.46</v>
      </c>
      <c r="T213" s="13"/>
      <c r="U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25">
      <c r="A214" t="str">
        <f t="shared" si="44"/>
        <v>ServiceInformatique</v>
      </c>
      <c r="B214" s="11" t="s">
        <v>78</v>
      </c>
      <c r="C214" s="29" t="s">
        <v>52</v>
      </c>
      <c r="D214" s="81"/>
      <c r="E214" s="13"/>
      <c r="F214" s="30">
        <v>6033.5</v>
      </c>
      <c r="G214" s="83"/>
      <c r="H214" s="13"/>
      <c r="I214" s="30"/>
      <c r="J214" s="41"/>
      <c r="K214" s="13"/>
      <c r="L214" s="108">
        <v>6047.78</v>
      </c>
      <c r="M214" s="41"/>
      <c r="N214" s="59">
        <f t="shared" si="47"/>
        <v>14.279999999999745</v>
      </c>
      <c r="O214" s="41"/>
      <c r="P214" s="13"/>
      <c r="Q214" s="108">
        <v>6378.31</v>
      </c>
      <c r="R214" s="41"/>
      <c r="S214" s="85">
        <f t="shared" si="49"/>
        <v>-330.53000000000065</v>
      </c>
      <c r="T214" s="13"/>
      <c r="U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25">
      <c r="A215" t="str">
        <f t="shared" si="44"/>
        <v>ServiceFrais de déplacement</v>
      </c>
      <c r="B215" s="11" t="s">
        <v>78</v>
      </c>
      <c r="C215" s="29" t="s">
        <v>53</v>
      </c>
      <c r="D215" s="81"/>
      <c r="E215" s="13"/>
      <c r="F215" s="30">
        <v>458.33333333333331</v>
      </c>
      <c r="G215" s="83"/>
      <c r="H215" s="13"/>
      <c r="I215" s="30"/>
      <c r="J215" s="41"/>
      <c r="K215" s="13"/>
      <c r="L215" s="33">
        <v>249.84</v>
      </c>
      <c r="M215" s="41"/>
      <c r="N215" s="59">
        <f t="shared" si="47"/>
        <v>-208.49333333333331</v>
      </c>
      <c r="O215" s="41"/>
      <c r="P215" s="13"/>
      <c r="Q215" s="33">
        <v>-12.92</v>
      </c>
      <c r="R215" s="41"/>
      <c r="S215" s="85">
        <f t="shared" si="49"/>
        <v>262.76</v>
      </c>
      <c r="T215" s="13"/>
      <c r="U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25">
      <c r="A216" t="str">
        <f t="shared" si="44"/>
        <v>ServiceServices extérieurs</v>
      </c>
      <c r="B216" s="11" t="s">
        <v>78</v>
      </c>
      <c r="C216" s="86" t="s">
        <v>54</v>
      </c>
      <c r="D216" s="87"/>
      <c r="E216" s="111"/>
      <c r="F216" s="22">
        <v>5641.5</v>
      </c>
      <c r="G216" s="89"/>
      <c r="H216" s="111"/>
      <c r="I216" s="22"/>
      <c r="J216" s="23"/>
      <c r="K216" s="111"/>
      <c r="L216" s="22">
        <v>6111.57</v>
      </c>
      <c r="M216" s="467"/>
      <c r="N216" s="146">
        <f t="shared" si="47"/>
        <v>470.06999999999971</v>
      </c>
      <c r="O216" s="467"/>
      <c r="P216" s="468"/>
      <c r="Q216" s="22">
        <v>4419.82</v>
      </c>
      <c r="R216" s="23"/>
      <c r="S216" s="92">
        <f t="shared" si="49"/>
        <v>1691.75</v>
      </c>
      <c r="T216" s="13"/>
      <c r="U216" s="13"/>
      <c r="V216" s="517" t="s">
        <v>245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25" hidden="1">
      <c r="A217" t="str">
        <f>+B217&amp;C217</f>
        <v>ServiceFournitures d'atelier</v>
      </c>
      <c r="B217" s="11" t="s">
        <v>78</v>
      </c>
      <c r="C217" s="29" t="s">
        <v>93</v>
      </c>
      <c r="D217" s="81"/>
      <c r="E217" s="13"/>
      <c r="F217" s="30"/>
      <c r="G217" s="83"/>
      <c r="H217" s="13"/>
      <c r="I217" s="30"/>
      <c r="J217" s="41"/>
      <c r="K217" s="13"/>
      <c r="L217" s="33">
        <v>0</v>
      </c>
      <c r="M217" s="41"/>
      <c r="N217" s="59">
        <f t="shared" si="47"/>
        <v>0</v>
      </c>
      <c r="O217" s="41"/>
      <c r="P217" s="13"/>
      <c r="Q217" s="33">
        <v>0</v>
      </c>
      <c r="R217" s="41"/>
      <c r="S217" s="85">
        <f>L217-Q217</f>
        <v>0</v>
      </c>
      <c r="T217" s="13"/>
      <c r="U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25">
      <c r="A218" t="str">
        <f t="shared" ref="A218:A275" si="50">+B218&amp;C218</f>
        <v>ServiceFournitures autres</v>
      </c>
      <c r="B218" s="11" t="s">
        <v>78</v>
      </c>
      <c r="C218" s="29" t="s">
        <v>55</v>
      </c>
      <c r="D218" s="81"/>
      <c r="E218" s="13"/>
      <c r="F218" s="30">
        <v>1100</v>
      </c>
      <c r="G218" s="83"/>
      <c r="H218" s="13"/>
      <c r="I218" s="30"/>
      <c r="J218" s="41"/>
      <c r="K218" s="13"/>
      <c r="L218" s="33">
        <v>1736.99</v>
      </c>
      <c r="M218" s="41"/>
      <c r="N218" s="59">
        <f t="shared" si="47"/>
        <v>636.99</v>
      </c>
      <c r="O218" s="41"/>
      <c r="P218" s="13"/>
      <c r="Q218" s="33">
        <v>3082.06</v>
      </c>
      <c r="R218" s="41"/>
      <c r="S218" s="85">
        <f t="shared" ref="S218:S248" si="51">L218-Q218</f>
        <v>-1345.07</v>
      </c>
      <c r="T218" s="13"/>
      <c r="U218" s="13"/>
      <c r="V218" s="517" t="s">
        <v>246</v>
      </c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25">
      <c r="A219" t="str">
        <f t="shared" si="50"/>
        <v>ServiceUniformes</v>
      </c>
      <c r="B219" s="11" t="s">
        <v>78</v>
      </c>
      <c r="C219" s="29" t="s">
        <v>56</v>
      </c>
      <c r="D219" s="81"/>
      <c r="E219" s="13"/>
      <c r="F219" s="30">
        <v>1000</v>
      </c>
      <c r="G219" s="83"/>
      <c r="H219" s="13"/>
      <c r="I219" s="30"/>
      <c r="J219" s="41"/>
      <c r="K219" s="13"/>
      <c r="L219" s="33">
        <v>684.54</v>
      </c>
      <c r="M219" s="41"/>
      <c r="N219" s="59">
        <f t="shared" si="47"/>
        <v>-315.46000000000004</v>
      </c>
      <c r="O219" s="41"/>
      <c r="P219" s="13"/>
      <c r="Q219" s="33">
        <v>1242.2</v>
      </c>
      <c r="R219" s="41"/>
      <c r="S219" s="85">
        <f t="shared" si="51"/>
        <v>-557.66000000000008</v>
      </c>
      <c r="T219" s="13"/>
      <c r="U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25">
      <c r="A220" t="str">
        <f t="shared" si="50"/>
        <v>ServicePapeterie</v>
      </c>
      <c r="B220" s="11" t="s">
        <v>78</v>
      </c>
      <c r="C220" s="29" t="s">
        <v>57</v>
      </c>
      <c r="D220" s="81"/>
      <c r="E220" s="13"/>
      <c r="F220" s="30">
        <v>393.75</v>
      </c>
      <c r="G220" s="83"/>
      <c r="H220" s="13"/>
      <c r="I220" s="30"/>
      <c r="J220" s="41"/>
      <c r="K220" s="13"/>
      <c r="L220" s="32">
        <v>159.55000000000001</v>
      </c>
      <c r="M220" s="41"/>
      <c r="N220" s="59">
        <f t="shared" si="47"/>
        <v>-234.2</v>
      </c>
      <c r="O220" s="41"/>
      <c r="P220" s="13"/>
      <c r="Q220" s="32">
        <v>241.67</v>
      </c>
      <c r="R220" s="41"/>
      <c r="S220" s="85">
        <f t="shared" si="51"/>
        <v>-82.119999999999976</v>
      </c>
      <c r="T220" s="13"/>
      <c r="U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25">
      <c r="A221" t="str">
        <f t="shared" si="50"/>
        <v>ServiceTéléphone</v>
      </c>
      <c r="B221" s="11" t="s">
        <v>78</v>
      </c>
      <c r="C221" s="29" t="s">
        <v>58</v>
      </c>
      <c r="D221" s="81"/>
      <c r="E221" s="13"/>
      <c r="F221" s="30">
        <v>120</v>
      </c>
      <c r="G221" s="83"/>
      <c r="H221" s="13"/>
      <c r="I221" s="30"/>
      <c r="J221" s="41"/>
      <c r="K221" s="13"/>
      <c r="L221" s="33">
        <v>199.65</v>
      </c>
      <c r="M221" s="41"/>
      <c r="N221" s="59">
        <f t="shared" si="47"/>
        <v>79.650000000000006</v>
      </c>
      <c r="O221" s="41"/>
      <c r="P221" s="13"/>
      <c r="Q221" s="33">
        <v>110.2</v>
      </c>
      <c r="R221" s="41"/>
      <c r="S221" s="85">
        <f t="shared" si="51"/>
        <v>89.45</v>
      </c>
      <c r="T221" s="13"/>
      <c r="U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25">
      <c r="A222" t="str">
        <f t="shared" si="50"/>
        <v>ServiceFrais postaux</v>
      </c>
      <c r="B222" s="11" t="s">
        <v>78</v>
      </c>
      <c r="C222" s="29" t="s">
        <v>59</v>
      </c>
      <c r="D222" s="81"/>
      <c r="E222" s="13"/>
      <c r="F222" s="30">
        <v>112.5</v>
      </c>
      <c r="G222" s="83"/>
      <c r="H222" s="13"/>
      <c r="I222" s="30"/>
      <c r="J222" s="41"/>
      <c r="K222" s="13"/>
      <c r="L222" s="33">
        <v>113.74</v>
      </c>
      <c r="M222" s="41"/>
      <c r="N222" s="59">
        <f t="shared" si="47"/>
        <v>1.2399999999999949</v>
      </c>
      <c r="O222" s="41"/>
      <c r="P222" s="13"/>
      <c r="Q222" s="33">
        <v>130.30000000000001</v>
      </c>
      <c r="R222" s="41"/>
      <c r="S222" s="85">
        <f t="shared" si="51"/>
        <v>-16.560000000000016</v>
      </c>
      <c r="T222" s="13"/>
      <c r="U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25">
      <c r="A223" t="str">
        <f t="shared" si="50"/>
        <v>ServiceDivers</v>
      </c>
      <c r="B223" s="11" t="s">
        <v>78</v>
      </c>
      <c r="C223" s="29" t="s">
        <v>60</v>
      </c>
      <c r="D223" s="81"/>
      <c r="E223" s="13"/>
      <c r="F223" s="30">
        <v>435.25</v>
      </c>
      <c r="G223" s="83"/>
      <c r="H223" s="13"/>
      <c r="I223" s="30"/>
      <c r="J223" s="41"/>
      <c r="K223" s="13"/>
      <c r="L223" s="33">
        <v>0</v>
      </c>
      <c r="M223" s="41"/>
      <c r="N223" s="59">
        <f t="shared" si="47"/>
        <v>-435.25</v>
      </c>
      <c r="O223" s="41"/>
      <c r="P223" s="13"/>
      <c r="Q223" s="33">
        <v>561.94000000000005</v>
      </c>
      <c r="R223" s="41"/>
      <c r="S223" s="85">
        <f t="shared" si="51"/>
        <v>-561.94000000000005</v>
      </c>
      <c r="T223" s="13"/>
      <c r="U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25">
      <c r="A224" t="str">
        <f t="shared" si="50"/>
        <v>ServiceFormation</v>
      </c>
      <c r="B224" s="11" t="s">
        <v>78</v>
      </c>
      <c r="C224" s="29" t="s">
        <v>61</v>
      </c>
      <c r="D224" s="81"/>
      <c r="E224" s="13"/>
      <c r="F224" s="30">
        <v>1643.7152833333334</v>
      </c>
      <c r="G224" s="83"/>
      <c r="H224" s="13"/>
      <c r="I224" s="30"/>
      <c r="J224" s="41"/>
      <c r="K224" s="13"/>
      <c r="L224" s="33">
        <v>874.18</v>
      </c>
      <c r="M224" s="41"/>
      <c r="N224" s="59">
        <f t="shared" si="47"/>
        <v>-769.5352833333335</v>
      </c>
      <c r="O224" s="41"/>
      <c r="P224" s="13"/>
      <c r="Q224" s="33">
        <v>-301.52</v>
      </c>
      <c r="R224" s="41"/>
      <c r="S224" s="85">
        <f t="shared" si="51"/>
        <v>1175.6999999999998</v>
      </c>
      <c r="T224" s="13"/>
      <c r="U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25">
      <c r="A225" t="str">
        <f t="shared" si="50"/>
        <v>ServiceFrais bancaires</v>
      </c>
      <c r="B225" s="11" t="s">
        <v>78</v>
      </c>
      <c r="C225" s="29" t="s">
        <v>62</v>
      </c>
      <c r="D225" s="81"/>
      <c r="E225" s="13"/>
      <c r="F225" s="30">
        <v>1190.3146810314208</v>
      </c>
      <c r="G225" s="83"/>
      <c r="H225" s="13"/>
      <c r="I225" s="30"/>
      <c r="J225" s="41"/>
      <c r="K225" s="13"/>
      <c r="L225" s="33">
        <v>1278.81</v>
      </c>
      <c r="M225" s="41"/>
      <c r="N225" s="59">
        <f t="shared" si="47"/>
        <v>88.495318968579113</v>
      </c>
      <c r="O225" s="41"/>
      <c r="P225" s="13"/>
      <c r="Q225" s="33">
        <v>1415.82</v>
      </c>
      <c r="R225" s="41"/>
      <c r="S225" s="85">
        <f t="shared" si="51"/>
        <v>-137.01</v>
      </c>
      <c r="T225" s="13"/>
      <c r="U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25" hidden="1">
      <c r="A226" t="str">
        <f t="shared" si="50"/>
        <v>Service[...]</v>
      </c>
      <c r="B226" s="11" t="s">
        <v>78</v>
      </c>
      <c r="C226" s="29" t="s">
        <v>19</v>
      </c>
      <c r="D226" s="81"/>
      <c r="E226" s="13"/>
      <c r="F226" s="30">
        <v>0</v>
      </c>
      <c r="G226" s="83"/>
      <c r="H226" s="13"/>
      <c r="I226" s="30"/>
      <c r="J226" s="41"/>
      <c r="K226" s="13"/>
      <c r="L226" s="33">
        <v>0</v>
      </c>
      <c r="M226" s="41"/>
      <c r="N226" s="59">
        <f t="shared" si="47"/>
        <v>0</v>
      </c>
      <c r="O226" s="41"/>
      <c r="P226" s="13"/>
      <c r="Q226" s="33">
        <v>0</v>
      </c>
      <c r="R226" s="41"/>
      <c r="S226" s="85">
        <f t="shared" si="51"/>
        <v>0</v>
      </c>
      <c r="T226" s="13"/>
      <c r="U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25" hidden="1">
      <c r="A227" t="str">
        <f>+B227&amp;C227</f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7"/>
        <v>0</v>
      </c>
      <c r="O227" s="41"/>
      <c r="P227" s="13"/>
      <c r="Q227" s="33">
        <v>0</v>
      </c>
      <c r="R227" s="41"/>
      <c r="S227" s="85">
        <f>L227-Q227</f>
        <v>0</v>
      </c>
      <c r="T227" s="13"/>
      <c r="U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25" hidden="1">
      <c r="A228" t="str">
        <f t="shared" ref="A228:A285" si="52"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7"/>
        <v>0</v>
      </c>
      <c r="O228" s="41"/>
      <c r="P228" s="13"/>
      <c r="Q228" s="33">
        <v>0</v>
      </c>
      <c r="R228" s="41"/>
      <c r="S228" s="85">
        <f t="shared" ref="S228:S258" si="53">L228-Q228</f>
        <v>0</v>
      </c>
      <c r="T228" s="13"/>
      <c r="U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25">
      <c r="B229" s="11"/>
      <c r="C229" s="93" t="s">
        <v>63</v>
      </c>
      <c r="D229" s="94" t="s">
        <v>92</v>
      </c>
      <c r="E229" s="95">
        <f>F229/F$194</f>
        <v>0.48993795505247306</v>
      </c>
      <c r="F229" s="96">
        <f>+SUM(F211:F228)</f>
        <v>31421.527644416939</v>
      </c>
      <c r="G229" s="97"/>
      <c r="H229" s="95"/>
      <c r="I229" s="96"/>
      <c r="J229" s="97" t="s">
        <v>92</v>
      </c>
      <c r="K229" s="95">
        <f>L229/L$194</f>
        <v>0.33386632526467014</v>
      </c>
      <c r="L229" s="96">
        <f>+SUM(L211:L228)</f>
        <v>22322.820000000007</v>
      </c>
      <c r="M229" s="100"/>
      <c r="N229" s="96">
        <f t="shared" si="47"/>
        <v>-9098.7076444169325</v>
      </c>
      <c r="O229" s="97" t="s">
        <v>92</v>
      </c>
      <c r="P229" s="95">
        <f>Q229/Q$194</f>
        <v>0.50576223472316129</v>
      </c>
      <c r="Q229" s="96">
        <f>+SUM(Q211:Q228)</f>
        <v>36542.51</v>
      </c>
      <c r="R229" s="100"/>
      <c r="S229" s="101">
        <f>L229-Q229</f>
        <v>-14219.689999999995</v>
      </c>
      <c r="T229" s="13"/>
      <c r="U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0.25">
      <c r="B230" s="11"/>
      <c r="C230" s="86"/>
      <c r="D230" s="87"/>
      <c r="E230" s="111"/>
      <c r="F230" s="59"/>
      <c r="G230" s="89"/>
      <c r="H230" s="111"/>
      <c r="I230" s="59"/>
      <c r="J230" s="23"/>
      <c r="K230" s="111"/>
      <c r="L230" s="91"/>
      <c r="M230" s="23"/>
      <c r="N230" s="91"/>
      <c r="O230" s="23"/>
      <c r="P230" s="111"/>
      <c r="Q230" s="91"/>
      <c r="R230" s="23"/>
      <c r="S230" s="92"/>
      <c r="T230" s="13"/>
      <c r="U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25">
      <c r="B231" s="11"/>
      <c r="C231" s="93" t="s">
        <v>64</v>
      </c>
      <c r="D231" s="94" t="s">
        <v>38</v>
      </c>
      <c r="E231" s="95">
        <f>F231/F$194</f>
        <v>1.5002292994678585</v>
      </c>
      <c r="F231" s="96">
        <f>F210+F229</f>
        <v>96215.236888811502</v>
      </c>
      <c r="G231" s="97"/>
      <c r="H231" s="95"/>
      <c r="I231" s="96"/>
      <c r="J231" s="97" t="s">
        <v>38</v>
      </c>
      <c r="K231" s="95">
        <f>L231/L$194</f>
        <v>1.3427865492199926</v>
      </c>
      <c r="L231" s="96">
        <f>L210+L229</f>
        <v>89780.790000000008</v>
      </c>
      <c r="M231" s="100"/>
      <c r="N231" s="113">
        <f>L231-F231</f>
        <v>-6434.4468888114934</v>
      </c>
      <c r="O231" s="97" t="s">
        <v>38</v>
      </c>
      <c r="P231" s="95">
        <f>Q231/Q$194</f>
        <v>1.4391242637782717</v>
      </c>
      <c r="Q231" s="96">
        <f>Q210+Q229</f>
        <v>103980.11000000002</v>
      </c>
      <c r="R231" s="100"/>
      <c r="S231" s="114">
        <f>L231-Q231</f>
        <v>-14199.320000000007</v>
      </c>
      <c r="T231" s="13"/>
      <c r="U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0.25">
      <c r="B232" s="11"/>
      <c r="C232" s="29"/>
      <c r="D232" s="81"/>
      <c r="E232" s="13"/>
      <c r="F232" s="59"/>
      <c r="G232" s="83"/>
      <c r="H232" s="13"/>
      <c r="I232" s="59"/>
      <c r="J232" s="41"/>
      <c r="K232" s="13"/>
      <c r="L232" s="59"/>
      <c r="M232" s="41"/>
      <c r="N232" s="59"/>
      <c r="O232" s="41"/>
      <c r="P232" s="13"/>
      <c r="Q232" s="59"/>
      <c r="R232" s="41"/>
      <c r="S232" s="85"/>
      <c r="T232" s="13"/>
      <c r="U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1" thickBot="1">
      <c r="B233" s="11"/>
      <c r="C233" s="124" t="s">
        <v>69</v>
      </c>
      <c r="D233" s="152"/>
      <c r="E233" s="125"/>
      <c r="F233" s="127">
        <f>F194-F231</f>
        <v>-32081.549509862365</v>
      </c>
      <c r="G233" s="153"/>
      <c r="H233" s="125"/>
      <c r="I233" s="127"/>
      <c r="J233" s="154"/>
      <c r="K233" s="126"/>
      <c r="L233" s="127">
        <f>L194-L231</f>
        <v>-22919.240000000005</v>
      </c>
      <c r="M233" s="154"/>
      <c r="N233" s="127">
        <f>L233-F233</f>
        <v>9162.3095098623598</v>
      </c>
      <c r="O233" s="154"/>
      <c r="P233" s="126"/>
      <c r="Q233" s="127">
        <f>Q194-Q231</f>
        <v>-31727.760000000009</v>
      </c>
      <c r="R233" s="154"/>
      <c r="S233" s="129">
        <f>L233-Q233</f>
        <v>8808.5200000000041</v>
      </c>
      <c r="T233" s="13"/>
      <c r="U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" thickTop="1">
      <c r="B234" s="11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13"/>
      <c r="O234" s="82"/>
      <c r="P234" s="13"/>
      <c r="Q234" s="82"/>
      <c r="R234" s="13"/>
      <c r="S234" s="13"/>
      <c r="T234" s="13"/>
      <c r="U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0.25">
      <c r="B235" s="11"/>
      <c r="C235" s="10"/>
      <c r="D235" s="10"/>
      <c r="E235" s="10"/>
      <c r="F235" s="10"/>
      <c r="G235" s="10"/>
      <c r="H235" s="10"/>
      <c r="I235" s="10"/>
      <c r="J235" s="10"/>
      <c r="K235" s="10"/>
      <c r="L235" s="155"/>
      <c r="M235" s="155"/>
      <c r="N235" s="10"/>
      <c r="O235" s="155"/>
      <c r="P235" s="10"/>
      <c r="Q235" s="155"/>
      <c r="R235" s="10"/>
      <c r="S235" s="10"/>
      <c r="T235" s="10"/>
      <c r="U235" s="10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35.25">
      <c r="B236" s="11"/>
      <c r="C236" s="6" t="str">
        <f>C1</f>
        <v>BMW Sherbrooke</v>
      </c>
      <c r="D236" s="2"/>
      <c r="E236" s="2"/>
      <c r="F236" s="2"/>
      <c r="G236" s="2"/>
      <c r="H236" s="1"/>
      <c r="I236" s="1"/>
      <c r="J236" s="1"/>
      <c r="K236" s="3" t="s">
        <v>94</v>
      </c>
      <c r="L236" s="2"/>
      <c r="M236" s="2"/>
      <c r="N236" s="1"/>
      <c r="O236" s="1"/>
      <c r="P236" s="2"/>
      <c r="Q236" s="1"/>
      <c r="R236" s="2"/>
      <c r="S236" s="5" t="str">
        <f>$S$1</f>
        <v>Réalisé, Décembre 2025</v>
      </c>
      <c r="T236" s="2"/>
      <c r="U236" s="6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t="36" thickBot="1">
      <c r="B237" s="11"/>
      <c r="C237" s="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</row>
    <row r="238" spans="1:40" ht="21" thickTop="1">
      <c r="B238" s="11"/>
      <c r="C238" s="12"/>
      <c r="D238" s="508" t="s">
        <v>5</v>
      </c>
      <c r="E238" s="509"/>
      <c r="F238" s="510"/>
      <c r="G238" s="511"/>
      <c r="H238" s="509"/>
      <c r="I238" s="510"/>
      <c r="J238" s="511" t="s">
        <v>7</v>
      </c>
      <c r="K238" s="509"/>
      <c r="L238" s="510"/>
      <c r="M238" s="511" t="s">
        <v>213</v>
      </c>
      <c r="N238" s="510"/>
      <c r="O238" s="508" t="s">
        <v>8</v>
      </c>
      <c r="P238" s="509"/>
      <c r="Q238" s="510"/>
      <c r="R238" s="515" t="s">
        <v>214</v>
      </c>
      <c r="S238" s="516"/>
      <c r="T238" s="149"/>
      <c r="U238" s="13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t="20.25">
      <c r="A239" t="str">
        <f t="shared" ref="A239:A284" si="54">+B239&amp;C239</f>
        <v>Carrosserie</v>
      </c>
      <c r="B239" s="11" t="s">
        <v>94</v>
      </c>
      <c r="C239" s="29"/>
      <c r="D239" s="80" t="s">
        <v>39</v>
      </c>
      <c r="E239" s="80" t="s">
        <v>79</v>
      </c>
      <c r="F239" s="134" t="s">
        <v>12</v>
      </c>
      <c r="G239" s="135"/>
      <c r="H239" s="80"/>
      <c r="I239" s="134"/>
      <c r="J239" s="135" t="s">
        <v>39</v>
      </c>
      <c r="K239" s="80" t="s">
        <v>79</v>
      </c>
      <c r="L239" s="134" t="s">
        <v>12</v>
      </c>
      <c r="M239" s="135" t="s">
        <v>39</v>
      </c>
      <c r="N239" s="134" t="s">
        <v>217</v>
      </c>
      <c r="O239" s="80" t="s">
        <v>39</v>
      </c>
      <c r="P239" s="80" t="s">
        <v>79</v>
      </c>
      <c r="Q239" s="134" t="s">
        <v>12</v>
      </c>
      <c r="R239" s="135" t="s">
        <v>80</v>
      </c>
      <c r="S239" s="136" t="s">
        <v>12</v>
      </c>
      <c r="T239" s="80"/>
      <c r="U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20.25">
      <c r="A240" t="str">
        <f t="shared" si="54"/>
        <v>Carrosserie</v>
      </c>
      <c r="B240" s="11" t="s">
        <v>94</v>
      </c>
      <c r="C240" s="29"/>
      <c r="D240" s="80"/>
      <c r="E240" s="80"/>
      <c r="F240" s="134"/>
      <c r="G240" s="135"/>
      <c r="H240" s="80"/>
      <c r="I240" s="134"/>
      <c r="J240" s="135"/>
      <c r="K240" s="30"/>
      <c r="L240" s="33"/>
      <c r="M240" s="135"/>
      <c r="N240" s="134"/>
      <c r="O240" s="80"/>
      <c r="P240" s="80"/>
      <c r="Q240" s="134"/>
      <c r="R240" s="135"/>
      <c r="S240" s="136"/>
      <c r="T240" s="80"/>
      <c r="U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25">
      <c r="A241" t="str">
        <f t="shared" si="54"/>
        <v>CarrosserieM/O Sous-traitement</v>
      </c>
      <c r="B241" s="11" t="s">
        <v>94</v>
      </c>
      <c r="C241" s="29" t="s">
        <v>95</v>
      </c>
      <c r="D241" s="80">
        <v>0</v>
      </c>
      <c r="E241" s="82">
        <v>0</v>
      </c>
      <c r="F241" s="82">
        <v>0</v>
      </c>
      <c r="G241" s="156"/>
      <c r="H241" s="82"/>
      <c r="I241" s="82"/>
      <c r="J241" s="60">
        <v>0</v>
      </c>
      <c r="K241" s="30">
        <v>0</v>
      </c>
      <c r="L241" s="33">
        <v>0</v>
      </c>
      <c r="M241" s="157">
        <f>IFERROR((K241-E241)/E241,0)</f>
        <v>0</v>
      </c>
      <c r="N241" s="59">
        <f>L241-F241</f>
        <v>0</v>
      </c>
      <c r="O241" s="60">
        <v>3</v>
      </c>
      <c r="P241" s="30">
        <v>1175.1099999999999</v>
      </c>
      <c r="Q241" s="33">
        <v>101.69999999999899</v>
      </c>
      <c r="R241" s="157">
        <f>IF(O241=0,0,J241/O241)</f>
        <v>0</v>
      </c>
      <c r="S241" s="85">
        <f>L241-Q241</f>
        <v>-101.69999999999899</v>
      </c>
      <c r="T241" s="80"/>
      <c r="U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25">
      <c r="A242" t="str">
        <f t="shared" si="54"/>
        <v>Carrosserie% profit / ventes</v>
      </c>
      <c r="B242" s="11" t="s">
        <v>94</v>
      </c>
      <c r="C242" s="29" t="s">
        <v>82</v>
      </c>
      <c r="D242" s="80"/>
      <c r="E242" s="144"/>
      <c r="F242" s="158">
        <f>IFERROR(F241/E241,0)</f>
        <v>0</v>
      </c>
      <c r="G242" s="41"/>
      <c r="H242" s="144"/>
      <c r="I242" s="158"/>
      <c r="J242" s="60"/>
      <c r="K242" s="13"/>
      <c r="L242" s="158">
        <f>IFERROR(L241/K241,0)</f>
        <v>0</v>
      </c>
      <c r="M242" s="157"/>
      <c r="N242" s="470">
        <f>IFERROR(N241/M241,0)</f>
        <v>0</v>
      </c>
      <c r="O242" s="60"/>
      <c r="P242" s="13"/>
      <c r="Q242" s="158">
        <f>IFERROR(Q241/P241,0)</f>
        <v>8.6545089395885497E-2</v>
      </c>
      <c r="R242" s="60"/>
      <c r="S242" s="85">
        <f>IFERROR(S241/R241,0)</f>
        <v>0</v>
      </c>
      <c r="T242" s="80"/>
      <c r="U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25">
      <c r="A243" t="str">
        <f t="shared" si="54"/>
        <v>Carrosserie</v>
      </c>
      <c r="B243" s="11" t="s">
        <v>94</v>
      </c>
      <c r="C243" s="29"/>
      <c r="D243" s="80"/>
      <c r="E243" s="207"/>
      <c r="F243" s="471"/>
      <c r="G243" s="135"/>
      <c r="H243" s="207"/>
      <c r="I243" s="471"/>
      <c r="J243" s="135"/>
      <c r="K243" s="80"/>
      <c r="L243" s="134"/>
      <c r="M243" s="135"/>
      <c r="N243" s="134"/>
      <c r="O243" s="135"/>
      <c r="P243" s="80"/>
      <c r="Q243" s="134"/>
      <c r="R243" s="208"/>
      <c r="S243" s="136"/>
      <c r="T243" s="80"/>
      <c r="U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25">
      <c r="A244" t="str">
        <f t="shared" si="54"/>
        <v>CarrosserieM/O Carrosserie</v>
      </c>
      <c r="B244" s="11" t="s">
        <v>94</v>
      </c>
      <c r="C244" s="14" t="s">
        <v>96</v>
      </c>
      <c r="D244" s="105">
        <v>0</v>
      </c>
      <c r="E244" s="82">
        <v>0</v>
      </c>
      <c r="F244" s="82">
        <v>0</v>
      </c>
      <c r="G244" s="209"/>
      <c r="H244" s="82"/>
      <c r="I244" s="82"/>
      <c r="J244" s="164">
        <v>0</v>
      </c>
      <c r="K244" s="165">
        <v>0</v>
      </c>
      <c r="L244" s="108">
        <v>0</v>
      </c>
      <c r="M244" s="173">
        <f>IFERROR((K244-E244)/E244,0)</f>
        <v>0</v>
      </c>
      <c r="N244" s="109">
        <f>L244-F244</f>
        <v>0</v>
      </c>
      <c r="O244" s="164">
        <v>0</v>
      </c>
      <c r="P244" s="165">
        <v>0</v>
      </c>
      <c r="Q244" s="108">
        <v>0</v>
      </c>
      <c r="R244" s="157">
        <f>IF(O244=0,0,J244/O244)</f>
        <v>0</v>
      </c>
      <c r="S244" s="110">
        <f>L244-Q244</f>
        <v>0</v>
      </c>
      <c r="T244" s="148"/>
      <c r="U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25">
      <c r="A245" t="str">
        <f t="shared" si="54"/>
        <v>Carrosserie% profit / ventes</v>
      </c>
      <c r="B245" s="11" t="s">
        <v>94</v>
      </c>
      <c r="C245" s="29" t="s">
        <v>82</v>
      </c>
      <c r="D245" s="13"/>
      <c r="E245" s="144"/>
      <c r="F245" s="158" t="e">
        <f>F244/E244</f>
        <v>#DIV/0!</v>
      </c>
      <c r="G245" s="41"/>
      <c r="H245" s="144"/>
      <c r="I245" s="158"/>
      <c r="J245" s="60"/>
      <c r="K245" s="13"/>
      <c r="L245" s="158">
        <f>IFERROR(L244/K244,0)</f>
        <v>0</v>
      </c>
      <c r="M245" s="157"/>
      <c r="N245" s="59">
        <f>IFERROR(N244/F244,0)</f>
        <v>0</v>
      </c>
      <c r="O245" s="60"/>
      <c r="P245" s="13"/>
      <c r="Q245" s="158">
        <f>IFERROR(Q244/P244,0)</f>
        <v>0</v>
      </c>
      <c r="R245" s="60"/>
      <c r="S245" s="85">
        <f>IF(Q244=0,0,S244/Q244)</f>
        <v>0</v>
      </c>
      <c r="T245" s="148"/>
      <c r="U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25">
      <c r="A246" t="str">
        <f t="shared" si="54"/>
        <v>Carrosserie</v>
      </c>
      <c r="B246" s="11" t="s">
        <v>94</v>
      </c>
      <c r="C246" s="86"/>
      <c r="D246" s="111"/>
      <c r="E246" s="159"/>
      <c r="F246" s="160"/>
      <c r="G246" s="23"/>
      <c r="H246" s="170"/>
      <c r="I246" s="160"/>
      <c r="J246" s="161"/>
      <c r="K246" s="210"/>
      <c r="L246" s="160"/>
      <c r="M246" s="162"/>
      <c r="N246" s="91"/>
      <c r="O246" s="161"/>
      <c r="P246" s="210"/>
      <c r="Q246" s="160"/>
      <c r="R246" s="161"/>
      <c r="S246" s="92"/>
      <c r="T246" s="148"/>
      <c r="U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25">
      <c r="A247" t="str">
        <f t="shared" si="54"/>
        <v>CarrosserieM/O Esthétique Carr.</v>
      </c>
      <c r="B247" s="11" t="s">
        <v>94</v>
      </c>
      <c r="C247" s="14" t="s">
        <v>97</v>
      </c>
      <c r="D247" s="163">
        <v>0</v>
      </c>
      <c r="E247" s="82">
        <v>0</v>
      </c>
      <c r="F247" s="82">
        <v>0</v>
      </c>
      <c r="G247" s="164"/>
      <c r="H247" s="82"/>
      <c r="I247" s="82"/>
      <c r="J247" s="164">
        <v>0</v>
      </c>
      <c r="K247" s="30">
        <v>0</v>
      </c>
      <c r="L247" s="33">
        <v>0</v>
      </c>
      <c r="M247" s="157">
        <f>IFERROR((K247-E247)/E247,0)</f>
        <v>0</v>
      </c>
      <c r="N247" s="109">
        <f>L247-F247</f>
        <v>0</v>
      </c>
      <c r="O247" s="164">
        <v>0</v>
      </c>
      <c r="P247" s="30">
        <v>0</v>
      </c>
      <c r="Q247" s="33">
        <v>0</v>
      </c>
      <c r="R247" s="157">
        <f>IF(O247=0,0,J247/O247)</f>
        <v>0</v>
      </c>
      <c r="S247" s="85">
        <f>L247-Q247</f>
        <v>0</v>
      </c>
      <c r="T247" s="148"/>
      <c r="U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25">
      <c r="A248" t="str">
        <f t="shared" si="54"/>
        <v>Carrosserie% profit / ventes</v>
      </c>
      <c r="B248" s="11" t="s">
        <v>94</v>
      </c>
      <c r="C248" s="29" t="s">
        <v>82</v>
      </c>
      <c r="D248" s="13"/>
      <c r="E248" s="13"/>
      <c r="F248" s="158" t="e">
        <f>F247/E247</f>
        <v>#DIV/0!</v>
      </c>
      <c r="G248" s="41"/>
      <c r="H248" s="13"/>
      <c r="I248" s="158"/>
      <c r="J248" s="41"/>
      <c r="K248" s="13"/>
      <c r="L248" s="158">
        <f>IFERROR(L247/K247,0)</f>
        <v>0</v>
      </c>
      <c r="M248" s="42"/>
      <c r="N248" s="43">
        <f>IF(L247=0,0,N247/L247)</f>
        <v>0</v>
      </c>
      <c r="O248" s="41"/>
      <c r="P248" s="13"/>
      <c r="Q248" s="158">
        <f>IFERROR(Q247/P247,0)</f>
        <v>0</v>
      </c>
      <c r="R248" s="42"/>
      <c r="S248" s="44">
        <f>IF(Q247=0,0,S247/Q247)</f>
        <v>0</v>
      </c>
      <c r="T248" s="148"/>
      <c r="U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thickBot="1">
      <c r="A249" t="str">
        <f t="shared" si="54"/>
        <v>Carrosserie</v>
      </c>
      <c r="B249" s="11" t="s">
        <v>94</v>
      </c>
      <c r="C249" s="29"/>
      <c r="D249" s="13"/>
      <c r="E249" s="13"/>
      <c r="F249" s="158"/>
      <c r="G249" s="41"/>
      <c r="H249" s="13"/>
      <c r="I249" s="158"/>
      <c r="J249" s="41"/>
      <c r="K249" s="13"/>
      <c r="L249" s="158"/>
      <c r="M249" s="42"/>
      <c r="N249" s="43"/>
      <c r="O249" s="41"/>
      <c r="P249" s="13"/>
      <c r="Q249" s="158"/>
      <c r="R249" s="42"/>
      <c r="S249" s="44"/>
      <c r="T249" s="148"/>
      <c r="U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thickTop="1">
      <c r="A250" t="str">
        <f t="shared" si="54"/>
        <v>CarrosserieTotal Mécanique</v>
      </c>
      <c r="B250" s="11" t="s">
        <v>94</v>
      </c>
      <c r="C250" s="62" t="s">
        <v>91</v>
      </c>
      <c r="D250" s="63"/>
      <c r="E250" s="63">
        <f>E244+E247+E241</f>
        <v>0</v>
      </c>
      <c r="F250" s="65">
        <f>F244+F247+F241</f>
        <v>0</v>
      </c>
      <c r="G250" s="66"/>
      <c r="H250" s="63"/>
      <c r="I250" s="65"/>
      <c r="J250" s="66"/>
      <c r="K250" s="63">
        <f>K244+K247+K241</f>
        <v>0</v>
      </c>
      <c r="L250" s="65">
        <f>L244+L247+L241</f>
        <v>0</v>
      </c>
      <c r="M250" s="206" t="e">
        <f>L251-F251</f>
        <v>#DIV/0!</v>
      </c>
      <c r="N250" s="65">
        <f>L250-F250</f>
        <v>0</v>
      </c>
      <c r="O250" s="66"/>
      <c r="P250" s="63">
        <f t="shared" ref="P250:Q250" si="55">P244+P247+P241</f>
        <v>1175.1099999999999</v>
      </c>
      <c r="Q250" s="65">
        <f t="shared" si="55"/>
        <v>101.69999999999899</v>
      </c>
      <c r="R250" s="206">
        <f>L251-Q251</f>
        <v>-8.6545089395885497E-2</v>
      </c>
      <c r="S250" s="68">
        <f>L250-Q250</f>
        <v>-101.69999999999899</v>
      </c>
      <c r="T250" s="148"/>
      <c r="U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" thickBot="1">
      <c r="A251" t="str">
        <f t="shared" si="54"/>
        <v>Carrosserie</v>
      </c>
      <c r="B251" s="11" t="s">
        <v>94</v>
      </c>
      <c r="C251" s="69"/>
      <c r="D251" s="70"/>
      <c r="E251" s="70"/>
      <c r="F251" s="74" t="e">
        <f>F250/E250</f>
        <v>#DIV/0!</v>
      </c>
      <c r="G251" s="72"/>
      <c r="H251" s="70"/>
      <c r="I251" s="74"/>
      <c r="J251" s="72"/>
      <c r="K251" s="70"/>
      <c r="L251" s="74">
        <f>IF(K250=0,0,L250/K250)</f>
        <v>0</v>
      </c>
      <c r="M251" s="73"/>
      <c r="N251" s="74" t="e">
        <f>N250/F250</f>
        <v>#DIV/0!</v>
      </c>
      <c r="O251" s="72"/>
      <c r="P251" s="70"/>
      <c r="Q251" s="74">
        <f>Q250/P250</f>
        <v>8.6545089395885497E-2</v>
      </c>
      <c r="R251" s="73"/>
      <c r="S251" s="75">
        <f>IF(R250=0,0,S250/R250)</f>
        <v>1175.1099999999999</v>
      </c>
      <c r="T251" s="148"/>
      <c r="U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" thickTop="1">
      <c r="A252" t="str">
        <f t="shared" si="54"/>
        <v>Carrosserie</v>
      </c>
      <c r="B252" s="11" t="s">
        <v>94</v>
      </c>
      <c r="C252" s="29"/>
      <c r="D252" s="13"/>
      <c r="E252" s="13"/>
      <c r="F252" s="59"/>
      <c r="G252" s="41"/>
      <c r="H252" s="13"/>
      <c r="I252" s="59"/>
      <c r="J252" s="41"/>
      <c r="K252" s="13"/>
      <c r="L252" s="40"/>
      <c r="M252" s="41"/>
      <c r="N252" s="40"/>
      <c r="O252" s="41"/>
      <c r="P252" s="13"/>
      <c r="Q252" s="40"/>
      <c r="R252" s="41"/>
      <c r="S252" s="61"/>
      <c r="T252" s="13"/>
      <c r="U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25">
      <c r="A253" t="str">
        <f t="shared" si="54"/>
        <v>CarrosserieDEPENSES</v>
      </c>
      <c r="B253" s="11" t="s">
        <v>94</v>
      </c>
      <c r="C253" s="79" t="s">
        <v>29</v>
      </c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0.25">
      <c r="A254" t="str">
        <f t="shared" si="54"/>
        <v>CarrosserieSalaires cadres</v>
      </c>
      <c r="B254" s="11" t="s">
        <v>94</v>
      </c>
      <c r="C254" s="102" t="s">
        <v>40</v>
      </c>
      <c r="D254" s="13"/>
      <c r="E254" s="13"/>
      <c r="F254" s="30">
        <v>0</v>
      </c>
      <c r="G254" s="41"/>
      <c r="H254" s="13"/>
      <c r="I254" s="30"/>
      <c r="J254" s="41"/>
      <c r="K254" s="13"/>
      <c r="L254" s="33">
        <v>0</v>
      </c>
      <c r="M254" s="41"/>
      <c r="N254" s="59">
        <f t="shared" ref="N254:N284" si="56">L254-F254</f>
        <v>0</v>
      </c>
      <c r="O254" s="41"/>
      <c r="P254" s="13"/>
      <c r="Q254" s="33">
        <v>304.27</v>
      </c>
      <c r="R254" s="41"/>
      <c r="S254" s="85">
        <f t="shared" ref="S254:S265" si="57">L254-Q254</f>
        <v>-304.27</v>
      </c>
      <c r="T254" s="13"/>
      <c r="U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25">
      <c r="A255" t="str">
        <f t="shared" si="54"/>
        <v>CarrosserieSalaires commis</v>
      </c>
      <c r="B255" s="11" t="s">
        <v>94</v>
      </c>
      <c r="C255" s="103" t="s">
        <v>41</v>
      </c>
      <c r="D255" s="81"/>
      <c r="E255" s="13"/>
      <c r="F255" s="22">
        <v>0</v>
      </c>
      <c r="G255" s="83"/>
      <c r="H255" s="13"/>
      <c r="I255" s="22"/>
      <c r="J255" s="41"/>
      <c r="K255" s="13"/>
      <c r="L255" s="33">
        <v>0</v>
      </c>
      <c r="M255" s="41"/>
      <c r="N255" s="59">
        <f t="shared" si="56"/>
        <v>0</v>
      </c>
      <c r="O255" s="41"/>
      <c r="P255" s="13"/>
      <c r="Q255" s="33">
        <v>339.43</v>
      </c>
      <c r="R255" s="41"/>
      <c r="S255" s="85">
        <f>L255-Q255</f>
        <v>-339.43</v>
      </c>
      <c r="T255" s="13"/>
      <c r="U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25">
      <c r="A256" t="str">
        <f t="shared" si="54"/>
        <v>CarrosserieSalaires autres</v>
      </c>
      <c r="B256" s="11" t="s">
        <v>94</v>
      </c>
      <c r="C256" s="102" t="s">
        <v>42</v>
      </c>
      <c r="D256" s="104"/>
      <c r="E256" s="105"/>
      <c r="F256" s="30">
        <v>0</v>
      </c>
      <c r="G256" s="106"/>
      <c r="H256" s="105"/>
      <c r="I256" s="30"/>
      <c r="J256" s="107"/>
      <c r="K256" s="105"/>
      <c r="L256" s="108">
        <v>0</v>
      </c>
      <c r="M256" s="107"/>
      <c r="N256" s="109">
        <f t="shared" si="56"/>
        <v>0</v>
      </c>
      <c r="O256" s="107"/>
      <c r="P256" s="105"/>
      <c r="Q256" s="108">
        <v>19</v>
      </c>
      <c r="R256" s="107"/>
      <c r="S256" s="110">
        <f t="shared" ref="S256:S272" si="58">L256-Q256</f>
        <v>-19</v>
      </c>
      <c r="T256" s="13"/>
      <c r="U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25">
      <c r="A257" t="str">
        <f t="shared" si="54"/>
        <v>CarrosserieSalaires spécialistes</v>
      </c>
      <c r="B257" s="11" t="s">
        <v>94</v>
      </c>
      <c r="C257" s="102" t="s">
        <v>43</v>
      </c>
      <c r="D257" s="81"/>
      <c r="E257" s="13"/>
      <c r="F257" s="30">
        <v>0</v>
      </c>
      <c r="G257" s="83"/>
      <c r="H257" s="13"/>
      <c r="I257" s="30"/>
      <c r="J257" s="41"/>
      <c r="K257" s="13"/>
      <c r="L257" s="33">
        <v>0</v>
      </c>
      <c r="M257" s="41"/>
      <c r="N257" s="59">
        <f t="shared" si="56"/>
        <v>0</v>
      </c>
      <c r="O257" s="41"/>
      <c r="P257" s="13"/>
      <c r="Q257" s="33">
        <v>0</v>
      </c>
      <c r="R257" s="41"/>
      <c r="S257" s="85">
        <f t="shared" si="58"/>
        <v>0</v>
      </c>
      <c r="T257" s="13"/>
      <c r="U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25" hidden="1">
      <c r="A258" t="str">
        <f t="shared" si="54"/>
        <v>Carrosserie[...]</v>
      </c>
      <c r="B258" s="11" t="s">
        <v>94</v>
      </c>
      <c r="C258" s="29" t="s">
        <v>19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6"/>
        <v>0</v>
      </c>
      <c r="O258" s="41"/>
      <c r="P258" s="13"/>
      <c r="Q258" s="33">
        <v>0</v>
      </c>
      <c r="R258" s="41"/>
      <c r="S258" s="85">
        <f t="shared" si="58"/>
        <v>0</v>
      </c>
      <c r="T258" s="13"/>
      <c r="U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25" hidden="1">
      <c r="A259" t="str">
        <f t="shared" si="54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6"/>
        <v>0</v>
      </c>
      <c r="O259" s="41"/>
      <c r="P259" s="13"/>
      <c r="Q259" s="33">
        <v>0</v>
      </c>
      <c r="R259" s="41"/>
      <c r="S259" s="85">
        <f t="shared" si="58"/>
        <v>0</v>
      </c>
      <c r="T259" s="13"/>
      <c r="U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25" hidden="1">
      <c r="A260" t="str">
        <f t="shared" si="54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6"/>
        <v>0</v>
      </c>
      <c r="O260" s="41"/>
      <c r="P260" s="13"/>
      <c r="Q260" s="33">
        <v>0</v>
      </c>
      <c r="R260" s="41"/>
      <c r="S260" s="85">
        <f t="shared" si="58"/>
        <v>0</v>
      </c>
      <c r="T260" s="13"/>
      <c r="U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25">
      <c r="A261" t="str">
        <f t="shared" si="54"/>
        <v>CarrosserieSalaires en absences</v>
      </c>
      <c r="B261" s="11" t="s">
        <v>94</v>
      </c>
      <c r="C261" s="103" t="s">
        <v>44</v>
      </c>
      <c r="D261" s="81"/>
      <c r="E261" s="13"/>
      <c r="F261" s="22">
        <v>0</v>
      </c>
      <c r="G261" s="83"/>
      <c r="H261" s="13"/>
      <c r="I261" s="22"/>
      <c r="J261" s="41"/>
      <c r="K261" s="13"/>
      <c r="L261" s="33">
        <v>0</v>
      </c>
      <c r="M261" s="41"/>
      <c r="N261" s="59">
        <f t="shared" si="56"/>
        <v>0</v>
      </c>
      <c r="O261" s="41"/>
      <c r="P261" s="13"/>
      <c r="Q261" s="33">
        <v>57.79</v>
      </c>
      <c r="R261" s="41"/>
      <c r="S261" s="85">
        <f t="shared" si="58"/>
        <v>-57.79</v>
      </c>
      <c r="T261" s="13"/>
      <c r="U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25">
      <c r="A262" t="str">
        <f t="shared" si="54"/>
        <v>CarrosserieDéduction à la source</v>
      </c>
      <c r="B262" s="11" t="s">
        <v>94</v>
      </c>
      <c r="C262" s="102" t="s">
        <v>45</v>
      </c>
      <c r="D262" s="104"/>
      <c r="E262" s="105"/>
      <c r="F262" s="30">
        <v>0</v>
      </c>
      <c r="G262" s="106"/>
      <c r="H262" s="105"/>
      <c r="I262" s="30"/>
      <c r="J262" s="107"/>
      <c r="K262" s="105"/>
      <c r="L262" s="108">
        <v>0</v>
      </c>
      <c r="M262" s="107"/>
      <c r="N262" s="109">
        <f t="shared" si="56"/>
        <v>0</v>
      </c>
      <c r="O262" s="107"/>
      <c r="P262" s="105"/>
      <c r="Q262" s="108">
        <v>214.1</v>
      </c>
      <c r="R262" s="107"/>
      <c r="S262" s="110">
        <f t="shared" si="58"/>
        <v>-214.1</v>
      </c>
      <c r="T262" s="13"/>
      <c r="U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25">
      <c r="A263" t="str">
        <f t="shared" si="54"/>
        <v>CarrosserieBénéfices marginaux</v>
      </c>
      <c r="B263" s="11" t="s">
        <v>94</v>
      </c>
      <c r="C263" s="102" t="s">
        <v>46</v>
      </c>
      <c r="D263" s="81"/>
      <c r="E263" s="13"/>
      <c r="F263" s="30">
        <v>0</v>
      </c>
      <c r="G263" s="83"/>
      <c r="H263" s="13"/>
      <c r="I263" s="30"/>
      <c r="J263" s="41"/>
      <c r="K263" s="13"/>
      <c r="L263" s="33">
        <v>0</v>
      </c>
      <c r="M263" s="41"/>
      <c r="N263" s="59">
        <f t="shared" si="56"/>
        <v>0</v>
      </c>
      <c r="O263" s="41"/>
      <c r="P263" s="13"/>
      <c r="Q263" s="33">
        <v>42.5</v>
      </c>
      <c r="R263" s="41"/>
      <c r="S263" s="85">
        <f t="shared" si="58"/>
        <v>-42.5</v>
      </c>
      <c r="T263" s="13"/>
      <c r="U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25">
      <c r="A264" t="str">
        <f t="shared" si="54"/>
        <v>CarrosserieCsst</v>
      </c>
      <c r="B264" s="11" t="s">
        <v>94</v>
      </c>
      <c r="C264" s="102" t="s">
        <v>47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67"/>
      <c r="N264" s="146">
        <f t="shared" si="56"/>
        <v>0</v>
      </c>
      <c r="O264" s="41"/>
      <c r="P264" s="13"/>
      <c r="Q264" s="33">
        <v>4.3600000000000003</v>
      </c>
      <c r="R264" s="41"/>
      <c r="S264" s="85">
        <f t="shared" si="58"/>
        <v>-4.3600000000000003</v>
      </c>
      <c r="T264" s="13"/>
      <c r="U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25" hidden="1">
      <c r="A265" t="str">
        <f t="shared" si="54"/>
        <v>Carrosserie[...]</v>
      </c>
      <c r="B265" s="11" t="s">
        <v>94</v>
      </c>
      <c r="C265" s="29" t="s">
        <v>19</v>
      </c>
      <c r="D265" s="87"/>
      <c r="E265" s="111"/>
      <c r="F265" s="30">
        <v>0</v>
      </c>
      <c r="G265" s="89"/>
      <c r="H265" s="111"/>
      <c r="I265" s="30"/>
      <c r="J265" s="23"/>
      <c r="K265" s="111"/>
      <c r="L265" s="33">
        <v>0</v>
      </c>
      <c r="M265" s="23"/>
      <c r="N265" s="91">
        <f t="shared" si="56"/>
        <v>0</v>
      </c>
      <c r="O265" s="23"/>
      <c r="P265" s="111"/>
      <c r="Q265" s="33">
        <v>0</v>
      </c>
      <c r="R265" s="23"/>
      <c r="S265" s="92">
        <f t="shared" si="58"/>
        <v>0</v>
      </c>
      <c r="T265" s="13"/>
      <c r="U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25">
      <c r="A266" t="str">
        <f t="shared" si="54"/>
        <v>CarrosserieTOTAL PERSONNEL</v>
      </c>
      <c r="B266" s="11" t="s">
        <v>94</v>
      </c>
      <c r="C266" s="93" t="s">
        <v>48</v>
      </c>
      <c r="D266" s="94" t="s">
        <v>38</v>
      </c>
      <c r="E266" s="95" t="e">
        <f>F266/F$244</f>
        <v>#DIV/0!</v>
      </c>
      <c r="F266" s="96">
        <f>+SUM(F254:F265)</f>
        <v>0</v>
      </c>
      <c r="G266" s="97"/>
      <c r="H266" s="95"/>
      <c r="I266" s="96"/>
      <c r="J266" s="97" t="s">
        <v>38</v>
      </c>
      <c r="K266" s="95">
        <f>IF(L244=0,0,L266/L$244)</f>
        <v>0</v>
      </c>
      <c r="L266" s="96">
        <f>+SUM(L254:L265)</f>
        <v>0</v>
      </c>
      <c r="M266" s="147"/>
      <c r="N266" s="113">
        <f t="shared" si="56"/>
        <v>0</v>
      </c>
      <c r="O266" s="97" t="s">
        <v>38</v>
      </c>
      <c r="P266" s="95">
        <f>IF(Q244=0,0,Q266/Q$244)</f>
        <v>0</v>
      </c>
      <c r="Q266" s="96">
        <f>+SUM(Q254:Q265)</f>
        <v>981.45</v>
      </c>
      <c r="R266" s="147"/>
      <c r="S266" s="114">
        <f t="shared" si="58"/>
        <v>-981.45</v>
      </c>
      <c r="T266" s="13"/>
      <c r="U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0.25">
      <c r="A267" t="str">
        <f t="shared" si="54"/>
        <v>CarrosseriePublicité 2</v>
      </c>
      <c r="B267" s="11" t="s">
        <v>94</v>
      </c>
      <c r="C267" s="211" t="s">
        <v>49</v>
      </c>
      <c r="D267" s="81"/>
      <c r="E267" s="13"/>
      <c r="F267" s="30">
        <v>0</v>
      </c>
      <c r="G267" s="83"/>
      <c r="H267" s="13"/>
      <c r="I267" s="30"/>
      <c r="J267" s="41"/>
      <c r="K267" s="13"/>
      <c r="L267" s="33">
        <v>0</v>
      </c>
      <c r="M267" s="41"/>
      <c r="N267" s="59">
        <f t="shared" si="56"/>
        <v>0</v>
      </c>
      <c r="O267" s="41"/>
      <c r="P267" s="13"/>
      <c r="Q267" s="33">
        <v>104</v>
      </c>
      <c r="R267" s="41"/>
      <c r="S267" s="85">
        <f t="shared" si="58"/>
        <v>-104</v>
      </c>
      <c r="T267" s="13"/>
      <c r="U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25">
      <c r="A268" t="str">
        <f t="shared" si="54"/>
        <v>CarrosserieService gratuit 2</v>
      </c>
      <c r="B268" s="11" t="s">
        <v>94</v>
      </c>
      <c r="C268" s="102" t="s">
        <v>50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6"/>
        <v>0</v>
      </c>
      <c r="O268" s="41"/>
      <c r="P268" s="13"/>
      <c r="Q268" s="33">
        <v>0</v>
      </c>
      <c r="R268" s="41"/>
      <c r="S268" s="85">
        <f t="shared" si="58"/>
        <v>0</v>
      </c>
      <c r="T268" s="13"/>
      <c r="U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25">
      <c r="A269" t="str">
        <f t="shared" si="54"/>
        <v>CarrosserieFrais véhicules de cie</v>
      </c>
      <c r="B269" s="11" t="s">
        <v>94</v>
      </c>
      <c r="C269" s="103" t="s">
        <v>51</v>
      </c>
      <c r="D269" s="87"/>
      <c r="E269" s="111"/>
      <c r="F269" s="22">
        <v>0</v>
      </c>
      <c r="G269" s="89"/>
      <c r="H269" s="111"/>
      <c r="I269" s="22"/>
      <c r="J269" s="23"/>
      <c r="K269" s="111"/>
      <c r="L269" s="33">
        <v>0</v>
      </c>
      <c r="M269" s="23"/>
      <c r="N269" s="91">
        <f t="shared" si="56"/>
        <v>0</v>
      </c>
      <c r="O269" s="23"/>
      <c r="P269" s="111"/>
      <c r="Q269" s="33">
        <v>75.2</v>
      </c>
      <c r="R269" s="23"/>
      <c r="S269" s="92">
        <f t="shared" si="58"/>
        <v>-75.2</v>
      </c>
      <c r="T269" s="13"/>
      <c r="U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25">
      <c r="A270" t="str">
        <f t="shared" si="54"/>
        <v>CarrosserieInformatique</v>
      </c>
      <c r="B270" s="11" t="s">
        <v>94</v>
      </c>
      <c r="C270" s="102" t="s">
        <v>52</v>
      </c>
      <c r="D270" s="81"/>
      <c r="E270" s="13"/>
      <c r="F270" s="30">
        <v>0</v>
      </c>
      <c r="G270" s="83"/>
      <c r="H270" s="13"/>
      <c r="I270" s="30"/>
      <c r="J270" s="41"/>
      <c r="K270" s="13"/>
      <c r="L270" s="108">
        <v>0</v>
      </c>
      <c r="M270" s="41"/>
      <c r="N270" s="59">
        <f t="shared" si="56"/>
        <v>0</v>
      </c>
      <c r="O270" s="41"/>
      <c r="P270" s="13"/>
      <c r="Q270" s="108">
        <v>176.9</v>
      </c>
      <c r="R270" s="41"/>
      <c r="S270" s="85">
        <f t="shared" si="58"/>
        <v>-176.9</v>
      </c>
      <c r="T270" s="13"/>
      <c r="U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25">
      <c r="A271" t="str">
        <f t="shared" si="54"/>
        <v>CarrosserieFrais de déplacement</v>
      </c>
      <c r="B271" s="11" t="s">
        <v>94</v>
      </c>
      <c r="C271" s="102" t="s">
        <v>53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33">
        <v>0</v>
      </c>
      <c r="M271" s="41"/>
      <c r="N271" s="59">
        <f t="shared" si="56"/>
        <v>0</v>
      </c>
      <c r="O271" s="41"/>
      <c r="P271" s="13"/>
      <c r="Q271" s="33">
        <v>4.4400000000000004</v>
      </c>
      <c r="R271" s="41"/>
      <c r="S271" s="85">
        <f t="shared" si="58"/>
        <v>-4.4400000000000004</v>
      </c>
      <c r="T271" s="13"/>
      <c r="U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25">
      <c r="A272" t="str">
        <f t="shared" si="54"/>
        <v>CarrosserieServices extérieurs</v>
      </c>
      <c r="B272" s="11" t="s">
        <v>94</v>
      </c>
      <c r="C272" s="102" t="s">
        <v>54</v>
      </c>
      <c r="D272" s="87"/>
      <c r="E272" s="111"/>
      <c r="F272" s="22">
        <v>0</v>
      </c>
      <c r="G272" s="89"/>
      <c r="H272" s="111"/>
      <c r="I272" s="22"/>
      <c r="J272" s="23"/>
      <c r="K272" s="111"/>
      <c r="L272" s="33">
        <v>0</v>
      </c>
      <c r="M272" s="23"/>
      <c r="N272" s="91">
        <f t="shared" si="56"/>
        <v>0</v>
      </c>
      <c r="O272" s="23"/>
      <c r="P272" s="111"/>
      <c r="Q272" s="22">
        <v>120.15</v>
      </c>
      <c r="R272" s="23"/>
      <c r="S272" s="92">
        <f t="shared" si="58"/>
        <v>-120.15</v>
      </c>
      <c r="T272" s="13"/>
      <c r="U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25">
      <c r="A273" t="str">
        <f>+B273&amp;C273</f>
        <v>CarrosserieFournitures d'atelier</v>
      </c>
      <c r="B273" s="11" t="s">
        <v>94</v>
      </c>
      <c r="C273" s="212" t="s">
        <v>93</v>
      </c>
      <c r="D273" s="81"/>
      <c r="E273" s="13"/>
      <c r="F273" s="30"/>
      <c r="G273" s="83"/>
      <c r="H273" s="13"/>
      <c r="I273" s="30"/>
      <c r="J273" s="41"/>
      <c r="K273" s="13"/>
      <c r="L273" s="55">
        <v>0</v>
      </c>
      <c r="M273" s="41"/>
      <c r="N273" s="59">
        <f t="shared" si="56"/>
        <v>0</v>
      </c>
      <c r="O273" s="41"/>
      <c r="P273" s="13"/>
      <c r="Q273" s="33">
        <v>0</v>
      </c>
      <c r="R273" s="41"/>
      <c r="S273" s="85">
        <f>L273-Q273</f>
        <v>0</v>
      </c>
      <c r="T273" s="13"/>
      <c r="U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25">
      <c r="A274" t="str">
        <f t="shared" ref="A274:A319" si="59">+B274&amp;C274</f>
        <v>CarrosserieFournitures autres</v>
      </c>
      <c r="B274" s="11" t="s">
        <v>94</v>
      </c>
      <c r="C274" s="102" t="s">
        <v>55</v>
      </c>
      <c r="D274" s="81"/>
      <c r="E274" s="13"/>
      <c r="F274" s="30">
        <v>0</v>
      </c>
      <c r="G274" s="83"/>
      <c r="H274" s="13"/>
      <c r="I274" s="30"/>
      <c r="J274" s="41"/>
      <c r="K274" s="13"/>
      <c r="L274" s="33">
        <v>0</v>
      </c>
      <c r="M274" s="41"/>
      <c r="N274" s="59">
        <f t="shared" si="56"/>
        <v>0</v>
      </c>
      <c r="O274" s="41"/>
      <c r="P274" s="13"/>
      <c r="Q274" s="33">
        <v>0.54</v>
      </c>
      <c r="R274" s="41"/>
      <c r="S274" s="85">
        <f t="shared" ref="S274:S292" si="60">L274-Q274</f>
        <v>-0.54</v>
      </c>
      <c r="T274" s="13"/>
      <c r="U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25">
      <c r="A275" t="str">
        <f t="shared" si="59"/>
        <v>CarrosserieUniformes</v>
      </c>
      <c r="B275" s="11" t="s">
        <v>94</v>
      </c>
      <c r="C275" s="102" t="s">
        <v>56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6"/>
        <v>0</v>
      </c>
      <c r="O275" s="41"/>
      <c r="P275" s="13"/>
      <c r="Q275" s="33">
        <v>0</v>
      </c>
      <c r="R275" s="41"/>
      <c r="S275" s="85">
        <f t="shared" si="60"/>
        <v>0</v>
      </c>
      <c r="T275" s="13"/>
      <c r="U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25">
      <c r="A276" t="str">
        <f t="shared" si="59"/>
        <v>CarrosseriePapeterie</v>
      </c>
      <c r="B276" s="11" t="s">
        <v>94</v>
      </c>
      <c r="C276" s="102" t="s">
        <v>57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2">
        <v>0</v>
      </c>
      <c r="M276" s="41"/>
      <c r="N276" s="59">
        <f t="shared" si="56"/>
        <v>0</v>
      </c>
      <c r="O276" s="41"/>
      <c r="P276" s="13"/>
      <c r="Q276" s="32">
        <v>26.85</v>
      </c>
      <c r="R276" s="41"/>
      <c r="S276" s="85">
        <f t="shared" si="60"/>
        <v>-26.85</v>
      </c>
      <c r="T276" s="13"/>
      <c r="U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25">
      <c r="A277" t="str">
        <f t="shared" si="59"/>
        <v>CarrosserieTéléphone</v>
      </c>
      <c r="B277" s="11" t="s">
        <v>94</v>
      </c>
      <c r="C277" s="102" t="s">
        <v>58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3">
        <v>0</v>
      </c>
      <c r="M277" s="41"/>
      <c r="N277" s="59">
        <f t="shared" si="56"/>
        <v>0</v>
      </c>
      <c r="O277" s="41"/>
      <c r="P277" s="13"/>
      <c r="Q277" s="33">
        <v>8.1300000000000008</v>
      </c>
      <c r="R277" s="41"/>
      <c r="S277" s="85">
        <f t="shared" si="60"/>
        <v>-8.1300000000000008</v>
      </c>
      <c r="T277" s="13"/>
      <c r="U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25">
      <c r="A278" t="str">
        <f t="shared" si="59"/>
        <v>CarrosserieFrais postaux</v>
      </c>
      <c r="B278" s="11" t="s">
        <v>94</v>
      </c>
      <c r="C278" s="102" t="s">
        <v>59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6"/>
        <v>0</v>
      </c>
      <c r="O278" s="41"/>
      <c r="P278" s="13"/>
      <c r="Q278" s="33">
        <v>4.2699999999999996</v>
      </c>
      <c r="R278" s="41"/>
      <c r="S278" s="85">
        <f t="shared" si="60"/>
        <v>-4.2699999999999996</v>
      </c>
      <c r="T278" s="13"/>
      <c r="U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25">
      <c r="A279" t="str">
        <f t="shared" si="59"/>
        <v>CarrosserieDivers</v>
      </c>
      <c r="B279" s="11" t="s">
        <v>94</v>
      </c>
      <c r="C279" s="102" t="s">
        <v>60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6"/>
        <v>0</v>
      </c>
      <c r="O279" s="41"/>
      <c r="P279" s="13"/>
      <c r="Q279" s="33">
        <v>35.51</v>
      </c>
      <c r="R279" s="41"/>
      <c r="S279" s="85">
        <f t="shared" si="60"/>
        <v>-35.51</v>
      </c>
      <c r="T279" s="13"/>
      <c r="U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25">
      <c r="A280" t="str">
        <f t="shared" si="59"/>
        <v>CarrosserieFormation</v>
      </c>
      <c r="B280" s="11" t="s">
        <v>94</v>
      </c>
      <c r="C280" s="102" t="s">
        <v>61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6"/>
        <v>0</v>
      </c>
      <c r="O280" s="41"/>
      <c r="P280" s="13"/>
      <c r="Q280" s="33">
        <v>89.83</v>
      </c>
      <c r="R280" s="41"/>
      <c r="S280" s="85">
        <f t="shared" si="60"/>
        <v>-89.83</v>
      </c>
      <c r="T280" s="13"/>
      <c r="U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25">
      <c r="A281" t="str">
        <f t="shared" si="59"/>
        <v>CarrosserieFrais bancaires</v>
      </c>
      <c r="B281" s="11" t="s">
        <v>94</v>
      </c>
      <c r="C281" s="102" t="s">
        <v>62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6"/>
        <v>0</v>
      </c>
      <c r="O281" s="41"/>
      <c r="P281" s="13"/>
      <c r="Q281" s="33">
        <v>4.5199999999999996</v>
      </c>
      <c r="R281" s="41"/>
      <c r="S281" s="85">
        <f t="shared" si="60"/>
        <v>-4.5199999999999996</v>
      </c>
      <c r="T281" s="13"/>
      <c r="U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25" hidden="1">
      <c r="A282" t="str">
        <f t="shared" si="59"/>
        <v>Carrosserie[...]</v>
      </c>
      <c r="B282" s="11" t="s">
        <v>94</v>
      </c>
      <c r="C282" s="102" t="s">
        <v>19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6"/>
        <v>0</v>
      </c>
      <c r="O282" s="41"/>
      <c r="P282" s="13"/>
      <c r="Q282" s="33">
        <v>0</v>
      </c>
      <c r="R282" s="41"/>
      <c r="S282" s="85">
        <f t="shared" si="60"/>
        <v>0</v>
      </c>
      <c r="T282" s="13"/>
      <c r="U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25" hidden="1">
      <c r="A283" t="str">
        <f>+B283&amp;C283</f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6"/>
        <v>0</v>
      </c>
      <c r="O283" s="41"/>
      <c r="P283" s="13"/>
      <c r="Q283" s="33">
        <v>0</v>
      </c>
      <c r="R283" s="41"/>
      <c r="S283" s="85">
        <f>L283-Q283</f>
        <v>0</v>
      </c>
      <c r="T283" s="13"/>
      <c r="U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25" hidden="1">
      <c r="A284" t="str">
        <f t="shared" ref="A284:A329" si="61"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6"/>
        <v>0</v>
      </c>
      <c r="O284" s="41"/>
      <c r="P284" s="13"/>
      <c r="Q284" s="33">
        <v>0</v>
      </c>
      <c r="R284" s="41"/>
      <c r="S284" s="85">
        <f t="shared" ref="S284:S302" si="62">L284-Q284</f>
        <v>0</v>
      </c>
      <c r="T284" s="13"/>
      <c r="U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25">
      <c r="B285" s="11"/>
      <c r="C285" s="93" t="s">
        <v>63</v>
      </c>
      <c r="D285" s="94" t="s">
        <v>38</v>
      </c>
      <c r="E285" s="95" t="e">
        <f>F285/F$244</f>
        <v>#DIV/0!</v>
      </c>
      <c r="F285" s="96">
        <f>+SUM(F267:F284)</f>
        <v>0</v>
      </c>
      <c r="G285" s="97"/>
      <c r="H285" s="95"/>
      <c r="I285" s="96"/>
      <c r="J285" s="97" t="s">
        <v>38</v>
      </c>
      <c r="K285" s="95">
        <f>IF(L262=0,0,L285/L$244)</f>
        <v>0</v>
      </c>
      <c r="L285" s="96">
        <f>+SUM(L267:L284)</f>
        <v>0</v>
      </c>
      <c r="M285" s="100"/>
      <c r="N285" s="96">
        <f>+SUM(N267:N284)</f>
        <v>0</v>
      </c>
      <c r="O285" s="97" t="s">
        <v>38</v>
      </c>
      <c r="P285" s="95">
        <f>IF(Q$244=0,0,Q285/Q$244)</f>
        <v>0</v>
      </c>
      <c r="Q285" s="96">
        <f>+SUM(Q267:Q284)</f>
        <v>650.34000000000015</v>
      </c>
      <c r="R285" s="100"/>
      <c r="S285" s="101">
        <f>L285-Q285</f>
        <v>-650.34000000000015</v>
      </c>
      <c r="T285" s="76"/>
      <c r="U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0.25">
      <c r="B286" s="11"/>
      <c r="C286" s="86"/>
      <c r="D286" s="87"/>
      <c r="E286" s="111"/>
      <c r="F286" s="59"/>
      <c r="G286" s="89"/>
      <c r="H286" s="111"/>
      <c r="I286" s="59"/>
      <c r="J286" s="23"/>
      <c r="K286" s="111"/>
      <c r="L286" s="91"/>
      <c r="M286" s="23"/>
      <c r="N286" s="91"/>
      <c r="O286" s="23"/>
      <c r="P286" s="111"/>
      <c r="Q286" s="91"/>
      <c r="R286" s="23"/>
      <c r="S286" s="92"/>
      <c r="T286" s="76"/>
      <c r="U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0.25">
      <c r="B287" s="11"/>
      <c r="C287" s="93" t="s">
        <v>64</v>
      </c>
      <c r="D287" s="94" t="s">
        <v>38</v>
      </c>
      <c r="E287" s="95" t="e">
        <f>F287/F$244</f>
        <v>#DIV/0!</v>
      </c>
      <c r="F287" s="96">
        <f>F266+F285</f>
        <v>0</v>
      </c>
      <c r="G287" s="97"/>
      <c r="H287" s="95"/>
      <c r="I287" s="96"/>
      <c r="J287" s="97" t="s">
        <v>38</v>
      </c>
      <c r="K287" s="95">
        <f>IF(L264=0,0,L287/L$244)</f>
        <v>0</v>
      </c>
      <c r="L287" s="96">
        <f>L266+L285</f>
        <v>0</v>
      </c>
      <c r="M287" s="100"/>
      <c r="N287" s="113">
        <f>L287-F287</f>
        <v>0</v>
      </c>
      <c r="O287" s="97" t="s">
        <v>38</v>
      </c>
      <c r="P287" s="95">
        <f>IF(Q$244=0,0,Q287/Q$244)</f>
        <v>0</v>
      </c>
      <c r="Q287" s="96">
        <f>Q266+Q285</f>
        <v>1631.7900000000002</v>
      </c>
      <c r="R287" s="100"/>
      <c r="S287" s="114">
        <f>L287-Q287</f>
        <v>-1631.7900000000002</v>
      </c>
      <c r="T287" s="76"/>
      <c r="U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0.25">
      <c r="B288" s="11"/>
      <c r="C288" s="29"/>
      <c r="D288" s="81"/>
      <c r="E288" s="13"/>
      <c r="F288" s="59"/>
      <c r="G288" s="83"/>
      <c r="H288" s="13"/>
      <c r="I288" s="59"/>
      <c r="J288" s="41"/>
      <c r="K288" s="13"/>
      <c r="L288" s="59"/>
      <c r="M288" s="41"/>
      <c r="N288" s="59"/>
      <c r="O288" s="41"/>
      <c r="P288" s="13"/>
      <c r="Q288" s="59"/>
      <c r="R288" s="41"/>
      <c r="S288" s="85"/>
      <c r="T288" s="13"/>
      <c r="U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1" thickBot="1">
      <c r="B289" s="11"/>
      <c r="C289" s="124" t="s">
        <v>69</v>
      </c>
      <c r="D289" s="152"/>
      <c r="E289" s="125"/>
      <c r="F289" s="127">
        <f>F250-F287</f>
        <v>0</v>
      </c>
      <c r="G289" s="153"/>
      <c r="H289" s="125"/>
      <c r="I289" s="127"/>
      <c r="J289" s="154"/>
      <c r="K289" s="126"/>
      <c r="L289" s="127">
        <f>L250-L287</f>
        <v>0</v>
      </c>
      <c r="M289" s="154"/>
      <c r="N289" s="127">
        <f>L289-F289</f>
        <v>0</v>
      </c>
      <c r="O289" s="154"/>
      <c r="P289" s="126"/>
      <c r="Q289" s="127">
        <f>Q250-Q287</f>
        <v>-1530.0900000000013</v>
      </c>
      <c r="R289" s="154"/>
      <c r="S289" s="129">
        <f>L289-Q289</f>
        <v>1530.0900000000013</v>
      </c>
      <c r="T289" s="76"/>
      <c r="U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" thickTop="1">
      <c r="B290" s="11"/>
      <c r="C290" s="13"/>
      <c r="D290" s="13"/>
      <c r="E290" s="13"/>
      <c r="F290" s="13"/>
      <c r="G290" s="13"/>
      <c r="H290" s="13"/>
      <c r="I290" s="13"/>
      <c r="J290" s="13"/>
      <c r="K290" s="13"/>
      <c r="L290" s="82"/>
      <c r="M290" s="13"/>
      <c r="N290" s="13"/>
      <c r="O290" s="13"/>
      <c r="P290" s="13"/>
      <c r="Q290" s="13"/>
      <c r="R290" s="13"/>
      <c r="S290" s="13"/>
      <c r="T290" s="13"/>
      <c r="U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35.25">
      <c r="B291" s="11"/>
      <c r="C291" s="6" t="str">
        <f>C1</f>
        <v>BMW Sherbrooke</v>
      </c>
      <c r="D291" s="2"/>
      <c r="E291" s="2"/>
      <c r="F291" s="2"/>
      <c r="G291" s="2"/>
      <c r="H291" s="1"/>
      <c r="I291" s="1"/>
      <c r="J291" s="1"/>
      <c r="K291" s="3" t="s">
        <v>98</v>
      </c>
      <c r="L291" s="2"/>
      <c r="M291" s="2"/>
      <c r="N291" s="1"/>
      <c r="O291" s="1"/>
      <c r="P291" s="2"/>
      <c r="Q291" s="1"/>
      <c r="R291" s="2"/>
      <c r="S291" s="5" t="str">
        <f>$S$1</f>
        <v>Réalisé, Décembre 2025</v>
      </c>
      <c r="T291" s="13"/>
      <c r="U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21" thickBot="1">
      <c r="B292" s="11"/>
      <c r="C292" s="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3"/>
      <c r="U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Top="1">
      <c r="B293" s="11"/>
      <c r="C293" s="12"/>
      <c r="D293" s="508" t="s">
        <v>5</v>
      </c>
      <c r="E293" s="509"/>
      <c r="F293" s="510"/>
      <c r="G293" s="511"/>
      <c r="H293" s="509"/>
      <c r="I293" s="510"/>
      <c r="J293" s="511" t="s">
        <v>7</v>
      </c>
      <c r="K293" s="509"/>
      <c r="L293" s="510"/>
      <c r="M293" s="511" t="s">
        <v>213</v>
      </c>
      <c r="N293" s="510"/>
      <c r="O293" s="508" t="s">
        <v>8</v>
      </c>
      <c r="P293" s="509"/>
      <c r="Q293" s="510"/>
      <c r="R293" s="515" t="s">
        <v>214</v>
      </c>
      <c r="S293" s="516"/>
      <c r="T293" s="13"/>
      <c r="U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0.25">
      <c r="A294" t="str">
        <f t="shared" ref="A294:A343" si="63">+B294&amp;C294</f>
        <v>Pièces</v>
      </c>
      <c r="B294" s="11" t="s">
        <v>98</v>
      </c>
      <c r="C294" s="29"/>
      <c r="D294" s="80" t="s">
        <v>79</v>
      </c>
      <c r="E294" s="80" t="s">
        <v>99</v>
      </c>
      <c r="F294" s="134" t="s">
        <v>12</v>
      </c>
      <c r="G294" s="135"/>
      <c r="H294" s="80"/>
      <c r="I294" s="134"/>
      <c r="J294" s="135" t="s">
        <v>79</v>
      </c>
      <c r="K294" s="80" t="s">
        <v>99</v>
      </c>
      <c r="L294" s="134" t="s">
        <v>12</v>
      </c>
      <c r="M294" s="135" t="s">
        <v>39</v>
      </c>
      <c r="N294" s="134" t="s">
        <v>217</v>
      </c>
      <c r="O294" s="80" t="s">
        <v>79</v>
      </c>
      <c r="P294" s="80" t="s">
        <v>99</v>
      </c>
      <c r="Q294" s="134" t="s">
        <v>12</v>
      </c>
      <c r="R294" s="135" t="s">
        <v>80</v>
      </c>
      <c r="S294" s="136" t="s">
        <v>12</v>
      </c>
      <c r="T294" s="13"/>
      <c r="U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25">
      <c r="A295" t="str">
        <f t="shared" si="63"/>
        <v>PiècesPièces Ro Clients</v>
      </c>
      <c r="B295" s="11" t="s">
        <v>98</v>
      </c>
      <c r="C295" s="29" t="s">
        <v>100</v>
      </c>
      <c r="D295" s="82">
        <v>46487.316997401977</v>
      </c>
      <c r="E295" s="148">
        <f>IF(D295=0,0,F295/D295)</f>
        <v>0.41000000000000003</v>
      </c>
      <c r="F295" s="85">
        <v>19059.799968934811</v>
      </c>
      <c r="G295" s="82"/>
      <c r="H295" s="148"/>
      <c r="I295" s="85"/>
      <c r="J295" s="30">
        <v>47664.43</v>
      </c>
      <c r="K295" s="148">
        <f t="shared" ref="K295:K300" si="64">IF(J295&lt;=0,0,L295/J295)</f>
        <v>0.42656903691075293</v>
      </c>
      <c r="L295" s="33">
        <v>20332.169999999998</v>
      </c>
      <c r="M295" s="157">
        <f t="shared" ref="M295:M301" si="65">(+J295-D295)/D295</f>
        <v>2.5321164537497588E-2</v>
      </c>
      <c r="N295" s="59">
        <f t="shared" ref="N295:N304" si="66">L295-F295</f>
        <v>1272.3700310651875</v>
      </c>
      <c r="O295" s="30">
        <v>33417.71</v>
      </c>
      <c r="P295" s="148">
        <f t="shared" ref="P295:P303" si="67">IF(O295=0,0,Q295/O295)</f>
        <v>0.42927447751506315</v>
      </c>
      <c r="Q295" s="33">
        <v>14345.369999999901</v>
      </c>
      <c r="R295" s="157">
        <f>IF(O295=0,0,(J295-O295)/O295)</f>
        <v>0.42632244998235969</v>
      </c>
      <c r="S295" s="85">
        <f t="shared" ref="S295:S300" si="68">L295-Q295</f>
        <v>5986.8000000000975</v>
      </c>
      <c r="T295" s="13"/>
      <c r="U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25">
      <c r="A296" t="str">
        <f t="shared" si="63"/>
        <v>PiècesPièces Ro Carrosserie</v>
      </c>
      <c r="B296" s="11" t="s">
        <v>98</v>
      </c>
      <c r="C296" s="29" t="s">
        <v>101</v>
      </c>
      <c r="D296" s="82">
        <v>0</v>
      </c>
      <c r="E296" s="148">
        <f t="shared" ref="E296:E303" si="69">IF(D296=0,0,F296/D296)</f>
        <v>0</v>
      </c>
      <c r="F296" s="85">
        <v>0</v>
      </c>
      <c r="G296" s="82"/>
      <c r="H296" s="148"/>
      <c r="I296" s="85"/>
      <c r="J296" s="30">
        <v>0</v>
      </c>
      <c r="K296" s="148">
        <f t="shared" si="64"/>
        <v>0</v>
      </c>
      <c r="L296" s="33">
        <v>0</v>
      </c>
      <c r="M296" s="157" t="e">
        <f t="shared" si="65"/>
        <v>#DIV/0!</v>
      </c>
      <c r="N296" s="59">
        <f t="shared" si="66"/>
        <v>0</v>
      </c>
      <c r="O296" s="30">
        <v>0</v>
      </c>
      <c r="P296" s="148">
        <f t="shared" si="67"/>
        <v>0</v>
      </c>
      <c r="Q296" s="33">
        <v>0</v>
      </c>
      <c r="R296" s="157">
        <f t="shared" ref="R296:R303" si="70">IF(O296=0,0,(J296-O296)/O296)</f>
        <v>0</v>
      </c>
      <c r="S296" s="85">
        <f t="shared" si="68"/>
        <v>0</v>
      </c>
      <c r="T296" s="13"/>
      <c r="U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25">
      <c r="A297" t="str">
        <f t="shared" si="63"/>
        <v>PiècesP/A Garantie</v>
      </c>
      <c r="B297" s="11" t="s">
        <v>98</v>
      </c>
      <c r="C297" s="29" t="s">
        <v>102</v>
      </c>
      <c r="D297" s="82">
        <v>39488.844264590873</v>
      </c>
      <c r="E297" s="148">
        <f t="shared" si="69"/>
        <v>0.28499999999999998</v>
      </c>
      <c r="F297" s="85">
        <v>11254.320615408398</v>
      </c>
      <c r="G297" s="82"/>
      <c r="H297" s="148"/>
      <c r="I297" s="85"/>
      <c r="J297" s="30">
        <v>26379.730000000003</v>
      </c>
      <c r="K297" s="148">
        <f t="shared" si="64"/>
        <v>0.28704274077103925</v>
      </c>
      <c r="L297" s="33">
        <v>7572.1100000000079</v>
      </c>
      <c r="M297" s="157">
        <f t="shared" si="65"/>
        <v>-0.3319700667042727</v>
      </c>
      <c r="N297" s="59">
        <f t="shared" si="66"/>
        <v>-3682.2106154083904</v>
      </c>
      <c r="O297" s="30">
        <v>57248.619999999901</v>
      </c>
      <c r="P297" s="148">
        <f t="shared" si="67"/>
        <v>0.28436999878774244</v>
      </c>
      <c r="Q297" s="33">
        <v>16279.789999999901</v>
      </c>
      <c r="R297" s="157">
        <f t="shared" si="70"/>
        <v>-0.53920758264565938</v>
      </c>
      <c r="S297" s="85">
        <f t="shared" si="68"/>
        <v>-8707.679999999893</v>
      </c>
      <c r="T297" s="13"/>
      <c r="U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25">
      <c r="A298" t="str">
        <f t="shared" si="63"/>
        <v>PiècesVentes Internes</v>
      </c>
      <c r="B298" s="11" t="s">
        <v>98</v>
      </c>
      <c r="C298" s="29" t="s">
        <v>103</v>
      </c>
      <c r="D298" s="82">
        <v>20464.717416141451</v>
      </c>
      <c r="E298" s="148">
        <f t="shared" si="69"/>
        <v>0.35</v>
      </c>
      <c r="F298" s="85">
        <v>7162.6510956495076</v>
      </c>
      <c r="G298" s="82"/>
      <c r="H298" s="148"/>
      <c r="I298" s="85"/>
      <c r="J298" s="30">
        <v>14139.380000000001</v>
      </c>
      <c r="K298" s="148">
        <f t="shared" si="64"/>
        <v>0.2701172187182182</v>
      </c>
      <c r="L298" s="33">
        <v>3819.2900000000004</v>
      </c>
      <c r="M298" s="157">
        <f t="shared" si="65"/>
        <v>-0.30908501141346667</v>
      </c>
      <c r="N298" s="59">
        <f t="shared" si="66"/>
        <v>-3343.3610956495072</v>
      </c>
      <c r="O298" s="30">
        <v>23297.47</v>
      </c>
      <c r="P298" s="148">
        <f t="shared" si="67"/>
        <v>0.37471150300869577</v>
      </c>
      <c r="Q298" s="33">
        <v>8729.83</v>
      </c>
      <c r="R298" s="157">
        <f t="shared" si="70"/>
        <v>-0.39309375653236167</v>
      </c>
      <c r="S298" s="85">
        <f t="shared" si="68"/>
        <v>-4910.5399999999991</v>
      </c>
      <c r="T298" s="13"/>
      <c r="U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25">
      <c r="A299" t="str">
        <f t="shared" si="63"/>
        <v>PiècesVentes Détails</v>
      </c>
      <c r="B299" s="11" t="s">
        <v>98</v>
      </c>
      <c r="C299" s="29" t="s">
        <v>104</v>
      </c>
      <c r="D299" s="82">
        <v>17818.482822385668</v>
      </c>
      <c r="E299" s="148">
        <f t="shared" si="69"/>
        <v>0.3</v>
      </c>
      <c r="F299" s="85">
        <v>5345.5448467157003</v>
      </c>
      <c r="G299" s="82"/>
      <c r="H299" s="148"/>
      <c r="I299" s="85"/>
      <c r="J299" s="30">
        <v>13877.710000000001</v>
      </c>
      <c r="K299" s="148">
        <f t="shared" si="64"/>
        <v>0.30979750981970378</v>
      </c>
      <c r="L299" s="33">
        <v>4299.2800000000016</v>
      </c>
      <c r="M299" s="157">
        <f t="shared" si="65"/>
        <v>-0.2211620855528062</v>
      </c>
      <c r="N299" s="59">
        <f t="shared" si="66"/>
        <v>-1046.2648467156987</v>
      </c>
      <c r="O299" s="30">
        <v>18825.169999999998</v>
      </c>
      <c r="P299" s="148">
        <f t="shared" si="67"/>
        <v>0.30107829039525225</v>
      </c>
      <c r="Q299" s="33">
        <v>5667.8499999999904</v>
      </c>
      <c r="R299" s="157">
        <f t="shared" si="70"/>
        <v>-0.26281090688689651</v>
      </c>
      <c r="S299" s="85">
        <f t="shared" si="68"/>
        <v>-1368.5699999999888</v>
      </c>
      <c r="T299" s="13"/>
      <c r="U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25">
      <c r="A300" t="str">
        <f>+B300&amp;C300</f>
        <v>PiècesVentes de Gros</v>
      </c>
      <c r="B300" s="11" t="s">
        <v>98</v>
      </c>
      <c r="C300" s="29" t="s">
        <v>105</v>
      </c>
      <c r="D300" s="82">
        <v>52086.308757231716</v>
      </c>
      <c r="E300" s="148">
        <f t="shared" si="69"/>
        <v>0.2</v>
      </c>
      <c r="F300" s="85">
        <v>10417.261751446344</v>
      </c>
      <c r="G300" s="82"/>
      <c r="H300" s="148"/>
      <c r="I300" s="85"/>
      <c r="J300" s="30">
        <v>47567.43</v>
      </c>
      <c r="K300" s="148">
        <f t="shared" si="64"/>
        <v>0.19492875692464365</v>
      </c>
      <c r="L300" s="33">
        <v>9272.260000000002</v>
      </c>
      <c r="M300" s="157">
        <f t="shared" si="65"/>
        <v>-8.6757515843437646E-2</v>
      </c>
      <c r="N300" s="59">
        <f t="shared" si="66"/>
        <v>-1145.0017514463416</v>
      </c>
      <c r="O300" s="30">
        <v>33456.9</v>
      </c>
      <c r="P300" s="148">
        <f t="shared" si="67"/>
        <v>0.15631663423688386</v>
      </c>
      <c r="Q300" s="33">
        <v>5229.87</v>
      </c>
      <c r="R300" s="157">
        <f t="shared" si="70"/>
        <v>0.42175246361737034</v>
      </c>
      <c r="S300" s="85">
        <f t="shared" si="68"/>
        <v>4042.3900000000021</v>
      </c>
      <c r="T300" s="13"/>
      <c r="U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25" hidden="1">
      <c r="A301" t="str">
        <f>+B301&amp;C301</f>
        <v>Pièces[...]</v>
      </c>
      <c r="B301" s="11" t="s">
        <v>98</v>
      </c>
      <c r="C301" s="29" t="s">
        <v>19</v>
      </c>
      <c r="D301" s="82">
        <v>0</v>
      </c>
      <c r="E301" s="148">
        <f>IF(D301=0,0,F301/D301)</f>
        <v>0</v>
      </c>
      <c r="F301" s="85">
        <v>0</v>
      </c>
      <c r="G301" s="82"/>
      <c r="H301" s="148"/>
      <c r="I301" s="85"/>
      <c r="J301" s="30">
        <v>0</v>
      </c>
      <c r="K301" s="148">
        <f>IF(J301&lt;=0,0,L301/J301)</f>
        <v>0</v>
      </c>
      <c r="L301" s="33">
        <v>0</v>
      </c>
      <c r="M301" s="157" t="e">
        <f t="shared" si="65"/>
        <v>#DIV/0!</v>
      </c>
      <c r="N301" s="59">
        <f t="shared" si="66"/>
        <v>0</v>
      </c>
      <c r="O301" s="30">
        <v>0</v>
      </c>
      <c r="P301" s="148">
        <f t="shared" si="67"/>
        <v>0</v>
      </c>
      <c r="Q301" s="33">
        <v>0</v>
      </c>
      <c r="R301" s="157">
        <f>IF(O301=0,0,(J301-O301)/O301)</f>
        <v>0</v>
      </c>
      <c r="S301" s="85">
        <f>L301-Q301</f>
        <v>0</v>
      </c>
      <c r="T301" s="13"/>
      <c r="U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25">
      <c r="A302" t="str">
        <f t="shared" ref="A302:A351" si="71">+B302&amp;C302</f>
        <v>PiècesEscomptes</v>
      </c>
      <c r="B302" s="11" t="s">
        <v>98</v>
      </c>
      <c r="C302" s="29" t="s">
        <v>106</v>
      </c>
      <c r="D302" s="82">
        <v>0</v>
      </c>
      <c r="E302" s="148">
        <f t="shared" ref="E302:E309" si="72">IF(D302=0,0,F302/D302)</f>
        <v>0</v>
      </c>
      <c r="F302" s="85">
        <v>4613.4060077090317</v>
      </c>
      <c r="G302" s="82"/>
      <c r="H302" s="148"/>
      <c r="I302" s="85"/>
      <c r="J302" s="30">
        <v>0</v>
      </c>
      <c r="K302" s="148">
        <f>IF(J302&lt;=0,0,L302/J302)</f>
        <v>0</v>
      </c>
      <c r="L302" s="33">
        <v>44.22</v>
      </c>
      <c r="M302" s="157"/>
      <c r="N302" s="59">
        <f t="shared" si="66"/>
        <v>-4569.1860077090314</v>
      </c>
      <c r="O302" s="30">
        <v>0</v>
      </c>
      <c r="P302" s="148">
        <f t="shared" si="67"/>
        <v>0</v>
      </c>
      <c r="Q302" s="33">
        <v>12689.56</v>
      </c>
      <c r="R302" s="157">
        <f t="shared" ref="R302:R309" si="73">IF(O302=0,0,(J302-O302)/O302)</f>
        <v>0</v>
      </c>
      <c r="S302" s="85">
        <f>L302-Q302</f>
        <v>-12645.34</v>
      </c>
      <c r="T302" s="13"/>
      <c r="U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25">
      <c r="A303" t="str">
        <f t="shared" si="71"/>
        <v>PiècesRectif. Inventaire</v>
      </c>
      <c r="B303" s="11" t="s">
        <v>98</v>
      </c>
      <c r="C303" s="86" t="s">
        <v>107</v>
      </c>
      <c r="D303" s="82">
        <v>0</v>
      </c>
      <c r="E303" s="148">
        <f t="shared" si="72"/>
        <v>0</v>
      </c>
      <c r="F303" s="85">
        <v>0</v>
      </c>
      <c r="G303" s="82"/>
      <c r="H303" s="148"/>
      <c r="I303" s="85"/>
      <c r="J303" s="30">
        <v>0</v>
      </c>
      <c r="K303" s="148">
        <f>IF(J303&lt;=0,0,L303/J303)</f>
        <v>0</v>
      </c>
      <c r="L303" s="33">
        <v>0</v>
      </c>
      <c r="M303" s="157"/>
      <c r="N303" s="59">
        <f t="shared" si="66"/>
        <v>0</v>
      </c>
      <c r="O303" s="30">
        <v>0</v>
      </c>
      <c r="P303" s="148">
        <f t="shared" si="67"/>
        <v>0</v>
      </c>
      <c r="Q303" s="33">
        <v>9377.1</v>
      </c>
      <c r="R303" s="157">
        <f t="shared" si="73"/>
        <v>0</v>
      </c>
      <c r="S303" s="85">
        <f>L303-Q303</f>
        <v>-9377.1</v>
      </c>
      <c r="T303" s="13"/>
      <c r="U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25">
      <c r="A304" t="str">
        <f t="shared" si="71"/>
        <v>PiècesSous-total Pièces</v>
      </c>
      <c r="B304" s="11" t="s">
        <v>98</v>
      </c>
      <c r="C304" s="53" t="s">
        <v>108</v>
      </c>
      <c r="D304" s="195">
        <f>SUM(D295:D303)</f>
        <v>176345.67025775168</v>
      </c>
      <c r="E304" s="213">
        <f>IF(D304&lt;=0,0,F304/D304)</f>
        <v>0.32806580508216771</v>
      </c>
      <c r="F304" s="199">
        <f>SUM(F295:F303)</f>
        <v>57852.984285863786</v>
      </c>
      <c r="G304" s="195"/>
      <c r="H304" s="213"/>
      <c r="I304" s="199"/>
      <c r="J304" s="195">
        <f>SUM(J295:J303)</f>
        <v>149628.68000000002</v>
      </c>
      <c r="K304" s="213">
        <f>IF(J304&lt;=0,0,L304/J304)</f>
        <v>0.30301229684041858</v>
      </c>
      <c r="L304" s="197">
        <f>SUM(L295:L303)</f>
        <v>45339.330000000009</v>
      </c>
      <c r="M304" s="214">
        <f>(+J304-D304)/D304</f>
        <v>-0.15150352270459136</v>
      </c>
      <c r="N304" s="197">
        <f t="shared" si="66"/>
        <v>-12513.654285863777</v>
      </c>
      <c r="O304" s="195">
        <f>SUM(O295:O303)</f>
        <v>166245.86999999991</v>
      </c>
      <c r="P304" s="213">
        <f>IF(O304&lt;=0,0,Q304/O304)</f>
        <v>0.43501453600020157</v>
      </c>
      <c r="Q304" s="197">
        <f t="shared" ref="Q304" si="74">SUM(Q295:Q303)</f>
        <v>72319.369999999792</v>
      </c>
      <c r="R304" s="214">
        <f>IF(O304=0,0,(J304-O304)/O304)</f>
        <v>-9.9955505661583621E-2</v>
      </c>
      <c r="S304" s="199">
        <f>L304-Q304</f>
        <v>-26980.039999999783</v>
      </c>
      <c r="T304" s="13"/>
      <c r="U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0.25">
      <c r="A305" t="str">
        <f t="shared" si="71"/>
        <v>Pièces</v>
      </c>
      <c r="B305" s="11" t="s">
        <v>98</v>
      </c>
      <c r="C305" s="29"/>
      <c r="D305" s="13"/>
      <c r="E305" s="13"/>
      <c r="F305" s="40"/>
      <c r="G305" s="41"/>
      <c r="H305" s="13"/>
      <c r="I305" s="40"/>
      <c r="J305" s="41"/>
      <c r="K305" s="13"/>
      <c r="L305" s="40"/>
      <c r="M305" s="41"/>
      <c r="N305" s="43">
        <f>N304/F304</f>
        <v>-0.21630092968119283</v>
      </c>
      <c r="O305" s="41"/>
      <c r="P305" s="13"/>
      <c r="Q305" s="40"/>
      <c r="R305" s="41"/>
      <c r="S305" s="44">
        <f>IF(Q304=0,0,S304/Q304)</f>
        <v>-0.37306796229004568</v>
      </c>
      <c r="T305" s="13"/>
      <c r="U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0.25">
      <c r="A306" t="str">
        <f t="shared" si="71"/>
        <v>Pièces</v>
      </c>
      <c r="B306" s="11" t="s">
        <v>98</v>
      </c>
      <c r="C306" s="86"/>
      <c r="D306" s="111"/>
      <c r="E306" s="111"/>
      <c r="F306" s="215"/>
      <c r="G306" s="23"/>
      <c r="H306" s="216"/>
      <c r="I306" s="215"/>
      <c r="J306" s="23"/>
      <c r="K306" s="111"/>
      <c r="L306" s="215"/>
      <c r="M306" s="23"/>
      <c r="N306" s="168"/>
      <c r="O306" s="23"/>
      <c r="P306" s="111"/>
      <c r="Q306" s="215"/>
      <c r="R306" s="23"/>
      <c r="S306" s="169"/>
      <c r="T306" s="13"/>
      <c r="U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0.25">
      <c r="A307" t="str">
        <f t="shared" si="71"/>
        <v>PiècesVentes Pneus</v>
      </c>
      <c r="B307" s="11" t="s">
        <v>98</v>
      </c>
      <c r="C307" s="29" t="s">
        <v>109</v>
      </c>
      <c r="D307" s="82">
        <v>53071.95102089065</v>
      </c>
      <c r="E307" s="148">
        <f>IF(D307=0,0,F307/D307)</f>
        <v>0.24</v>
      </c>
      <c r="F307" s="110">
        <v>12737.268245013756</v>
      </c>
      <c r="G307" s="82"/>
      <c r="H307" s="148"/>
      <c r="I307" s="110"/>
      <c r="J307" s="30">
        <v>53238.36</v>
      </c>
      <c r="K307" s="148">
        <f>IF(J307&lt;=0,0,L307/J307)</f>
        <v>0.26193368841564613</v>
      </c>
      <c r="L307" s="33">
        <v>13944.919999999998</v>
      </c>
      <c r="M307" s="157">
        <f>(+J307-D307)/D307</f>
        <v>3.1355353611147029E-3</v>
      </c>
      <c r="N307" s="59">
        <f>L307-F307</f>
        <v>1207.6517549862419</v>
      </c>
      <c r="O307" s="30">
        <v>62110.35</v>
      </c>
      <c r="P307" s="148">
        <f t="shared" ref="P307:P308" si="75">IF(O307=0,0,Q307/O307)</f>
        <v>0.24730451526999769</v>
      </c>
      <c r="Q307" s="33">
        <v>15360.1699999999</v>
      </c>
      <c r="R307" s="157">
        <f>IF(O307=0,0,(J307-O307)/O307)</f>
        <v>-0.14284237651212717</v>
      </c>
      <c r="S307" s="85">
        <f>L307-Q307</f>
        <v>-1415.2499999999018</v>
      </c>
      <c r="T307" s="13"/>
      <c r="U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25">
      <c r="A308" t="str">
        <f t="shared" si="71"/>
        <v>PiècesHuiles et Graisse</v>
      </c>
      <c r="B308" s="11" t="s">
        <v>98</v>
      </c>
      <c r="C308" s="86" t="s">
        <v>110</v>
      </c>
      <c r="D308" s="82">
        <v>9072.2607736356331</v>
      </c>
      <c r="E308" s="148">
        <f>IF(D308=0,0,F308/D308)</f>
        <v>0.34399999999999997</v>
      </c>
      <c r="F308" s="92">
        <v>3120.8577061306573</v>
      </c>
      <c r="G308" s="82"/>
      <c r="H308" s="148"/>
      <c r="I308" s="92"/>
      <c r="J308" s="30">
        <v>8105.07</v>
      </c>
      <c r="K308" s="148">
        <f>IF(J308&lt;=0,0,L308/J308)</f>
        <v>0.35429798878973284</v>
      </c>
      <c r="L308" s="33">
        <v>2871.6099999999997</v>
      </c>
      <c r="M308" s="157">
        <f>(+J308-D308)/D308</f>
        <v>-0.10660967511497575</v>
      </c>
      <c r="N308" s="59">
        <f>L308-F308</f>
        <v>-249.24770613065766</v>
      </c>
      <c r="O308" s="30">
        <v>9127.43</v>
      </c>
      <c r="P308" s="148">
        <f t="shared" si="75"/>
        <v>0.35837798810837224</v>
      </c>
      <c r="Q308" s="33">
        <v>3271.07</v>
      </c>
      <c r="R308" s="157">
        <f>IF(O308=0,0,(J308-O308)/O308)</f>
        <v>-0.11200962373855516</v>
      </c>
      <c r="S308" s="85">
        <f>L308-Q308</f>
        <v>-399.46000000000049</v>
      </c>
      <c r="T308" s="13"/>
      <c r="U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25">
      <c r="A309" t="str">
        <f t="shared" si="71"/>
        <v>PiècesSous-total Pièces et Acc.</v>
      </c>
      <c r="B309" s="11" t="s">
        <v>98</v>
      </c>
      <c r="C309" s="53" t="s">
        <v>111</v>
      </c>
      <c r="D309" s="195">
        <f>D304+D307+D308</f>
        <v>238489.88205227797</v>
      </c>
      <c r="E309" s="213">
        <f>IF(D309&lt;=0,0,F309/D309)</f>
        <v>0.30907437079804673</v>
      </c>
      <c r="F309" s="197">
        <f>F304+F307+F308</f>
        <v>73711.110237008194</v>
      </c>
      <c r="G309" s="198"/>
      <c r="H309" s="213"/>
      <c r="I309" s="197"/>
      <c r="J309" s="198">
        <f>J304+J307+J308</f>
        <v>210972.11000000004</v>
      </c>
      <c r="K309" s="213">
        <f>IF(J309&lt;=0,0,L309/J309)</f>
        <v>0.2946164779790087</v>
      </c>
      <c r="L309" s="197">
        <f>L304+L307+L308</f>
        <v>62155.860000000008</v>
      </c>
      <c r="M309" s="214">
        <f>(+J309-D309)/D309</f>
        <v>-0.11538339411080725</v>
      </c>
      <c r="N309" s="197">
        <f>L309-F309</f>
        <v>-11555.250237008186</v>
      </c>
      <c r="O309" s="198">
        <f>O304+O307+O308</f>
        <v>237483.64999999991</v>
      </c>
      <c r="P309" s="213">
        <f>IF(O309&lt;=0,0,Q309/O309)</f>
        <v>0.38297630173698161</v>
      </c>
      <c r="Q309" s="197">
        <f t="shared" ref="Q309" si="76">Q304+Q307+Q308</f>
        <v>90950.609999999695</v>
      </c>
      <c r="R309" s="214">
        <f>IF(O309=0,0,(J309-O309)/O309)</f>
        <v>-0.11163522204581189</v>
      </c>
      <c r="S309" s="199">
        <f>L309-Q309</f>
        <v>-28794.749999999687</v>
      </c>
      <c r="T309" s="13"/>
      <c r="U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0.25">
      <c r="A310" t="str">
        <f t="shared" si="71"/>
        <v>Pièces</v>
      </c>
      <c r="B310" s="11" t="s">
        <v>98</v>
      </c>
      <c r="C310" s="29"/>
      <c r="D310" s="13"/>
      <c r="E310" s="13"/>
      <c r="F310" s="40"/>
      <c r="G310" s="41"/>
      <c r="H310" s="13"/>
      <c r="I310" s="40"/>
      <c r="J310" s="41"/>
      <c r="K310" s="13"/>
      <c r="L310" s="40"/>
      <c r="M310" s="41"/>
      <c r="N310" s="43">
        <f>N309/F309</f>
        <v>-0.15676402376594015</v>
      </c>
      <c r="O310" s="41"/>
      <c r="P310" s="13"/>
      <c r="Q310" s="40"/>
      <c r="R310" s="41"/>
      <c r="S310" s="44">
        <f>IF(Q309=0,0,S309/Q309)</f>
        <v>-0.31659765668421336</v>
      </c>
      <c r="T310" s="13"/>
      <c r="U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0.25">
      <c r="A311" t="str">
        <f t="shared" si="71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/>
      <c r="O311" s="41"/>
      <c r="P311" s="13"/>
      <c r="Q311" s="40"/>
      <c r="R311" s="41"/>
      <c r="S311" s="44"/>
      <c r="T311" s="13"/>
      <c r="U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0.25">
      <c r="A312" t="str">
        <f t="shared" si="71"/>
        <v>PiècesAutostock</v>
      </c>
      <c r="B312" s="11" t="s">
        <v>98</v>
      </c>
      <c r="C312" s="86" t="s">
        <v>112</v>
      </c>
      <c r="D312" s="90">
        <v>0</v>
      </c>
      <c r="E312" s="217">
        <f>IF(D312=0,0,F312/D312)</f>
        <v>0</v>
      </c>
      <c r="F312" s="146">
        <v>0</v>
      </c>
      <c r="G312" s="172"/>
      <c r="H312" s="217"/>
      <c r="I312" s="146"/>
      <c r="J312" s="46">
        <v>0</v>
      </c>
      <c r="K312" s="218">
        <f>IF(J312&lt;=0,0,L312/J312)</f>
        <v>0</v>
      </c>
      <c r="L312" s="22">
        <v>0</v>
      </c>
      <c r="M312" s="218">
        <f>IF(F312=0,0,(+L312-F312)/F312)</f>
        <v>0</v>
      </c>
      <c r="N312" s="91">
        <f>L312-F312</f>
        <v>0</v>
      </c>
      <c r="O312" s="46">
        <v>0</v>
      </c>
      <c r="P312" s="218">
        <f>IF(O312=0,0,Q312/O312)</f>
        <v>0</v>
      </c>
      <c r="Q312" s="22">
        <v>0</v>
      </c>
      <c r="R312" s="218">
        <f>IF(S312=0,0,(+O312-K312)/K312)</f>
        <v>0</v>
      </c>
      <c r="S312" s="92">
        <f>L312-Q312</f>
        <v>0</v>
      </c>
      <c r="T312" s="13"/>
      <c r="U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1" thickBot="1">
      <c r="A313" t="str">
        <f t="shared" si="71"/>
        <v>Pièces</v>
      </c>
      <c r="B313" s="11" t="s">
        <v>98</v>
      </c>
      <c r="C313" s="29"/>
      <c r="D313" s="82"/>
      <c r="E313" s="148"/>
      <c r="F313" s="59"/>
      <c r="G313" s="60"/>
      <c r="H313" s="148"/>
      <c r="I313" s="59"/>
      <c r="J313" s="60"/>
      <c r="K313" s="148"/>
      <c r="L313" s="59"/>
      <c r="M313" s="157"/>
      <c r="N313" s="59"/>
      <c r="O313" s="60"/>
      <c r="P313" s="148"/>
      <c r="Q313" s="59"/>
      <c r="R313" s="157"/>
      <c r="S313" s="85"/>
      <c r="T313" s="13"/>
      <c r="U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Top="1">
      <c r="A314" t="str">
        <f t="shared" si="71"/>
        <v>PiècesTotal Dépt. Pièces</v>
      </c>
      <c r="B314" s="11" t="s">
        <v>98</v>
      </c>
      <c r="C314" s="62" t="s">
        <v>113</v>
      </c>
      <c r="D314" s="63">
        <f>D309+D312</f>
        <v>238489.88205227797</v>
      </c>
      <c r="E314" s="219">
        <f>IF(D314&lt;=0,0,F314/D314)</f>
        <v>0.30907437079804673</v>
      </c>
      <c r="F314" s="65">
        <f>F309+F312</f>
        <v>73711.110237008194</v>
      </c>
      <c r="G314" s="66"/>
      <c r="H314" s="219"/>
      <c r="I314" s="65"/>
      <c r="J314" s="66">
        <f>J309+J312</f>
        <v>210972.11000000004</v>
      </c>
      <c r="K314" s="219">
        <f>IF(J314&lt;=0,0,L314/J314)</f>
        <v>0.2946164779790087</v>
      </c>
      <c r="L314" s="65">
        <f>L309+L312</f>
        <v>62155.860000000008</v>
      </c>
      <c r="M314" s="220">
        <f>(+J314-D314)/D314</f>
        <v>-0.11538339411080725</v>
      </c>
      <c r="N314" s="221">
        <f>L314-F314</f>
        <v>-11555.250237008186</v>
      </c>
      <c r="O314" s="66">
        <f>O309+O312</f>
        <v>237483.64999999991</v>
      </c>
      <c r="P314" s="219">
        <f>IF(O314&lt;=0,0,Q314/O314)</f>
        <v>0.38297630173698161</v>
      </c>
      <c r="Q314" s="65">
        <f t="shared" ref="Q314" si="77">Q309+Q312</f>
        <v>90950.609999999695</v>
      </c>
      <c r="R314" s="220">
        <f>IF(O314=0,0,(J314-O314)/O314)</f>
        <v>-0.11163522204581189</v>
      </c>
      <c r="S314" s="222">
        <f>L314-Q314</f>
        <v>-28794.749999999687</v>
      </c>
      <c r="T314" s="13"/>
      <c r="U314" s="13"/>
      <c r="V314" s="517" t="s">
        <v>221</v>
      </c>
      <c r="W314" s="497"/>
      <c r="X314" s="490">
        <f>L314-W314</f>
        <v>62155.860000000008</v>
      </c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" thickBot="1">
      <c r="A315" t="str">
        <f t="shared" si="71"/>
        <v>Pièces</v>
      </c>
      <c r="B315" s="11" t="s">
        <v>98</v>
      </c>
      <c r="C315" s="223"/>
      <c r="D315" s="224"/>
      <c r="E315" s="225"/>
      <c r="F315" s="226"/>
      <c r="G315" s="227"/>
      <c r="H315" s="225"/>
      <c r="I315" s="226"/>
      <c r="J315" s="227"/>
      <c r="K315" s="225"/>
      <c r="L315" s="226"/>
      <c r="M315" s="228"/>
      <c r="N315" s="74">
        <f>N314/F314</f>
        <v>-0.15676402376594015</v>
      </c>
      <c r="O315" s="227"/>
      <c r="P315" s="225"/>
      <c r="Q315" s="226"/>
      <c r="R315" s="228"/>
      <c r="S315" s="75">
        <f>IF(Q314=0,0,S314/Q314)</f>
        <v>-0.31659765668421336</v>
      </c>
      <c r="T315" s="13"/>
      <c r="U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" thickTop="1">
      <c r="A316" t="str">
        <f t="shared" si="71"/>
        <v>Pièces</v>
      </c>
      <c r="B316" s="11" t="s">
        <v>98</v>
      </c>
      <c r="C316" s="53"/>
      <c r="D316" s="112"/>
      <c r="E316" s="174"/>
      <c r="F316" s="176"/>
      <c r="G316" s="175"/>
      <c r="H316" s="174"/>
      <c r="I316" s="176"/>
      <c r="J316" s="175"/>
      <c r="K316" s="174"/>
      <c r="L316" s="176"/>
      <c r="M316" s="41"/>
      <c r="N316" s="43"/>
      <c r="O316" s="175"/>
      <c r="P316" s="174"/>
      <c r="Q316" s="176"/>
      <c r="R316" s="41"/>
      <c r="S316" s="44"/>
      <c r="T316" s="13"/>
      <c r="U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0.25">
      <c r="A317" t="str">
        <f t="shared" si="71"/>
        <v>PiècesDEPENSES</v>
      </c>
      <c r="B317" s="11" t="s">
        <v>98</v>
      </c>
      <c r="C317" s="79" t="s">
        <v>29</v>
      </c>
      <c r="D317" s="13"/>
      <c r="E317" s="13"/>
      <c r="F317" s="59"/>
      <c r="G317" s="41"/>
      <c r="H317" s="13"/>
      <c r="I317" s="59"/>
      <c r="J317" s="41"/>
      <c r="K317" s="13"/>
      <c r="L317" s="40"/>
      <c r="M317" s="41"/>
      <c r="N317" s="40"/>
      <c r="O317" s="41"/>
      <c r="P317" s="13"/>
      <c r="Q317" s="40"/>
      <c r="R317" s="41"/>
      <c r="S317" s="61"/>
      <c r="T317" s="13"/>
      <c r="U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0.25">
      <c r="A318" t="str">
        <f t="shared" si="71"/>
        <v>PiècesSalaires cadres</v>
      </c>
      <c r="B318" s="11" t="s">
        <v>98</v>
      </c>
      <c r="C318" s="102" t="s">
        <v>40</v>
      </c>
      <c r="D318" s="13"/>
      <c r="E318" s="13"/>
      <c r="F318" s="30">
        <v>4325.9966696139118</v>
      </c>
      <c r="G318" s="41"/>
      <c r="H318" s="13"/>
      <c r="I318" s="30"/>
      <c r="J318" s="41"/>
      <c r="K318" s="13"/>
      <c r="L318" s="33">
        <v>4471.09</v>
      </c>
      <c r="M318" s="41"/>
      <c r="N318" s="59">
        <f t="shared" ref="N318:N348" si="78">L318-F318</f>
        <v>145.09333038608838</v>
      </c>
      <c r="O318" s="41"/>
      <c r="P318" s="13"/>
      <c r="Q318" s="33">
        <v>2434.1999999999998</v>
      </c>
      <c r="R318" s="41"/>
      <c r="S318" s="85">
        <f t="shared" ref="S318:S343" si="79">L318-Q318</f>
        <v>2036.8900000000003</v>
      </c>
      <c r="T318" s="13"/>
      <c r="U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25">
      <c r="A319" t="str">
        <f t="shared" si="71"/>
        <v>PiècesSalaires commis</v>
      </c>
      <c r="B319" s="11" t="s">
        <v>98</v>
      </c>
      <c r="C319" s="103" t="s">
        <v>41</v>
      </c>
      <c r="D319" s="81"/>
      <c r="E319" s="13"/>
      <c r="F319" s="22">
        <v>2917.7478927203065</v>
      </c>
      <c r="G319" s="83"/>
      <c r="H319" s="13"/>
      <c r="I319" s="22"/>
      <c r="J319" s="41"/>
      <c r="K319" s="13"/>
      <c r="L319" s="33">
        <v>1905.07</v>
      </c>
      <c r="M319" s="41"/>
      <c r="N319" s="59">
        <f t="shared" si="78"/>
        <v>-1012.6778927203065</v>
      </c>
      <c r="O319" s="41"/>
      <c r="P319" s="13"/>
      <c r="Q319" s="33">
        <v>2798.35</v>
      </c>
      <c r="R319" s="41"/>
      <c r="S319" s="85">
        <f t="shared" si="79"/>
        <v>-893.28</v>
      </c>
      <c r="T319" s="13"/>
      <c r="U319" s="13"/>
      <c r="V319" s="517" t="s">
        <v>265</v>
      </c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25">
      <c r="A320" t="str">
        <f t="shared" si="71"/>
        <v>PiècesSalaires autres</v>
      </c>
      <c r="B320" s="11" t="s">
        <v>98</v>
      </c>
      <c r="C320" s="102" t="s">
        <v>42</v>
      </c>
      <c r="D320" s="104"/>
      <c r="E320" s="105"/>
      <c r="F320" s="30">
        <v>15429.558697318007</v>
      </c>
      <c r="G320" s="106"/>
      <c r="H320" s="105"/>
      <c r="I320" s="30"/>
      <c r="J320" s="107"/>
      <c r="K320" s="105"/>
      <c r="L320" s="108">
        <v>13628.92</v>
      </c>
      <c r="M320" s="107"/>
      <c r="N320" s="109">
        <f t="shared" si="78"/>
        <v>-1800.638697318007</v>
      </c>
      <c r="O320" s="107"/>
      <c r="P320" s="105"/>
      <c r="Q320" s="108">
        <v>13914.05</v>
      </c>
      <c r="R320" s="107"/>
      <c r="S320" s="110">
        <f t="shared" si="79"/>
        <v>-285.1299999999992</v>
      </c>
      <c r="T320" s="13"/>
      <c r="U320" s="13"/>
      <c r="V320" s="517" t="s">
        <v>276</v>
      </c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25" hidden="1">
      <c r="A321" t="str">
        <f t="shared" si="71"/>
        <v>PiècesSalaires spécialistes</v>
      </c>
      <c r="B321" s="11" t="s">
        <v>98</v>
      </c>
      <c r="C321" s="102" t="s">
        <v>43</v>
      </c>
      <c r="D321" s="81"/>
      <c r="E321" s="13"/>
      <c r="F321" s="30">
        <v>0</v>
      </c>
      <c r="G321" s="83"/>
      <c r="H321" s="13"/>
      <c r="I321" s="30"/>
      <c r="J321" s="41"/>
      <c r="K321" s="13"/>
      <c r="L321" s="33">
        <v>0</v>
      </c>
      <c r="M321" s="41"/>
      <c r="N321" s="59">
        <f t="shared" si="78"/>
        <v>0</v>
      </c>
      <c r="O321" s="41"/>
      <c r="P321" s="13"/>
      <c r="Q321" s="33">
        <v>0</v>
      </c>
      <c r="R321" s="41"/>
      <c r="S321" s="85">
        <f t="shared" si="79"/>
        <v>0</v>
      </c>
      <c r="T321" s="13"/>
      <c r="U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25" hidden="1">
      <c r="A322" t="str">
        <f>+B322&amp;C322</f>
        <v>Pièces[...]</v>
      </c>
      <c r="B322" s="11" t="s">
        <v>98</v>
      </c>
      <c r="C322" s="229" t="s">
        <v>19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78"/>
        <v>0</v>
      </c>
      <c r="O322" s="41"/>
      <c r="P322" s="13"/>
      <c r="Q322" s="33">
        <v>0</v>
      </c>
      <c r="R322" s="41"/>
      <c r="S322" s="85">
        <f>L322-Q322</f>
        <v>0</v>
      </c>
      <c r="T322" s="13"/>
      <c r="U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25" hidden="1">
      <c r="A323" t="str">
        <f>+B323&amp;C323</f>
        <v>Pièces[...]</v>
      </c>
      <c r="B323" s="11" t="s">
        <v>98</v>
      </c>
      <c r="C323" s="229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78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25" hidden="1">
      <c r="A324" t="str">
        <f>+B324&amp;C324</f>
        <v>Pièces[...]</v>
      </c>
      <c r="B324" s="11" t="s">
        <v>98</v>
      </c>
      <c r="C324" s="229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78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25">
      <c r="A325" t="str">
        <f t="shared" ref="A325:A374" si="80">+B325&amp;C325</f>
        <v>PiècesSalaires en absences</v>
      </c>
      <c r="B325" s="11" t="s">
        <v>98</v>
      </c>
      <c r="C325" s="103" t="s">
        <v>44</v>
      </c>
      <c r="D325" s="81"/>
      <c r="E325" s="13"/>
      <c r="F325" s="22">
        <v>4867.7010138521946</v>
      </c>
      <c r="G325" s="83"/>
      <c r="H325" s="13"/>
      <c r="I325" s="22"/>
      <c r="J325" s="41"/>
      <c r="K325" s="13"/>
      <c r="L325" s="33">
        <v>3178.45</v>
      </c>
      <c r="M325" s="41"/>
      <c r="N325" s="59">
        <f t="shared" si="78"/>
        <v>-1689.2510138521948</v>
      </c>
      <c r="O325" s="41"/>
      <c r="P325" s="13"/>
      <c r="Q325" s="33">
        <v>1801.99</v>
      </c>
      <c r="R325" s="41"/>
      <c r="S325" s="85">
        <f t="shared" ref="S325:S350" si="81">L325-Q325</f>
        <v>1376.4599999999998</v>
      </c>
      <c r="T325" s="13"/>
      <c r="U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25">
      <c r="A326" t="str">
        <f t="shared" si="80"/>
        <v>PiècesDéduction à la source</v>
      </c>
      <c r="B326" s="11" t="s">
        <v>98</v>
      </c>
      <c r="C326" s="102" t="s">
        <v>45</v>
      </c>
      <c r="D326" s="104"/>
      <c r="E326" s="105"/>
      <c r="F326" s="30">
        <v>2920.5159542351903</v>
      </c>
      <c r="G326" s="106"/>
      <c r="H326" s="105"/>
      <c r="I326" s="30"/>
      <c r="J326" s="107"/>
      <c r="K326" s="105"/>
      <c r="L326" s="108">
        <v>3529.86</v>
      </c>
      <c r="M326" s="107"/>
      <c r="N326" s="109">
        <f t="shared" si="78"/>
        <v>609.34404576480983</v>
      </c>
      <c r="O326" s="107"/>
      <c r="P326" s="105"/>
      <c r="Q326" s="108">
        <v>3058.54</v>
      </c>
      <c r="R326" s="107"/>
      <c r="S326" s="110">
        <f t="shared" si="81"/>
        <v>471.32000000000016</v>
      </c>
      <c r="T326" s="13"/>
      <c r="U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25">
      <c r="A327" t="str">
        <f t="shared" si="80"/>
        <v>PiècesBénéfices marginaux</v>
      </c>
      <c r="B327" s="11" t="s">
        <v>98</v>
      </c>
      <c r="C327" s="102" t="s">
        <v>46</v>
      </c>
      <c r="D327" s="81"/>
      <c r="E327" s="13"/>
      <c r="F327" s="30">
        <v>1793.299270144415</v>
      </c>
      <c r="G327" s="83"/>
      <c r="H327" s="13"/>
      <c r="I327" s="30"/>
      <c r="J327" s="41"/>
      <c r="K327" s="13"/>
      <c r="L327" s="33">
        <v>2290.9499999999998</v>
      </c>
      <c r="M327" s="41"/>
      <c r="N327" s="59">
        <f t="shared" si="78"/>
        <v>497.65072985558481</v>
      </c>
      <c r="O327" s="41"/>
      <c r="P327" s="13"/>
      <c r="Q327" s="33">
        <v>1676.85</v>
      </c>
      <c r="R327" s="41"/>
      <c r="S327" s="85">
        <f t="shared" si="81"/>
        <v>614.09999999999991</v>
      </c>
      <c r="T327" s="13"/>
      <c r="U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25">
      <c r="A328" t="str">
        <f t="shared" si="80"/>
        <v>PiècesCsst</v>
      </c>
      <c r="B328" s="11" t="s">
        <v>98</v>
      </c>
      <c r="C328" s="102" t="s">
        <v>47</v>
      </c>
      <c r="D328" s="81"/>
      <c r="E328" s="13"/>
      <c r="F328" s="30">
        <v>384.27841503094606</v>
      </c>
      <c r="G328" s="83"/>
      <c r="H328" s="13"/>
      <c r="I328" s="30"/>
      <c r="J328" s="41"/>
      <c r="K328" s="13"/>
      <c r="L328" s="33">
        <v>742.08</v>
      </c>
      <c r="M328" s="467"/>
      <c r="N328" s="146">
        <f t="shared" si="78"/>
        <v>357.80158496905398</v>
      </c>
      <c r="O328" s="41"/>
      <c r="P328" s="13"/>
      <c r="Q328" s="33">
        <v>215.11</v>
      </c>
      <c r="R328" s="41"/>
      <c r="S328" s="85">
        <f t="shared" si="81"/>
        <v>526.97</v>
      </c>
      <c r="T328" s="13"/>
      <c r="U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25" hidden="1">
      <c r="A329" t="str">
        <f t="shared" si="80"/>
        <v>Pièces[...]</v>
      </c>
      <c r="B329" s="11" t="s">
        <v>98</v>
      </c>
      <c r="C329" s="29" t="s">
        <v>19</v>
      </c>
      <c r="D329" s="87"/>
      <c r="E329" s="111"/>
      <c r="F329" s="30">
        <v>0</v>
      </c>
      <c r="G329" s="89"/>
      <c r="H329" s="111"/>
      <c r="I329" s="30"/>
      <c r="J329" s="23"/>
      <c r="K329" s="111"/>
      <c r="L329" s="33">
        <v>0</v>
      </c>
      <c r="M329" s="23"/>
      <c r="N329" s="91">
        <f t="shared" si="78"/>
        <v>0</v>
      </c>
      <c r="O329" s="23"/>
      <c r="P329" s="111"/>
      <c r="Q329" s="33">
        <v>0</v>
      </c>
      <c r="R329" s="23"/>
      <c r="S329" s="92">
        <f t="shared" si="81"/>
        <v>0</v>
      </c>
      <c r="T329" s="13"/>
      <c r="U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25">
      <c r="A330" t="str">
        <f t="shared" si="80"/>
        <v>PiècesTOTAL PERSONNEL</v>
      </c>
      <c r="B330" s="11" t="s">
        <v>98</v>
      </c>
      <c r="C330" s="93" t="s">
        <v>48</v>
      </c>
      <c r="D330" s="94" t="s">
        <v>38</v>
      </c>
      <c r="E330" s="95">
        <f>F330/F$314</f>
        <v>0.4427975349708928</v>
      </c>
      <c r="F330" s="96">
        <f>+SUM(F318:F329)</f>
        <v>32639.097912914971</v>
      </c>
      <c r="G330" s="97"/>
      <c r="H330" s="95"/>
      <c r="I330" s="96"/>
      <c r="J330" s="97" t="s">
        <v>38</v>
      </c>
      <c r="K330" s="95">
        <f>L330/L$314</f>
        <v>0.47857788469180546</v>
      </c>
      <c r="L330" s="96">
        <f>+SUM(L318:L329)</f>
        <v>29746.420000000006</v>
      </c>
      <c r="M330" s="147"/>
      <c r="N330" s="113">
        <f t="shared" si="78"/>
        <v>-2892.6779129149654</v>
      </c>
      <c r="O330" s="97" t="s">
        <v>38</v>
      </c>
      <c r="P330" s="95">
        <f>Q330/Q$314</f>
        <v>0.2847599372890417</v>
      </c>
      <c r="Q330" s="96">
        <f>+SUM(Q318:Q329)</f>
        <v>25899.09</v>
      </c>
      <c r="R330" s="147"/>
      <c r="S330" s="114">
        <f t="shared" si="81"/>
        <v>3847.3300000000054</v>
      </c>
      <c r="T330" s="13"/>
      <c r="U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0.25">
      <c r="A331" t="str">
        <f t="shared" si="80"/>
        <v>PiècesPublicité 2</v>
      </c>
      <c r="B331" s="11" t="s">
        <v>98</v>
      </c>
      <c r="C331" s="211" t="s">
        <v>49</v>
      </c>
      <c r="D331" s="81"/>
      <c r="E331" s="13"/>
      <c r="F331" s="30">
        <v>3522.344904643483</v>
      </c>
      <c r="G331" s="83"/>
      <c r="H331" s="13"/>
      <c r="I331" s="30"/>
      <c r="J331" s="41"/>
      <c r="K331" s="13"/>
      <c r="L331" s="33">
        <v>813.13</v>
      </c>
      <c r="M331" s="41"/>
      <c r="N331" s="59">
        <f t="shared" si="78"/>
        <v>-2709.2149046434829</v>
      </c>
      <c r="O331" s="41"/>
      <c r="P331" s="13"/>
      <c r="Q331" s="33">
        <v>3603.47</v>
      </c>
      <c r="R331" s="41"/>
      <c r="S331" s="85">
        <f t="shared" si="81"/>
        <v>-2790.3399999999997</v>
      </c>
      <c r="T331" s="13"/>
      <c r="U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25">
      <c r="A332" t="str">
        <f t="shared" si="80"/>
        <v>PiècesService gratuit 2</v>
      </c>
      <c r="B332" s="11" t="s">
        <v>98</v>
      </c>
      <c r="C332" s="102" t="s">
        <v>50</v>
      </c>
      <c r="D332" s="81"/>
      <c r="E332" s="13"/>
      <c r="F332" s="30">
        <v>575</v>
      </c>
      <c r="G332" s="83"/>
      <c r="H332" s="13"/>
      <c r="I332" s="30"/>
      <c r="J332" s="41"/>
      <c r="K332" s="13"/>
      <c r="L332" s="30">
        <v>0</v>
      </c>
      <c r="M332" s="41"/>
      <c r="N332" s="59">
        <f t="shared" si="78"/>
        <v>-575</v>
      </c>
      <c r="O332" s="41"/>
      <c r="P332" s="13"/>
      <c r="Q332" s="33">
        <v>-31.35</v>
      </c>
      <c r="R332" s="41"/>
      <c r="S332" s="85">
        <f t="shared" si="81"/>
        <v>31.35</v>
      </c>
      <c r="T332" s="13"/>
      <c r="U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25">
      <c r="A333" t="str">
        <f t="shared" si="80"/>
        <v>PiècesFrais véhicules de cie</v>
      </c>
      <c r="B333" s="11" t="s">
        <v>98</v>
      </c>
      <c r="C333" s="103" t="s">
        <v>51</v>
      </c>
      <c r="D333" s="87"/>
      <c r="E333" s="111"/>
      <c r="F333" s="22">
        <v>3453.9333333333334</v>
      </c>
      <c r="G333" s="89"/>
      <c r="H333" s="111"/>
      <c r="I333" s="22"/>
      <c r="J333" s="23"/>
      <c r="K333" s="111"/>
      <c r="L333" s="22">
        <v>2142.3599999999997</v>
      </c>
      <c r="M333" s="23"/>
      <c r="N333" s="91">
        <f t="shared" si="78"/>
        <v>-1311.5733333333337</v>
      </c>
      <c r="O333" s="23"/>
      <c r="P333" s="111"/>
      <c r="Q333" s="33">
        <v>6238.37</v>
      </c>
      <c r="R333" s="23"/>
      <c r="S333" s="92">
        <f t="shared" si="81"/>
        <v>-4096.01</v>
      </c>
      <c r="T333" s="13"/>
      <c r="U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25">
      <c r="A334" t="str">
        <f t="shared" si="80"/>
        <v>PiècesInformatique</v>
      </c>
      <c r="B334" s="11" t="s">
        <v>98</v>
      </c>
      <c r="C334" s="102" t="s">
        <v>52</v>
      </c>
      <c r="D334" s="81"/>
      <c r="E334" s="13"/>
      <c r="F334" s="30">
        <v>1826.8000000000002</v>
      </c>
      <c r="G334" s="83"/>
      <c r="H334" s="13"/>
      <c r="I334" s="30"/>
      <c r="J334" s="41"/>
      <c r="K334" s="13"/>
      <c r="L334" s="108">
        <v>1887.1</v>
      </c>
      <c r="M334" s="41"/>
      <c r="N334" s="59">
        <f t="shared" si="78"/>
        <v>60.299999999999727</v>
      </c>
      <c r="O334" s="41"/>
      <c r="P334" s="13"/>
      <c r="Q334" s="108">
        <v>1950.01</v>
      </c>
      <c r="R334" s="41"/>
      <c r="S334" s="85">
        <f t="shared" si="81"/>
        <v>-62.910000000000082</v>
      </c>
      <c r="T334" s="13"/>
      <c r="U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25">
      <c r="A335" t="str">
        <f t="shared" si="80"/>
        <v>PiècesFrais de déplacement</v>
      </c>
      <c r="B335" s="11" t="s">
        <v>98</v>
      </c>
      <c r="C335" s="102" t="s">
        <v>53</v>
      </c>
      <c r="D335" s="81"/>
      <c r="E335" s="13"/>
      <c r="F335" s="30">
        <v>366.66666666666669</v>
      </c>
      <c r="G335" s="83"/>
      <c r="H335" s="13"/>
      <c r="I335" s="30"/>
      <c r="J335" s="41"/>
      <c r="K335" s="13"/>
      <c r="L335" s="33">
        <v>101.82</v>
      </c>
      <c r="M335" s="41"/>
      <c r="N335" s="59">
        <f t="shared" si="78"/>
        <v>-264.84666666666669</v>
      </c>
      <c r="O335" s="41"/>
      <c r="P335" s="13"/>
      <c r="Q335" s="33">
        <v>-6.79</v>
      </c>
      <c r="R335" s="41"/>
      <c r="S335" s="85">
        <f t="shared" si="81"/>
        <v>108.61</v>
      </c>
      <c r="T335" s="13"/>
      <c r="U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25">
      <c r="A336" t="str">
        <f t="shared" si="80"/>
        <v>PiècesServices extérieurs</v>
      </c>
      <c r="B336" s="11" t="s">
        <v>98</v>
      </c>
      <c r="C336" s="230" t="s">
        <v>54</v>
      </c>
      <c r="D336" s="87"/>
      <c r="E336" s="111"/>
      <c r="F336" s="22">
        <v>2023.2</v>
      </c>
      <c r="G336" s="89"/>
      <c r="H336" s="111"/>
      <c r="I336" s="22"/>
      <c r="J336" s="23"/>
      <c r="K336" s="111"/>
      <c r="L336" s="48">
        <v>2208.42</v>
      </c>
      <c r="M336" s="23"/>
      <c r="N336" s="91">
        <f t="shared" si="78"/>
        <v>185.22000000000003</v>
      </c>
      <c r="O336" s="23"/>
      <c r="P336" s="111"/>
      <c r="Q336" s="48">
        <v>2227.2600000000002</v>
      </c>
      <c r="R336" s="23"/>
      <c r="S336" s="92">
        <f t="shared" si="81"/>
        <v>-18.840000000000146</v>
      </c>
      <c r="T336" s="13"/>
      <c r="U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25" hidden="1">
      <c r="A337" t="str">
        <f>+B337&amp;C337</f>
        <v>PiècesFournitures d'atelier</v>
      </c>
      <c r="B337" s="11" t="s">
        <v>98</v>
      </c>
      <c r="C337" s="102" t="s">
        <v>93</v>
      </c>
      <c r="D337" s="81"/>
      <c r="E337" s="13"/>
      <c r="F337" s="30"/>
      <c r="G337" s="83"/>
      <c r="H337" s="13"/>
      <c r="I337" s="30"/>
      <c r="J337" s="41"/>
      <c r="K337" s="13"/>
      <c r="L337" s="33">
        <v>0</v>
      </c>
      <c r="M337" s="41"/>
      <c r="N337" s="59">
        <f t="shared" si="78"/>
        <v>0</v>
      </c>
      <c r="O337" s="41"/>
      <c r="P337" s="13"/>
      <c r="Q337" s="33">
        <v>0</v>
      </c>
      <c r="R337" s="41"/>
      <c r="S337" s="85">
        <f>L337-Q337</f>
        <v>0</v>
      </c>
      <c r="T337" s="13"/>
      <c r="U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25">
      <c r="A338" t="str">
        <f t="shared" ref="A338:A387" si="82">+B338&amp;C338</f>
        <v>PiècesFournitures autres</v>
      </c>
      <c r="B338" s="11" t="s">
        <v>98</v>
      </c>
      <c r="C338" s="102" t="s">
        <v>55</v>
      </c>
      <c r="D338" s="81"/>
      <c r="E338" s="13"/>
      <c r="F338" s="30">
        <v>10</v>
      </c>
      <c r="G338" s="83"/>
      <c r="H338" s="13"/>
      <c r="I338" s="30"/>
      <c r="J338" s="41"/>
      <c r="K338" s="13"/>
      <c r="L338" s="33">
        <v>5.82</v>
      </c>
      <c r="M338" s="41"/>
      <c r="N338" s="59">
        <f t="shared" si="78"/>
        <v>-4.18</v>
      </c>
      <c r="O338" s="41"/>
      <c r="P338" s="13"/>
      <c r="Q338" s="33">
        <v>216.2</v>
      </c>
      <c r="R338" s="41"/>
      <c r="S338" s="85">
        <f t="shared" ref="S338:S363" si="83">L338-Q338</f>
        <v>-210.38</v>
      </c>
      <c r="T338" s="13"/>
      <c r="U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25">
      <c r="A339" t="str">
        <f t="shared" si="82"/>
        <v>PiècesUniformes</v>
      </c>
      <c r="B339" s="11" t="s">
        <v>98</v>
      </c>
      <c r="C339" s="102" t="s">
        <v>56</v>
      </c>
      <c r="D339" s="81"/>
      <c r="E339" s="13"/>
      <c r="F339" s="30">
        <v>20</v>
      </c>
      <c r="G339" s="83"/>
      <c r="H339" s="13"/>
      <c r="I339" s="30"/>
      <c r="J339" s="41"/>
      <c r="K339" s="13"/>
      <c r="L339" s="33">
        <v>0</v>
      </c>
      <c r="M339" s="41"/>
      <c r="N339" s="59">
        <f t="shared" si="78"/>
        <v>-20</v>
      </c>
      <c r="O339" s="41"/>
      <c r="P339" s="13"/>
      <c r="Q339" s="33">
        <v>0</v>
      </c>
      <c r="R339" s="41"/>
      <c r="S339" s="85">
        <f t="shared" si="83"/>
        <v>0</v>
      </c>
      <c r="T339" s="13"/>
      <c r="U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25">
      <c r="A340" t="str">
        <f t="shared" si="82"/>
        <v>PiècesPapeterie</v>
      </c>
      <c r="B340" s="11" t="s">
        <v>98</v>
      </c>
      <c r="C340" s="102" t="s">
        <v>57</v>
      </c>
      <c r="D340" s="81"/>
      <c r="E340" s="13"/>
      <c r="F340" s="30">
        <v>315</v>
      </c>
      <c r="G340" s="83"/>
      <c r="H340" s="13"/>
      <c r="I340" s="30"/>
      <c r="J340" s="41"/>
      <c r="K340" s="13"/>
      <c r="L340" s="32">
        <v>115.12</v>
      </c>
      <c r="M340" s="41"/>
      <c r="N340" s="59">
        <f t="shared" si="78"/>
        <v>-199.88</v>
      </c>
      <c r="O340" s="41"/>
      <c r="P340" s="13"/>
      <c r="Q340" s="32">
        <v>214.82</v>
      </c>
      <c r="R340" s="41"/>
      <c r="S340" s="85">
        <f t="shared" si="83"/>
        <v>-99.699999999999989</v>
      </c>
      <c r="T340" s="13"/>
      <c r="U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25">
      <c r="A341" t="str">
        <f t="shared" si="82"/>
        <v>PiècesTéléphone</v>
      </c>
      <c r="B341" s="11" t="s">
        <v>98</v>
      </c>
      <c r="C341" s="102" t="s">
        <v>58</v>
      </c>
      <c r="D341" s="81"/>
      <c r="E341" s="13"/>
      <c r="F341" s="30">
        <v>118.4</v>
      </c>
      <c r="G341" s="83"/>
      <c r="H341" s="13"/>
      <c r="I341" s="30"/>
      <c r="J341" s="41"/>
      <c r="K341" s="13"/>
      <c r="L341" s="33">
        <v>180.43</v>
      </c>
      <c r="M341" s="41"/>
      <c r="N341" s="59">
        <f t="shared" si="78"/>
        <v>62.03</v>
      </c>
      <c r="O341" s="41"/>
      <c r="P341" s="13"/>
      <c r="Q341" s="33">
        <v>102.04</v>
      </c>
      <c r="R341" s="41"/>
      <c r="S341" s="85">
        <f t="shared" si="83"/>
        <v>78.39</v>
      </c>
      <c r="T341" s="13"/>
      <c r="U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25">
      <c r="A342" t="str">
        <f t="shared" si="82"/>
        <v>PiècesFrais postaux</v>
      </c>
      <c r="B342" s="11" t="s">
        <v>98</v>
      </c>
      <c r="C342" s="102" t="s">
        <v>59</v>
      </c>
      <c r="D342" s="81"/>
      <c r="E342" s="13"/>
      <c r="F342" s="30">
        <v>590</v>
      </c>
      <c r="G342" s="83"/>
      <c r="H342" s="13"/>
      <c r="I342" s="30"/>
      <c r="J342" s="41"/>
      <c r="K342" s="13"/>
      <c r="L342" s="33">
        <v>479.33</v>
      </c>
      <c r="M342" s="41"/>
      <c r="N342" s="59">
        <f t="shared" si="78"/>
        <v>-110.67000000000002</v>
      </c>
      <c r="O342" s="41"/>
      <c r="P342" s="13"/>
      <c r="Q342" s="33">
        <v>513.61</v>
      </c>
      <c r="R342" s="41"/>
      <c r="S342" s="85">
        <f t="shared" si="83"/>
        <v>-34.28000000000003</v>
      </c>
      <c r="T342" s="13"/>
      <c r="U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25">
      <c r="A343" t="str">
        <f t="shared" si="82"/>
        <v>PiècesDivers</v>
      </c>
      <c r="B343" s="11" t="s">
        <v>98</v>
      </c>
      <c r="C343" s="102" t="s">
        <v>60</v>
      </c>
      <c r="D343" s="81"/>
      <c r="E343" s="13"/>
      <c r="F343" s="30">
        <v>348.20000000000005</v>
      </c>
      <c r="G343" s="83"/>
      <c r="H343" s="13"/>
      <c r="I343" s="30"/>
      <c r="J343" s="41"/>
      <c r="K343" s="13"/>
      <c r="L343" s="33">
        <v>0</v>
      </c>
      <c r="M343" s="41"/>
      <c r="N343" s="59">
        <f t="shared" si="78"/>
        <v>-348.20000000000005</v>
      </c>
      <c r="O343" s="41"/>
      <c r="P343" s="13"/>
      <c r="Q343" s="33">
        <v>477.94</v>
      </c>
      <c r="R343" s="41"/>
      <c r="S343" s="85">
        <f t="shared" si="83"/>
        <v>-477.94</v>
      </c>
      <c r="T343" s="13"/>
      <c r="U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25">
      <c r="A344" t="str">
        <f>+B344&amp;C344</f>
        <v>PiècesFormation</v>
      </c>
      <c r="B344" s="11" t="s">
        <v>98</v>
      </c>
      <c r="C344" s="102" t="s">
        <v>61</v>
      </c>
      <c r="D344" s="81"/>
      <c r="E344" s="13"/>
      <c r="F344" s="30">
        <v>256.41489333333328</v>
      </c>
      <c r="G344" s="83"/>
      <c r="H344" s="13"/>
      <c r="I344" s="30"/>
      <c r="J344" s="41"/>
      <c r="K344" s="13"/>
      <c r="L344" s="59">
        <v>411.35</v>
      </c>
      <c r="M344" s="41"/>
      <c r="N344" s="59">
        <f t="shared" si="78"/>
        <v>154.93510666666674</v>
      </c>
      <c r="O344" s="41"/>
      <c r="P344" s="13"/>
      <c r="Q344" s="33">
        <v>147.44999999999999</v>
      </c>
      <c r="R344" s="41"/>
      <c r="S344" s="85">
        <f>L344-Q344</f>
        <v>263.90000000000003</v>
      </c>
      <c r="T344" s="13"/>
      <c r="U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25">
      <c r="A345" t="str">
        <f>+B345&amp;C345</f>
        <v>PiècesFrais bancaires</v>
      </c>
      <c r="B345" s="11" t="s">
        <v>98</v>
      </c>
      <c r="C345" s="102" t="s">
        <v>62</v>
      </c>
      <c r="D345" s="81"/>
      <c r="E345" s="13"/>
      <c r="F345" s="30">
        <v>952.25174482513671</v>
      </c>
      <c r="G345" s="83"/>
      <c r="H345" s="13"/>
      <c r="I345" s="30"/>
      <c r="J345" s="41"/>
      <c r="K345" s="13"/>
      <c r="L345" s="32">
        <v>1023</v>
      </c>
      <c r="M345" s="41"/>
      <c r="N345" s="59">
        <f t="shared" si="78"/>
        <v>70.748255174863289</v>
      </c>
      <c r="O345" s="41"/>
      <c r="P345" s="13"/>
      <c r="Q345" s="33">
        <v>1136.27</v>
      </c>
      <c r="R345" s="41"/>
      <c r="S345" s="85">
        <f>L345-Q345</f>
        <v>-113.26999999999998</v>
      </c>
      <c r="T345" s="13"/>
      <c r="U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25" hidden="1">
      <c r="A346" t="str">
        <f>+B346&amp;C346</f>
        <v>Pièces[...]</v>
      </c>
      <c r="B346" s="11" t="s">
        <v>98</v>
      </c>
      <c r="C346" s="102" t="s">
        <v>19</v>
      </c>
      <c r="D346" s="81"/>
      <c r="E346" s="13"/>
      <c r="F346" s="30">
        <v>0</v>
      </c>
      <c r="G346" s="83"/>
      <c r="H346" s="13"/>
      <c r="I346" s="30"/>
      <c r="J346" s="41"/>
      <c r="K346" s="13"/>
      <c r="L346" s="33">
        <v>0</v>
      </c>
      <c r="M346" s="41"/>
      <c r="N346" s="59">
        <f t="shared" si="78"/>
        <v>0</v>
      </c>
      <c r="O346" s="41"/>
      <c r="P346" s="13"/>
      <c r="Q346" s="33">
        <v>0</v>
      </c>
      <c r="R346" s="41"/>
      <c r="S346" s="85">
        <f>L346-Q346</f>
        <v>0</v>
      </c>
      <c r="T346" s="13"/>
      <c r="U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25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78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25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78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25">
      <c r="B349" s="7"/>
      <c r="C349" s="93" t="s">
        <v>63</v>
      </c>
      <c r="D349" s="94" t="s">
        <v>38</v>
      </c>
      <c r="E349" s="95">
        <f>F349/F$314</f>
        <v>0.19506166026492805</v>
      </c>
      <c r="F349" s="96">
        <f>+SUM(F331:F348)</f>
        <v>14378.211542801953</v>
      </c>
      <c r="G349" s="97"/>
      <c r="H349" s="95"/>
      <c r="I349" s="96"/>
      <c r="J349" s="97" t="s">
        <v>38</v>
      </c>
      <c r="K349" s="95">
        <f>L349/L$314</f>
        <v>0.15071595823788775</v>
      </c>
      <c r="L349" s="96">
        <f>+SUM(L331:L348)</f>
        <v>9367.8799999999992</v>
      </c>
      <c r="M349" s="100"/>
      <c r="N349" s="96">
        <f>+SUM(N331:N348)</f>
        <v>-5010.3315428019532</v>
      </c>
      <c r="O349" s="97" t="s">
        <v>38</v>
      </c>
      <c r="P349" s="95">
        <f>Q349/Q$314</f>
        <v>0.18459799225095971</v>
      </c>
      <c r="Q349" s="96">
        <f>+SUM(Q331:Q348)</f>
        <v>16789.300000000003</v>
      </c>
      <c r="R349" s="100"/>
      <c r="S349" s="101">
        <f>+SUM(S331:S348)</f>
        <v>-7421.42</v>
      </c>
      <c r="T349" s="13"/>
      <c r="U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0.25">
      <c r="B350" s="7"/>
      <c r="C350" s="86"/>
      <c r="D350" s="87"/>
      <c r="E350" s="111"/>
      <c r="F350" s="59"/>
      <c r="G350" s="89"/>
      <c r="H350" s="111"/>
      <c r="I350" s="59"/>
      <c r="J350" s="23"/>
      <c r="K350" s="111"/>
      <c r="L350" s="91"/>
      <c r="M350" s="23"/>
      <c r="N350" s="91"/>
      <c r="O350" s="23"/>
      <c r="P350" s="111"/>
      <c r="Q350" s="91"/>
      <c r="R350" s="23"/>
      <c r="S350" s="92"/>
      <c r="T350" s="13"/>
      <c r="U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25">
      <c r="B351" s="7"/>
      <c r="C351" s="93" t="s">
        <v>64</v>
      </c>
      <c r="D351" s="94" t="s">
        <v>38</v>
      </c>
      <c r="E351" s="95">
        <f>F351/F$314</f>
        <v>0.63785919523582091</v>
      </c>
      <c r="F351" s="96">
        <f>F330+F349</f>
        <v>47017.309455716924</v>
      </c>
      <c r="G351" s="97"/>
      <c r="H351" s="95"/>
      <c r="I351" s="96"/>
      <c r="J351" s="97" t="s">
        <v>38</v>
      </c>
      <c r="K351" s="95">
        <f>L351/L$314</f>
        <v>0.62929384292969315</v>
      </c>
      <c r="L351" s="96">
        <f>L330+L349</f>
        <v>39114.300000000003</v>
      </c>
      <c r="M351" s="100"/>
      <c r="N351" s="113">
        <f>L351-F351</f>
        <v>-7903.0094557169214</v>
      </c>
      <c r="O351" s="97" t="s">
        <v>38</v>
      </c>
      <c r="P351" s="95">
        <f>Q351/Q$314</f>
        <v>0.46935792954000133</v>
      </c>
      <c r="Q351" s="96">
        <f>Q330+Q349</f>
        <v>42688.39</v>
      </c>
      <c r="R351" s="100"/>
      <c r="S351" s="114">
        <f>L351-Q351</f>
        <v>-3574.0899999999965</v>
      </c>
      <c r="T351" s="13"/>
      <c r="U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0.25">
      <c r="B352" s="7"/>
      <c r="C352" s="29"/>
      <c r="D352" s="81"/>
      <c r="E352" s="13"/>
      <c r="F352" s="59"/>
      <c r="G352" s="83"/>
      <c r="H352" s="13"/>
      <c r="I352" s="59"/>
      <c r="J352" s="41"/>
      <c r="K352" s="13"/>
      <c r="L352" s="59"/>
      <c r="M352" s="41"/>
      <c r="N352" s="59"/>
      <c r="O352" s="41"/>
      <c r="P352" s="13"/>
      <c r="Q352" s="59"/>
      <c r="R352" s="41"/>
      <c r="S352" s="85"/>
      <c r="T352" s="13"/>
      <c r="U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1" thickBot="1">
      <c r="B353" s="7"/>
      <c r="C353" s="124" t="s">
        <v>69</v>
      </c>
      <c r="D353" s="152"/>
      <c r="E353" s="125"/>
      <c r="F353" s="127">
        <f>F314-F351</f>
        <v>26693.800781291269</v>
      </c>
      <c r="G353" s="153"/>
      <c r="H353" s="125"/>
      <c r="I353" s="127"/>
      <c r="J353" s="154"/>
      <c r="K353" s="126"/>
      <c r="L353" s="127">
        <f>L314-L351</f>
        <v>23041.560000000005</v>
      </c>
      <c r="M353" s="154"/>
      <c r="N353" s="127">
        <f>L353-F353</f>
        <v>-3652.2407812912643</v>
      </c>
      <c r="O353" s="154"/>
      <c r="P353" s="126"/>
      <c r="Q353" s="127">
        <f>Q314-Q351</f>
        <v>48262.219999999696</v>
      </c>
      <c r="R353" s="154"/>
      <c r="S353" s="129">
        <f>L353-Q353</f>
        <v>-25220.659999999691</v>
      </c>
      <c r="T353" s="13"/>
      <c r="U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" thickTop="1">
      <c r="B354" s="7"/>
      <c r="C354" s="76"/>
      <c r="D354" s="81"/>
      <c r="E354" s="13"/>
      <c r="F354" s="112"/>
      <c r="G354" s="81"/>
      <c r="H354" s="13"/>
      <c r="I354" s="112"/>
      <c r="J354" s="76"/>
      <c r="K354" s="76"/>
      <c r="L354" s="112"/>
      <c r="M354" s="76"/>
      <c r="N354" s="112"/>
      <c r="O354" s="76"/>
      <c r="P354" s="76"/>
      <c r="Q354" s="112"/>
      <c r="R354" s="76"/>
      <c r="S354" s="112"/>
      <c r="T354" s="13"/>
      <c r="U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0.25" hidden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35.25" hidden="1">
      <c r="B356" s="7"/>
      <c r="C356" s="6" t="str">
        <f>+C291</f>
        <v>BMW Sherbrooke</v>
      </c>
      <c r="D356" s="2"/>
      <c r="E356" s="2"/>
      <c r="F356" s="2"/>
      <c r="G356" s="2"/>
      <c r="H356" s="1"/>
      <c r="I356" s="1"/>
      <c r="J356" s="1"/>
      <c r="K356" s="3" t="s">
        <v>114</v>
      </c>
      <c r="L356" s="2"/>
      <c r="M356" s="2"/>
      <c r="N356" s="1"/>
      <c r="O356" s="1"/>
      <c r="P356" s="2"/>
      <c r="Q356" s="1"/>
      <c r="R356" s="2"/>
      <c r="S356" s="5" t="str">
        <f>$S$1</f>
        <v>Réalisé, Décembre 2025</v>
      </c>
      <c r="T356" s="10"/>
      <c r="U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idden="1">
      <c r="B357" s="7"/>
      <c r="C357" s="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21" hidden="1" thickTop="1">
      <c r="B358" s="7"/>
      <c r="C358" s="12"/>
      <c r="D358" s="508" t="s">
        <v>5</v>
      </c>
      <c r="E358" s="509"/>
      <c r="F358" s="510"/>
      <c r="G358" s="511"/>
      <c r="H358" s="509"/>
      <c r="I358" s="510"/>
      <c r="J358" s="511" t="s">
        <v>7</v>
      </c>
      <c r="K358" s="509"/>
      <c r="L358" s="510"/>
      <c r="M358" s="511"/>
      <c r="N358" s="510"/>
      <c r="O358" s="508" t="s">
        <v>8</v>
      </c>
      <c r="P358" s="509"/>
      <c r="Q358" s="510"/>
      <c r="R358" s="511" t="s">
        <v>9</v>
      </c>
      <c r="S358" s="512"/>
      <c r="T358" s="10"/>
      <c r="U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" hidden="1" thickBot="1">
      <c r="A359" t="str">
        <f t="shared" ref="A359:A394" si="84">+B359&amp;C359</f>
        <v>Boutique</v>
      </c>
      <c r="B359" s="11" t="s">
        <v>114</v>
      </c>
      <c r="C359" s="29"/>
      <c r="D359" s="231" t="s">
        <v>79</v>
      </c>
      <c r="E359" s="231" t="s">
        <v>99</v>
      </c>
      <c r="F359" s="232" t="s">
        <v>12</v>
      </c>
      <c r="G359" s="233"/>
      <c r="H359" s="231"/>
      <c r="I359" s="232"/>
      <c r="J359" s="135" t="s">
        <v>79</v>
      </c>
      <c r="K359" s="80" t="s">
        <v>99</v>
      </c>
      <c r="L359" s="134" t="s">
        <v>12</v>
      </c>
      <c r="M359" s="135"/>
      <c r="N359" s="134"/>
      <c r="O359" s="135" t="s">
        <v>79</v>
      </c>
      <c r="P359" s="80" t="s">
        <v>99</v>
      </c>
      <c r="Q359" s="134" t="s">
        <v>12</v>
      </c>
      <c r="R359" s="135" t="s">
        <v>80</v>
      </c>
      <c r="S359" s="136" t="s">
        <v>12</v>
      </c>
      <c r="T359" s="10"/>
      <c r="U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1" hidden="1" thickTop="1">
      <c r="A360" t="str">
        <f t="shared" si="84"/>
        <v>BoutiqueBoutique</v>
      </c>
      <c r="B360" s="11" t="s">
        <v>114</v>
      </c>
      <c r="C360" s="62" t="s">
        <v>114</v>
      </c>
      <c r="D360" s="234">
        <v>0</v>
      </c>
      <c r="E360" s="235">
        <f>IFERROR(F360/D360,0)</f>
        <v>0</v>
      </c>
      <c r="F360" s="236">
        <v>0</v>
      </c>
      <c r="G360" s="234"/>
      <c r="H360" s="235"/>
      <c r="I360" s="234"/>
      <c r="J360" s="237">
        <v>0</v>
      </c>
      <c r="K360" s="219">
        <f>IF(J360&lt;=0,0,L360/J360)</f>
        <v>0</v>
      </c>
      <c r="L360" s="238">
        <v>0</v>
      </c>
      <c r="M360" s="220"/>
      <c r="N360" s="221"/>
      <c r="O360" s="237">
        <v>0</v>
      </c>
      <c r="P360" s="219">
        <f>IFERROR(Q360/O360,0)</f>
        <v>0</v>
      </c>
      <c r="Q360" s="238">
        <v>0</v>
      </c>
      <c r="R360" s="220">
        <f>IF(O360=0,0,(J360-O360)/O360)</f>
        <v>0</v>
      </c>
      <c r="S360" s="222">
        <f>L360-Q360</f>
        <v>0</v>
      </c>
      <c r="T360" s="10"/>
      <c r="U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" hidden="1" thickBot="1">
      <c r="A361" t="str">
        <f t="shared" si="84"/>
        <v>Boutique</v>
      </c>
      <c r="B361" s="11" t="s">
        <v>114</v>
      </c>
      <c r="C361" s="223"/>
      <c r="D361" s="224"/>
      <c r="E361" s="225"/>
      <c r="F361" s="226"/>
      <c r="G361" s="227"/>
      <c r="H361" s="225"/>
      <c r="I361" s="226"/>
      <c r="J361" s="227"/>
      <c r="K361" s="225"/>
      <c r="L361" s="226"/>
      <c r="M361" s="228"/>
      <c r="N361" s="74"/>
      <c r="O361" s="227"/>
      <c r="P361" s="225"/>
      <c r="Q361" s="226"/>
      <c r="R361" s="228"/>
      <c r="S361" s="75"/>
      <c r="T361" s="10"/>
      <c r="U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" hidden="1" thickTop="1">
      <c r="A362" t="str">
        <f t="shared" si="84"/>
        <v>BoutiqueTotal Dépt. Boutique</v>
      </c>
      <c r="B362" s="11" t="s">
        <v>114</v>
      </c>
      <c r="C362" s="53" t="s">
        <v>115</v>
      </c>
      <c r="D362" s="240">
        <f>+D360</f>
        <v>0</v>
      </c>
      <c r="E362" s="174">
        <f>IF(D362&lt;=0,0,F362/D362)</f>
        <v>0</v>
      </c>
      <c r="F362" s="176">
        <f>+F360</f>
        <v>0</v>
      </c>
      <c r="G362" s="175"/>
      <c r="H362" s="174"/>
      <c r="I362" s="176"/>
      <c r="J362" s="175">
        <f>+J360</f>
        <v>0</v>
      </c>
      <c r="K362" s="174">
        <f>IF(J362&lt;=0,0,L362/J362)</f>
        <v>0</v>
      </c>
      <c r="L362" s="176">
        <f>+L360</f>
        <v>0</v>
      </c>
      <c r="M362" s="241"/>
      <c r="N362" s="242"/>
      <c r="O362" s="175">
        <f>+O360</f>
        <v>0</v>
      </c>
      <c r="P362" s="174">
        <f>IF(O362&lt;=0,0,Q362/O362)</f>
        <v>0</v>
      </c>
      <c r="Q362" s="176">
        <f t="shared" ref="Q362" si="85">+Q360</f>
        <v>0</v>
      </c>
      <c r="R362" s="41">
        <f>IF(O362=0,0,(J362-O362)/O362)</f>
        <v>0</v>
      </c>
      <c r="S362" s="44">
        <f>L362-Q362</f>
        <v>0</v>
      </c>
      <c r="T362" s="10"/>
      <c r="U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0.25" hidden="1">
      <c r="A363" t="str">
        <f t="shared" si="84"/>
        <v>Boutique</v>
      </c>
      <c r="B363" s="11" t="s">
        <v>114</v>
      </c>
      <c r="C363" s="79"/>
      <c r="D363" s="13"/>
      <c r="E363" s="13"/>
      <c r="F363" s="59"/>
      <c r="G363" s="41"/>
      <c r="H363" s="243"/>
      <c r="I363" s="59"/>
      <c r="J363" s="41"/>
      <c r="K363" s="13"/>
      <c r="L363" s="40"/>
      <c r="M363" s="41"/>
      <c r="N363" s="244"/>
      <c r="O363" s="41"/>
      <c r="P363" s="13"/>
      <c r="Q363" s="40"/>
      <c r="R363" s="41"/>
      <c r="S363" s="61">
        <f>IF(Q362=0,0,S362/Q362)</f>
        <v>0</v>
      </c>
      <c r="T363" s="10"/>
      <c r="U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0.25" hidden="1">
      <c r="A364" t="str">
        <f t="shared" si="84"/>
        <v>BoutiqueDEPENSES</v>
      </c>
      <c r="B364" s="11" t="s">
        <v>114</v>
      </c>
      <c r="C364" s="79" t="s">
        <v>29</v>
      </c>
      <c r="D364" s="13"/>
      <c r="E364" s="13"/>
      <c r="F364" s="59"/>
      <c r="G364" s="41"/>
      <c r="H364" s="13"/>
      <c r="I364" s="59"/>
      <c r="J364" s="41"/>
      <c r="K364" s="13"/>
      <c r="L364" s="40"/>
      <c r="M364" s="41"/>
      <c r="N364" s="40"/>
      <c r="O364" s="41"/>
      <c r="P364" s="13"/>
      <c r="Q364" s="40"/>
      <c r="R364" s="41"/>
      <c r="S364" s="61"/>
      <c r="T364" s="10"/>
      <c r="U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0.25" hidden="1">
      <c r="A365" t="str">
        <f t="shared" si="84"/>
        <v>BoutiqueSalaires cadres</v>
      </c>
      <c r="B365" s="11" t="s">
        <v>114</v>
      </c>
      <c r="C365" s="102" t="s">
        <v>40</v>
      </c>
      <c r="D365" s="13"/>
      <c r="E365" s="13"/>
      <c r="F365" s="30">
        <v>0</v>
      </c>
      <c r="G365" s="41"/>
      <c r="H365" s="13"/>
      <c r="I365" s="30"/>
      <c r="J365" s="41"/>
      <c r="K365" s="13"/>
      <c r="L365" s="33">
        <v>0</v>
      </c>
      <c r="M365" s="41"/>
      <c r="N365" s="40"/>
      <c r="O365" s="41"/>
      <c r="P365" s="13"/>
      <c r="Q365" s="33">
        <v>0</v>
      </c>
      <c r="R365" s="41"/>
      <c r="S365" s="34">
        <f>L365-Q365</f>
        <v>0</v>
      </c>
      <c r="T365" s="10"/>
      <c r="U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25" hidden="1">
      <c r="A366" t="str">
        <f t="shared" si="84"/>
        <v>BoutiqueSalaires commis</v>
      </c>
      <c r="B366" s="11" t="s">
        <v>114</v>
      </c>
      <c r="C366" s="103" t="s">
        <v>41</v>
      </c>
      <c r="D366" s="81"/>
      <c r="E366" s="13"/>
      <c r="F366" s="22">
        <v>0</v>
      </c>
      <c r="G366" s="83"/>
      <c r="H366" s="13"/>
      <c r="I366" s="22"/>
      <c r="J366" s="41"/>
      <c r="K366" s="13"/>
      <c r="L366" s="22">
        <v>0</v>
      </c>
      <c r="M366" s="41"/>
      <c r="N366" s="59"/>
      <c r="O366" s="41"/>
      <c r="P366" s="13"/>
      <c r="Q366" s="22">
        <v>0</v>
      </c>
      <c r="R366" s="41"/>
      <c r="S366" s="85">
        <f t="shared" ref="S366:S394" si="86">L366-Q366</f>
        <v>0</v>
      </c>
      <c r="T366" s="10"/>
      <c r="U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25" hidden="1">
      <c r="A367" t="str">
        <f t="shared" si="84"/>
        <v>BoutiqueSalaires autres</v>
      </c>
      <c r="B367" s="11" t="s">
        <v>114</v>
      </c>
      <c r="C367" s="102" t="s">
        <v>42</v>
      </c>
      <c r="D367" s="104"/>
      <c r="E367" s="105"/>
      <c r="F367" s="30">
        <v>0</v>
      </c>
      <c r="G367" s="106"/>
      <c r="H367" s="105"/>
      <c r="I367" s="30"/>
      <c r="J367" s="107"/>
      <c r="K367" s="105"/>
      <c r="L367" s="33">
        <v>0</v>
      </c>
      <c r="M367" s="107"/>
      <c r="N367" s="109"/>
      <c r="O367" s="107"/>
      <c r="P367" s="105"/>
      <c r="Q367" s="33">
        <v>0</v>
      </c>
      <c r="R367" s="107"/>
      <c r="S367" s="110">
        <f t="shared" si="86"/>
        <v>0</v>
      </c>
      <c r="T367" s="10"/>
      <c r="U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25" hidden="1">
      <c r="A368" t="str">
        <f t="shared" si="84"/>
        <v>BoutiqueSalaires spécialistes</v>
      </c>
      <c r="B368" s="11" t="s">
        <v>114</v>
      </c>
      <c r="C368" s="102" t="s">
        <v>43</v>
      </c>
      <c r="D368" s="81"/>
      <c r="E368" s="13"/>
      <c r="F368" s="30">
        <v>0</v>
      </c>
      <c r="G368" s="83"/>
      <c r="H368" s="13"/>
      <c r="I368" s="30"/>
      <c r="J368" s="41"/>
      <c r="K368" s="13"/>
      <c r="L368" s="33">
        <v>0</v>
      </c>
      <c r="M368" s="41"/>
      <c r="N368" s="59"/>
      <c r="O368" s="41"/>
      <c r="P368" s="13"/>
      <c r="Q368" s="33">
        <v>0</v>
      </c>
      <c r="R368" s="41"/>
      <c r="S368" s="85">
        <f t="shared" si="86"/>
        <v>0</v>
      </c>
      <c r="T368" s="10"/>
      <c r="U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25" hidden="1">
      <c r="A369" t="str">
        <f t="shared" si="84"/>
        <v>Boutique[...]</v>
      </c>
      <c r="B369" s="11" t="s">
        <v>114</v>
      </c>
      <c r="C369" s="29" t="s">
        <v>19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6"/>
        <v>0</v>
      </c>
      <c r="T369" s="10"/>
      <c r="U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25" hidden="1">
      <c r="A370" t="str">
        <f t="shared" si="84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6"/>
        <v>0</v>
      </c>
      <c r="T370" s="10"/>
      <c r="U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25" hidden="1">
      <c r="A371" t="str">
        <f t="shared" si="84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6"/>
        <v>0</v>
      </c>
      <c r="T371" s="10"/>
      <c r="U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25" hidden="1">
      <c r="A372" t="str">
        <f t="shared" si="84"/>
        <v>BoutiqueSalaires en absences</v>
      </c>
      <c r="B372" s="11" t="s">
        <v>114</v>
      </c>
      <c r="C372" s="103" t="s">
        <v>44</v>
      </c>
      <c r="D372" s="81"/>
      <c r="E372" s="13"/>
      <c r="F372" s="22">
        <v>0</v>
      </c>
      <c r="G372" s="83"/>
      <c r="H372" s="13"/>
      <c r="I372" s="22"/>
      <c r="J372" s="41"/>
      <c r="K372" s="13"/>
      <c r="L372" s="22">
        <v>0</v>
      </c>
      <c r="M372" s="41"/>
      <c r="N372" s="59"/>
      <c r="O372" s="41"/>
      <c r="P372" s="13"/>
      <c r="Q372" s="22">
        <v>0</v>
      </c>
      <c r="R372" s="41"/>
      <c r="S372" s="85">
        <f t="shared" si="86"/>
        <v>0</v>
      </c>
      <c r="T372" s="10"/>
      <c r="U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25" hidden="1">
      <c r="A373" t="str">
        <f t="shared" si="84"/>
        <v>BoutiqueDéduction à la source</v>
      </c>
      <c r="B373" s="11" t="s">
        <v>114</v>
      </c>
      <c r="C373" s="102" t="s">
        <v>45</v>
      </c>
      <c r="D373" s="104"/>
      <c r="E373" s="105"/>
      <c r="F373" s="30">
        <v>0</v>
      </c>
      <c r="G373" s="106"/>
      <c r="H373" s="105"/>
      <c r="I373" s="30"/>
      <c r="J373" s="107"/>
      <c r="K373" s="105"/>
      <c r="L373" s="33">
        <v>0</v>
      </c>
      <c r="M373" s="107"/>
      <c r="N373" s="109"/>
      <c r="O373" s="107"/>
      <c r="P373" s="105"/>
      <c r="Q373" s="33">
        <v>0</v>
      </c>
      <c r="R373" s="107"/>
      <c r="S373" s="110">
        <f t="shared" si="86"/>
        <v>0</v>
      </c>
      <c r="T373" s="10"/>
      <c r="U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25" hidden="1">
      <c r="A374" t="str">
        <f t="shared" si="84"/>
        <v>BoutiqueBénéfices marginaux</v>
      </c>
      <c r="B374" s="11" t="s">
        <v>114</v>
      </c>
      <c r="C374" s="102" t="s">
        <v>46</v>
      </c>
      <c r="D374" s="81"/>
      <c r="E374" s="13"/>
      <c r="F374" s="30">
        <v>0</v>
      </c>
      <c r="G374" s="83"/>
      <c r="H374" s="13"/>
      <c r="I374" s="30"/>
      <c r="J374" s="41"/>
      <c r="K374" s="13"/>
      <c r="L374" s="33">
        <v>0</v>
      </c>
      <c r="M374" s="41"/>
      <c r="N374" s="59"/>
      <c r="O374" s="41"/>
      <c r="P374" s="13"/>
      <c r="Q374" s="33">
        <v>0</v>
      </c>
      <c r="R374" s="41"/>
      <c r="S374" s="85">
        <f t="shared" si="86"/>
        <v>0</v>
      </c>
      <c r="T374" s="10"/>
      <c r="U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25" hidden="1">
      <c r="A375" t="str">
        <f t="shared" si="84"/>
        <v>BoutiqueCsst</v>
      </c>
      <c r="B375" s="11" t="s">
        <v>114</v>
      </c>
      <c r="C375" s="102" t="s">
        <v>47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6"/>
        <v>0</v>
      </c>
      <c r="T375" s="10"/>
      <c r="U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25" hidden="1">
      <c r="A376" t="str">
        <f t="shared" si="84"/>
        <v>Boutique[...]</v>
      </c>
      <c r="B376" s="11" t="s">
        <v>114</v>
      </c>
      <c r="C376" s="29" t="s">
        <v>19</v>
      </c>
      <c r="D376" s="87"/>
      <c r="E376" s="111"/>
      <c r="F376" s="30">
        <v>0</v>
      </c>
      <c r="G376" s="89"/>
      <c r="H376" s="111"/>
      <c r="I376" s="30"/>
      <c r="J376" s="23"/>
      <c r="K376" s="111"/>
      <c r="L376" s="33">
        <v>0</v>
      </c>
      <c r="M376" s="23"/>
      <c r="N376" s="91"/>
      <c r="O376" s="23"/>
      <c r="P376" s="111"/>
      <c r="Q376" s="33">
        <v>0</v>
      </c>
      <c r="R376" s="23"/>
      <c r="S376" s="92">
        <f t="shared" si="86"/>
        <v>0</v>
      </c>
      <c r="T376" s="10"/>
      <c r="U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25" hidden="1">
      <c r="A377" t="str">
        <f t="shared" si="84"/>
        <v>BoutiqueTOTAL PERSONNEL</v>
      </c>
      <c r="B377" s="11" t="s">
        <v>114</v>
      </c>
      <c r="C377" s="93" t="s">
        <v>48</v>
      </c>
      <c r="D377" s="94" t="s">
        <v>38</v>
      </c>
      <c r="E377" s="95">
        <f>IFERROR(F377/F$360,0)</f>
        <v>0</v>
      </c>
      <c r="F377" s="96">
        <f>+SUM(F365:F376)</f>
        <v>0</v>
      </c>
      <c r="G377" s="97"/>
      <c r="H377" s="95"/>
      <c r="I377" s="96"/>
      <c r="J377" s="97" t="s">
        <v>38</v>
      </c>
      <c r="K377" s="95">
        <f>IFERROR(L377/L$360,0)</f>
        <v>0</v>
      </c>
      <c r="L377" s="96">
        <f>+SUM(L365:L376)</f>
        <v>0</v>
      </c>
      <c r="M377" s="147"/>
      <c r="N377" s="113"/>
      <c r="O377" s="97" t="s">
        <v>38</v>
      </c>
      <c r="P377" s="95">
        <f>IFERROR(Q377/Q$360,0)</f>
        <v>0</v>
      </c>
      <c r="Q377" s="96">
        <f>+SUM(Q365:Q376)</f>
        <v>0</v>
      </c>
      <c r="R377" s="147"/>
      <c r="S377" s="114">
        <f t="shared" si="86"/>
        <v>0</v>
      </c>
      <c r="T377" s="10"/>
      <c r="U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0.25" hidden="1">
      <c r="A378" t="str">
        <f t="shared" si="84"/>
        <v>BoutiquePublicité 2</v>
      </c>
      <c r="B378" s="11" t="s">
        <v>114</v>
      </c>
      <c r="C378" s="211" t="s">
        <v>49</v>
      </c>
      <c r="D378" s="81"/>
      <c r="E378" s="13"/>
      <c r="F378" s="30">
        <v>0</v>
      </c>
      <c r="G378" s="83"/>
      <c r="H378" s="13"/>
      <c r="I378" s="30"/>
      <c r="J378" s="41"/>
      <c r="K378" s="13"/>
      <c r="L378" s="33">
        <v>0</v>
      </c>
      <c r="M378" s="41"/>
      <c r="N378" s="59"/>
      <c r="O378" s="41"/>
      <c r="P378" s="13"/>
      <c r="Q378" s="33">
        <v>0</v>
      </c>
      <c r="R378" s="41"/>
      <c r="S378" s="85">
        <f t="shared" si="86"/>
        <v>0</v>
      </c>
      <c r="T378" s="10"/>
      <c r="U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25" hidden="1">
      <c r="A379" t="str">
        <f t="shared" si="84"/>
        <v>BoutiqueService gratuit 2</v>
      </c>
      <c r="B379" s="11" t="s">
        <v>114</v>
      </c>
      <c r="C379" s="102" t="s">
        <v>50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6"/>
        <v>0</v>
      </c>
      <c r="T379" s="10"/>
      <c r="U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25" hidden="1">
      <c r="A380" t="str">
        <f t="shared" si="84"/>
        <v>BoutiqueFrais véhicules de cie</v>
      </c>
      <c r="B380" s="11" t="s">
        <v>114</v>
      </c>
      <c r="C380" s="103" t="s">
        <v>51</v>
      </c>
      <c r="D380" s="87"/>
      <c r="E380" s="111"/>
      <c r="F380" s="22">
        <v>0</v>
      </c>
      <c r="G380" s="89"/>
      <c r="H380" s="111"/>
      <c r="I380" s="22"/>
      <c r="J380" s="23"/>
      <c r="K380" s="111"/>
      <c r="L380" s="22">
        <v>0</v>
      </c>
      <c r="M380" s="23"/>
      <c r="N380" s="91"/>
      <c r="O380" s="23"/>
      <c r="P380" s="111"/>
      <c r="Q380" s="22">
        <v>0</v>
      </c>
      <c r="R380" s="23"/>
      <c r="S380" s="92">
        <f t="shared" si="86"/>
        <v>0</v>
      </c>
      <c r="T380" s="10"/>
      <c r="U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25" hidden="1">
      <c r="A381" t="str">
        <f t="shared" si="84"/>
        <v>BoutiqueInformatique</v>
      </c>
      <c r="B381" s="11" t="s">
        <v>114</v>
      </c>
      <c r="C381" s="102" t="s">
        <v>52</v>
      </c>
      <c r="D381" s="81"/>
      <c r="E381" s="13"/>
      <c r="F381" s="30">
        <v>0</v>
      </c>
      <c r="G381" s="83"/>
      <c r="H381" s="13"/>
      <c r="I381" s="30"/>
      <c r="J381" s="41"/>
      <c r="K381" s="13"/>
      <c r="L381" s="33">
        <v>0</v>
      </c>
      <c r="M381" s="41"/>
      <c r="N381" s="59"/>
      <c r="O381" s="41"/>
      <c r="P381" s="13"/>
      <c r="Q381" s="33">
        <v>0</v>
      </c>
      <c r="R381" s="41"/>
      <c r="S381" s="85">
        <f t="shared" si="86"/>
        <v>0</v>
      </c>
      <c r="T381" s="10"/>
      <c r="U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25" hidden="1">
      <c r="A382" t="str">
        <f t="shared" si="84"/>
        <v>BoutiqueFrais de déplacement</v>
      </c>
      <c r="B382" s="11" t="s">
        <v>114</v>
      </c>
      <c r="C382" s="102" t="s">
        <v>53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6"/>
        <v>0</v>
      </c>
      <c r="T382" s="10"/>
      <c r="U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25" hidden="1">
      <c r="A383" t="str">
        <f t="shared" si="84"/>
        <v>BoutiqueServices extérieurs</v>
      </c>
      <c r="B383" s="11" t="s">
        <v>114</v>
      </c>
      <c r="C383" s="102" t="s">
        <v>54</v>
      </c>
      <c r="D383" s="87"/>
      <c r="E383" s="111"/>
      <c r="F383" s="22">
        <v>0</v>
      </c>
      <c r="G383" s="89"/>
      <c r="H383" s="111"/>
      <c r="I383" s="22"/>
      <c r="J383" s="23"/>
      <c r="K383" s="111"/>
      <c r="L383" s="22">
        <v>0</v>
      </c>
      <c r="M383" s="23"/>
      <c r="N383" s="91"/>
      <c r="O383" s="23"/>
      <c r="P383" s="111"/>
      <c r="Q383" s="22">
        <v>0</v>
      </c>
      <c r="R383" s="23"/>
      <c r="S383" s="92">
        <f t="shared" si="86"/>
        <v>0</v>
      </c>
      <c r="T383" s="10"/>
      <c r="U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25" hidden="1">
      <c r="A384" t="str">
        <f t="shared" si="84"/>
        <v>BoutiqueFournitures autres</v>
      </c>
      <c r="B384" s="11" t="s">
        <v>114</v>
      </c>
      <c r="C384" s="211" t="s">
        <v>55</v>
      </c>
      <c r="D384" s="81"/>
      <c r="E384" s="13"/>
      <c r="F384" s="30">
        <v>0</v>
      </c>
      <c r="G384" s="83"/>
      <c r="H384" s="13"/>
      <c r="I384" s="30"/>
      <c r="J384" s="41"/>
      <c r="K384" s="13"/>
      <c r="L384" s="33">
        <v>0</v>
      </c>
      <c r="M384" s="41"/>
      <c r="N384" s="59"/>
      <c r="O384" s="41"/>
      <c r="P384" s="13"/>
      <c r="Q384" s="33">
        <v>0</v>
      </c>
      <c r="R384" s="41"/>
      <c r="S384" s="85">
        <f t="shared" si="86"/>
        <v>0</v>
      </c>
      <c r="T384" s="10"/>
      <c r="U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25" hidden="1">
      <c r="A385" t="str">
        <f t="shared" si="84"/>
        <v>BoutiqueUniformes</v>
      </c>
      <c r="B385" s="11" t="s">
        <v>114</v>
      </c>
      <c r="C385" s="102" t="s">
        <v>56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6"/>
        <v>0</v>
      </c>
      <c r="T385" s="10"/>
      <c r="U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25" hidden="1">
      <c r="A386" t="str">
        <f t="shared" si="84"/>
        <v>BoutiquePapeterie</v>
      </c>
      <c r="B386" s="11" t="s">
        <v>114</v>
      </c>
      <c r="C386" s="102" t="s">
        <v>57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6"/>
        <v>0</v>
      </c>
      <c r="T386" s="10"/>
      <c r="U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25" hidden="1">
      <c r="A387" t="str">
        <f t="shared" si="84"/>
        <v>BoutiqueTéléphone</v>
      </c>
      <c r="B387" s="11" t="s">
        <v>114</v>
      </c>
      <c r="C387" s="102" t="s">
        <v>58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6"/>
        <v>0</v>
      </c>
      <c r="T387" s="10"/>
      <c r="U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25" hidden="1">
      <c r="A388" t="str">
        <f t="shared" si="84"/>
        <v>BoutiqueFrais postaux</v>
      </c>
      <c r="B388" s="11" t="s">
        <v>114</v>
      </c>
      <c r="C388" s="102" t="s">
        <v>59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6"/>
        <v>0</v>
      </c>
      <c r="T388" s="10"/>
      <c r="U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25" hidden="1">
      <c r="A389" t="str">
        <f t="shared" si="84"/>
        <v>BoutiqueDivers</v>
      </c>
      <c r="B389" s="11" t="s">
        <v>114</v>
      </c>
      <c r="C389" s="102" t="s">
        <v>60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6"/>
        <v>0</v>
      </c>
      <c r="T389" s="10"/>
      <c r="U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25" hidden="1">
      <c r="A390" t="str">
        <f t="shared" si="84"/>
        <v>BoutiqueFormation</v>
      </c>
      <c r="B390" s="11" t="s">
        <v>114</v>
      </c>
      <c r="C390" s="102" t="s">
        <v>61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6"/>
        <v>0</v>
      </c>
      <c r="T390" s="10"/>
      <c r="U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25" hidden="1">
      <c r="A391" t="str">
        <f t="shared" si="84"/>
        <v>BoutiqueFrais bancaires</v>
      </c>
      <c r="B391" s="11" t="s">
        <v>114</v>
      </c>
      <c r="C391" s="102" t="s">
        <v>62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6"/>
        <v>0</v>
      </c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25" hidden="1">
      <c r="A392" t="str">
        <f t="shared" si="84"/>
        <v>Boutique[...]</v>
      </c>
      <c r="B392" s="11" t="s">
        <v>114</v>
      </c>
      <c r="C392" s="102" t="s">
        <v>19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6"/>
        <v>0</v>
      </c>
      <c r="T392" s="10"/>
      <c r="U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25" hidden="1">
      <c r="A393" t="str">
        <f t="shared" si="84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6"/>
        <v>0</v>
      </c>
      <c r="T393" s="10"/>
      <c r="U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25" hidden="1">
      <c r="A394" t="str">
        <f t="shared" si="84"/>
        <v>Boutique[...]</v>
      </c>
      <c r="B394" s="11" t="s">
        <v>114</v>
      </c>
      <c r="C394" s="102" t="s">
        <v>19</v>
      </c>
      <c r="D394" s="87"/>
      <c r="E394" s="111"/>
      <c r="F394" s="30">
        <v>0</v>
      </c>
      <c r="G394" s="89"/>
      <c r="H394" s="111"/>
      <c r="I394" s="30"/>
      <c r="J394" s="23"/>
      <c r="K394" s="111"/>
      <c r="L394" s="33">
        <v>0</v>
      </c>
      <c r="M394" s="23"/>
      <c r="N394" s="91"/>
      <c r="O394" s="23"/>
      <c r="P394" s="111"/>
      <c r="Q394" s="33">
        <v>0</v>
      </c>
      <c r="R394" s="23"/>
      <c r="S394" s="92">
        <f t="shared" si="86"/>
        <v>0</v>
      </c>
      <c r="T394" s="10"/>
      <c r="U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25" hidden="1">
      <c r="B395" s="7"/>
      <c r="C395" s="93" t="s">
        <v>63</v>
      </c>
      <c r="D395" s="94" t="s">
        <v>38</v>
      </c>
      <c r="E395" s="95">
        <f>IFERROR(F395/F$360,0)</f>
        <v>0</v>
      </c>
      <c r="F395" s="96">
        <f>+SUM(F378:F394)</f>
        <v>0</v>
      </c>
      <c r="G395" s="97"/>
      <c r="H395" s="95"/>
      <c r="I395" s="96"/>
      <c r="J395" s="97" t="s">
        <v>38</v>
      </c>
      <c r="K395" s="95">
        <f>IFERROR(L395/L$360,0)</f>
        <v>0</v>
      </c>
      <c r="L395" s="96">
        <f>+SUM(L378:L394)</f>
        <v>0</v>
      </c>
      <c r="M395" s="147"/>
      <c r="N395" s="96"/>
      <c r="O395" s="97" t="s">
        <v>38</v>
      </c>
      <c r="P395" s="95">
        <f>IFERROR(Q395/Q$360,0)</f>
        <v>0</v>
      </c>
      <c r="Q395" s="96">
        <f>+SUM(Q378:Q394)</f>
        <v>0</v>
      </c>
      <c r="R395" s="147"/>
      <c r="S395" s="114">
        <f>+SUM(S378:S394)</f>
        <v>0</v>
      </c>
      <c r="T395" s="10"/>
      <c r="U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0.25" hidden="1">
      <c r="B396" s="7"/>
      <c r="C396" s="29"/>
      <c r="D396" s="13"/>
      <c r="E396" s="13"/>
      <c r="F396" s="40"/>
      <c r="G396" s="41"/>
      <c r="H396" s="13"/>
      <c r="I396" s="40"/>
      <c r="J396" s="41"/>
      <c r="K396" s="13"/>
      <c r="L396" s="40"/>
      <c r="M396" s="78"/>
      <c r="N396" s="77"/>
      <c r="O396" s="41"/>
      <c r="P396" s="13"/>
      <c r="Q396" s="40"/>
      <c r="R396" s="41"/>
      <c r="S396" s="245"/>
      <c r="T396" s="246"/>
      <c r="U396" s="246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0.25" hidden="1">
      <c r="B397" s="7"/>
      <c r="C397" s="93" t="s">
        <v>64</v>
      </c>
      <c r="D397" s="94" t="s">
        <v>38</v>
      </c>
      <c r="E397" s="95">
        <f>IFERROR(F397/F$360,0)</f>
        <v>0</v>
      </c>
      <c r="F397" s="96">
        <f>F377+F395</f>
        <v>0</v>
      </c>
      <c r="G397" s="97"/>
      <c r="H397" s="95"/>
      <c r="I397" s="96"/>
      <c r="J397" s="97" t="s">
        <v>38</v>
      </c>
      <c r="K397" s="95">
        <f>IFERROR(L397/L$360,0)</f>
        <v>0</v>
      </c>
      <c r="L397" s="96">
        <f>L377+L395</f>
        <v>0</v>
      </c>
      <c r="M397" s="247"/>
      <c r="N397" s="96"/>
      <c r="O397" s="97" t="s">
        <v>38</v>
      </c>
      <c r="P397" s="95">
        <f>IFERROR(Q397/Q$360,0)</f>
        <v>0</v>
      </c>
      <c r="Q397" s="96">
        <f>Q377+Q395</f>
        <v>0</v>
      </c>
      <c r="R397" s="100"/>
      <c r="S397" s="101">
        <f>L397-Q397</f>
        <v>0</v>
      </c>
      <c r="T397" s="246"/>
      <c r="U397" s="246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0.25" hidden="1">
      <c r="B398" s="7"/>
      <c r="C398" s="29"/>
      <c r="D398" s="13"/>
      <c r="E398" s="13"/>
      <c r="F398" s="59"/>
      <c r="G398" s="41"/>
      <c r="H398" s="13"/>
      <c r="I398" s="59"/>
      <c r="J398" s="41"/>
      <c r="K398" s="13"/>
      <c r="L398" s="59"/>
      <c r="M398" s="78"/>
      <c r="N398" s="77"/>
      <c r="O398" s="41"/>
      <c r="P398" s="13"/>
      <c r="Q398" s="59"/>
      <c r="R398" s="41"/>
      <c r="S398" s="245"/>
      <c r="T398" s="10"/>
      <c r="U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.75" hidden="1" thickTop="1" thickBot="1">
      <c r="B399" s="7"/>
      <c r="C399" s="248" t="s">
        <v>69</v>
      </c>
      <c r="D399" s="249"/>
      <c r="E399" s="249"/>
      <c r="F399" s="250">
        <f>F362-F397</f>
        <v>0</v>
      </c>
      <c r="G399" s="251"/>
      <c r="H399" s="249"/>
      <c r="I399" s="250"/>
      <c r="J399" s="252"/>
      <c r="K399" s="253"/>
      <c r="L399" s="250">
        <f>L362-L397</f>
        <v>0</v>
      </c>
      <c r="M399" s="251"/>
      <c r="N399" s="250"/>
      <c r="O399" s="252"/>
      <c r="P399" s="253"/>
      <c r="Q399" s="250">
        <f>Q362-Q397</f>
        <v>0</v>
      </c>
      <c r="R399" s="252"/>
      <c r="S399" s="254">
        <f>L399-Q399</f>
        <v>0</v>
      </c>
      <c r="T399" s="10"/>
      <c r="U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0.25" hidden="1">
      <c r="B400" s="7"/>
      <c r="C400" s="76"/>
      <c r="D400" s="81"/>
      <c r="E400" s="13"/>
      <c r="F400" s="112"/>
      <c r="G400" s="81"/>
      <c r="H400" s="13"/>
      <c r="I400" s="112"/>
      <c r="J400" s="76"/>
      <c r="K400" s="76"/>
      <c r="L400" s="112"/>
      <c r="M400" s="76"/>
      <c r="N400" s="112"/>
      <c r="O400" s="76"/>
      <c r="P400" s="76"/>
      <c r="Q400" s="112"/>
      <c r="R400" s="76"/>
      <c r="S400" s="112"/>
      <c r="T400" s="13"/>
      <c r="U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61" ht="20.25">
      <c r="B401" s="7"/>
      <c r="C401" s="13"/>
      <c r="D401" s="13"/>
      <c r="E401" s="13"/>
      <c r="F401" s="82">
        <f>F353+F289+F233</f>
        <v>-5387.7487285710959</v>
      </c>
      <c r="G401" s="13"/>
      <c r="H401" s="13"/>
      <c r="I401" s="13"/>
      <c r="J401" s="13"/>
      <c r="K401" s="13"/>
      <c r="L401" s="82">
        <f>L353+L289+L233</f>
        <v>122.31999999999971</v>
      </c>
      <c r="M401" s="13"/>
      <c r="N401" s="13"/>
      <c r="O401" s="13"/>
      <c r="P401" s="13"/>
      <c r="Q401" s="13"/>
      <c r="R401" s="13"/>
      <c r="S401" s="13"/>
      <c r="T401" s="10"/>
      <c r="U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Q401" s="472"/>
      <c r="AU401" s="472"/>
      <c r="AV401" s="473"/>
    </row>
    <row r="402" spans="1:61" ht="35.25">
      <c r="B402" s="7"/>
      <c r="C402" s="10"/>
      <c r="D402" s="10"/>
      <c r="E402" s="10"/>
      <c r="F402" s="155"/>
      <c r="G402" s="10"/>
      <c r="H402" s="10"/>
      <c r="I402" s="10"/>
      <c r="J402" s="10"/>
      <c r="K402" s="10"/>
      <c r="L402" s="155"/>
      <c r="M402" s="10"/>
      <c r="N402" s="10"/>
      <c r="O402" s="10"/>
      <c r="P402" s="10"/>
      <c r="Q402" s="10"/>
      <c r="R402" s="10"/>
      <c r="S402" s="10"/>
      <c r="T402" s="10"/>
      <c r="U402" s="10"/>
      <c r="V402" s="6" t="str">
        <f>C1</f>
        <v>BMW Sherbrooke</v>
      </c>
      <c r="W402" s="6"/>
      <c r="X402" s="6"/>
      <c r="Y402" s="6"/>
      <c r="Z402" s="1"/>
      <c r="AA402" s="1"/>
      <c r="AB402" s="6"/>
      <c r="AC402" s="6"/>
      <c r="AD402" s="1"/>
      <c r="AE402" s="3" t="s">
        <v>116</v>
      </c>
      <c r="AF402" s="6"/>
      <c r="AG402" s="6"/>
      <c r="AH402" s="1"/>
      <c r="AI402" s="1"/>
      <c r="AJ402" s="255"/>
      <c r="AK402" s="2"/>
      <c r="AL402" s="1"/>
      <c r="AM402" s="6"/>
      <c r="AN402" s="6"/>
      <c r="AO402" s="5" t="str">
        <f>$S$1</f>
        <v>Réalisé, Décembre 2025</v>
      </c>
      <c r="AP402" s="246"/>
      <c r="AQ402" s="472"/>
      <c r="AS402" s="473"/>
      <c r="AT402" s="474"/>
      <c r="AU402" s="472"/>
      <c r="AV402" s="473"/>
      <c r="AW402" s="473"/>
      <c r="AX402" s="473"/>
      <c r="AY402" s="246"/>
      <c r="AZ402" s="246"/>
      <c r="BA402" s="246"/>
      <c r="BB402" s="246"/>
      <c r="BC402" s="246"/>
      <c r="BD402" s="246"/>
      <c r="BE402" s="246"/>
      <c r="BF402" s="246"/>
      <c r="BG402" s="246"/>
      <c r="BH402" s="246"/>
      <c r="BI402" s="246"/>
    </row>
    <row r="403" spans="1:61" ht="18.75" thickBot="1">
      <c r="B403" s="7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256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10"/>
      <c r="AN403" s="10"/>
      <c r="AO403" s="10"/>
      <c r="AP403" s="246"/>
      <c r="AQ403" s="475"/>
      <c r="AR403" s="246"/>
      <c r="AS403" s="473"/>
      <c r="AT403" s="476"/>
      <c r="AU403" s="475"/>
      <c r="AV403" s="477"/>
      <c r="AW403" s="477"/>
      <c r="AX403" s="477"/>
      <c r="AY403" s="246"/>
      <c r="AZ403" s="246"/>
      <c r="BA403" s="246"/>
      <c r="BB403" s="246"/>
      <c r="BC403" s="246"/>
      <c r="BD403" s="246"/>
      <c r="BE403" s="246"/>
      <c r="BF403" s="246"/>
      <c r="BG403" s="246"/>
      <c r="BH403" s="246"/>
      <c r="BI403" s="246"/>
    </row>
    <row r="404" spans="1:61" ht="21.75" thickTop="1" thickBot="1">
      <c r="A404" t="str">
        <f>+U404&amp;V404</f>
        <v/>
      </c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7"/>
      <c r="W404" s="258"/>
      <c r="X404" s="513" t="s">
        <v>117</v>
      </c>
      <c r="Y404" s="506"/>
      <c r="Z404" s="514"/>
      <c r="AA404" s="505"/>
      <c r="AB404" s="506"/>
      <c r="AC404" s="514"/>
      <c r="AD404" s="505" t="s">
        <v>7</v>
      </c>
      <c r="AE404" s="506"/>
      <c r="AF404" s="514"/>
      <c r="AG404" s="505" t="s">
        <v>213</v>
      </c>
      <c r="AH404" s="506"/>
      <c r="AI404" s="514"/>
      <c r="AJ404" s="505" t="s">
        <v>118</v>
      </c>
      <c r="AK404" s="506"/>
      <c r="AL404" s="506"/>
      <c r="AM404" s="505" t="s">
        <v>119</v>
      </c>
      <c r="AN404" s="506"/>
      <c r="AO404" s="507"/>
      <c r="AP404" s="246"/>
      <c r="AQ404" s="475"/>
      <c r="AR404" s="246"/>
      <c r="AS404" s="477"/>
      <c r="AT404" s="476"/>
      <c r="AU404" s="475"/>
      <c r="AV404" s="477"/>
      <c r="AW404" s="477"/>
      <c r="AX404" s="477"/>
      <c r="AY404" s="246"/>
      <c r="AZ404" s="246"/>
      <c r="BA404" s="246"/>
      <c r="BB404" s="246"/>
      <c r="BC404" s="246"/>
      <c r="BD404" s="246"/>
      <c r="BE404" s="246"/>
      <c r="BF404" s="246"/>
      <c r="BG404" s="246"/>
      <c r="BH404" s="246"/>
      <c r="BI404" s="246"/>
    </row>
    <row r="405" spans="1:61" ht="20.25">
      <c r="A405" t="str">
        <f t="shared" ref="A405:A484" si="87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86"/>
      <c r="W405" s="259" t="s">
        <v>120</v>
      </c>
      <c r="X405" s="259" t="s">
        <v>121</v>
      </c>
      <c r="Y405" s="259" t="s">
        <v>122</v>
      </c>
      <c r="Z405" s="260" t="s">
        <v>123</v>
      </c>
      <c r="AA405" s="259"/>
      <c r="AB405" s="259"/>
      <c r="AC405" s="260"/>
      <c r="AD405" s="261" t="s">
        <v>121</v>
      </c>
      <c r="AE405" s="259" t="s">
        <v>122</v>
      </c>
      <c r="AF405" s="259" t="s">
        <v>123</v>
      </c>
      <c r="AG405" s="261" t="s">
        <v>124</v>
      </c>
      <c r="AH405" s="259" t="s">
        <v>125</v>
      </c>
      <c r="AI405" s="259" t="s">
        <v>126</v>
      </c>
      <c r="AJ405" s="261" t="s">
        <v>121</v>
      </c>
      <c r="AK405" s="259" t="s">
        <v>122</v>
      </c>
      <c r="AL405" s="259" t="s">
        <v>123</v>
      </c>
      <c r="AM405" s="262" t="s">
        <v>124</v>
      </c>
      <c r="AN405" s="259" t="s">
        <v>125</v>
      </c>
      <c r="AO405" s="139" t="s">
        <v>126</v>
      </c>
      <c r="AP405" s="246"/>
      <c r="AQ405" s="478"/>
      <c r="AR405" s="395"/>
      <c r="AS405" s="395"/>
      <c r="AT405" s="479"/>
      <c r="AU405" s="478"/>
      <c r="AV405" s="480"/>
      <c r="AW405" s="480"/>
      <c r="AX405" s="480"/>
      <c r="AY405" s="246"/>
      <c r="AZ405" s="246"/>
      <c r="BA405" s="246"/>
      <c r="BB405" s="246"/>
      <c r="BC405" s="246"/>
      <c r="BD405" s="246"/>
      <c r="BE405" s="246"/>
      <c r="BF405" s="246"/>
      <c r="BG405" s="246"/>
      <c r="BH405" s="246"/>
      <c r="BI405" s="246"/>
    </row>
    <row r="406" spans="1:61" ht="18">
      <c r="A406" t="str">
        <f t="shared" si="87"/>
        <v>Ventes nettes</v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246"/>
      <c r="U406" s="246"/>
      <c r="V406" s="103" t="s">
        <v>14</v>
      </c>
      <c r="W406" s="263"/>
      <c r="X406" s="263"/>
      <c r="Y406" s="263"/>
      <c r="Z406" s="264">
        <f>F5+F93+E194+E250+D314+D362</f>
        <v>2885611.3479549596</v>
      </c>
      <c r="AA406" s="263"/>
      <c r="AB406" s="263"/>
      <c r="AC406" s="264"/>
      <c r="AD406" s="265"/>
      <c r="AE406" s="266"/>
      <c r="AF406" s="266">
        <f>L5+L93+K194+K250+J314+J362</f>
        <v>1969870.3300000003</v>
      </c>
      <c r="AG406" s="265"/>
      <c r="AH406" s="266"/>
      <c r="AI406" s="267"/>
      <c r="AJ406" s="265"/>
      <c r="AK406" s="266"/>
      <c r="AL406" s="266">
        <f>Q5+Q93+P194+P250+O314+O362</f>
        <v>4258557.1699999897</v>
      </c>
      <c r="AM406" s="268"/>
      <c r="AN406" s="266"/>
      <c r="AO406" s="269"/>
      <c r="AP406" s="246"/>
      <c r="AQ406" s="246"/>
      <c r="AR406" s="246"/>
      <c r="AS406" s="246"/>
      <c r="AT406" s="246"/>
      <c r="AU406" s="246"/>
      <c r="AV406" s="477"/>
      <c r="AW406" s="246"/>
      <c r="AX406" s="246"/>
      <c r="AY406" s="246"/>
      <c r="AZ406" s="246"/>
      <c r="BA406" s="246"/>
      <c r="BB406" s="246"/>
      <c r="BC406" s="246"/>
      <c r="BD406" s="246"/>
      <c r="BE406" s="246"/>
      <c r="BF406" s="246"/>
      <c r="BG406" s="246"/>
      <c r="BH406" s="246"/>
      <c r="BI406" s="246"/>
    </row>
    <row r="407" spans="1:61" ht="18">
      <c r="A407" t="str">
        <f t="shared" si="87"/>
        <v>Profit brut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6"/>
      <c r="U407" s="246"/>
      <c r="V407" s="270" t="s">
        <v>127</v>
      </c>
      <c r="W407" s="271"/>
      <c r="X407" s="271"/>
      <c r="Y407" s="271"/>
      <c r="Z407" s="272">
        <f>F27+F108+F194+F250+F314+F362</f>
        <v>279752.58817337186</v>
      </c>
      <c r="AA407" s="271"/>
      <c r="AB407" s="271"/>
      <c r="AC407" s="272"/>
      <c r="AD407" s="273"/>
      <c r="AE407" s="274"/>
      <c r="AF407" s="274">
        <f>L27+L108+L194+L250+L314+L362</f>
        <v>205893.28000000006</v>
      </c>
      <c r="AG407" s="273"/>
      <c r="AH407" s="274">
        <f>AF407-Z407</f>
        <v>-73859.308173371799</v>
      </c>
      <c r="AI407" s="275">
        <f>AH407/Z407</f>
        <v>-0.26401653209227421</v>
      </c>
      <c r="AJ407" s="273">
        <f>+AL407/AL406</f>
        <v>8.9723668075119584E-2</v>
      </c>
      <c r="AK407" s="274"/>
      <c r="AL407" s="274">
        <f>Q27+Q108+Q194+Q250+Q314+Q362</f>
        <v>382093.3699999997</v>
      </c>
      <c r="AM407" s="276"/>
      <c r="AN407" s="274">
        <f>AF407-AL407</f>
        <v>-176200.08999999965</v>
      </c>
      <c r="AO407" s="277">
        <f>IF(AL407=0,0,AN407/AL407)</f>
        <v>-0.46114406538904296</v>
      </c>
      <c r="AP407" s="246"/>
      <c r="AQ407" s="246"/>
      <c r="AR407" s="310"/>
      <c r="AS407" s="310"/>
      <c r="AT407" s="246"/>
      <c r="AU407" s="246"/>
      <c r="AV407" s="246"/>
      <c r="AW407" s="246"/>
      <c r="AX407" s="246"/>
      <c r="AY407" s="246"/>
      <c r="AZ407" s="246"/>
      <c r="BA407" s="246"/>
      <c r="BB407" s="246"/>
      <c r="BC407" s="246"/>
      <c r="BD407" s="246"/>
      <c r="BE407" s="246"/>
      <c r="BF407" s="246"/>
      <c r="BG407" s="246"/>
      <c r="BH407" s="246"/>
      <c r="BI407" s="246"/>
    </row>
    <row r="408" spans="1:61" ht="18">
      <c r="A408" t="str">
        <f t="shared" si="87"/>
        <v>DÉPENSES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6"/>
      <c r="U408" s="246"/>
      <c r="V408" s="278" t="s">
        <v>128</v>
      </c>
      <c r="W408" s="279"/>
      <c r="X408" s="279"/>
      <c r="Y408" s="279"/>
      <c r="Z408" s="280"/>
      <c r="AA408" s="279"/>
      <c r="AB408" s="279"/>
      <c r="AC408" s="280"/>
      <c r="AD408" s="281"/>
      <c r="AE408" s="279"/>
      <c r="AF408" s="282"/>
      <c r="AG408" s="281"/>
      <c r="AH408" s="282"/>
      <c r="AI408" s="283"/>
      <c r="AJ408" s="281"/>
      <c r="AK408" s="279"/>
      <c r="AL408" s="282"/>
      <c r="AM408" s="284"/>
      <c r="AN408" s="282"/>
      <c r="AO408" s="285"/>
      <c r="AP408" s="246"/>
      <c r="AQ408" s="246"/>
      <c r="AR408" s="246"/>
      <c r="AS408" s="246"/>
      <c r="AT408" s="246"/>
      <c r="AU408" s="475"/>
      <c r="AV408" s="475"/>
      <c r="AW408" s="475"/>
      <c r="AX408" s="475"/>
      <c r="AY408" s="475"/>
      <c r="AZ408" s="246"/>
      <c r="BA408" s="246"/>
      <c r="BB408" s="246"/>
      <c r="BC408" s="246"/>
      <c r="BD408" s="246"/>
      <c r="BE408" s="246"/>
      <c r="BF408" s="246"/>
      <c r="BG408" s="246"/>
      <c r="BH408" s="246"/>
      <c r="BI408" s="246"/>
    </row>
    <row r="409" spans="1:61" ht="18">
      <c r="A409" t="str">
        <f t="shared" si="87"/>
        <v>Comm. vendeurs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6"/>
      <c r="U409" s="246"/>
      <c r="V409" s="102" t="s">
        <v>30</v>
      </c>
      <c r="W409" s="286" t="s">
        <v>129</v>
      </c>
      <c r="X409" s="279"/>
      <c r="Y409" s="287">
        <f t="shared" ref="Y409:Y418" si="88">Z409/(D$13+D$97)</f>
        <v>1013.5472542243153</v>
      </c>
      <c r="Z409" s="280">
        <f t="shared" ref="Z409:Z414" si="89">+SUMIF($C:$C,$V409,F:F)</f>
        <v>28379.32311828083</v>
      </c>
      <c r="AA409" s="279"/>
      <c r="AB409" s="287"/>
      <c r="AC409" s="280"/>
      <c r="AD409" s="288"/>
      <c r="AE409" s="287">
        <f t="shared" ref="AE409:AE414" si="90">IF(AF409=0,0,AF409/(J$13+J$97))</f>
        <v>1008.3376923076924</v>
      </c>
      <c r="AF409" s="280">
        <f t="shared" ref="AF409:AF415" si="91">+SUMIF($C:$C,$V409,L:L)</f>
        <v>13108.390000000001</v>
      </c>
      <c r="AG409" s="281">
        <f t="shared" ref="AG409:AH424" si="92">AE409-Y409</f>
        <v>-5.2095619166229881</v>
      </c>
      <c r="AH409" s="282">
        <f t="shared" si="92"/>
        <v>-15270.933118280829</v>
      </c>
      <c r="AI409" s="283">
        <f t="shared" ref="AI409:AI418" si="93">IF(Z409=0,0,AH409/Z409)</f>
        <v>-0.53810068177573633</v>
      </c>
      <c r="AJ409" s="288"/>
      <c r="AK409" s="282">
        <f t="shared" ref="AK409:AK418" si="94">AL409/(O$13+O$97)</f>
        <v>1291.7477777777776</v>
      </c>
      <c r="AL409" s="280">
        <f t="shared" ref="AL409:AL414" si="95">+SUMIF($C:$C,$V409,Q:Q)</f>
        <v>46502.92</v>
      </c>
      <c r="AM409" s="284">
        <f t="shared" ref="AM409:AM414" si="96">AE409-Y409</f>
        <v>-5.2095619166229881</v>
      </c>
      <c r="AN409" s="282">
        <f t="shared" ref="AN409:AN414" si="97">AF409-AL409</f>
        <v>-33394.53</v>
      </c>
      <c r="AO409" s="289">
        <f t="shared" ref="AO409:AO431" si="98">IF(AL409=0,0,AN409/AL409)</f>
        <v>-0.71811684083494109</v>
      </c>
      <c r="AP409" s="246"/>
      <c r="AQ409" s="246"/>
      <c r="AS409" s="481"/>
      <c r="AT409" s="474"/>
      <c r="AU409" s="475"/>
      <c r="AV409" s="475"/>
      <c r="AW409" s="475"/>
      <c r="AX409" s="475"/>
      <c r="AY409" s="475"/>
      <c r="AZ409" s="246"/>
      <c r="BA409" s="246"/>
      <c r="BB409" s="246"/>
      <c r="BC409" s="246"/>
      <c r="BD409" s="246"/>
      <c r="BE409" s="246"/>
      <c r="BF409" s="246"/>
      <c r="BG409" s="246"/>
      <c r="BH409" s="246"/>
      <c r="BI409" s="246"/>
    </row>
    <row r="410" spans="1:61" ht="18">
      <c r="A410" t="str">
        <f t="shared" si="87"/>
        <v>Comm. F&amp;I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6"/>
      <c r="U410" s="246"/>
      <c r="V410" s="103" t="s">
        <v>31</v>
      </c>
      <c r="W410" s="290" t="s">
        <v>130</v>
      </c>
      <c r="X410" s="263"/>
      <c r="Y410" s="291">
        <f t="shared" si="88"/>
        <v>463.47321428571428</v>
      </c>
      <c r="Z410" s="264">
        <f t="shared" si="89"/>
        <v>12977.25</v>
      </c>
      <c r="AA410" s="263"/>
      <c r="AB410" s="291"/>
      <c r="AC410" s="264"/>
      <c r="AD410" s="292"/>
      <c r="AE410" s="291">
        <f t="shared" si="90"/>
        <v>767.98384615384623</v>
      </c>
      <c r="AF410" s="264">
        <f t="shared" si="91"/>
        <v>9983.7900000000009</v>
      </c>
      <c r="AG410" s="265">
        <f t="shared" si="92"/>
        <v>304.51063186813195</v>
      </c>
      <c r="AH410" s="266">
        <f t="shared" si="92"/>
        <v>-2993.4599999999991</v>
      </c>
      <c r="AI410" s="293">
        <f t="shared" si="93"/>
        <v>-0.23066982604172681</v>
      </c>
      <c r="AJ410" s="292"/>
      <c r="AK410" s="266">
        <f t="shared" si="94"/>
        <v>509.90277777777777</v>
      </c>
      <c r="AL410" s="264">
        <f t="shared" si="95"/>
        <v>18356.5</v>
      </c>
      <c r="AM410" s="268">
        <f t="shared" si="96"/>
        <v>304.51063186813195</v>
      </c>
      <c r="AN410" s="266">
        <f t="shared" si="97"/>
        <v>-8372.7099999999991</v>
      </c>
      <c r="AO410" s="294">
        <f t="shared" si="98"/>
        <v>-0.45611690681774841</v>
      </c>
      <c r="AP410" s="246"/>
      <c r="AQ410" s="246"/>
      <c r="AS410" s="439"/>
      <c r="AT410" s="474"/>
      <c r="AU410" s="475"/>
      <c r="AV410" s="475"/>
      <c r="AW410" s="475"/>
      <c r="AX410" s="475"/>
      <c r="AY410" s="475"/>
      <c r="AZ410" s="246"/>
      <c r="BA410" s="246"/>
      <c r="BB410" s="246"/>
      <c r="BC410" s="246"/>
      <c r="BD410" s="246"/>
      <c r="BE410" s="246"/>
      <c r="BF410" s="246"/>
      <c r="BG410" s="246"/>
      <c r="BH410" s="246"/>
      <c r="BI410" s="246"/>
    </row>
    <row r="411" spans="1:61" ht="18">
      <c r="A411" t="str">
        <f t="shared" si="87"/>
        <v>Frais de livraison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6"/>
      <c r="U411" s="246"/>
      <c r="V411" s="102" t="s">
        <v>32</v>
      </c>
      <c r="W411" s="286" t="s">
        <v>131</v>
      </c>
      <c r="X411" s="279"/>
      <c r="Y411" s="287">
        <f t="shared" si="88"/>
        <v>122.14285714285714</v>
      </c>
      <c r="Z411" s="280">
        <f t="shared" si="89"/>
        <v>3420</v>
      </c>
      <c r="AA411" s="279"/>
      <c r="AB411" s="287"/>
      <c r="AC411" s="280"/>
      <c r="AD411" s="288"/>
      <c r="AE411" s="287">
        <f t="shared" si="90"/>
        <v>36.558461538461536</v>
      </c>
      <c r="AF411" s="280">
        <f t="shared" si="91"/>
        <v>475.26</v>
      </c>
      <c r="AG411" s="281">
        <f t="shared" si="92"/>
        <v>-85.58439560439561</v>
      </c>
      <c r="AH411" s="282">
        <f t="shared" si="92"/>
        <v>-2944.74</v>
      </c>
      <c r="AI411" s="283">
        <f t="shared" si="93"/>
        <v>-0.86103508771929815</v>
      </c>
      <c r="AJ411" s="288"/>
      <c r="AK411" s="282">
        <f t="shared" si="94"/>
        <v>88.079444444444434</v>
      </c>
      <c r="AL411" s="280">
        <f t="shared" si="95"/>
        <v>3170.8599999999997</v>
      </c>
      <c r="AM411" s="284">
        <f t="shared" si="96"/>
        <v>-85.58439560439561</v>
      </c>
      <c r="AN411" s="282">
        <f t="shared" si="97"/>
        <v>-2695.5999999999995</v>
      </c>
      <c r="AO411" s="289">
        <f t="shared" si="98"/>
        <v>-0.850116372214478</v>
      </c>
      <c r="AP411" s="246"/>
      <c r="AQ411" s="246"/>
      <c r="AS411" s="439"/>
      <c r="AT411" s="474"/>
      <c r="AU411" s="475"/>
      <c r="AV411" s="475"/>
      <c r="AW411" s="475"/>
      <c r="AX411" s="475"/>
      <c r="AY411" s="475"/>
      <c r="AZ411" s="246"/>
      <c r="BA411" s="246"/>
      <c r="BB411" s="246"/>
      <c r="BC411" s="246"/>
      <c r="BD411" s="246"/>
      <c r="BE411" s="246"/>
      <c r="BF411" s="246"/>
      <c r="BG411" s="246"/>
      <c r="BH411" s="246"/>
      <c r="BI411" s="246"/>
    </row>
    <row r="412" spans="1:61" ht="18">
      <c r="A412" t="str">
        <f t="shared" si="87"/>
        <v>Service gratuit 1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6"/>
      <c r="U412" s="246"/>
      <c r="V412" s="102" t="s">
        <v>33</v>
      </c>
      <c r="W412" s="286" t="s">
        <v>148</v>
      </c>
      <c r="X412" s="279"/>
      <c r="Y412" s="287">
        <f t="shared" si="88"/>
        <v>64.071428571428569</v>
      </c>
      <c r="Z412" s="280">
        <f t="shared" si="89"/>
        <v>1794</v>
      </c>
      <c r="AA412" s="279"/>
      <c r="AB412" s="287"/>
      <c r="AC412" s="280"/>
      <c r="AD412" s="288"/>
      <c r="AE412" s="287">
        <f t="shared" si="90"/>
        <v>14.76923076923077</v>
      </c>
      <c r="AF412" s="280">
        <f t="shared" si="91"/>
        <v>192</v>
      </c>
      <c r="AG412" s="281">
        <f t="shared" si="92"/>
        <v>-49.302197802197796</v>
      </c>
      <c r="AH412" s="282">
        <f t="shared" si="92"/>
        <v>-1602</v>
      </c>
      <c r="AI412" s="283">
        <f t="shared" si="93"/>
        <v>-0.8929765886287625</v>
      </c>
      <c r="AJ412" s="288"/>
      <c r="AK412" s="282">
        <f t="shared" si="94"/>
        <v>81.040555555555557</v>
      </c>
      <c r="AL412" s="280">
        <f t="shared" si="95"/>
        <v>2917.46</v>
      </c>
      <c r="AM412" s="284">
        <f t="shared" si="96"/>
        <v>-49.302197802197796</v>
      </c>
      <c r="AN412" s="282">
        <f t="shared" si="97"/>
        <v>-2725.46</v>
      </c>
      <c r="AO412" s="295">
        <f t="shared" si="98"/>
        <v>-0.93418932907392049</v>
      </c>
      <c r="AP412" s="246"/>
      <c r="AQ412" s="246"/>
      <c r="AS412" s="439"/>
      <c r="AT412" s="474"/>
      <c r="AU412" s="475"/>
      <c r="AV412" s="475"/>
      <c r="AW412" s="475"/>
      <c r="AX412" s="475"/>
      <c r="AY412" s="475"/>
      <c r="AZ412" s="246"/>
      <c r="BA412" s="246"/>
      <c r="BB412" s="246"/>
      <c r="BC412" s="246"/>
      <c r="BD412" s="246"/>
      <c r="BE412" s="246"/>
      <c r="BF412" s="246"/>
      <c r="BG412" s="246"/>
      <c r="BH412" s="246"/>
      <c r="BI412" s="246"/>
    </row>
    <row r="413" spans="1:61" ht="18">
      <c r="A413" t="str">
        <f t="shared" si="87"/>
        <v>Entretien stock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6"/>
      <c r="U413" s="246"/>
      <c r="V413" s="103" t="s">
        <v>34</v>
      </c>
      <c r="W413" s="290" t="s">
        <v>222</v>
      </c>
      <c r="X413" s="263"/>
      <c r="Y413" s="291">
        <f t="shared" si="88"/>
        <v>105.71428571428571</v>
      </c>
      <c r="Z413" s="264">
        <f t="shared" si="89"/>
        <v>2960</v>
      </c>
      <c r="AA413" s="263"/>
      <c r="AB413" s="291"/>
      <c r="AC413" s="264"/>
      <c r="AD413" s="292"/>
      <c r="AE413" s="291">
        <f t="shared" si="90"/>
        <v>375.78384615384613</v>
      </c>
      <c r="AF413" s="264">
        <f t="shared" si="91"/>
        <v>4885.1899999999996</v>
      </c>
      <c r="AG413" s="265">
        <f t="shared" si="92"/>
        <v>270.06956043956041</v>
      </c>
      <c r="AH413" s="266">
        <f t="shared" si="92"/>
        <v>1925.1899999999996</v>
      </c>
      <c r="AI413" s="293">
        <f t="shared" si="93"/>
        <v>0.65040202702702687</v>
      </c>
      <c r="AJ413" s="292"/>
      <c r="AK413" s="266">
        <f t="shared" si="94"/>
        <v>105.80805555555555</v>
      </c>
      <c r="AL413" s="264">
        <f t="shared" si="95"/>
        <v>3809.09</v>
      </c>
      <c r="AM413" s="268">
        <f t="shared" si="96"/>
        <v>270.06956043956041</v>
      </c>
      <c r="AN413" s="266">
        <f t="shared" si="97"/>
        <v>1076.0999999999995</v>
      </c>
      <c r="AO413" s="294">
        <f t="shared" si="98"/>
        <v>0.28250842064640097</v>
      </c>
      <c r="AP413" s="246"/>
      <c r="AQ413" s="246"/>
      <c r="AS413" s="439"/>
      <c r="AT413" s="474"/>
      <c r="AU413" s="475"/>
      <c r="AV413" s="475"/>
      <c r="AW413" s="475"/>
      <c r="AX413" s="475"/>
      <c r="AY413" s="475"/>
      <c r="AZ413" s="246"/>
      <c r="BA413" s="246"/>
      <c r="BB413" s="246"/>
      <c r="BC413" s="246"/>
      <c r="BD413" s="246"/>
      <c r="BE413" s="246"/>
      <c r="BF413" s="246"/>
      <c r="BG413" s="246"/>
      <c r="BH413" s="246"/>
      <c r="BI413" s="246"/>
    </row>
    <row r="414" spans="1:61" ht="18">
      <c r="A414" t="str">
        <f t="shared" si="87"/>
        <v>Publicité 1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6"/>
      <c r="U414" s="246"/>
      <c r="V414" s="102" t="s">
        <v>35</v>
      </c>
      <c r="W414" s="286" t="s">
        <v>223</v>
      </c>
      <c r="X414" s="283"/>
      <c r="Y414" s="287">
        <f t="shared" si="88"/>
        <v>595.58823529411768</v>
      </c>
      <c r="Z414" s="280">
        <f t="shared" si="89"/>
        <v>16676.470588235294</v>
      </c>
      <c r="AA414" s="283"/>
      <c r="AB414" s="287"/>
      <c r="AC414" s="280"/>
      <c r="AD414" s="288"/>
      <c r="AE414" s="287">
        <f t="shared" si="90"/>
        <v>803.926923076923</v>
      </c>
      <c r="AF414" s="280">
        <f t="shared" si="91"/>
        <v>10451.049999999999</v>
      </c>
      <c r="AG414" s="281">
        <f t="shared" si="92"/>
        <v>208.33868778280532</v>
      </c>
      <c r="AH414" s="282">
        <f t="shared" si="92"/>
        <v>-6225.4205882352944</v>
      </c>
      <c r="AI414" s="283">
        <f t="shared" si="93"/>
        <v>-0.37330564373897712</v>
      </c>
      <c r="AJ414" s="288"/>
      <c r="AK414" s="282">
        <f t="shared" si="94"/>
        <v>764.80194444444453</v>
      </c>
      <c r="AL414" s="280">
        <f t="shared" si="95"/>
        <v>27532.870000000003</v>
      </c>
      <c r="AM414" s="284">
        <f t="shared" si="96"/>
        <v>208.33868778280532</v>
      </c>
      <c r="AN414" s="282">
        <f t="shared" si="97"/>
        <v>-17081.820000000003</v>
      </c>
      <c r="AO414" s="289">
        <f t="shared" si="98"/>
        <v>-0.62041552515229981</v>
      </c>
      <c r="AP414" s="246"/>
      <c r="AQ414" s="246">
        <f>14847-4396</f>
        <v>10451</v>
      </c>
      <c r="AR414" s="440"/>
      <c r="AS414" s="439"/>
      <c r="AT414" s="474"/>
      <c r="AU414" s="475"/>
      <c r="AV414" s="475"/>
      <c r="AW414" s="475"/>
      <c r="AX414" s="475"/>
      <c r="AY414" s="475"/>
      <c r="AZ414" s="246"/>
      <c r="BA414" s="246"/>
      <c r="BB414" s="246"/>
      <c r="BC414" s="246"/>
      <c r="BD414" s="246"/>
      <c r="BE414" s="246"/>
      <c r="BF414" s="246"/>
      <c r="BG414" s="246"/>
      <c r="BH414" s="246"/>
      <c r="BI414" s="246"/>
    </row>
    <row r="415" spans="1:61" ht="20.25">
      <c r="A415" t="str">
        <f t="shared" si="87"/>
        <v>Intérêt de gros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6"/>
      <c r="U415" s="246"/>
      <c r="V415" s="102" t="s">
        <v>36</v>
      </c>
      <c r="W415" s="286" t="s">
        <v>224</v>
      </c>
      <c r="X415" s="279"/>
      <c r="Y415" s="287">
        <f t="shared" si="88"/>
        <v>988.51142807255565</v>
      </c>
      <c r="Z415" s="280">
        <f>+SUMIF($C:$C,$V415,F:F)</f>
        <v>27678.319986031558</v>
      </c>
      <c r="AA415" s="279"/>
      <c r="AB415" s="287"/>
      <c r="AC415" s="280"/>
      <c r="AD415" s="288"/>
      <c r="AE415" s="287">
        <f>IF(AF415=0,0,AF415/(J$13+J$13))</f>
        <v>1534.3243749999999</v>
      </c>
      <c r="AF415" s="280">
        <f t="shared" si="91"/>
        <v>24549.19</v>
      </c>
      <c r="AG415" s="281">
        <f t="shared" si="92"/>
        <v>545.81294692744427</v>
      </c>
      <c r="AH415" s="282">
        <f t="shared" si="92"/>
        <v>-3129.1299860315594</v>
      </c>
      <c r="AI415" s="283">
        <f t="shared" si="93"/>
        <v>-0.11305346522515601</v>
      </c>
      <c r="AJ415" s="288"/>
      <c r="AK415" s="282">
        <f t="shared" si="94"/>
        <v>874.35083333333341</v>
      </c>
      <c r="AL415" s="280">
        <f>IFERROR(SUMIF($C:$C,$V415,Q:Q),0)</f>
        <v>31476.63</v>
      </c>
      <c r="AM415" s="284">
        <f>AE415-Y415</f>
        <v>545.81294692744427</v>
      </c>
      <c r="AN415" s="282">
        <f>AF415-AL415</f>
        <v>-6927.4400000000023</v>
      </c>
      <c r="AO415" s="289">
        <f t="shared" si="98"/>
        <v>-0.22008201004999589</v>
      </c>
      <c r="AP415" s="246"/>
      <c r="AQ415" s="475">
        <f>W37+W118</f>
        <v>24549.14</v>
      </c>
      <c r="AR415" s="13"/>
      <c r="AS415" s="482"/>
      <c r="AT415" s="246"/>
      <c r="AU415" s="475"/>
      <c r="AV415" s="475"/>
      <c r="AW415" s="475"/>
      <c r="AX415" s="475"/>
      <c r="AY415" s="475"/>
      <c r="AZ415" s="246"/>
      <c r="BA415" s="246"/>
      <c r="BB415" s="246"/>
      <c r="BC415" s="246"/>
      <c r="BD415" s="246"/>
      <c r="BE415" s="246"/>
      <c r="BF415" s="246"/>
      <c r="BG415" s="246"/>
      <c r="BH415" s="246"/>
      <c r="BI415" s="246"/>
    </row>
    <row r="416" spans="1:61" ht="20.25" hidden="1" customHeight="1">
      <c r="A416" t="str">
        <f t="shared" si="87"/>
        <v>[...]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6"/>
      <c r="U416" s="246"/>
      <c r="V416" s="102" t="s">
        <v>19</v>
      </c>
      <c r="W416" s="286"/>
      <c r="X416" s="283"/>
      <c r="Y416" s="287">
        <f t="shared" si="88"/>
        <v>0</v>
      </c>
      <c r="Z416" s="280">
        <f>IFERROR(SUMIF($C:$C,$V416,F:F),0)</f>
        <v>0</v>
      </c>
      <c r="AA416" s="279"/>
      <c r="AB416" s="287"/>
      <c r="AC416" s="280"/>
      <c r="AD416" s="288"/>
      <c r="AE416" s="287">
        <f>IF(AF416=0,0,AF416/(J$13+J$13))</f>
        <v>0</v>
      </c>
      <c r="AF416" s="280">
        <f>IFERROR(SUMIF($C:$C,$V416,L:L),0)</f>
        <v>0</v>
      </c>
      <c r="AG416" s="281">
        <f t="shared" si="92"/>
        <v>0</v>
      </c>
      <c r="AH416" s="282">
        <f t="shared" si="92"/>
        <v>0</v>
      </c>
      <c r="AI416" s="283">
        <f t="shared" si="93"/>
        <v>0</v>
      </c>
      <c r="AJ416" s="288"/>
      <c r="AK416" s="282">
        <f t="shared" si="94"/>
        <v>0</v>
      </c>
      <c r="AL416" s="280">
        <f>IFERROR(SUMIF($C:$C,$V416,Q:Q),0)</f>
        <v>0</v>
      </c>
      <c r="AM416" s="284">
        <f>AE416-Y416</f>
        <v>0</v>
      </c>
      <c r="AN416" s="282">
        <f>AF416-AL416</f>
        <v>0</v>
      </c>
      <c r="AO416" s="289">
        <f t="shared" si="98"/>
        <v>0</v>
      </c>
      <c r="AP416" s="246"/>
      <c r="AQ416" s="246"/>
      <c r="AR416" s="13"/>
      <c r="AS416" s="246"/>
      <c r="AT416" s="246"/>
      <c r="AU416" s="475"/>
      <c r="AV416" s="475"/>
      <c r="AW416" s="475"/>
      <c r="AX416" s="475"/>
      <c r="AY416" s="475"/>
      <c r="AZ416" s="246"/>
      <c r="BA416" s="246"/>
      <c r="BB416" s="246"/>
      <c r="BC416" s="246"/>
      <c r="BD416" s="246"/>
      <c r="BE416" s="246"/>
      <c r="BF416" s="246"/>
      <c r="BG416" s="246"/>
      <c r="BH416" s="246"/>
      <c r="BI416" s="246"/>
    </row>
    <row r="417" spans="1:61" ht="20.25" hidden="1" customHeight="1">
      <c r="A417" t="str">
        <f t="shared" si="87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6"/>
      <c r="U417" s="246"/>
      <c r="V417" s="102" t="s">
        <v>19</v>
      </c>
      <c r="W417" s="286"/>
      <c r="X417" s="283"/>
      <c r="Y417" s="287">
        <f t="shared" si="88"/>
        <v>0</v>
      </c>
      <c r="Z417" s="280">
        <f>IFERROR(SUMIF($C:$C,$V417,F:F),0)</f>
        <v>0</v>
      </c>
      <c r="AA417" s="279"/>
      <c r="AB417" s="287"/>
      <c r="AC417" s="280"/>
      <c r="AD417" s="288"/>
      <c r="AE417" s="287">
        <f>IF(AF417=0,0,AF417/(J$13+J$13))</f>
        <v>0</v>
      </c>
      <c r="AF417" s="280">
        <f>IFERROR(SUMIF($C:$C,$V417,L:L),0)</f>
        <v>0</v>
      </c>
      <c r="AG417" s="281">
        <f t="shared" si="92"/>
        <v>0</v>
      </c>
      <c r="AH417" s="282">
        <f t="shared" si="92"/>
        <v>0</v>
      </c>
      <c r="AI417" s="283">
        <f t="shared" si="93"/>
        <v>0</v>
      </c>
      <c r="AJ417" s="288"/>
      <c r="AK417" s="282">
        <f t="shared" si="94"/>
        <v>0</v>
      </c>
      <c r="AL417" s="280">
        <f>IFERROR(SUMIF($C:$C,$V417,Q:Q),0)</f>
        <v>0</v>
      </c>
      <c r="AM417" s="284">
        <f>AE417-Y417</f>
        <v>0</v>
      </c>
      <c r="AN417" s="282">
        <f>AF417-AL417</f>
        <v>0</v>
      </c>
      <c r="AO417" s="289">
        <f t="shared" si="98"/>
        <v>0</v>
      </c>
      <c r="AP417" s="246"/>
      <c r="AQ417" s="246"/>
      <c r="AR417" s="13"/>
      <c r="AS417" s="246"/>
      <c r="AT417" s="246"/>
      <c r="AU417" s="475"/>
      <c r="AV417" s="475"/>
      <c r="AW417" s="475"/>
      <c r="AX417" s="475"/>
      <c r="AY417" s="475"/>
      <c r="AZ417" s="246"/>
      <c r="BA417" s="246"/>
      <c r="BB417" s="246"/>
      <c r="BC417" s="246"/>
      <c r="BD417" s="246"/>
      <c r="BE417" s="246"/>
      <c r="BF417" s="246"/>
      <c r="BG417" s="246"/>
      <c r="BH417" s="246"/>
      <c r="BI417" s="246"/>
    </row>
    <row r="418" spans="1:61" ht="20.25" hidden="1" customHeight="1">
      <c r="A418" t="str">
        <f t="shared" si="87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6"/>
      <c r="U418" s="246"/>
      <c r="V418" s="102" t="s">
        <v>19</v>
      </c>
      <c r="W418" s="286" t="s">
        <v>134</v>
      </c>
      <c r="X418" s="279"/>
      <c r="Y418" s="287">
        <f t="shared" si="88"/>
        <v>0</v>
      </c>
      <c r="Z418" s="280">
        <f>IFERROR(SUMIF($C:$C,$V418,F:F),0)</f>
        <v>0</v>
      </c>
      <c r="AA418" s="279"/>
      <c r="AB418" s="287"/>
      <c r="AC418" s="280"/>
      <c r="AD418" s="288"/>
      <c r="AE418" s="287">
        <f>IF(AF418=0,0,AF418/(J$13+J$13))</f>
        <v>0</v>
      </c>
      <c r="AF418" s="280">
        <f>IFERROR(SUMIF($C:$C,$V418,L:L),0)</f>
        <v>0</v>
      </c>
      <c r="AG418" s="281">
        <f t="shared" si="92"/>
        <v>0</v>
      </c>
      <c r="AH418" s="282">
        <f t="shared" si="92"/>
        <v>0</v>
      </c>
      <c r="AI418" s="283">
        <f t="shared" si="93"/>
        <v>0</v>
      </c>
      <c r="AJ418" s="288"/>
      <c r="AK418" s="282">
        <f t="shared" si="94"/>
        <v>0</v>
      </c>
      <c r="AL418" s="280">
        <f>IFERROR(SUMIF($C:$C,$V418,Q:Q),0)</f>
        <v>0</v>
      </c>
      <c r="AM418" s="284">
        <f>AE418-Y418</f>
        <v>0</v>
      </c>
      <c r="AN418" s="282">
        <f>AF418-AL418</f>
        <v>0</v>
      </c>
      <c r="AO418" s="289">
        <f t="shared" si="98"/>
        <v>0</v>
      </c>
      <c r="AP418" s="246"/>
      <c r="AQ418" s="246"/>
      <c r="AR418" s="13"/>
      <c r="AS418" s="246"/>
      <c r="AT418" s="246"/>
      <c r="AU418" s="475"/>
      <c r="AV418" s="475"/>
      <c r="AW418" s="475"/>
      <c r="AX418" s="475"/>
      <c r="AY418" s="475"/>
      <c r="AZ418" s="246"/>
      <c r="BA418" s="246"/>
      <c r="BB418" s="246"/>
      <c r="BC418" s="246"/>
      <c r="BD418" s="246"/>
      <c r="BE418" s="246"/>
      <c r="BF418" s="246"/>
      <c r="BG418" s="246"/>
      <c r="BH418" s="246"/>
      <c r="BI418" s="246"/>
    </row>
    <row r="419" spans="1:61" ht="20.25">
      <c r="A419" t="str">
        <f t="shared" si="87"/>
        <v>TOTAL VARIABLES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6"/>
      <c r="U419" s="246"/>
      <c r="V419" s="296" t="s">
        <v>37</v>
      </c>
      <c r="W419" s="297"/>
      <c r="X419" s="298">
        <f>Z419/Z407</f>
        <v>0.33560141232496427</v>
      </c>
      <c r="Y419" s="297"/>
      <c r="Z419" s="299">
        <f>SUM(Z409:Z418)</f>
        <v>93885.363692547689</v>
      </c>
      <c r="AA419" s="298"/>
      <c r="AB419" s="297"/>
      <c r="AC419" s="299"/>
      <c r="AD419" s="300">
        <f>AF419/AF407</f>
        <v>0.30911581961295664</v>
      </c>
      <c r="AE419" s="297"/>
      <c r="AF419" s="299">
        <f>SUM(AF409:AF418)</f>
        <v>63644.869999999995</v>
      </c>
      <c r="AG419" s="301"/>
      <c r="AH419" s="302">
        <f t="shared" si="92"/>
        <v>-30240.493692547694</v>
      </c>
      <c r="AI419" s="298">
        <f>AH419/Z419</f>
        <v>-0.3221001922256822</v>
      </c>
      <c r="AJ419" s="300">
        <f>IF($AL$407=0,0,AL419/$AL$407)</f>
        <v>0.35008806878800364</v>
      </c>
      <c r="AK419" s="297"/>
      <c r="AL419" s="299">
        <f>SUM(AL409:AL418)</f>
        <v>133766.33000000002</v>
      </c>
      <c r="AM419" s="303"/>
      <c r="AN419" s="302">
        <f t="shared" ref="AN419:AN431" si="99">AF419-AL419</f>
        <v>-70121.460000000021</v>
      </c>
      <c r="AO419" s="277">
        <f t="shared" si="98"/>
        <v>-0.52420859569070943</v>
      </c>
      <c r="AP419" s="246"/>
      <c r="AQ419" s="246"/>
      <c r="AR419" s="13"/>
      <c r="AS419" s="246"/>
      <c r="AT419" s="246"/>
      <c r="AU419" s="475"/>
      <c r="AV419" s="475"/>
      <c r="AW419" s="475"/>
      <c r="AX419" s="475"/>
      <c r="AY419" s="475"/>
      <c r="AZ419" s="246"/>
      <c r="BA419" s="246"/>
      <c r="BB419" s="246"/>
      <c r="BC419" s="246"/>
      <c r="BD419" s="246"/>
      <c r="BE419" s="246"/>
      <c r="BF419" s="246"/>
      <c r="BG419" s="246"/>
      <c r="BH419" s="246"/>
      <c r="BI419" s="246"/>
    </row>
    <row r="420" spans="1:61" ht="18">
      <c r="A420" t="str">
        <f t="shared" si="87"/>
        <v>Salaires propriétaire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04"/>
      <c r="P420" s="155"/>
      <c r="Q420" s="10"/>
      <c r="R420" s="10"/>
      <c r="S420" s="10"/>
      <c r="T420" s="246"/>
      <c r="U420" s="246"/>
      <c r="V420" s="102" t="s">
        <v>135</v>
      </c>
      <c r="W420" s="286" t="s">
        <v>137</v>
      </c>
      <c r="X420" s="279"/>
      <c r="Y420" s="279"/>
      <c r="Z420" s="280">
        <v>14726.288712054229</v>
      </c>
      <c r="AA420" s="279"/>
      <c r="AB420" s="279"/>
      <c r="AC420" s="280"/>
      <c r="AD420" s="288"/>
      <c r="AE420" s="287"/>
      <c r="AF420" s="280">
        <v>14479.21</v>
      </c>
      <c r="AG420" s="281"/>
      <c r="AH420" s="282">
        <f t="shared" si="92"/>
        <v>-247.07871205422998</v>
      </c>
      <c r="AI420" s="283">
        <f t="shared" ref="AI420:AI432" si="100">IF(Z420=0,0,AH420/Z420)</f>
        <v>-1.6778070624948651E-2</v>
      </c>
      <c r="AJ420" s="288"/>
      <c r="AK420" s="279"/>
      <c r="AL420" s="280">
        <v>16114.43</v>
      </c>
      <c r="AM420" s="284"/>
      <c r="AN420" s="282">
        <f t="shared" si="99"/>
        <v>-1635.2200000000012</v>
      </c>
      <c r="AO420" s="289">
        <f t="shared" si="98"/>
        <v>-0.10147550983807688</v>
      </c>
      <c r="AP420" s="246"/>
      <c r="AQ420" s="246">
        <v>14811</v>
      </c>
      <c r="AS420" s="246"/>
      <c r="AT420" s="246"/>
      <c r="AU420" s="475"/>
      <c r="AV420" s="475"/>
      <c r="AW420" s="475"/>
      <c r="AX420" s="475"/>
      <c r="AY420" s="475"/>
      <c r="AZ420" s="246"/>
      <c r="BA420" s="246"/>
      <c r="BB420" s="246"/>
      <c r="BC420" s="246"/>
      <c r="BD420" s="246"/>
      <c r="BE420" s="246"/>
      <c r="BF420" s="246"/>
      <c r="BG420" s="246"/>
      <c r="BH420" s="246"/>
      <c r="BI420" s="246"/>
    </row>
    <row r="421" spans="1:61" ht="18">
      <c r="A421" t="str">
        <f t="shared" si="87"/>
        <v>Salaires cadres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4"/>
      <c r="P421" s="155"/>
      <c r="Q421" s="10"/>
      <c r="R421" s="10"/>
      <c r="S421" s="10"/>
      <c r="T421" s="246"/>
      <c r="U421" s="246"/>
      <c r="V421" s="102" t="s">
        <v>40</v>
      </c>
      <c r="W421" s="286" t="s">
        <v>140</v>
      </c>
      <c r="X421" s="279"/>
      <c r="Y421" s="279"/>
      <c r="Z421" s="280">
        <f t="shared" ref="Z421:Z431" si="101">+SUMIF($C:$C,$V421,F:F)</f>
        <v>32839.42101385205</v>
      </c>
      <c r="AA421" s="279"/>
      <c r="AB421" s="279"/>
      <c r="AC421" s="280"/>
      <c r="AD421" s="288"/>
      <c r="AE421" s="287"/>
      <c r="AF421" s="280">
        <f t="shared" ref="AF421:AF432" si="102">+SUMIF($C:$C,$V421,L:L)</f>
        <v>30376.240000000002</v>
      </c>
      <c r="AG421" s="281"/>
      <c r="AH421" s="282">
        <f t="shared" si="92"/>
        <v>-2463.1810138520486</v>
      </c>
      <c r="AI421" s="283">
        <f t="shared" si="100"/>
        <v>-7.5006834402258499E-2</v>
      </c>
      <c r="AJ421" s="288"/>
      <c r="AK421" s="279"/>
      <c r="AL421" s="280">
        <f t="shared" ref="AL421:AL429" si="103">+SUMIF($C:$C,$V421,Q:Q)</f>
        <v>26033.780000000002</v>
      </c>
      <c r="AM421" s="284"/>
      <c r="AN421" s="282">
        <f t="shared" si="99"/>
        <v>4342.4599999999991</v>
      </c>
      <c r="AO421" s="289">
        <f t="shared" si="98"/>
        <v>0.16680097934299201</v>
      </c>
      <c r="AP421" s="246"/>
      <c r="AQ421" s="246"/>
      <c r="AR421" s="440" t="s">
        <v>277</v>
      </c>
      <c r="AS421" s="246"/>
      <c r="AT421" s="246"/>
      <c r="AU421" s="475"/>
      <c r="AV421" s="475"/>
      <c r="AW421" s="475"/>
      <c r="AX421" s="475"/>
      <c r="AY421" s="475"/>
      <c r="AZ421" s="246"/>
      <c r="BA421" s="246"/>
      <c r="BB421" s="246"/>
      <c r="BC421" s="246"/>
      <c r="BD421" s="246"/>
      <c r="BE421" s="246"/>
      <c r="BF421" s="246"/>
      <c r="BG421" s="246"/>
      <c r="BH421" s="246"/>
      <c r="BI421" s="246"/>
    </row>
    <row r="422" spans="1:61" ht="18">
      <c r="A422" t="str">
        <f t="shared" si="87"/>
        <v>Salaires commis</v>
      </c>
      <c r="B422" s="7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305"/>
      <c r="P422" s="155"/>
      <c r="Q422" s="246"/>
      <c r="R422" s="246"/>
      <c r="S422" s="246"/>
      <c r="T422" s="246"/>
      <c r="U422" s="246"/>
      <c r="V422" s="103" t="s">
        <v>41</v>
      </c>
      <c r="W422" s="290" t="s">
        <v>138</v>
      </c>
      <c r="X422" s="263"/>
      <c r="Y422" s="263"/>
      <c r="Z422" s="264">
        <f t="shared" si="101"/>
        <v>22464.420498084291</v>
      </c>
      <c r="AA422" s="263"/>
      <c r="AB422" s="263"/>
      <c r="AC422" s="264"/>
      <c r="AD422" s="292"/>
      <c r="AE422" s="291"/>
      <c r="AF422" s="264">
        <f t="shared" si="102"/>
        <v>14076.32</v>
      </c>
      <c r="AG422" s="265"/>
      <c r="AH422" s="266">
        <f t="shared" si="92"/>
        <v>-8388.1004980842918</v>
      </c>
      <c r="AI422" s="293">
        <f t="shared" si="100"/>
        <v>-0.37339492014938053</v>
      </c>
      <c r="AJ422" s="292"/>
      <c r="AK422" s="263"/>
      <c r="AL422" s="264">
        <f t="shared" si="103"/>
        <v>23662.68</v>
      </c>
      <c r="AM422" s="268"/>
      <c r="AN422" s="266">
        <f t="shared" si="99"/>
        <v>-9586.36</v>
      </c>
      <c r="AO422" s="269">
        <f t="shared" si="98"/>
        <v>-0.40512570849962898</v>
      </c>
      <c r="AP422" s="246"/>
      <c r="AQ422" s="246">
        <v>14076</v>
      </c>
      <c r="AR422" s="440" t="s">
        <v>278</v>
      </c>
      <c r="AS422" s="246"/>
      <c r="AT422" s="246"/>
      <c r="AU422" s="475"/>
      <c r="AV422" s="475"/>
      <c r="AW422" s="475"/>
      <c r="AX422" s="475"/>
      <c r="AY422" s="475"/>
      <c r="AZ422" s="246"/>
      <c r="BA422" s="246"/>
      <c r="BB422" s="246"/>
      <c r="BC422" s="246"/>
      <c r="BD422" s="246"/>
      <c r="BE422" s="246"/>
      <c r="BF422" s="246"/>
      <c r="BG422" s="246"/>
      <c r="BH422" s="246"/>
      <c r="BI422" s="246"/>
    </row>
    <row r="423" spans="1:61" ht="18">
      <c r="A423" t="str">
        <f t="shared" si="87"/>
        <v>Salaires autres</v>
      </c>
      <c r="B423" s="7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305"/>
      <c r="P423" s="155"/>
      <c r="Q423" s="246"/>
      <c r="R423" s="246"/>
      <c r="S423" s="246"/>
      <c r="T423" s="246"/>
      <c r="U423" s="246"/>
      <c r="V423" s="102" t="s">
        <v>42</v>
      </c>
      <c r="W423" s="286" t="s">
        <v>139</v>
      </c>
      <c r="X423" s="279"/>
      <c r="Y423" s="279"/>
      <c r="Z423" s="280">
        <f t="shared" si="101"/>
        <v>23383.321149425286</v>
      </c>
      <c r="AA423" s="279"/>
      <c r="AB423" s="279"/>
      <c r="AC423" s="280"/>
      <c r="AD423" s="288"/>
      <c r="AE423" s="287"/>
      <c r="AF423" s="280">
        <f t="shared" si="102"/>
        <v>19422.71</v>
      </c>
      <c r="AG423" s="281"/>
      <c r="AH423" s="282">
        <f t="shared" si="92"/>
        <v>-3960.6111494252873</v>
      </c>
      <c r="AI423" s="283">
        <f t="shared" si="100"/>
        <v>-0.16937761424546963</v>
      </c>
      <c r="AJ423" s="288"/>
      <c r="AK423" s="279"/>
      <c r="AL423" s="280">
        <f t="shared" si="103"/>
        <v>20726.59</v>
      </c>
      <c r="AM423" s="284"/>
      <c r="AN423" s="282">
        <f t="shared" si="99"/>
        <v>-1303.880000000001</v>
      </c>
      <c r="AO423" s="289">
        <f t="shared" si="98"/>
        <v>-6.2908563347854177E-2</v>
      </c>
      <c r="AP423" s="246"/>
      <c r="AQ423" s="246">
        <v>18070</v>
      </c>
      <c r="AS423" s="246"/>
      <c r="AT423" s="246"/>
      <c r="AU423" s="475"/>
      <c r="AV423" s="475"/>
      <c r="AW423" s="475"/>
      <c r="AX423" s="475"/>
      <c r="AY423" s="475"/>
      <c r="AZ423" s="246"/>
      <c r="BA423" s="246"/>
      <c r="BB423" s="246"/>
      <c r="BC423" s="246"/>
      <c r="BD423" s="246"/>
      <c r="BE423" s="246"/>
      <c r="BF423" s="246"/>
      <c r="BG423" s="246"/>
      <c r="BH423" s="246"/>
      <c r="BI423" s="246"/>
    </row>
    <row r="424" spans="1:61" ht="18">
      <c r="A424" t="str">
        <f t="shared" si="87"/>
        <v>Salaires spécialistes</v>
      </c>
      <c r="B424" s="7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305"/>
      <c r="P424" s="155"/>
      <c r="Q424" s="246"/>
      <c r="R424" s="246"/>
      <c r="S424" s="246"/>
      <c r="T424" s="246"/>
      <c r="U424" s="246"/>
      <c r="V424" s="102" t="s">
        <v>43</v>
      </c>
      <c r="W424" s="286" t="s">
        <v>225</v>
      </c>
      <c r="X424" s="279"/>
      <c r="Y424" s="279"/>
      <c r="Z424" s="280">
        <f t="shared" si="101"/>
        <v>14702.865444444444</v>
      </c>
      <c r="AA424" s="279"/>
      <c r="AB424" s="279"/>
      <c r="AC424" s="280"/>
      <c r="AD424" s="288"/>
      <c r="AE424" s="287"/>
      <c r="AF424" s="280">
        <f t="shared" si="102"/>
        <v>12308.67</v>
      </c>
      <c r="AG424" s="281"/>
      <c r="AH424" s="282">
        <f t="shared" si="92"/>
        <v>-2394.1954444444436</v>
      </c>
      <c r="AI424" s="283">
        <f t="shared" si="100"/>
        <v>-0.16283869654463193</v>
      </c>
      <c r="AJ424" s="288"/>
      <c r="AK424" s="279"/>
      <c r="AL424" s="280">
        <f t="shared" si="103"/>
        <v>16655.73</v>
      </c>
      <c r="AM424" s="284"/>
      <c r="AN424" s="282">
        <f t="shared" si="99"/>
        <v>-4347.0599999999995</v>
      </c>
      <c r="AO424" s="289">
        <f t="shared" si="98"/>
        <v>-0.2609948648303016</v>
      </c>
      <c r="AP424" s="246"/>
      <c r="AQ424" s="246">
        <v>12309</v>
      </c>
      <c r="AS424" s="475"/>
      <c r="AT424" s="475"/>
      <c r="AU424" s="475"/>
      <c r="AV424" s="475"/>
      <c r="AW424" s="475"/>
      <c r="AX424" s="475"/>
      <c r="AY424" s="475"/>
      <c r="AZ424" s="246"/>
      <c r="BA424" s="246"/>
      <c r="BB424" s="246"/>
      <c r="BC424" s="246"/>
      <c r="BD424" s="246"/>
      <c r="BE424" s="246"/>
      <c r="BF424" s="246"/>
      <c r="BG424" s="246"/>
      <c r="BH424" s="246"/>
      <c r="BI424" s="246"/>
    </row>
    <row r="425" spans="1:61" ht="18" hidden="1" customHeight="1">
      <c r="A425" t="str">
        <f t="shared" si="87"/>
        <v>[...]</v>
      </c>
      <c r="B425" s="7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305"/>
      <c r="P425" s="155"/>
      <c r="Q425" s="246"/>
      <c r="R425" s="246"/>
      <c r="S425" s="246"/>
      <c r="T425" s="246"/>
      <c r="U425" s="246"/>
      <c r="V425" s="102" t="s">
        <v>19</v>
      </c>
      <c r="W425" s="286"/>
      <c r="X425" s="279"/>
      <c r="Y425" s="279"/>
      <c r="Z425" s="282">
        <f t="shared" si="101"/>
        <v>0</v>
      </c>
      <c r="AA425" s="279"/>
      <c r="AB425" s="279"/>
      <c r="AC425" s="282"/>
      <c r="AD425" s="288"/>
      <c r="AE425" s="287"/>
      <c r="AF425" s="280">
        <f t="shared" si="102"/>
        <v>0</v>
      </c>
      <c r="AG425" s="281"/>
      <c r="AH425" s="282">
        <f t="shared" ref="AH425:AH457" si="104">AF425-Z425</f>
        <v>0</v>
      </c>
      <c r="AI425" s="283">
        <f t="shared" si="100"/>
        <v>0</v>
      </c>
      <c r="AJ425" s="288"/>
      <c r="AK425" s="279"/>
      <c r="AL425" s="280">
        <f t="shared" si="103"/>
        <v>0</v>
      </c>
      <c r="AM425" s="284"/>
      <c r="AN425" s="282">
        <f t="shared" si="99"/>
        <v>0</v>
      </c>
      <c r="AO425" s="289">
        <f t="shared" si="98"/>
        <v>0</v>
      </c>
      <c r="AP425" s="246"/>
      <c r="AQ425" s="246"/>
      <c r="AR425" s="440"/>
      <c r="AS425" s="475"/>
      <c r="AT425" s="475"/>
      <c r="AU425" s="475"/>
      <c r="AV425" s="475"/>
      <c r="AW425" s="475"/>
      <c r="AX425" s="475"/>
      <c r="AY425" s="475"/>
      <c r="AZ425" s="246"/>
      <c r="BA425" s="246"/>
      <c r="BB425" s="246"/>
      <c r="BC425" s="246"/>
      <c r="BD425" s="246"/>
      <c r="BE425" s="246"/>
      <c r="BF425" s="246"/>
      <c r="BG425" s="246"/>
      <c r="BH425" s="246"/>
      <c r="BI425" s="246"/>
    </row>
    <row r="426" spans="1:61" ht="18" hidden="1" customHeight="1">
      <c r="A426" t="str">
        <f t="shared" si="87"/>
        <v>[...]</v>
      </c>
      <c r="B426" s="7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305"/>
      <c r="P426" s="155"/>
      <c r="Q426" s="246"/>
      <c r="R426" s="246"/>
      <c r="S426" s="246"/>
      <c r="T426" s="246"/>
      <c r="U426" s="246"/>
      <c r="V426" s="102" t="s">
        <v>19</v>
      </c>
      <c r="W426" s="286"/>
      <c r="X426" s="279"/>
      <c r="Y426" s="279"/>
      <c r="Z426" s="282">
        <f t="shared" si="101"/>
        <v>0</v>
      </c>
      <c r="AA426" s="279"/>
      <c r="AB426" s="279"/>
      <c r="AC426" s="282"/>
      <c r="AD426" s="288"/>
      <c r="AE426" s="287"/>
      <c r="AF426" s="280">
        <f t="shared" si="102"/>
        <v>0</v>
      </c>
      <c r="AG426" s="281"/>
      <c r="AH426" s="282">
        <f t="shared" si="104"/>
        <v>0</v>
      </c>
      <c r="AI426" s="283">
        <f t="shared" si="100"/>
        <v>0</v>
      </c>
      <c r="AJ426" s="288"/>
      <c r="AK426" s="279"/>
      <c r="AL426" s="280">
        <f t="shared" si="103"/>
        <v>0</v>
      </c>
      <c r="AM426" s="284"/>
      <c r="AN426" s="282">
        <f t="shared" si="99"/>
        <v>0</v>
      </c>
      <c r="AO426" s="289">
        <f t="shared" si="98"/>
        <v>0</v>
      </c>
      <c r="AP426" s="246"/>
      <c r="AQ426" s="246"/>
      <c r="AS426" s="475"/>
      <c r="AT426" s="475"/>
      <c r="AU426" s="475"/>
      <c r="AV426" s="475"/>
      <c r="AW426" s="475"/>
      <c r="AX426" s="475"/>
      <c r="AY426" s="475"/>
      <c r="AZ426" s="246"/>
      <c r="BA426" s="246"/>
      <c r="BB426" s="246"/>
      <c r="BC426" s="246"/>
      <c r="BD426" s="246"/>
      <c r="BE426" s="246"/>
      <c r="BF426" s="246"/>
      <c r="BG426" s="246"/>
      <c r="BH426" s="246"/>
      <c r="BI426" s="246"/>
    </row>
    <row r="427" spans="1:61" ht="18" hidden="1" customHeight="1">
      <c r="A427" t="str">
        <f t="shared" si="87"/>
        <v>[...]</v>
      </c>
      <c r="B427" s="7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305"/>
      <c r="P427" s="155"/>
      <c r="Q427" s="246"/>
      <c r="R427" s="246"/>
      <c r="S427" s="246"/>
      <c r="T427" s="246"/>
      <c r="U427" s="246"/>
      <c r="V427" s="102" t="s">
        <v>19</v>
      </c>
      <c r="W427" s="286"/>
      <c r="X427" s="279"/>
      <c r="Y427" s="279"/>
      <c r="Z427" s="282">
        <f t="shared" si="101"/>
        <v>0</v>
      </c>
      <c r="AA427" s="279"/>
      <c r="AB427" s="279"/>
      <c r="AC427" s="282"/>
      <c r="AD427" s="288"/>
      <c r="AE427" s="287"/>
      <c r="AF427" s="280">
        <f t="shared" si="102"/>
        <v>0</v>
      </c>
      <c r="AG427" s="281"/>
      <c r="AH427" s="282">
        <f t="shared" si="104"/>
        <v>0</v>
      </c>
      <c r="AI427" s="283">
        <f t="shared" si="100"/>
        <v>0</v>
      </c>
      <c r="AJ427" s="288"/>
      <c r="AK427" s="279"/>
      <c r="AL427" s="280">
        <f t="shared" si="103"/>
        <v>0</v>
      </c>
      <c r="AM427" s="284"/>
      <c r="AN427" s="282">
        <f t="shared" si="99"/>
        <v>0</v>
      </c>
      <c r="AO427" s="289">
        <f t="shared" si="98"/>
        <v>0</v>
      </c>
      <c r="AP427" s="246"/>
      <c r="AQ427" s="246"/>
      <c r="AS427" s="475"/>
      <c r="AT427" s="475"/>
      <c r="AU427" s="475"/>
      <c r="AV427" s="475"/>
      <c r="AW427" s="475"/>
      <c r="AX427" s="475"/>
      <c r="AY427" s="475"/>
      <c r="AZ427" s="246"/>
      <c r="BA427" s="246"/>
      <c r="BB427" s="246"/>
      <c r="BC427" s="246"/>
      <c r="BD427" s="246"/>
      <c r="BE427" s="246"/>
      <c r="BF427" s="246"/>
      <c r="BG427" s="246"/>
      <c r="BH427" s="246"/>
      <c r="BI427" s="246"/>
    </row>
    <row r="428" spans="1:61" ht="18">
      <c r="A428" t="str">
        <f t="shared" si="87"/>
        <v>Salaires en absences</v>
      </c>
      <c r="B428" s="7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305"/>
      <c r="P428" s="155"/>
      <c r="Q428" s="246"/>
      <c r="R428" s="246"/>
      <c r="S428" s="246"/>
      <c r="T428" s="246"/>
      <c r="U428" s="246"/>
      <c r="V428" s="103" t="s">
        <v>44</v>
      </c>
      <c r="W428" s="290" t="s">
        <v>141</v>
      </c>
      <c r="X428" s="263"/>
      <c r="Y428" s="263"/>
      <c r="Z428" s="264">
        <f t="shared" si="101"/>
        <v>35036.273850804144</v>
      </c>
      <c r="AA428" s="263"/>
      <c r="AB428" s="263"/>
      <c r="AC428" s="264"/>
      <c r="AD428" s="292"/>
      <c r="AE428" s="291"/>
      <c r="AF428" s="264">
        <f t="shared" si="102"/>
        <v>31215.3</v>
      </c>
      <c r="AG428" s="265"/>
      <c r="AH428" s="266">
        <f t="shared" si="104"/>
        <v>-3820.9738508041446</v>
      </c>
      <c r="AI428" s="293">
        <f t="shared" si="100"/>
        <v>-0.10905765456324193</v>
      </c>
      <c r="AJ428" s="292"/>
      <c r="AK428" s="263"/>
      <c r="AL428" s="264">
        <f t="shared" si="103"/>
        <v>40845.19</v>
      </c>
      <c r="AM428" s="268"/>
      <c r="AN428" s="266">
        <f t="shared" si="99"/>
        <v>-9629.8900000000031</v>
      </c>
      <c r="AO428" s="294">
        <f t="shared" si="98"/>
        <v>-0.23576558218972668</v>
      </c>
      <c r="AP428" s="475"/>
      <c r="AQ428" s="483"/>
      <c r="AR428" s="519" t="s">
        <v>279</v>
      </c>
      <c r="AS428" s="475"/>
      <c r="AT428" s="475"/>
      <c r="AU428" s="475"/>
      <c r="AV428" s="475"/>
      <c r="AW428" s="475"/>
      <c r="AX428" s="475"/>
      <c r="AY428" s="475"/>
      <c r="AZ428" s="246"/>
      <c r="BA428" s="246"/>
      <c r="BB428" s="246"/>
      <c r="BC428" s="246"/>
      <c r="BD428" s="246"/>
      <c r="BE428" s="246"/>
      <c r="BF428" s="246"/>
      <c r="BG428" s="246"/>
      <c r="BH428" s="246"/>
      <c r="BI428" s="246"/>
    </row>
    <row r="429" spans="1:61" ht="18">
      <c r="A429" t="str">
        <f t="shared" si="87"/>
        <v>Déduction à la source</v>
      </c>
      <c r="B429" s="7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305"/>
      <c r="P429" s="155"/>
      <c r="Q429" s="246"/>
      <c r="R429" s="246"/>
      <c r="S429" s="246"/>
      <c r="T429" s="246"/>
      <c r="U429" s="246"/>
      <c r="V429" s="102" t="s">
        <v>45</v>
      </c>
      <c r="W429" s="286" t="s">
        <v>142</v>
      </c>
      <c r="X429" s="279"/>
      <c r="Y429" s="279"/>
      <c r="Z429" s="280">
        <f t="shared" si="101"/>
        <v>21021.011041360092</v>
      </c>
      <c r="AA429" s="279"/>
      <c r="AB429" s="279"/>
      <c r="AC429" s="280"/>
      <c r="AD429" s="288"/>
      <c r="AE429" s="287"/>
      <c r="AF429" s="280">
        <f t="shared" si="102"/>
        <v>24123.63</v>
      </c>
      <c r="AG429" s="281"/>
      <c r="AH429" s="282">
        <f t="shared" si="104"/>
        <v>3102.6189586399087</v>
      </c>
      <c r="AI429" s="283">
        <f>IF(Z429=0,0,AH429/Z429)</f>
        <v>0.14759608624605738</v>
      </c>
      <c r="AJ429" s="288"/>
      <c r="AK429" s="279"/>
      <c r="AL429" s="280">
        <f t="shared" si="103"/>
        <v>25190.809999999998</v>
      </c>
      <c r="AM429" s="284"/>
      <c r="AN429" s="282">
        <f t="shared" si="99"/>
        <v>-1067.1799999999967</v>
      </c>
      <c r="AO429" s="289">
        <f t="shared" si="98"/>
        <v>-4.2363862059219083E-2</v>
      </c>
      <c r="AP429" s="475"/>
      <c r="AQ429" s="474"/>
      <c r="AR429" s="474"/>
      <c r="AS429" s="475"/>
      <c r="AT429" s="475"/>
      <c r="AU429" s="475"/>
      <c r="AV429" s="246"/>
      <c r="AW429" s="246"/>
      <c r="AX429" s="246"/>
      <c r="AY429" s="246"/>
      <c r="AZ429" s="246"/>
      <c r="BA429" s="246"/>
      <c r="BB429" s="246"/>
      <c r="BC429" s="246"/>
      <c r="BD429" s="246"/>
      <c r="BE429" s="246"/>
      <c r="BF429" s="246"/>
      <c r="BG429" s="246"/>
      <c r="BH429" s="246"/>
      <c r="BI429" s="246"/>
    </row>
    <row r="430" spans="1:61" ht="18">
      <c r="A430" t="str">
        <f t="shared" si="87"/>
        <v>Bénéfices marginaux</v>
      </c>
      <c r="B430" s="7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305"/>
      <c r="P430" s="155"/>
      <c r="Q430" s="246"/>
      <c r="R430" s="246"/>
      <c r="S430" s="246"/>
      <c r="T430" s="246"/>
      <c r="U430" s="246"/>
      <c r="V430" s="102" t="s">
        <v>46</v>
      </c>
      <c r="W430" s="286" t="s">
        <v>226</v>
      </c>
      <c r="X430" s="279"/>
      <c r="Y430" s="279"/>
      <c r="Z430" s="280">
        <f t="shared" si="101"/>
        <v>12907.638358729881</v>
      </c>
      <c r="AA430" s="279"/>
      <c r="AB430" s="279"/>
      <c r="AC430" s="280"/>
      <c r="AD430" s="288"/>
      <c r="AE430" s="287"/>
      <c r="AF430" s="280">
        <f t="shared" si="102"/>
        <v>12446.010000000002</v>
      </c>
      <c r="AG430" s="281"/>
      <c r="AH430" s="282">
        <f t="shared" si="104"/>
        <v>-461.62835872987853</v>
      </c>
      <c r="AI430" s="283">
        <f t="shared" si="100"/>
        <v>-3.5763967497405395E-2</v>
      </c>
      <c r="AJ430" s="288"/>
      <c r="AK430" s="279"/>
      <c r="AL430" s="280">
        <f>IFERROR(SUMIF($C:$C,$V430,Q:Q),0)</f>
        <v>15188.6</v>
      </c>
      <c r="AM430" s="284"/>
      <c r="AN430" s="282">
        <f t="shared" si="99"/>
        <v>-2742.5899999999983</v>
      </c>
      <c r="AO430" s="289">
        <f t="shared" si="98"/>
        <v>-0.18056897936610342</v>
      </c>
      <c r="AP430" s="475"/>
      <c r="AQ430" s="474"/>
      <c r="AR430" s="474"/>
      <c r="AS430" s="475"/>
      <c r="AT430" s="475"/>
      <c r="AU430" s="475"/>
      <c r="AV430" s="246"/>
      <c r="AW430" s="246"/>
      <c r="AX430" s="246"/>
      <c r="AY430" s="246"/>
      <c r="AZ430" s="246"/>
      <c r="BA430" s="246"/>
      <c r="BB430" s="246"/>
      <c r="BC430" s="246"/>
      <c r="BD430" s="246"/>
      <c r="BE430" s="246"/>
      <c r="BF430" s="246"/>
      <c r="BG430" s="246"/>
      <c r="BH430" s="246"/>
      <c r="BI430" s="246"/>
    </row>
    <row r="431" spans="1:61" ht="18">
      <c r="A431" t="str">
        <f t="shared" si="87"/>
        <v>Csst</v>
      </c>
      <c r="B431" s="7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305"/>
      <c r="P431" s="155"/>
      <c r="Q431" s="246"/>
      <c r="R431" s="246"/>
      <c r="S431" s="246"/>
      <c r="T431" s="246"/>
      <c r="U431" s="246"/>
      <c r="V431" s="102" t="s">
        <v>47</v>
      </c>
      <c r="W431" s="286" t="s">
        <v>227</v>
      </c>
      <c r="X431" s="279"/>
      <c r="Y431" s="279"/>
      <c r="Z431" s="280">
        <f t="shared" si="101"/>
        <v>2765.9225054421172</v>
      </c>
      <c r="AA431" s="279"/>
      <c r="AB431" s="279"/>
      <c r="AC431" s="280"/>
      <c r="AD431" s="288"/>
      <c r="AE431" s="287"/>
      <c r="AF431" s="280">
        <f t="shared" si="102"/>
        <v>5350</v>
      </c>
      <c r="AG431" s="281"/>
      <c r="AH431" s="282">
        <f t="shared" si="104"/>
        <v>2584.0774945578828</v>
      </c>
      <c r="AI431" s="306">
        <f t="shared" si="100"/>
        <v>0.93425520399561324</v>
      </c>
      <c r="AJ431" s="288"/>
      <c r="AK431" s="279"/>
      <c r="AL431" s="280">
        <f>IFERROR(SUMIF($C:$C,$V431,Q:Q),0)</f>
        <v>1629.08</v>
      </c>
      <c r="AM431" s="284"/>
      <c r="AN431" s="282">
        <f t="shared" si="99"/>
        <v>3720.92</v>
      </c>
      <c r="AO431" s="294">
        <f t="shared" si="98"/>
        <v>2.2840621700591748</v>
      </c>
      <c r="AP431" s="475"/>
      <c r="AQ431" s="474"/>
      <c r="AR431" s="474"/>
      <c r="AS431" s="475"/>
      <c r="AT431" s="475"/>
      <c r="AU431" s="475"/>
      <c r="AV431" s="246"/>
      <c r="AW431" s="246"/>
      <c r="AX431" s="246"/>
      <c r="AY431" s="246"/>
      <c r="AZ431" s="246"/>
      <c r="BA431" s="246"/>
      <c r="BB431" s="246"/>
      <c r="BC431" s="246"/>
      <c r="BD431" s="246"/>
      <c r="BE431" s="246"/>
      <c r="BF431" s="246"/>
      <c r="BG431" s="246"/>
      <c r="BH431" s="246"/>
      <c r="BI431" s="246"/>
    </row>
    <row r="432" spans="1:61" ht="18" hidden="1" customHeight="1">
      <c r="A432" t="str">
        <f t="shared" si="87"/>
        <v>[...]</v>
      </c>
      <c r="B432" s="7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246"/>
      <c r="U432" s="246"/>
      <c r="V432" s="29" t="s">
        <v>19</v>
      </c>
      <c r="W432" s="286"/>
      <c r="X432" s="279"/>
      <c r="Y432" s="287"/>
      <c r="Z432" s="282">
        <f>IFERROR(SUMIF($C:$C,$V432,F:F),0)</f>
        <v>0</v>
      </c>
      <c r="AA432" s="279"/>
      <c r="AB432" s="279"/>
      <c r="AC432" s="282"/>
      <c r="AD432" s="288"/>
      <c r="AE432" s="287"/>
      <c r="AF432" s="280">
        <f t="shared" si="102"/>
        <v>0</v>
      </c>
      <c r="AG432" s="281"/>
      <c r="AH432" s="282">
        <f t="shared" si="104"/>
        <v>0</v>
      </c>
      <c r="AI432" s="283">
        <f t="shared" si="100"/>
        <v>0</v>
      </c>
      <c r="AJ432" s="288"/>
      <c r="AK432" s="279"/>
      <c r="AL432" s="280">
        <f>IFERROR(SUMIF($C:$C,$V432,Q:Q),0)</f>
        <v>0</v>
      </c>
      <c r="AM432" s="284"/>
      <c r="AN432" s="282"/>
      <c r="AO432" s="294"/>
      <c r="AP432" s="246"/>
      <c r="AQ432" s="246"/>
      <c r="AR432" s="474"/>
      <c r="AS432" s="475"/>
      <c r="AT432" s="475"/>
      <c r="AU432" s="475"/>
      <c r="AV432" s="246"/>
      <c r="AW432" s="246"/>
      <c r="AX432" s="246"/>
      <c r="AY432" s="246"/>
      <c r="AZ432" s="246"/>
      <c r="BA432" s="246"/>
      <c r="BB432" s="246"/>
      <c r="BC432" s="246"/>
      <c r="BD432" s="246"/>
      <c r="BE432" s="246"/>
      <c r="BF432" s="246"/>
      <c r="BG432" s="246"/>
      <c r="BH432" s="246"/>
      <c r="BI432" s="246"/>
    </row>
    <row r="433" spans="1:62" ht="18">
      <c r="A433" t="str">
        <f t="shared" si="87"/>
        <v>TOTAL PERSONNEL</v>
      </c>
      <c r="B433" s="7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R433" s="246"/>
      <c r="S433" s="246"/>
      <c r="T433" s="246"/>
      <c r="U433" s="246"/>
      <c r="V433" s="296" t="s">
        <v>48</v>
      </c>
      <c r="W433" s="297"/>
      <c r="X433" s="298">
        <f>Z433/Z407</f>
        <v>0.64287935188910328</v>
      </c>
      <c r="Y433" s="297"/>
      <c r="Z433" s="299">
        <f>SUM(Z420:Z432)</f>
        <v>179847.16257419653</v>
      </c>
      <c r="AA433" s="298"/>
      <c r="AB433" s="297"/>
      <c r="AC433" s="299"/>
      <c r="AD433" s="300">
        <f>AF433/AF407</f>
        <v>0.79554849968877062</v>
      </c>
      <c r="AE433" s="307"/>
      <c r="AF433" s="299">
        <f>SUM(AF420:AF432)</f>
        <v>163798.09</v>
      </c>
      <c r="AG433" s="308"/>
      <c r="AH433" s="302">
        <f t="shared" si="104"/>
        <v>-16049.072574196529</v>
      </c>
      <c r="AI433" s="298">
        <f>AH433/Z433</f>
        <v>-8.923728539545589E-2</v>
      </c>
      <c r="AJ433" s="300">
        <f>IF($AL$407=0,0,AL433/$AL$407)</f>
        <v>0.48691472976880013</v>
      </c>
      <c r="AK433" s="297"/>
      <c r="AL433" s="299">
        <f>SUM(AL420:AL432)</f>
        <v>186046.89</v>
      </c>
      <c r="AM433" s="309"/>
      <c r="AN433" s="302">
        <f t="shared" ref="AN433:AN447" si="105">AF433-AL433</f>
        <v>-22248.800000000017</v>
      </c>
      <c r="AO433" s="277">
        <f>IF(AL433=0,0,AN433/AL433)</f>
        <v>-0.11958705678982334</v>
      </c>
      <c r="AP433" s="246"/>
      <c r="AQ433" s="246"/>
      <c r="AR433" s="474"/>
      <c r="AS433" s="475"/>
      <c r="AT433" s="475"/>
      <c r="AU433" s="475"/>
      <c r="AV433" s="246"/>
      <c r="AW433" s="246"/>
      <c r="AX433" s="246"/>
      <c r="AY433" s="246"/>
      <c r="AZ433" s="246"/>
      <c r="BA433" s="246"/>
      <c r="BB433" s="246"/>
      <c r="BC433" s="246"/>
      <c r="BD433" s="246"/>
      <c r="BE433" s="246"/>
      <c r="BF433" s="246"/>
      <c r="BG433" s="246"/>
      <c r="BH433" s="246"/>
      <c r="BI433" s="246"/>
    </row>
    <row r="434" spans="1:62" ht="18">
      <c r="A434" t="str">
        <f t="shared" si="87"/>
        <v>Publicité 2</v>
      </c>
      <c r="B434" s="7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310"/>
      <c r="S434" s="246"/>
      <c r="T434" s="246"/>
      <c r="U434" s="246"/>
      <c r="V434" s="211" t="s">
        <v>49</v>
      </c>
      <c r="W434" s="311" t="s">
        <v>228</v>
      </c>
      <c r="X434" s="312"/>
      <c r="Y434" s="312"/>
      <c r="Z434" s="313">
        <f t="shared" ref="Z434:Z448" si="106">+SUMIF($C:$C,$V434,F:F)</f>
        <v>10063.842584695667</v>
      </c>
      <c r="AA434" s="312"/>
      <c r="AB434" s="312"/>
      <c r="AC434" s="313"/>
      <c r="AD434" s="314"/>
      <c r="AE434" s="315"/>
      <c r="AF434" s="313">
        <f t="shared" ref="AF434:AF451" si="107">+SUMIF($C:$C,$V434,L:L)</f>
        <v>2195.19</v>
      </c>
      <c r="AG434" s="314"/>
      <c r="AH434" s="316">
        <f t="shared" si="104"/>
        <v>-7868.6525846956665</v>
      </c>
      <c r="AI434" s="317">
        <f t="shared" ref="AI434:AI451" si="108">IF(Z434=0,0,AH434/Z434)</f>
        <v>-0.78187357547322134</v>
      </c>
      <c r="AJ434" s="314"/>
      <c r="AK434" s="312"/>
      <c r="AL434" s="313">
        <f t="shared" ref="AL434:AL448" si="109">+SUMIF($C:$C,$V434,Q:Q)</f>
        <v>10143.799999999999</v>
      </c>
      <c r="AM434" s="318"/>
      <c r="AN434" s="316">
        <f t="shared" si="105"/>
        <v>-7948.6099999999988</v>
      </c>
      <c r="AO434" s="285">
        <f t="shared" ref="AO434:AO447" si="110">IF(AL434=0,0,AN434/AL434)</f>
        <v>-0.78359293361462168</v>
      </c>
      <c r="AP434" s="246"/>
      <c r="AQ434" s="246">
        <f>2395-200</f>
        <v>2195</v>
      </c>
      <c r="AR434" s="246" t="s">
        <v>280</v>
      </c>
      <c r="AS434" s="484"/>
      <c r="AT434" s="475"/>
      <c r="AU434" s="475"/>
      <c r="AV434" s="246"/>
      <c r="AW434" s="246"/>
      <c r="AX434" s="246"/>
      <c r="AY434" s="246"/>
      <c r="AZ434" s="246"/>
      <c r="BA434" s="246"/>
      <c r="BB434" s="246"/>
      <c r="BC434" s="246"/>
      <c r="BD434" s="246"/>
      <c r="BE434" s="246"/>
      <c r="BF434" s="246"/>
      <c r="BG434" s="246"/>
      <c r="BH434" s="246"/>
      <c r="BI434" s="246"/>
    </row>
    <row r="435" spans="1:62" ht="18">
      <c r="A435" t="str">
        <f t="shared" si="87"/>
        <v>Service gratuit 2</v>
      </c>
      <c r="B435" s="7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Q435" s="310"/>
      <c r="S435" s="246"/>
      <c r="T435" s="246"/>
      <c r="U435" s="246"/>
      <c r="V435" s="102" t="s">
        <v>50</v>
      </c>
      <c r="W435" s="286" t="s">
        <v>148</v>
      </c>
      <c r="X435" s="279"/>
      <c r="Y435" s="279"/>
      <c r="Z435" s="280">
        <f t="shared" si="106"/>
        <v>3333.3333333333335</v>
      </c>
      <c r="AA435" s="279"/>
      <c r="AB435" s="279"/>
      <c r="AC435" s="280"/>
      <c r="AD435" s="288"/>
      <c r="AE435" s="287"/>
      <c r="AF435" s="280">
        <f t="shared" si="107"/>
        <v>1075.23</v>
      </c>
      <c r="AG435" s="281"/>
      <c r="AH435" s="282">
        <f t="shared" si="104"/>
        <v>-2258.1033333333335</v>
      </c>
      <c r="AI435" s="283">
        <f t="shared" si="108"/>
        <v>-0.67743100000000001</v>
      </c>
      <c r="AJ435" s="288"/>
      <c r="AK435" s="279"/>
      <c r="AL435" s="280">
        <f t="shared" si="109"/>
        <v>5565.61</v>
      </c>
      <c r="AM435" s="284"/>
      <c r="AN435" s="282">
        <f t="shared" si="105"/>
        <v>-4490.3799999999992</v>
      </c>
      <c r="AO435" s="289">
        <f t="shared" si="110"/>
        <v>-0.80680823845005301</v>
      </c>
      <c r="AP435" s="246"/>
      <c r="AQ435" s="246">
        <v>1075</v>
      </c>
      <c r="AR435" s="246"/>
      <c r="AS435" s="246"/>
      <c r="AT435" s="246"/>
      <c r="AU435" s="246"/>
      <c r="AV435" s="246"/>
      <c r="AW435" s="246"/>
      <c r="AX435" s="246"/>
      <c r="AY435" s="246"/>
      <c r="AZ435" s="246"/>
      <c r="BA435" s="246"/>
      <c r="BB435" s="246"/>
      <c r="BC435" s="246"/>
      <c r="BD435" s="246"/>
      <c r="BE435" s="246"/>
      <c r="BF435" s="246"/>
      <c r="BG435" s="246"/>
      <c r="BH435" s="246"/>
      <c r="BI435" s="246"/>
    </row>
    <row r="436" spans="1:62" ht="18">
      <c r="A436" t="str">
        <f t="shared" si="87"/>
        <v>Frais véhicules de cie</v>
      </c>
      <c r="B436" s="7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310"/>
      <c r="S436" s="246"/>
      <c r="T436" s="246"/>
      <c r="U436" s="246"/>
      <c r="V436" s="103" t="s">
        <v>51</v>
      </c>
      <c r="W436" s="290" t="s">
        <v>229</v>
      </c>
      <c r="X436" s="263"/>
      <c r="Y436" s="263"/>
      <c r="Z436" s="264">
        <f t="shared" si="106"/>
        <v>15011.333333333332</v>
      </c>
      <c r="AA436" s="263"/>
      <c r="AB436" s="263"/>
      <c r="AC436" s="264"/>
      <c r="AD436" s="292"/>
      <c r="AE436" s="291"/>
      <c r="AF436" s="264">
        <f t="shared" si="107"/>
        <v>7275.83</v>
      </c>
      <c r="AG436" s="265"/>
      <c r="AH436" s="266">
        <f t="shared" si="104"/>
        <v>-7735.5033333333322</v>
      </c>
      <c r="AI436" s="293">
        <f t="shared" si="108"/>
        <v>-0.51531087622685079</v>
      </c>
      <c r="AJ436" s="292"/>
      <c r="AK436" s="263"/>
      <c r="AL436" s="264">
        <f t="shared" si="109"/>
        <v>25269.279999999999</v>
      </c>
      <c r="AM436" s="268"/>
      <c r="AN436" s="266">
        <f t="shared" si="105"/>
        <v>-17993.449999999997</v>
      </c>
      <c r="AO436" s="269">
        <f t="shared" si="110"/>
        <v>-0.7120681713131517</v>
      </c>
      <c r="AP436" s="246"/>
      <c r="AQ436" s="485">
        <v>7276</v>
      </c>
      <c r="AR436" s="485" t="s">
        <v>281</v>
      </c>
      <c r="AS436" s="246"/>
      <c r="AT436" s="246"/>
      <c r="AU436" s="246"/>
      <c r="AV436" s="246"/>
      <c r="AW436" s="246"/>
      <c r="AX436" s="246"/>
      <c r="AY436" s="246"/>
      <c r="AZ436" s="246"/>
      <c r="BA436" s="246"/>
      <c r="BB436" s="246"/>
      <c r="BC436" s="246"/>
      <c r="BD436" s="246"/>
      <c r="BE436" s="246"/>
      <c r="BF436" s="246"/>
      <c r="BG436" s="246"/>
      <c r="BH436" s="246"/>
      <c r="BI436" s="246"/>
      <c r="BJ436" s="246"/>
    </row>
    <row r="437" spans="1:62" ht="18">
      <c r="A437" t="str">
        <f t="shared" si="87"/>
        <v>Informatique</v>
      </c>
      <c r="B437" s="7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310"/>
      <c r="S437" s="246"/>
      <c r="T437" s="246"/>
      <c r="U437" s="246"/>
      <c r="V437" s="102" t="s">
        <v>52</v>
      </c>
      <c r="W437" s="286" t="s">
        <v>230</v>
      </c>
      <c r="X437" s="279"/>
      <c r="Y437" s="279"/>
      <c r="Z437" s="280">
        <f t="shared" si="106"/>
        <v>14164</v>
      </c>
      <c r="AA437" s="279"/>
      <c r="AB437" s="279"/>
      <c r="AC437" s="280"/>
      <c r="AD437" s="288"/>
      <c r="AE437" s="287"/>
      <c r="AF437" s="280">
        <f t="shared" si="107"/>
        <v>15247.590000000002</v>
      </c>
      <c r="AG437" s="281"/>
      <c r="AH437" s="282">
        <f>AF437-Z437</f>
        <v>1083.590000000002</v>
      </c>
      <c r="AI437" s="283">
        <f t="shared" si="108"/>
        <v>7.6503106467099832E-2</v>
      </c>
      <c r="AJ437" s="288"/>
      <c r="AK437" s="279"/>
      <c r="AL437" s="280">
        <f t="shared" si="109"/>
        <v>14541.2</v>
      </c>
      <c r="AM437" s="284"/>
      <c r="AN437" s="282">
        <f t="shared" si="105"/>
        <v>706.39000000000124</v>
      </c>
      <c r="AO437" s="289">
        <f t="shared" si="110"/>
        <v>4.8578521717602484E-2</v>
      </c>
      <c r="AP437" s="485"/>
      <c r="AQ437" s="494">
        <f>18229-2981</f>
        <v>15248</v>
      </c>
      <c r="AR437" s="485" t="s">
        <v>282</v>
      </c>
      <c r="AS437" s="485"/>
      <c r="AT437" s="246"/>
      <c r="AU437" s="246"/>
      <c r="AV437" s="246"/>
      <c r="AW437" s="246"/>
      <c r="AX437" s="246"/>
      <c r="AY437" s="246"/>
      <c r="AZ437" s="246"/>
      <c r="BA437" s="246"/>
      <c r="BB437" s="246"/>
      <c r="BC437" s="246"/>
      <c r="BD437" s="246"/>
      <c r="BE437" s="246"/>
      <c r="BF437" s="246"/>
      <c r="BG437" s="246"/>
      <c r="BH437" s="246"/>
      <c r="BI437" s="246"/>
      <c r="BJ437" s="246"/>
    </row>
    <row r="438" spans="1:62" ht="18">
      <c r="A438" t="str">
        <f t="shared" si="87"/>
        <v>Frais de déplacement</v>
      </c>
      <c r="B438" s="7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310"/>
      <c r="S438" s="246"/>
      <c r="T438" s="246"/>
      <c r="U438" s="246"/>
      <c r="V438" s="102" t="s">
        <v>53</v>
      </c>
      <c r="W438" s="286" t="s">
        <v>231</v>
      </c>
      <c r="X438" s="279"/>
      <c r="Y438" s="279"/>
      <c r="Z438" s="280">
        <f t="shared" si="106"/>
        <v>1833.3333333333335</v>
      </c>
      <c r="AA438" s="279"/>
      <c r="AB438" s="279"/>
      <c r="AC438" s="280"/>
      <c r="AD438" s="288"/>
      <c r="AE438" s="287"/>
      <c r="AF438" s="280">
        <f t="shared" si="107"/>
        <v>631.79</v>
      </c>
      <c r="AG438" s="281"/>
      <c r="AH438" s="282">
        <f t="shared" si="104"/>
        <v>-1201.5433333333335</v>
      </c>
      <c r="AI438" s="283">
        <f t="shared" si="108"/>
        <v>-0.65538727272727282</v>
      </c>
      <c r="AJ438" s="288"/>
      <c r="AK438" s="279"/>
      <c r="AL438" s="280">
        <f t="shared" si="109"/>
        <v>1906.5700000000002</v>
      </c>
      <c r="AM438" s="284"/>
      <c r="AN438" s="282">
        <f t="shared" si="105"/>
        <v>-1274.7800000000002</v>
      </c>
      <c r="AO438" s="289">
        <f t="shared" si="110"/>
        <v>-0.6686248079010999</v>
      </c>
      <c r="AP438" s="485"/>
      <c r="AQ438" s="246">
        <v>632</v>
      </c>
      <c r="AR438" s="494"/>
      <c r="AS438" s="246"/>
      <c r="AT438" s="246"/>
      <c r="AU438" s="246"/>
      <c r="AV438" s="246"/>
      <c r="AW438" s="246"/>
      <c r="AX438" s="246"/>
      <c r="AY438" s="246"/>
      <c r="AZ438" s="246"/>
      <c r="BA438" s="246"/>
      <c r="BB438" s="246"/>
      <c r="BC438" s="246"/>
      <c r="BD438" s="246"/>
      <c r="BE438" s="246"/>
      <c r="BF438" s="246"/>
      <c r="BG438" s="246"/>
      <c r="BH438" s="246"/>
      <c r="BI438" s="246"/>
      <c r="BJ438" s="246"/>
    </row>
    <row r="439" spans="1:62" ht="18">
      <c r="A439" t="str">
        <f t="shared" si="87"/>
        <v>Services extérieurs</v>
      </c>
      <c r="B439" s="7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310"/>
      <c r="S439" s="246"/>
      <c r="T439" s="246"/>
      <c r="U439" s="246"/>
      <c r="V439" s="102" t="s">
        <v>54</v>
      </c>
      <c r="W439" s="286" t="s">
        <v>232</v>
      </c>
      <c r="X439" s="279"/>
      <c r="Y439" s="279"/>
      <c r="Z439" s="280">
        <f t="shared" si="106"/>
        <v>11716</v>
      </c>
      <c r="AA439" s="279"/>
      <c r="AB439" s="279"/>
      <c r="AC439" s="280"/>
      <c r="AD439" s="288"/>
      <c r="AE439" s="287"/>
      <c r="AF439" s="280">
        <f t="shared" si="107"/>
        <v>14442.800000000001</v>
      </c>
      <c r="AG439" s="281"/>
      <c r="AH439" s="282">
        <f t="shared" si="104"/>
        <v>2726.8000000000011</v>
      </c>
      <c r="AI439" s="283">
        <f t="shared" si="108"/>
        <v>0.23274155001707075</v>
      </c>
      <c r="AJ439" s="288"/>
      <c r="AK439" s="279"/>
      <c r="AL439" s="280">
        <f t="shared" si="109"/>
        <v>12577.59</v>
      </c>
      <c r="AM439" s="284"/>
      <c r="AN439" s="282">
        <f t="shared" si="105"/>
        <v>1865.2100000000009</v>
      </c>
      <c r="AO439" s="289">
        <f t="shared" si="110"/>
        <v>0.14829629523620988</v>
      </c>
      <c r="AP439" s="246"/>
      <c r="AQ439" s="485">
        <v>14443</v>
      </c>
      <c r="AR439" s="485" t="s">
        <v>283</v>
      </c>
      <c r="AS439" s="246"/>
      <c r="AT439" s="246"/>
      <c r="AU439" s="246"/>
      <c r="AV439" s="246"/>
      <c r="AW439" s="246"/>
      <c r="AX439" s="246"/>
      <c r="AY439" s="246"/>
      <c r="AZ439" s="246"/>
      <c r="BA439" s="246"/>
      <c r="BB439" s="246"/>
      <c r="BC439" s="246"/>
      <c r="BD439" s="246"/>
      <c r="BE439" s="246"/>
      <c r="BF439" s="246"/>
      <c r="BG439" s="246"/>
      <c r="BH439" s="246"/>
      <c r="BI439" s="246"/>
      <c r="BJ439" s="246"/>
    </row>
    <row r="440" spans="1:62" ht="18" hidden="1" customHeight="1">
      <c r="B440" s="7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310"/>
      <c r="S440" s="246"/>
      <c r="T440" s="246"/>
      <c r="U440" s="246"/>
      <c r="V440" s="212" t="s">
        <v>93</v>
      </c>
      <c r="W440" s="319"/>
      <c r="X440" s="320"/>
      <c r="Y440" s="320"/>
      <c r="Z440" s="321">
        <f t="shared" si="106"/>
        <v>0</v>
      </c>
      <c r="AA440" s="320"/>
      <c r="AB440" s="320"/>
      <c r="AC440" s="321"/>
      <c r="AD440" s="322"/>
      <c r="AE440" s="323"/>
      <c r="AF440" s="321">
        <f t="shared" si="107"/>
        <v>0</v>
      </c>
      <c r="AG440" s="324"/>
      <c r="AH440" s="325">
        <f t="shared" si="104"/>
        <v>0</v>
      </c>
      <c r="AI440" s="326">
        <f t="shared" si="108"/>
        <v>0</v>
      </c>
      <c r="AJ440" s="322"/>
      <c r="AK440" s="320"/>
      <c r="AL440" s="321">
        <f t="shared" si="109"/>
        <v>0</v>
      </c>
      <c r="AM440" s="327"/>
      <c r="AN440" s="325">
        <f>AF440-AL440</f>
        <v>0</v>
      </c>
      <c r="AO440" s="328">
        <f>IF(AL440=0,0,AN440/AL440)</f>
        <v>0</v>
      </c>
      <c r="AP440" s="246"/>
      <c r="AQ440" s="246"/>
      <c r="AR440" s="246"/>
      <c r="AS440" s="246"/>
      <c r="AT440" s="246"/>
      <c r="AU440" s="246"/>
      <c r="AV440" s="246"/>
      <c r="AW440" s="246"/>
      <c r="AX440" s="246"/>
      <c r="AY440" s="246"/>
      <c r="AZ440" s="246"/>
      <c r="BA440" s="246"/>
      <c r="BB440" s="246"/>
      <c r="BC440" s="246"/>
      <c r="BD440" s="246"/>
      <c r="BE440" s="246"/>
      <c r="BF440" s="246"/>
      <c r="BG440" s="246"/>
      <c r="BH440" s="246"/>
      <c r="BI440" s="246"/>
      <c r="BJ440" s="246"/>
    </row>
    <row r="441" spans="1:62" ht="18">
      <c r="A441" t="str">
        <f t="shared" si="87"/>
        <v>Fournitures autres</v>
      </c>
      <c r="B441" s="7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329"/>
      <c r="Q441" s="310"/>
      <c r="R441" s="246"/>
      <c r="S441" s="246"/>
      <c r="T441" s="246"/>
      <c r="U441" s="246"/>
      <c r="V441" s="102" t="s">
        <v>55</v>
      </c>
      <c r="W441" s="286" t="s">
        <v>149</v>
      </c>
      <c r="X441" s="279"/>
      <c r="Y441" s="287"/>
      <c r="Z441" s="280">
        <f t="shared" si="106"/>
        <v>1167.5</v>
      </c>
      <c r="AA441" s="279"/>
      <c r="AB441" s="287"/>
      <c r="AC441" s="280"/>
      <c r="AD441" s="288"/>
      <c r="AE441" s="287"/>
      <c r="AF441" s="280">
        <f t="shared" si="107"/>
        <v>1758.85</v>
      </c>
      <c r="AG441" s="281"/>
      <c r="AH441" s="282">
        <f t="shared" si="104"/>
        <v>591.34999999999991</v>
      </c>
      <c r="AI441" s="283">
        <f t="shared" si="108"/>
        <v>0.50650963597430398</v>
      </c>
      <c r="AJ441" s="288"/>
      <c r="AK441" s="279"/>
      <c r="AL441" s="280">
        <f t="shared" si="109"/>
        <v>3893.39</v>
      </c>
      <c r="AM441" s="284"/>
      <c r="AN441" s="282">
        <f t="shared" si="105"/>
        <v>-2134.54</v>
      </c>
      <c r="AO441" s="289">
        <f t="shared" si="110"/>
        <v>-0.54824715736157947</v>
      </c>
      <c r="AP441" s="246"/>
      <c r="AQ441" s="246">
        <v>1759</v>
      </c>
      <c r="AR441" s="485"/>
      <c r="AS441" s="246"/>
      <c r="AT441" s="246"/>
      <c r="AU441" s="246"/>
      <c r="AV441" s="246"/>
      <c r="AW441" s="246"/>
      <c r="AX441" s="246"/>
      <c r="AY441" s="246"/>
      <c r="AZ441" s="246"/>
      <c r="BA441" s="246"/>
      <c r="BB441" s="246"/>
      <c r="BC441" s="246"/>
      <c r="BD441" s="246"/>
      <c r="BE441" s="246"/>
      <c r="BF441" s="246"/>
      <c r="BG441" s="246"/>
      <c r="BH441" s="246"/>
      <c r="BI441" s="246"/>
      <c r="BJ441" s="246"/>
    </row>
    <row r="442" spans="1:62" ht="18">
      <c r="A442" t="str">
        <f t="shared" si="87"/>
        <v>Uniformes</v>
      </c>
      <c r="B442" s="7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Q442" s="310"/>
      <c r="S442" s="246"/>
      <c r="T442" s="246"/>
      <c r="U442" s="246"/>
      <c r="V442" s="102" t="s">
        <v>56</v>
      </c>
      <c r="W442" s="286" t="s">
        <v>145</v>
      </c>
      <c r="X442" s="279"/>
      <c r="Y442" s="279"/>
      <c r="Z442" s="280">
        <f t="shared" si="106"/>
        <v>1060</v>
      </c>
      <c r="AA442" s="279"/>
      <c r="AB442" s="279"/>
      <c r="AC442" s="280"/>
      <c r="AD442" s="288"/>
      <c r="AE442" s="287"/>
      <c r="AF442" s="280">
        <f t="shared" si="107"/>
        <v>684.54</v>
      </c>
      <c r="AG442" s="281"/>
      <c r="AH442" s="282">
        <f t="shared" si="104"/>
        <v>-375.46000000000004</v>
      </c>
      <c r="AI442" s="306">
        <f t="shared" si="108"/>
        <v>-0.35420754716981134</v>
      </c>
      <c r="AJ442" s="288"/>
      <c r="AK442" s="279"/>
      <c r="AL442" s="280">
        <f t="shared" si="109"/>
        <v>1242.2</v>
      </c>
      <c r="AM442" s="284"/>
      <c r="AN442" s="282">
        <f t="shared" si="105"/>
        <v>-557.66000000000008</v>
      </c>
      <c r="AO442" s="289">
        <f t="shared" si="110"/>
        <v>-0.44892931895024962</v>
      </c>
      <c r="AP442" s="246"/>
      <c r="AQ442" s="246">
        <v>685</v>
      </c>
      <c r="AR442" s="246"/>
      <c r="AS442" s="246"/>
      <c r="AT442" s="246"/>
      <c r="AU442" s="246"/>
      <c r="AV442" s="246"/>
      <c r="AW442" s="246"/>
      <c r="AX442" s="246"/>
      <c r="AY442" s="246"/>
      <c r="AZ442" s="246"/>
      <c r="BA442" s="246"/>
      <c r="BB442" s="246"/>
      <c r="BC442" s="246"/>
      <c r="BD442" s="246"/>
      <c r="BE442" s="246"/>
      <c r="BF442" s="246"/>
      <c r="BG442" s="246"/>
      <c r="BH442" s="246"/>
      <c r="BI442" s="246"/>
      <c r="BJ442" s="246"/>
    </row>
    <row r="443" spans="1:62" ht="18">
      <c r="A443" t="str">
        <f>+U443&amp;V443</f>
        <v>Papeterie</v>
      </c>
      <c r="B443" s="7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329"/>
      <c r="Q443" s="310"/>
      <c r="R443" s="246"/>
      <c r="S443" s="246"/>
      <c r="T443" s="246"/>
      <c r="U443" s="246"/>
      <c r="V443" s="102" t="s">
        <v>57</v>
      </c>
      <c r="W443" s="286" t="s">
        <v>151</v>
      </c>
      <c r="X443" s="279"/>
      <c r="Y443" s="279"/>
      <c r="Z443" s="280">
        <f t="shared" si="106"/>
        <v>1575</v>
      </c>
      <c r="AA443" s="279"/>
      <c r="AB443" s="279"/>
      <c r="AC443" s="280"/>
      <c r="AD443" s="288"/>
      <c r="AE443" s="287"/>
      <c r="AF443" s="280">
        <f t="shared" si="107"/>
        <v>482.67</v>
      </c>
      <c r="AG443" s="281"/>
      <c r="AH443" s="282">
        <f t="shared" si="104"/>
        <v>-1092.33</v>
      </c>
      <c r="AI443" s="283">
        <f t="shared" si="108"/>
        <v>-0.69354285714285713</v>
      </c>
      <c r="AJ443" s="288"/>
      <c r="AK443" s="279"/>
      <c r="AL443" s="280">
        <f t="shared" si="109"/>
        <v>1074.0999999999999</v>
      </c>
      <c r="AM443" s="284"/>
      <c r="AN443" s="282">
        <f t="shared" si="105"/>
        <v>-591.42999999999984</v>
      </c>
      <c r="AO443" s="289">
        <f t="shared" si="110"/>
        <v>-0.550628433106787</v>
      </c>
      <c r="AP443" s="246"/>
      <c r="AQ443" s="246">
        <v>483</v>
      </c>
      <c r="AR443" s="246"/>
      <c r="AS443" s="246"/>
      <c r="AT443" s="246"/>
      <c r="AU443" s="246"/>
      <c r="AV443" s="246"/>
      <c r="AW443" s="246"/>
      <c r="AX443" s="246"/>
      <c r="AY443" s="246"/>
      <c r="AZ443" s="246"/>
      <c r="BA443" s="246"/>
      <c r="BB443" s="246"/>
      <c r="BC443" s="246"/>
      <c r="BD443" s="246"/>
      <c r="BE443" s="246"/>
      <c r="BF443" s="246"/>
      <c r="BG443" s="246"/>
      <c r="BH443" s="246"/>
      <c r="BI443" s="246"/>
      <c r="BJ443" s="246"/>
    </row>
    <row r="444" spans="1:62" ht="18">
      <c r="A444" t="str">
        <f t="shared" si="87"/>
        <v>Téléphone</v>
      </c>
      <c r="B444" s="7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310"/>
      <c r="S444" s="246"/>
      <c r="T444" s="246"/>
      <c r="U444" s="246"/>
      <c r="V444" s="102" t="s">
        <v>58</v>
      </c>
      <c r="W444" s="286" t="s">
        <v>233</v>
      </c>
      <c r="X444" s="279"/>
      <c r="Y444" s="279"/>
      <c r="Z444" s="280">
        <f t="shared" si="106"/>
        <v>512</v>
      </c>
      <c r="AA444" s="279"/>
      <c r="AB444" s="279"/>
      <c r="AC444" s="280"/>
      <c r="AD444" s="288"/>
      <c r="AE444" s="287"/>
      <c r="AF444" s="280">
        <f t="shared" si="107"/>
        <v>828.16000000000008</v>
      </c>
      <c r="AG444" s="281"/>
      <c r="AH444" s="282">
        <f t="shared" si="104"/>
        <v>316.16000000000008</v>
      </c>
      <c r="AI444" s="306">
        <f t="shared" si="108"/>
        <v>0.61750000000000016</v>
      </c>
      <c r="AJ444" s="288"/>
      <c r="AK444" s="279"/>
      <c r="AL444" s="280">
        <f t="shared" si="109"/>
        <v>473.31</v>
      </c>
      <c r="AM444" s="284"/>
      <c r="AN444" s="282">
        <f t="shared" si="105"/>
        <v>354.85000000000008</v>
      </c>
      <c r="AO444" s="289">
        <f t="shared" si="110"/>
        <v>0.74972005662250973</v>
      </c>
      <c r="AP444" s="246"/>
      <c r="AQ444" s="246">
        <v>828</v>
      </c>
      <c r="AR444" s="485" t="s">
        <v>284</v>
      </c>
      <c r="AS444" s="246"/>
      <c r="AT444" s="246"/>
      <c r="AU444" s="246"/>
      <c r="AV444" s="246"/>
      <c r="AW444" s="246"/>
      <c r="AX444" s="246"/>
      <c r="AY444" s="246"/>
      <c r="AZ444" s="246"/>
      <c r="BA444" s="246"/>
      <c r="BB444" s="246"/>
      <c r="BC444" s="246"/>
      <c r="BD444" s="246"/>
      <c r="BE444" s="246"/>
      <c r="BF444" s="246"/>
      <c r="BG444" s="246"/>
      <c r="BH444" s="246"/>
      <c r="BI444" s="246"/>
      <c r="BJ444" s="246"/>
    </row>
    <row r="445" spans="1:62" ht="18">
      <c r="A445" t="str">
        <f t="shared" si="87"/>
        <v>Frais postaux</v>
      </c>
      <c r="B445" s="7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310"/>
      <c r="S445" s="246"/>
      <c r="T445" s="246"/>
      <c r="U445" s="246"/>
      <c r="V445" s="102" t="s">
        <v>59</v>
      </c>
      <c r="W445" s="286" t="s">
        <v>234</v>
      </c>
      <c r="X445" s="279"/>
      <c r="Y445" s="279"/>
      <c r="Z445" s="280">
        <f t="shared" si="106"/>
        <v>950</v>
      </c>
      <c r="AA445" s="279"/>
      <c r="AB445" s="279"/>
      <c r="AC445" s="280"/>
      <c r="AD445" s="288"/>
      <c r="AE445" s="287"/>
      <c r="AF445" s="280">
        <f t="shared" si="107"/>
        <v>696.15</v>
      </c>
      <c r="AG445" s="281"/>
      <c r="AH445" s="282">
        <f t="shared" si="104"/>
        <v>-253.85000000000002</v>
      </c>
      <c r="AI445" s="283">
        <f t="shared" si="108"/>
        <v>-0.26721052631578951</v>
      </c>
      <c r="AJ445" s="288"/>
      <c r="AK445" s="279"/>
      <c r="AL445" s="280">
        <f t="shared" si="109"/>
        <v>944.23</v>
      </c>
      <c r="AM445" s="284"/>
      <c r="AN445" s="282">
        <f t="shared" si="105"/>
        <v>-248.08000000000004</v>
      </c>
      <c r="AO445" s="289">
        <f t="shared" si="110"/>
        <v>-0.26273259693083256</v>
      </c>
      <c r="AP445" s="246"/>
      <c r="AQ445" s="246">
        <v>696</v>
      </c>
      <c r="AR445" s="246"/>
      <c r="AS445" s="246"/>
      <c r="AT445" s="246"/>
      <c r="AU445" s="246"/>
      <c r="AV445" s="246"/>
      <c r="AW445" s="246"/>
      <c r="AX445" s="246"/>
      <c r="AY445" s="246"/>
      <c r="AZ445" s="246"/>
      <c r="BA445" s="246"/>
      <c r="BB445" s="246"/>
      <c r="BC445" s="246"/>
      <c r="BD445" s="246"/>
      <c r="BE445" s="246"/>
      <c r="BF445" s="246"/>
      <c r="BG445" s="246"/>
      <c r="BH445" s="246"/>
      <c r="BI445" s="246"/>
      <c r="BJ445" s="246"/>
    </row>
    <row r="446" spans="1:62" ht="18">
      <c r="A446" t="str">
        <f t="shared" si="87"/>
        <v>Divers</v>
      </c>
      <c r="B446" s="7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310"/>
      <c r="R446" s="246"/>
      <c r="S446" s="246"/>
      <c r="T446" s="246"/>
      <c r="U446" s="246"/>
      <c r="V446" s="102" t="s">
        <v>60</v>
      </c>
      <c r="W446" s="286" t="s">
        <v>235</v>
      </c>
      <c r="X446" s="279"/>
      <c r="Y446" s="287"/>
      <c r="Z446" s="280">
        <f t="shared" si="106"/>
        <v>1741.0000000000002</v>
      </c>
      <c r="AA446" s="279"/>
      <c r="AB446" s="287"/>
      <c r="AC446" s="280"/>
      <c r="AD446" s="288"/>
      <c r="AE446" s="287"/>
      <c r="AF446" s="280">
        <f t="shared" si="107"/>
        <v>339.99</v>
      </c>
      <c r="AG446" s="281"/>
      <c r="AH446" s="282">
        <f t="shared" si="104"/>
        <v>-1401.0100000000002</v>
      </c>
      <c r="AI446" s="306">
        <f t="shared" si="108"/>
        <v>-0.80471568064330845</v>
      </c>
      <c r="AJ446" s="288"/>
      <c r="AK446" s="279"/>
      <c r="AL446" s="280">
        <f t="shared" si="109"/>
        <v>2389.7799999999902</v>
      </c>
      <c r="AM446" s="284"/>
      <c r="AN446" s="282">
        <f t="shared" si="105"/>
        <v>-2049.78999999999</v>
      </c>
      <c r="AO446" s="289">
        <f t="shared" si="110"/>
        <v>-0.85773167404530892</v>
      </c>
      <c r="AP446" s="246"/>
      <c r="AQ446" s="246">
        <v>340</v>
      </c>
      <c r="AR446" s="485" t="s">
        <v>285</v>
      </c>
      <c r="AS446" s="246"/>
      <c r="AT446" s="246"/>
      <c r="AU446" s="246"/>
      <c r="AV446" s="246"/>
      <c r="AW446" s="246"/>
      <c r="AX446" s="246"/>
      <c r="AY446" s="246"/>
      <c r="AZ446" s="246"/>
      <c r="BA446" s="246"/>
      <c r="BB446" s="246"/>
      <c r="BC446" s="246"/>
      <c r="BD446" s="246"/>
      <c r="BE446" s="246"/>
      <c r="BF446" s="246"/>
      <c r="BG446" s="246"/>
      <c r="BH446" s="246"/>
      <c r="BI446" s="246"/>
      <c r="BJ446" s="246"/>
    </row>
    <row r="447" spans="1:62" ht="18">
      <c r="A447" t="str">
        <f t="shared" si="87"/>
        <v>Formation</v>
      </c>
      <c r="B447" s="7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310"/>
      <c r="R447" s="246"/>
      <c r="S447" s="246"/>
      <c r="T447" s="246"/>
      <c r="U447" s="246"/>
      <c r="V447" s="102" t="s">
        <v>61</v>
      </c>
      <c r="W447" s="286" t="s">
        <v>236</v>
      </c>
      <c r="X447" s="279"/>
      <c r="Y447" s="287"/>
      <c r="Z447" s="280">
        <f t="shared" si="106"/>
        <v>2582.3544666666662</v>
      </c>
      <c r="AA447" s="279"/>
      <c r="AB447" s="287"/>
      <c r="AC447" s="280"/>
      <c r="AD447" s="288"/>
      <c r="AE447" s="287"/>
      <c r="AF447" s="280">
        <f t="shared" si="107"/>
        <v>2416.73</v>
      </c>
      <c r="AG447" s="281"/>
      <c r="AH447" s="282">
        <f t="shared" si="104"/>
        <v>-165.62446666666619</v>
      </c>
      <c r="AI447" s="283">
        <f t="shared" si="108"/>
        <v>-6.4136999317702587E-2</v>
      </c>
      <c r="AJ447" s="288"/>
      <c r="AK447" s="279"/>
      <c r="AL447" s="280">
        <f t="shared" si="109"/>
        <v>341.25</v>
      </c>
      <c r="AM447" s="284"/>
      <c r="AN447" s="282">
        <f t="shared" si="105"/>
        <v>2075.48</v>
      </c>
      <c r="AO447" s="289">
        <f t="shared" si="110"/>
        <v>6.0819926739926737</v>
      </c>
      <c r="AP447" s="246"/>
      <c r="AQ447" s="246">
        <v>2417</v>
      </c>
      <c r="AR447" s="246"/>
      <c r="AS447" s="246"/>
      <c r="AT447" s="246"/>
      <c r="AU447" s="246"/>
      <c r="AV447" s="246"/>
      <c r="AW447" s="246"/>
      <c r="AX447" s="246"/>
      <c r="AY447" s="246"/>
      <c r="AZ447" s="246"/>
      <c r="BA447" s="246"/>
      <c r="BB447" s="246"/>
      <c r="BC447" s="246"/>
      <c r="BD447" s="246"/>
      <c r="BE447" s="246"/>
      <c r="BF447" s="246"/>
      <c r="BG447" s="246"/>
      <c r="BH447" s="246"/>
      <c r="BI447" s="246"/>
      <c r="BJ447" s="246"/>
    </row>
    <row r="448" spans="1:62" ht="18">
      <c r="A448" t="str">
        <f t="shared" si="87"/>
        <v>Frais bancaires</v>
      </c>
      <c r="B448" s="7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310"/>
      <c r="R448" s="246"/>
      <c r="S448" s="246"/>
      <c r="T448" s="246"/>
      <c r="U448" s="246"/>
      <c r="V448" s="102" t="s">
        <v>62</v>
      </c>
      <c r="W448" s="286" t="s">
        <v>237</v>
      </c>
      <c r="X448" s="279"/>
      <c r="Y448" s="287">
        <f>Z448/Z406</f>
        <v>1.65E-3</v>
      </c>
      <c r="Z448" s="280">
        <f t="shared" si="106"/>
        <v>4761.2587241256833</v>
      </c>
      <c r="AA448" s="279"/>
      <c r="AB448" s="287"/>
      <c r="AC448" s="280"/>
      <c r="AD448" s="288"/>
      <c r="AE448" s="287"/>
      <c r="AF448" s="280">
        <f t="shared" si="107"/>
        <v>5115.18</v>
      </c>
      <c r="AG448" s="281"/>
      <c r="AH448" s="282">
        <f t="shared" si="104"/>
        <v>353.92127587431696</v>
      </c>
      <c r="AI448" s="283">
        <f t="shared" si="108"/>
        <v>7.4333552613087203E-2</v>
      </c>
      <c r="AJ448" s="288"/>
      <c r="AK448" s="279"/>
      <c r="AL448" s="280">
        <f t="shared" si="109"/>
        <v>5681.3600000000006</v>
      </c>
      <c r="AM448" s="284"/>
      <c r="AN448" s="282">
        <f>AF448-AL448</f>
        <v>-566.18000000000029</v>
      </c>
      <c r="AO448" s="289">
        <f>IF(AL448=0,0,AN448/AL448)</f>
        <v>-9.965571623695739E-2</v>
      </c>
      <c r="AP448" s="246"/>
      <c r="AQ448" s="246">
        <f>12057-7000+58</f>
        <v>5115</v>
      </c>
      <c r="AR448" s="246"/>
      <c r="AS448" s="246"/>
      <c r="AT448" s="246"/>
      <c r="AU448" s="246"/>
      <c r="AV448" s="246"/>
      <c r="AW448" s="246"/>
      <c r="AX448" s="246"/>
      <c r="AY448" s="246"/>
      <c r="AZ448" s="246"/>
      <c r="BA448" s="246"/>
      <c r="BB448" s="246"/>
      <c r="BC448" s="246"/>
      <c r="BD448" s="246"/>
      <c r="BE448" s="246"/>
      <c r="BF448" s="246"/>
      <c r="BG448" s="246"/>
      <c r="BH448" s="246"/>
      <c r="BI448" s="246"/>
      <c r="BJ448" s="246"/>
    </row>
    <row r="449" spans="1:62" ht="18" hidden="1" customHeight="1">
      <c r="A449" t="str">
        <f t="shared" si="87"/>
        <v>[...]</v>
      </c>
      <c r="B449" s="7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310"/>
      <c r="R449" s="246"/>
      <c r="S449" s="246"/>
      <c r="T449" s="246"/>
      <c r="U449" s="246"/>
      <c r="V449" s="102" t="s">
        <v>19</v>
      </c>
      <c r="W449" s="286"/>
      <c r="X449" s="279"/>
      <c r="Y449" s="287"/>
      <c r="Z449" s="282">
        <f>IFERROR(SUMIF($C:$C,$V449,F:F),0)</f>
        <v>0</v>
      </c>
      <c r="AA449" s="279"/>
      <c r="AB449" s="279"/>
      <c r="AC449" s="282"/>
      <c r="AD449" s="288"/>
      <c r="AE449" s="287"/>
      <c r="AF449" s="280">
        <f t="shared" si="107"/>
        <v>0</v>
      </c>
      <c r="AG449" s="281"/>
      <c r="AH449" s="282">
        <f t="shared" si="104"/>
        <v>0</v>
      </c>
      <c r="AI449" s="283">
        <f t="shared" si="108"/>
        <v>0</v>
      </c>
      <c r="AJ449" s="288"/>
      <c r="AK449" s="279"/>
      <c r="AL449" s="280">
        <f>IFERROR(SUMIF($C:$C,$V449,Q:Q),0)</f>
        <v>0</v>
      </c>
      <c r="AM449" s="284"/>
      <c r="AN449" s="282">
        <f>AF449-AL449</f>
        <v>0</v>
      </c>
      <c r="AO449" s="289">
        <f>IF(AL449=0,0,AN449/AL449)</f>
        <v>0</v>
      </c>
      <c r="AP449" s="246"/>
      <c r="AQ449" s="246"/>
      <c r="AR449" s="246"/>
      <c r="AS449" s="246"/>
      <c r="AT449" s="246"/>
      <c r="AU449" s="246"/>
      <c r="AV449" s="246"/>
      <c r="AW449" s="246"/>
      <c r="AX449" s="246"/>
      <c r="AY449" s="246"/>
      <c r="AZ449" s="246"/>
      <c r="BA449" s="246"/>
      <c r="BB449" s="246"/>
      <c r="BC449" s="246"/>
      <c r="BD449" s="246"/>
      <c r="BE449" s="246"/>
      <c r="BF449" s="246"/>
      <c r="BG449" s="246"/>
      <c r="BH449" s="246"/>
      <c r="BI449" s="246"/>
      <c r="BJ449" s="246"/>
    </row>
    <row r="450" spans="1:62" ht="18" hidden="1" customHeight="1">
      <c r="A450" t="str">
        <f t="shared" si="87"/>
        <v>[...]</v>
      </c>
      <c r="B450" s="7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310"/>
      <c r="R450" s="246"/>
      <c r="S450" s="246"/>
      <c r="T450" s="246"/>
      <c r="U450" s="246"/>
      <c r="V450" s="102" t="s">
        <v>19</v>
      </c>
      <c r="W450" s="286"/>
      <c r="X450" s="279"/>
      <c r="Y450" s="287"/>
      <c r="Z450" s="282">
        <f>IFERROR(SUMIF($C:$C,$V450,F:F),0)</f>
        <v>0</v>
      </c>
      <c r="AA450" s="279"/>
      <c r="AB450" s="279"/>
      <c r="AC450" s="282"/>
      <c r="AD450" s="288"/>
      <c r="AE450" s="287"/>
      <c r="AF450" s="280">
        <f t="shared" si="107"/>
        <v>0</v>
      </c>
      <c r="AG450" s="281"/>
      <c r="AH450" s="282">
        <f t="shared" si="104"/>
        <v>0</v>
      </c>
      <c r="AI450" s="283">
        <f t="shared" si="108"/>
        <v>0</v>
      </c>
      <c r="AJ450" s="288"/>
      <c r="AK450" s="279"/>
      <c r="AL450" s="280">
        <f>IFERROR(SUMIF($C:$C,$V450,Q:Q),0)</f>
        <v>0</v>
      </c>
      <c r="AM450" s="284"/>
      <c r="AN450" s="282">
        <f>AF450-AL450</f>
        <v>0</v>
      </c>
      <c r="AO450" s="289">
        <f>IF(AL450=0,0,AN450/AL450)</f>
        <v>0</v>
      </c>
      <c r="AP450" s="246"/>
      <c r="AQ450" s="246"/>
      <c r="AR450" s="246"/>
      <c r="AS450" s="246"/>
      <c r="AT450" s="246"/>
      <c r="AU450" s="246"/>
      <c r="AV450" s="246"/>
      <c r="AW450" s="246"/>
      <c r="AX450" s="246"/>
      <c r="AY450" s="246"/>
      <c r="AZ450" s="246"/>
      <c r="BA450" s="246"/>
      <c r="BB450" s="246"/>
      <c r="BC450" s="246"/>
      <c r="BD450" s="246"/>
      <c r="BE450" s="246"/>
      <c r="BF450" s="246"/>
      <c r="BG450" s="246"/>
      <c r="BH450" s="246"/>
      <c r="BI450" s="246"/>
      <c r="BJ450" s="246"/>
    </row>
    <row r="451" spans="1:62" ht="18" hidden="1" customHeight="1">
      <c r="A451" t="str">
        <f t="shared" si="87"/>
        <v>[...]</v>
      </c>
      <c r="B451" s="7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329"/>
      <c r="Q451" s="310"/>
      <c r="R451" s="246"/>
      <c r="S451" s="246"/>
      <c r="T451" s="246"/>
      <c r="U451" s="246"/>
      <c r="V451" s="102" t="s">
        <v>19</v>
      </c>
      <c r="W451" s="286"/>
      <c r="X451" s="279"/>
      <c r="Y451" s="287"/>
      <c r="Z451" s="282">
        <f>IFERROR(SUMIF($C:$C,$V451,F:F),0)</f>
        <v>0</v>
      </c>
      <c r="AA451" s="279"/>
      <c r="AB451" s="279"/>
      <c r="AC451" s="282"/>
      <c r="AD451" s="288"/>
      <c r="AE451" s="287"/>
      <c r="AF451" s="280">
        <f t="shared" si="107"/>
        <v>0</v>
      </c>
      <c r="AG451" s="281"/>
      <c r="AH451" s="282">
        <f t="shared" si="104"/>
        <v>0</v>
      </c>
      <c r="AI451" s="283">
        <f t="shared" si="108"/>
        <v>0</v>
      </c>
      <c r="AJ451" s="288"/>
      <c r="AK451" s="279"/>
      <c r="AL451" s="280">
        <f>IFERROR(SUMIF($C:$C,$V451,Q:Q),0)</f>
        <v>0</v>
      </c>
      <c r="AM451" s="284"/>
      <c r="AN451" s="282">
        <f>AF451-AL451</f>
        <v>0</v>
      </c>
      <c r="AO451" s="289">
        <f>IF(AL451=0,0,AN451/AL451)</f>
        <v>0</v>
      </c>
      <c r="AP451" s="246"/>
      <c r="AQ451" s="246"/>
      <c r="AR451" s="246"/>
      <c r="AS451" s="246"/>
      <c r="AT451" s="246"/>
      <c r="AU451" s="246"/>
      <c r="AV451" s="246"/>
      <c r="AW451" s="246"/>
      <c r="AX451" s="246"/>
      <c r="AY451" s="246"/>
      <c r="AZ451" s="246"/>
      <c r="BA451" s="246"/>
      <c r="BB451" s="246"/>
      <c r="BC451" s="246"/>
      <c r="BD451" s="246"/>
      <c r="BE451" s="246"/>
      <c r="BF451" s="246"/>
      <c r="BG451" s="246"/>
      <c r="BH451" s="246"/>
      <c r="BI451" s="246"/>
      <c r="BJ451" s="246"/>
    </row>
    <row r="452" spans="1:62" ht="18">
      <c r="A452" t="str">
        <f t="shared" si="87"/>
        <v>TOTAL SEMI-FIXES</v>
      </c>
      <c r="B452" s="7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310"/>
      <c r="R452" s="246"/>
      <c r="S452" s="246"/>
      <c r="T452" s="246"/>
      <c r="U452" s="246"/>
      <c r="V452" s="296" t="s">
        <v>63</v>
      </c>
      <c r="W452" s="330"/>
      <c r="X452" s="298">
        <f>Z452/+Z407</f>
        <v>0.25190457123426097</v>
      </c>
      <c r="Y452" s="297"/>
      <c r="Z452" s="299">
        <f>+SUM(Z434:Z451)</f>
        <v>70470.955775488022</v>
      </c>
      <c r="AA452" s="298"/>
      <c r="AB452" s="297"/>
      <c r="AC452" s="299"/>
      <c r="AD452" s="300">
        <f>AF452/AF407</f>
        <v>0.25834111730115716</v>
      </c>
      <c r="AE452" s="297"/>
      <c r="AF452" s="299">
        <f>+SUM(AF434:AF451)</f>
        <v>53190.700000000012</v>
      </c>
      <c r="AG452" s="308"/>
      <c r="AH452" s="302">
        <f>+SUM(AH434:AH451)</f>
        <v>-17280.255775488011</v>
      </c>
      <c r="AI452" s="298">
        <f>AH452/Z452</f>
        <v>-0.2452110317694686</v>
      </c>
      <c r="AJ452" s="300">
        <f>IF($AL$407=0,0,AL452/$AL$407)</f>
        <v>0.22519016752371299</v>
      </c>
      <c r="AK452" s="298"/>
      <c r="AL452" s="299">
        <f>+SUM(AL434:AL451)</f>
        <v>86043.669999999984</v>
      </c>
      <c r="AM452" s="309"/>
      <c r="AN452" s="302">
        <f>+SUM(AN434:AN451)</f>
        <v>-32852.969999999987</v>
      </c>
      <c r="AO452" s="331">
        <f>IF(AL452=0,0,AN452/AL452)</f>
        <v>-0.38181739574799628</v>
      </c>
      <c r="AP452" s="246"/>
      <c r="AQ452" s="246"/>
      <c r="AR452" s="310"/>
      <c r="AS452" s="246"/>
      <c r="AT452" s="246"/>
      <c r="AU452" s="246"/>
      <c r="AV452" s="246"/>
      <c r="AW452" s="246"/>
      <c r="AX452" s="246"/>
      <c r="AY452" s="246"/>
      <c r="AZ452" s="246"/>
      <c r="BA452" s="246"/>
      <c r="BB452" s="246"/>
      <c r="BC452" s="246"/>
      <c r="BD452" s="246"/>
      <c r="BE452" s="246"/>
      <c r="BF452" s="246"/>
      <c r="BG452" s="246"/>
      <c r="BH452" s="246"/>
      <c r="BI452" s="246"/>
      <c r="BJ452" s="246"/>
    </row>
    <row r="453" spans="1:62" ht="18">
      <c r="A453" t="str">
        <f t="shared" si="87"/>
        <v>Loyer</v>
      </c>
      <c r="B453" s="7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102" t="s">
        <v>157</v>
      </c>
      <c r="W453" s="286" t="s">
        <v>158</v>
      </c>
      <c r="X453" s="279"/>
      <c r="Y453" s="287"/>
      <c r="Z453" s="280">
        <v>50000</v>
      </c>
      <c r="AA453" s="279"/>
      <c r="AB453" s="287"/>
      <c r="AC453" s="280"/>
      <c r="AD453" s="288"/>
      <c r="AE453" s="287"/>
      <c r="AF453" s="280">
        <v>40000</v>
      </c>
      <c r="AG453" s="281"/>
      <c r="AH453" s="282">
        <f t="shared" ref="AH453:AH461" si="111">AF453-Z453</f>
        <v>-10000</v>
      </c>
      <c r="AI453" s="283">
        <f t="shared" ref="AI453:AI461" si="112">IF(Z453=0,0,AH453/Z453)</f>
        <v>-0.2</v>
      </c>
      <c r="AJ453" s="288"/>
      <c r="AK453" s="279"/>
      <c r="AL453" s="280">
        <v>50000</v>
      </c>
      <c r="AM453" s="284"/>
      <c r="AN453" s="282">
        <f>AF453-AL453</f>
        <v>-10000</v>
      </c>
      <c r="AO453" s="289">
        <f t="shared" ref="AO453:AO461" si="113">IF(AL453=0,0,AN453/AL453)</f>
        <v>-0.2</v>
      </c>
      <c r="AP453" s="246"/>
      <c r="AQ453" s="246">
        <v>40000</v>
      </c>
      <c r="AR453" s="310"/>
      <c r="AS453" s="246"/>
      <c r="AT453" s="246"/>
      <c r="AU453" s="246"/>
      <c r="AV453" s="246"/>
      <c r="AW453" s="246"/>
      <c r="AX453" s="246"/>
      <c r="AY453" s="246"/>
      <c r="AZ453" s="246"/>
      <c r="BA453" s="246"/>
      <c r="BB453" s="246"/>
      <c r="BC453" s="246"/>
      <c r="BD453" s="246"/>
      <c r="BE453" s="246"/>
      <c r="BF453" s="246"/>
      <c r="BG453" s="246"/>
      <c r="BH453" s="246"/>
      <c r="BI453" s="246"/>
      <c r="BJ453" s="246"/>
    </row>
    <row r="454" spans="1:62" ht="18">
      <c r="A454" t="str">
        <f t="shared" si="87"/>
        <v>Taxes foncières</v>
      </c>
      <c r="B454" s="7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102" t="s">
        <v>159</v>
      </c>
      <c r="W454" s="286" t="s">
        <v>160</v>
      </c>
      <c r="X454" s="279"/>
      <c r="Y454" s="287"/>
      <c r="Z454" s="280">
        <v>5933.07</v>
      </c>
      <c r="AA454" s="279"/>
      <c r="AB454" s="287"/>
      <c r="AC454" s="280"/>
      <c r="AD454" s="288"/>
      <c r="AE454" s="287"/>
      <c r="AF454" s="280">
        <v>0</v>
      </c>
      <c r="AG454" s="281"/>
      <c r="AH454" s="282">
        <f t="shared" si="111"/>
        <v>-5933.07</v>
      </c>
      <c r="AI454" s="283">
        <f t="shared" si="112"/>
        <v>-1</v>
      </c>
      <c r="AJ454" s="288"/>
      <c r="AK454" s="279"/>
      <c r="AL454" s="280">
        <v>5535.51</v>
      </c>
      <c r="AM454" s="284"/>
      <c r="AN454" s="282">
        <f t="shared" ref="AN454:AN461" si="114">AF454-AL454</f>
        <v>-5535.51</v>
      </c>
      <c r="AO454" s="289">
        <f t="shared" si="113"/>
        <v>-1</v>
      </c>
      <c r="AP454" s="246"/>
      <c r="AQ454" s="246">
        <v>0</v>
      </c>
      <c r="AR454" s="310" t="s">
        <v>286</v>
      </c>
      <c r="AS454" s="246"/>
      <c r="AT454" s="246"/>
      <c r="AU454" s="246"/>
      <c r="AV454" s="246"/>
      <c r="AW454" s="246"/>
      <c r="AX454" s="246"/>
      <c r="AY454" s="246"/>
      <c r="AZ454" s="246"/>
      <c r="BA454" s="246"/>
      <c r="BB454" s="246"/>
      <c r="BC454" s="246"/>
      <c r="BD454" s="246"/>
      <c r="BE454" s="246"/>
      <c r="BF454" s="246"/>
      <c r="BG454" s="246"/>
      <c r="BH454" s="246"/>
      <c r="BI454" s="246"/>
      <c r="BJ454" s="246"/>
    </row>
    <row r="455" spans="1:62" ht="18">
      <c r="A455" t="str">
        <f t="shared" si="87"/>
        <v>Taxes d`affaires</v>
      </c>
      <c r="B455" s="7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103" t="s">
        <v>161</v>
      </c>
      <c r="W455" s="290" t="s">
        <v>162</v>
      </c>
      <c r="X455" s="263"/>
      <c r="Y455" s="291"/>
      <c r="Z455" s="264">
        <v>2542.75</v>
      </c>
      <c r="AA455" s="263"/>
      <c r="AB455" s="291"/>
      <c r="AC455" s="264"/>
      <c r="AD455" s="292"/>
      <c r="AE455" s="291"/>
      <c r="AF455" s="264">
        <v>150</v>
      </c>
      <c r="AG455" s="265"/>
      <c r="AH455" s="266">
        <f t="shared" si="111"/>
        <v>-2392.75</v>
      </c>
      <c r="AI455" s="293">
        <f t="shared" si="112"/>
        <v>-0.94100875036869536</v>
      </c>
      <c r="AJ455" s="292"/>
      <c r="AK455" s="263"/>
      <c r="AL455" s="264">
        <v>2372.35</v>
      </c>
      <c r="AM455" s="268"/>
      <c r="AN455" s="266">
        <f t="shared" si="114"/>
        <v>-2222.35</v>
      </c>
      <c r="AO455" s="269">
        <f t="shared" si="113"/>
        <v>-0.93677155563049297</v>
      </c>
      <c r="AP455" s="246"/>
      <c r="AQ455" s="246">
        <v>150</v>
      </c>
      <c r="AR455" s="310" t="s">
        <v>287</v>
      </c>
      <c r="AS455" s="246"/>
      <c r="AT455" s="246"/>
      <c r="AU455" s="246"/>
      <c r="AV455" s="246"/>
      <c r="AW455" s="246"/>
      <c r="AX455" s="246"/>
      <c r="AY455" s="246"/>
      <c r="AZ455" s="246"/>
      <c r="BA455" s="246"/>
      <c r="BB455" s="246"/>
      <c r="BC455" s="246"/>
      <c r="BD455" s="246"/>
      <c r="BE455" s="246"/>
      <c r="BF455" s="246"/>
      <c r="BG455" s="246"/>
      <c r="BH455" s="246"/>
      <c r="BI455" s="246"/>
      <c r="BJ455" s="246"/>
    </row>
    <row r="456" spans="1:62" ht="18" hidden="1" customHeight="1">
      <c r="A456" t="str">
        <f t="shared" si="87"/>
        <v>Taxe sur le capital</v>
      </c>
      <c r="B456" s="7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102" t="s">
        <v>163</v>
      </c>
      <c r="W456" s="286"/>
      <c r="X456" s="279"/>
      <c r="Y456" s="287"/>
      <c r="Z456" s="280">
        <v>0</v>
      </c>
      <c r="AA456" s="279"/>
      <c r="AB456" s="287"/>
      <c r="AC456" s="280"/>
      <c r="AD456" s="288"/>
      <c r="AE456" s="287"/>
      <c r="AF456" s="280">
        <v>0</v>
      </c>
      <c r="AG456" s="281"/>
      <c r="AH456" s="282">
        <f t="shared" si="111"/>
        <v>0</v>
      </c>
      <c r="AI456" s="283">
        <f t="shared" si="112"/>
        <v>0</v>
      </c>
      <c r="AJ456" s="288"/>
      <c r="AK456" s="279"/>
      <c r="AL456" s="280">
        <v>0</v>
      </c>
      <c r="AM456" s="284"/>
      <c r="AN456" s="282">
        <f t="shared" si="114"/>
        <v>0</v>
      </c>
      <c r="AO456" s="289">
        <f t="shared" si="113"/>
        <v>0</v>
      </c>
      <c r="AP456" s="246"/>
      <c r="AQ456" s="246"/>
      <c r="AR456" s="310"/>
      <c r="AS456" s="246"/>
      <c r="AT456" s="246"/>
      <c r="AU456" s="246"/>
      <c r="AV456" s="246"/>
      <c r="AW456" s="246"/>
      <c r="AX456" s="246"/>
      <c r="AY456" s="246"/>
      <c r="AZ456" s="246"/>
      <c r="BA456" s="246"/>
      <c r="BB456" s="246"/>
      <c r="BC456" s="246"/>
      <c r="BD456" s="246"/>
      <c r="BE456" s="246"/>
      <c r="BF456" s="246"/>
      <c r="BG456" s="246"/>
      <c r="BH456" s="246"/>
      <c r="BI456" s="246"/>
      <c r="BJ456" s="246"/>
    </row>
    <row r="457" spans="1:62" ht="18">
      <c r="A457" t="str">
        <f t="shared" si="87"/>
        <v>Assurances</v>
      </c>
      <c r="B457" s="7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103" t="s">
        <v>164</v>
      </c>
      <c r="W457" s="290" t="s">
        <v>165</v>
      </c>
      <c r="X457" s="263"/>
      <c r="Y457" s="291"/>
      <c r="Z457" s="264">
        <v>4854</v>
      </c>
      <c r="AA457" s="263"/>
      <c r="AB457" s="291"/>
      <c r="AC457" s="264"/>
      <c r="AD457" s="292"/>
      <c r="AE457" s="291"/>
      <c r="AF457" s="264">
        <v>3571.17</v>
      </c>
      <c r="AG457" s="265"/>
      <c r="AH457" s="266">
        <f t="shared" si="111"/>
        <v>-1282.83</v>
      </c>
      <c r="AI457" s="293">
        <f t="shared" si="112"/>
        <v>-0.26428306551297898</v>
      </c>
      <c r="AJ457" s="292"/>
      <c r="AK457" s="263"/>
      <c r="AL457" s="264">
        <v>4349.75</v>
      </c>
      <c r="AM457" s="268"/>
      <c r="AN457" s="266">
        <f t="shared" si="114"/>
        <v>-778.57999999999993</v>
      </c>
      <c r="AO457" s="269">
        <f t="shared" si="113"/>
        <v>-0.17899419506868208</v>
      </c>
      <c r="AP457" s="246"/>
      <c r="AQ457" s="246">
        <v>3571</v>
      </c>
      <c r="AR457" s="310"/>
      <c r="AS457" s="246"/>
      <c r="AT457" s="246"/>
      <c r="AU457" s="246"/>
      <c r="AV457" s="246"/>
      <c r="AW457" s="246"/>
      <c r="AX457" s="246"/>
      <c r="AY457" s="246"/>
      <c r="AZ457" s="246"/>
      <c r="BA457" s="246"/>
      <c r="BB457" s="246"/>
      <c r="BC457" s="246"/>
      <c r="BD457" s="246"/>
      <c r="BE457" s="246"/>
      <c r="BF457" s="246"/>
      <c r="BG457" s="246"/>
      <c r="BH457" s="246"/>
      <c r="BI457" s="246"/>
      <c r="BJ457" s="246"/>
    </row>
    <row r="458" spans="1:62" ht="18">
      <c r="A458" t="str">
        <f t="shared" si="87"/>
        <v>Chauffage, éclairage</v>
      </c>
      <c r="B458" s="7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102" t="s">
        <v>166</v>
      </c>
      <c r="W458" s="286" t="s">
        <v>167</v>
      </c>
      <c r="X458" s="332"/>
      <c r="Y458" s="333"/>
      <c r="Z458" s="280">
        <v>5000</v>
      </c>
      <c r="AA458" s="332"/>
      <c r="AB458" s="333"/>
      <c r="AC458" s="280"/>
      <c r="AD458" s="288"/>
      <c r="AE458" s="287"/>
      <c r="AF458" s="280">
        <v>11054.28</v>
      </c>
      <c r="AG458" s="281"/>
      <c r="AH458" s="282">
        <f t="shared" si="111"/>
        <v>6054.2800000000007</v>
      </c>
      <c r="AI458" s="283">
        <f t="shared" si="112"/>
        <v>1.2108560000000002</v>
      </c>
      <c r="AJ458" s="288"/>
      <c r="AK458" s="279"/>
      <c r="AL458" s="280">
        <v>4766.5</v>
      </c>
      <c r="AM458" s="284"/>
      <c r="AN458" s="282">
        <f t="shared" si="114"/>
        <v>6287.7800000000007</v>
      </c>
      <c r="AO458" s="289">
        <f t="shared" si="113"/>
        <v>1.3191608098185252</v>
      </c>
      <c r="AP458" s="246"/>
      <c r="AQ458" s="246">
        <f>2439+8616</f>
        <v>11055</v>
      </c>
      <c r="AR458" s="310" t="s">
        <v>288</v>
      </c>
      <c r="AS458" s="246"/>
      <c r="AT458" s="246"/>
      <c r="AU458" s="246"/>
      <c r="AV458" s="246"/>
      <c r="AW458" s="246"/>
      <c r="AX458" s="246"/>
      <c r="AY458" s="246"/>
      <c r="AZ458" s="246"/>
      <c r="BA458" s="246"/>
      <c r="BB458" s="246"/>
      <c r="BC458" s="246"/>
      <c r="BD458" s="246"/>
      <c r="BE458" s="246"/>
      <c r="BF458" s="246"/>
      <c r="BG458" s="246"/>
      <c r="BH458" s="246"/>
      <c r="BI458" s="246"/>
      <c r="BJ458" s="246"/>
    </row>
    <row r="459" spans="1:62" ht="18">
      <c r="A459" t="str">
        <f t="shared" si="87"/>
        <v>Honoraires</v>
      </c>
      <c r="B459" s="7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102" t="s">
        <v>168</v>
      </c>
      <c r="W459" s="286" t="s">
        <v>152</v>
      </c>
      <c r="X459" s="279"/>
      <c r="Y459" s="287"/>
      <c r="Z459" s="280">
        <v>6541.333333333333</v>
      </c>
      <c r="AA459" s="279"/>
      <c r="AB459" s="287"/>
      <c r="AC459" s="280"/>
      <c r="AD459" s="288"/>
      <c r="AE459" s="287"/>
      <c r="AF459" s="280">
        <v>0</v>
      </c>
      <c r="AG459" s="281"/>
      <c r="AH459" s="282">
        <f t="shared" si="111"/>
        <v>-6541.333333333333</v>
      </c>
      <c r="AI459" s="283">
        <f t="shared" si="112"/>
        <v>-1</v>
      </c>
      <c r="AJ459" s="288"/>
      <c r="AK459" s="279"/>
      <c r="AL459" s="280">
        <v>6307.33</v>
      </c>
      <c r="AM459" s="284"/>
      <c r="AN459" s="282">
        <f t="shared" si="114"/>
        <v>-6307.33</v>
      </c>
      <c r="AO459" s="289">
        <f t="shared" si="113"/>
        <v>-1</v>
      </c>
      <c r="AP459" s="246"/>
      <c r="AQ459" s="246">
        <v>0</v>
      </c>
      <c r="AR459" s="310"/>
      <c r="AS459" s="246"/>
      <c r="AT459" s="246"/>
      <c r="AU459" s="246"/>
      <c r="AV459" s="246"/>
      <c r="AW459" s="246"/>
      <c r="AX459" s="246"/>
      <c r="AY459" s="246"/>
      <c r="AZ459" s="246"/>
      <c r="BA459" s="246"/>
      <c r="BB459" s="246"/>
      <c r="BC459" s="246"/>
      <c r="BD459" s="246"/>
      <c r="BE459" s="246"/>
      <c r="BF459" s="246"/>
      <c r="BG459" s="246"/>
      <c r="BH459" s="246"/>
      <c r="BI459" s="246"/>
      <c r="BJ459" s="246"/>
    </row>
    <row r="460" spans="1:62" ht="18">
      <c r="A460" t="str">
        <f t="shared" si="87"/>
        <v>Réparation équipement</v>
      </c>
      <c r="B460" s="7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103" t="s">
        <v>170</v>
      </c>
      <c r="W460" s="290" t="s">
        <v>238</v>
      </c>
      <c r="X460" s="263"/>
      <c r="Y460" s="291"/>
      <c r="Z460" s="264">
        <v>433.33333333333331</v>
      </c>
      <c r="AA460" s="263"/>
      <c r="AB460" s="291"/>
      <c r="AC460" s="264"/>
      <c r="AD460" s="292"/>
      <c r="AE460" s="291"/>
      <c r="AF460" s="264">
        <v>371</v>
      </c>
      <c r="AG460" s="265"/>
      <c r="AH460" s="266">
        <f t="shared" si="111"/>
        <v>-62.333333333333314</v>
      </c>
      <c r="AI460" s="293">
        <f t="shared" si="112"/>
        <v>-0.14384615384615382</v>
      </c>
      <c r="AJ460" s="292"/>
      <c r="AK460" s="263"/>
      <c r="AL460" s="264">
        <v>121.89</v>
      </c>
      <c r="AM460" s="268"/>
      <c r="AN460" s="266">
        <f t="shared" si="114"/>
        <v>249.11</v>
      </c>
      <c r="AO460" s="269">
        <f t="shared" si="113"/>
        <v>2.0437279514316189</v>
      </c>
      <c r="AP460" s="246"/>
      <c r="AQ460" s="246">
        <v>371</v>
      </c>
      <c r="AR460" s="310"/>
      <c r="AS460" s="246"/>
      <c r="AT460" s="246"/>
      <c r="AU460" s="246"/>
      <c r="AV460" s="246"/>
      <c r="AW460" s="246"/>
      <c r="AX460" s="246"/>
      <c r="AY460" s="246"/>
      <c r="AZ460" s="246"/>
      <c r="BA460" s="246"/>
      <c r="BB460" s="246"/>
      <c r="BC460" s="246"/>
      <c r="BD460" s="246"/>
      <c r="BE460" s="246"/>
      <c r="BF460" s="246"/>
      <c r="BG460" s="246"/>
      <c r="BH460" s="246"/>
      <c r="BI460" s="246"/>
      <c r="BJ460" s="246"/>
    </row>
    <row r="461" spans="1:62" ht="18">
      <c r="A461" t="str">
        <f t="shared" si="87"/>
        <v>Location équipement</v>
      </c>
      <c r="B461" s="7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334"/>
      <c r="V461" s="102" t="s">
        <v>172</v>
      </c>
      <c r="W461" s="286" t="s">
        <v>173</v>
      </c>
      <c r="X461" s="279"/>
      <c r="Y461" s="287"/>
      <c r="Z461" s="280">
        <v>212.00000000000003</v>
      </c>
      <c r="AA461" s="279"/>
      <c r="AB461" s="287"/>
      <c r="AC461" s="280"/>
      <c r="AD461" s="288"/>
      <c r="AE461" s="287"/>
      <c r="AF461" s="280">
        <v>345.59999999999997</v>
      </c>
      <c r="AG461" s="281"/>
      <c r="AH461" s="282">
        <f t="shared" si="111"/>
        <v>133.59999999999994</v>
      </c>
      <c r="AI461" s="335">
        <f t="shared" si="112"/>
        <v>0.63018867924528266</v>
      </c>
      <c r="AJ461" s="279"/>
      <c r="AK461" s="279"/>
      <c r="AL461" s="280">
        <v>173.95999999999901</v>
      </c>
      <c r="AM461" s="284"/>
      <c r="AN461" s="282">
        <f t="shared" si="114"/>
        <v>171.64000000000095</v>
      </c>
      <c r="AO461" s="289">
        <f t="shared" si="113"/>
        <v>0.98666360082778759</v>
      </c>
      <c r="AP461" s="246"/>
      <c r="AQ461" s="246">
        <v>346</v>
      </c>
      <c r="AR461" s="310"/>
      <c r="AS461" s="246"/>
      <c r="AT461" s="246"/>
      <c r="AU461" s="246"/>
      <c r="AV461" s="246"/>
      <c r="AW461" s="246"/>
      <c r="AX461" s="246"/>
      <c r="AY461" s="246"/>
      <c r="AZ461" s="246"/>
      <c r="BA461" s="246"/>
      <c r="BB461" s="246"/>
      <c r="BC461" s="246"/>
      <c r="BD461" s="246"/>
      <c r="BE461" s="246"/>
      <c r="BF461" s="246"/>
      <c r="BG461" s="246"/>
      <c r="BH461" s="246"/>
      <c r="BI461" s="246"/>
      <c r="BJ461" s="246"/>
    </row>
    <row r="462" spans="1:62" ht="18" hidden="1" customHeight="1">
      <c r="A462" t="str">
        <f t="shared" si="87"/>
        <v>Dons</v>
      </c>
      <c r="B462" s="7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334"/>
      <c r="V462" s="102" t="s">
        <v>174</v>
      </c>
      <c r="W462" s="286" t="s">
        <v>175</v>
      </c>
      <c r="X462" s="279"/>
      <c r="Y462" s="287"/>
      <c r="Z462" s="280">
        <v>0</v>
      </c>
      <c r="AA462" s="279"/>
      <c r="AB462" s="287"/>
      <c r="AC462" s="280"/>
      <c r="AD462" s="288"/>
      <c r="AE462" s="287"/>
      <c r="AF462" s="280">
        <v>0</v>
      </c>
      <c r="AG462" s="281"/>
      <c r="AH462" s="282">
        <v>0</v>
      </c>
      <c r="AI462" s="306">
        <v>0</v>
      </c>
      <c r="AJ462" s="279"/>
      <c r="AK462" s="279"/>
      <c r="AL462" s="280">
        <v>0</v>
      </c>
      <c r="AM462" s="284"/>
      <c r="AN462" s="282">
        <v>0</v>
      </c>
      <c r="AO462" s="289">
        <v>0</v>
      </c>
      <c r="AP462" s="246"/>
      <c r="AQ462" s="246"/>
      <c r="AR462" s="246"/>
      <c r="AS462" s="246"/>
      <c r="AT462" s="246"/>
      <c r="AU462" s="246"/>
      <c r="AV462" s="246"/>
      <c r="AW462" s="246"/>
      <c r="AX462" s="246"/>
      <c r="AY462" s="246"/>
      <c r="AZ462" s="246"/>
      <c r="BA462" s="246"/>
      <c r="BB462" s="246"/>
      <c r="BC462" s="246"/>
      <c r="BD462" s="246"/>
      <c r="BE462" s="246"/>
      <c r="BF462" s="246"/>
      <c r="BG462" s="246"/>
      <c r="BH462" s="246"/>
      <c r="BI462" s="246"/>
      <c r="BJ462" s="246"/>
    </row>
    <row r="463" spans="1:62" ht="18" hidden="1" customHeight="1">
      <c r="A463" t="str">
        <f t="shared" si="87"/>
        <v>[...]</v>
      </c>
      <c r="B463" s="7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334"/>
      <c r="V463" s="102" t="s">
        <v>19</v>
      </c>
      <c r="W463" s="286"/>
      <c r="X463" s="279"/>
      <c r="Y463" s="287"/>
      <c r="Z463" s="282">
        <f>IFERROR(SUMIF($C:$C,$V463,F:F),0)</f>
        <v>0</v>
      </c>
      <c r="AA463" s="279"/>
      <c r="AB463" s="279"/>
      <c r="AC463" s="282"/>
      <c r="AD463" s="288"/>
      <c r="AE463" s="287"/>
      <c r="AF463" s="280">
        <f>+SUMIF($C:$C,$V463,L:L)</f>
        <v>0</v>
      </c>
      <c r="AG463" s="281"/>
      <c r="AH463" s="282">
        <f>AF463-Z463</f>
        <v>0</v>
      </c>
      <c r="AI463" s="283">
        <f>IF(Z463=0,0,AH463/Z463)</f>
        <v>0</v>
      </c>
      <c r="AJ463" s="288"/>
      <c r="AK463" s="279"/>
      <c r="AL463" s="280">
        <f>IFERROR(SUMIF($C:$C,$V463,Q:Q),0)</f>
        <v>0</v>
      </c>
      <c r="AM463" s="284"/>
      <c r="AN463" s="282">
        <v>0</v>
      </c>
      <c r="AO463" s="289">
        <v>1</v>
      </c>
      <c r="AP463" s="246"/>
      <c r="AQ463" s="246"/>
      <c r="AR463" s="246"/>
      <c r="AS463" s="246"/>
      <c r="AT463" s="246"/>
      <c r="AU463" s="246"/>
      <c r="AV463" s="246"/>
      <c r="AW463" s="246"/>
      <c r="AX463" s="246"/>
      <c r="AY463" s="246"/>
      <c r="AZ463" s="246"/>
      <c r="BA463" s="246"/>
      <c r="BB463" s="246"/>
      <c r="BC463" s="246"/>
      <c r="BD463" s="246"/>
      <c r="BE463" s="246"/>
      <c r="BF463" s="246"/>
      <c r="BG463" s="246"/>
      <c r="BH463" s="246"/>
      <c r="BI463" s="246"/>
      <c r="BJ463" s="246"/>
    </row>
    <row r="464" spans="1:62" ht="18" hidden="1" customHeight="1">
      <c r="A464" t="str">
        <f t="shared" si="87"/>
        <v>[...]</v>
      </c>
      <c r="B464" s="7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334"/>
      <c r="V464" s="102" t="s">
        <v>19</v>
      </c>
      <c r="W464" s="286"/>
      <c r="X464" s="279"/>
      <c r="Y464" s="287"/>
      <c r="Z464" s="282">
        <f>IFERROR(SUMIF($C:$C,$V464,F:F),0)</f>
        <v>0</v>
      </c>
      <c r="AA464" s="279"/>
      <c r="AB464" s="279"/>
      <c r="AC464" s="282"/>
      <c r="AD464" s="288"/>
      <c r="AE464" s="287"/>
      <c r="AF464" s="280">
        <f>+SUMIF($C:$C,$V464,L:L)</f>
        <v>0</v>
      </c>
      <c r="AG464" s="281"/>
      <c r="AH464" s="282">
        <f>AF464-Z464</f>
        <v>0</v>
      </c>
      <c r="AI464" s="283">
        <f>IF(Z464=0,0,AH464/Z464)</f>
        <v>0</v>
      </c>
      <c r="AJ464" s="288"/>
      <c r="AK464" s="279"/>
      <c r="AL464" s="280">
        <f>IFERROR(SUMIF($C:$C,$V464,Q:Q),0)</f>
        <v>0</v>
      </c>
      <c r="AM464" s="284"/>
      <c r="AN464" s="282">
        <v>0</v>
      </c>
      <c r="AO464" s="289">
        <v>2</v>
      </c>
      <c r="AP464" s="246"/>
      <c r="AQ464" s="246"/>
      <c r="AR464" s="246"/>
      <c r="AS464" s="246"/>
      <c r="AT464" s="246"/>
      <c r="AU464" s="246"/>
      <c r="AV464" s="246"/>
      <c r="AW464" s="246"/>
      <c r="AX464" s="246"/>
      <c r="AY464" s="246"/>
      <c r="AZ464" s="246"/>
      <c r="BA464" s="246"/>
      <c r="BB464" s="246"/>
      <c r="BC464" s="246"/>
      <c r="BD464" s="246"/>
      <c r="BE464" s="246"/>
      <c r="BF464" s="246"/>
      <c r="BG464" s="246"/>
      <c r="BH464" s="246"/>
      <c r="BI464" s="246"/>
      <c r="BJ464" s="246"/>
    </row>
    <row r="465" spans="1:62" ht="18" hidden="1" customHeight="1">
      <c r="A465" t="str">
        <f t="shared" si="87"/>
        <v>[...]</v>
      </c>
      <c r="B465" s="7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102" t="s">
        <v>19</v>
      </c>
      <c r="W465" s="286"/>
      <c r="X465" s="279"/>
      <c r="Y465" s="287"/>
      <c r="Z465" s="282">
        <f>IFERROR(SUMIF($C:$C,$V465,F:F),0)</f>
        <v>0</v>
      </c>
      <c r="AA465" s="279"/>
      <c r="AB465" s="279"/>
      <c r="AC465" s="282"/>
      <c r="AD465" s="288"/>
      <c r="AE465" s="287"/>
      <c r="AF465" s="280">
        <f>+SUMIF($C:$C,$V465,L:L)</f>
        <v>0</v>
      </c>
      <c r="AG465" s="281"/>
      <c r="AH465" s="282">
        <f>AF465-Z465</f>
        <v>0</v>
      </c>
      <c r="AI465" s="283">
        <f>IF(Z465=0,0,AH465/Z465)</f>
        <v>0</v>
      </c>
      <c r="AJ465" s="288"/>
      <c r="AK465" s="279"/>
      <c r="AL465" s="280">
        <f>IFERROR(SUMIF($C:$C,$V465,Q:Q),0)</f>
        <v>0</v>
      </c>
      <c r="AM465" s="284"/>
      <c r="AN465" s="282">
        <v>0</v>
      </c>
      <c r="AO465" s="289">
        <v>3</v>
      </c>
      <c r="AP465" s="246"/>
      <c r="AQ465" s="246"/>
      <c r="AR465" s="246"/>
      <c r="AS465" s="246"/>
      <c r="AT465" s="246"/>
      <c r="AU465" s="246"/>
      <c r="AV465" s="246"/>
      <c r="AW465" s="246"/>
      <c r="AX465" s="246"/>
      <c r="AY465" s="246"/>
      <c r="AZ465" s="246"/>
      <c r="BA465" s="246"/>
      <c r="BB465" s="246"/>
      <c r="BC465" s="246"/>
      <c r="BD465" s="246"/>
      <c r="BE465" s="246"/>
      <c r="BF465" s="246"/>
      <c r="BG465" s="246"/>
      <c r="BH465" s="246"/>
      <c r="BI465" s="246"/>
      <c r="BJ465" s="246"/>
    </row>
    <row r="466" spans="1:62" ht="18">
      <c r="A466" t="str">
        <f t="shared" si="87"/>
        <v>TOTAL DÉPENSES FIXES</v>
      </c>
      <c r="B466" s="7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96" t="s">
        <v>176</v>
      </c>
      <c r="W466" s="297"/>
      <c r="X466" s="298">
        <f>Z466/+Z407</f>
        <v>0.26994026099900326</v>
      </c>
      <c r="Y466" s="297"/>
      <c r="Z466" s="299">
        <f>SUM(Z453:Z465)</f>
        <v>75516.486666666664</v>
      </c>
      <c r="AA466" s="298"/>
      <c r="AB466" s="297"/>
      <c r="AC466" s="299"/>
      <c r="AD466" s="300">
        <f>AF466/AF407</f>
        <v>0.26951850978332065</v>
      </c>
      <c r="AE466" s="297"/>
      <c r="AF466" s="299">
        <f>SUM(AF453:AF465)</f>
        <v>55492.049999999996</v>
      </c>
      <c r="AG466" s="308"/>
      <c r="AH466" s="302">
        <f>SUM(AH453:AH465)</f>
        <v>-20024.436666666668</v>
      </c>
      <c r="AI466" s="298">
        <f>IF(Z466=0,0,AH466/Z466)</f>
        <v>-0.26516642326139295</v>
      </c>
      <c r="AJ466" s="300">
        <f>IF($AL$407=0,0,AL466/$AL$407)</f>
        <v>0.19269449768259536</v>
      </c>
      <c r="AK466" s="298"/>
      <c r="AL466" s="299">
        <f>SUM(AL453:AL465)</f>
        <v>73627.289999999994</v>
      </c>
      <c r="AM466" s="309"/>
      <c r="AN466" s="302">
        <f>SUM(AN453:AN465)</f>
        <v>-18135.240000000002</v>
      </c>
      <c r="AO466" s="331">
        <f t="shared" ref="AO466:AO483" si="115">IF(AL466=0,0,AN466/AL466)</f>
        <v>-0.24631138807363415</v>
      </c>
      <c r="AP466" s="246"/>
      <c r="AQ466" s="246"/>
      <c r="AR466" s="310"/>
      <c r="AS466" s="246"/>
      <c r="AT466" s="246"/>
      <c r="AU466" s="246"/>
      <c r="AV466" s="246"/>
      <c r="AW466" s="246"/>
      <c r="AX466" s="246"/>
      <c r="AY466" s="246"/>
      <c r="AZ466" s="246"/>
      <c r="BA466" s="246"/>
      <c r="BB466" s="246"/>
      <c r="BC466" s="246"/>
      <c r="BD466" s="246"/>
      <c r="BE466" s="246"/>
      <c r="BF466" s="246"/>
      <c r="BG466" s="246"/>
      <c r="BH466" s="246"/>
      <c r="BI466" s="246"/>
      <c r="BJ466" s="246"/>
    </row>
    <row r="467" spans="1:62" ht="18">
      <c r="A467" t="str">
        <f t="shared" si="87"/>
        <v/>
      </c>
      <c r="B467" s="7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102"/>
      <c r="W467" s="279"/>
      <c r="X467" s="279"/>
      <c r="Y467" s="279"/>
      <c r="Z467" s="336"/>
      <c r="AA467" s="279"/>
      <c r="AB467" s="279"/>
      <c r="AC467" s="336"/>
      <c r="AD467" s="288"/>
      <c r="AE467" s="279"/>
      <c r="AF467" s="336"/>
      <c r="AG467" s="288"/>
      <c r="AH467" s="282">
        <f t="shared" ref="AH467:AH481" si="116">AF467-Z467</f>
        <v>0</v>
      </c>
      <c r="AI467" s="283"/>
      <c r="AJ467" s="288"/>
      <c r="AK467" s="279"/>
      <c r="AL467" s="336"/>
      <c r="AM467" s="337"/>
      <c r="AN467" s="282">
        <f t="shared" ref="AN467:AN483" si="117">AF467-AL467</f>
        <v>0</v>
      </c>
      <c r="AO467" s="338">
        <f t="shared" si="115"/>
        <v>0</v>
      </c>
      <c r="AP467" s="246"/>
      <c r="AQ467" s="246"/>
      <c r="AR467" s="246"/>
      <c r="AS467" s="246"/>
      <c r="AT467" s="246"/>
      <c r="AU467" s="246"/>
      <c r="AV467" s="246"/>
      <c r="AW467" s="246"/>
      <c r="AX467" s="246"/>
      <c r="AY467" s="246"/>
      <c r="AZ467" s="246"/>
      <c r="BA467" s="246"/>
      <c r="BB467" s="246"/>
      <c r="BC467" s="246"/>
      <c r="BD467" s="246"/>
      <c r="BE467" s="246"/>
      <c r="BF467" s="246"/>
      <c r="BG467" s="246"/>
      <c r="BH467" s="246"/>
      <c r="BI467" s="246"/>
      <c r="BJ467" s="246"/>
    </row>
    <row r="468" spans="1:62" ht="18">
      <c r="A468" t="str">
        <f t="shared" si="87"/>
        <v>TOTAL DES DÉPENSES</v>
      </c>
      <c r="B468" s="7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96" t="s">
        <v>64</v>
      </c>
      <c r="W468" s="297"/>
      <c r="X468" s="298">
        <f>Z468/+Z407</f>
        <v>1.5003255964473321</v>
      </c>
      <c r="Y468" s="297"/>
      <c r="Z468" s="299">
        <f>Z419+Z433+Z452+Z466</f>
        <v>419719.96870889899</v>
      </c>
      <c r="AA468" s="298"/>
      <c r="AB468" s="297"/>
      <c r="AC468" s="299"/>
      <c r="AD468" s="300">
        <f>AF468/AF407</f>
        <v>1.6325239463862051</v>
      </c>
      <c r="AE468" s="297"/>
      <c r="AF468" s="299">
        <f>AF419+AF433+AF452+AF466</f>
        <v>336125.71</v>
      </c>
      <c r="AG468" s="308"/>
      <c r="AH468" s="302">
        <f t="shared" si="116"/>
        <v>-83594.258708898968</v>
      </c>
      <c r="AI468" s="298">
        <f>AH468/Z468</f>
        <v>-0.1991667419733289</v>
      </c>
      <c r="AJ468" s="300">
        <f>IF($AL$407=0,0,AL468/$AL$407)</f>
        <v>1.254887463763112</v>
      </c>
      <c r="AK468" s="298"/>
      <c r="AL468" s="299">
        <f>AL419+AL433+AL452+AL466</f>
        <v>479484.18</v>
      </c>
      <c r="AM468" s="309"/>
      <c r="AN468" s="302">
        <f t="shared" si="117"/>
        <v>-143358.46999999997</v>
      </c>
      <c r="AO468" s="277">
        <f t="shared" si="115"/>
        <v>-0.29898477568123305</v>
      </c>
      <c r="AP468" s="310"/>
      <c r="AQ468" s="246"/>
      <c r="AR468" s="246"/>
      <c r="AS468" s="310"/>
      <c r="AT468" s="246"/>
      <c r="AU468" s="246"/>
      <c r="AV468" s="246"/>
      <c r="AW468" s="246"/>
      <c r="AX468" s="246"/>
      <c r="AY468" s="246"/>
      <c r="AZ468" s="246"/>
      <c r="BA468" s="246"/>
      <c r="BB468" s="246"/>
      <c r="BC468" s="246"/>
      <c r="BD468" s="246"/>
      <c r="BE468" s="246"/>
      <c r="BF468" s="246"/>
      <c r="BG468" s="246"/>
      <c r="BH468" s="246"/>
      <c r="BI468" s="246"/>
      <c r="BJ468" s="246"/>
    </row>
    <row r="469" spans="1:62" ht="18">
      <c r="A469" t="str">
        <f t="shared" si="87"/>
        <v>Revenus autres</v>
      </c>
      <c r="B469" s="7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102" t="s">
        <v>177</v>
      </c>
      <c r="W469" s="333"/>
      <c r="X469" s="333"/>
      <c r="Y469" s="279"/>
      <c r="Z469" s="313">
        <v>0</v>
      </c>
      <c r="AA469" s="339"/>
      <c r="AB469" s="340"/>
      <c r="AC469" s="313"/>
      <c r="AD469" s="341"/>
      <c r="AE469" s="340"/>
      <c r="AF469" s="280">
        <v>0.15</v>
      </c>
      <c r="AG469" s="342"/>
      <c r="AH469" s="282">
        <f t="shared" si="116"/>
        <v>0.15</v>
      </c>
      <c r="AI469" s="335" t="e">
        <f>IF(AH469=0,0,AH469/Z469)</f>
        <v>#DIV/0!</v>
      </c>
      <c r="AJ469" s="341"/>
      <c r="AK469" s="339"/>
      <c r="AL469" s="343">
        <v>875.8</v>
      </c>
      <c r="AM469" s="344"/>
      <c r="AN469" s="282">
        <f t="shared" si="117"/>
        <v>-875.65</v>
      </c>
      <c r="AO469" s="289">
        <f t="shared" si="115"/>
        <v>-0.99982872802009592</v>
      </c>
      <c r="AP469" s="246"/>
      <c r="AQ469" s="246"/>
      <c r="AR469" s="246"/>
      <c r="AS469" s="246"/>
      <c r="AT469" s="246"/>
      <c r="AU469" s="246"/>
      <c r="AV469" s="246"/>
      <c r="AW469" s="246"/>
      <c r="AX469" s="246"/>
      <c r="AY469" s="246"/>
      <c r="AZ469" s="246"/>
      <c r="BA469" s="246"/>
      <c r="BB469" s="246"/>
      <c r="BC469" s="246"/>
      <c r="BD469" s="246"/>
      <c r="BE469" s="246"/>
      <c r="BF469" s="246"/>
      <c r="BG469" s="246"/>
      <c r="BH469" s="246"/>
      <c r="BI469" s="246"/>
      <c r="BJ469" s="246"/>
    </row>
    <row r="470" spans="1:62" ht="18">
      <c r="A470" t="str">
        <f t="shared" si="87"/>
        <v>Holdbacks</v>
      </c>
      <c r="B470" s="7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102" t="s">
        <v>66</v>
      </c>
      <c r="W470" s="279"/>
      <c r="X470" s="279"/>
      <c r="Y470" s="279"/>
      <c r="Z470" s="280">
        <f>+SUMIF($C:$C,$V470,F:F)</f>
        <v>30803.461527272728</v>
      </c>
      <c r="AA470" s="332"/>
      <c r="AB470" s="333"/>
      <c r="AC470" s="280"/>
      <c r="AD470" s="345"/>
      <c r="AE470" s="333"/>
      <c r="AF470" s="280">
        <f t="shared" ref="AF470:AF476" si="118">+SUMIF($C:$C,$V470,L:L)</f>
        <v>32718</v>
      </c>
      <c r="AG470" s="346"/>
      <c r="AH470" s="282">
        <f t="shared" si="116"/>
        <v>1914.5384727272722</v>
      </c>
      <c r="AI470" s="306">
        <f>IF(Z470=0,0,AH470/Z470)</f>
        <v>6.2153354779045877E-2</v>
      </c>
      <c r="AJ470" s="345"/>
      <c r="AK470" s="332"/>
      <c r="AL470" s="347">
        <f>+SUMIF($C:$C,$V470,Q:Q)</f>
        <v>44065</v>
      </c>
      <c r="AM470" s="348"/>
      <c r="AN470" s="282">
        <f t="shared" si="117"/>
        <v>-11347</v>
      </c>
      <c r="AO470" s="289">
        <f t="shared" si="115"/>
        <v>-0.25750595710881652</v>
      </c>
      <c r="AP470" s="246"/>
      <c r="AQ470" s="246">
        <v>32718</v>
      </c>
      <c r="AR470" s="246"/>
      <c r="AS470" s="246"/>
      <c r="AT470" s="246"/>
      <c r="AU470" s="246"/>
      <c r="AV470" s="246"/>
      <c r="AW470" s="246"/>
      <c r="AX470" s="246"/>
      <c r="AY470" s="246"/>
      <c r="AZ470" s="246"/>
      <c r="BA470" s="246"/>
      <c r="BB470" s="246"/>
      <c r="BC470" s="246"/>
      <c r="BD470" s="246"/>
      <c r="BE470" s="246"/>
      <c r="BF470" s="246"/>
      <c r="BG470" s="246"/>
      <c r="BH470" s="246"/>
      <c r="BI470" s="246"/>
      <c r="BJ470" s="246"/>
    </row>
    <row r="471" spans="1:62" ht="18">
      <c r="A471" t="str">
        <f t="shared" si="87"/>
        <v>RBSC neuf</v>
      </c>
      <c r="B471" s="7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102" t="s">
        <v>216</v>
      </c>
      <c r="W471" s="279"/>
      <c r="X471" s="279"/>
      <c r="Y471" s="279"/>
      <c r="Z471" s="280">
        <v>28493.201912727272</v>
      </c>
      <c r="AA471" s="332"/>
      <c r="AB471" s="333"/>
      <c r="AC471" s="280"/>
      <c r="AD471" s="345"/>
      <c r="AE471" s="333"/>
      <c r="AF471" s="280">
        <f t="shared" si="118"/>
        <v>20598</v>
      </c>
      <c r="AG471" s="346"/>
      <c r="AH471" s="282">
        <f t="shared" si="116"/>
        <v>-7895.2019127272724</v>
      </c>
      <c r="AI471" s="306">
        <f t="shared" ref="AI471:AI480" si="119">IF(AH471=0,0,AH471/Z471)</f>
        <v>-0.27709072279450148</v>
      </c>
      <c r="AJ471" s="345"/>
      <c r="AK471" s="332"/>
      <c r="AL471" s="347">
        <v>31920</v>
      </c>
      <c r="AM471" s="348"/>
      <c r="AN471" s="282">
        <f t="shared" si="117"/>
        <v>-11322</v>
      </c>
      <c r="AO471" s="289">
        <f t="shared" si="115"/>
        <v>-0.35469924812030074</v>
      </c>
      <c r="AP471" s="246"/>
      <c r="AQ471" s="246">
        <v>20598</v>
      </c>
      <c r="AR471" s="246"/>
      <c r="AS471" s="246"/>
      <c r="AT471" s="246"/>
      <c r="AU471" s="246"/>
      <c r="AV471" s="246"/>
      <c r="AW471" s="246"/>
      <c r="AX471" s="246"/>
      <c r="AY471" s="246"/>
      <c r="AZ471" s="246"/>
      <c r="BA471" s="246"/>
      <c r="BB471" s="246"/>
      <c r="BC471" s="246"/>
      <c r="BD471" s="246"/>
      <c r="BE471" s="246"/>
      <c r="BF471" s="246"/>
      <c r="BG471" s="246"/>
      <c r="BH471" s="246"/>
      <c r="BI471" s="246"/>
      <c r="BJ471" s="246"/>
    </row>
    <row r="472" spans="1:62" ht="18" hidden="1" customHeight="1">
      <c r="A472" t="str">
        <f t="shared" si="87"/>
        <v>Programme neuf 2</v>
      </c>
      <c r="B472" s="7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102" t="s">
        <v>188</v>
      </c>
      <c r="W472" s="279"/>
      <c r="X472" s="279"/>
      <c r="Y472" s="279"/>
      <c r="Z472" s="280">
        <f>+SUMIF($C:$C,$V472,F:F)</f>
        <v>0</v>
      </c>
      <c r="AA472" s="332"/>
      <c r="AB472" s="333"/>
      <c r="AC472" s="280"/>
      <c r="AD472" s="345"/>
      <c r="AE472" s="333"/>
      <c r="AF472" s="280">
        <f t="shared" si="118"/>
        <v>0</v>
      </c>
      <c r="AG472" s="346"/>
      <c r="AH472" s="282">
        <f t="shared" si="116"/>
        <v>0</v>
      </c>
      <c r="AI472" s="306">
        <f t="shared" si="119"/>
        <v>0</v>
      </c>
      <c r="AJ472" s="345"/>
      <c r="AK472" s="332"/>
      <c r="AL472" s="347">
        <f>+SUMIF($C:$C,$V472,Q:Q)</f>
        <v>0</v>
      </c>
      <c r="AM472" s="348"/>
      <c r="AN472" s="282">
        <f t="shared" si="117"/>
        <v>0</v>
      </c>
      <c r="AO472" s="289">
        <f t="shared" si="115"/>
        <v>0</v>
      </c>
      <c r="AP472" s="246"/>
      <c r="AQ472" s="246"/>
      <c r="AR472" s="246"/>
      <c r="AS472" s="246"/>
      <c r="AT472" s="246"/>
      <c r="AU472" s="246"/>
      <c r="AV472" s="246"/>
      <c r="AW472" s="246"/>
      <c r="AX472" s="246"/>
      <c r="AY472" s="246"/>
      <c r="AZ472" s="246"/>
      <c r="BA472" s="246"/>
      <c r="BB472" s="246"/>
      <c r="BC472" s="246"/>
      <c r="BD472" s="246"/>
      <c r="BE472" s="246"/>
      <c r="BF472" s="246"/>
      <c r="BG472" s="246"/>
      <c r="BH472" s="246"/>
      <c r="BI472" s="246"/>
      <c r="BJ472" s="246"/>
    </row>
    <row r="473" spans="1:62" ht="18" hidden="1" customHeight="1">
      <c r="A473" t="str">
        <f t="shared" si="87"/>
        <v>Programme neuf 3</v>
      </c>
      <c r="B473" s="7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102" t="s">
        <v>65</v>
      </c>
      <c r="W473" s="279"/>
      <c r="X473" s="279"/>
      <c r="Y473" s="279"/>
      <c r="Z473" s="280">
        <f>+SUMIF($C:$C,$V473,F:F)</f>
        <v>0</v>
      </c>
      <c r="AA473" s="332"/>
      <c r="AB473" s="333"/>
      <c r="AC473" s="280"/>
      <c r="AD473" s="345"/>
      <c r="AE473" s="333"/>
      <c r="AF473" s="280">
        <f t="shared" si="118"/>
        <v>0</v>
      </c>
      <c r="AG473" s="346"/>
      <c r="AH473" s="282">
        <f t="shared" si="116"/>
        <v>0</v>
      </c>
      <c r="AI473" s="306">
        <f t="shared" si="119"/>
        <v>0</v>
      </c>
      <c r="AJ473" s="345"/>
      <c r="AK473" s="332"/>
      <c r="AL473" s="347">
        <f>+SUMIF($C:$C,$V473,Q:Q)</f>
        <v>0</v>
      </c>
      <c r="AM473" s="348"/>
      <c r="AN473" s="282">
        <f t="shared" si="117"/>
        <v>0</v>
      </c>
      <c r="AO473" s="289">
        <f t="shared" si="115"/>
        <v>0</v>
      </c>
      <c r="AP473" s="246"/>
      <c r="AQ473" s="246"/>
      <c r="AR473" s="246"/>
      <c r="AS473" s="246"/>
      <c r="AT473" s="246"/>
      <c r="AU473" s="246"/>
      <c r="AV473" s="246"/>
      <c r="AW473" s="246"/>
      <c r="AX473" s="246"/>
      <c r="AY473" s="246"/>
      <c r="AZ473" s="246"/>
      <c r="BA473" s="246"/>
      <c r="BB473" s="246"/>
      <c r="BC473" s="246"/>
      <c r="BD473" s="246"/>
      <c r="BE473" s="246"/>
      <c r="BF473" s="246"/>
      <c r="BG473" s="246"/>
      <c r="BH473" s="246"/>
      <c r="BI473" s="246"/>
      <c r="BJ473" s="246"/>
    </row>
    <row r="474" spans="1:62" ht="18">
      <c r="A474" t="str">
        <f t="shared" si="87"/>
        <v>RBSC used</v>
      </c>
      <c r="B474" s="7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102" t="s">
        <v>218</v>
      </c>
      <c r="W474" s="279"/>
      <c r="X474" s="279"/>
      <c r="Y474" s="279"/>
      <c r="Z474" s="280">
        <v>1500</v>
      </c>
      <c r="AA474" s="332"/>
      <c r="AB474" s="333"/>
      <c r="AC474" s="280"/>
      <c r="AD474" s="345"/>
      <c r="AE474" s="333"/>
      <c r="AF474" s="280">
        <f t="shared" si="118"/>
        <v>0</v>
      </c>
      <c r="AG474" s="346"/>
      <c r="AH474" s="282">
        <f t="shared" si="116"/>
        <v>-1500</v>
      </c>
      <c r="AI474" s="306">
        <f t="shared" si="119"/>
        <v>-1</v>
      </c>
      <c r="AJ474" s="345"/>
      <c r="AK474" s="332"/>
      <c r="AL474" s="347">
        <v>0</v>
      </c>
      <c r="AM474" s="348"/>
      <c r="AN474" s="282">
        <f t="shared" si="117"/>
        <v>0</v>
      </c>
      <c r="AO474" s="289">
        <f t="shared" si="115"/>
        <v>0</v>
      </c>
      <c r="AP474" s="246"/>
      <c r="AQ474" s="246"/>
      <c r="AR474" s="246"/>
      <c r="AS474" s="246"/>
      <c r="AT474" s="246"/>
      <c r="AU474" s="246"/>
      <c r="AV474" s="246"/>
      <c r="AW474" s="246"/>
      <c r="AX474" s="246"/>
      <c r="AY474" s="246"/>
      <c r="AZ474" s="246"/>
      <c r="BA474" s="246"/>
      <c r="BB474" s="246"/>
      <c r="BC474" s="246"/>
      <c r="BD474" s="246"/>
      <c r="BE474" s="246"/>
      <c r="BF474" s="246"/>
      <c r="BG474" s="246"/>
      <c r="BH474" s="246"/>
      <c r="BI474" s="246"/>
      <c r="BJ474" s="246"/>
    </row>
    <row r="475" spans="1:62" ht="18">
      <c r="A475" t="str">
        <f t="shared" si="87"/>
        <v>Programme 360</v>
      </c>
      <c r="B475" s="7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102" t="s">
        <v>219</v>
      </c>
      <c r="W475" s="279"/>
      <c r="X475" s="279"/>
      <c r="Y475" s="279"/>
      <c r="Z475" s="280">
        <f>+SUMIF($C:$C,$V475,F:F)</f>
        <v>536</v>
      </c>
      <c r="AA475" s="332"/>
      <c r="AB475" s="333"/>
      <c r="AC475" s="280"/>
      <c r="AD475" s="345"/>
      <c r="AE475" s="333"/>
      <c r="AF475" s="280">
        <f t="shared" si="118"/>
        <v>0</v>
      </c>
      <c r="AG475" s="346"/>
      <c r="AH475" s="282">
        <f t="shared" si="116"/>
        <v>-536</v>
      </c>
      <c r="AI475" s="306">
        <f t="shared" si="119"/>
        <v>-1</v>
      </c>
      <c r="AJ475" s="345"/>
      <c r="AK475" s="332"/>
      <c r="AL475" s="347">
        <f>+SUMIF($C:$C,$V475,Q:Q)</f>
        <v>-1450</v>
      </c>
      <c r="AM475" s="348"/>
      <c r="AN475" s="282">
        <f t="shared" si="117"/>
        <v>1450</v>
      </c>
      <c r="AO475" s="289">
        <f t="shared" si="115"/>
        <v>-1</v>
      </c>
      <c r="AP475" s="246"/>
      <c r="AQ475" s="246"/>
      <c r="AR475" s="246"/>
      <c r="AS475" s="246"/>
      <c r="AT475" s="246"/>
      <c r="AU475" s="246"/>
      <c r="AV475" s="246"/>
      <c r="AW475" s="246"/>
      <c r="AX475" s="246"/>
      <c r="AY475" s="246"/>
      <c r="AZ475" s="246"/>
      <c r="BA475" s="246"/>
      <c r="BB475" s="246"/>
      <c r="BC475" s="246"/>
      <c r="BD475" s="246"/>
      <c r="BE475" s="246"/>
      <c r="BF475" s="246"/>
      <c r="BG475" s="246"/>
      <c r="BH475" s="246"/>
      <c r="BI475" s="246"/>
      <c r="BJ475" s="246"/>
    </row>
    <row r="476" spans="1:62" ht="18" hidden="1" customHeight="1">
      <c r="A476" t="str">
        <f t="shared" si="87"/>
        <v>Programme used 3</v>
      </c>
      <c r="B476" s="7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102" t="s">
        <v>77</v>
      </c>
      <c r="W476" s="279"/>
      <c r="X476" s="279"/>
      <c r="Y476" s="279"/>
      <c r="Z476" s="280">
        <f>+SUMIF($C:$C,$V476,F:F)</f>
        <v>0</v>
      </c>
      <c r="AA476" s="332"/>
      <c r="AB476" s="333"/>
      <c r="AC476" s="280"/>
      <c r="AD476" s="345"/>
      <c r="AE476" s="333"/>
      <c r="AF476" s="280">
        <f t="shared" si="118"/>
        <v>0</v>
      </c>
      <c r="AG476" s="346"/>
      <c r="AH476" s="282">
        <f t="shared" si="116"/>
        <v>0</v>
      </c>
      <c r="AI476" s="306">
        <f t="shared" si="119"/>
        <v>0</v>
      </c>
      <c r="AJ476" s="345"/>
      <c r="AK476" s="332"/>
      <c r="AL476" s="347">
        <f>+SUMIF($C:$C,$V476,Q:Q)</f>
        <v>0</v>
      </c>
      <c r="AM476" s="348"/>
      <c r="AN476" s="282">
        <f t="shared" si="117"/>
        <v>0</v>
      </c>
      <c r="AO476" s="289">
        <f t="shared" si="115"/>
        <v>0</v>
      </c>
      <c r="AP476" s="246"/>
      <c r="AQ476" s="246"/>
      <c r="AR476" s="246"/>
      <c r="AS476" s="246"/>
      <c r="AT476" s="246"/>
      <c r="AU476" s="246"/>
      <c r="AV476" s="246"/>
      <c r="AW476" s="246"/>
      <c r="AX476" s="246"/>
      <c r="AY476" s="246"/>
      <c r="AZ476" s="246"/>
      <c r="BA476" s="246"/>
      <c r="BB476" s="246"/>
      <c r="BC476" s="246"/>
      <c r="BD476" s="246"/>
      <c r="BE476" s="246"/>
      <c r="BF476" s="246"/>
      <c r="BG476" s="246"/>
      <c r="BH476" s="246"/>
      <c r="BI476" s="246"/>
      <c r="BJ476" s="246"/>
    </row>
    <row r="477" spans="1:62" ht="18">
      <c r="A477" t="str">
        <f t="shared" si="87"/>
        <v>Facility Fund</v>
      </c>
      <c r="B477" s="7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102" t="s">
        <v>189</v>
      </c>
      <c r="W477" s="279"/>
      <c r="X477" s="279"/>
      <c r="Y477" s="279"/>
      <c r="Z477" s="280">
        <v>16171.817301818184</v>
      </c>
      <c r="AA477" s="332"/>
      <c r="AB477" s="333"/>
      <c r="AC477" s="280"/>
      <c r="AD477" s="345"/>
      <c r="AE477" s="333"/>
      <c r="AF477" s="280">
        <v>10164</v>
      </c>
      <c r="AG477" s="346"/>
      <c r="AH477" s="282">
        <f t="shared" si="116"/>
        <v>-6007.8173018181842</v>
      </c>
      <c r="AI477" s="306">
        <f t="shared" si="119"/>
        <v>-0.37149920690377392</v>
      </c>
      <c r="AJ477" s="345"/>
      <c r="AK477" s="332"/>
      <c r="AL477" s="347">
        <v>12600</v>
      </c>
      <c r="AM477" s="348"/>
      <c r="AN477" s="282">
        <f t="shared" si="117"/>
        <v>-2436</v>
      </c>
      <c r="AO477" s="289">
        <f t="shared" si="115"/>
        <v>-0.19333333333333333</v>
      </c>
      <c r="AP477" s="246"/>
      <c r="AQ477" s="246">
        <v>10164</v>
      </c>
      <c r="AR477" s="246"/>
      <c r="AS477" s="246"/>
      <c r="AT477" s="246"/>
      <c r="AU477" s="246"/>
      <c r="AV477" s="246"/>
      <c r="AW477" s="246"/>
      <c r="AX477" s="246"/>
      <c r="AY477" s="246"/>
      <c r="AZ477" s="246"/>
      <c r="BA477" s="246"/>
      <c r="BB477" s="246"/>
      <c r="BC477" s="246"/>
      <c r="BD477" s="246"/>
      <c r="BE477" s="246"/>
      <c r="BF477" s="246"/>
      <c r="BG477" s="246"/>
      <c r="BH477" s="246"/>
      <c r="BI477" s="246"/>
      <c r="BJ477" s="246"/>
    </row>
    <row r="478" spans="1:62" ht="18" hidden="1" customHeight="1">
      <c r="A478" t="str">
        <f t="shared" si="87"/>
        <v>[...]</v>
      </c>
      <c r="B478" s="7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102" t="s">
        <v>19</v>
      </c>
      <c r="W478" s="279"/>
      <c r="X478" s="279"/>
      <c r="Y478" s="279"/>
      <c r="Z478" s="282">
        <f>IFERROR(SUMIF($C:$C,$V478,F:F),0)</f>
        <v>0</v>
      </c>
      <c r="AA478" s="279"/>
      <c r="AB478" s="279"/>
      <c r="AC478" s="282"/>
      <c r="AD478" s="288"/>
      <c r="AE478" s="287"/>
      <c r="AF478" s="280">
        <f>+SUMIF($C:$C,$V478,L:L)</f>
        <v>0</v>
      </c>
      <c r="AG478" s="281"/>
      <c r="AH478" s="282">
        <f t="shared" si="116"/>
        <v>0</v>
      </c>
      <c r="AI478" s="283">
        <f t="shared" si="119"/>
        <v>0</v>
      </c>
      <c r="AJ478" s="288"/>
      <c r="AK478" s="279"/>
      <c r="AL478" s="280">
        <f>+SUMIF($C:$C,$V478,Q:Q)</f>
        <v>0</v>
      </c>
      <c r="AM478" s="348"/>
      <c r="AN478" s="282">
        <f t="shared" si="117"/>
        <v>0</v>
      </c>
      <c r="AO478" s="289">
        <f t="shared" si="115"/>
        <v>0</v>
      </c>
      <c r="AP478" s="246"/>
      <c r="AQ478" s="246"/>
      <c r="AR478" s="246"/>
      <c r="AS478" s="246"/>
      <c r="AT478" s="246"/>
      <c r="AU478" s="246"/>
      <c r="AV478" s="246"/>
      <c r="AW478" s="246"/>
      <c r="AX478" s="246"/>
      <c r="AY478" s="246"/>
      <c r="AZ478" s="246"/>
      <c r="BA478" s="246"/>
      <c r="BB478" s="246"/>
      <c r="BC478" s="246"/>
      <c r="BD478" s="246"/>
      <c r="BE478" s="246"/>
      <c r="BF478" s="246"/>
      <c r="BG478" s="246"/>
      <c r="BH478" s="246"/>
      <c r="BI478" s="246"/>
      <c r="BJ478" s="246"/>
    </row>
    <row r="479" spans="1:62" ht="18" hidden="1" customHeight="1">
      <c r="A479" t="str">
        <f t="shared" si="87"/>
        <v>[...]</v>
      </c>
      <c r="B479" s="7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102" t="s">
        <v>19</v>
      </c>
      <c r="W479" s="279"/>
      <c r="X479" s="279"/>
      <c r="Y479" s="279"/>
      <c r="Z479" s="282">
        <f>IFERROR(SUMIF($C:$C,$V479,F:F),0)</f>
        <v>0</v>
      </c>
      <c r="AA479" s="279"/>
      <c r="AB479" s="279"/>
      <c r="AC479" s="282"/>
      <c r="AD479" s="288"/>
      <c r="AE479" s="287"/>
      <c r="AF479" s="280">
        <f>+SUMIF($C:$C,$V479,L:L)</f>
        <v>0</v>
      </c>
      <c r="AG479" s="281"/>
      <c r="AH479" s="282">
        <f t="shared" si="116"/>
        <v>0</v>
      </c>
      <c r="AI479" s="283">
        <f t="shared" si="119"/>
        <v>0</v>
      </c>
      <c r="AJ479" s="288"/>
      <c r="AK479" s="279"/>
      <c r="AL479" s="280">
        <f>+SUMIF($C:$C,$V479,Q:Q)</f>
        <v>0</v>
      </c>
      <c r="AM479" s="348"/>
      <c r="AN479" s="282">
        <f t="shared" si="117"/>
        <v>0</v>
      </c>
      <c r="AO479" s="289">
        <f t="shared" si="115"/>
        <v>0</v>
      </c>
      <c r="AP479" s="246"/>
      <c r="AQ479" s="246"/>
      <c r="AR479" s="246"/>
      <c r="AS479" s="246"/>
      <c r="AT479" s="246"/>
      <c r="AU479" s="246"/>
      <c r="AV479" s="246"/>
      <c r="AW479" s="246"/>
      <c r="AX479" s="246"/>
      <c r="AY479" s="246"/>
      <c r="AZ479" s="246"/>
      <c r="BA479" s="246"/>
      <c r="BB479" s="246"/>
      <c r="BC479" s="246"/>
      <c r="BD479" s="246"/>
      <c r="BE479" s="246"/>
      <c r="BF479" s="246"/>
      <c r="BG479" s="246"/>
      <c r="BH479" s="246"/>
      <c r="BI479" s="246"/>
      <c r="BJ479" s="246"/>
    </row>
    <row r="480" spans="1:62" ht="18">
      <c r="A480" t="str">
        <f t="shared" si="87"/>
        <v>Frais administration</v>
      </c>
      <c r="B480" s="7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103" t="s">
        <v>67</v>
      </c>
      <c r="W480" s="279"/>
      <c r="X480" s="279"/>
      <c r="Y480" s="279"/>
      <c r="Z480" s="280">
        <f>+SUMIF($C:$C,$V480,F:F)</f>
        <v>16475.55</v>
      </c>
      <c r="AA480" s="332"/>
      <c r="AB480" s="333"/>
      <c r="AC480" s="280"/>
      <c r="AD480" s="345"/>
      <c r="AE480" s="333"/>
      <c r="AF480" s="280">
        <f>+SUMIF($C:$C,$V480,L:L)</f>
        <v>7140</v>
      </c>
      <c r="AG480" s="346"/>
      <c r="AH480" s="282">
        <f t="shared" si="116"/>
        <v>-9335.5499999999993</v>
      </c>
      <c r="AI480" s="306">
        <f t="shared" si="119"/>
        <v>-0.56663055254604544</v>
      </c>
      <c r="AJ480" s="345"/>
      <c r="AK480" s="332"/>
      <c r="AL480" s="347">
        <v>21420</v>
      </c>
      <c r="AM480" s="348"/>
      <c r="AN480" s="282">
        <f t="shared" si="117"/>
        <v>-14280</v>
      </c>
      <c r="AO480" s="289">
        <f t="shared" si="115"/>
        <v>-0.66666666666666663</v>
      </c>
      <c r="AP480" s="246"/>
      <c r="AQ480" s="246">
        <v>7140</v>
      </c>
      <c r="AR480" s="246"/>
      <c r="AS480" s="246"/>
      <c r="AT480" s="246"/>
      <c r="AU480" s="246"/>
      <c r="AV480" s="246"/>
      <c r="AW480" s="246"/>
      <c r="AX480" s="246"/>
      <c r="AY480" s="246"/>
      <c r="AZ480" s="246"/>
      <c r="BA480" s="246"/>
      <c r="BB480" s="246"/>
      <c r="BC480" s="246"/>
      <c r="BD480" s="246"/>
      <c r="BE480" s="246"/>
      <c r="BF480" s="246"/>
      <c r="BG480" s="246"/>
      <c r="BH480" s="246"/>
      <c r="BI480" s="246"/>
      <c r="BJ480" s="246"/>
    </row>
    <row r="481" spans="1:62" ht="18">
      <c r="A481" t="str">
        <f t="shared" si="87"/>
        <v>TOTAL AUTRES REVENUS</v>
      </c>
      <c r="B481" s="7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96" t="s">
        <v>178</v>
      </c>
      <c r="W481" s="297"/>
      <c r="X481" s="298">
        <f>Z481/+Z407</f>
        <v>0.33593980794049233</v>
      </c>
      <c r="Y481" s="330"/>
      <c r="Z481" s="299">
        <f>SUM(Z469:Z480)</f>
        <v>93980.030741818191</v>
      </c>
      <c r="AA481" s="298"/>
      <c r="AB481" s="330"/>
      <c r="AC481" s="299"/>
      <c r="AD481" s="298">
        <f>AF481/+AF407</f>
        <v>0.34299395298379809</v>
      </c>
      <c r="AE481" s="330"/>
      <c r="AF481" s="299">
        <f>SUM(AF469:AF480)</f>
        <v>70620.149999999994</v>
      </c>
      <c r="AG481" s="308"/>
      <c r="AH481" s="302">
        <f t="shared" si="116"/>
        <v>-23359.880741818197</v>
      </c>
      <c r="AI481" s="298">
        <f>AH481/Z481</f>
        <v>-0.2485621738727925</v>
      </c>
      <c r="AJ481" s="349"/>
      <c r="AK481" s="350"/>
      <c r="AL481" s="299">
        <f>SUM(AL469:AL480)</f>
        <v>109430.8</v>
      </c>
      <c r="AM481" s="351"/>
      <c r="AN481" s="302">
        <f t="shared" si="117"/>
        <v>-38810.650000000009</v>
      </c>
      <c r="AO481" s="331">
        <f t="shared" si="115"/>
        <v>-0.3546592915340106</v>
      </c>
      <c r="AP481" s="246"/>
      <c r="AQ481" s="246"/>
      <c r="AR481" s="246"/>
      <c r="AS481" s="310"/>
      <c r="AT481" s="246"/>
      <c r="AU481" s="246"/>
      <c r="AV481" s="246"/>
      <c r="AW481" s="246"/>
      <c r="AX481" s="246"/>
      <c r="AY481" s="246"/>
      <c r="AZ481" s="246"/>
      <c r="BA481" s="246"/>
      <c r="BB481" s="246"/>
      <c r="BC481" s="246"/>
      <c r="BD481" s="246"/>
      <c r="BE481" s="246"/>
      <c r="BF481" s="246"/>
      <c r="BG481" s="246"/>
      <c r="BH481" s="246"/>
      <c r="BI481" s="246"/>
      <c r="BJ481" s="246"/>
    </row>
    <row r="482" spans="1:62" ht="18.75" thickBot="1">
      <c r="A482" t="str">
        <f t="shared" si="87"/>
        <v/>
      </c>
      <c r="B482" s="7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352"/>
      <c r="W482" s="353"/>
      <c r="X482" s="353"/>
      <c r="Y482" s="354"/>
      <c r="Z482" s="355"/>
      <c r="AA482" s="353"/>
      <c r="AB482" s="356"/>
      <c r="AC482" s="355"/>
      <c r="AD482" s="353"/>
      <c r="AE482" s="356"/>
      <c r="AF482" s="357"/>
      <c r="AG482" s="358"/>
      <c r="AH482" s="359"/>
      <c r="AI482" s="360"/>
      <c r="AJ482" s="361"/>
      <c r="AK482" s="362"/>
      <c r="AL482" s="357"/>
      <c r="AM482" s="363"/>
      <c r="AN482" s="359">
        <f t="shared" si="117"/>
        <v>0</v>
      </c>
      <c r="AO482" s="364">
        <f t="shared" si="115"/>
        <v>0</v>
      </c>
      <c r="AP482" s="246"/>
      <c r="AQ482" s="246"/>
      <c r="AR482" s="246"/>
      <c r="AS482" s="246"/>
      <c r="AT482" s="246"/>
      <c r="AU482" s="246"/>
      <c r="AV482" s="246"/>
      <c r="AW482" s="246"/>
      <c r="AX482" s="246"/>
      <c r="AY482" s="246"/>
      <c r="AZ482" s="246"/>
      <c r="BA482" s="246"/>
      <c r="BB482" s="246"/>
      <c r="BC482" s="246"/>
      <c r="BD482" s="246"/>
      <c r="BE482" s="246"/>
      <c r="BF482" s="246"/>
      <c r="BG482" s="246"/>
      <c r="BH482" s="246"/>
      <c r="BI482" s="246"/>
      <c r="BJ482" s="246"/>
    </row>
    <row r="483" spans="1:62" ht="19.5" thickTop="1" thickBot="1">
      <c r="A483" t="str">
        <f t="shared" si="87"/>
        <v>BAIIA OPÉRATIONNEL</v>
      </c>
      <c r="B483" s="7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365" t="s">
        <v>179</v>
      </c>
      <c r="W483" s="366"/>
      <c r="X483" s="367" t="s">
        <v>180</v>
      </c>
      <c r="Y483" s="368">
        <f>Z483/Z406</f>
        <v>-1.5936778813370103E-2</v>
      </c>
      <c r="Z483" s="369">
        <f>Z407-Z468+Z481</f>
        <v>-45987.349793708941</v>
      </c>
      <c r="AA483" s="367"/>
      <c r="AB483" s="368"/>
      <c r="AC483" s="369"/>
      <c r="AD483" s="367" t="s">
        <v>180</v>
      </c>
      <c r="AE483" s="368">
        <f>AF483/AF406</f>
        <v>-3.0262032526780561E-2</v>
      </c>
      <c r="AF483" s="370">
        <f>AF407-AF468+AF481</f>
        <v>-59612.27999999997</v>
      </c>
      <c r="AG483" s="371"/>
      <c r="AH483" s="370">
        <f>AF483-Z483</f>
        <v>-13624.930206291028</v>
      </c>
      <c r="AI483" s="487">
        <f>AH483/Z483</f>
        <v>0.29627561204135566</v>
      </c>
      <c r="AJ483" s="373" t="s">
        <v>180</v>
      </c>
      <c r="AK483" s="368">
        <f>IF($AL$406=0,0,AL483/$AL$406)</f>
        <v>2.8272462994784085E-3</v>
      </c>
      <c r="AL483" s="370">
        <f>AL407-AL468+AL481</f>
        <v>12039.989999999714</v>
      </c>
      <c r="AM483" s="374"/>
      <c r="AN483" s="370">
        <f t="shared" si="117"/>
        <v>-71652.269999999684</v>
      </c>
      <c r="AO483" s="375">
        <f t="shared" si="115"/>
        <v>-5.9511901587959279</v>
      </c>
      <c r="AP483" s="246"/>
      <c r="AQ483" s="246"/>
      <c r="AS483" s="246"/>
      <c r="AT483" s="246"/>
      <c r="AU483" s="246"/>
      <c r="AV483" s="246"/>
      <c r="AW483" s="246"/>
      <c r="AX483" s="246"/>
      <c r="AY483" s="246"/>
      <c r="AZ483" s="246"/>
      <c r="BA483" s="246"/>
      <c r="BB483" s="246"/>
      <c r="BC483" s="246"/>
      <c r="BD483" s="246"/>
      <c r="BE483" s="246"/>
      <c r="BF483" s="246"/>
      <c r="BG483" s="246"/>
      <c r="BH483" s="246"/>
      <c r="BI483" s="246"/>
      <c r="BJ483" s="246"/>
    </row>
    <row r="484" spans="1:62" ht="36" thickTop="1">
      <c r="A484" t="str">
        <f t="shared" si="87"/>
        <v/>
      </c>
      <c r="B484" s="7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6"/>
      <c r="W484" s="6"/>
      <c r="X484" s="6"/>
      <c r="Y484" s="6"/>
      <c r="Z484" s="82"/>
      <c r="AA484" s="13"/>
      <c r="AB484" s="13"/>
      <c r="AC484" s="82"/>
      <c r="AD484" s="13"/>
      <c r="AE484" s="13"/>
      <c r="AF484" s="376"/>
      <c r="AG484" s="13"/>
      <c r="AH484" s="13"/>
      <c r="AI484" s="13"/>
      <c r="AJ484" s="13"/>
      <c r="AK484" s="13"/>
      <c r="AL484" s="82"/>
      <c r="AM484" s="13"/>
      <c r="AN484" s="13"/>
      <c r="AO484" s="13"/>
      <c r="AP484" s="246"/>
      <c r="AQ484" s="246"/>
      <c r="AR484" s="246"/>
      <c r="AS484" s="246"/>
      <c r="AT484" s="246"/>
      <c r="AU484" s="246"/>
      <c r="AV484" s="246"/>
      <c r="AW484" s="246"/>
      <c r="AX484" s="246"/>
      <c r="AY484" s="246"/>
      <c r="AZ484" s="246"/>
      <c r="BA484" s="246"/>
      <c r="BB484" s="246"/>
      <c r="BC484" s="246"/>
      <c r="BD484" s="246"/>
      <c r="BE484" s="246"/>
      <c r="BF484" s="246"/>
      <c r="BG484" s="246"/>
      <c r="BH484" s="246"/>
      <c r="BI484" s="246"/>
      <c r="BJ484" s="246"/>
    </row>
    <row r="485" spans="1:62" ht="35.25">
      <c r="A485" t="str">
        <f t="shared" ref="A485:A498" si="120">+U485&amp;V485</f>
        <v>BMW Sherbrooke</v>
      </c>
      <c r="B485" s="7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6" t="str">
        <f>C1</f>
        <v>BMW Sherbrooke</v>
      </c>
      <c r="W485" s="6"/>
      <c r="X485" s="6"/>
      <c r="Y485" s="6"/>
      <c r="Z485" s="1"/>
      <c r="AA485" s="1"/>
      <c r="AB485" s="6"/>
      <c r="AC485" s="6"/>
      <c r="AD485" s="1"/>
      <c r="AE485" s="3" t="s">
        <v>181</v>
      </c>
      <c r="AF485" s="6"/>
      <c r="AG485" s="6"/>
      <c r="AH485" s="1"/>
      <c r="AI485" s="1"/>
      <c r="AJ485" s="255"/>
      <c r="AK485" s="2"/>
      <c r="AL485" s="1"/>
      <c r="AM485" s="6"/>
      <c r="AN485" s="6"/>
      <c r="AO485" s="5" t="str">
        <f>$S$1</f>
        <v>Réalisé, Décembre 2025</v>
      </c>
      <c r="AP485" s="246"/>
      <c r="AQ485" s="246"/>
      <c r="AR485" s="246"/>
      <c r="AS485" s="246"/>
      <c r="AT485" s="246"/>
      <c r="AU485" s="246"/>
      <c r="AV485" s="246"/>
      <c r="AW485" s="246"/>
      <c r="AX485" s="246"/>
      <c r="AY485" s="246"/>
      <c r="AZ485" s="246"/>
      <c r="BA485" s="246"/>
      <c r="BB485" s="246"/>
      <c r="BC485" s="246"/>
      <c r="BD485" s="246"/>
      <c r="BE485" s="246"/>
      <c r="BF485" s="246"/>
      <c r="BG485" s="246"/>
      <c r="BH485" s="246"/>
      <c r="BI485" s="246"/>
      <c r="BJ485" s="246"/>
    </row>
    <row r="486" spans="1:62" ht="35.25" hidden="1" customHeight="1">
      <c r="A486" t="str">
        <f t="shared" si="120"/>
        <v/>
      </c>
      <c r="B486" s="7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6"/>
      <c r="W486" s="6"/>
      <c r="X486" s="6"/>
      <c r="Y486" s="6"/>
      <c r="Z486" s="82"/>
      <c r="AA486" s="13"/>
      <c r="AB486" s="13"/>
      <c r="AC486" s="82"/>
      <c r="AD486" s="13"/>
      <c r="AE486" s="13"/>
      <c r="AF486" s="376"/>
      <c r="AG486" s="13"/>
      <c r="AH486" s="13"/>
      <c r="AI486" s="13"/>
      <c r="AJ486" s="13"/>
      <c r="AK486" s="13"/>
      <c r="AL486" s="82"/>
      <c r="AM486" s="13"/>
      <c r="AN486" s="13"/>
      <c r="AO486" s="13"/>
      <c r="AP486" s="246"/>
      <c r="AQ486" s="246"/>
      <c r="AR486" s="246"/>
      <c r="AS486" s="246"/>
      <c r="AT486" s="246"/>
      <c r="AU486" s="246"/>
      <c r="AV486" s="246"/>
      <c r="AW486" s="246"/>
      <c r="AX486" s="246"/>
      <c r="AY486" s="246"/>
      <c r="AZ486" s="246"/>
      <c r="BA486" s="246"/>
      <c r="BB486" s="246"/>
      <c r="BC486" s="246"/>
      <c r="BD486" s="246"/>
      <c r="BE486" s="246"/>
      <c r="BF486" s="246"/>
      <c r="BG486" s="246"/>
      <c r="BH486" s="246"/>
      <c r="BI486" s="246"/>
      <c r="BJ486" s="246"/>
    </row>
    <row r="487" spans="1:62" ht="36" thickBot="1">
      <c r="A487" t="str">
        <f t="shared" si="120"/>
        <v/>
      </c>
      <c r="B487" s="7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6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6"/>
      <c r="AQ487" s="246"/>
      <c r="AR487" s="246"/>
      <c r="AS487" s="246"/>
      <c r="AT487" s="246"/>
      <c r="AU487" s="246"/>
      <c r="AV487" s="246"/>
      <c r="AW487" s="246"/>
      <c r="AX487" s="246"/>
      <c r="AY487" s="246"/>
      <c r="AZ487" s="246"/>
      <c r="BA487" s="246"/>
      <c r="BB487" s="246"/>
      <c r="BC487" s="246"/>
      <c r="BD487" s="246"/>
      <c r="BE487" s="246"/>
      <c r="BF487" s="246"/>
      <c r="BG487" s="246"/>
      <c r="BH487" s="246"/>
      <c r="BI487" s="246"/>
      <c r="BJ487" s="246"/>
    </row>
    <row r="488" spans="1:62" ht="19.5" thickTop="1" thickBot="1">
      <c r="A488" t="e">
        <f>+U488&amp;#REF!</f>
        <v>#REF!</v>
      </c>
      <c r="B488" s="7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444" t="s">
        <v>209</v>
      </c>
      <c r="W488" s="445"/>
      <c r="X488" s="446" t="s">
        <v>180</v>
      </c>
      <c r="Y488" s="447">
        <f>Z488/Z406</f>
        <v>-6.3449396332091084E-3</v>
      </c>
      <c r="Z488" s="449">
        <f>Z489+Z415</f>
        <v>-18309.029807677383</v>
      </c>
      <c r="AA488" s="446"/>
      <c r="AB488" s="447"/>
      <c r="AC488" s="448"/>
      <c r="AD488" s="446" t="s">
        <v>180</v>
      </c>
      <c r="AE488" s="447">
        <f>AF488/AF406</f>
        <v>-1.7799694460091678E-2</v>
      </c>
      <c r="AF488" s="449">
        <f>AF489+AF415</f>
        <v>-35063.089999999967</v>
      </c>
      <c r="AG488" s="450"/>
      <c r="AH488" s="449">
        <f t="shared" ref="AH488" si="121">AF488-Z488</f>
        <v>-16754.060192322584</v>
      </c>
      <c r="AI488" s="500">
        <f>AH488/Z488</f>
        <v>0.91507088951798166</v>
      </c>
      <c r="AJ488" s="446" t="s">
        <v>180</v>
      </c>
      <c r="AK488" s="447">
        <f>IF($AL$406=0,0,AL488/$AL$406)</f>
        <v>1.0218629987301503E-2</v>
      </c>
      <c r="AL488" s="449">
        <f>AL489+AL415</f>
        <v>43516.619999999719</v>
      </c>
      <c r="AM488" s="452"/>
      <c r="AN488" s="449">
        <f t="shared" ref="AN488" si="122">AF488-AL488</f>
        <v>-78579.709999999686</v>
      </c>
      <c r="AO488" s="453">
        <f t="shared" ref="AO488" si="123">IF(AL488=0,0,AN488/AL488)</f>
        <v>-1.805740197653223</v>
      </c>
      <c r="AP488" s="246"/>
      <c r="AQ488" s="246"/>
      <c r="AR488" s="246"/>
      <c r="AS488" s="246"/>
      <c r="AT488" s="246"/>
      <c r="AU488" s="246"/>
      <c r="AV488" s="246"/>
      <c r="AW488" s="246"/>
      <c r="AX488" s="246"/>
      <c r="AY488" s="246"/>
      <c r="AZ488" s="246"/>
      <c r="BA488" s="246"/>
      <c r="BB488" s="246"/>
      <c r="BC488" s="246"/>
      <c r="BD488" s="246"/>
      <c r="BE488" s="246"/>
      <c r="BF488" s="246"/>
      <c r="BG488" s="246"/>
      <c r="BH488" s="246"/>
      <c r="BI488" s="246"/>
      <c r="BJ488" s="246"/>
    </row>
    <row r="489" spans="1:62" ht="19.5" thickTop="1" thickBot="1">
      <c r="A489" t="str">
        <f t="shared" si="120"/>
        <v>BAIIA OPÉRATIONNEL</v>
      </c>
      <c r="B489" s="7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377" t="s">
        <v>179</v>
      </c>
      <c r="W489" s="378"/>
      <c r="X489" s="379" t="s">
        <v>180</v>
      </c>
      <c r="Y489" s="380">
        <f>Z489/Z406</f>
        <v>-1.5936778813370103E-2</v>
      </c>
      <c r="Z489" s="381">
        <f>Z483</f>
        <v>-45987.349793708941</v>
      </c>
      <c r="AA489" s="379"/>
      <c r="AB489" s="380"/>
      <c r="AC489" s="381"/>
      <c r="AD489" s="379" t="s">
        <v>180</v>
      </c>
      <c r="AE489" s="380">
        <f>AF489/AF406</f>
        <v>-3.0262032526780561E-2</v>
      </c>
      <c r="AF489" s="381">
        <f>AF483</f>
        <v>-59612.27999999997</v>
      </c>
      <c r="AG489" s="382"/>
      <c r="AH489" s="370">
        <f>AF489-Z489</f>
        <v>-13624.930206291028</v>
      </c>
      <c r="AI489" s="487">
        <f>AH489/Z489</f>
        <v>0.29627561204135566</v>
      </c>
      <c r="AJ489" s="379" t="s">
        <v>180</v>
      </c>
      <c r="AK489" s="380">
        <f>IF($AL$406=0,0,AL489/$AL$406)</f>
        <v>2.8272462994784085E-3</v>
      </c>
      <c r="AL489" s="383">
        <f>AL483</f>
        <v>12039.989999999714</v>
      </c>
      <c r="AM489" s="384"/>
      <c r="AN489" s="385">
        <f>AF489-AL489</f>
        <v>-71652.269999999684</v>
      </c>
      <c r="AO489" s="386">
        <f>IF(AL489=0,0,AN489/AL489)</f>
        <v>-5.9511901587959279</v>
      </c>
      <c r="AP489" s="246"/>
      <c r="AQ489" s="246"/>
      <c r="AR489" s="246"/>
      <c r="AS489" s="246"/>
      <c r="AT489" s="246"/>
      <c r="AU489" s="246"/>
      <c r="AV489" s="246"/>
      <c r="AW489" s="246"/>
      <c r="AX489" s="246"/>
      <c r="AY489" s="246"/>
      <c r="AZ489" s="246"/>
      <c r="BA489" s="246"/>
      <c r="BB489" s="246"/>
      <c r="BC489" s="246"/>
      <c r="BD489" s="246"/>
      <c r="BE489" s="246"/>
      <c r="BF489" s="246"/>
      <c r="BG489" s="246"/>
      <c r="BH489" s="246"/>
      <c r="BI489" s="246"/>
      <c r="BJ489" s="246"/>
    </row>
    <row r="490" spans="1:62" thickTop="1">
      <c r="A490" t="str">
        <f t="shared" si="120"/>
        <v/>
      </c>
      <c r="B490" s="7"/>
      <c r="C490" s="246"/>
      <c r="D490" s="246"/>
      <c r="E490" s="246"/>
      <c r="F490" s="310"/>
      <c r="G490" s="246"/>
      <c r="H490" s="246"/>
      <c r="I490" s="310"/>
      <c r="J490" s="246"/>
      <c r="K490" s="246"/>
      <c r="L490" s="246"/>
      <c r="M490" s="310"/>
      <c r="N490" s="246"/>
      <c r="O490" s="246"/>
      <c r="P490" s="246"/>
      <c r="Q490" s="310"/>
      <c r="R490" s="310"/>
      <c r="S490" s="310"/>
      <c r="T490" s="334"/>
      <c r="U490" s="334"/>
      <c r="V490" s="387"/>
      <c r="W490" s="246"/>
      <c r="X490" s="246"/>
      <c r="Y490" s="246"/>
      <c r="Z490" s="388"/>
      <c r="AA490" s="246"/>
      <c r="AB490" s="246"/>
      <c r="AC490" s="389"/>
      <c r="AD490" s="246"/>
      <c r="AE490" s="246"/>
      <c r="AF490" s="389"/>
      <c r="AG490" s="246"/>
      <c r="AH490" s="246"/>
      <c r="AI490" s="389"/>
      <c r="AJ490" s="246"/>
      <c r="AK490" s="246"/>
      <c r="AL490" s="390"/>
      <c r="AM490" s="391"/>
      <c r="AN490" s="246"/>
      <c r="AO490" s="392"/>
      <c r="AP490" s="246"/>
      <c r="AQ490" s="246"/>
      <c r="AR490" s="246"/>
      <c r="AS490" s="246"/>
      <c r="AT490" s="246"/>
      <c r="AU490" s="246"/>
      <c r="AV490" s="246"/>
      <c r="AW490" s="246"/>
      <c r="AX490" s="246"/>
      <c r="AY490" s="246"/>
      <c r="AZ490" s="246"/>
      <c r="BA490" s="246"/>
      <c r="BB490" s="246"/>
      <c r="BC490" s="246"/>
      <c r="BD490" s="246"/>
      <c r="BE490" s="246"/>
      <c r="BF490" s="246"/>
      <c r="BG490" s="246"/>
      <c r="BH490" s="246"/>
      <c r="BI490" s="246"/>
      <c r="BJ490" s="246"/>
    </row>
    <row r="491" spans="1:62" ht="18">
      <c r="A491" t="str">
        <f t="shared" si="120"/>
        <v>Amortissement</v>
      </c>
      <c r="B491" s="7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102" t="s">
        <v>182</v>
      </c>
      <c r="W491" s="286"/>
      <c r="X491" s="279"/>
      <c r="Y491" s="287"/>
      <c r="Z491" s="280">
        <v>19300</v>
      </c>
      <c r="AA491" s="279"/>
      <c r="AB491" s="287"/>
      <c r="AC491" s="280"/>
      <c r="AD491" s="279"/>
      <c r="AE491" s="287"/>
      <c r="AF491" s="280">
        <v>3751.2499999999995</v>
      </c>
      <c r="AG491" s="279"/>
      <c r="AH491" s="282">
        <f t="shared" ref="AH491:AH498" si="124">AF491-Z491</f>
        <v>-15548.75</v>
      </c>
      <c r="AI491" s="306">
        <f t="shared" ref="AI491:AI497" si="125">IF(Z491=0,0,AH491/Z491)</f>
        <v>-0.80563471502590678</v>
      </c>
      <c r="AJ491" s="279"/>
      <c r="AK491" s="279"/>
      <c r="AL491" s="280">
        <v>3650.92</v>
      </c>
      <c r="AM491" s="284"/>
      <c r="AN491" s="282">
        <f t="shared" ref="AN491:AN498" si="126">AF491-AL491</f>
        <v>100.32999999999947</v>
      </c>
      <c r="AO491" s="289">
        <f t="shared" ref="AO491:AO498" si="127">IF(AL491=0,0,AN491/AL491)</f>
        <v>2.7480744579448324E-2</v>
      </c>
      <c r="AP491" s="246"/>
      <c r="AQ491" s="246">
        <v>3751</v>
      </c>
      <c r="AR491" s="246"/>
      <c r="AS491" s="246"/>
      <c r="AT491" s="246"/>
      <c r="AU491" s="246"/>
      <c r="AV491" s="246"/>
      <c r="AW491" s="246"/>
      <c r="AX491" s="246"/>
      <c r="AY491" s="246"/>
      <c r="AZ491" s="246"/>
      <c r="BA491" s="246"/>
      <c r="BB491" s="246"/>
      <c r="BC491" s="246"/>
      <c r="BD491" s="246"/>
      <c r="BE491" s="246"/>
      <c r="BF491" s="246"/>
      <c r="BG491" s="246"/>
      <c r="BH491" s="246"/>
      <c r="BI491" s="246"/>
      <c r="BJ491" s="246"/>
    </row>
    <row r="492" spans="1:62" ht="20.25" hidden="1" customHeight="1">
      <c r="A492" t="str">
        <f t="shared" si="120"/>
        <v>Intérêts sur marge</v>
      </c>
      <c r="B492" s="7"/>
      <c r="C492" s="246"/>
      <c r="D492" s="246"/>
      <c r="E492" s="246"/>
      <c r="F492" s="310"/>
      <c r="G492" s="246"/>
      <c r="H492" s="246"/>
      <c r="I492" s="310"/>
      <c r="J492" s="246"/>
      <c r="K492" s="246"/>
      <c r="L492" s="246"/>
      <c r="M492" s="310"/>
      <c r="N492" s="246"/>
      <c r="O492" s="246"/>
      <c r="P492" s="246"/>
      <c r="Q492" s="310"/>
      <c r="R492" s="310"/>
      <c r="S492" s="310"/>
      <c r="T492" s="246"/>
      <c r="U492" s="246"/>
      <c r="V492" s="102" t="s">
        <v>183</v>
      </c>
      <c r="W492" s="10"/>
      <c r="X492" s="10"/>
      <c r="Y492" s="10"/>
      <c r="Z492" s="280">
        <v>0</v>
      </c>
      <c r="AA492" s="10"/>
      <c r="AB492" s="10"/>
      <c r="AC492" s="280"/>
      <c r="AD492" s="10"/>
      <c r="AE492" s="13"/>
      <c r="AF492" s="280">
        <v>0</v>
      </c>
      <c r="AG492" s="10"/>
      <c r="AH492" s="282">
        <f t="shared" si="124"/>
        <v>0</v>
      </c>
      <c r="AI492" s="306">
        <f t="shared" si="125"/>
        <v>0</v>
      </c>
      <c r="AJ492" s="10"/>
      <c r="AK492" s="10"/>
      <c r="AL492" s="280">
        <v>0</v>
      </c>
      <c r="AM492" s="393"/>
      <c r="AN492" s="282">
        <f t="shared" si="126"/>
        <v>0</v>
      </c>
      <c r="AO492" s="289">
        <f t="shared" si="127"/>
        <v>0</v>
      </c>
      <c r="AP492" s="246"/>
      <c r="AQ492" s="246"/>
      <c r="AR492" s="246"/>
      <c r="AS492" s="246"/>
      <c r="AT492" s="246"/>
      <c r="AU492" s="246"/>
      <c r="AV492" s="246"/>
      <c r="AW492" s="246"/>
      <c r="AX492" s="246"/>
      <c r="AY492" s="246"/>
      <c r="AZ492" s="246"/>
      <c r="BA492" s="246"/>
      <c r="BB492" s="246"/>
      <c r="BC492" s="246"/>
      <c r="BD492" s="246"/>
      <c r="BE492" s="246"/>
      <c r="BF492" s="246"/>
      <c r="BG492" s="246"/>
      <c r="BH492" s="246"/>
      <c r="BI492" s="246"/>
      <c r="BJ492" s="246"/>
    </row>
    <row r="493" spans="1:62" ht="22.5" hidden="1" customHeight="1">
      <c r="A493" t="str">
        <f t="shared" si="120"/>
        <v>Intérêts sur prêt</v>
      </c>
      <c r="B493" s="7"/>
      <c r="C493" s="246"/>
      <c r="D493" s="246"/>
      <c r="E493" s="246"/>
      <c r="F493" s="310"/>
      <c r="G493" s="246"/>
      <c r="H493" s="246"/>
      <c r="I493" s="310"/>
      <c r="J493" s="246"/>
      <c r="K493" s="246"/>
      <c r="L493" s="246"/>
      <c r="M493" s="310"/>
      <c r="N493" s="246"/>
      <c r="O493" s="246"/>
      <c r="P493" s="246"/>
      <c r="Q493" s="310"/>
      <c r="R493" s="310"/>
      <c r="S493" s="310"/>
      <c r="T493" s="246"/>
      <c r="U493" s="246"/>
      <c r="V493" s="102" t="s">
        <v>184</v>
      </c>
      <c r="W493" s="13"/>
      <c r="X493" s="13"/>
      <c r="Y493" s="13"/>
      <c r="Z493" s="280">
        <v>0</v>
      </c>
      <c r="AA493" s="10"/>
      <c r="AB493" s="10"/>
      <c r="AC493" s="280"/>
      <c r="AD493" s="10"/>
      <c r="AE493" s="13"/>
      <c r="AF493" s="280">
        <v>0</v>
      </c>
      <c r="AG493" s="10"/>
      <c r="AH493" s="282">
        <f t="shared" si="124"/>
        <v>0</v>
      </c>
      <c r="AI493" s="306">
        <f t="shared" si="125"/>
        <v>0</v>
      </c>
      <c r="AJ493" s="10"/>
      <c r="AK493" s="10"/>
      <c r="AL493" s="280">
        <v>0</v>
      </c>
      <c r="AM493" s="393"/>
      <c r="AN493" s="282">
        <f t="shared" si="126"/>
        <v>0</v>
      </c>
      <c r="AO493" s="289">
        <f t="shared" si="127"/>
        <v>0</v>
      </c>
      <c r="AP493" s="246"/>
      <c r="AQ493" s="246"/>
      <c r="AR493" s="246"/>
      <c r="AS493" s="246"/>
      <c r="AT493" s="246"/>
      <c r="AU493" s="246"/>
      <c r="AV493" s="246"/>
      <c r="AW493" s="246"/>
      <c r="AX493" s="246"/>
      <c r="AY493" s="246"/>
      <c r="AZ493" s="246"/>
      <c r="BA493" s="246"/>
      <c r="BB493" s="246"/>
      <c r="BC493" s="246"/>
      <c r="BD493" s="246"/>
      <c r="BE493" s="246"/>
      <c r="BF493" s="246"/>
      <c r="BG493" s="246"/>
      <c r="BH493" s="246"/>
      <c r="BI493" s="246"/>
      <c r="BJ493" s="246"/>
    </row>
    <row r="494" spans="1:62" ht="20.25" hidden="1" customHeight="1">
      <c r="A494" t="str">
        <f t="shared" si="120"/>
        <v>Intérêts sur avance</v>
      </c>
      <c r="B494" s="7"/>
      <c r="C494" s="246"/>
      <c r="D494" s="246"/>
      <c r="E494" s="246"/>
      <c r="F494" s="310"/>
      <c r="G494" s="246"/>
      <c r="H494" s="246"/>
      <c r="I494" s="310"/>
      <c r="J494" s="246"/>
      <c r="K494" s="246"/>
      <c r="L494" s="246"/>
      <c r="M494" s="310"/>
      <c r="N494" s="246"/>
      <c r="O494" s="246"/>
      <c r="P494" s="246"/>
      <c r="Q494" s="310"/>
      <c r="R494" s="310"/>
      <c r="S494" s="310"/>
      <c r="T494" s="246"/>
      <c r="U494" s="246"/>
      <c r="V494" s="102" t="s">
        <v>185</v>
      </c>
      <c r="W494" s="13"/>
      <c r="X494" s="13"/>
      <c r="Y494" s="13"/>
      <c r="Z494" s="280">
        <v>0</v>
      </c>
      <c r="AA494" s="10"/>
      <c r="AB494" s="10"/>
      <c r="AC494" s="280"/>
      <c r="AD494" s="10"/>
      <c r="AE494" s="13"/>
      <c r="AF494" s="280">
        <v>0</v>
      </c>
      <c r="AG494" s="10"/>
      <c r="AH494" s="282">
        <f t="shared" si="124"/>
        <v>0</v>
      </c>
      <c r="AI494" s="306">
        <f t="shared" si="125"/>
        <v>0</v>
      </c>
      <c r="AJ494" s="10"/>
      <c r="AK494" s="10"/>
      <c r="AL494" s="280">
        <v>0</v>
      </c>
      <c r="AM494" s="393"/>
      <c r="AN494" s="282">
        <f t="shared" si="126"/>
        <v>0</v>
      </c>
      <c r="AO494" s="289">
        <f t="shared" si="127"/>
        <v>0</v>
      </c>
      <c r="AP494" s="246"/>
      <c r="AQ494" s="246"/>
      <c r="AR494" s="246"/>
      <c r="AS494" s="246"/>
      <c r="AT494" s="246"/>
      <c r="AU494" s="246"/>
      <c r="AV494" s="246"/>
      <c r="AW494" s="246"/>
      <c r="AX494" s="246"/>
      <c r="AY494" s="246"/>
      <c r="AZ494" s="246"/>
      <c r="BA494" s="246"/>
      <c r="BB494" s="246"/>
      <c r="BC494" s="246"/>
      <c r="BD494" s="246"/>
      <c r="BE494" s="246"/>
      <c r="BF494" s="246"/>
      <c r="BG494" s="246"/>
      <c r="BH494" s="246"/>
      <c r="BI494" s="246"/>
      <c r="BJ494" s="246"/>
    </row>
    <row r="495" spans="1:62" ht="20.25" hidden="1" customHeight="1">
      <c r="A495" t="str">
        <f t="shared" si="120"/>
        <v>[...]</v>
      </c>
      <c r="B495" s="7"/>
      <c r="C495" s="246"/>
      <c r="D495" s="246"/>
      <c r="E495" s="246"/>
      <c r="F495" s="310"/>
      <c r="G495" s="246"/>
      <c r="H495" s="246"/>
      <c r="I495" s="310"/>
      <c r="J495" s="246"/>
      <c r="K495" s="246"/>
      <c r="L495" s="246"/>
      <c r="M495" s="310"/>
      <c r="N495" s="246"/>
      <c r="O495" s="246"/>
      <c r="P495" s="246"/>
      <c r="Q495" s="310"/>
      <c r="R495" s="310"/>
      <c r="S495" s="310"/>
      <c r="T495" s="246"/>
      <c r="U495" s="246"/>
      <c r="V495" s="102" t="s">
        <v>19</v>
      </c>
      <c r="W495" s="13"/>
      <c r="X495" s="13"/>
      <c r="Y495" s="13"/>
      <c r="Z495" s="282">
        <f>IFERROR(SUMIF($C:$C,$V495,F:F),0)</f>
        <v>0</v>
      </c>
      <c r="AA495" s="279"/>
      <c r="AB495" s="279"/>
      <c r="AC495" s="282"/>
      <c r="AD495" s="288"/>
      <c r="AE495" s="287"/>
      <c r="AF495" s="280">
        <v>0</v>
      </c>
      <c r="AG495" s="281"/>
      <c r="AH495" s="282">
        <f t="shared" si="124"/>
        <v>0</v>
      </c>
      <c r="AI495" s="283">
        <f t="shared" si="125"/>
        <v>0</v>
      </c>
      <c r="AJ495" s="288"/>
      <c r="AK495" s="279"/>
      <c r="AL495" s="280"/>
      <c r="AM495" s="393"/>
      <c r="AN495" s="282">
        <f t="shared" si="126"/>
        <v>0</v>
      </c>
      <c r="AO495" s="289">
        <f t="shared" si="127"/>
        <v>0</v>
      </c>
      <c r="AP495" s="246"/>
      <c r="AQ495" s="246"/>
      <c r="AR495" s="246"/>
      <c r="AS495" s="246"/>
      <c r="AT495" s="246"/>
      <c r="AU495" s="246"/>
      <c r="AV495" s="246"/>
      <c r="AW495" s="246"/>
      <c r="AX495" s="246"/>
      <c r="AY495" s="246"/>
      <c r="AZ495" s="246"/>
      <c r="BA495" s="246"/>
      <c r="BB495" s="246"/>
      <c r="BC495" s="246"/>
      <c r="BD495" s="246"/>
      <c r="BE495" s="246"/>
      <c r="BF495" s="246"/>
      <c r="BG495" s="246"/>
      <c r="BH495" s="246"/>
      <c r="BI495" s="246"/>
      <c r="BJ495" s="246"/>
    </row>
    <row r="496" spans="1:62" ht="21" thickBot="1">
      <c r="A496" t="str">
        <f t="shared" si="120"/>
        <v>Revenus d'intérêts Floor plan</v>
      </c>
      <c r="B496" s="7"/>
      <c r="C496" s="246"/>
      <c r="D496" s="246"/>
      <c r="E496" s="246"/>
      <c r="F496" s="310"/>
      <c r="G496" s="246"/>
      <c r="H496" s="246"/>
      <c r="I496" s="310"/>
      <c r="J496" s="246"/>
      <c r="K496" s="246"/>
      <c r="L496" s="246"/>
      <c r="M496" s="310"/>
      <c r="N496" s="246"/>
      <c r="O496" s="246"/>
      <c r="P496" s="246"/>
      <c r="Q496" s="310"/>
      <c r="R496" s="310"/>
      <c r="S496" s="310"/>
      <c r="T496" s="246"/>
      <c r="U496" s="246"/>
      <c r="V496" s="102" t="s">
        <v>208</v>
      </c>
      <c r="W496" s="13"/>
      <c r="X496" s="13"/>
      <c r="Y496" s="13"/>
      <c r="Z496" s="282">
        <v>-2632.4590163934427</v>
      </c>
      <c r="AA496" s="279"/>
      <c r="AB496" s="279"/>
      <c r="AC496" s="282"/>
      <c r="AD496" s="288"/>
      <c r="AE496" s="287"/>
      <c r="AF496" s="280">
        <v>-3031.47</v>
      </c>
      <c r="AG496" s="281"/>
      <c r="AH496" s="282">
        <f t="shared" si="124"/>
        <v>-399.01098360655715</v>
      </c>
      <c r="AI496" s="283">
        <f t="shared" si="125"/>
        <v>0.15157348362187062</v>
      </c>
      <c r="AJ496" s="288"/>
      <c r="AK496" s="279"/>
      <c r="AL496" s="280">
        <v>-4944.26</v>
      </c>
      <c r="AM496" s="393"/>
      <c r="AN496" s="282">
        <f t="shared" si="126"/>
        <v>1912.7900000000004</v>
      </c>
      <c r="AO496" s="289">
        <f t="shared" si="127"/>
        <v>-0.38687083608062689</v>
      </c>
      <c r="AP496" s="246"/>
      <c r="AQ496" s="310">
        <v>-3031</v>
      </c>
      <c r="AR496" s="246"/>
      <c r="AS496" s="246"/>
      <c r="AT496" s="246"/>
      <c r="AU496" s="246"/>
      <c r="AV496" s="246"/>
      <c r="AW496" s="246"/>
      <c r="AX496" s="246"/>
      <c r="AY496" s="246"/>
      <c r="AZ496" s="246"/>
      <c r="BA496" s="246"/>
      <c r="BB496" s="246"/>
      <c r="BC496" s="246"/>
      <c r="BD496" s="246"/>
      <c r="BE496" s="246"/>
      <c r="BF496" s="246"/>
      <c r="BG496" s="246"/>
      <c r="BH496" s="246"/>
      <c r="BI496" s="246"/>
      <c r="BJ496" s="246"/>
    </row>
    <row r="497" spans="1:62" ht="21" hidden="1" customHeight="1" thickBot="1">
      <c r="A497" t="str">
        <f t="shared" si="120"/>
        <v>[...]</v>
      </c>
      <c r="B497" s="7"/>
      <c r="C497" s="246"/>
      <c r="D497" s="246"/>
      <c r="E497" s="246"/>
      <c r="F497" s="310"/>
      <c r="G497" s="246"/>
      <c r="H497" s="246"/>
      <c r="I497" s="310"/>
      <c r="J497" s="246"/>
      <c r="K497" s="246"/>
      <c r="L497" s="246"/>
      <c r="M497" s="310"/>
      <c r="N497" s="246"/>
      <c r="O497" s="246"/>
      <c r="P497" s="246"/>
      <c r="Q497" s="310"/>
      <c r="R497" s="310"/>
      <c r="S497" s="310"/>
      <c r="T497" s="246"/>
      <c r="U497" s="246"/>
      <c r="V497" s="102" t="s">
        <v>19</v>
      </c>
      <c r="W497" s="13"/>
      <c r="X497" s="246"/>
      <c r="Y497" s="13"/>
      <c r="Z497" s="282">
        <f>IFERROR(SUMIF($C:$C,$V497,F:F),0)</f>
        <v>0</v>
      </c>
      <c r="AA497" s="279"/>
      <c r="AB497" s="279"/>
      <c r="AC497" s="282"/>
      <c r="AD497" s="288"/>
      <c r="AE497" s="287"/>
      <c r="AF497" s="280">
        <v>0</v>
      </c>
      <c r="AG497" s="281"/>
      <c r="AH497" s="282">
        <f t="shared" si="124"/>
        <v>0</v>
      </c>
      <c r="AI497" s="283">
        <f t="shared" si="125"/>
        <v>0</v>
      </c>
      <c r="AJ497" s="288"/>
      <c r="AK497" s="279"/>
      <c r="AL497" s="280"/>
      <c r="AM497" s="393"/>
      <c r="AN497" s="282">
        <f t="shared" si="126"/>
        <v>0</v>
      </c>
      <c r="AO497" s="289">
        <f t="shared" si="127"/>
        <v>0</v>
      </c>
      <c r="AP497" s="246"/>
      <c r="AQ497" s="246"/>
      <c r="AR497" s="246"/>
      <c r="AS497" s="246"/>
      <c r="AT497" s="246"/>
      <c r="AU497" s="246"/>
      <c r="AV497" s="246"/>
      <c r="AW497" s="246"/>
      <c r="AX497" s="246"/>
      <c r="AY497" s="246"/>
      <c r="AZ497" s="246"/>
      <c r="BA497" s="246"/>
      <c r="BB497" s="246"/>
      <c r="BC497" s="246"/>
      <c r="BD497" s="246"/>
      <c r="BE497" s="246"/>
      <c r="BF497" s="246"/>
      <c r="BG497" s="246"/>
      <c r="BH497" s="246"/>
      <c r="BI497" s="246"/>
      <c r="BJ497" s="246"/>
    </row>
    <row r="498" spans="1:62" ht="19.5" thickTop="1" thickBot="1">
      <c r="A498" t="str">
        <f t="shared" si="120"/>
        <v>Profit Net</v>
      </c>
      <c r="B498" s="7"/>
      <c r="C498" s="246"/>
      <c r="D498" s="246"/>
      <c r="E498" s="246"/>
      <c r="F498" s="310"/>
      <c r="G498" s="246"/>
      <c r="H498" s="246"/>
      <c r="I498" s="310"/>
      <c r="J498" s="246"/>
      <c r="K498" s="246"/>
      <c r="L498" s="246"/>
      <c r="M498" s="310"/>
      <c r="N498" s="246"/>
      <c r="O498" s="246"/>
      <c r="P498" s="246"/>
      <c r="Q498" s="310"/>
      <c r="R498" s="310"/>
      <c r="S498" s="310"/>
      <c r="T498" s="246"/>
      <c r="U498" s="246"/>
      <c r="V498" s="365" t="s">
        <v>186</v>
      </c>
      <c r="W498" s="366"/>
      <c r="X498" s="367" t="s">
        <v>180</v>
      </c>
      <c r="Y498" s="368">
        <f>Z498/Z406</f>
        <v>-2.1712865393920491E-2</v>
      </c>
      <c r="Z498" s="369">
        <f>Z489-Z491-Z492-Z493-Z497-Z496-Z494-Z495</f>
        <v>-62654.890777315501</v>
      </c>
      <c r="AA498" s="367"/>
      <c r="AB498" s="368"/>
      <c r="AC498" s="369"/>
      <c r="AD498" s="367" t="s">
        <v>180</v>
      </c>
      <c r="AE498" s="368">
        <f>AF498/AF406</f>
        <v>-3.0627427136282599E-2</v>
      </c>
      <c r="AF498" s="370">
        <f>AF489-AF491-AF492-AF493-AF497-AF496-AF494-AF495</f>
        <v>-60332.059999999969</v>
      </c>
      <c r="AG498" s="371"/>
      <c r="AH498" s="370">
        <f t="shared" si="124"/>
        <v>2322.830777315532</v>
      </c>
      <c r="AI498" s="487">
        <f>AH498/Z498</f>
        <v>-3.7073415155589477E-2</v>
      </c>
      <c r="AJ498" s="373" t="s">
        <v>180</v>
      </c>
      <c r="AK498" s="368">
        <f>IF($AL$406=0,0,AL498/$AL$406)</f>
        <v>3.130950100641656E-3</v>
      </c>
      <c r="AL498" s="370">
        <f>AL489-AL491-AL492-AL493-AL497-AL496-AL494-AL495</f>
        <v>13333.329999999714</v>
      </c>
      <c r="AM498" s="374"/>
      <c r="AN498" s="370">
        <f t="shared" si="126"/>
        <v>-73665.389999999679</v>
      </c>
      <c r="AO498" s="394">
        <f t="shared" si="127"/>
        <v>-5.5249056312265017</v>
      </c>
      <c r="AP498" s="310"/>
      <c r="AQ498" s="246"/>
      <c r="AR498" s="246"/>
      <c r="AS498" s="310"/>
      <c r="AT498" s="246"/>
      <c r="AU498" s="246"/>
      <c r="AV498" s="246"/>
      <c r="AW498" s="246"/>
      <c r="AX498" s="246"/>
      <c r="AY498" s="246"/>
      <c r="AZ498" s="246"/>
      <c r="BA498" s="246"/>
      <c r="BB498" s="246"/>
      <c r="BC498" s="246"/>
      <c r="BD498" s="246"/>
      <c r="BE498" s="246"/>
      <c r="BF498" s="246"/>
      <c r="BG498" s="246"/>
      <c r="BH498" s="246"/>
      <c r="BI498" s="246"/>
      <c r="BJ498" s="246"/>
    </row>
    <row r="499" spans="1:62" thickTop="1">
      <c r="A499" t="str">
        <f>+U499&amp;V488</f>
        <v>BAIIA Corpo</v>
      </c>
      <c r="B499" s="7"/>
      <c r="C499" s="246"/>
      <c r="D499" s="246"/>
      <c r="E499" s="246"/>
      <c r="F499" s="310"/>
      <c r="G499" s="246"/>
      <c r="H499" s="246"/>
      <c r="I499" s="310"/>
      <c r="J499" s="246"/>
      <c r="K499" s="246"/>
      <c r="L499" s="246"/>
      <c r="M499" s="310"/>
      <c r="N499" s="246"/>
      <c r="O499" s="246"/>
      <c r="P499" s="246"/>
      <c r="Q499" s="310"/>
      <c r="R499" s="310"/>
      <c r="S499" s="310"/>
      <c r="T499" s="246"/>
      <c r="U499" s="246"/>
      <c r="V499"/>
      <c r="AP499" s="246"/>
      <c r="AQ499" s="246"/>
      <c r="AR499" s="246"/>
      <c r="AS499" s="246"/>
      <c r="AT499" s="246"/>
      <c r="AU499" s="246"/>
      <c r="AV499" s="246"/>
      <c r="AW499" s="246"/>
      <c r="AX499" s="246"/>
      <c r="AY499" s="246"/>
      <c r="AZ499" s="246"/>
      <c r="BA499" s="246"/>
      <c r="BB499" s="246"/>
      <c r="BC499" s="246"/>
      <c r="BD499" s="246"/>
      <c r="BE499" s="246"/>
      <c r="BF499" s="246"/>
      <c r="BG499" s="246"/>
      <c r="BH499" s="246"/>
      <c r="BI499" s="246"/>
      <c r="BJ499" s="246"/>
    </row>
    <row r="500" spans="1:62" ht="15.75" customHeight="1" outlineLevel="1">
      <c r="B500" s="7"/>
      <c r="C500" s="246"/>
      <c r="D500" s="246"/>
      <c r="E500" s="246"/>
      <c r="F500" s="310"/>
      <c r="G500" s="246"/>
      <c r="H500" s="246"/>
      <c r="I500" s="310"/>
      <c r="J500" s="246"/>
      <c r="K500" s="246"/>
      <c r="L500" s="246"/>
      <c r="M500" s="310"/>
      <c r="N500" s="246"/>
      <c r="O500" s="246"/>
      <c r="P500" s="246"/>
      <c r="Q500" s="310"/>
      <c r="R500" s="310"/>
      <c r="S500" s="310"/>
      <c r="T500" s="246"/>
      <c r="U500" s="246"/>
      <c r="V500" s="246" t="s">
        <v>239</v>
      </c>
      <c r="W500" s="246"/>
      <c r="X500" s="246"/>
      <c r="Y500" s="246"/>
      <c r="Z500" s="246"/>
      <c r="AA500" s="246"/>
      <c r="AB500" s="246"/>
      <c r="AC500" s="246"/>
      <c r="AD500" s="246"/>
      <c r="AE500" s="395"/>
      <c r="AF500" s="246">
        <v>0</v>
      </c>
      <c r="AG500" s="246"/>
      <c r="AH500" s="246"/>
      <c r="AI500" s="246"/>
      <c r="AJ500" s="246"/>
      <c r="AK500" s="246"/>
      <c r="AL500" s="246"/>
      <c r="AM500" s="246"/>
      <c r="AN500" s="246"/>
      <c r="AO500" s="246"/>
      <c r="AP500" s="246"/>
      <c r="AQ500" s="246"/>
      <c r="AR500" s="246"/>
      <c r="AS500" s="246"/>
      <c r="AT500" s="246"/>
      <c r="AU500" s="246"/>
      <c r="AV500" s="246"/>
      <c r="AW500" s="246"/>
      <c r="AX500" s="246"/>
      <c r="AY500" s="246"/>
      <c r="AZ500" s="246"/>
      <c r="BA500" s="246"/>
      <c r="BB500" s="246"/>
      <c r="BC500" s="246"/>
      <c r="BD500" s="246"/>
      <c r="BE500" s="246"/>
      <c r="BF500" s="246"/>
      <c r="BG500" s="246"/>
      <c r="BH500" s="246"/>
      <c r="BI500" s="246"/>
      <c r="BJ500" s="246"/>
    </row>
    <row r="501" spans="1:62" ht="15.75" customHeight="1" outlineLevel="1" thickBot="1">
      <c r="B501" s="7"/>
      <c r="C501" s="246"/>
      <c r="D501" s="246"/>
      <c r="E501" s="246"/>
      <c r="F501" s="310"/>
      <c r="G501" s="246"/>
      <c r="H501" s="246"/>
      <c r="I501" s="310"/>
      <c r="J501" s="246"/>
      <c r="K501" s="246"/>
      <c r="L501" s="246"/>
      <c r="M501" s="310"/>
      <c r="N501" s="246"/>
      <c r="O501" s="246"/>
      <c r="P501" s="246"/>
      <c r="Q501" s="310"/>
      <c r="R501" s="310"/>
      <c r="S501" s="310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  <c r="AD501" s="246"/>
      <c r="AE501" s="395"/>
      <c r="AF501" s="396"/>
      <c r="AG501" s="246"/>
      <c r="AH501" s="246"/>
      <c r="AI501" s="246"/>
      <c r="AJ501" s="246"/>
      <c r="AK501" s="246"/>
      <c r="AL501" s="246"/>
      <c r="AM501" s="246"/>
      <c r="AN501" s="246"/>
      <c r="AO501" s="246"/>
      <c r="AP501" s="246"/>
      <c r="AQ501" s="246"/>
      <c r="AR501" s="246"/>
      <c r="AS501" s="246"/>
      <c r="AT501" s="246"/>
      <c r="AU501" s="246"/>
      <c r="AV501" s="246"/>
      <c r="AW501" s="246"/>
      <c r="AX501" s="246"/>
      <c r="AY501" s="246"/>
      <c r="AZ501" s="246"/>
      <c r="BA501" s="246"/>
      <c r="BB501" s="246"/>
      <c r="BC501" s="246"/>
      <c r="BD501" s="246"/>
      <c r="BE501" s="246"/>
      <c r="BF501" s="246"/>
      <c r="BG501" s="246"/>
      <c r="BH501" s="246"/>
      <c r="BI501" s="246"/>
      <c r="BJ501" s="246"/>
    </row>
    <row r="502" spans="1:62" ht="15.75" customHeight="1" outlineLevel="1" thickTop="1" thickBot="1">
      <c r="B502" s="7"/>
      <c r="C502" s="246"/>
      <c r="D502" s="246"/>
      <c r="E502" s="246"/>
      <c r="F502" s="310"/>
      <c r="G502" s="246"/>
      <c r="H502" s="246"/>
      <c r="I502" s="310"/>
      <c r="J502" s="246"/>
      <c r="K502" s="246"/>
      <c r="L502" s="246"/>
      <c r="M502" s="310"/>
      <c r="N502" s="246"/>
      <c r="O502" s="246"/>
      <c r="P502" s="246"/>
      <c r="Q502" s="310"/>
      <c r="R502" s="310"/>
      <c r="S502" s="310"/>
      <c r="T502" s="246"/>
      <c r="U502" s="246"/>
      <c r="V502" s="365" t="s">
        <v>240</v>
      </c>
      <c r="W502" s="366"/>
      <c r="X502" s="367"/>
      <c r="Y502" s="368"/>
      <c r="Z502" s="369"/>
      <c r="AA502" s="367"/>
      <c r="AB502" s="368"/>
      <c r="AC502" s="369"/>
      <c r="AD502" s="367"/>
      <c r="AE502" s="368"/>
      <c r="AF502" s="370">
        <f>+AF498-AF500</f>
        <v>-60332.059999999969</v>
      </c>
      <c r="AG502" s="371"/>
      <c r="AH502" s="371"/>
      <c r="AI502" s="372"/>
      <c r="AJ502" s="373"/>
      <c r="AK502" s="368"/>
      <c r="AL502" s="370"/>
      <c r="AM502" s="374"/>
      <c r="AN502" s="370"/>
      <c r="AO502" s="394"/>
      <c r="AP502" s="246"/>
      <c r="AQ502" s="246"/>
      <c r="AR502" s="310">
        <f>AR407-AR468+AR481-AR498</f>
        <v>0</v>
      </c>
      <c r="AS502" s="246"/>
      <c r="AT502" s="246"/>
      <c r="AU502" s="246"/>
      <c r="AV502" s="246"/>
      <c r="AW502" s="246"/>
      <c r="AX502" s="246"/>
      <c r="AY502" s="246"/>
      <c r="AZ502" s="246"/>
      <c r="BA502" s="246"/>
      <c r="BB502" s="246"/>
      <c r="BC502" s="246"/>
      <c r="BD502" s="246"/>
      <c r="BE502" s="246"/>
      <c r="BF502" s="246"/>
      <c r="BG502" s="246"/>
      <c r="BH502" s="246"/>
      <c r="BI502" s="246"/>
      <c r="BJ502" s="246"/>
    </row>
    <row r="503" spans="1:62" ht="17.25" thickTop="1">
      <c r="B503" s="7"/>
      <c r="C503" s="246"/>
      <c r="D503" s="246"/>
      <c r="E503" s="246"/>
      <c r="F503" s="310"/>
      <c r="G503" s="246"/>
      <c r="H503" s="246"/>
      <c r="I503" s="310"/>
      <c r="J503" s="246"/>
      <c r="K503" s="246"/>
      <c r="L503" s="246"/>
      <c r="M503" s="310"/>
      <c r="N503" s="246"/>
      <c r="O503" s="246"/>
      <c r="P503" s="246"/>
      <c r="Q503" s="310"/>
      <c r="R503" s="310"/>
      <c r="S503" s="310"/>
      <c r="T503" s="246"/>
      <c r="U503" s="246"/>
      <c r="W503" s="246"/>
      <c r="X503" s="246"/>
      <c r="Y503" s="246"/>
      <c r="Z503" s="246"/>
      <c r="AA503" s="246"/>
      <c r="AB503" s="246"/>
      <c r="AC503" s="246"/>
      <c r="AD503" s="246"/>
      <c r="AE503" s="395"/>
      <c r="AF503" s="396"/>
      <c r="AG503" s="246"/>
      <c r="AH503" s="310"/>
      <c r="AI503" s="246"/>
      <c r="AJ503" s="246"/>
      <c r="AK503" s="246"/>
      <c r="AL503" s="246"/>
      <c r="AM503" s="246"/>
      <c r="AN503" s="246"/>
      <c r="AO503" s="246"/>
      <c r="AP503" s="246"/>
      <c r="AQ503" s="246"/>
      <c r="AR503" s="246"/>
      <c r="AS503" s="246"/>
      <c r="AT503" s="246"/>
      <c r="AU503" s="246"/>
      <c r="AV503" s="246"/>
      <c r="AW503" s="246"/>
      <c r="AX503" s="246"/>
      <c r="AY503" s="246"/>
      <c r="AZ503" s="246"/>
      <c r="BA503" s="246"/>
      <c r="BB503" s="246"/>
      <c r="BC503" s="246"/>
      <c r="BD503" s="246"/>
      <c r="BE503" s="246"/>
      <c r="BF503" s="246"/>
      <c r="BG503" s="246"/>
      <c r="BH503" s="246"/>
      <c r="BI503" s="246"/>
      <c r="BJ503" s="246"/>
    </row>
    <row r="504" spans="1:62" ht="18">
      <c r="B504" s="7"/>
      <c r="C504" s="246"/>
      <c r="D504" s="246"/>
      <c r="E504" s="246"/>
      <c r="F504" s="310"/>
      <c r="G504" s="246"/>
      <c r="H504" s="246"/>
      <c r="I504" s="310"/>
      <c r="J504" s="246"/>
      <c r="K504" s="246"/>
      <c r="L504" s="246"/>
      <c r="M504" s="310"/>
      <c r="N504" s="246"/>
      <c r="O504" s="246"/>
      <c r="P504" s="246"/>
      <c r="Q504" s="310"/>
      <c r="R504" s="310"/>
      <c r="S504" s="310"/>
      <c r="T504" s="246"/>
      <c r="U504" s="246"/>
      <c r="W504" s="246"/>
      <c r="X504" s="246"/>
      <c r="Y504" s="246"/>
      <c r="Z504" s="310"/>
      <c r="AA504" s="246"/>
      <c r="AB504" s="246"/>
      <c r="AC504" s="246"/>
      <c r="AD504" s="246"/>
      <c r="AE504" s="246"/>
      <c r="AF504" s="488">
        <f>AF500/AF498</f>
        <v>0</v>
      </c>
      <c r="AG504" s="246"/>
      <c r="AH504" s="246"/>
      <c r="AI504" s="246"/>
      <c r="AJ504" s="246"/>
      <c r="AK504" s="246"/>
      <c r="AL504" s="246"/>
      <c r="AM504" s="246"/>
      <c r="AN504" s="246"/>
      <c r="AO504" s="246"/>
      <c r="AP504" s="246"/>
      <c r="AQ504" s="246"/>
      <c r="AR504" s="246"/>
      <c r="AS504" s="246"/>
      <c r="AT504" s="246"/>
      <c r="AU504" s="246"/>
      <c r="AV504" s="246"/>
      <c r="AW504" s="246"/>
      <c r="AX504" s="246"/>
      <c r="AY504" s="246"/>
      <c r="AZ504" s="246"/>
      <c r="BA504" s="246"/>
      <c r="BB504" s="246"/>
      <c r="BC504" s="246"/>
      <c r="BD504" s="246"/>
      <c r="BE504" s="246"/>
      <c r="BF504" s="246"/>
      <c r="BG504" s="246"/>
      <c r="BH504" s="246"/>
      <c r="BI504" s="246"/>
      <c r="BJ504" s="246"/>
    </row>
    <row r="505" spans="1:62">
      <c r="B505" s="7"/>
      <c r="C505" s="246"/>
      <c r="D505" s="246"/>
      <c r="E505" s="246"/>
      <c r="F505" s="310"/>
      <c r="G505" s="246"/>
      <c r="H505" s="246"/>
      <c r="I505" s="310"/>
      <c r="J505" s="246"/>
      <c r="K505" s="246"/>
      <c r="L505" s="246"/>
      <c r="M505" s="310"/>
      <c r="N505" s="246"/>
      <c r="O505" s="246"/>
      <c r="P505" s="246"/>
      <c r="Q505" s="310"/>
      <c r="R505" s="310"/>
      <c r="S505" s="310"/>
      <c r="T505" s="334"/>
      <c r="U505" s="334"/>
      <c r="W505" s="246"/>
      <c r="X505" s="246"/>
      <c r="Y505" s="246"/>
      <c r="Z505" s="310"/>
      <c r="AA505" s="246"/>
      <c r="AB505" s="246"/>
      <c r="AC505" s="246"/>
      <c r="AD505" s="246" t="s">
        <v>241</v>
      </c>
      <c r="AE505" s="246"/>
      <c r="AF505" s="496"/>
      <c r="AG505" s="246"/>
      <c r="AH505" s="246"/>
      <c r="AI505" s="246"/>
      <c r="AJ505" s="246"/>
      <c r="AK505" s="246"/>
      <c r="AL505" s="246"/>
      <c r="AM505" s="246"/>
      <c r="AN505" s="246"/>
      <c r="AO505" s="246"/>
      <c r="AP505" s="246"/>
      <c r="AQ505" s="246"/>
      <c r="AR505" s="246"/>
      <c r="AS505" s="246"/>
      <c r="AT505" s="246"/>
      <c r="AU505" s="246"/>
      <c r="AV505" s="246"/>
      <c r="AW505" s="246"/>
      <c r="AX505" s="246"/>
      <c r="AY505" s="246"/>
      <c r="AZ505" s="246"/>
      <c r="BA505" s="246"/>
      <c r="BB505" s="246"/>
      <c r="BC505" s="246"/>
      <c r="BD505" s="246"/>
      <c r="BE505" s="246"/>
      <c r="BF505" s="246"/>
      <c r="BG505" s="246"/>
      <c r="BH505" s="246"/>
      <c r="BI505" s="246"/>
      <c r="BJ505" s="246"/>
    </row>
    <row r="506" spans="1:62" ht="18">
      <c r="B506" s="7"/>
      <c r="C506" s="246"/>
      <c r="D506" s="246"/>
      <c r="E506" s="246"/>
      <c r="F506" s="310"/>
      <c r="G506" s="246"/>
      <c r="H506" s="246"/>
      <c r="I506" s="310"/>
      <c r="J506" s="246"/>
      <c r="K506" s="246"/>
      <c r="L506" s="246"/>
      <c r="M506" s="310"/>
      <c r="N506" s="246"/>
      <c r="O506" s="246"/>
      <c r="P506" s="246"/>
      <c r="Q506" s="310"/>
      <c r="R506" s="310"/>
      <c r="S506" s="310"/>
      <c r="T506" s="334"/>
      <c r="U506" s="334"/>
      <c r="W506" s="246"/>
      <c r="X506" s="246"/>
      <c r="Y506" s="246"/>
      <c r="Z506" s="310"/>
      <c r="AA506" s="246"/>
      <c r="AB506" s="246"/>
      <c r="AC506" s="246"/>
      <c r="AD506" s="246"/>
      <c r="AE506" s="246"/>
      <c r="AF506" s="397"/>
      <c r="AG506" s="246"/>
      <c r="AH506" s="246"/>
      <c r="AI506" s="246"/>
      <c r="AJ506" s="246"/>
      <c r="AK506" s="246"/>
      <c r="AL506" s="246"/>
      <c r="AM506" s="246"/>
      <c r="AN506" s="246"/>
      <c r="AO506" s="246"/>
      <c r="AP506" s="246"/>
      <c r="AQ506" s="246"/>
      <c r="AR506" s="246"/>
      <c r="AS506" s="246"/>
      <c r="AT506" s="246"/>
      <c r="AU506" s="246"/>
      <c r="AV506" s="246"/>
      <c r="AW506" s="246"/>
      <c r="AX506" s="246"/>
      <c r="AY506" s="246"/>
      <c r="AZ506" s="246"/>
      <c r="BA506" s="246"/>
      <c r="BB506" s="246"/>
      <c r="BC506" s="246"/>
      <c r="BD506" s="246"/>
      <c r="BE506" s="246"/>
      <c r="BF506" s="246"/>
      <c r="BG506" s="246"/>
      <c r="BH506" s="246"/>
      <c r="BI506" s="246"/>
      <c r="BJ506" s="246"/>
    </row>
    <row r="507" spans="1:62">
      <c r="B507" s="7"/>
      <c r="C507" s="246"/>
      <c r="D507" s="246"/>
      <c r="E507" s="246"/>
      <c r="F507" s="310"/>
      <c r="G507" s="246"/>
      <c r="H507" s="246"/>
      <c r="I507" s="310"/>
      <c r="J507" s="246"/>
      <c r="K507" s="246"/>
      <c r="L507" s="246"/>
      <c r="M507" s="310"/>
      <c r="N507" s="246"/>
      <c r="O507" s="246"/>
      <c r="P507" s="246"/>
      <c r="Q507" s="310"/>
      <c r="R507" s="310"/>
      <c r="S507" s="310"/>
      <c r="T507" s="334"/>
      <c r="U507" s="334"/>
      <c r="W507" s="246"/>
      <c r="X507" s="246"/>
      <c r="Y507" s="246"/>
      <c r="Z507" s="246"/>
      <c r="AA507" s="246"/>
      <c r="AB507" s="246"/>
      <c r="AC507" s="246"/>
      <c r="AD507" s="246"/>
      <c r="AE507" s="246"/>
      <c r="AF507" s="310">
        <f>AF498-AF505</f>
        <v>-60332.059999999969</v>
      </c>
      <c r="AG507" s="246"/>
      <c r="AH507" s="246"/>
      <c r="AI507" s="246"/>
      <c r="AJ507" s="246"/>
      <c r="AK507" s="246"/>
      <c r="AL507" s="246"/>
      <c r="AM507" s="246"/>
      <c r="AN507" s="246"/>
      <c r="AO507" s="246"/>
      <c r="AP507" s="246"/>
      <c r="AQ507" s="246"/>
      <c r="AR507" s="246"/>
      <c r="AS507" s="246"/>
      <c r="AT507" s="246"/>
      <c r="AU507" s="246"/>
      <c r="AV507" s="246"/>
      <c r="AW507" s="246"/>
      <c r="AX507" s="246"/>
      <c r="AY507" s="246"/>
      <c r="AZ507" s="246"/>
      <c r="BA507" s="246"/>
      <c r="BB507" s="246"/>
      <c r="BC507" s="246"/>
      <c r="BD507" s="246"/>
      <c r="BE507" s="246"/>
      <c r="BF507" s="246"/>
      <c r="BG507" s="246"/>
      <c r="BH507" s="246"/>
      <c r="BI507" s="246"/>
      <c r="BJ507" s="246"/>
    </row>
    <row r="508" spans="1:62">
      <c r="B508" s="7"/>
      <c r="C508" s="246"/>
      <c r="D508" s="246"/>
      <c r="E508" s="246"/>
      <c r="F508" s="310"/>
      <c r="G508" s="246"/>
      <c r="H508" s="246"/>
      <c r="I508" s="310"/>
      <c r="J508" s="246"/>
      <c r="K508" s="246"/>
      <c r="L508" s="246"/>
      <c r="M508" s="310"/>
      <c r="N508" s="246"/>
      <c r="O508" s="246"/>
      <c r="P508" s="246"/>
      <c r="Q508" s="310"/>
      <c r="R508" s="310"/>
      <c r="S508" s="310"/>
      <c r="T508" s="334"/>
      <c r="U508" s="334"/>
      <c r="W508" s="246"/>
      <c r="X508" s="246"/>
      <c r="Y508" s="246"/>
      <c r="Z508" s="246"/>
      <c r="AA508" s="246"/>
      <c r="AB508" s="246"/>
      <c r="AC508" s="246"/>
      <c r="AD508" s="246"/>
      <c r="AE508" s="246"/>
      <c r="AF508" s="246"/>
      <c r="AG508" s="246"/>
      <c r="AH508" s="246"/>
      <c r="AI508" s="246"/>
      <c r="AJ508" s="246"/>
      <c r="AK508" s="246"/>
      <c r="AL508" s="246"/>
      <c r="AM508" s="246"/>
      <c r="AN508" s="246"/>
      <c r="AO508" s="246"/>
      <c r="AP508" s="246"/>
      <c r="AQ508" s="246"/>
      <c r="AR508" s="246"/>
      <c r="AS508" s="246"/>
      <c r="AT508" s="246"/>
      <c r="AU508" s="246"/>
      <c r="AV508" s="246"/>
      <c r="AW508" s="246"/>
      <c r="AX508" s="246"/>
      <c r="AY508" s="246"/>
      <c r="AZ508" s="246"/>
      <c r="BA508" s="246"/>
      <c r="BB508" s="246"/>
      <c r="BC508" s="246"/>
      <c r="BD508" s="246"/>
      <c r="BE508" s="246"/>
      <c r="BF508" s="246"/>
      <c r="BG508" s="246"/>
      <c r="BH508" s="246"/>
      <c r="BI508" s="246"/>
      <c r="BJ508" s="246"/>
    </row>
    <row r="509" spans="1:62">
      <c r="B509" s="7"/>
      <c r="C509" s="246"/>
      <c r="D509" s="246"/>
      <c r="E509" s="246"/>
      <c r="F509" s="310"/>
      <c r="G509" s="246"/>
      <c r="H509" s="246"/>
      <c r="I509" s="310"/>
      <c r="J509" s="246"/>
      <c r="K509" s="246"/>
      <c r="L509" s="246"/>
      <c r="M509" s="310"/>
      <c r="N509" s="246"/>
      <c r="O509" s="246"/>
      <c r="P509" s="246"/>
      <c r="Q509" s="310"/>
      <c r="R509" s="310"/>
      <c r="S509" s="310"/>
      <c r="T509" s="334"/>
      <c r="U509" s="334"/>
      <c r="W509" s="246"/>
      <c r="X509" s="246"/>
      <c r="Y509" s="246"/>
      <c r="Z509" s="246"/>
      <c r="AA509" s="246"/>
      <c r="AB509" s="246"/>
      <c r="AC509" s="246"/>
      <c r="AD509" s="246" t="s">
        <v>243</v>
      </c>
      <c r="AE509" s="246"/>
      <c r="AF509" s="246"/>
      <c r="AG509" s="246"/>
      <c r="AH509" s="246"/>
      <c r="AI509" s="246"/>
      <c r="AJ509" s="246"/>
      <c r="AK509" s="246"/>
      <c r="AL509" s="246"/>
      <c r="AM509" s="246"/>
      <c r="AN509" s="246"/>
      <c r="AO509" s="246"/>
      <c r="AP509" s="246"/>
      <c r="AQ509" s="246"/>
      <c r="AR509" s="246"/>
      <c r="AS509" s="246"/>
      <c r="AT509" s="246"/>
      <c r="AU509" s="246"/>
      <c r="AV509" s="246"/>
      <c r="AW509" s="246"/>
      <c r="AX509" s="246"/>
      <c r="AY509" s="246"/>
      <c r="AZ509" s="246"/>
      <c r="BA509" s="246"/>
      <c r="BB509" s="246"/>
      <c r="BC509" s="246"/>
      <c r="BD509" s="246"/>
      <c r="BE509" s="246"/>
      <c r="BF509" s="246"/>
      <c r="BG509" s="246"/>
      <c r="BH509" s="246"/>
      <c r="BI509" s="246"/>
      <c r="BJ509" s="246"/>
    </row>
    <row r="510" spans="1:62">
      <c r="B510" s="7"/>
      <c r="C510" s="246"/>
      <c r="D510" s="246"/>
      <c r="E510" s="246"/>
      <c r="F510" s="310"/>
      <c r="G510" s="246"/>
      <c r="H510" s="246"/>
      <c r="I510" s="310"/>
      <c r="J510" s="246"/>
      <c r="K510" s="246"/>
      <c r="L510" s="246"/>
      <c r="M510" s="310"/>
      <c r="N510" s="246"/>
      <c r="O510" s="246"/>
      <c r="P510" s="246"/>
      <c r="Q510" s="310"/>
      <c r="R510" s="310"/>
      <c r="S510" s="310"/>
      <c r="T510" s="334"/>
      <c r="U510" s="334"/>
      <c r="W510" s="246"/>
      <c r="X510" s="246"/>
      <c r="Y510" s="246"/>
      <c r="Z510" s="246"/>
      <c r="AA510" s="246"/>
      <c r="AB510" s="246"/>
      <c r="AC510" s="246"/>
      <c r="AD510" s="246" t="s">
        <v>242</v>
      </c>
      <c r="AE510" s="246"/>
      <c r="AF510" s="246"/>
      <c r="AG510" s="246"/>
      <c r="AH510" s="246"/>
      <c r="AI510" s="246"/>
      <c r="AJ510" s="246"/>
      <c r="AK510" s="246"/>
      <c r="AL510" s="246"/>
      <c r="AM510" s="246"/>
      <c r="AN510" s="246"/>
      <c r="AO510" s="246"/>
      <c r="AP510" s="246"/>
      <c r="AQ510" s="246"/>
      <c r="AR510" s="246"/>
      <c r="AS510" s="246"/>
      <c r="AT510" s="246"/>
      <c r="AU510" s="246"/>
      <c r="AV510" s="246"/>
      <c r="AW510" s="246"/>
      <c r="AX510" s="246"/>
      <c r="AY510" s="246"/>
      <c r="AZ510" s="246"/>
      <c r="BA510" s="246"/>
      <c r="BB510" s="246"/>
      <c r="BC510" s="246"/>
      <c r="BD510" s="246"/>
      <c r="BE510" s="246"/>
      <c r="BF510" s="246"/>
      <c r="BG510" s="246"/>
      <c r="BH510" s="246"/>
      <c r="BI510" s="246"/>
      <c r="BJ510" s="246"/>
    </row>
    <row r="511" spans="1:62">
      <c r="B511" s="7"/>
      <c r="C511" s="246"/>
      <c r="D511" s="246"/>
      <c r="E511" s="246"/>
      <c r="F511" s="310"/>
      <c r="G511" s="246"/>
      <c r="H511" s="246"/>
      <c r="I511" s="310"/>
      <c r="J511" s="246"/>
      <c r="K511" s="246"/>
      <c r="L511" s="246"/>
      <c r="M511" s="310"/>
      <c r="N511" s="246"/>
      <c r="O511" s="246"/>
      <c r="P511" s="246"/>
      <c r="Q511" s="310"/>
      <c r="R511" s="310"/>
      <c r="S511" s="310"/>
      <c r="T511" s="334"/>
      <c r="U511" s="334"/>
      <c r="W511" s="246"/>
      <c r="X511" s="246"/>
      <c r="Y511" s="246"/>
      <c r="Z511" s="246"/>
      <c r="AA511" s="246"/>
      <c r="AB511" s="246"/>
      <c r="AC511" s="246"/>
      <c r="AD511" s="246" t="s">
        <v>247</v>
      </c>
      <c r="AE511" s="246"/>
      <c r="AF511" s="246"/>
      <c r="AG511" s="246"/>
      <c r="AH511" s="246"/>
      <c r="AI511" s="246"/>
      <c r="AJ511" s="246"/>
      <c r="AK511" s="246"/>
      <c r="AL511" s="246"/>
      <c r="AM511" s="246"/>
      <c r="AN511" s="246"/>
      <c r="AO511" s="246"/>
      <c r="AP511" s="246"/>
      <c r="AQ511" s="246"/>
      <c r="AR511" s="246"/>
      <c r="AS511" s="246"/>
      <c r="AT511" s="246"/>
      <c r="AU511" s="246"/>
      <c r="AV511" s="246"/>
      <c r="AW511" s="246"/>
      <c r="AX511" s="246"/>
      <c r="AY511" s="246"/>
      <c r="AZ511" s="246"/>
      <c r="BA511" s="246"/>
      <c r="BB511" s="246"/>
      <c r="BC511" s="246"/>
      <c r="BD511" s="246"/>
      <c r="BE511" s="246"/>
      <c r="BF511" s="246"/>
      <c r="BG511" s="246"/>
      <c r="BH511" s="246"/>
      <c r="BI511" s="246"/>
      <c r="BJ511" s="246"/>
    </row>
    <row r="512" spans="1:62">
      <c r="B512" s="7"/>
      <c r="C512" s="246"/>
      <c r="D512" s="246"/>
      <c r="E512" s="246"/>
      <c r="F512" s="310"/>
      <c r="G512" s="246"/>
      <c r="H512" s="246"/>
      <c r="I512" s="310"/>
      <c r="J512" s="246"/>
      <c r="K512" s="246"/>
      <c r="L512" s="246"/>
      <c r="M512" s="310"/>
      <c r="N512" s="246"/>
      <c r="O512" s="246"/>
      <c r="P512" s="246"/>
      <c r="Q512" s="310"/>
      <c r="R512" s="310"/>
      <c r="S512" s="310"/>
      <c r="T512" s="334"/>
      <c r="U512" s="334"/>
      <c r="W512" s="246"/>
      <c r="X512" s="246"/>
      <c r="Y512" s="246"/>
      <c r="Z512" s="246"/>
      <c r="AA512" s="246"/>
      <c r="AB512" s="246"/>
      <c r="AC512" s="246"/>
      <c r="AD512" s="246" t="s">
        <v>248</v>
      </c>
      <c r="AE512" s="246"/>
      <c r="AF512" s="246"/>
      <c r="AG512" s="246"/>
      <c r="AH512" s="246"/>
      <c r="AI512" s="246"/>
      <c r="AJ512" s="246"/>
      <c r="AK512" s="246"/>
      <c r="AL512" s="246"/>
      <c r="AM512" s="246"/>
      <c r="AN512" s="246"/>
      <c r="AO512" s="246"/>
      <c r="AP512" s="246"/>
      <c r="AQ512" s="246"/>
      <c r="AR512" s="246"/>
      <c r="AS512" s="246"/>
      <c r="AT512" s="246"/>
      <c r="AU512" s="246"/>
      <c r="AV512" s="246"/>
      <c r="AW512" s="246"/>
      <c r="AX512" s="246"/>
      <c r="AY512" s="246"/>
      <c r="AZ512" s="246"/>
      <c r="BA512" s="246"/>
      <c r="BB512" s="246"/>
      <c r="BC512" s="246"/>
      <c r="BD512" s="246"/>
      <c r="BE512" s="246"/>
      <c r="BF512" s="246"/>
      <c r="BG512" s="246"/>
      <c r="BH512" s="246"/>
      <c r="BI512" s="246"/>
      <c r="BJ512" s="246"/>
    </row>
    <row r="513" spans="2:62">
      <c r="B513" s="7"/>
      <c r="C513" s="246"/>
      <c r="D513" s="246"/>
      <c r="E513" s="246"/>
      <c r="F513" s="310"/>
      <c r="G513" s="246"/>
      <c r="H513" s="246"/>
      <c r="I513" s="310"/>
      <c r="J513" s="246"/>
      <c r="K513" s="246"/>
      <c r="L513" s="246"/>
      <c r="M513" s="310"/>
      <c r="N513" s="246"/>
      <c r="O513" s="246"/>
      <c r="P513" s="246"/>
      <c r="Q513" s="310"/>
      <c r="R513" s="310"/>
      <c r="S513" s="310"/>
      <c r="T513" s="334"/>
      <c r="U513" s="334"/>
      <c r="W513" s="246"/>
      <c r="X513" s="246"/>
      <c r="Y513" s="246"/>
      <c r="Z513" s="246"/>
      <c r="AA513" s="246"/>
      <c r="AB513" s="246"/>
      <c r="AC513" s="246"/>
      <c r="AD513" s="246"/>
      <c r="AE513" s="246"/>
      <c r="AF513" s="310">
        <f>AF498+AF509+AF510+AF511+AF512</f>
        <v>-60332.059999999969</v>
      </c>
      <c r="AG513" s="310">
        <f>AF513-AF505</f>
        <v>-60332.059999999969</v>
      </c>
      <c r="AH513" s="246"/>
      <c r="AI513" s="246"/>
      <c r="AJ513" s="246"/>
      <c r="AK513" s="246"/>
      <c r="AL513" s="246"/>
      <c r="AM513" s="246"/>
      <c r="AN513" s="246"/>
      <c r="AO513" s="246"/>
      <c r="AP513" s="246"/>
      <c r="AQ513" s="246"/>
      <c r="AR513" s="246"/>
      <c r="AS513" s="246"/>
      <c r="AT513" s="246"/>
      <c r="AU513" s="246"/>
      <c r="AV513" s="246"/>
      <c r="AW513" s="246"/>
      <c r="AX513" s="246"/>
      <c r="AY513" s="246"/>
      <c r="AZ513" s="246"/>
      <c r="BA513" s="246"/>
      <c r="BB513" s="246"/>
      <c r="BC513" s="246"/>
      <c r="BD513" s="246"/>
      <c r="BE513" s="246"/>
      <c r="BF513" s="246"/>
      <c r="BG513" s="246"/>
      <c r="BH513" s="246"/>
      <c r="BI513" s="246"/>
      <c r="BJ513" s="246"/>
    </row>
    <row r="514" spans="2:62">
      <c r="B514" s="7"/>
      <c r="C514" s="246"/>
      <c r="D514" s="246"/>
      <c r="E514" s="246"/>
      <c r="F514" s="310"/>
      <c r="G514" s="246"/>
      <c r="H514" s="246"/>
      <c r="I514" s="310"/>
      <c r="J514" s="246"/>
      <c r="K514" s="246"/>
      <c r="L514" s="246"/>
      <c r="M514" s="310"/>
      <c r="N514" s="246"/>
      <c r="O514" s="246"/>
      <c r="P514" s="246"/>
      <c r="Q514" s="310"/>
      <c r="R514" s="310"/>
      <c r="S514" s="310"/>
      <c r="T514" s="334"/>
      <c r="U514" s="334"/>
      <c r="W514" s="334"/>
      <c r="X514" s="334"/>
      <c r="Y514" s="246"/>
      <c r="Z514" s="246"/>
      <c r="AA514" s="246"/>
      <c r="AB514" s="246"/>
      <c r="AC514" s="246"/>
      <c r="AD514" s="246"/>
      <c r="AE514" s="246"/>
      <c r="AF514" s="310"/>
      <c r="AG514" s="246"/>
      <c r="AH514" s="246"/>
      <c r="AI514" s="246"/>
      <c r="AJ514" s="246"/>
      <c r="AK514" s="246"/>
      <c r="AL514" s="246"/>
      <c r="AM514" s="246"/>
      <c r="AN514" s="246"/>
      <c r="AO514" s="246"/>
      <c r="AP514" s="246"/>
      <c r="AQ514" s="246"/>
      <c r="AR514" s="246"/>
      <c r="AS514" s="246"/>
      <c r="AT514" s="246"/>
      <c r="AU514" s="246"/>
      <c r="AV514" s="246"/>
      <c r="AW514" s="246"/>
      <c r="AX514" s="246"/>
      <c r="AY514" s="246"/>
      <c r="AZ514" s="246"/>
      <c r="BA514" s="246"/>
      <c r="BB514" s="246"/>
      <c r="BC514" s="246"/>
      <c r="BD514" s="246"/>
      <c r="BE514" s="246"/>
      <c r="BF514" s="246"/>
      <c r="BG514" s="246"/>
      <c r="BH514" s="246"/>
      <c r="BI514" s="246"/>
      <c r="BJ514" s="246"/>
    </row>
    <row r="515" spans="2:62">
      <c r="B515" s="7"/>
      <c r="C515" s="246"/>
      <c r="D515" s="246"/>
      <c r="E515" s="246"/>
      <c r="F515" s="310"/>
      <c r="G515" s="246"/>
      <c r="H515" s="246"/>
      <c r="I515" s="310"/>
      <c r="J515" s="246"/>
      <c r="K515" s="246"/>
      <c r="L515" s="246"/>
      <c r="M515" s="310"/>
      <c r="N515" s="246"/>
      <c r="O515" s="246"/>
      <c r="P515" s="246"/>
      <c r="Q515" s="310"/>
      <c r="R515" s="310"/>
      <c r="S515" s="310"/>
      <c r="T515" s="334"/>
      <c r="U515" s="334"/>
      <c r="W515" s="334"/>
      <c r="X515" s="334"/>
      <c r="Y515" s="246"/>
      <c r="Z515" s="246"/>
      <c r="AA515" s="246"/>
      <c r="AB515" s="246"/>
      <c r="AC515" s="246"/>
      <c r="AD515" s="246"/>
      <c r="AE515" s="246"/>
      <c r="AF515" s="310"/>
      <c r="AG515" s="246"/>
      <c r="AH515" s="246"/>
      <c r="AI515" s="246"/>
      <c r="AJ515" s="246"/>
      <c r="AK515" s="246"/>
      <c r="AL515" s="246"/>
      <c r="AM515" s="246"/>
      <c r="AN515" s="246"/>
      <c r="AO515" s="246"/>
      <c r="AP515" s="246"/>
      <c r="AQ515" s="246"/>
      <c r="AR515" s="246"/>
      <c r="AS515" s="246"/>
      <c r="AT515" s="246"/>
      <c r="AU515" s="246"/>
      <c r="AV515" s="246"/>
      <c r="AW515" s="246"/>
      <c r="AX515" s="246"/>
      <c r="AY515" s="246"/>
      <c r="AZ515" s="246"/>
      <c r="BA515" s="246"/>
      <c r="BB515" s="246"/>
      <c r="BC515" s="246"/>
      <c r="BD515" s="246"/>
      <c r="BE515" s="246"/>
      <c r="BF515" s="246"/>
      <c r="BG515" s="246"/>
      <c r="BH515" s="246"/>
      <c r="BI515" s="246"/>
      <c r="BJ515" s="246"/>
    </row>
    <row r="516" spans="2:62">
      <c r="B516" s="7"/>
      <c r="C516" s="246"/>
      <c r="D516" s="246"/>
      <c r="E516" s="246"/>
      <c r="F516" s="310"/>
      <c r="G516" s="246"/>
      <c r="H516" s="246"/>
      <c r="I516" s="310"/>
      <c r="J516" s="246"/>
      <c r="K516" s="246"/>
      <c r="L516" s="246"/>
      <c r="M516" s="310"/>
      <c r="N516" s="246"/>
      <c r="O516" s="246"/>
      <c r="P516" s="246"/>
      <c r="Q516" s="310"/>
      <c r="R516" s="310"/>
      <c r="S516" s="310"/>
      <c r="T516" s="334"/>
      <c r="U516" s="334"/>
      <c r="W516" s="334"/>
      <c r="X516" s="334"/>
      <c r="Y516" s="246"/>
      <c r="Z516" s="246"/>
      <c r="AA516" s="246"/>
      <c r="AB516" s="246"/>
      <c r="AC516" s="246"/>
      <c r="AD516" s="246"/>
      <c r="AE516" s="246"/>
      <c r="AF516" s="246"/>
      <c r="AG516" s="246"/>
      <c r="AH516" s="246"/>
      <c r="AI516" s="246"/>
      <c r="AJ516" s="246"/>
      <c r="AK516" s="246"/>
      <c r="AL516" s="246"/>
      <c r="AM516" s="246"/>
      <c r="AN516" s="246"/>
      <c r="AO516" s="246"/>
      <c r="AP516" s="246"/>
      <c r="AQ516" s="246"/>
      <c r="AR516" s="246"/>
      <c r="AS516" s="246"/>
      <c r="AT516" s="246"/>
      <c r="AU516" s="246"/>
      <c r="AV516" s="246"/>
      <c r="AW516" s="246"/>
      <c r="AX516" s="246"/>
      <c r="AY516" s="246"/>
      <c r="AZ516" s="246"/>
      <c r="BA516" s="246"/>
      <c r="BB516" s="246"/>
      <c r="BC516" s="246"/>
      <c r="BD516" s="246"/>
      <c r="BE516" s="246"/>
      <c r="BF516" s="246"/>
      <c r="BG516" s="246"/>
      <c r="BH516" s="246"/>
      <c r="BI516" s="246"/>
      <c r="BJ516" s="246"/>
    </row>
    <row r="517" spans="2:62">
      <c r="B517" s="7"/>
      <c r="C517" s="246"/>
      <c r="D517" s="246"/>
      <c r="E517" s="246"/>
      <c r="F517" s="310"/>
      <c r="G517" s="246"/>
      <c r="H517" s="246"/>
      <c r="I517" s="310"/>
      <c r="J517" s="246"/>
      <c r="K517" s="246"/>
      <c r="L517" s="246"/>
      <c r="M517" s="310"/>
      <c r="N517" s="246"/>
      <c r="O517" s="246"/>
      <c r="P517" s="246"/>
      <c r="Q517" s="310"/>
      <c r="R517" s="310"/>
      <c r="S517" s="310"/>
      <c r="T517" s="334"/>
      <c r="U517" s="334"/>
      <c r="W517" s="334"/>
      <c r="X517" s="334"/>
      <c r="Y517" s="246"/>
      <c r="Z517" s="246"/>
      <c r="AA517" s="246"/>
      <c r="AB517" s="246"/>
      <c r="AC517" s="246"/>
      <c r="AD517" s="246"/>
      <c r="AE517" s="246"/>
      <c r="AF517" s="246"/>
      <c r="AG517" s="246"/>
      <c r="AH517" s="246"/>
      <c r="AI517" s="246"/>
      <c r="AJ517" s="246"/>
      <c r="AK517" s="246"/>
      <c r="AL517" s="246"/>
      <c r="AM517" s="246"/>
      <c r="AN517" s="246"/>
      <c r="AO517" s="246"/>
      <c r="AP517" s="246"/>
      <c r="AQ517" s="246"/>
      <c r="AR517" s="246"/>
      <c r="AS517" s="246"/>
      <c r="AT517" s="246"/>
      <c r="AU517" s="246"/>
      <c r="AV517" s="246"/>
      <c r="AW517" s="246"/>
      <c r="AX517" s="246"/>
      <c r="AY517" s="246"/>
      <c r="AZ517" s="246"/>
      <c r="BA517" s="246"/>
      <c r="BB517" s="246"/>
      <c r="BC517" s="246"/>
      <c r="BD517" s="246"/>
      <c r="BE517" s="246"/>
      <c r="BF517" s="246"/>
      <c r="BG517" s="246"/>
      <c r="BH517" s="246"/>
      <c r="BI517" s="246"/>
      <c r="BJ517" s="246"/>
    </row>
    <row r="518" spans="2:62">
      <c r="B518" s="7"/>
      <c r="C518" s="246"/>
      <c r="D518" s="246"/>
      <c r="E518" s="246"/>
      <c r="F518" s="310"/>
      <c r="G518" s="246"/>
      <c r="H518" s="246"/>
      <c r="I518" s="310"/>
      <c r="J518" s="246"/>
      <c r="K518" s="246"/>
      <c r="L518" s="246"/>
      <c r="M518" s="310"/>
      <c r="N518" s="246"/>
      <c r="O518" s="246"/>
      <c r="P518" s="246"/>
      <c r="Q518" s="310"/>
      <c r="R518" s="310"/>
      <c r="S518" s="310"/>
      <c r="T518" s="334"/>
      <c r="U518" s="334"/>
      <c r="W518" s="334"/>
      <c r="X518" s="334"/>
      <c r="Y518" s="246"/>
      <c r="Z518" s="246"/>
      <c r="AA518" s="246"/>
      <c r="AB518" s="246"/>
      <c r="AC518" s="246"/>
      <c r="AD518" s="246"/>
      <c r="AE518" s="246"/>
      <c r="AF518" s="310"/>
      <c r="AG518" s="310"/>
      <c r="AH518" s="310"/>
      <c r="AI518" s="246"/>
      <c r="AJ518" s="246"/>
      <c r="AK518" s="246"/>
      <c r="AL518" s="246"/>
      <c r="AM518" s="246"/>
      <c r="AN518" s="246"/>
      <c r="AO518" s="246"/>
      <c r="AP518" s="246"/>
      <c r="AQ518" s="246"/>
      <c r="AR518" s="246"/>
      <c r="AS518" s="246"/>
      <c r="AT518" s="246"/>
      <c r="AU518" s="246"/>
      <c r="AV518" s="246"/>
      <c r="AW518" s="246"/>
      <c r="AX518" s="246"/>
      <c r="AY518" s="246"/>
      <c r="AZ518" s="246"/>
      <c r="BA518" s="246"/>
      <c r="BB518" s="246"/>
      <c r="BC518" s="246"/>
      <c r="BD518" s="246"/>
      <c r="BE518" s="246"/>
      <c r="BF518" s="246"/>
      <c r="BG518" s="246"/>
      <c r="BH518" s="246"/>
      <c r="BI518" s="246"/>
      <c r="BJ518" s="246"/>
    </row>
    <row r="519" spans="2:62">
      <c r="B519" s="7"/>
      <c r="C519" s="246"/>
      <c r="D519" s="246"/>
      <c r="E519" s="246"/>
      <c r="F519" s="310"/>
      <c r="G519" s="246"/>
      <c r="H519" s="246"/>
      <c r="I519" s="310"/>
      <c r="J519" s="246"/>
      <c r="K519" s="246"/>
      <c r="L519" s="246"/>
      <c r="M519" s="310"/>
      <c r="N519" s="246"/>
      <c r="O519" s="246"/>
      <c r="P519" s="246"/>
      <c r="Q519" s="310"/>
      <c r="R519" s="310"/>
      <c r="S519" s="310"/>
      <c r="T519" s="334"/>
      <c r="U519" s="334"/>
      <c r="W519" s="334"/>
      <c r="X519" s="334"/>
      <c r="Y519" s="246"/>
      <c r="Z519" s="246"/>
      <c r="AA519" s="246"/>
      <c r="AB519" s="246"/>
      <c r="AC519" s="246"/>
      <c r="AD519" s="246"/>
      <c r="AE519" s="246"/>
      <c r="AF519" s="246"/>
      <c r="AG519" s="246"/>
      <c r="AH519" s="246"/>
      <c r="AI519" s="246"/>
      <c r="AJ519" s="246"/>
      <c r="AK519" s="246"/>
      <c r="AL519" s="246"/>
      <c r="AM519" s="246"/>
      <c r="AN519" s="246"/>
      <c r="AO519" s="246"/>
      <c r="AP519" s="246"/>
      <c r="AQ519" s="246"/>
      <c r="AR519" s="246"/>
      <c r="AS519" s="246"/>
      <c r="AT519" s="246"/>
      <c r="AU519" s="246"/>
      <c r="AV519" s="246"/>
      <c r="AW519" s="246"/>
      <c r="AX519" s="246"/>
      <c r="AY519" s="246"/>
      <c r="AZ519" s="246"/>
      <c r="BA519" s="246"/>
      <c r="BB519" s="246"/>
      <c r="BC519" s="246"/>
      <c r="BD519" s="246"/>
      <c r="BE519" s="246"/>
      <c r="BF519" s="246"/>
      <c r="BG519" s="246"/>
      <c r="BH519" s="246"/>
      <c r="BI519" s="246"/>
      <c r="BJ519" s="246"/>
    </row>
    <row r="520" spans="2:62">
      <c r="B520" s="7"/>
      <c r="C520" s="398"/>
      <c r="D520" s="334"/>
      <c r="E520" s="334"/>
      <c r="F520" s="399"/>
      <c r="G520" s="334"/>
      <c r="H520" s="334"/>
      <c r="I520" s="399"/>
      <c r="J520" s="334"/>
      <c r="K520" s="334"/>
      <c r="L520" s="334"/>
      <c r="M520" s="399"/>
      <c r="N520" s="334"/>
      <c r="O520" s="334"/>
      <c r="P520" s="334"/>
      <c r="Q520" s="399"/>
      <c r="R520" s="399"/>
      <c r="S520" s="399"/>
      <c r="T520" s="334"/>
      <c r="U520" s="334"/>
      <c r="W520" s="334"/>
      <c r="X520" s="334"/>
      <c r="Y520" s="246"/>
      <c r="Z520" s="246"/>
      <c r="AA520" s="246"/>
      <c r="AB520" s="246"/>
      <c r="AC520" s="246"/>
      <c r="AD520" s="246"/>
      <c r="AE520" s="246"/>
      <c r="AF520" s="310"/>
      <c r="AG520" s="246"/>
      <c r="AH520" s="246"/>
      <c r="AI520" s="246"/>
      <c r="AJ520" s="246"/>
      <c r="AK520" s="246"/>
      <c r="AL520" s="246"/>
      <c r="AM520" s="246"/>
      <c r="AN520" s="246"/>
      <c r="AO520" s="246"/>
      <c r="AP520" s="246"/>
      <c r="AQ520" s="246"/>
      <c r="AR520" s="246"/>
      <c r="AS520" s="246"/>
      <c r="AT520" s="246"/>
      <c r="AU520" s="246"/>
      <c r="AV520" s="246"/>
      <c r="AW520" s="246"/>
      <c r="AX520" s="246"/>
      <c r="AY520" s="246"/>
      <c r="AZ520" s="246"/>
      <c r="BA520" s="246"/>
      <c r="BB520" s="246"/>
      <c r="BC520" s="246"/>
      <c r="BD520" s="246"/>
      <c r="BE520" s="246"/>
      <c r="BF520" s="246"/>
      <c r="BG520" s="246"/>
      <c r="BH520" s="246"/>
      <c r="BI520" s="246"/>
      <c r="BJ520" s="246"/>
    </row>
    <row r="521" spans="2:62">
      <c r="B521" s="7"/>
      <c r="C521" s="400"/>
      <c r="D521" s="334"/>
      <c r="E521" s="334"/>
      <c r="F521" s="399"/>
      <c r="G521" s="334"/>
      <c r="H521" s="334"/>
      <c r="I521" s="399"/>
      <c r="J521" s="334"/>
      <c r="K521" s="334"/>
      <c r="L521" s="334"/>
      <c r="M521" s="399"/>
      <c r="N521" s="334"/>
      <c r="O521" s="334"/>
      <c r="P521" s="334"/>
      <c r="Q521" s="399"/>
      <c r="R521" s="399"/>
      <c r="S521" s="399"/>
      <c r="T521" s="334"/>
      <c r="U521" s="334"/>
      <c r="W521" s="334"/>
      <c r="X521" s="334"/>
      <c r="Y521" s="246"/>
      <c r="Z521" s="246"/>
      <c r="AA521" s="246"/>
      <c r="AB521" s="246"/>
      <c r="AC521" s="246"/>
      <c r="AD521" s="246"/>
      <c r="AE521" s="246"/>
      <c r="AF521" s="310"/>
      <c r="AG521" s="246"/>
      <c r="AH521" s="246"/>
      <c r="AI521" s="246"/>
      <c r="AJ521" s="246"/>
      <c r="AK521" s="246"/>
      <c r="AL521" s="246"/>
      <c r="AM521" s="246"/>
      <c r="AN521" s="246"/>
      <c r="AO521" s="246"/>
      <c r="AP521" s="246"/>
      <c r="AQ521" s="246"/>
      <c r="AR521" s="246"/>
      <c r="AS521" s="246"/>
      <c r="AT521" s="246"/>
      <c r="AU521" s="246"/>
      <c r="AV521" s="246"/>
      <c r="AW521" s="246"/>
      <c r="AX521" s="246"/>
      <c r="AY521" s="246"/>
      <c r="AZ521" s="246"/>
      <c r="BA521" s="246"/>
      <c r="BB521" s="246"/>
      <c r="BC521" s="246"/>
      <c r="BD521" s="246"/>
      <c r="BE521" s="246"/>
      <c r="BF521" s="246"/>
      <c r="BG521" s="246"/>
      <c r="BH521" s="246"/>
      <c r="BI521" s="246"/>
      <c r="BJ521" s="246"/>
    </row>
    <row r="522" spans="2:62">
      <c r="B522" s="7"/>
      <c r="C522" s="334"/>
      <c r="D522" s="334"/>
      <c r="E522" s="334"/>
      <c r="F522" s="399"/>
      <c r="G522" s="334"/>
      <c r="H522" s="334"/>
      <c r="I522" s="399"/>
      <c r="J522" s="334"/>
      <c r="K522" s="334"/>
      <c r="L522" s="334"/>
      <c r="M522" s="399"/>
      <c r="N522" s="334"/>
      <c r="O522" s="334"/>
      <c r="P522" s="334"/>
      <c r="Q522" s="399"/>
      <c r="R522" s="399"/>
      <c r="S522" s="399"/>
      <c r="T522" s="334"/>
      <c r="U522" s="334"/>
      <c r="W522" s="334"/>
      <c r="X522" s="334"/>
      <c r="Y522" s="246"/>
      <c r="Z522" s="246"/>
      <c r="AA522" s="246"/>
      <c r="AB522" s="246"/>
      <c r="AC522" s="246"/>
      <c r="AD522" s="246"/>
      <c r="AE522" s="246"/>
      <c r="AF522" s="246"/>
      <c r="AG522" s="246"/>
      <c r="AH522" s="246"/>
      <c r="AI522" s="246"/>
      <c r="AJ522" s="246"/>
      <c r="AK522" s="246"/>
      <c r="AL522" s="246"/>
      <c r="AM522" s="246"/>
      <c r="AN522" s="246"/>
      <c r="AO522" s="246"/>
      <c r="AP522" s="246"/>
      <c r="AQ522" s="246"/>
      <c r="AR522" s="246"/>
      <c r="AS522" s="246"/>
      <c r="AT522" s="246"/>
      <c r="AU522" s="246"/>
      <c r="AV522" s="246"/>
      <c r="AW522" s="246"/>
      <c r="AX522" s="246"/>
      <c r="AY522" s="246"/>
      <c r="AZ522" s="246"/>
      <c r="BA522" s="246"/>
      <c r="BB522" s="246"/>
      <c r="BC522" s="246"/>
      <c r="BD522" s="246"/>
      <c r="BE522" s="246"/>
      <c r="BF522" s="246"/>
      <c r="BG522" s="246"/>
      <c r="BH522" s="246"/>
      <c r="BI522" s="246"/>
      <c r="BJ522" s="246"/>
    </row>
    <row r="523" spans="2:62">
      <c r="B523" s="7"/>
      <c r="C523" s="334"/>
      <c r="D523" s="334"/>
      <c r="E523" s="334"/>
      <c r="F523" s="334"/>
      <c r="G523" s="334"/>
      <c r="H523" s="334"/>
      <c r="I523" s="334"/>
      <c r="J523" s="398"/>
      <c r="K523" s="398"/>
      <c r="L523" s="398"/>
      <c r="M523" s="399"/>
      <c r="N523" s="334"/>
      <c r="O523" s="334"/>
      <c r="P523" s="334"/>
      <c r="Q523" s="334"/>
      <c r="R523" s="334"/>
      <c r="S523" s="399"/>
      <c r="T523" s="334"/>
      <c r="U523" s="334"/>
      <c r="W523" s="334"/>
      <c r="X523" s="334"/>
      <c r="Y523" s="246"/>
      <c r="Z523" s="246"/>
      <c r="AA523" s="246"/>
      <c r="AB523" s="246"/>
      <c r="AC523" s="246"/>
      <c r="AD523" s="246"/>
      <c r="AE523" s="246"/>
      <c r="AF523" s="310"/>
      <c r="AG523" s="246"/>
      <c r="AH523" s="246"/>
      <c r="AI523" s="246"/>
      <c r="AJ523" s="246"/>
      <c r="AK523" s="246"/>
      <c r="AL523" s="246"/>
      <c r="AM523" s="246"/>
      <c r="AN523" s="246"/>
      <c r="AO523" s="246"/>
      <c r="AP523" s="246"/>
      <c r="AQ523" s="246"/>
      <c r="AR523" s="246"/>
      <c r="AS523" s="246"/>
      <c r="AT523" s="246"/>
      <c r="AU523" s="246"/>
      <c r="AV523" s="246"/>
      <c r="AW523" s="246"/>
      <c r="AX523" s="246"/>
      <c r="AY523" s="246"/>
      <c r="AZ523" s="246"/>
      <c r="BA523" s="246"/>
      <c r="BB523" s="246"/>
      <c r="BC523" s="246"/>
      <c r="BD523" s="246"/>
      <c r="BE523" s="246"/>
      <c r="BF523" s="246"/>
      <c r="BG523" s="246"/>
      <c r="BH523" s="246"/>
      <c r="BI523" s="246"/>
      <c r="BJ523" s="246"/>
    </row>
    <row r="524" spans="2:62">
      <c r="B524" s="7"/>
      <c r="C524" s="334"/>
      <c r="D524" s="334"/>
      <c r="E524" s="334"/>
      <c r="F524" s="334"/>
      <c r="G524" s="334"/>
      <c r="H524" s="334"/>
      <c r="I524" s="334"/>
      <c r="J524" s="334"/>
      <c r="K524" s="334"/>
      <c r="L524" s="334"/>
      <c r="M524" s="399"/>
      <c r="N524" s="334"/>
      <c r="O524" s="334"/>
      <c r="P524" s="334"/>
      <c r="Q524" s="334"/>
      <c r="R524" s="334"/>
      <c r="S524" s="399"/>
      <c r="T524" s="334"/>
      <c r="U524" s="334"/>
      <c r="W524" s="334"/>
      <c r="X524" s="334"/>
      <c r="Y524" s="246"/>
      <c r="Z524" s="246"/>
      <c r="AA524" s="246"/>
      <c r="AB524" s="246"/>
      <c r="AC524" s="246"/>
      <c r="AD524" s="246"/>
      <c r="AE524" s="246"/>
      <c r="AF524" s="246"/>
      <c r="AG524" s="246"/>
      <c r="AH524" s="246"/>
      <c r="AI524" s="246"/>
      <c r="AJ524" s="246"/>
      <c r="AK524" s="246"/>
      <c r="AL524" s="246"/>
      <c r="AM524" s="246"/>
      <c r="AN524" s="246"/>
      <c r="AO524" s="246"/>
      <c r="AP524" s="246"/>
      <c r="AQ524" s="246"/>
      <c r="AR524" s="246"/>
      <c r="AS524" s="246"/>
      <c r="AT524" s="246"/>
      <c r="AU524" s="246"/>
      <c r="AV524" s="246"/>
      <c r="AW524" s="246"/>
      <c r="AX524" s="246"/>
      <c r="AY524" s="246"/>
      <c r="AZ524" s="246"/>
      <c r="BA524" s="246"/>
      <c r="BB524" s="246"/>
      <c r="BC524" s="246"/>
      <c r="BD524" s="246"/>
      <c r="BE524" s="246"/>
      <c r="BF524" s="246"/>
      <c r="BG524" s="246"/>
      <c r="BH524" s="246"/>
      <c r="BI524" s="246"/>
      <c r="BJ524" s="246"/>
    </row>
    <row r="525" spans="2:62">
      <c r="B525" s="7"/>
      <c r="C525" s="334"/>
      <c r="D525" s="334"/>
      <c r="E525" s="334"/>
      <c r="F525" s="334"/>
      <c r="G525" s="334"/>
      <c r="H525" s="334"/>
      <c r="I525" s="334"/>
      <c r="J525" s="334"/>
      <c r="K525" s="334"/>
      <c r="L525" s="334"/>
      <c r="M525" s="399"/>
      <c r="N525" s="334"/>
      <c r="O525" s="334"/>
      <c r="P525" s="334"/>
      <c r="Q525" s="334"/>
      <c r="R525" s="334"/>
      <c r="S525" s="399"/>
      <c r="T525" s="334"/>
      <c r="U525" s="334"/>
      <c r="W525" s="334"/>
      <c r="X525" s="334"/>
      <c r="Y525" s="246"/>
      <c r="Z525" s="246"/>
      <c r="AA525" s="246"/>
      <c r="AB525" s="246"/>
      <c r="AC525" s="246"/>
      <c r="AD525" s="246"/>
      <c r="AE525" s="246"/>
      <c r="AF525" s="246"/>
      <c r="AG525" s="246"/>
      <c r="AH525" s="246"/>
      <c r="AI525" s="246"/>
      <c r="AJ525" s="246"/>
      <c r="AK525" s="246"/>
      <c r="AL525" s="246"/>
      <c r="AM525" s="246"/>
      <c r="AN525" s="246"/>
      <c r="AO525" s="246"/>
      <c r="AP525" s="246"/>
      <c r="AQ525" s="246"/>
      <c r="AR525" s="246"/>
      <c r="AS525" s="246"/>
      <c r="AT525" s="246"/>
      <c r="AU525" s="246"/>
      <c r="AV525" s="246"/>
      <c r="AW525" s="246"/>
      <c r="AX525" s="246"/>
      <c r="AY525" s="246"/>
      <c r="AZ525" s="246"/>
      <c r="BA525" s="246"/>
      <c r="BB525" s="246"/>
      <c r="BC525" s="246"/>
      <c r="BD525" s="246"/>
      <c r="BE525" s="246"/>
      <c r="BF525" s="246"/>
      <c r="BG525" s="246"/>
      <c r="BH525" s="246"/>
      <c r="BI525" s="246"/>
      <c r="BJ525" s="246"/>
    </row>
    <row r="526" spans="2:62">
      <c r="B526" s="7"/>
      <c r="C526" s="334"/>
      <c r="D526" s="334"/>
      <c r="E526" s="334"/>
      <c r="F526" s="334"/>
      <c r="G526" s="334"/>
      <c r="H526" s="334"/>
      <c r="I526" s="334"/>
      <c r="J526" s="334"/>
      <c r="K526" s="334"/>
      <c r="L526" s="334"/>
      <c r="M526" s="399"/>
      <c r="N526" s="334"/>
      <c r="O526" s="334"/>
      <c r="P526" s="334"/>
      <c r="Q526" s="334"/>
      <c r="R526" s="334"/>
      <c r="S526" s="399"/>
      <c r="T526" s="334"/>
      <c r="U526" s="334"/>
      <c r="W526" s="334"/>
      <c r="X526" s="334"/>
      <c r="Y526" s="246"/>
      <c r="Z526" s="246"/>
      <c r="AA526" s="246"/>
      <c r="AB526" s="246"/>
      <c r="AC526" s="246"/>
      <c r="AD526" s="246"/>
      <c r="AE526" s="246"/>
      <c r="AF526" s="246"/>
      <c r="AG526" s="246"/>
      <c r="AH526" s="246"/>
      <c r="AI526" s="246"/>
      <c r="AJ526" s="246"/>
      <c r="AK526" s="246"/>
      <c r="AL526" s="246"/>
      <c r="AM526" s="246"/>
      <c r="AN526" s="246"/>
      <c r="AO526" s="246"/>
      <c r="AP526" s="246"/>
      <c r="AQ526" s="246"/>
      <c r="AR526" s="246"/>
      <c r="AS526" s="246"/>
      <c r="AT526" s="246"/>
      <c r="AU526" s="246"/>
      <c r="AV526" s="246"/>
      <c r="AW526" s="246"/>
      <c r="AX526" s="246"/>
      <c r="AY526" s="246"/>
      <c r="AZ526" s="246"/>
      <c r="BA526" s="246"/>
      <c r="BB526" s="246"/>
      <c r="BC526" s="246"/>
      <c r="BD526" s="246"/>
      <c r="BE526" s="246"/>
      <c r="BF526" s="246"/>
      <c r="BG526" s="246"/>
      <c r="BH526" s="246"/>
      <c r="BI526" s="246"/>
      <c r="BJ526" s="246"/>
    </row>
    <row r="527" spans="2:62">
      <c r="B527" s="7"/>
      <c r="C527" s="334"/>
      <c r="D527" s="334"/>
      <c r="E527" s="334"/>
      <c r="F527" s="334"/>
      <c r="G527" s="334"/>
      <c r="H527" s="334"/>
      <c r="I527" s="334"/>
      <c r="J527" s="334"/>
      <c r="K527" s="334"/>
      <c r="L527" s="334"/>
      <c r="M527" s="399"/>
      <c r="N527" s="334"/>
      <c r="O527" s="334"/>
      <c r="P527" s="334"/>
      <c r="Q527" s="334"/>
      <c r="R527" s="334"/>
      <c r="S527" s="334"/>
      <c r="T527" s="334"/>
      <c r="U527" s="334"/>
      <c r="W527" s="334"/>
      <c r="X527" s="334"/>
      <c r="Y527" s="246"/>
      <c r="Z527" s="246"/>
      <c r="AA527" s="246"/>
      <c r="AB527" s="246"/>
      <c r="AC527" s="246"/>
      <c r="AD527" s="246"/>
      <c r="AE527" s="246"/>
      <c r="AF527" s="246"/>
      <c r="AG527" s="246"/>
      <c r="AH527" s="246"/>
      <c r="AI527" s="246"/>
      <c r="AJ527" s="246"/>
      <c r="AK527" s="246"/>
      <c r="AL527" s="246"/>
      <c r="AM527" s="246"/>
      <c r="AN527" s="246"/>
      <c r="AO527" s="246"/>
      <c r="AP527" s="246"/>
      <c r="AQ527" s="246"/>
      <c r="AR527" s="246"/>
      <c r="AS527" s="246"/>
      <c r="AT527" s="246"/>
      <c r="AU527" s="246"/>
      <c r="AV527" s="246"/>
      <c r="AW527" s="246"/>
      <c r="AX527" s="246"/>
      <c r="AY527" s="246"/>
      <c r="AZ527" s="246"/>
      <c r="BA527" s="246"/>
      <c r="BB527" s="246"/>
      <c r="BC527" s="246"/>
      <c r="BD527" s="246"/>
      <c r="BE527" s="246"/>
      <c r="BF527" s="246"/>
      <c r="BG527" s="246"/>
      <c r="BH527" s="246"/>
      <c r="BI527" s="246"/>
      <c r="BJ527" s="246"/>
    </row>
    <row r="528" spans="2:62">
      <c r="B528" s="7"/>
      <c r="C528" s="334"/>
      <c r="D528" s="334"/>
      <c r="E528" s="334"/>
      <c r="F528" s="334"/>
      <c r="G528" s="334"/>
      <c r="H528" s="334"/>
      <c r="I528" s="334"/>
      <c r="J528" s="398"/>
      <c r="K528" s="398"/>
      <c r="L528" s="398"/>
      <c r="M528" s="401"/>
      <c r="N528" s="398"/>
      <c r="O528" s="398"/>
      <c r="P528" s="398"/>
      <c r="Q528" s="334"/>
      <c r="R528" s="334"/>
      <c r="S528" s="398"/>
      <c r="T528" s="334"/>
      <c r="U528" s="334"/>
      <c r="W528" s="334"/>
      <c r="X528" s="334"/>
      <c r="Y528" s="246"/>
      <c r="Z528" s="246"/>
      <c r="AA528" s="246"/>
      <c r="AB528" s="246"/>
      <c r="AC528" s="246"/>
      <c r="AD528" s="246"/>
      <c r="AE528" s="246"/>
      <c r="AF528" s="246"/>
      <c r="AG528" s="246"/>
      <c r="AH528" s="246"/>
      <c r="AI528" s="246"/>
      <c r="AJ528" s="246"/>
      <c r="AK528" s="246"/>
      <c r="AL528" s="246"/>
      <c r="AM528" s="246"/>
      <c r="AN528" s="246"/>
      <c r="AO528" s="246"/>
      <c r="AP528" s="246"/>
      <c r="AQ528" s="246"/>
      <c r="AR528" s="246"/>
      <c r="AS528" s="246"/>
      <c r="AT528" s="246"/>
      <c r="AU528" s="246"/>
      <c r="AV528" s="246"/>
      <c r="AW528" s="246"/>
      <c r="AX528" s="246"/>
      <c r="AY528" s="246"/>
      <c r="AZ528" s="246"/>
      <c r="BA528" s="246"/>
      <c r="BB528" s="246"/>
      <c r="BC528" s="246"/>
      <c r="BD528" s="246"/>
      <c r="BE528" s="246"/>
      <c r="BF528" s="246"/>
      <c r="BG528" s="246"/>
      <c r="BH528" s="246"/>
      <c r="BI528" s="246"/>
      <c r="BJ528" s="246"/>
    </row>
    <row r="529" spans="2:62">
      <c r="B529" s="7"/>
      <c r="C529" s="334"/>
      <c r="D529" s="334"/>
      <c r="E529" s="334"/>
      <c r="F529" s="334"/>
      <c r="G529" s="334"/>
      <c r="H529" s="334"/>
      <c r="I529" s="334"/>
      <c r="J529" s="334"/>
      <c r="K529" s="334"/>
      <c r="L529" s="334"/>
      <c r="M529" s="334"/>
      <c r="N529" s="334"/>
      <c r="O529" s="334"/>
      <c r="P529" s="334"/>
      <c r="Q529" s="334"/>
      <c r="R529" s="334"/>
      <c r="S529" s="334"/>
      <c r="T529" s="334"/>
      <c r="U529" s="334"/>
      <c r="W529" s="334"/>
      <c r="X529" s="334"/>
      <c r="Y529" s="246"/>
      <c r="Z529" s="246"/>
      <c r="AA529" s="246"/>
      <c r="AB529" s="246"/>
      <c r="AC529" s="246"/>
      <c r="AD529" s="246"/>
      <c r="AE529" s="246"/>
      <c r="AF529" s="246"/>
      <c r="AG529" s="246"/>
      <c r="AH529" s="246"/>
      <c r="AI529" s="246"/>
      <c r="AJ529" s="246"/>
      <c r="AK529" s="246"/>
      <c r="AL529" s="246"/>
      <c r="AM529" s="246"/>
      <c r="AN529" s="246"/>
      <c r="AO529" s="246"/>
      <c r="AP529" s="246"/>
      <c r="AQ529" s="246"/>
      <c r="AR529" s="246"/>
      <c r="AS529" s="246"/>
      <c r="AT529" s="246"/>
      <c r="AU529" s="246"/>
      <c r="AV529" s="246"/>
      <c r="AW529" s="246"/>
      <c r="AX529" s="246"/>
      <c r="AY529" s="246"/>
      <c r="AZ529" s="246"/>
      <c r="BA529" s="246"/>
      <c r="BB529" s="246"/>
      <c r="BC529" s="246"/>
      <c r="BD529" s="246"/>
      <c r="BE529" s="246"/>
      <c r="BF529" s="246"/>
      <c r="BG529" s="246"/>
      <c r="BH529" s="246"/>
      <c r="BI529" s="246"/>
      <c r="BJ529" s="246"/>
    </row>
    <row r="530" spans="2:62">
      <c r="B530" s="7"/>
      <c r="C530" s="334"/>
      <c r="D530" s="334"/>
      <c r="E530" s="334"/>
      <c r="F530" s="334"/>
      <c r="G530" s="334"/>
      <c r="H530" s="334"/>
      <c r="I530" s="334"/>
      <c r="J530" s="334"/>
      <c r="K530" s="334"/>
      <c r="L530" s="334"/>
      <c r="M530" s="334"/>
      <c r="N530" s="334"/>
      <c r="O530" s="334"/>
      <c r="P530" s="334"/>
      <c r="Q530" s="334"/>
      <c r="R530" s="334"/>
      <c r="S530" s="334"/>
      <c r="T530" s="334"/>
      <c r="U530" s="334"/>
      <c r="W530" s="334"/>
      <c r="X530" s="334"/>
      <c r="Y530" s="246"/>
      <c r="Z530" s="246"/>
      <c r="AA530" s="246"/>
      <c r="AB530" s="246"/>
      <c r="AC530" s="246"/>
      <c r="AD530" s="246"/>
      <c r="AE530" s="246"/>
      <c r="AF530" s="246"/>
      <c r="AG530" s="246"/>
      <c r="AH530" s="246"/>
      <c r="AI530" s="246"/>
      <c r="AJ530" s="246"/>
      <c r="AK530" s="246"/>
      <c r="AL530" s="246"/>
      <c r="AM530" s="246"/>
      <c r="AN530" s="246"/>
      <c r="AO530" s="246"/>
      <c r="AP530" s="246"/>
      <c r="AQ530" s="246"/>
      <c r="AR530" s="246"/>
      <c r="AS530" s="246"/>
      <c r="AT530" s="246"/>
      <c r="AU530" s="246"/>
      <c r="AV530" s="246"/>
      <c r="AW530" s="246"/>
      <c r="AX530" s="246"/>
      <c r="AY530" s="246"/>
      <c r="AZ530" s="246"/>
      <c r="BA530" s="246"/>
      <c r="BB530" s="246"/>
      <c r="BC530" s="246"/>
      <c r="BD530" s="246"/>
      <c r="BE530" s="246"/>
      <c r="BF530" s="246"/>
      <c r="BG530" s="246"/>
      <c r="BH530" s="246"/>
      <c r="BI530" s="246"/>
      <c r="BJ530" s="246"/>
    </row>
    <row r="531" spans="2:62">
      <c r="B531" s="7"/>
      <c r="C531" s="334"/>
      <c r="D531" s="334"/>
      <c r="E531" s="334"/>
      <c r="F531" s="334"/>
      <c r="G531" s="334"/>
      <c r="H531" s="334"/>
      <c r="I531" s="334"/>
      <c r="J531" s="334"/>
      <c r="K531" s="334"/>
      <c r="L531" s="334"/>
      <c r="M531" s="334"/>
      <c r="N531" s="334"/>
      <c r="O531" s="334"/>
      <c r="P531" s="334"/>
      <c r="Q531" s="334"/>
      <c r="R531" s="334"/>
      <c r="S531" s="334"/>
      <c r="T531" s="334"/>
      <c r="U531" s="334"/>
      <c r="W531" s="334"/>
      <c r="X531" s="334"/>
      <c r="Y531" s="246"/>
      <c r="Z531" s="246"/>
      <c r="AA531" s="246"/>
      <c r="AB531" s="246"/>
      <c r="AC531" s="246"/>
      <c r="AD531" s="246"/>
      <c r="AE531" s="246"/>
      <c r="AF531" s="246"/>
      <c r="AG531" s="246"/>
      <c r="AH531" s="246"/>
      <c r="AI531" s="246"/>
      <c r="AJ531" s="246"/>
      <c r="AK531" s="246"/>
      <c r="AL531" s="246"/>
      <c r="AM531" s="246"/>
      <c r="AN531" s="246"/>
      <c r="AO531" s="246"/>
      <c r="AP531" s="246"/>
      <c r="AQ531" s="246"/>
      <c r="AR531" s="246"/>
      <c r="AS531" s="246"/>
      <c r="AT531" s="246"/>
      <c r="AU531" s="246"/>
      <c r="AV531" s="246"/>
      <c r="AW531" s="246"/>
      <c r="AX531" s="246"/>
      <c r="AY531" s="246"/>
      <c r="AZ531" s="246"/>
      <c r="BA531" s="246"/>
      <c r="BB531" s="246"/>
      <c r="BC531" s="246"/>
      <c r="BD531" s="246"/>
      <c r="BE531" s="246"/>
      <c r="BF531" s="246"/>
      <c r="BG531" s="246"/>
      <c r="BH531" s="246"/>
      <c r="BI531" s="246"/>
      <c r="BJ531" s="246"/>
    </row>
    <row r="532" spans="2:62" ht="18.75">
      <c r="B532" s="7"/>
      <c r="C532" s="402"/>
      <c r="D532" s="403"/>
      <c r="E532" s="403"/>
      <c r="F532" s="403"/>
      <c r="G532" s="403"/>
      <c r="H532" s="403"/>
      <c r="I532" s="403"/>
      <c r="J532" s="403"/>
      <c r="K532" s="403"/>
      <c r="L532" s="403"/>
      <c r="M532" s="403"/>
      <c r="N532" s="403"/>
      <c r="O532" s="403"/>
      <c r="P532" s="403"/>
      <c r="Q532" s="403"/>
      <c r="R532" s="403"/>
      <c r="S532" s="403"/>
      <c r="T532" s="334"/>
      <c r="U532" s="334"/>
      <c r="W532" s="334"/>
      <c r="X532" s="334"/>
      <c r="Y532" s="246"/>
      <c r="Z532" s="246"/>
      <c r="AA532" s="246"/>
      <c r="AB532" s="246"/>
      <c r="AC532" s="246"/>
      <c r="AD532" s="246"/>
      <c r="AE532" s="246"/>
      <c r="AF532" s="246"/>
      <c r="AG532" s="246"/>
      <c r="AH532" s="246"/>
      <c r="AI532" s="246"/>
      <c r="AJ532" s="246"/>
      <c r="AK532" s="246"/>
      <c r="AL532" s="246"/>
      <c r="AM532" s="246"/>
      <c r="AN532" s="246"/>
      <c r="AO532" s="246"/>
      <c r="AP532" s="246"/>
      <c r="AQ532" s="246"/>
      <c r="AR532" s="246"/>
      <c r="AS532" s="246"/>
      <c r="AT532" s="246"/>
      <c r="AU532" s="246"/>
      <c r="AV532" s="246"/>
      <c r="AW532" s="246"/>
      <c r="AX532" s="246"/>
      <c r="AY532" s="246"/>
      <c r="AZ532" s="246"/>
      <c r="BA532" s="246"/>
      <c r="BB532" s="246"/>
      <c r="BC532" s="246"/>
      <c r="BD532" s="246"/>
      <c r="BE532" s="246"/>
      <c r="BF532" s="246"/>
      <c r="BG532" s="246"/>
      <c r="BH532" s="246"/>
      <c r="BI532" s="246"/>
      <c r="BJ532" s="246"/>
    </row>
    <row r="533" spans="2:62">
      <c r="B533" s="7"/>
      <c r="C533" s="334"/>
      <c r="D533" s="334"/>
      <c r="E533" s="334"/>
      <c r="F533" s="334"/>
      <c r="G533" s="334"/>
      <c r="H533" s="334"/>
      <c r="I533" s="334"/>
      <c r="J533" s="334"/>
      <c r="K533" s="334"/>
      <c r="L533" s="334"/>
      <c r="M533" s="334"/>
      <c r="N533" s="334"/>
      <c r="O533" s="334"/>
      <c r="P533" s="334"/>
      <c r="Q533" s="404"/>
      <c r="R533" s="334"/>
      <c r="S533" s="334"/>
      <c r="T533" s="334"/>
      <c r="U533" s="334"/>
      <c r="W533" s="334"/>
      <c r="X533" s="334"/>
      <c r="Y533" s="246"/>
      <c r="Z533" s="246"/>
      <c r="AA533" s="246"/>
      <c r="AB533" s="246"/>
      <c r="AC533" s="246"/>
      <c r="AD533" s="246"/>
      <c r="AE533" s="246"/>
      <c r="AF533" s="246"/>
      <c r="AG533" s="246"/>
      <c r="AH533" s="246"/>
      <c r="AI533" s="246"/>
      <c r="AJ533" s="246"/>
      <c r="AK533" s="246"/>
      <c r="AL533" s="246"/>
      <c r="AM533" s="246"/>
      <c r="AN533" s="246"/>
      <c r="AO533" s="246"/>
      <c r="AP533" s="246"/>
      <c r="AQ533" s="246"/>
      <c r="AR533" s="246"/>
      <c r="AS533" s="246"/>
      <c r="AT533" s="246"/>
      <c r="AU533" s="246"/>
      <c r="AV533" s="246"/>
      <c r="AW533" s="246"/>
      <c r="AX533" s="246"/>
      <c r="AY533" s="246"/>
      <c r="AZ533" s="246"/>
      <c r="BA533" s="246"/>
      <c r="BB533" s="246"/>
      <c r="BC533" s="246"/>
      <c r="BD533" s="246"/>
      <c r="BE533" s="246"/>
      <c r="BF533" s="246"/>
      <c r="BG533" s="246"/>
      <c r="BH533" s="246"/>
      <c r="BI533" s="246"/>
      <c r="BJ533" s="246"/>
    </row>
    <row r="534" spans="2:62">
      <c r="B534" s="7"/>
      <c r="C534" s="334"/>
      <c r="D534" s="334"/>
      <c r="E534" s="334"/>
      <c r="F534" s="334"/>
      <c r="G534" s="334"/>
      <c r="H534" s="334"/>
      <c r="I534" s="334"/>
      <c r="J534" s="334"/>
      <c r="K534" s="334"/>
      <c r="L534" s="405"/>
      <c r="M534" s="406"/>
      <c r="N534" s="406"/>
      <c r="O534" s="334"/>
      <c r="P534" s="405"/>
      <c r="Q534" s="406"/>
      <c r="R534" s="406"/>
      <c r="S534" s="405"/>
      <c r="T534" s="334"/>
      <c r="U534" s="334"/>
      <c r="W534" s="334"/>
      <c r="X534" s="334"/>
      <c r="Y534" s="246"/>
      <c r="Z534" s="246"/>
      <c r="AA534" s="246"/>
      <c r="AB534" s="246"/>
      <c r="AC534" s="246"/>
      <c r="AD534" s="246"/>
      <c r="AE534" s="246"/>
      <c r="AF534" s="246"/>
      <c r="AG534" s="246"/>
      <c r="AH534" s="246"/>
      <c r="AI534" s="246"/>
      <c r="AJ534" s="246"/>
      <c r="AK534" s="246"/>
      <c r="AL534" s="246"/>
      <c r="AM534" s="246"/>
      <c r="AN534" s="246"/>
      <c r="AO534" s="246"/>
      <c r="AP534" s="246"/>
      <c r="AQ534" s="246"/>
      <c r="AR534" s="246"/>
      <c r="AS534" s="246"/>
      <c r="AT534" s="246"/>
      <c r="AU534" s="246"/>
      <c r="AV534" s="246"/>
      <c r="AW534" s="246"/>
      <c r="AX534" s="246"/>
      <c r="AY534" s="246"/>
      <c r="AZ534" s="246"/>
      <c r="BA534" s="246"/>
      <c r="BB534" s="246"/>
      <c r="BC534" s="246"/>
      <c r="BD534" s="246"/>
      <c r="BE534" s="246"/>
      <c r="BF534" s="246"/>
      <c r="BG534" s="246"/>
      <c r="BH534" s="246"/>
      <c r="BI534" s="246"/>
      <c r="BJ534" s="246"/>
    </row>
    <row r="535" spans="2:62">
      <c r="B535" s="7"/>
      <c r="C535" s="334"/>
      <c r="D535" s="334"/>
      <c r="E535" s="405"/>
      <c r="F535" s="407"/>
      <c r="G535" s="334"/>
      <c r="H535" s="405"/>
      <c r="I535" s="407"/>
      <c r="J535" s="406"/>
      <c r="K535" s="398"/>
      <c r="L535" s="405"/>
      <c r="M535" s="406"/>
      <c r="N535" s="406"/>
      <c r="O535" s="398"/>
      <c r="P535" s="405"/>
      <c r="Q535" s="406"/>
      <c r="R535" s="406"/>
      <c r="S535" s="405"/>
      <c r="T535" s="334"/>
      <c r="U535" s="334"/>
      <c r="W535" s="334"/>
      <c r="X535" s="334"/>
      <c r="Y535" s="246"/>
      <c r="Z535" s="246"/>
      <c r="AA535" s="246"/>
      <c r="AB535" s="246"/>
      <c r="AC535" s="246"/>
      <c r="AD535" s="246"/>
      <c r="AE535" s="246"/>
      <c r="AF535" s="246"/>
      <c r="AG535" s="246"/>
      <c r="AH535" s="246"/>
      <c r="AI535" s="246"/>
      <c r="AJ535" s="246"/>
      <c r="AK535" s="246"/>
      <c r="AL535" s="246"/>
      <c r="AM535" s="246"/>
      <c r="AN535" s="246"/>
      <c r="AO535" s="246"/>
      <c r="AP535" s="246"/>
      <c r="AQ535" s="246"/>
      <c r="AR535" s="246"/>
      <c r="AS535" s="246"/>
      <c r="AT535" s="246"/>
      <c r="AU535" s="246"/>
      <c r="AV535" s="246"/>
      <c r="AW535" s="246"/>
      <c r="AX535" s="246"/>
      <c r="AY535" s="246"/>
      <c r="AZ535" s="246"/>
      <c r="BA535" s="246"/>
      <c r="BB535" s="246"/>
      <c r="BC535" s="246"/>
      <c r="BD535" s="246"/>
      <c r="BE535" s="246"/>
      <c r="BF535" s="246"/>
      <c r="BG535" s="246"/>
      <c r="BH535" s="246"/>
      <c r="BI535" s="246"/>
      <c r="BJ535" s="246"/>
    </row>
    <row r="536" spans="2:62">
      <c r="B536" s="7"/>
      <c r="C536" s="334"/>
      <c r="D536" s="408"/>
      <c r="E536" s="407"/>
      <c r="F536" s="407"/>
      <c r="G536" s="408"/>
      <c r="H536" s="407"/>
      <c r="I536" s="407"/>
      <c r="J536" s="407"/>
      <c r="K536" s="407"/>
      <c r="L536" s="407"/>
      <c r="M536" s="407"/>
      <c r="N536" s="407"/>
      <c r="O536" s="407"/>
      <c r="P536" s="407"/>
      <c r="Q536" s="407"/>
      <c r="R536" s="407"/>
      <c r="S536" s="407"/>
      <c r="T536" s="334"/>
      <c r="U536" s="334"/>
      <c r="W536" s="334"/>
      <c r="X536" s="334"/>
      <c r="Y536" s="246"/>
      <c r="Z536" s="246"/>
      <c r="AA536" s="246"/>
      <c r="AB536" s="246"/>
      <c r="AC536" s="246"/>
      <c r="AD536" s="246"/>
      <c r="AE536" s="246"/>
      <c r="AF536" s="246"/>
      <c r="AG536" s="246"/>
      <c r="AH536" s="246"/>
      <c r="AI536" s="246"/>
      <c r="AJ536" s="246"/>
      <c r="AK536" s="246"/>
      <c r="AL536" s="246"/>
      <c r="AM536" s="246"/>
      <c r="AN536" s="246"/>
      <c r="AO536" s="246"/>
      <c r="AP536" s="246"/>
      <c r="AQ536" s="246"/>
      <c r="AR536" s="246"/>
      <c r="AS536" s="246"/>
      <c r="AT536" s="246"/>
      <c r="AU536" s="246"/>
      <c r="AV536" s="246"/>
      <c r="AW536" s="246"/>
      <c r="AX536" s="246"/>
      <c r="AY536" s="246"/>
      <c r="AZ536" s="246"/>
      <c r="BA536" s="246"/>
      <c r="BB536" s="246"/>
      <c r="BC536" s="246"/>
      <c r="BD536" s="246"/>
      <c r="BE536" s="246"/>
      <c r="BF536" s="246"/>
      <c r="BG536" s="246"/>
      <c r="BH536" s="246"/>
      <c r="BI536" s="246"/>
      <c r="BJ536" s="246"/>
    </row>
    <row r="537" spans="2:62">
      <c r="B537" s="7"/>
      <c r="C537" s="398"/>
      <c r="D537" s="334"/>
      <c r="E537" s="334"/>
      <c r="F537" s="334"/>
      <c r="G537" s="334"/>
      <c r="H537" s="334"/>
      <c r="I537" s="334"/>
      <c r="J537" s="334"/>
      <c r="K537" s="334"/>
      <c r="L537" s="334"/>
      <c r="M537" s="334"/>
      <c r="N537" s="334"/>
      <c r="O537" s="334"/>
      <c r="P537" s="334"/>
      <c r="Q537" s="334"/>
      <c r="R537" s="334"/>
      <c r="S537" s="334"/>
      <c r="T537" s="334"/>
      <c r="U537" s="334"/>
      <c r="W537" s="334"/>
      <c r="X537" s="334"/>
      <c r="Y537" s="246"/>
      <c r="Z537" s="246"/>
      <c r="AA537" s="246"/>
      <c r="AB537" s="246"/>
      <c r="AC537" s="246"/>
      <c r="AD537" s="246"/>
      <c r="AE537" s="246"/>
      <c r="AF537" s="246"/>
      <c r="AG537" s="246"/>
      <c r="AH537" s="246"/>
      <c r="AI537" s="246"/>
      <c r="AJ537" s="246"/>
      <c r="AK537" s="246"/>
      <c r="AL537" s="246"/>
      <c r="AM537" s="246"/>
      <c r="AN537" s="246"/>
      <c r="AO537" s="246"/>
      <c r="AP537" s="246"/>
      <c r="AQ537" s="246"/>
      <c r="AR537" s="246"/>
      <c r="AS537" s="246"/>
      <c r="AT537" s="246"/>
      <c r="AU537" s="246"/>
      <c r="AV537" s="246"/>
      <c r="AW537" s="246"/>
      <c r="AX537" s="246"/>
      <c r="AY537" s="246"/>
      <c r="AZ537" s="246"/>
      <c r="BA537" s="246"/>
      <c r="BB537" s="246"/>
      <c r="BC537" s="246"/>
      <c r="BD537" s="246"/>
      <c r="BE537" s="246"/>
      <c r="BF537" s="246"/>
      <c r="BG537" s="246"/>
      <c r="BH537" s="246"/>
      <c r="BI537" s="246"/>
      <c r="BJ537" s="246"/>
    </row>
    <row r="538" spans="2:62">
      <c r="B538" s="7"/>
      <c r="C538" s="334"/>
      <c r="D538" s="334"/>
      <c r="E538" s="334"/>
      <c r="F538" s="334"/>
      <c r="G538" s="334"/>
      <c r="H538" s="334"/>
      <c r="I538" s="334"/>
      <c r="J538" s="334"/>
      <c r="K538" s="334"/>
      <c r="L538" s="334"/>
      <c r="M538" s="334"/>
      <c r="N538" s="334"/>
      <c r="O538" s="334"/>
      <c r="P538" s="334"/>
      <c r="Q538" s="334"/>
      <c r="R538" s="334"/>
      <c r="S538" s="334"/>
      <c r="T538" s="334"/>
      <c r="U538" s="334"/>
      <c r="W538" s="334"/>
      <c r="X538" s="334"/>
      <c r="Y538" s="246"/>
      <c r="Z538" s="246"/>
      <c r="AA538" s="246"/>
      <c r="AB538" s="246"/>
      <c r="AC538" s="246"/>
      <c r="AD538" s="246"/>
      <c r="AE538" s="246"/>
      <c r="AF538" s="246"/>
      <c r="AG538" s="246"/>
      <c r="AH538" s="246"/>
      <c r="AI538" s="246"/>
      <c r="AJ538" s="246"/>
      <c r="AK538" s="246"/>
      <c r="AL538" s="246"/>
      <c r="AM538" s="246"/>
      <c r="AN538" s="246"/>
      <c r="AO538" s="246"/>
      <c r="AP538" s="246"/>
      <c r="AQ538" s="246"/>
      <c r="AR538" s="246"/>
      <c r="AS538" s="246"/>
      <c r="AT538" s="246"/>
      <c r="AU538" s="246"/>
      <c r="AV538" s="246"/>
      <c r="AW538" s="246"/>
      <c r="AX538" s="246"/>
      <c r="AY538" s="246"/>
      <c r="AZ538" s="246"/>
      <c r="BA538" s="246"/>
      <c r="BB538" s="246"/>
      <c r="BC538" s="246"/>
      <c r="BD538" s="246"/>
      <c r="BE538" s="246"/>
      <c r="BF538" s="246"/>
      <c r="BG538" s="246"/>
      <c r="BH538" s="246"/>
      <c r="BI538" s="246"/>
      <c r="BJ538" s="246"/>
    </row>
    <row r="539" spans="2:62">
      <c r="B539" s="7"/>
      <c r="C539" s="334"/>
      <c r="D539" s="334"/>
      <c r="E539" s="399"/>
      <c r="F539" s="409"/>
      <c r="G539" s="334"/>
      <c r="H539" s="399"/>
      <c r="I539" s="409"/>
      <c r="J539" s="409"/>
      <c r="K539" s="399"/>
      <c r="L539" s="409"/>
      <c r="M539" s="399"/>
      <c r="N539" s="409"/>
      <c r="O539" s="399"/>
      <c r="P539" s="409"/>
      <c r="Q539" s="399"/>
      <c r="R539" s="399"/>
      <c r="S539" s="399"/>
      <c r="T539" s="334"/>
      <c r="U539" s="334"/>
      <c r="W539" s="334"/>
      <c r="X539" s="334"/>
      <c r="Y539" s="246"/>
      <c r="Z539" s="246"/>
      <c r="AA539" s="246"/>
      <c r="AB539" s="246"/>
      <c r="AC539" s="246"/>
      <c r="AD539" s="246"/>
      <c r="AE539" s="246"/>
      <c r="AF539" s="246"/>
      <c r="AG539" s="246"/>
      <c r="AH539" s="246"/>
      <c r="AI539" s="246"/>
      <c r="AJ539" s="246"/>
      <c r="AK539" s="246"/>
      <c r="AL539" s="246"/>
      <c r="AM539" s="246"/>
      <c r="AN539" s="246"/>
      <c r="AO539" s="246"/>
      <c r="AP539" s="246"/>
      <c r="AQ539" s="246"/>
      <c r="AR539" s="246"/>
      <c r="AS539" s="246"/>
      <c r="AT539" s="246"/>
      <c r="AU539" s="246"/>
      <c r="AV539" s="246"/>
      <c r="AW539" s="246"/>
      <c r="AX539" s="246"/>
      <c r="AY539" s="246"/>
      <c r="AZ539" s="246"/>
      <c r="BA539" s="246"/>
      <c r="BB539" s="246"/>
      <c r="BC539" s="246"/>
      <c r="BD539" s="246"/>
      <c r="BE539" s="246"/>
      <c r="BF539" s="246"/>
      <c r="BG539" s="246"/>
      <c r="BH539" s="246"/>
      <c r="BI539" s="246"/>
      <c r="BJ539" s="246"/>
    </row>
    <row r="540" spans="2:62">
      <c r="B540" s="7"/>
      <c r="C540" s="334"/>
      <c r="D540" s="334"/>
      <c r="E540" s="399"/>
      <c r="F540" s="409"/>
      <c r="G540" s="334"/>
      <c r="H540" s="399"/>
      <c r="I540" s="409"/>
      <c r="J540" s="409"/>
      <c r="K540" s="399"/>
      <c r="L540" s="409"/>
      <c r="M540" s="399"/>
      <c r="N540" s="409"/>
      <c r="O540" s="399"/>
      <c r="P540" s="409"/>
      <c r="Q540" s="399"/>
      <c r="R540" s="399"/>
      <c r="S540" s="399"/>
      <c r="T540" s="334"/>
      <c r="U540" s="334"/>
      <c r="W540" s="334"/>
      <c r="X540" s="334"/>
      <c r="Y540" s="246"/>
      <c r="Z540" s="246"/>
      <c r="AA540" s="246"/>
      <c r="AB540" s="246"/>
      <c r="AC540" s="246"/>
      <c r="AD540" s="246"/>
      <c r="AE540" s="246"/>
      <c r="AF540" s="246"/>
      <c r="AG540" s="246"/>
      <c r="AH540" s="246"/>
      <c r="AI540" s="246"/>
      <c r="AJ540" s="246"/>
      <c r="AK540" s="246"/>
      <c r="AL540" s="246"/>
      <c r="AM540" s="246"/>
      <c r="AN540" s="246"/>
      <c r="AO540" s="246"/>
      <c r="AP540" s="246"/>
      <c r="AQ540" s="246"/>
      <c r="AR540" s="246"/>
      <c r="AS540" s="246"/>
      <c r="AT540" s="246"/>
      <c r="AU540" s="246"/>
      <c r="AV540" s="246"/>
      <c r="AW540" s="246"/>
      <c r="AX540" s="246"/>
      <c r="AY540" s="246"/>
      <c r="AZ540" s="246"/>
      <c r="BA540" s="246"/>
      <c r="BB540" s="246"/>
      <c r="BC540" s="246"/>
      <c r="BD540" s="246"/>
      <c r="BE540" s="246"/>
      <c r="BF540" s="246"/>
      <c r="BG540" s="246"/>
      <c r="BH540" s="246"/>
      <c r="BI540" s="246"/>
      <c r="BJ540" s="246"/>
    </row>
    <row r="541" spans="2:62">
      <c r="B541" s="7"/>
      <c r="C541" s="334"/>
      <c r="D541" s="334"/>
      <c r="E541" s="399"/>
      <c r="F541" s="409"/>
      <c r="G541" s="334"/>
      <c r="H541" s="399"/>
      <c r="I541" s="409"/>
      <c r="J541" s="409"/>
      <c r="K541" s="399"/>
      <c r="L541" s="409"/>
      <c r="M541" s="399"/>
      <c r="N541" s="409"/>
      <c r="O541" s="399"/>
      <c r="P541" s="409"/>
      <c r="Q541" s="399"/>
      <c r="R541" s="399"/>
      <c r="S541" s="399"/>
      <c r="T541" s="334"/>
      <c r="U541" s="334"/>
      <c r="W541" s="334"/>
      <c r="X541" s="334"/>
      <c r="Y541" s="246"/>
      <c r="Z541" s="246"/>
      <c r="AA541" s="246"/>
      <c r="AB541" s="246"/>
      <c r="AC541" s="246"/>
      <c r="AD541" s="246"/>
      <c r="AE541" s="246"/>
      <c r="AF541" s="246"/>
      <c r="AG541" s="246"/>
      <c r="AH541" s="246"/>
      <c r="AI541" s="246"/>
      <c r="AJ541" s="246"/>
      <c r="AK541" s="246"/>
      <c r="AL541" s="246"/>
      <c r="AM541" s="246"/>
      <c r="AN541" s="246"/>
      <c r="AO541" s="246"/>
      <c r="AP541" s="246"/>
      <c r="AQ541" s="246"/>
      <c r="AR541" s="246"/>
      <c r="AS541" s="246"/>
      <c r="AT541" s="246"/>
      <c r="AU541" s="246"/>
      <c r="AV541" s="246"/>
      <c r="AW541" s="246"/>
      <c r="AX541" s="246"/>
      <c r="AY541" s="246"/>
      <c r="AZ541" s="246"/>
      <c r="BA541" s="246"/>
      <c r="BB541" s="246"/>
      <c r="BC541" s="246"/>
      <c r="BD541" s="246"/>
      <c r="BE541" s="246"/>
      <c r="BF541" s="246"/>
      <c r="BG541" s="246"/>
      <c r="BH541" s="246"/>
      <c r="BI541" s="246"/>
      <c r="BJ541" s="246"/>
    </row>
    <row r="542" spans="2:62">
      <c r="B542" s="7"/>
      <c r="C542" s="334"/>
      <c r="D542" s="334"/>
      <c r="E542" s="399"/>
      <c r="F542" s="409"/>
      <c r="G542" s="334"/>
      <c r="H542" s="399"/>
      <c r="I542" s="409"/>
      <c r="J542" s="409"/>
      <c r="K542" s="399"/>
      <c r="L542" s="409"/>
      <c r="M542" s="399"/>
      <c r="N542" s="409"/>
      <c r="O542" s="399"/>
      <c r="P542" s="409"/>
      <c r="Q542" s="399"/>
      <c r="R542" s="399"/>
      <c r="S542" s="399"/>
      <c r="T542" s="334"/>
      <c r="U542" s="334"/>
      <c r="W542" s="334"/>
      <c r="X542" s="334"/>
      <c r="Y542" s="246"/>
      <c r="Z542" s="246"/>
      <c r="AA542" s="246"/>
      <c r="AB542" s="246"/>
      <c r="AC542" s="246"/>
      <c r="AD542" s="246"/>
      <c r="AE542" s="246"/>
      <c r="AF542" s="246"/>
      <c r="AG542" s="246"/>
      <c r="AH542" s="246"/>
      <c r="AI542" s="246"/>
      <c r="AJ542" s="246"/>
      <c r="AK542" s="246"/>
      <c r="AL542" s="246"/>
      <c r="AM542" s="246"/>
      <c r="AN542" s="246"/>
      <c r="AO542" s="246"/>
      <c r="AP542" s="246"/>
      <c r="AQ542" s="246"/>
      <c r="AR542" s="246"/>
      <c r="AS542" s="246"/>
      <c r="AT542" s="246"/>
      <c r="AU542" s="246"/>
      <c r="AV542" s="246"/>
      <c r="AW542" s="246"/>
      <c r="AX542" s="246"/>
      <c r="AY542" s="246"/>
      <c r="AZ542" s="246"/>
      <c r="BA542" s="246"/>
      <c r="BB542" s="246"/>
      <c r="BC542" s="246"/>
      <c r="BD542" s="246"/>
      <c r="BE542" s="246"/>
      <c r="BF542" s="246"/>
      <c r="BG542" s="246"/>
      <c r="BH542" s="246"/>
      <c r="BI542" s="246"/>
      <c r="BJ542" s="246"/>
    </row>
    <row r="543" spans="2:62">
      <c r="B543" s="7"/>
      <c r="C543" s="334"/>
      <c r="D543" s="334"/>
      <c r="E543" s="399"/>
      <c r="F543" s="409"/>
      <c r="G543" s="334"/>
      <c r="H543" s="399"/>
      <c r="I543" s="409"/>
      <c r="J543" s="409"/>
      <c r="K543" s="399"/>
      <c r="L543" s="409"/>
      <c r="M543" s="399"/>
      <c r="N543" s="409"/>
      <c r="O543" s="399"/>
      <c r="P543" s="409"/>
      <c r="Q543" s="399"/>
      <c r="R543" s="399"/>
      <c r="S543" s="334"/>
      <c r="T543" s="334"/>
      <c r="U543" s="334"/>
      <c r="W543" s="334"/>
      <c r="X543" s="334"/>
      <c r="Y543" s="246"/>
      <c r="Z543" s="246"/>
      <c r="AA543" s="246"/>
      <c r="AB543" s="246"/>
      <c r="AC543" s="246"/>
      <c r="AD543" s="246"/>
      <c r="AE543" s="246"/>
      <c r="AF543" s="246"/>
      <c r="AG543" s="246"/>
      <c r="AH543" s="246"/>
      <c r="AI543" s="246"/>
      <c r="AJ543" s="246"/>
      <c r="AK543" s="246"/>
      <c r="AL543" s="246"/>
      <c r="AM543" s="246"/>
      <c r="AN543" s="246"/>
      <c r="AO543" s="246"/>
      <c r="AP543" s="246"/>
      <c r="AQ543" s="246"/>
      <c r="AR543" s="246"/>
      <c r="AS543" s="246"/>
      <c r="AT543" s="246"/>
      <c r="AU543" s="246"/>
      <c r="AV543" s="246"/>
      <c r="AW543" s="246"/>
      <c r="AX543" s="246"/>
      <c r="AY543" s="246"/>
      <c r="AZ543" s="246"/>
      <c r="BA543" s="246"/>
      <c r="BB543" s="246"/>
      <c r="BC543" s="246"/>
      <c r="BD543" s="246"/>
      <c r="BE543" s="246"/>
      <c r="BF543" s="246"/>
      <c r="BG543" s="246"/>
      <c r="BH543" s="246"/>
      <c r="BI543" s="246"/>
      <c r="BJ543" s="246"/>
    </row>
    <row r="544" spans="2:62">
      <c r="B544" s="7"/>
      <c r="C544" s="334"/>
      <c r="D544" s="334"/>
      <c r="E544" s="399"/>
      <c r="F544" s="409"/>
      <c r="G544" s="334"/>
      <c r="H544" s="399"/>
      <c r="I544" s="409"/>
      <c r="J544" s="409"/>
      <c r="K544" s="399"/>
      <c r="L544" s="409"/>
      <c r="M544" s="399"/>
      <c r="N544" s="409"/>
      <c r="O544" s="399"/>
      <c r="P544" s="409"/>
      <c r="Q544" s="399"/>
      <c r="R544" s="399"/>
      <c r="S544" s="399"/>
      <c r="T544" s="334"/>
      <c r="U544" s="334"/>
      <c r="W544" s="334"/>
      <c r="X544" s="334"/>
      <c r="Y544" s="246"/>
      <c r="Z544" s="246"/>
      <c r="AA544" s="246"/>
      <c r="AB544" s="246"/>
      <c r="AC544" s="246"/>
      <c r="AD544" s="246"/>
      <c r="AE544" s="246"/>
      <c r="AF544" s="246"/>
      <c r="AG544" s="246"/>
      <c r="AH544" s="246"/>
      <c r="AI544" s="246"/>
      <c r="AJ544" s="246"/>
      <c r="AK544" s="246"/>
      <c r="AL544" s="246"/>
      <c r="AM544" s="246"/>
      <c r="AN544" s="246"/>
      <c r="AO544" s="246"/>
      <c r="AP544" s="246"/>
      <c r="AQ544" s="246"/>
      <c r="AR544" s="246"/>
      <c r="AS544" s="246"/>
      <c r="AT544" s="246"/>
      <c r="AU544" s="246"/>
      <c r="AV544" s="246"/>
      <c r="AW544" s="246"/>
      <c r="AX544" s="246"/>
      <c r="AY544" s="246"/>
      <c r="AZ544" s="246"/>
      <c r="BA544" s="246"/>
      <c r="BB544" s="246"/>
      <c r="BC544" s="246"/>
      <c r="BD544" s="246"/>
      <c r="BE544" s="246"/>
      <c r="BF544" s="246"/>
      <c r="BG544" s="246"/>
      <c r="BH544" s="246"/>
      <c r="BI544" s="246"/>
      <c r="BJ544" s="246"/>
    </row>
    <row r="545" spans="2:62">
      <c r="B545" s="7"/>
      <c r="C545" s="334"/>
      <c r="D545" s="334"/>
      <c r="E545" s="399"/>
      <c r="F545" s="410"/>
      <c r="G545" s="334"/>
      <c r="H545" s="399"/>
      <c r="I545" s="410"/>
      <c r="J545" s="409"/>
      <c r="K545" s="399"/>
      <c r="L545" s="409"/>
      <c r="M545" s="399"/>
      <c r="N545" s="409"/>
      <c r="O545" s="399"/>
      <c r="P545" s="334"/>
      <c r="Q545" s="334"/>
      <c r="R545" s="399"/>
      <c r="S545" s="399"/>
      <c r="T545" s="334"/>
      <c r="U545" s="334"/>
      <c r="W545" s="334"/>
      <c r="X545" s="334"/>
      <c r="Y545" s="246"/>
      <c r="Z545" s="246"/>
      <c r="AA545" s="246"/>
      <c r="AB545" s="246"/>
      <c r="AC545" s="246"/>
      <c r="AD545" s="246"/>
      <c r="AE545" s="246"/>
      <c r="AF545" s="246"/>
      <c r="AG545" s="246"/>
      <c r="AH545" s="246"/>
      <c r="AI545" s="246"/>
      <c r="AJ545" s="246"/>
      <c r="AK545" s="246"/>
      <c r="AL545" s="246"/>
      <c r="AM545" s="246"/>
      <c r="AN545" s="246"/>
      <c r="AO545" s="246"/>
      <c r="AP545" s="246"/>
      <c r="AQ545" s="246"/>
      <c r="AR545" s="246"/>
      <c r="AS545" s="246"/>
      <c r="AT545" s="246"/>
      <c r="AU545" s="246"/>
      <c r="AV545" s="246"/>
      <c r="AW545" s="246"/>
      <c r="AX545" s="246"/>
      <c r="AY545" s="246"/>
      <c r="AZ545" s="246"/>
      <c r="BA545" s="246"/>
      <c r="BB545" s="246"/>
      <c r="BC545" s="246"/>
      <c r="BD545" s="246"/>
      <c r="BE545" s="246"/>
      <c r="BF545" s="246"/>
      <c r="BG545" s="246"/>
      <c r="BH545" s="246"/>
      <c r="BI545" s="246"/>
      <c r="BJ545" s="246"/>
    </row>
    <row r="546" spans="2:62">
      <c r="B546" s="7"/>
      <c r="C546" s="398"/>
      <c r="D546" s="398"/>
      <c r="E546" s="401"/>
      <c r="F546" s="411"/>
      <c r="G546" s="398"/>
      <c r="H546" s="401"/>
      <c r="I546" s="411"/>
      <c r="J546" s="411"/>
      <c r="K546" s="401"/>
      <c r="L546" s="411"/>
      <c r="M546" s="401"/>
      <c r="N546" s="411"/>
      <c r="O546" s="401"/>
      <c r="P546" s="411"/>
      <c r="Q546" s="401"/>
      <c r="R546" s="401"/>
      <c r="S546" s="398"/>
      <c r="T546" s="334"/>
      <c r="U546" s="334"/>
      <c r="W546" s="334"/>
      <c r="X546" s="334"/>
      <c r="Y546" s="246"/>
      <c r="Z546" s="246"/>
      <c r="AA546" s="246"/>
      <c r="AB546" s="246"/>
      <c r="AC546" s="246"/>
      <c r="AD546" s="246"/>
      <c r="AE546" s="246"/>
      <c r="AF546" s="246"/>
      <c r="AG546" s="246"/>
      <c r="AH546" s="246"/>
      <c r="AI546" s="246"/>
      <c r="AJ546" s="246"/>
      <c r="AK546" s="246"/>
      <c r="AL546" s="246"/>
      <c r="AM546" s="246"/>
      <c r="AN546" s="246"/>
      <c r="AO546" s="246"/>
      <c r="AP546" s="246"/>
      <c r="AQ546" s="246"/>
      <c r="AR546" s="246"/>
      <c r="AS546" s="246"/>
      <c r="AT546" s="246"/>
      <c r="AU546" s="246"/>
      <c r="AV546" s="246"/>
      <c r="AW546" s="246"/>
      <c r="AX546" s="246"/>
      <c r="AY546" s="246"/>
      <c r="AZ546" s="246"/>
      <c r="BA546" s="246"/>
      <c r="BB546" s="246"/>
      <c r="BC546" s="246"/>
      <c r="BD546" s="246"/>
      <c r="BE546" s="246"/>
      <c r="BF546" s="246"/>
      <c r="BG546" s="246"/>
      <c r="BH546" s="246"/>
      <c r="BI546" s="246"/>
      <c r="BJ546" s="246"/>
    </row>
    <row r="547" spans="2:62">
      <c r="B547" s="7"/>
      <c r="C547" s="334"/>
      <c r="D547" s="334"/>
      <c r="E547" s="399"/>
      <c r="F547" s="334"/>
      <c r="G547" s="334"/>
      <c r="H547" s="399"/>
      <c r="I547" s="334"/>
      <c r="J547" s="409"/>
      <c r="K547" s="399"/>
      <c r="L547" s="409"/>
      <c r="M547" s="399"/>
      <c r="N547" s="409"/>
      <c r="O547" s="399"/>
      <c r="P547" s="398"/>
      <c r="Q547" s="411"/>
      <c r="R547" s="411"/>
      <c r="S547" s="334"/>
      <c r="T547" s="334"/>
      <c r="U547" s="334"/>
      <c r="W547" s="334"/>
      <c r="X547" s="334"/>
      <c r="Y547" s="246"/>
      <c r="Z547" s="246"/>
      <c r="AA547" s="246"/>
      <c r="AB547" s="246"/>
      <c r="AC547" s="246"/>
      <c r="AD547" s="246"/>
      <c r="AE547" s="246"/>
      <c r="AF547" s="246"/>
      <c r="AG547" s="246"/>
      <c r="AH547" s="246"/>
      <c r="AI547" s="246"/>
      <c r="AJ547" s="246"/>
      <c r="AK547" s="246"/>
      <c r="AL547" s="246"/>
      <c r="AM547" s="246"/>
      <c r="AN547" s="246"/>
      <c r="AO547" s="246"/>
      <c r="AP547" s="246"/>
      <c r="AQ547" s="246"/>
      <c r="AR547" s="246"/>
      <c r="AS547" s="246"/>
      <c r="AT547" s="246"/>
      <c r="AU547" s="246"/>
      <c r="AV547" s="246"/>
      <c r="AW547" s="246"/>
      <c r="AX547" s="246"/>
      <c r="AY547" s="246"/>
      <c r="AZ547" s="246"/>
      <c r="BA547" s="246"/>
      <c r="BB547" s="246"/>
      <c r="BC547" s="246"/>
      <c r="BD547" s="246"/>
      <c r="BE547" s="246"/>
      <c r="BF547" s="246"/>
      <c r="BG547" s="246"/>
      <c r="BH547" s="246"/>
      <c r="BI547" s="246"/>
      <c r="BJ547" s="246"/>
    </row>
    <row r="548" spans="2:62">
      <c r="B548" s="7"/>
      <c r="C548" s="334"/>
      <c r="D548" s="334"/>
      <c r="E548" s="399"/>
      <c r="F548" s="334"/>
      <c r="G548" s="334"/>
      <c r="H548" s="399"/>
      <c r="I548" s="334"/>
      <c r="J548" s="409"/>
      <c r="K548" s="399"/>
      <c r="L548" s="409"/>
      <c r="M548" s="399"/>
      <c r="N548" s="409"/>
      <c r="O548" s="399"/>
      <c r="P548" s="334"/>
      <c r="Q548" s="334"/>
      <c r="R548" s="399"/>
      <c r="S548" s="334"/>
      <c r="T548" s="334"/>
      <c r="U548" s="334"/>
      <c r="W548" s="334"/>
      <c r="X548" s="334"/>
      <c r="Y548" s="246"/>
      <c r="Z548" s="246"/>
      <c r="AA548" s="246"/>
      <c r="AB548" s="246"/>
      <c r="AC548" s="246"/>
      <c r="AD548" s="246"/>
      <c r="AE548" s="246"/>
      <c r="AF548" s="246"/>
      <c r="AG548" s="246"/>
      <c r="AH548" s="246"/>
      <c r="AI548" s="246"/>
      <c r="AJ548" s="246"/>
      <c r="AK548" s="246"/>
      <c r="AL548" s="246"/>
      <c r="AM548" s="246"/>
      <c r="AN548" s="246"/>
      <c r="AO548" s="246"/>
      <c r="AP548" s="246"/>
      <c r="AQ548" s="246"/>
      <c r="AR548" s="246"/>
      <c r="AS548" s="246"/>
      <c r="AT548" s="246"/>
      <c r="AU548" s="246"/>
      <c r="AV548" s="246"/>
      <c r="AW548" s="246"/>
      <c r="AX548" s="246"/>
      <c r="AY548" s="246"/>
      <c r="AZ548" s="246"/>
      <c r="BA548" s="246"/>
      <c r="BB548" s="246"/>
      <c r="BC548" s="246"/>
      <c r="BD548" s="246"/>
      <c r="BE548" s="246"/>
      <c r="BF548" s="246"/>
      <c r="BG548" s="246"/>
      <c r="BH548" s="246"/>
      <c r="BI548" s="246"/>
      <c r="BJ548" s="246"/>
    </row>
    <row r="549" spans="2:62">
      <c r="B549" s="7"/>
      <c r="C549" s="398"/>
      <c r="D549" s="334"/>
      <c r="E549" s="399"/>
      <c r="F549" s="334"/>
      <c r="G549" s="334"/>
      <c r="H549" s="399"/>
      <c r="I549" s="334"/>
      <c r="J549" s="409"/>
      <c r="K549" s="399"/>
      <c r="L549" s="409"/>
      <c r="M549" s="399"/>
      <c r="N549" s="409"/>
      <c r="O549" s="399"/>
      <c r="P549" s="334"/>
      <c r="Q549" s="334"/>
      <c r="R549" s="399"/>
      <c r="S549" s="334"/>
      <c r="T549" s="334"/>
      <c r="U549" s="334"/>
      <c r="W549" s="334"/>
      <c r="X549" s="334"/>
      <c r="Y549" s="246"/>
      <c r="Z549" s="246"/>
      <c r="AA549" s="246"/>
      <c r="AB549" s="246"/>
      <c r="AC549" s="246"/>
      <c r="AD549" s="246"/>
      <c r="AE549" s="246"/>
      <c r="AF549" s="246"/>
      <c r="AG549" s="246"/>
      <c r="AH549" s="246"/>
      <c r="AI549" s="246"/>
      <c r="AJ549" s="246"/>
      <c r="AK549" s="246"/>
      <c r="AL549" s="246"/>
      <c r="AM549" s="246"/>
      <c r="AN549" s="246"/>
      <c r="AO549" s="246"/>
      <c r="AP549" s="246"/>
      <c r="AQ549" s="246"/>
      <c r="AR549" s="246"/>
      <c r="AS549" s="246"/>
      <c r="AT549" s="246"/>
      <c r="AU549" s="246"/>
      <c r="AV549" s="246"/>
      <c r="AW549" s="246"/>
      <c r="AX549" s="246"/>
      <c r="AY549" s="246"/>
      <c r="AZ549" s="246"/>
      <c r="BA549" s="246"/>
      <c r="BB549" s="246"/>
      <c r="BC549" s="246"/>
      <c r="BD549" s="246"/>
      <c r="BE549" s="246"/>
      <c r="BF549" s="246"/>
      <c r="BG549" s="246"/>
      <c r="BH549" s="246"/>
      <c r="BI549" s="246"/>
      <c r="BJ549" s="246"/>
    </row>
    <row r="550" spans="2:62">
      <c r="B550" s="7"/>
      <c r="C550" s="334"/>
      <c r="D550" s="334"/>
      <c r="E550" s="334"/>
      <c r="F550" s="334"/>
      <c r="G550" s="334"/>
      <c r="H550" s="334"/>
      <c r="I550" s="334"/>
      <c r="J550" s="334"/>
      <c r="K550" s="334"/>
      <c r="L550" s="334"/>
      <c r="M550" s="334"/>
      <c r="N550" s="334"/>
      <c r="O550" s="334"/>
      <c r="P550" s="334"/>
      <c r="Q550" s="334"/>
      <c r="R550" s="334"/>
      <c r="S550" s="334"/>
      <c r="T550" s="334"/>
      <c r="U550" s="334"/>
      <c r="W550" s="334"/>
      <c r="X550" s="334"/>
      <c r="Y550" s="246"/>
      <c r="Z550" s="246"/>
      <c r="AA550" s="246"/>
      <c r="AB550" s="246"/>
      <c r="AC550" s="246"/>
      <c r="AD550" s="246"/>
      <c r="AE550" s="246"/>
      <c r="AF550" s="246"/>
      <c r="AG550" s="246"/>
      <c r="AH550" s="246"/>
      <c r="AI550" s="246"/>
      <c r="AJ550" s="246"/>
      <c r="AK550" s="246"/>
      <c r="AL550" s="246"/>
      <c r="AM550" s="246"/>
      <c r="AN550" s="246"/>
      <c r="AO550" s="246"/>
      <c r="AP550" s="246"/>
      <c r="AQ550" s="246"/>
      <c r="AR550" s="246"/>
      <c r="AS550" s="246"/>
      <c r="AT550" s="246"/>
      <c r="AU550" s="246"/>
      <c r="AV550" s="246"/>
      <c r="AW550" s="246"/>
      <c r="AX550" s="246"/>
      <c r="AY550" s="246"/>
      <c r="AZ550" s="246"/>
      <c r="BA550" s="246"/>
      <c r="BB550" s="246"/>
      <c r="BC550" s="246"/>
      <c r="BD550" s="246"/>
      <c r="BE550" s="246"/>
      <c r="BF550" s="246"/>
      <c r="BG550" s="246"/>
      <c r="BH550" s="246"/>
      <c r="BI550" s="246"/>
      <c r="BJ550" s="246"/>
    </row>
    <row r="551" spans="2:62">
      <c r="B551" s="7"/>
      <c r="C551" s="334"/>
      <c r="D551" s="334"/>
      <c r="E551" s="399"/>
      <c r="F551" s="409"/>
      <c r="G551" s="334"/>
      <c r="H551" s="399"/>
      <c r="I551" s="409"/>
      <c r="J551" s="409"/>
      <c r="K551" s="334"/>
      <c r="L551" s="409"/>
      <c r="M551" s="334"/>
      <c r="N551" s="409"/>
      <c r="O551" s="334"/>
      <c r="P551" s="409"/>
      <c r="Q551" s="399"/>
      <c r="R551" s="399"/>
      <c r="S551" s="334"/>
      <c r="T551" s="334"/>
      <c r="U551" s="334"/>
      <c r="W551" s="334"/>
      <c r="X551" s="334"/>
      <c r="Y551" s="246"/>
      <c r="Z551" s="246"/>
      <c r="AA551" s="246"/>
      <c r="AB551" s="246"/>
      <c r="AC551" s="246"/>
      <c r="AD551" s="246"/>
      <c r="AE551" s="246"/>
      <c r="AF551" s="246"/>
      <c r="AG551" s="246"/>
      <c r="AH551" s="246"/>
      <c r="AI551" s="246"/>
      <c r="AJ551" s="246"/>
      <c r="AK551" s="246"/>
      <c r="AL551" s="246"/>
      <c r="AM551" s="246"/>
      <c r="AN551" s="246"/>
      <c r="AO551" s="246"/>
      <c r="AP551" s="246"/>
      <c r="AQ551" s="246"/>
      <c r="AR551" s="246"/>
      <c r="AS551" s="246"/>
      <c r="AT551" s="246"/>
      <c r="AU551" s="246"/>
      <c r="AV551" s="246"/>
      <c r="AW551" s="246"/>
      <c r="AX551" s="246"/>
      <c r="AY551" s="246"/>
      <c r="AZ551" s="246"/>
      <c r="BA551" s="246"/>
      <c r="BB551" s="246"/>
      <c r="BC551" s="246"/>
      <c r="BD551" s="246"/>
      <c r="BE551" s="246"/>
      <c r="BF551" s="246"/>
      <c r="BG551" s="246"/>
      <c r="BH551" s="246"/>
      <c r="BI551" s="246"/>
      <c r="BJ551" s="246"/>
    </row>
    <row r="552" spans="2:62">
      <c r="B552" s="7"/>
      <c r="C552" s="334"/>
      <c r="D552" s="334"/>
      <c r="E552" s="399"/>
      <c r="F552" s="410"/>
      <c r="G552" s="334"/>
      <c r="H552" s="399"/>
      <c r="I552" s="410"/>
      <c r="J552" s="409"/>
      <c r="K552" s="399"/>
      <c r="L552" s="409"/>
      <c r="M552" s="399"/>
      <c r="N552" s="409"/>
      <c r="O552" s="399"/>
      <c r="P552" s="334"/>
      <c r="Q552" s="409"/>
      <c r="R552" s="409"/>
      <c r="S552" s="399"/>
      <c r="T552" s="334"/>
      <c r="U552" s="334"/>
      <c r="W552" s="334"/>
      <c r="X552" s="334"/>
      <c r="Y552" s="246"/>
      <c r="Z552" s="246"/>
      <c r="AA552" s="246"/>
      <c r="AB552" s="246"/>
      <c r="AC552" s="246"/>
      <c r="AD552" s="246"/>
      <c r="AE552" s="246"/>
      <c r="AF552" s="246"/>
      <c r="AG552" s="246"/>
      <c r="AH552" s="246"/>
      <c r="AI552" s="246"/>
      <c r="AJ552" s="246"/>
      <c r="AK552" s="246"/>
      <c r="AL552" s="246"/>
      <c r="AM552" s="246"/>
      <c r="AN552" s="246"/>
      <c r="AO552" s="246"/>
      <c r="AP552" s="246"/>
      <c r="AQ552" s="246"/>
      <c r="AR552" s="246"/>
      <c r="AS552" s="246"/>
      <c r="AT552" s="246"/>
      <c r="AU552" s="246"/>
      <c r="AV552" s="246"/>
      <c r="AW552" s="246"/>
      <c r="AX552" s="246"/>
      <c r="AY552" s="246"/>
      <c r="AZ552" s="246"/>
      <c r="BA552" s="246"/>
      <c r="BB552" s="246"/>
      <c r="BC552" s="246"/>
      <c r="BD552" s="246"/>
      <c r="BE552" s="246"/>
      <c r="BF552" s="246"/>
      <c r="BG552" s="246"/>
      <c r="BH552" s="246"/>
      <c r="BI552" s="246"/>
      <c r="BJ552" s="246"/>
    </row>
    <row r="553" spans="2:62">
      <c r="B553" s="7"/>
      <c r="C553" s="334"/>
      <c r="D553" s="334"/>
      <c r="E553" s="399"/>
      <c r="F553" s="410"/>
      <c r="G553" s="334"/>
      <c r="H553" s="399"/>
      <c r="I553" s="410"/>
      <c r="J553" s="409"/>
      <c r="K553" s="399"/>
      <c r="L553" s="409"/>
      <c r="M553" s="399"/>
      <c r="N553" s="409"/>
      <c r="O553" s="399"/>
      <c r="P553" s="334"/>
      <c r="Q553" s="334"/>
      <c r="R553" s="399"/>
      <c r="S553" s="399"/>
      <c r="T553" s="334"/>
      <c r="U553" s="334"/>
      <c r="W553" s="334"/>
      <c r="X553" s="334"/>
      <c r="Y553" s="246"/>
      <c r="Z553" s="246"/>
      <c r="AA553" s="246"/>
      <c r="AB553" s="246"/>
      <c r="AC553" s="246"/>
      <c r="AD553" s="246"/>
      <c r="AE553" s="246"/>
      <c r="AF553" s="246"/>
      <c r="AG553" s="246"/>
      <c r="AH553" s="246"/>
      <c r="AI553" s="246"/>
      <c r="AJ553" s="246"/>
      <c r="AK553" s="246"/>
      <c r="AL553" s="246"/>
      <c r="AM553" s="246"/>
      <c r="AN553" s="246"/>
      <c r="AO553" s="246"/>
      <c r="AP553" s="246"/>
      <c r="AQ553" s="246"/>
      <c r="AR553" s="246"/>
      <c r="AS553" s="246"/>
      <c r="AT553" s="246"/>
      <c r="AU553" s="246"/>
      <c r="AV553" s="246"/>
      <c r="AW553" s="246"/>
      <c r="AX553" s="246"/>
      <c r="AY553" s="246"/>
      <c r="AZ553" s="246"/>
      <c r="BA553" s="246"/>
      <c r="BB553" s="246"/>
      <c r="BC553" s="246"/>
      <c r="BD553" s="246"/>
      <c r="BE553" s="246"/>
      <c r="BF553" s="246"/>
      <c r="BG553" s="246"/>
      <c r="BH553" s="246"/>
      <c r="BI553" s="246"/>
      <c r="BJ553" s="246"/>
    </row>
    <row r="554" spans="2:62">
      <c r="B554" s="7"/>
      <c r="C554" s="334"/>
      <c r="D554" s="334"/>
      <c r="E554" s="399"/>
      <c r="F554" s="409"/>
      <c r="G554" s="334"/>
      <c r="H554" s="399"/>
      <c r="I554" s="409"/>
      <c r="J554" s="409"/>
      <c r="K554" s="399"/>
      <c r="L554" s="409"/>
      <c r="M554" s="399"/>
      <c r="N554" s="409"/>
      <c r="O554" s="399"/>
      <c r="P554" s="334"/>
      <c r="Q554" s="334"/>
      <c r="R554" s="399"/>
      <c r="S554" s="334"/>
      <c r="T554" s="334"/>
      <c r="U554" s="334"/>
      <c r="W554" s="334"/>
      <c r="X554" s="334"/>
      <c r="Y554" s="246"/>
      <c r="Z554" s="246"/>
      <c r="AA554" s="246"/>
      <c r="AB554" s="246"/>
      <c r="AC554" s="246"/>
      <c r="AD554" s="246"/>
      <c r="AE554" s="246"/>
      <c r="AF554" s="246"/>
      <c r="AG554" s="246"/>
      <c r="AH554" s="246"/>
      <c r="AI554" s="246"/>
      <c r="AJ554" s="246"/>
      <c r="AK554" s="246"/>
      <c r="AL554" s="246"/>
      <c r="AM554" s="246"/>
      <c r="AN554" s="246"/>
      <c r="AO554" s="246"/>
      <c r="AP554" s="246"/>
      <c r="AQ554" s="246"/>
      <c r="AR554" s="246"/>
      <c r="AS554" s="246"/>
      <c r="AT554" s="246"/>
      <c r="AU554" s="246"/>
      <c r="AV554" s="246"/>
      <c r="AW554" s="246"/>
      <c r="AX554" s="246"/>
      <c r="AY554" s="246"/>
      <c r="AZ554" s="246"/>
      <c r="BA554" s="246"/>
      <c r="BB554" s="246"/>
      <c r="BC554" s="246"/>
      <c r="BD554" s="246"/>
      <c r="BE554" s="246"/>
      <c r="BF554" s="246"/>
      <c r="BG554" s="246"/>
      <c r="BH554" s="246"/>
      <c r="BI554" s="246"/>
      <c r="BJ554" s="246"/>
    </row>
    <row r="555" spans="2:62">
      <c r="B555" s="7"/>
      <c r="C555" s="398"/>
      <c r="D555" s="398"/>
      <c r="E555" s="401"/>
      <c r="F555" s="411"/>
      <c r="G555" s="398"/>
      <c r="H555" s="401"/>
      <c r="I555" s="411"/>
      <c r="J555" s="411"/>
      <c r="K555" s="401"/>
      <c r="L555" s="411"/>
      <c r="M555" s="401"/>
      <c r="N555" s="411"/>
      <c r="O555" s="401"/>
      <c r="P555" s="411"/>
      <c r="Q555" s="398"/>
      <c r="R555" s="401"/>
      <c r="S555" s="398"/>
      <c r="T555" s="334"/>
      <c r="U555" s="334"/>
      <c r="W555" s="334"/>
      <c r="X555" s="334"/>
      <c r="Y555" s="246"/>
      <c r="Z555" s="246"/>
      <c r="AA555" s="246"/>
      <c r="AB555" s="246"/>
      <c r="AC555" s="246"/>
      <c r="AD555" s="246"/>
      <c r="AE555" s="246"/>
      <c r="AF555" s="246"/>
      <c r="AG555" s="246"/>
      <c r="AH555" s="246"/>
      <c r="AI555" s="246"/>
      <c r="AJ555" s="246"/>
      <c r="AK555" s="246"/>
      <c r="AL555" s="246"/>
      <c r="AM555" s="246"/>
      <c r="AN555" s="246"/>
      <c r="AO555" s="246"/>
      <c r="AP555" s="246"/>
      <c r="AQ555" s="246"/>
      <c r="AR555" s="246"/>
      <c r="AS555" s="246"/>
      <c r="AT555" s="246"/>
      <c r="AU555" s="246"/>
      <c r="AV555" s="246"/>
      <c r="AW555" s="246"/>
      <c r="AX555" s="246"/>
      <c r="AY555" s="246"/>
      <c r="AZ555" s="246"/>
      <c r="BA555" s="246"/>
      <c r="BB555" s="246"/>
      <c r="BC555" s="246"/>
      <c r="BD555" s="246"/>
      <c r="BE555" s="246"/>
      <c r="BF555" s="246"/>
      <c r="BG555" s="246"/>
      <c r="BH555" s="246"/>
      <c r="BI555" s="246"/>
      <c r="BJ555" s="246"/>
    </row>
    <row r="556" spans="2:62">
      <c r="B556" s="7"/>
      <c r="C556" s="334"/>
      <c r="D556" s="334"/>
      <c r="E556" s="334"/>
      <c r="F556" s="334"/>
      <c r="G556" s="334"/>
      <c r="H556" s="334"/>
      <c r="I556" s="334"/>
      <c r="J556" s="334"/>
      <c r="K556" s="334"/>
      <c r="L556" s="334"/>
      <c r="M556" s="334"/>
      <c r="N556" s="334"/>
      <c r="O556" s="334"/>
      <c r="P556" s="398"/>
      <c r="Q556" s="411"/>
      <c r="R556" s="411"/>
      <c r="S556" s="334"/>
      <c r="T556" s="334"/>
      <c r="U556" s="334"/>
      <c r="W556" s="334"/>
      <c r="X556" s="334"/>
      <c r="Y556" s="246"/>
      <c r="Z556" s="246"/>
      <c r="AA556" s="246"/>
      <c r="AB556" s="246"/>
      <c r="AC556" s="246"/>
      <c r="AD556" s="246"/>
      <c r="AE556" s="246"/>
      <c r="AF556" s="246"/>
      <c r="AG556" s="246"/>
      <c r="AH556" s="246"/>
      <c r="AI556" s="246"/>
      <c r="AJ556" s="246"/>
      <c r="AK556" s="246"/>
      <c r="AL556" s="246"/>
      <c r="AM556" s="246"/>
      <c r="AN556" s="246"/>
      <c r="AO556" s="246"/>
      <c r="AP556" s="246"/>
      <c r="AQ556" s="246"/>
      <c r="AR556" s="246"/>
      <c r="AS556" s="246"/>
      <c r="AT556" s="246"/>
      <c r="AU556" s="246"/>
      <c r="AV556" s="246"/>
      <c r="AW556" s="246"/>
      <c r="AX556" s="246"/>
      <c r="AY556" s="246"/>
      <c r="AZ556" s="246"/>
      <c r="BA556" s="246"/>
      <c r="BB556" s="246"/>
      <c r="BC556" s="246"/>
      <c r="BD556" s="246"/>
      <c r="BE556" s="246"/>
      <c r="BF556" s="246"/>
      <c r="BG556" s="246"/>
      <c r="BH556" s="246"/>
      <c r="BI556" s="246"/>
      <c r="BJ556" s="246"/>
    </row>
    <row r="557" spans="2:62">
      <c r="B557" s="7"/>
      <c r="C557" s="334"/>
      <c r="D557" s="334"/>
      <c r="E557" s="399"/>
      <c r="F557" s="409"/>
      <c r="G557" s="334"/>
      <c r="H557" s="399"/>
      <c r="I557" s="409"/>
      <c r="J557" s="409"/>
      <c r="K557" s="399"/>
      <c r="L557" s="409"/>
      <c r="M557" s="399"/>
      <c r="N557" s="409"/>
      <c r="O557" s="399"/>
      <c r="P557" s="334"/>
      <c r="Q557" s="334"/>
      <c r="R557" s="399"/>
      <c r="S557" s="334"/>
      <c r="T557" s="334"/>
      <c r="U557" s="334"/>
      <c r="W557" s="334"/>
      <c r="X557" s="334"/>
      <c r="Y557" s="246"/>
      <c r="Z557" s="246"/>
      <c r="AA557" s="246"/>
      <c r="AB557" s="246"/>
      <c r="AC557" s="246"/>
      <c r="AD557" s="246"/>
      <c r="AE557" s="246"/>
      <c r="AF557" s="246"/>
      <c r="AG557" s="246"/>
      <c r="AH557" s="246"/>
      <c r="AI557" s="246"/>
      <c r="AJ557" s="246"/>
      <c r="AK557" s="246"/>
      <c r="AL557" s="246"/>
      <c r="AM557" s="246"/>
      <c r="AN557" s="246"/>
      <c r="AO557" s="246"/>
      <c r="AP557" s="246"/>
      <c r="AQ557" s="246"/>
      <c r="AR557" s="246"/>
      <c r="AS557" s="246"/>
      <c r="AT557" s="246"/>
      <c r="AU557" s="246"/>
      <c r="AV557" s="246"/>
      <c r="AW557" s="246"/>
      <c r="AX557" s="246"/>
      <c r="AY557" s="246"/>
      <c r="AZ557" s="246"/>
      <c r="BA557" s="246"/>
      <c r="BB557" s="246"/>
      <c r="BC557" s="246"/>
      <c r="BD557" s="246"/>
      <c r="BE557" s="246"/>
      <c r="BF557" s="246"/>
      <c r="BG557" s="246"/>
      <c r="BH557" s="246"/>
      <c r="BI557" s="246"/>
      <c r="BJ557" s="246"/>
    </row>
    <row r="558" spans="2:62">
      <c r="B558" s="7"/>
      <c r="C558" s="398"/>
      <c r="D558" s="334"/>
      <c r="E558" s="399"/>
      <c r="F558" s="409"/>
      <c r="G558" s="334"/>
      <c r="H558" s="399"/>
      <c r="I558" s="409"/>
      <c r="J558" s="409"/>
      <c r="K558" s="399"/>
      <c r="L558" s="409"/>
      <c r="M558" s="399"/>
      <c r="N558" s="409"/>
      <c r="O558" s="399"/>
      <c r="P558" s="334"/>
      <c r="Q558" s="334"/>
      <c r="R558" s="399"/>
      <c r="S558" s="334"/>
      <c r="T558" s="334"/>
      <c r="U558" s="334"/>
      <c r="W558" s="334"/>
      <c r="X558" s="334"/>
      <c r="Y558" s="246"/>
      <c r="Z558" s="246"/>
      <c r="AA558" s="246"/>
      <c r="AB558" s="246"/>
      <c r="AC558" s="246"/>
      <c r="AD558" s="246"/>
      <c r="AE558" s="246"/>
      <c r="AF558" s="246"/>
      <c r="AG558" s="246"/>
      <c r="AH558" s="246"/>
      <c r="AI558" s="246"/>
      <c r="AJ558" s="246"/>
      <c r="AK558" s="246"/>
      <c r="AL558" s="246"/>
      <c r="AM558" s="246"/>
      <c r="AN558" s="246"/>
      <c r="AO558" s="246"/>
      <c r="AP558" s="246"/>
      <c r="AQ558" s="246"/>
      <c r="AR558" s="246"/>
      <c r="AS558" s="246"/>
      <c r="AT558" s="246"/>
      <c r="AU558" s="246"/>
      <c r="AV558" s="246"/>
      <c r="AW558" s="246"/>
      <c r="AX558" s="246"/>
      <c r="AY558" s="246"/>
      <c r="AZ558" s="246"/>
      <c r="BA558" s="246"/>
      <c r="BB558" s="246"/>
      <c r="BC558" s="246"/>
      <c r="BD558" s="246"/>
      <c r="BE558" s="246"/>
      <c r="BF558" s="246"/>
      <c r="BG558" s="246"/>
      <c r="BH558" s="246"/>
      <c r="BI558" s="246"/>
      <c r="BJ558" s="246"/>
    </row>
    <row r="559" spans="2:62">
      <c r="B559" s="7"/>
      <c r="C559" s="334"/>
      <c r="D559" s="334"/>
      <c r="E559" s="399"/>
      <c r="F559" s="409"/>
      <c r="G559" s="334"/>
      <c r="H559" s="399"/>
      <c r="I559" s="409"/>
      <c r="J559" s="409"/>
      <c r="K559" s="399"/>
      <c r="L559" s="409"/>
      <c r="M559" s="399"/>
      <c r="N559" s="409"/>
      <c r="O559" s="399"/>
      <c r="P559" s="334"/>
      <c r="Q559" s="334"/>
      <c r="R559" s="399"/>
      <c r="S559" s="334"/>
      <c r="T559" s="334"/>
      <c r="U559" s="334"/>
      <c r="W559" s="334"/>
      <c r="X559" s="334"/>
      <c r="Y559" s="246"/>
      <c r="Z559" s="246"/>
      <c r="AA559" s="246"/>
      <c r="AB559" s="246"/>
      <c r="AC559" s="246"/>
      <c r="AD559" s="246"/>
      <c r="AE559" s="246"/>
      <c r="AF559" s="246"/>
      <c r="AG559" s="246"/>
      <c r="AH559" s="246"/>
      <c r="AI559" s="246"/>
      <c r="AJ559" s="246"/>
      <c r="AK559" s="246"/>
      <c r="AL559" s="246"/>
      <c r="AM559" s="246"/>
      <c r="AN559" s="246"/>
      <c r="AO559" s="246"/>
      <c r="AP559" s="246"/>
      <c r="AQ559" s="246"/>
      <c r="AR559" s="246"/>
      <c r="AS559" s="246"/>
      <c r="AT559" s="246"/>
      <c r="AU559" s="246"/>
      <c r="AV559" s="246"/>
      <c r="AW559" s="246"/>
      <c r="AX559" s="246"/>
      <c r="AY559" s="246"/>
      <c r="AZ559" s="246"/>
      <c r="BA559" s="246"/>
      <c r="BB559" s="246"/>
      <c r="BC559" s="246"/>
      <c r="BD559" s="246"/>
      <c r="BE559" s="246"/>
      <c r="BF559" s="246"/>
      <c r="BG559" s="246"/>
      <c r="BH559" s="246"/>
      <c r="BI559" s="246"/>
      <c r="BJ559" s="246"/>
    </row>
    <row r="560" spans="2:62">
      <c r="B560" s="7"/>
      <c r="C560" s="334"/>
      <c r="D560" s="334"/>
      <c r="E560" s="334"/>
      <c r="F560" s="334"/>
      <c r="G560" s="334"/>
      <c r="H560" s="334"/>
      <c r="I560" s="334"/>
      <c r="J560" s="334"/>
      <c r="K560" s="334"/>
      <c r="L560" s="334"/>
      <c r="M560" s="334"/>
      <c r="N560" s="334"/>
      <c r="O560" s="334"/>
      <c r="P560" s="409"/>
      <c r="Q560" s="399"/>
      <c r="R560" s="334"/>
      <c r="S560" s="399"/>
      <c r="T560" s="334"/>
      <c r="U560" s="334"/>
      <c r="W560" s="334"/>
      <c r="X560" s="334"/>
      <c r="Y560" s="246"/>
      <c r="Z560" s="246"/>
      <c r="AA560" s="246"/>
      <c r="AB560" s="246"/>
      <c r="AC560" s="246"/>
      <c r="AD560" s="246"/>
      <c r="AE560" s="246"/>
      <c r="AF560" s="246"/>
      <c r="AG560" s="246"/>
      <c r="AH560" s="246"/>
      <c r="AI560" s="246"/>
      <c r="AJ560" s="246"/>
      <c r="AK560" s="246"/>
      <c r="AL560" s="246"/>
      <c r="AM560" s="246"/>
      <c r="AN560" s="246"/>
      <c r="AO560" s="246"/>
      <c r="AP560" s="246"/>
      <c r="AQ560" s="246"/>
      <c r="AR560" s="246"/>
      <c r="AS560" s="246"/>
      <c r="AT560" s="246"/>
      <c r="AU560" s="246"/>
      <c r="AV560" s="246"/>
      <c r="AW560" s="246"/>
      <c r="AX560" s="246"/>
      <c r="AY560" s="246"/>
      <c r="AZ560" s="246"/>
      <c r="BA560" s="246"/>
      <c r="BB560" s="246"/>
      <c r="BC560" s="246"/>
      <c r="BD560" s="246"/>
      <c r="BE560" s="246"/>
      <c r="BF560" s="246"/>
      <c r="BG560" s="246"/>
      <c r="BH560" s="246"/>
      <c r="BI560" s="246"/>
      <c r="BJ560" s="246"/>
    </row>
    <row r="561" spans="2:62">
      <c r="B561" s="7"/>
      <c r="C561" s="334"/>
      <c r="D561" s="334"/>
      <c r="E561" s="334"/>
      <c r="F561" s="334"/>
      <c r="G561" s="334"/>
      <c r="H561" s="334"/>
      <c r="I561" s="334"/>
      <c r="J561" s="334"/>
      <c r="K561" s="334"/>
      <c r="L561" s="334"/>
      <c r="M561" s="334"/>
      <c r="N561" s="334"/>
      <c r="O561" s="334"/>
      <c r="P561" s="409"/>
      <c r="Q561" s="399"/>
      <c r="R561" s="334"/>
      <c r="S561" s="399"/>
      <c r="T561" s="334"/>
      <c r="U561" s="334"/>
      <c r="W561" s="334"/>
      <c r="X561" s="334"/>
      <c r="Y561" s="246"/>
      <c r="Z561" s="246"/>
      <c r="AA561" s="246"/>
      <c r="AB561" s="246"/>
      <c r="AC561" s="246"/>
      <c r="AD561" s="246"/>
      <c r="AE561" s="246"/>
      <c r="AF561" s="246"/>
      <c r="AG561" s="246"/>
      <c r="AH561" s="246"/>
      <c r="AI561" s="246"/>
      <c r="AJ561" s="246"/>
      <c r="AK561" s="246"/>
      <c r="AL561" s="246"/>
      <c r="AM561" s="246"/>
      <c r="AN561" s="246"/>
      <c r="AO561" s="246"/>
      <c r="AP561" s="246"/>
      <c r="AQ561" s="246"/>
      <c r="AR561" s="246"/>
      <c r="AS561" s="246"/>
      <c r="AT561" s="246"/>
      <c r="AU561" s="246"/>
      <c r="AV561" s="246"/>
      <c r="AW561" s="246"/>
      <c r="AX561" s="246"/>
      <c r="AY561" s="246"/>
      <c r="AZ561" s="246"/>
      <c r="BA561" s="246"/>
      <c r="BB561" s="246"/>
      <c r="BC561" s="246"/>
      <c r="BD561" s="246"/>
      <c r="BE561" s="246"/>
      <c r="BF561" s="246"/>
      <c r="BG561" s="246"/>
      <c r="BH561" s="246"/>
      <c r="BI561" s="246"/>
      <c r="BJ561" s="246"/>
    </row>
    <row r="562" spans="2:62">
      <c r="B562" s="7"/>
      <c r="C562" s="334"/>
      <c r="D562" s="334"/>
      <c r="E562" s="334"/>
      <c r="F562" s="334"/>
      <c r="G562" s="334"/>
      <c r="H562" s="334"/>
      <c r="I562" s="334"/>
      <c r="J562" s="334"/>
      <c r="K562" s="334"/>
      <c r="L562" s="334"/>
      <c r="M562" s="334"/>
      <c r="N562" s="334"/>
      <c r="O562" s="334"/>
      <c r="P562" s="409"/>
      <c r="Q562" s="399"/>
      <c r="R562" s="334"/>
      <c r="S562" s="399"/>
      <c r="T562" s="334"/>
      <c r="U562" s="334"/>
      <c r="W562" s="334"/>
      <c r="X562" s="334"/>
      <c r="Y562" s="246"/>
      <c r="Z562" s="246"/>
      <c r="AA562" s="246"/>
      <c r="AB562" s="246"/>
      <c r="AC562" s="246"/>
      <c r="AD562" s="246"/>
      <c r="AE562" s="246"/>
      <c r="AF562" s="246"/>
      <c r="AG562" s="246"/>
      <c r="AH562" s="246"/>
      <c r="AI562" s="246"/>
      <c r="AJ562" s="246"/>
      <c r="AK562" s="246"/>
      <c r="AL562" s="246"/>
      <c r="AM562" s="246"/>
      <c r="AN562" s="246"/>
      <c r="AO562" s="246"/>
      <c r="AP562" s="246"/>
      <c r="AQ562" s="246"/>
      <c r="AR562" s="246"/>
      <c r="AS562" s="246"/>
      <c r="AT562" s="246"/>
      <c r="AU562" s="246"/>
      <c r="AV562" s="246"/>
      <c r="AW562" s="246"/>
      <c r="AX562" s="246"/>
      <c r="AY562" s="246"/>
      <c r="AZ562" s="246"/>
      <c r="BA562" s="246"/>
      <c r="BB562" s="246"/>
      <c r="BC562" s="246"/>
      <c r="BD562" s="246"/>
      <c r="BE562" s="246"/>
      <c r="BF562" s="246"/>
      <c r="BG562" s="246"/>
      <c r="BH562" s="246"/>
      <c r="BI562" s="246"/>
      <c r="BJ562" s="246"/>
    </row>
    <row r="563" spans="2:62">
      <c r="B563" s="7"/>
      <c r="C563" s="334"/>
      <c r="D563" s="334"/>
      <c r="E563" s="334"/>
      <c r="F563" s="334"/>
      <c r="G563" s="334"/>
      <c r="H563" s="334"/>
      <c r="I563" s="334"/>
      <c r="J563" s="334"/>
      <c r="K563" s="334"/>
      <c r="L563" s="334"/>
      <c r="M563" s="334"/>
      <c r="N563" s="334"/>
      <c r="O563" s="334"/>
      <c r="P563" s="409"/>
      <c r="Q563" s="399"/>
      <c r="R563" s="334"/>
      <c r="S563" s="399"/>
      <c r="T563" s="334"/>
      <c r="U563" s="334"/>
      <c r="W563" s="334"/>
      <c r="X563" s="334"/>
      <c r="Y563" s="246"/>
      <c r="Z563" s="246"/>
      <c r="AA563" s="246"/>
      <c r="AB563" s="246"/>
      <c r="AC563" s="246"/>
      <c r="AD563" s="246"/>
      <c r="AE563" s="246"/>
      <c r="AF563" s="246"/>
      <c r="AG563" s="246"/>
      <c r="AH563" s="246"/>
      <c r="AI563" s="246"/>
      <c r="AJ563" s="246"/>
      <c r="AK563" s="246"/>
      <c r="AL563" s="246"/>
      <c r="AM563" s="246"/>
      <c r="AN563" s="246"/>
      <c r="AO563" s="246"/>
      <c r="AP563" s="246"/>
      <c r="AQ563" s="246"/>
      <c r="AR563" s="246"/>
      <c r="AS563" s="246"/>
      <c r="AT563" s="246"/>
      <c r="AU563" s="246"/>
      <c r="AV563" s="246"/>
      <c r="AW563" s="246"/>
      <c r="AX563" s="246"/>
      <c r="AY563" s="246"/>
      <c r="AZ563" s="246"/>
      <c r="BA563" s="246"/>
      <c r="BB563" s="246"/>
      <c r="BC563" s="246"/>
      <c r="BD563" s="246"/>
      <c r="BE563" s="246"/>
      <c r="BF563" s="246"/>
      <c r="BG563" s="246"/>
      <c r="BH563" s="246"/>
      <c r="BI563" s="246"/>
      <c r="BJ563" s="246"/>
    </row>
    <row r="564" spans="2:62">
      <c r="B564" s="7"/>
      <c r="C564" s="334"/>
      <c r="D564" s="334"/>
      <c r="E564" s="334"/>
      <c r="F564" s="334"/>
      <c r="G564" s="334"/>
      <c r="H564" s="334"/>
      <c r="I564" s="334"/>
      <c r="J564" s="334"/>
      <c r="K564" s="334"/>
      <c r="L564" s="334"/>
      <c r="M564" s="334"/>
      <c r="N564" s="334"/>
      <c r="O564" s="334"/>
      <c r="P564" s="409"/>
      <c r="Q564" s="399"/>
      <c r="R564" s="334"/>
      <c r="S564" s="399"/>
      <c r="T564" s="334"/>
      <c r="U564" s="334"/>
      <c r="W564" s="334"/>
      <c r="X564" s="334"/>
      <c r="Y564" s="246"/>
      <c r="Z564" s="246"/>
      <c r="AA564" s="246"/>
      <c r="AB564" s="246"/>
      <c r="AC564" s="246"/>
      <c r="AD564" s="246"/>
      <c r="AE564" s="246"/>
      <c r="AF564" s="246"/>
      <c r="AG564" s="246"/>
      <c r="AH564" s="246"/>
      <c r="AI564" s="246"/>
      <c r="AJ564" s="246"/>
      <c r="AK564" s="246"/>
      <c r="AL564" s="246"/>
      <c r="AM564" s="246"/>
      <c r="AN564" s="246"/>
      <c r="AO564" s="246"/>
      <c r="AP564" s="246"/>
      <c r="AQ564" s="246"/>
      <c r="AR564" s="246"/>
      <c r="AS564" s="246"/>
      <c r="AT564" s="246"/>
      <c r="AU564" s="246"/>
      <c r="AV564" s="246"/>
      <c r="AW564" s="246"/>
      <c r="AX564" s="246"/>
      <c r="AY564" s="246"/>
      <c r="AZ564" s="246"/>
      <c r="BA564" s="246"/>
      <c r="BB564" s="246"/>
      <c r="BC564" s="246"/>
      <c r="BD564" s="246"/>
      <c r="BE564" s="246"/>
      <c r="BF564" s="246"/>
      <c r="BG564" s="246"/>
      <c r="BH564" s="246"/>
      <c r="BI564" s="246"/>
      <c r="BJ564" s="246"/>
    </row>
    <row r="565" spans="2:62">
      <c r="B565" s="7"/>
      <c r="C565" s="334"/>
      <c r="D565" s="334"/>
      <c r="E565" s="334"/>
      <c r="F565" s="334"/>
      <c r="G565" s="334"/>
      <c r="H565" s="334"/>
      <c r="I565" s="334"/>
      <c r="J565" s="334"/>
      <c r="K565" s="334"/>
      <c r="L565" s="334"/>
      <c r="M565" s="334"/>
      <c r="N565" s="334"/>
      <c r="O565" s="334"/>
      <c r="P565" s="409"/>
      <c r="Q565" s="399"/>
      <c r="R565" s="334"/>
      <c r="S565" s="399"/>
      <c r="T565" s="334"/>
      <c r="U565" s="334"/>
      <c r="W565" s="334"/>
      <c r="X565" s="334"/>
      <c r="Y565" s="246"/>
      <c r="Z565" s="246"/>
      <c r="AA565" s="246"/>
      <c r="AB565" s="246"/>
      <c r="AC565" s="246"/>
      <c r="AD565" s="246"/>
      <c r="AE565" s="246"/>
      <c r="AF565" s="246"/>
      <c r="AG565" s="246"/>
      <c r="AH565" s="246"/>
      <c r="AI565" s="246"/>
      <c r="AJ565" s="246"/>
      <c r="AK565" s="246"/>
      <c r="AL565" s="246"/>
      <c r="AM565" s="246"/>
      <c r="AN565" s="246"/>
      <c r="AO565" s="246"/>
      <c r="AP565" s="246"/>
      <c r="AQ565" s="246"/>
      <c r="AR565" s="246"/>
      <c r="AS565" s="246"/>
      <c r="AT565" s="246"/>
      <c r="AU565" s="246"/>
      <c r="AV565" s="246"/>
      <c r="AW565" s="246"/>
      <c r="AX565" s="246"/>
      <c r="AY565" s="246"/>
      <c r="AZ565" s="246"/>
      <c r="BA565" s="246"/>
      <c r="BB565" s="246"/>
      <c r="BC565" s="246"/>
      <c r="BD565" s="246"/>
      <c r="BE565" s="246"/>
      <c r="BF565" s="246"/>
      <c r="BG565" s="246"/>
      <c r="BH565" s="246"/>
      <c r="BI565" s="246"/>
      <c r="BJ565" s="246"/>
    </row>
    <row r="566" spans="2:62">
      <c r="B566" s="7"/>
      <c r="C566" s="334"/>
      <c r="D566" s="334"/>
      <c r="E566" s="334"/>
      <c r="F566" s="334"/>
      <c r="G566" s="334"/>
      <c r="H566" s="334"/>
      <c r="I566" s="334"/>
      <c r="J566" s="334"/>
      <c r="K566" s="334"/>
      <c r="L566" s="334"/>
      <c r="M566" s="334"/>
      <c r="N566" s="334"/>
      <c r="O566" s="334"/>
      <c r="P566" s="409"/>
      <c r="Q566" s="399"/>
      <c r="R566" s="334"/>
      <c r="S566" s="399"/>
      <c r="T566" s="334"/>
      <c r="U566" s="334"/>
      <c r="W566" s="334"/>
      <c r="X566" s="334"/>
      <c r="Y566" s="246"/>
      <c r="Z566" s="246"/>
      <c r="AA566" s="246"/>
      <c r="AB566" s="246"/>
      <c r="AC566" s="246"/>
      <c r="AD566" s="246"/>
      <c r="AE566" s="246"/>
      <c r="AF566" s="246"/>
      <c r="AG566" s="246"/>
      <c r="AH566" s="246"/>
      <c r="AI566" s="246"/>
      <c r="AJ566" s="246"/>
      <c r="AK566" s="246"/>
      <c r="AL566" s="246"/>
      <c r="AM566" s="246"/>
      <c r="AN566" s="246"/>
      <c r="AO566" s="246"/>
      <c r="AP566" s="246"/>
      <c r="AQ566" s="246"/>
      <c r="AR566" s="246"/>
      <c r="AS566" s="246"/>
      <c r="AT566" s="246"/>
      <c r="AU566" s="246"/>
      <c r="AV566" s="246"/>
      <c r="AW566" s="246"/>
      <c r="AX566" s="246"/>
      <c r="AY566" s="246"/>
      <c r="AZ566" s="246"/>
      <c r="BA566" s="246"/>
      <c r="BB566" s="246"/>
      <c r="BC566" s="246"/>
      <c r="BD566" s="246"/>
      <c r="BE566" s="246"/>
      <c r="BF566" s="246"/>
      <c r="BG566" s="246"/>
      <c r="BH566" s="246"/>
      <c r="BI566" s="246"/>
      <c r="BJ566" s="246"/>
    </row>
    <row r="567" spans="2:62">
      <c r="B567" s="7"/>
      <c r="C567" s="334"/>
      <c r="D567" s="334"/>
      <c r="E567" s="334"/>
      <c r="F567" s="334"/>
      <c r="G567" s="334"/>
      <c r="H567" s="334"/>
      <c r="I567" s="334"/>
      <c r="J567" s="334"/>
      <c r="K567" s="334"/>
      <c r="L567" s="334"/>
      <c r="M567" s="334"/>
      <c r="N567" s="334"/>
      <c r="O567" s="334"/>
      <c r="P567" s="409"/>
      <c r="Q567" s="399"/>
      <c r="R567" s="334"/>
      <c r="S567" s="399"/>
      <c r="T567" s="334"/>
      <c r="U567" s="334"/>
      <c r="W567" s="334"/>
      <c r="X567" s="334"/>
      <c r="Y567" s="246"/>
      <c r="Z567" s="246"/>
      <c r="AA567" s="246"/>
      <c r="AB567" s="246"/>
      <c r="AC567" s="246"/>
      <c r="AD567" s="246"/>
      <c r="AE567" s="246"/>
      <c r="AF567" s="246"/>
      <c r="AG567" s="246"/>
      <c r="AH567" s="246"/>
      <c r="AI567" s="246"/>
      <c r="AJ567" s="246"/>
      <c r="AK567" s="246"/>
      <c r="AL567" s="246"/>
      <c r="AM567" s="246"/>
      <c r="AN567" s="246"/>
      <c r="AO567" s="246"/>
      <c r="AP567" s="246"/>
      <c r="AQ567" s="246"/>
      <c r="AR567" s="246"/>
      <c r="AS567" s="246"/>
      <c r="AT567" s="246"/>
      <c r="AU567" s="246"/>
      <c r="AV567" s="246"/>
      <c r="AW567" s="246"/>
      <c r="AX567" s="246"/>
      <c r="AY567" s="246"/>
      <c r="AZ567" s="246"/>
      <c r="BA567" s="246"/>
      <c r="BB567" s="246"/>
      <c r="BC567" s="246"/>
      <c r="BD567" s="246"/>
      <c r="BE567" s="246"/>
      <c r="BF567" s="246"/>
      <c r="BG567" s="246"/>
      <c r="BH567" s="246"/>
      <c r="BI567" s="246"/>
      <c r="BJ567" s="246"/>
    </row>
    <row r="568" spans="2:62">
      <c r="B568" s="7"/>
      <c r="C568" s="398"/>
      <c r="D568" s="398"/>
      <c r="E568" s="334"/>
      <c r="F568" s="334"/>
      <c r="G568" s="398"/>
      <c r="H568" s="334"/>
      <c r="I568" s="334"/>
      <c r="J568" s="334"/>
      <c r="K568" s="334"/>
      <c r="L568" s="334"/>
      <c r="M568" s="334"/>
      <c r="N568" s="334"/>
      <c r="O568" s="334"/>
      <c r="P568" s="411"/>
      <c r="Q568" s="401"/>
      <c r="R568" s="334"/>
      <c r="S568" s="401"/>
      <c r="T568" s="334"/>
      <c r="U568" s="334"/>
      <c r="W568" s="334"/>
      <c r="X568" s="334"/>
      <c r="Y568" s="246"/>
      <c r="Z568" s="246"/>
      <c r="AA568" s="246"/>
      <c r="AB568" s="246"/>
      <c r="AC568" s="246"/>
      <c r="AD568" s="246"/>
      <c r="AE568" s="246"/>
      <c r="AF568" s="246"/>
      <c r="AG568" s="246"/>
      <c r="AH568" s="246"/>
      <c r="AI568" s="246"/>
      <c r="AJ568" s="246"/>
      <c r="AK568" s="246"/>
      <c r="AL568" s="246"/>
      <c r="AM568" s="246"/>
      <c r="AN568" s="246"/>
      <c r="AO568" s="246"/>
      <c r="AP568" s="246"/>
      <c r="AQ568" s="246"/>
      <c r="AR568" s="246"/>
      <c r="AS568" s="246"/>
      <c r="AT568" s="246"/>
      <c r="AU568" s="246"/>
      <c r="AV568" s="246"/>
      <c r="AW568" s="246"/>
      <c r="AX568" s="246"/>
      <c r="AY568" s="246"/>
      <c r="AZ568" s="246"/>
      <c r="BA568" s="246"/>
      <c r="BB568" s="246"/>
      <c r="BC568" s="246"/>
      <c r="BD568" s="246"/>
      <c r="BE568" s="246"/>
      <c r="BF568" s="246"/>
      <c r="BG568" s="246"/>
      <c r="BH568" s="246"/>
      <c r="BI568" s="246"/>
      <c r="BJ568" s="246"/>
    </row>
    <row r="569" spans="2:62">
      <c r="B569" s="7"/>
      <c r="C569" s="334"/>
      <c r="D569" s="334"/>
      <c r="E569" s="334"/>
      <c r="F569" s="334"/>
      <c r="G569" s="334"/>
      <c r="H569" s="334"/>
      <c r="I569" s="334"/>
      <c r="J569" s="334"/>
      <c r="K569" s="334"/>
      <c r="L569" s="334"/>
      <c r="M569" s="334"/>
      <c r="N569" s="334"/>
      <c r="O569" s="334"/>
      <c r="P569" s="411"/>
      <c r="Q569" s="411"/>
      <c r="R569" s="334"/>
      <c r="S569" s="334"/>
      <c r="T569" s="334"/>
      <c r="U569" s="334"/>
      <c r="W569" s="334"/>
      <c r="X569" s="334"/>
      <c r="Y569" s="246"/>
      <c r="Z569" s="246"/>
      <c r="AA569" s="246"/>
      <c r="AB569" s="246"/>
      <c r="AC569" s="246"/>
      <c r="AD569" s="246"/>
      <c r="AE569" s="246"/>
      <c r="AF569" s="246"/>
      <c r="AG569" s="246"/>
      <c r="AH569" s="246"/>
      <c r="AI569" s="246"/>
      <c r="AJ569" s="246"/>
      <c r="AK569" s="246"/>
      <c r="AL569" s="246"/>
      <c r="AM569" s="246"/>
      <c r="AN569" s="246"/>
      <c r="AO569" s="246"/>
      <c r="AP569" s="246"/>
      <c r="AQ569" s="246"/>
      <c r="AR569" s="246"/>
      <c r="AS569" s="246"/>
      <c r="AT569" s="246"/>
      <c r="AU569" s="246"/>
      <c r="AV569" s="246"/>
      <c r="AW569" s="246"/>
      <c r="AX569" s="246"/>
      <c r="AY569" s="246"/>
      <c r="AZ569" s="246"/>
      <c r="BA569" s="246"/>
      <c r="BB569" s="246"/>
      <c r="BC569" s="246"/>
      <c r="BD569" s="246"/>
      <c r="BE569" s="246"/>
      <c r="BF569" s="246"/>
      <c r="BG569" s="246"/>
      <c r="BH569" s="246"/>
      <c r="BI569" s="246"/>
      <c r="BJ569" s="246"/>
    </row>
    <row r="570" spans="2:62">
      <c r="B570" s="7"/>
      <c r="C570" s="334"/>
      <c r="D570" s="334"/>
      <c r="E570" s="334"/>
      <c r="F570" s="334"/>
      <c r="G570" s="334"/>
      <c r="H570" s="334"/>
      <c r="I570" s="334"/>
      <c r="J570" s="334"/>
      <c r="K570" s="334"/>
      <c r="L570" s="334"/>
      <c r="M570" s="334"/>
      <c r="N570" s="334"/>
      <c r="O570" s="334"/>
      <c r="P570" s="409"/>
      <c r="Q570" s="399"/>
      <c r="R570" s="334"/>
      <c r="S570" s="399"/>
      <c r="T570" s="334"/>
      <c r="U570" s="334"/>
      <c r="W570" s="334"/>
      <c r="X570" s="334"/>
      <c r="Y570" s="246"/>
      <c r="Z570" s="246"/>
      <c r="AA570" s="246"/>
      <c r="AB570" s="246"/>
      <c r="AC570" s="246"/>
      <c r="AD570" s="246"/>
      <c r="AE570" s="246"/>
      <c r="AF570" s="246"/>
      <c r="AG570" s="246"/>
      <c r="AH570" s="246"/>
      <c r="AI570" s="246"/>
      <c r="AJ570" s="246"/>
      <c r="AK570" s="246"/>
      <c r="AL570" s="246"/>
      <c r="AM570" s="246"/>
      <c r="AN570" s="246"/>
      <c r="AO570" s="246"/>
      <c r="AP570" s="246"/>
      <c r="AQ570" s="246"/>
      <c r="AR570" s="246"/>
      <c r="AS570" s="246"/>
      <c r="AT570" s="246"/>
      <c r="AU570" s="246"/>
      <c r="AV570" s="246"/>
      <c r="AW570" s="246"/>
      <c r="AX570" s="246"/>
      <c r="AY570" s="246"/>
      <c r="AZ570" s="246"/>
      <c r="BA570" s="246"/>
      <c r="BB570" s="246"/>
      <c r="BC570" s="246"/>
      <c r="BD570" s="246"/>
      <c r="BE570" s="246"/>
      <c r="BF570" s="246"/>
      <c r="BG570" s="246"/>
      <c r="BH570" s="246"/>
      <c r="BI570" s="246"/>
      <c r="BJ570" s="246"/>
    </row>
    <row r="571" spans="2:62">
      <c r="B571" s="7"/>
      <c r="C571" s="334"/>
      <c r="D571" s="334"/>
      <c r="E571" s="334"/>
      <c r="F571" s="334"/>
      <c r="G571" s="334"/>
      <c r="H571" s="334"/>
      <c r="I571" s="334"/>
      <c r="J571" s="334"/>
      <c r="K571" s="334"/>
      <c r="L571" s="334"/>
      <c r="M571" s="334"/>
      <c r="N571" s="334"/>
      <c r="O571" s="334"/>
      <c r="P571" s="409"/>
      <c r="Q571" s="399"/>
      <c r="R571" s="334"/>
      <c r="S571" s="399"/>
      <c r="T571" s="334"/>
      <c r="U571" s="334"/>
      <c r="W571" s="334"/>
      <c r="X571" s="334"/>
      <c r="Y571" s="246"/>
      <c r="Z571" s="246"/>
      <c r="AA571" s="246"/>
      <c r="AB571" s="246"/>
      <c r="AC571" s="246"/>
      <c r="AD571" s="246"/>
      <c r="AE571" s="246"/>
      <c r="AF571" s="246"/>
      <c r="AG571" s="246"/>
      <c r="AH571" s="246"/>
      <c r="AI571" s="246"/>
      <c r="AJ571" s="246"/>
      <c r="AK571" s="246"/>
      <c r="AL571" s="246"/>
      <c r="AM571" s="246"/>
      <c r="AN571" s="246"/>
      <c r="AO571" s="246"/>
      <c r="AP571" s="246"/>
      <c r="AQ571" s="246"/>
      <c r="AR571" s="246"/>
      <c r="AS571" s="246"/>
      <c r="AT571" s="246"/>
      <c r="AU571" s="246"/>
      <c r="AV571" s="246"/>
      <c r="AW571" s="246"/>
      <c r="AX571" s="246"/>
      <c r="AY571" s="246"/>
      <c r="AZ571" s="246"/>
      <c r="BA571" s="246"/>
      <c r="BB571" s="246"/>
      <c r="BC571" s="246"/>
      <c r="BD571" s="246"/>
      <c r="BE571" s="246"/>
      <c r="BF571" s="246"/>
      <c r="BG571" s="246"/>
      <c r="BH571" s="246"/>
      <c r="BI571" s="246"/>
      <c r="BJ571" s="246"/>
    </row>
    <row r="572" spans="2:62">
      <c r="B572" s="7"/>
      <c r="C572" s="398"/>
      <c r="D572" s="334"/>
      <c r="E572" s="334"/>
      <c r="F572" s="334"/>
      <c r="G572" s="334"/>
      <c r="H572" s="334"/>
      <c r="I572" s="334"/>
      <c r="J572" s="334"/>
      <c r="K572" s="334"/>
      <c r="L572" s="334"/>
      <c r="M572" s="334"/>
      <c r="N572" s="334"/>
      <c r="O572" s="334"/>
      <c r="P572" s="411"/>
      <c r="Q572" s="401"/>
      <c r="R572" s="334"/>
      <c r="S572" s="401"/>
      <c r="T572" s="334"/>
      <c r="U572" s="334"/>
      <c r="W572" s="334"/>
      <c r="X572" s="334"/>
      <c r="Y572" s="246"/>
      <c r="Z572" s="246"/>
      <c r="AA572" s="246"/>
      <c r="AB572" s="246"/>
      <c r="AC572" s="246"/>
      <c r="AD572" s="246"/>
      <c r="AE572" s="246"/>
      <c r="AF572" s="246"/>
      <c r="AG572" s="246"/>
      <c r="AH572" s="246"/>
      <c r="AI572" s="246"/>
      <c r="AJ572" s="246"/>
      <c r="AK572" s="246"/>
      <c r="AL572" s="246"/>
      <c r="AM572" s="246"/>
      <c r="AN572" s="246"/>
      <c r="AO572" s="246"/>
      <c r="AP572" s="246"/>
      <c r="AQ572" s="246"/>
      <c r="AR572" s="246"/>
      <c r="AS572" s="246"/>
      <c r="AT572" s="246"/>
      <c r="AU572" s="246"/>
      <c r="AV572" s="246"/>
      <c r="AW572" s="246"/>
      <c r="AX572" s="246"/>
      <c r="AY572" s="246"/>
      <c r="AZ572" s="246"/>
      <c r="BA572" s="246"/>
      <c r="BB572" s="246"/>
      <c r="BC572" s="246"/>
      <c r="BD572" s="246"/>
      <c r="BE572" s="246"/>
      <c r="BF572" s="246"/>
      <c r="BG572" s="246"/>
      <c r="BH572" s="246"/>
      <c r="BI572" s="246"/>
      <c r="BJ572" s="246"/>
    </row>
    <row r="573" spans="2:62">
      <c r="B573" s="7"/>
      <c r="C573" s="334"/>
      <c r="D573" s="334"/>
      <c r="E573" s="334"/>
      <c r="F573" s="334"/>
      <c r="G573" s="334"/>
      <c r="H573" s="334"/>
      <c r="I573" s="334"/>
      <c r="J573" s="334"/>
      <c r="K573" s="334"/>
      <c r="L573" s="334"/>
      <c r="M573" s="334"/>
      <c r="N573" s="334"/>
      <c r="O573" s="334"/>
      <c r="P573" s="411"/>
      <c r="Q573" s="411"/>
      <c r="R573" s="334"/>
      <c r="S573" s="334"/>
      <c r="T573" s="334"/>
      <c r="U573" s="334"/>
      <c r="W573" s="334"/>
      <c r="X573" s="334"/>
      <c r="Y573" s="246"/>
      <c r="Z573" s="246"/>
      <c r="AA573" s="246"/>
      <c r="AB573" s="246"/>
      <c r="AC573" s="246"/>
      <c r="AD573" s="246"/>
      <c r="AE573" s="246"/>
      <c r="AF573" s="246"/>
      <c r="AG573" s="246"/>
      <c r="AH573" s="246"/>
      <c r="AI573" s="246"/>
      <c r="AJ573" s="246"/>
      <c r="AK573" s="246"/>
      <c r="AL573" s="246"/>
      <c r="AM573" s="246"/>
      <c r="AN573" s="246"/>
      <c r="AO573" s="246"/>
      <c r="AP573" s="246"/>
      <c r="AQ573" s="246"/>
      <c r="AR573" s="246"/>
      <c r="AS573" s="246"/>
      <c r="AT573" s="246"/>
      <c r="AU573" s="246"/>
      <c r="AV573" s="246"/>
      <c r="AW573" s="246"/>
      <c r="AX573" s="246"/>
      <c r="AY573" s="246"/>
      <c r="AZ573" s="246"/>
      <c r="BA573" s="246"/>
      <c r="BB573" s="246"/>
      <c r="BC573" s="246"/>
      <c r="BD573" s="246"/>
      <c r="BE573" s="246"/>
      <c r="BF573" s="246"/>
      <c r="BG573" s="246"/>
      <c r="BH573" s="246"/>
      <c r="BI573" s="246"/>
      <c r="BJ573" s="246"/>
    </row>
    <row r="574" spans="2:62">
      <c r="B574" s="7"/>
      <c r="C574" s="334"/>
      <c r="D574" s="334"/>
      <c r="E574" s="334"/>
      <c r="F574" s="334"/>
      <c r="G574" s="334"/>
      <c r="H574" s="334"/>
      <c r="I574" s="334"/>
      <c r="J574" s="334"/>
      <c r="K574" s="334"/>
      <c r="L574" s="334"/>
      <c r="M574" s="334"/>
      <c r="N574" s="334"/>
      <c r="O574" s="334"/>
      <c r="P574" s="409"/>
      <c r="Q574" s="399"/>
      <c r="R574" s="334"/>
      <c r="S574" s="399"/>
      <c r="T574" s="334"/>
      <c r="U574" s="334"/>
      <c r="W574" s="334"/>
      <c r="X574" s="334"/>
      <c r="Y574" s="246"/>
      <c r="Z574" s="246"/>
      <c r="AA574" s="246"/>
      <c r="AB574" s="246"/>
      <c r="AC574" s="246"/>
      <c r="AD574" s="246"/>
      <c r="AE574" s="246"/>
      <c r="AF574" s="246"/>
      <c r="AG574" s="246"/>
      <c r="AH574" s="246"/>
      <c r="AI574" s="246"/>
      <c r="AJ574" s="246"/>
      <c r="AK574" s="246"/>
      <c r="AL574" s="246"/>
      <c r="AM574" s="246"/>
      <c r="AN574" s="246"/>
      <c r="AO574" s="246"/>
      <c r="AP574" s="246"/>
      <c r="AQ574" s="246"/>
      <c r="AR574" s="246"/>
      <c r="AS574" s="246"/>
      <c r="AT574" s="246"/>
      <c r="AU574" s="246"/>
      <c r="AV574" s="246"/>
      <c r="AW574" s="246"/>
      <c r="AX574" s="246"/>
      <c r="AY574" s="246"/>
      <c r="AZ574" s="246"/>
      <c r="BA574" s="246"/>
      <c r="BB574" s="246"/>
      <c r="BC574" s="246"/>
      <c r="BD574" s="246"/>
      <c r="BE574" s="246"/>
      <c r="BF574" s="246"/>
      <c r="BG574" s="246"/>
      <c r="BH574" s="246"/>
      <c r="BI574" s="246"/>
      <c r="BJ574" s="246"/>
    </row>
    <row r="575" spans="2:62">
      <c r="B575" s="7"/>
      <c r="C575" s="398"/>
      <c r="D575" s="398"/>
      <c r="E575" s="334"/>
      <c r="F575" s="334"/>
      <c r="G575" s="398"/>
      <c r="H575" s="334"/>
      <c r="I575" s="334"/>
      <c r="J575" s="334"/>
      <c r="K575" s="334"/>
      <c r="L575" s="334"/>
      <c r="M575" s="334"/>
      <c r="N575" s="334"/>
      <c r="O575" s="334"/>
      <c r="P575" s="411"/>
      <c r="Q575" s="401"/>
      <c r="R575" s="334"/>
      <c r="S575" s="401"/>
      <c r="T575" s="334"/>
      <c r="U575" s="334"/>
      <c r="W575" s="334"/>
      <c r="X575" s="334"/>
      <c r="Y575" s="246"/>
      <c r="Z575" s="246"/>
      <c r="AA575" s="246"/>
      <c r="AB575" s="246"/>
      <c r="AC575" s="246"/>
      <c r="AD575" s="246"/>
      <c r="AE575" s="246"/>
      <c r="AF575" s="246"/>
      <c r="AG575" s="246"/>
      <c r="AH575" s="246"/>
      <c r="AI575" s="246"/>
      <c r="AJ575" s="246"/>
      <c r="AK575" s="246"/>
      <c r="AL575" s="246"/>
      <c r="AM575" s="246"/>
      <c r="AN575" s="246"/>
      <c r="AO575" s="246"/>
      <c r="AP575" s="246"/>
      <c r="AQ575" s="246"/>
      <c r="AR575" s="246"/>
      <c r="AS575" s="246"/>
      <c r="AT575" s="246"/>
      <c r="AU575" s="246"/>
      <c r="AV575" s="246"/>
      <c r="AW575" s="246"/>
      <c r="AX575" s="246"/>
      <c r="AY575" s="246"/>
      <c r="AZ575" s="246"/>
      <c r="BA575" s="246"/>
      <c r="BB575" s="246"/>
      <c r="BC575" s="246"/>
      <c r="BD575" s="246"/>
      <c r="BE575" s="246"/>
      <c r="BF575" s="246"/>
      <c r="BG575" s="246"/>
      <c r="BH575" s="246"/>
      <c r="BI575" s="246"/>
      <c r="BJ575" s="246"/>
    </row>
    <row r="576" spans="2:62">
      <c r="B576" s="7"/>
      <c r="C576" s="334"/>
      <c r="D576" s="334"/>
      <c r="E576" s="334"/>
      <c r="F576" s="334"/>
      <c r="G576" s="334"/>
      <c r="H576" s="334"/>
      <c r="I576" s="334"/>
      <c r="J576" s="334"/>
      <c r="K576" s="334"/>
      <c r="L576" s="334"/>
      <c r="M576" s="334"/>
      <c r="N576" s="334"/>
      <c r="O576" s="334"/>
      <c r="P576" s="411"/>
      <c r="Q576" s="411"/>
      <c r="R576" s="334"/>
      <c r="S576" s="334"/>
      <c r="T576" s="334"/>
      <c r="U576" s="334"/>
      <c r="W576" s="334"/>
      <c r="X576" s="334"/>
      <c r="Y576" s="246"/>
      <c r="Z576" s="246"/>
      <c r="AA576" s="246"/>
      <c r="AB576" s="246"/>
      <c r="AC576" s="246"/>
      <c r="AD576" s="246"/>
      <c r="AE576" s="246"/>
      <c r="AF576" s="246"/>
      <c r="AG576" s="246"/>
      <c r="AH576" s="246"/>
      <c r="AI576" s="246"/>
      <c r="AJ576" s="246"/>
      <c r="AK576" s="246"/>
      <c r="AL576" s="246"/>
      <c r="AM576" s="246"/>
      <c r="AN576" s="246"/>
      <c r="AO576" s="246"/>
      <c r="AP576" s="246"/>
      <c r="AQ576" s="246"/>
      <c r="AR576" s="246"/>
      <c r="AS576" s="246"/>
      <c r="AT576" s="246"/>
      <c r="AU576" s="246"/>
      <c r="AV576" s="246"/>
      <c r="AW576" s="246"/>
      <c r="AX576" s="246"/>
      <c r="AY576" s="246"/>
      <c r="AZ576" s="246"/>
      <c r="BA576" s="246"/>
      <c r="BB576" s="246"/>
      <c r="BC576" s="246"/>
      <c r="BD576" s="246"/>
      <c r="BE576" s="246"/>
      <c r="BF576" s="246"/>
      <c r="BG576" s="246"/>
      <c r="BH576" s="246"/>
      <c r="BI576" s="246"/>
      <c r="BJ576" s="246"/>
    </row>
    <row r="577" spans="2:62">
      <c r="B577" s="7"/>
      <c r="C577" s="334"/>
      <c r="D577" s="334"/>
      <c r="E577" s="399"/>
      <c r="F577" s="409"/>
      <c r="G577" s="334"/>
      <c r="H577" s="399"/>
      <c r="I577" s="409"/>
      <c r="J577" s="409"/>
      <c r="K577" s="399"/>
      <c r="L577" s="409"/>
      <c r="M577" s="399"/>
      <c r="N577" s="409"/>
      <c r="O577" s="399"/>
      <c r="P577" s="409"/>
      <c r="Q577" s="399"/>
      <c r="R577" s="399"/>
      <c r="S577" s="334"/>
      <c r="T577" s="334"/>
      <c r="U577" s="334"/>
      <c r="W577" s="334"/>
      <c r="X577" s="334"/>
      <c r="Y577" s="246"/>
      <c r="Z577" s="246"/>
      <c r="AA577" s="246"/>
      <c r="AB577" s="246"/>
      <c r="AC577" s="246"/>
      <c r="AD577" s="246"/>
      <c r="AE577" s="246"/>
      <c r="AF577" s="246"/>
      <c r="AG577" s="246"/>
      <c r="AH577" s="246"/>
      <c r="AI577" s="246"/>
      <c r="AJ577" s="246"/>
      <c r="AK577" s="246"/>
      <c r="AL577" s="246"/>
      <c r="AM577" s="246"/>
      <c r="AN577" s="246"/>
      <c r="AO577" s="246"/>
      <c r="AP577" s="246"/>
      <c r="AQ577" s="246"/>
      <c r="AR577" s="246"/>
      <c r="AS577" s="246"/>
      <c r="AT577" s="246"/>
      <c r="AU577" s="246"/>
      <c r="AV577" s="246"/>
      <c r="AW577" s="246"/>
      <c r="AX577" s="246"/>
      <c r="AY577" s="246"/>
      <c r="AZ577" s="246"/>
      <c r="BA577" s="246"/>
      <c r="BB577" s="246"/>
      <c r="BC577" s="246"/>
      <c r="BD577" s="246"/>
      <c r="BE577" s="246"/>
      <c r="BF577" s="246"/>
      <c r="BG577" s="246"/>
      <c r="BH577" s="246"/>
      <c r="BI577" s="246"/>
      <c r="BJ577" s="246"/>
    </row>
    <row r="578" spans="2:62">
      <c r="B578" s="7"/>
      <c r="C578" s="398"/>
      <c r="D578" s="398"/>
      <c r="E578" s="401"/>
      <c r="F578" s="411"/>
      <c r="G578" s="398"/>
      <c r="H578" s="401"/>
      <c r="I578" s="411"/>
      <c r="J578" s="411"/>
      <c r="K578" s="401"/>
      <c r="L578" s="411"/>
      <c r="M578" s="401"/>
      <c r="N578" s="411"/>
      <c r="O578" s="401"/>
      <c r="P578" s="411"/>
      <c r="Q578" s="401"/>
      <c r="R578" s="401"/>
      <c r="S578" s="401"/>
      <c r="T578" s="334"/>
      <c r="U578" s="334"/>
      <c r="W578" s="334"/>
      <c r="X578" s="334"/>
      <c r="Y578" s="246"/>
      <c r="Z578" s="246"/>
      <c r="AA578" s="246"/>
      <c r="AB578" s="246"/>
      <c r="AC578" s="246"/>
      <c r="AD578" s="246"/>
      <c r="AE578" s="246"/>
      <c r="AF578" s="246"/>
      <c r="AG578" s="246"/>
      <c r="AH578" s="246"/>
      <c r="AI578" s="246"/>
      <c r="AJ578" s="246"/>
      <c r="AK578" s="246"/>
      <c r="AL578" s="246"/>
      <c r="AM578" s="246"/>
      <c r="AN578" s="246"/>
      <c r="AO578" s="246"/>
      <c r="AP578" s="246"/>
      <c r="AQ578" s="246"/>
      <c r="AR578" s="246"/>
      <c r="AS578" s="246"/>
      <c r="AT578" s="246"/>
      <c r="AU578" s="246"/>
      <c r="AV578" s="246"/>
      <c r="AW578" s="246"/>
      <c r="AX578" s="246"/>
      <c r="AY578" s="246"/>
      <c r="AZ578" s="246"/>
      <c r="BA578" s="246"/>
      <c r="BB578" s="246"/>
      <c r="BC578" s="246"/>
      <c r="BD578" s="246"/>
      <c r="BE578" s="246"/>
      <c r="BF578" s="246"/>
      <c r="BG578" s="246"/>
      <c r="BH578" s="246"/>
      <c r="BI578" s="246"/>
      <c r="BJ578" s="246"/>
    </row>
    <row r="579" spans="2:62">
      <c r="B579" s="7"/>
      <c r="C579" s="334"/>
      <c r="D579" s="334"/>
      <c r="E579" s="399"/>
      <c r="F579" s="409"/>
      <c r="G579" s="334"/>
      <c r="H579" s="399"/>
      <c r="I579" s="409"/>
      <c r="J579" s="399"/>
      <c r="K579" s="409"/>
      <c r="L579" s="399"/>
      <c r="M579" s="334"/>
      <c r="N579" s="399"/>
      <c r="O579" s="409"/>
      <c r="P579" s="401"/>
      <c r="Q579" s="411"/>
      <c r="R579" s="411"/>
      <c r="S579" s="399"/>
      <c r="T579" s="334"/>
      <c r="U579" s="334"/>
      <c r="W579" s="334"/>
      <c r="X579" s="334"/>
      <c r="Y579" s="246"/>
      <c r="Z579" s="246"/>
      <c r="AA579" s="246"/>
      <c r="AB579" s="246"/>
      <c r="AC579" s="246"/>
      <c r="AD579" s="246"/>
      <c r="AE579" s="246"/>
      <c r="AF579" s="246"/>
      <c r="AG579" s="246"/>
      <c r="AH579" s="246"/>
      <c r="AI579" s="246"/>
      <c r="AJ579" s="246"/>
      <c r="AK579" s="246"/>
      <c r="AL579" s="246"/>
      <c r="AM579" s="246"/>
      <c r="AN579" s="246"/>
      <c r="AO579" s="246"/>
      <c r="AP579" s="246"/>
      <c r="AQ579" s="246"/>
      <c r="AR579" s="246"/>
      <c r="AS579" s="246"/>
      <c r="AT579" s="246"/>
      <c r="AU579" s="246"/>
      <c r="AV579" s="246"/>
      <c r="AW579" s="246"/>
      <c r="AX579" s="246"/>
      <c r="AY579" s="246"/>
      <c r="AZ579" s="246"/>
      <c r="BA579" s="246"/>
      <c r="BB579" s="246"/>
      <c r="BC579" s="246"/>
      <c r="BD579" s="246"/>
      <c r="BE579" s="246"/>
      <c r="BF579" s="246"/>
      <c r="BG579" s="246"/>
      <c r="BH579" s="246"/>
      <c r="BI579" s="246"/>
      <c r="BJ579" s="246"/>
    </row>
    <row r="580" spans="2:62">
      <c r="B580" s="7"/>
      <c r="C580" s="334"/>
      <c r="D580" s="334"/>
      <c r="E580" s="399"/>
      <c r="F580" s="409"/>
      <c r="G580" s="334"/>
      <c r="H580" s="399"/>
      <c r="I580" s="409"/>
      <c r="J580" s="399"/>
      <c r="K580" s="409"/>
      <c r="L580" s="399"/>
      <c r="M580" s="334"/>
      <c r="N580" s="399"/>
      <c r="O580" s="409"/>
      <c r="P580" s="399"/>
      <c r="Q580" s="334"/>
      <c r="R580" s="409"/>
      <c r="S580" s="399"/>
      <c r="T580" s="334"/>
      <c r="U580" s="334"/>
      <c r="W580" s="334"/>
      <c r="X580" s="334"/>
      <c r="Y580" s="246"/>
      <c r="Z580" s="246"/>
      <c r="AA580" s="246"/>
      <c r="AB580" s="246"/>
      <c r="AC580" s="246"/>
      <c r="AD580" s="246"/>
      <c r="AE580" s="246"/>
      <c r="AF580" s="246"/>
      <c r="AG580" s="246"/>
      <c r="AH580" s="246"/>
      <c r="AI580" s="246"/>
      <c r="AJ580" s="246"/>
      <c r="AK580" s="246"/>
      <c r="AL580" s="246"/>
      <c r="AM580" s="246"/>
      <c r="AN580" s="246"/>
      <c r="AO580" s="246"/>
      <c r="AP580" s="246"/>
      <c r="AQ580" s="246"/>
      <c r="AR580" s="246"/>
      <c r="AS580" s="246"/>
      <c r="AT580" s="246"/>
      <c r="AU580" s="246"/>
      <c r="AV580" s="246"/>
      <c r="AW580" s="246"/>
      <c r="AX580" s="246"/>
      <c r="AY580" s="246"/>
      <c r="AZ580" s="246"/>
      <c r="BA580" s="246"/>
      <c r="BB580" s="246"/>
      <c r="BC580" s="246"/>
      <c r="BD580" s="246"/>
      <c r="BE580" s="246"/>
      <c r="BF580" s="246"/>
      <c r="BG580" s="246"/>
      <c r="BH580" s="246"/>
      <c r="BI580" s="246"/>
      <c r="BJ580" s="246"/>
    </row>
    <row r="581" spans="2:62">
      <c r="B581" s="7"/>
      <c r="C581" s="334"/>
      <c r="D581" s="334"/>
      <c r="E581" s="334"/>
      <c r="F581" s="334"/>
      <c r="G581" s="334"/>
      <c r="H581" s="334"/>
      <c r="I581" s="334"/>
      <c r="J581" s="334"/>
      <c r="K581" s="334"/>
      <c r="L581" s="334"/>
      <c r="M581" s="334"/>
      <c r="N581" s="334"/>
      <c r="O581" s="334"/>
      <c r="P581" s="334"/>
      <c r="Q581" s="334"/>
      <c r="R581" s="409"/>
      <c r="S581" s="399"/>
      <c r="T581" s="334"/>
      <c r="U581" s="334"/>
      <c r="W581" s="334"/>
      <c r="X581" s="334"/>
      <c r="Y581" s="246"/>
      <c r="Z581" s="246"/>
      <c r="AA581" s="246"/>
      <c r="AB581" s="246"/>
      <c r="AC581" s="246"/>
      <c r="AD581" s="246"/>
      <c r="AE581" s="246"/>
      <c r="AF581" s="246"/>
      <c r="AG581" s="246"/>
      <c r="AH581" s="246"/>
      <c r="AI581" s="246"/>
      <c r="AJ581" s="246"/>
      <c r="AK581" s="246"/>
      <c r="AL581" s="246"/>
      <c r="AM581" s="246"/>
      <c r="AN581" s="246"/>
      <c r="AO581" s="246"/>
      <c r="AP581" s="246"/>
      <c r="AQ581" s="246"/>
      <c r="AR581" s="246"/>
      <c r="AS581" s="246"/>
      <c r="AT581" s="246"/>
      <c r="AU581" s="246"/>
      <c r="AV581" s="246"/>
      <c r="AW581" s="246"/>
      <c r="AX581" s="246"/>
      <c r="AY581" s="246"/>
      <c r="AZ581" s="246"/>
      <c r="BA581" s="246"/>
      <c r="BB581" s="246"/>
      <c r="BC581" s="246"/>
      <c r="BD581" s="246"/>
      <c r="BE581" s="246"/>
      <c r="BF581" s="246"/>
      <c r="BG581" s="246"/>
      <c r="BH581" s="246"/>
      <c r="BI581" s="246"/>
      <c r="BJ581" s="246"/>
    </row>
    <row r="582" spans="2:62">
      <c r="B582" s="7"/>
      <c r="C582" s="334"/>
      <c r="D582" s="334"/>
      <c r="E582" s="399"/>
      <c r="F582" s="409"/>
      <c r="G582" s="334"/>
      <c r="H582" s="399"/>
      <c r="I582" s="409"/>
      <c r="J582" s="399"/>
      <c r="K582" s="409"/>
      <c r="L582" s="399"/>
      <c r="M582" s="334"/>
      <c r="N582" s="399"/>
      <c r="O582" s="409"/>
      <c r="P582" s="399"/>
      <c r="Q582" s="334"/>
      <c r="R582" s="409"/>
      <c r="S582" s="399"/>
      <c r="T582" s="334"/>
      <c r="U582" s="334"/>
      <c r="W582" s="334"/>
      <c r="X582" s="334"/>
      <c r="Y582" s="246"/>
      <c r="Z582" s="246"/>
      <c r="AA582" s="246"/>
      <c r="AB582" s="246"/>
      <c r="AC582" s="246"/>
      <c r="AD582" s="246"/>
      <c r="AE582" s="246"/>
      <c r="AF582" s="246"/>
      <c r="AG582" s="246"/>
      <c r="AH582" s="246"/>
      <c r="AI582" s="246"/>
      <c r="AJ582" s="246"/>
      <c r="AK582" s="246"/>
      <c r="AL582" s="246"/>
      <c r="AM582" s="246"/>
      <c r="AN582" s="246"/>
      <c r="AO582" s="246"/>
      <c r="AP582" s="246"/>
      <c r="AQ582" s="246"/>
      <c r="AR582" s="246"/>
      <c r="AS582" s="246"/>
      <c r="AT582" s="246"/>
      <c r="AU582" s="246"/>
      <c r="AV582" s="246"/>
      <c r="AW582" s="246"/>
      <c r="AX582" s="246"/>
      <c r="AY582" s="246"/>
      <c r="AZ582" s="246"/>
      <c r="BA582" s="246"/>
      <c r="BB582" s="246"/>
      <c r="BC582" s="246"/>
      <c r="BD582" s="246"/>
      <c r="BE582" s="246"/>
      <c r="BF582" s="246"/>
      <c r="BG582" s="246"/>
      <c r="BH582" s="246"/>
      <c r="BI582" s="246"/>
      <c r="BJ582" s="246"/>
    </row>
    <row r="583" spans="2:62">
      <c r="B583" s="7"/>
      <c r="C583" s="334"/>
      <c r="D583" s="334"/>
      <c r="E583" s="399"/>
      <c r="F583" s="409"/>
      <c r="G583" s="334"/>
      <c r="H583" s="399"/>
      <c r="I583" s="409"/>
      <c r="J583" s="399"/>
      <c r="K583" s="409"/>
      <c r="L583" s="399"/>
      <c r="M583" s="334"/>
      <c r="N583" s="399"/>
      <c r="O583" s="409"/>
      <c r="P583" s="399"/>
      <c r="Q583" s="334"/>
      <c r="R583" s="409"/>
      <c r="S583" s="399"/>
      <c r="T583" s="334"/>
      <c r="U583" s="334"/>
      <c r="W583" s="334"/>
      <c r="X583" s="334"/>
      <c r="Y583" s="246"/>
      <c r="Z583" s="246"/>
      <c r="AA583" s="246"/>
      <c r="AB583" s="246"/>
      <c r="AC583" s="246"/>
      <c r="AD583" s="246"/>
      <c r="AE583" s="246"/>
      <c r="AF583" s="246"/>
      <c r="AG583" s="246"/>
      <c r="AH583" s="246"/>
      <c r="AI583" s="246"/>
      <c r="AJ583" s="246"/>
      <c r="AK583" s="246"/>
      <c r="AL583" s="246"/>
      <c r="AM583" s="246"/>
      <c r="AN583" s="246"/>
      <c r="AO583" s="246"/>
      <c r="AP583" s="246"/>
      <c r="AQ583" s="246"/>
      <c r="AR583" s="246"/>
      <c r="AS583" s="246"/>
      <c r="AT583" s="246"/>
      <c r="AU583" s="246"/>
      <c r="AV583" s="246"/>
      <c r="AW583" s="246"/>
      <c r="AX583" s="246"/>
      <c r="AY583" s="246"/>
      <c r="AZ583" s="246"/>
      <c r="BA583" s="246"/>
      <c r="BB583" s="246"/>
      <c r="BC583" s="246"/>
      <c r="BD583" s="246"/>
      <c r="BE583" s="246"/>
      <c r="BF583" s="246"/>
      <c r="BG583" s="246"/>
      <c r="BH583" s="246"/>
      <c r="BI583" s="246"/>
      <c r="BJ583" s="246"/>
    </row>
    <row r="584" spans="2:62">
      <c r="B584" s="7"/>
      <c r="C584" s="334"/>
      <c r="D584" s="334"/>
      <c r="E584" s="399"/>
      <c r="F584" s="409"/>
      <c r="G584" s="334"/>
      <c r="H584" s="399"/>
      <c r="I584" s="409"/>
      <c r="J584" s="399"/>
      <c r="K584" s="409"/>
      <c r="L584" s="399"/>
      <c r="M584" s="334"/>
      <c r="N584" s="399"/>
      <c r="O584" s="409"/>
      <c r="P584" s="399"/>
      <c r="Q584" s="334"/>
      <c r="R584" s="409"/>
      <c r="S584" s="399"/>
      <c r="T584" s="334"/>
      <c r="U584" s="334"/>
      <c r="W584" s="334"/>
      <c r="X584" s="334"/>
      <c r="Y584" s="246"/>
      <c r="Z584" s="246"/>
      <c r="AA584" s="246"/>
      <c r="AB584" s="246"/>
      <c r="AC584" s="246"/>
      <c r="AD584" s="246"/>
      <c r="AE584" s="246"/>
      <c r="AF584" s="246"/>
      <c r="AG584" s="246"/>
      <c r="AH584" s="246"/>
      <c r="AI584" s="246"/>
      <c r="AJ584" s="246"/>
      <c r="AK584" s="246"/>
      <c r="AL584" s="246"/>
      <c r="AM584" s="246"/>
      <c r="AN584" s="246"/>
      <c r="AO584" s="246"/>
      <c r="AP584" s="246"/>
      <c r="AQ584" s="246"/>
      <c r="AR584" s="246"/>
      <c r="AS584" s="246"/>
      <c r="AT584" s="246"/>
      <c r="AU584" s="246"/>
      <c r="AV584" s="246"/>
      <c r="AW584" s="246"/>
      <c r="AX584" s="246"/>
      <c r="AY584" s="246"/>
      <c r="AZ584" s="246"/>
      <c r="BA584" s="246"/>
      <c r="BB584" s="246"/>
      <c r="BC584" s="246"/>
      <c r="BD584" s="246"/>
      <c r="BE584" s="246"/>
      <c r="BF584" s="246"/>
      <c r="BG584" s="246"/>
      <c r="BH584" s="246"/>
      <c r="BI584" s="246"/>
      <c r="BJ584" s="246"/>
    </row>
    <row r="585" spans="2:62">
      <c r="B585" s="7"/>
      <c r="C585" s="334"/>
      <c r="D585" s="334"/>
      <c r="E585" s="399"/>
      <c r="F585" s="409"/>
      <c r="G585" s="334"/>
      <c r="H585" s="399"/>
      <c r="I585" s="409"/>
      <c r="J585" s="399"/>
      <c r="K585" s="409"/>
      <c r="L585" s="399"/>
      <c r="M585" s="334"/>
      <c r="N585" s="399"/>
      <c r="O585" s="409"/>
      <c r="P585" s="399"/>
      <c r="Q585" s="334"/>
      <c r="R585" s="409"/>
      <c r="S585" s="399"/>
      <c r="T585" s="334"/>
      <c r="U585" s="334"/>
      <c r="W585" s="334"/>
      <c r="X585" s="334"/>
      <c r="Y585" s="246"/>
      <c r="Z585" s="246"/>
      <c r="AA585" s="246"/>
      <c r="AB585" s="246"/>
      <c r="AC585" s="246"/>
      <c r="AD585" s="246"/>
      <c r="AE585" s="246"/>
      <c r="AF585" s="246"/>
      <c r="AG585" s="246"/>
      <c r="AH585" s="246"/>
      <c r="AI585" s="246"/>
      <c r="AJ585" s="246"/>
      <c r="AK585" s="246"/>
      <c r="AL585" s="246"/>
      <c r="AM585" s="246"/>
      <c r="AN585" s="246"/>
      <c r="AO585" s="246"/>
      <c r="AP585" s="246"/>
      <c r="AQ585" s="246"/>
      <c r="AR585" s="246"/>
      <c r="AS585" s="246"/>
      <c r="AT585" s="246"/>
      <c r="AU585" s="246"/>
      <c r="AV585" s="246"/>
      <c r="AW585" s="246"/>
      <c r="AX585" s="246"/>
      <c r="AY585" s="246"/>
      <c r="AZ585" s="246"/>
      <c r="BA585" s="246"/>
      <c r="BB585" s="246"/>
      <c r="BC585" s="246"/>
      <c r="BD585" s="246"/>
      <c r="BE585" s="246"/>
      <c r="BF585" s="246"/>
      <c r="BG585" s="246"/>
      <c r="BH585" s="246"/>
      <c r="BI585" s="246"/>
      <c r="BJ585" s="246"/>
    </row>
    <row r="586" spans="2:62">
      <c r="B586" s="7"/>
      <c r="C586" s="334"/>
      <c r="D586" s="334"/>
      <c r="E586" s="399"/>
      <c r="F586" s="409"/>
      <c r="G586" s="334"/>
      <c r="H586" s="399"/>
      <c r="I586" s="409"/>
      <c r="J586" s="399"/>
      <c r="K586" s="409"/>
      <c r="L586" s="399"/>
      <c r="M586" s="334"/>
      <c r="N586" s="399"/>
      <c r="O586" s="409"/>
      <c r="P586" s="399"/>
      <c r="Q586" s="334"/>
      <c r="R586" s="409"/>
      <c r="S586" s="399"/>
      <c r="T586" s="334"/>
      <c r="U586" s="334"/>
      <c r="W586" s="334"/>
      <c r="X586" s="334"/>
      <c r="Y586" s="246"/>
      <c r="Z586" s="246"/>
      <c r="AA586" s="246"/>
      <c r="AB586" s="246"/>
      <c r="AC586" s="246"/>
      <c r="AD586" s="246"/>
      <c r="AE586" s="246"/>
      <c r="AF586" s="246"/>
      <c r="AG586" s="246"/>
      <c r="AH586" s="246"/>
      <c r="AI586" s="246"/>
      <c r="AJ586" s="246"/>
      <c r="AK586" s="246"/>
      <c r="AL586" s="246"/>
      <c r="AM586" s="246"/>
      <c r="AN586" s="246"/>
      <c r="AO586" s="246"/>
      <c r="AP586" s="246"/>
      <c r="AQ586" s="246"/>
      <c r="AR586" s="246"/>
      <c r="AS586" s="246"/>
      <c r="AT586" s="246"/>
      <c r="AU586" s="246"/>
      <c r="AV586" s="246"/>
      <c r="AW586" s="246"/>
      <c r="AX586" s="246"/>
      <c r="AY586" s="246"/>
      <c r="AZ586" s="246"/>
      <c r="BA586" s="246"/>
      <c r="BB586" s="246"/>
      <c r="BC586" s="246"/>
      <c r="BD586" s="246"/>
      <c r="BE586" s="246"/>
      <c r="BF586" s="246"/>
      <c r="BG586" s="246"/>
      <c r="BH586" s="246"/>
      <c r="BI586" s="246"/>
      <c r="BJ586" s="246"/>
    </row>
    <row r="587" spans="2:62">
      <c r="B587" s="7"/>
      <c r="C587" s="334"/>
      <c r="D587" s="334"/>
      <c r="E587" s="399"/>
      <c r="F587" s="409"/>
      <c r="G587" s="334"/>
      <c r="H587" s="399"/>
      <c r="I587" s="409"/>
      <c r="J587" s="399"/>
      <c r="K587" s="409"/>
      <c r="L587" s="399"/>
      <c r="M587" s="334"/>
      <c r="N587" s="399"/>
      <c r="O587" s="409"/>
      <c r="P587" s="399"/>
      <c r="Q587" s="334"/>
      <c r="R587" s="409"/>
      <c r="S587" s="399"/>
      <c r="T587" s="334"/>
      <c r="U587" s="334"/>
      <c r="W587" s="334"/>
      <c r="X587" s="334"/>
      <c r="Y587" s="246"/>
      <c r="Z587" s="246"/>
      <c r="AA587" s="246"/>
      <c r="AB587" s="246"/>
      <c r="AC587" s="246"/>
      <c r="AD587" s="246"/>
      <c r="AE587" s="246"/>
      <c r="AF587" s="246"/>
      <c r="AG587" s="246"/>
      <c r="AH587" s="246"/>
      <c r="AI587" s="246"/>
      <c r="AJ587" s="246"/>
      <c r="AK587" s="246"/>
      <c r="AL587" s="246"/>
      <c r="AM587" s="246"/>
      <c r="AN587" s="246"/>
      <c r="AO587" s="246"/>
      <c r="AP587" s="246"/>
      <c r="AQ587" s="246"/>
      <c r="AR587" s="246"/>
      <c r="AS587" s="246"/>
      <c r="AT587" s="246"/>
      <c r="AU587" s="246"/>
      <c r="AV587" s="246"/>
      <c r="AW587" s="246"/>
      <c r="AX587" s="246"/>
      <c r="AY587" s="246"/>
      <c r="AZ587" s="246"/>
      <c r="BA587" s="246"/>
      <c r="BB587" s="246"/>
      <c r="BC587" s="246"/>
      <c r="BD587" s="246"/>
      <c r="BE587" s="246"/>
      <c r="BF587" s="246"/>
      <c r="BG587" s="246"/>
      <c r="BH587" s="246"/>
      <c r="BI587" s="246"/>
      <c r="BJ587" s="246"/>
    </row>
    <row r="588" spans="2:62">
      <c r="B588" s="7"/>
      <c r="C588" s="334"/>
      <c r="D588" s="334"/>
      <c r="E588" s="399"/>
      <c r="F588" s="409"/>
      <c r="G588" s="334"/>
      <c r="H588" s="399"/>
      <c r="I588" s="409"/>
      <c r="J588" s="399"/>
      <c r="K588" s="409"/>
      <c r="L588" s="399"/>
      <c r="M588" s="334"/>
      <c r="N588" s="399"/>
      <c r="O588" s="409"/>
      <c r="P588" s="399"/>
      <c r="Q588" s="334"/>
      <c r="R588" s="409"/>
      <c r="S588" s="399"/>
      <c r="T588" s="334"/>
      <c r="U588" s="334"/>
      <c r="W588" s="334"/>
      <c r="X588" s="334"/>
      <c r="Y588" s="246"/>
      <c r="Z588" s="246"/>
      <c r="AA588" s="246"/>
      <c r="AB588" s="246"/>
      <c r="AC588" s="246"/>
      <c r="AD588" s="246"/>
      <c r="AE588" s="246"/>
      <c r="AF588" s="246"/>
      <c r="AG588" s="246"/>
      <c r="AH588" s="246"/>
      <c r="AI588" s="246"/>
      <c r="AJ588" s="246"/>
      <c r="AK588" s="246"/>
      <c r="AL588" s="246"/>
      <c r="AM588" s="246"/>
      <c r="AN588" s="246"/>
      <c r="AO588" s="246"/>
      <c r="AP588" s="246"/>
      <c r="AQ588" s="246"/>
      <c r="AR588" s="246"/>
      <c r="AS588" s="246"/>
      <c r="AT588" s="246"/>
      <c r="AU588" s="246"/>
      <c r="AV588" s="246"/>
      <c r="AW588" s="246"/>
      <c r="AX588" s="246"/>
      <c r="AY588" s="246"/>
      <c r="AZ588" s="246"/>
      <c r="BA588" s="246"/>
      <c r="BB588" s="246"/>
      <c r="BC588" s="246"/>
      <c r="BD588" s="246"/>
      <c r="BE588" s="246"/>
      <c r="BF588" s="246"/>
      <c r="BG588" s="246"/>
      <c r="BH588" s="246"/>
      <c r="BI588" s="246"/>
      <c r="BJ588" s="246"/>
    </row>
    <row r="589" spans="2:62">
      <c r="B589" s="7"/>
      <c r="C589" s="334"/>
      <c r="D589" s="334"/>
      <c r="E589" s="334"/>
      <c r="F589" s="334"/>
      <c r="G589" s="334"/>
      <c r="H589" s="334"/>
      <c r="I589" s="334"/>
      <c r="J589" s="334"/>
      <c r="K589" s="334"/>
      <c r="L589" s="334"/>
      <c r="M589" s="334"/>
      <c r="N589" s="334"/>
      <c r="O589" s="334"/>
      <c r="P589" s="334"/>
      <c r="Q589" s="334"/>
      <c r="R589" s="334"/>
      <c r="S589" s="334"/>
      <c r="T589" s="334"/>
      <c r="U589" s="334"/>
      <c r="W589" s="334"/>
      <c r="X589" s="334"/>
      <c r="Y589" s="246"/>
      <c r="Z589" s="246"/>
      <c r="AA589" s="246"/>
      <c r="AB589" s="246"/>
      <c r="AC589" s="246"/>
      <c r="AD589" s="246"/>
      <c r="AE589" s="246"/>
      <c r="AF589" s="246"/>
      <c r="AG589" s="246"/>
      <c r="AH589" s="246"/>
      <c r="AI589" s="246"/>
      <c r="AJ589" s="246"/>
      <c r="AK589" s="246"/>
      <c r="AL589" s="246"/>
      <c r="AM589" s="246"/>
      <c r="AN589" s="246"/>
      <c r="AO589" s="246"/>
      <c r="AP589" s="246"/>
      <c r="AQ589" s="246"/>
      <c r="AR589" s="246"/>
      <c r="AS589" s="246"/>
      <c r="AT589" s="246"/>
      <c r="AU589" s="246"/>
      <c r="AV589" s="246"/>
      <c r="AW589" s="246"/>
      <c r="AX589" s="246"/>
      <c r="AY589" s="246"/>
      <c r="AZ589" s="246"/>
      <c r="BA589" s="246"/>
      <c r="BB589" s="246"/>
      <c r="BC589" s="246"/>
      <c r="BD589" s="246"/>
      <c r="BE589" s="246"/>
      <c r="BF589" s="246"/>
      <c r="BG589" s="246"/>
      <c r="BH589" s="246"/>
      <c r="BI589" s="246"/>
      <c r="BJ589" s="246"/>
    </row>
    <row r="590" spans="2:62">
      <c r="B590" s="7"/>
      <c r="C590" s="334"/>
      <c r="D590" s="334"/>
      <c r="E590" s="334"/>
      <c r="F590" s="334"/>
      <c r="G590" s="334"/>
      <c r="H590" s="334"/>
      <c r="I590" s="334"/>
      <c r="J590" s="334"/>
      <c r="K590" s="334"/>
      <c r="L590" s="334"/>
      <c r="M590" s="334"/>
      <c r="N590" s="334"/>
      <c r="O590" s="334"/>
      <c r="P590" s="334"/>
      <c r="Q590" s="334"/>
      <c r="R590" s="334"/>
      <c r="S590" s="334"/>
      <c r="T590" s="334"/>
      <c r="U590" s="334"/>
      <c r="W590" s="334"/>
      <c r="X590" s="334"/>
      <c r="Y590" s="246"/>
      <c r="Z590" s="246"/>
      <c r="AA590" s="246"/>
      <c r="AB590" s="246"/>
      <c r="AC590" s="246"/>
      <c r="AD590" s="246"/>
      <c r="AE590" s="246"/>
      <c r="AF590" s="246"/>
      <c r="AG590" s="246"/>
      <c r="AH590" s="246"/>
      <c r="AI590" s="246"/>
      <c r="AJ590" s="246"/>
      <c r="AK590" s="246"/>
      <c r="AL590" s="246"/>
      <c r="AM590" s="246"/>
      <c r="AN590" s="246"/>
      <c r="AO590" s="246"/>
      <c r="AP590" s="246"/>
      <c r="AQ590" s="246"/>
      <c r="AR590" s="246"/>
      <c r="AS590" s="246"/>
      <c r="AT590" s="246"/>
      <c r="AU590" s="246"/>
      <c r="AV590" s="246"/>
      <c r="AW590" s="246"/>
      <c r="AX590" s="246"/>
      <c r="AY590" s="246"/>
      <c r="AZ590" s="246"/>
      <c r="BA590" s="246"/>
      <c r="BB590" s="246"/>
      <c r="BC590" s="246"/>
      <c r="BD590" s="246"/>
      <c r="BE590" s="246"/>
      <c r="BF590" s="246"/>
      <c r="BG590" s="246"/>
      <c r="BH590" s="246"/>
      <c r="BI590" s="246"/>
      <c r="BJ590" s="246"/>
    </row>
    <row r="591" spans="2:62">
      <c r="B591" s="7"/>
      <c r="C591" s="334"/>
      <c r="D591" s="334"/>
      <c r="E591" s="334"/>
      <c r="F591" s="334"/>
      <c r="G591" s="334"/>
      <c r="H591" s="334"/>
      <c r="I591" s="334"/>
      <c r="J591" s="334"/>
      <c r="K591" s="334"/>
      <c r="L591" s="334"/>
      <c r="M591" s="334"/>
      <c r="N591" s="334"/>
      <c r="O591" s="334"/>
      <c r="P591" s="334"/>
      <c r="Q591" s="334"/>
      <c r="R591" s="334"/>
      <c r="S591" s="334"/>
      <c r="T591" s="334"/>
      <c r="U591" s="334"/>
      <c r="W591" s="334"/>
      <c r="X591" s="334"/>
      <c r="Y591" s="246"/>
      <c r="Z591" s="246"/>
      <c r="AA591" s="246"/>
      <c r="AB591" s="246"/>
      <c r="AC591" s="246"/>
      <c r="AD591" s="246"/>
      <c r="AE591" s="246"/>
      <c r="AF591" s="246"/>
      <c r="AG591" s="246"/>
      <c r="AH591" s="246"/>
      <c r="AI591" s="246"/>
      <c r="AJ591" s="246"/>
      <c r="AK591" s="246"/>
      <c r="AL591" s="246"/>
      <c r="AM591" s="246"/>
      <c r="AN591" s="246"/>
      <c r="AO591" s="246"/>
      <c r="AP591" s="246"/>
      <c r="AQ591" s="246"/>
      <c r="AR591" s="246"/>
      <c r="AS591" s="246"/>
      <c r="AT591" s="246"/>
      <c r="AU591" s="246"/>
      <c r="AV591" s="246"/>
      <c r="AW591" s="246"/>
      <c r="AX591" s="246"/>
      <c r="AY591" s="246"/>
      <c r="AZ591" s="246"/>
      <c r="BA591" s="246"/>
      <c r="BB591" s="246"/>
      <c r="BC591" s="246"/>
      <c r="BD591" s="246"/>
      <c r="BE591" s="246"/>
      <c r="BF591" s="246"/>
      <c r="BG591" s="246"/>
      <c r="BH591" s="246"/>
      <c r="BI591" s="246"/>
      <c r="BJ591" s="246"/>
    </row>
    <row r="592" spans="2:62">
      <c r="B592" s="7"/>
      <c r="C592" s="334"/>
      <c r="D592" s="334"/>
      <c r="E592" s="334"/>
      <c r="F592" s="334"/>
      <c r="G592" s="334"/>
      <c r="H592" s="334"/>
      <c r="I592" s="334"/>
      <c r="J592" s="334"/>
      <c r="K592" s="334"/>
      <c r="L592" s="334"/>
      <c r="M592" s="334"/>
      <c r="N592" s="334"/>
      <c r="O592" s="334"/>
      <c r="P592" s="334"/>
      <c r="Q592" s="334"/>
      <c r="R592" s="334"/>
      <c r="S592" s="334"/>
      <c r="T592" s="334"/>
      <c r="U592" s="334"/>
      <c r="W592" s="334"/>
      <c r="X592" s="334"/>
      <c r="Y592" s="246"/>
      <c r="Z592" s="246"/>
      <c r="AA592" s="246"/>
      <c r="AB592" s="246"/>
      <c r="AC592" s="246"/>
      <c r="AD592" s="246"/>
      <c r="AE592" s="246"/>
      <c r="AF592" s="246"/>
      <c r="AG592" s="246"/>
      <c r="AH592" s="246"/>
      <c r="AI592" s="246"/>
      <c r="AJ592" s="246"/>
      <c r="AK592" s="246"/>
      <c r="AL592" s="246"/>
      <c r="AM592" s="246"/>
      <c r="AN592" s="246"/>
      <c r="AO592" s="246"/>
      <c r="AP592" s="246"/>
      <c r="AQ592" s="246"/>
      <c r="AR592" s="246"/>
      <c r="AS592" s="246"/>
      <c r="AT592" s="246"/>
      <c r="AU592" s="246"/>
      <c r="AV592" s="246"/>
      <c r="AW592" s="246"/>
      <c r="AX592" s="246"/>
      <c r="AY592" s="246"/>
      <c r="AZ592" s="246"/>
      <c r="BA592" s="246"/>
      <c r="BB592" s="246"/>
      <c r="BC592" s="246"/>
      <c r="BD592" s="246"/>
      <c r="BE592" s="246"/>
      <c r="BF592" s="246"/>
      <c r="BG592" s="246"/>
      <c r="BH592" s="246"/>
      <c r="BI592" s="246"/>
      <c r="BJ592" s="246"/>
    </row>
    <row r="593" spans="2:62">
      <c r="B593" s="7"/>
      <c r="C593" s="334"/>
      <c r="D593" s="334"/>
      <c r="E593" s="334"/>
      <c r="F593" s="334"/>
      <c r="G593" s="334"/>
      <c r="H593" s="334"/>
      <c r="I593" s="334"/>
      <c r="J593" s="334"/>
      <c r="K593" s="334"/>
      <c r="L593" s="334"/>
      <c r="M593" s="334"/>
      <c r="N593" s="334"/>
      <c r="O593" s="334"/>
      <c r="P593" s="334"/>
      <c r="Q593" s="334"/>
      <c r="R593" s="334"/>
      <c r="S593" s="334"/>
      <c r="T593" s="334"/>
      <c r="U593" s="334"/>
      <c r="W593" s="334"/>
      <c r="X593" s="334"/>
      <c r="Y593" s="246"/>
      <c r="Z593" s="246"/>
      <c r="AA593" s="246"/>
      <c r="AB593" s="246"/>
      <c r="AC593" s="246"/>
      <c r="AD593" s="246"/>
      <c r="AE593" s="246"/>
      <c r="AF593" s="246"/>
      <c r="AG593" s="246"/>
      <c r="AH593" s="246"/>
      <c r="AI593" s="246"/>
      <c r="AJ593" s="246"/>
      <c r="AK593" s="246"/>
      <c r="AL593" s="246"/>
      <c r="AM593" s="246"/>
      <c r="AN593" s="246"/>
      <c r="AO593" s="246"/>
      <c r="AP593" s="246"/>
      <c r="AQ593" s="246"/>
      <c r="AR593" s="246"/>
      <c r="AS593" s="246"/>
      <c r="AT593" s="246"/>
      <c r="AU593" s="246"/>
      <c r="AV593" s="246"/>
      <c r="AW593" s="246"/>
      <c r="AX593" s="246"/>
      <c r="AY593" s="246"/>
      <c r="AZ593" s="246"/>
      <c r="BA593" s="246"/>
      <c r="BB593" s="246"/>
      <c r="BC593" s="246"/>
      <c r="BD593" s="246"/>
      <c r="BE593" s="246"/>
      <c r="BF593" s="246"/>
      <c r="BG593" s="246"/>
      <c r="BH593" s="246"/>
      <c r="BI593" s="246"/>
      <c r="BJ593" s="246"/>
    </row>
    <row r="594" spans="2:62">
      <c r="B594" s="7"/>
      <c r="C594" s="334"/>
      <c r="D594" s="334"/>
      <c r="E594" s="334"/>
      <c r="F594" s="334"/>
      <c r="G594" s="334"/>
      <c r="H594" s="334"/>
      <c r="I594" s="334"/>
      <c r="J594" s="334"/>
      <c r="K594" s="334"/>
      <c r="L594" s="334"/>
      <c r="M594" s="334"/>
      <c r="N594" s="334"/>
      <c r="O594" s="334"/>
      <c r="P594" s="334"/>
      <c r="Q594" s="334"/>
      <c r="R594" s="334"/>
      <c r="S594" s="334"/>
      <c r="T594" s="334"/>
      <c r="U594" s="334"/>
      <c r="W594" s="334"/>
      <c r="X594" s="334"/>
      <c r="Y594" s="246"/>
      <c r="Z594" s="246"/>
      <c r="AA594" s="246"/>
      <c r="AB594" s="246"/>
      <c r="AC594" s="246"/>
      <c r="AD594" s="246"/>
      <c r="AE594" s="246"/>
      <c r="AF594" s="246"/>
      <c r="AG594" s="246"/>
      <c r="AH594" s="246"/>
      <c r="AI594" s="246"/>
      <c r="AJ594" s="246"/>
      <c r="AK594" s="246"/>
      <c r="AL594" s="246"/>
      <c r="AM594" s="246"/>
      <c r="AN594" s="246"/>
      <c r="AO594" s="246"/>
      <c r="AP594" s="246"/>
      <c r="AQ594" s="246"/>
      <c r="AR594" s="246"/>
      <c r="AS594" s="246"/>
      <c r="AT594" s="246"/>
      <c r="AU594" s="246"/>
      <c r="AV594" s="246"/>
      <c r="AW594" s="246"/>
      <c r="AX594" s="246"/>
      <c r="AY594" s="246"/>
      <c r="AZ594" s="246"/>
      <c r="BA594" s="246"/>
      <c r="BB594" s="246"/>
      <c r="BC594" s="246"/>
      <c r="BD594" s="246"/>
      <c r="BE594" s="246"/>
      <c r="BF594" s="246"/>
      <c r="BG594" s="246"/>
      <c r="BH594" s="246"/>
      <c r="BI594" s="246"/>
      <c r="BJ594" s="246"/>
    </row>
    <row r="595" spans="2:62">
      <c r="B595" s="7"/>
      <c r="C595" s="334"/>
      <c r="D595" s="334"/>
      <c r="E595" s="334"/>
      <c r="F595" s="334"/>
      <c r="G595" s="334"/>
      <c r="H595" s="334"/>
      <c r="I595" s="334"/>
      <c r="J595" s="334"/>
      <c r="K595" s="334"/>
      <c r="L595" s="334"/>
      <c r="M595" s="334"/>
      <c r="N595" s="334"/>
      <c r="O595" s="334"/>
      <c r="P595" s="334"/>
      <c r="Q595" s="334"/>
      <c r="R595" s="334"/>
      <c r="S595" s="334"/>
      <c r="T595" s="334"/>
      <c r="U595" s="334"/>
      <c r="W595" s="334"/>
      <c r="X595" s="334"/>
      <c r="Y595" s="246"/>
      <c r="Z595" s="246"/>
      <c r="AA595" s="246"/>
      <c r="AB595" s="246"/>
      <c r="AC595" s="246"/>
      <c r="AD595" s="246"/>
      <c r="AE595" s="246"/>
      <c r="AF595" s="246"/>
      <c r="AG595" s="246"/>
      <c r="AH595" s="246"/>
      <c r="AI595" s="246"/>
      <c r="AJ595" s="246"/>
      <c r="AK595" s="246"/>
      <c r="AL595" s="246"/>
      <c r="AM595" s="246"/>
      <c r="AN595" s="246"/>
      <c r="AO595" s="246"/>
      <c r="AP595" s="246"/>
      <c r="AQ595" s="246"/>
      <c r="AR595" s="246"/>
      <c r="AS595" s="246"/>
      <c r="AT595" s="246"/>
      <c r="AU595" s="246"/>
      <c r="AV595" s="246"/>
      <c r="AW595" s="246"/>
      <c r="AX595" s="246"/>
      <c r="AY595" s="246"/>
      <c r="AZ595" s="246"/>
      <c r="BA595" s="246"/>
      <c r="BB595" s="246"/>
      <c r="BC595" s="246"/>
      <c r="BD595" s="246"/>
      <c r="BE595" s="246"/>
      <c r="BF595" s="246"/>
      <c r="BG595" s="246"/>
      <c r="BH595" s="246"/>
      <c r="BI595" s="246"/>
      <c r="BJ595" s="246"/>
    </row>
    <row r="596" spans="2:62">
      <c r="B596" s="7"/>
      <c r="C596" s="334"/>
      <c r="D596" s="334"/>
      <c r="E596" s="334"/>
      <c r="F596" s="334"/>
      <c r="G596" s="334"/>
      <c r="H596" s="334"/>
      <c r="I596" s="334"/>
      <c r="J596" s="334"/>
      <c r="K596" s="334"/>
      <c r="L596" s="334"/>
      <c r="M596" s="334"/>
      <c r="N596" s="334"/>
      <c r="O596" s="334"/>
      <c r="P596" s="334"/>
      <c r="Q596" s="334"/>
      <c r="R596" s="334"/>
      <c r="S596" s="334"/>
      <c r="T596" s="334"/>
      <c r="U596" s="334"/>
      <c r="W596" s="334"/>
      <c r="X596" s="334"/>
      <c r="Y596" s="246"/>
      <c r="Z596" s="246"/>
      <c r="AA596" s="246"/>
      <c r="AB596" s="246"/>
      <c r="AC596" s="246"/>
      <c r="AD596" s="246"/>
      <c r="AE596" s="246"/>
      <c r="AF596" s="246"/>
      <c r="AG596" s="246"/>
      <c r="AH596" s="246"/>
      <c r="AI596" s="246"/>
      <c r="AJ596" s="246"/>
      <c r="AK596" s="246"/>
      <c r="AL596" s="246"/>
      <c r="AM596" s="246"/>
      <c r="AN596" s="246"/>
      <c r="AO596" s="246"/>
      <c r="AP596" s="246"/>
      <c r="AQ596" s="246"/>
      <c r="AR596" s="246"/>
      <c r="AS596" s="246"/>
      <c r="AT596" s="246"/>
      <c r="AU596" s="246"/>
      <c r="AV596" s="246"/>
      <c r="AW596" s="246"/>
      <c r="AX596" s="246"/>
      <c r="AY596" s="246"/>
      <c r="AZ596" s="246"/>
      <c r="BA596" s="246"/>
      <c r="BB596" s="246"/>
      <c r="BC596" s="246"/>
      <c r="BD596" s="246"/>
      <c r="BE596" s="246"/>
      <c r="BF596" s="246"/>
      <c r="BG596" s="246"/>
      <c r="BH596" s="246"/>
      <c r="BI596" s="246"/>
      <c r="BJ596" s="246"/>
    </row>
    <row r="597" spans="2:62">
      <c r="B597" s="7"/>
      <c r="C597" s="334"/>
      <c r="D597" s="334"/>
      <c r="E597" s="334"/>
      <c r="F597" s="334"/>
      <c r="G597" s="334"/>
      <c r="H597" s="334"/>
      <c r="I597" s="334"/>
      <c r="J597" s="334"/>
      <c r="K597" s="334"/>
      <c r="L597" s="334"/>
      <c r="M597" s="334"/>
      <c r="N597" s="334"/>
      <c r="O597" s="334"/>
      <c r="P597" s="334"/>
      <c r="Q597" s="334"/>
      <c r="R597" s="334"/>
      <c r="S597" s="334"/>
      <c r="T597" s="334"/>
      <c r="U597" s="334"/>
      <c r="W597" s="334"/>
      <c r="X597" s="334"/>
      <c r="Y597" s="246"/>
      <c r="Z597" s="246"/>
      <c r="AA597" s="246"/>
      <c r="AB597" s="246"/>
      <c r="AC597" s="246"/>
      <c r="AD597" s="246"/>
      <c r="AE597" s="246"/>
      <c r="AF597" s="246"/>
      <c r="AG597" s="246"/>
      <c r="AH597" s="246"/>
      <c r="AI597" s="246"/>
      <c r="AJ597" s="246"/>
      <c r="AK597" s="246"/>
      <c r="AL597" s="246"/>
      <c r="AM597" s="246"/>
      <c r="AN597" s="246"/>
      <c r="AO597" s="246"/>
      <c r="AP597" s="246"/>
      <c r="AQ597" s="246"/>
      <c r="AR597" s="246"/>
      <c r="AS597" s="246"/>
      <c r="AT597" s="246"/>
      <c r="AU597" s="246"/>
      <c r="AV597" s="246"/>
      <c r="AW597" s="246"/>
      <c r="AX597" s="246"/>
      <c r="AY597" s="246"/>
      <c r="AZ597" s="246"/>
      <c r="BA597" s="246"/>
      <c r="BB597" s="246"/>
      <c r="BC597" s="246"/>
      <c r="BD597" s="246"/>
      <c r="BE597" s="246"/>
      <c r="BF597" s="246"/>
      <c r="BG597" s="246"/>
      <c r="BH597" s="246"/>
      <c r="BI597" s="246"/>
      <c r="BJ597" s="246"/>
    </row>
    <row r="598" spans="2:62">
      <c r="B598" s="7"/>
      <c r="C598" s="334"/>
      <c r="D598" s="334"/>
      <c r="E598" s="334"/>
      <c r="F598" s="334"/>
      <c r="G598" s="334"/>
      <c r="H598" s="334"/>
      <c r="I598" s="334"/>
      <c r="J598" s="334"/>
      <c r="K598" s="334"/>
      <c r="L598" s="334"/>
      <c r="M598" s="334"/>
      <c r="N598" s="334"/>
      <c r="O598" s="334"/>
      <c r="P598" s="334"/>
      <c r="Q598" s="334"/>
      <c r="R598" s="334"/>
      <c r="S598" s="334"/>
      <c r="T598" s="334"/>
      <c r="U598" s="334"/>
      <c r="W598" s="334"/>
      <c r="X598" s="334"/>
      <c r="Y598" s="246"/>
      <c r="Z598" s="246"/>
      <c r="AA598" s="246"/>
      <c r="AB598" s="246"/>
      <c r="AC598" s="246"/>
      <c r="AD598" s="246"/>
      <c r="AE598" s="246"/>
      <c r="AF598" s="246"/>
      <c r="AG598" s="246"/>
      <c r="AH598" s="246"/>
      <c r="AI598" s="246"/>
      <c r="AJ598" s="246"/>
      <c r="AK598" s="246"/>
      <c r="AL598" s="246"/>
      <c r="AM598" s="246"/>
      <c r="AN598" s="246"/>
      <c r="AO598" s="246"/>
      <c r="AP598" s="246"/>
      <c r="AQ598" s="246"/>
      <c r="AR598" s="246"/>
      <c r="AS598" s="246"/>
      <c r="AT598" s="246"/>
      <c r="AU598" s="246"/>
      <c r="AV598" s="246"/>
      <c r="AW598" s="246"/>
      <c r="AX598" s="246"/>
      <c r="AY598" s="246"/>
      <c r="AZ598" s="246"/>
      <c r="BA598" s="246"/>
      <c r="BB598" s="246"/>
      <c r="BC598" s="246"/>
      <c r="BD598" s="246"/>
      <c r="BE598" s="246"/>
      <c r="BF598" s="246"/>
      <c r="BG598" s="246"/>
      <c r="BH598" s="246"/>
      <c r="BI598" s="246"/>
      <c r="BJ598" s="246"/>
    </row>
    <row r="599" spans="2:62">
      <c r="B599" s="7"/>
      <c r="C599" s="334"/>
      <c r="D599" s="334"/>
      <c r="E599" s="334"/>
      <c r="F599" s="334"/>
      <c r="G599" s="334"/>
      <c r="H599" s="334"/>
      <c r="I599" s="334"/>
      <c r="J599" s="334"/>
      <c r="K599" s="334"/>
      <c r="L599" s="334"/>
      <c r="M599" s="334"/>
      <c r="N599" s="334"/>
      <c r="O599" s="334"/>
      <c r="P599" s="334"/>
      <c r="Q599" s="334"/>
      <c r="R599" s="334"/>
      <c r="S599" s="334"/>
      <c r="T599" s="334"/>
      <c r="U599" s="334"/>
      <c r="W599" s="334"/>
      <c r="X599" s="334"/>
      <c r="Y599" s="246"/>
      <c r="Z599" s="246"/>
      <c r="AA599" s="246"/>
      <c r="AB599" s="246"/>
      <c r="AC599" s="246"/>
      <c r="AD599" s="246"/>
      <c r="AE599" s="246"/>
      <c r="AF599" s="246"/>
      <c r="AG599" s="246"/>
      <c r="AH599" s="246"/>
      <c r="AI599" s="246"/>
      <c r="AJ599" s="246"/>
      <c r="AK599" s="246"/>
      <c r="AL599" s="246"/>
      <c r="AM599" s="246"/>
      <c r="AN599" s="246"/>
      <c r="AO599" s="246"/>
      <c r="AP599" s="246"/>
      <c r="AQ599" s="246"/>
      <c r="AR599" s="246"/>
      <c r="AS599" s="246"/>
      <c r="AT599" s="246"/>
      <c r="AU599" s="246"/>
      <c r="AV599" s="246"/>
      <c r="AW599" s="246"/>
      <c r="AX599" s="246"/>
      <c r="AY599" s="246"/>
      <c r="AZ599" s="246"/>
      <c r="BA599" s="246"/>
      <c r="BB599" s="246"/>
      <c r="BC599" s="246"/>
      <c r="BD599" s="246"/>
      <c r="BE599" s="246"/>
      <c r="BF599" s="246"/>
      <c r="BG599" s="246"/>
      <c r="BH599" s="246"/>
      <c r="BI599" s="246"/>
      <c r="BJ599" s="246"/>
    </row>
    <row r="600" spans="2:62">
      <c r="B600" s="7"/>
      <c r="C600" s="334"/>
      <c r="D600" s="334"/>
      <c r="E600" s="334"/>
      <c r="F600" s="334"/>
      <c r="G600" s="334"/>
      <c r="H600" s="334"/>
      <c r="I600" s="334"/>
      <c r="J600" s="334"/>
      <c r="K600" s="334"/>
      <c r="L600" s="334"/>
      <c r="M600" s="334"/>
      <c r="N600" s="334"/>
      <c r="O600" s="334"/>
      <c r="P600" s="334"/>
      <c r="Q600" s="334"/>
      <c r="R600" s="334"/>
      <c r="S600" s="334"/>
      <c r="T600" s="334"/>
      <c r="U600" s="334"/>
      <c r="W600" s="334"/>
      <c r="X600" s="334"/>
      <c r="Y600" s="246"/>
      <c r="Z600" s="246"/>
      <c r="AA600" s="246"/>
      <c r="AB600" s="246"/>
      <c r="AC600" s="246"/>
      <c r="AD600" s="246"/>
      <c r="AE600" s="246"/>
      <c r="AF600" s="246"/>
      <c r="AG600" s="246"/>
      <c r="AH600" s="246"/>
      <c r="AI600" s="246"/>
      <c r="AJ600" s="246"/>
      <c r="AK600" s="246"/>
      <c r="AL600" s="246"/>
      <c r="AM600" s="246"/>
      <c r="AN600" s="246"/>
      <c r="AO600" s="246"/>
      <c r="AP600" s="246"/>
      <c r="AQ600" s="246"/>
      <c r="AR600" s="246"/>
      <c r="AS600" s="246"/>
      <c r="AT600" s="246"/>
      <c r="AU600" s="246"/>
      <c r="AV600" s="246"/>
      <c r="AW600" s="246"/>
      <c r="AX600" s="246"/>
      <c r="AY600" s="246"/>
      <c r="AZ600" s="246"/>
      <c r="BA600" s="246"/>
      <c r="BB600" s="246"/>
      <c r="BC600" s="246"/>
      <c r="BD600" s="246"/>
      <c r="BE600" s="246"/>
      <c r="BF600" s="246"/>
      <c r="BG600" s="246"/>
      <c r="BH600" s="246"/>
      <c r="BI600" s="246"/>
      <c r="BJ600" s="246"/>
    </row>
    <row r="601" spans="2:62">
      <c r="B601" s="7"/>
      <c r="C601" s="334"/>
      <c r="D601" s="334"/>
      <c r="E601" s="334"/>
      <c r="F601" s="334"/>
      <c r="G601" s="334"/>
      <c r="H601" s="334"/>
      <c r="I601" s="334"/>
      <c r="J601" s="334"/>
      <c r="K601" s="334"/>
      <c r="L601" s="334"/>
      <c r="M601" s="334"/>
      <c r="N601" s="334"/>
      <c r="O601" s="334"/>
      <c r="P601" s="334"/>
      <c r="Q601" s="334"/>
      <c r="R601" s="334"/>
      <c r="S601" s="334"/>
      <c r="T601" s="334"/>
      <c r="U601" s="334"/>
      <c r="W601" s="334"/>
      <c r="X601" s="334"/>
      <c r="Y601" s="246"/>
      <c r="Z601" s="246"/>
      <c r="AA601" s="246"/>
      <c r="AB601" s="246"/>
      <c r="AC601" s="246"/>
      <c r="AD601" s="246"/>
      <c r="AE601" s="246"/>
      <c r="AF601" s="246"/>
      <c r="AG601" s="246"/>
      <c r="AH601" s="246"/>
      <c r="AI601" s="246"/>
      <c r="AJ601" s="246"/>
      <c r="AK601" s="246"/>
      <c r="AL601" s="246"/>
      <c r="AM601" s="246"/>
      <c r="AN601" s="246"/>
      <c r="AO601" s="246"/>
      <c r="AP601" s="246"/>
      <c r="AQ601" s="246"/>
      <c r="AR601" s="246"/>
      <c r="AS601" s="246"/>
      <c r="AT601" s="246"/>
      <c r="AU601" s="246"/>
      <c r="AV601" s="246"/>
      <c r="AW601" s="246"/>
      <c r="AX601" s="246"/>
      <c r="AY601" s="246"/>
      <c r="AZ601" s="246"/>
      <c r="BA601" s="246"/>
      <c r="BB601" s="246"/>
      <c r="BC601" s="246"/>
      <c r="BD601" s="246"/>
      <c r="BE601" s="246"/>
      <c r="BF601" s="246"/>
      <c r="BG601" s="246"/>
      <c r="BH601" s="246"/>
      <c r="BI601" s="246"/>
      <c r="BJ601" s="246"/>
    </row>
    <row r="602" spans="2:62">
      <c r="B602" s="7"/>
      <c r="C602" s="334"/>
      <c r="D602" s="334"/>
      <c r="E602" s="334"/>
      <c r="F602" s="334"/>
      <c r="G602" s="334"/>
      <c r="H602" s="334"/>
      <c r="I602" s="334"/>
      <c r="J602" s="334"/>
      <c r="K602" s="334"/>
      <c r="L602" s="334"/>
      <c r="M602" s="334"/>
      <c r="N602" s="334"/>
      <c r="O602" s="334"/>
      <c r="P602" s="334"/>
      <c r="Q602" s="334"/>
      <c r="R602" s="334"/>
      <c r="S602" s="334"/>
      <c r="T602" s="334"/>
      <c r="U602" s="334"/>
      <c r="W602" s="334"/>
      <c r="X602" s="334"/>
      <c r="Y602" s="246"/>
      <c r="Z602" s="246"/>
      <c r="AA602" s="246"/>
      <c r="AB602" s="246"/>
      <c r="AC602" s="246"/>
      <c r="AD602" s="246"/>
      <c r="AE602" s="246"/>
      <c r="AF602" s="246"/>
      <c r="AG602" s="246"/>
      <c r="AH602" s="246"/>
      <c r="AI602" s="246"/>
      <c r="AJ602" s="246"/>
      <c r="AK602" s="246"/>
      <c r="AL602" s="246"/>
      <c r="AM602" s="246"/>
      <c r="AN602" s="246"/>
      <c r="AO602" s="246"/>
      <c r="AP602" s="246"/>
      <c r="AQ602" s="246"/>
      <c r="AR602" s="246"/>
      <c r="AS602" s="246"/>
      <c r="AT602" s="246"/>
      <c r="AU602" s="246"/>
      <c r="AV602" s="246"/>
      <c r="AW602" s="246"/>
      <c r="AX602" s="246"/>
      <c r="AY602" s="246"/>
      <c r="AZ602" s="246"/>
      <c r="BA602" s="246"/>
      <c r="BB602" s="246"/>
      <c r="BC602" s="246"/>
      <c r="BD602" s="246"/>
      <c r="BE602" s="246"/>
      <c r="BF602" s="246"/>
      <c r="BG602" s="246"/>
      <c r="BH602" s="246"/>
      <c r="BI602" s="246"/>
      <c r="BJ602" s="246"/>
    </row>
    <row r="603" spans="2:62">
      <c r="B603" s="7"/>
      <c r="C603" s="334"/>
      <c r="D603" s="334"/>
      <c r="E603" s="334"/>
      <c r="F603" s="334"/>
      <c r="G603" s="334"/>
      <c r="H603" s="334"/>
      <c r="I603" s="334"/>
      <c r="J603" s="334"/>
      <c r="K603" s="334"/>
      <c r="L603" s="334"/>
      <c r="M603" s="334"/>
      <c r="N603" s="334"/>
      <c r="O603" s="334"/>
      <c r="P603" s="334"/>
      <c r="Q603" s="334"/>
      <c r="R603" s="334"/>
      <c r="S603" s="334"/>
      <c r="T603" s="334"/>
      <c r="U603" s="334"/>
      <c r="W603" s="334"/>
      <c r="X603" s="334"/>
      <c r="Y603" s="246"/>
      <c r="Z603" s="246"/>
      <c r="AA603" s="246"/>
      <c r="AB603" s="246"/>
      <c r="AC603" s="246"/>
      <c r="AD603" s="246"/>
      <c r="AE603" s="246"/>
      <c r="AF603" s="246"/>
      <c r="AG603" s="246"/>
      <c r="AH603" s="246"/>
      <c r="AI603" s="246"/>
      <c r="AJ603" s="246"/>
      <c r="AK603" s="246"/>
      <c r="AL603" s="246"/>
      <c r="AM603" s="246"/>
      <c r="AN603" s="246"/>
      <c r="AO603" s="246"/>
      <c r="AP603" s="246"/>
      <c r="AQ603" s="246"/>
      <c r="AR603" s="246"/>
      <c r="AS603" s="246"/>
      <c r="AT603" s="246"/>
      <c r="AU603" s="246"/>
      <c r="AV603" s="246"/>
      <c r="AW603" s="246"/>
      <c r="AX603" s="246"/>
      <c r="AY603" s="246"/>
      <c r="AZ603" s="246"/>
      <c r="BA603" s="246"/>
      <c r="BB603" s="246"/>
      <c r="BC603" s="246"/>
      <c r="BD603" s="246"/>
      <c r="BE603" s="246"/>
      <c r="BF603" s="246"/>
      <c r="BG603" s="246"/>
      <c r="BH603" s="246"/>
      <c r="BI603" s="246"/>
      <c r="BJ603" s="246"/>
    </row>
    <row r="604" spans="2:62">
      <c r="B604" s="7"/>
      <c r="C604" s="334"/>
      <c r="D604" s="334"/>
      <c r="E604" s="334"/>
      <c r="F604" s="334"/>
      <c r="G604" s="334"/>
      <c r="H604" s="334"/>
      <c r="I604" s="334"/>
      <c r="J604" s="334"/>
      <c r="K604" s="334"/>
      <c r="L604" s="334"/>
      <c r="M604" s="334"/>
      <c r="N604" s="334"/>
      <c r="O604" s="334"/>
      <c r="P604" s="334"/>
      <c r="Q604" s="334"/>
      <c r="R604" s="334"/>
      <c r="S604" s="334"/>
      <c r="T604" s="334"/>
      <c r="U604" s="334"/>
      <c r="W604" s="334"/>
      <c r="X604" s="334"/>
      <c r="Y604" s="246"/>
      <c r="Z604" s="246"/>
      <c r="AA604" s="246"/>
      <c r="AB604" s="246"/>
      <c r="AC604" s="246"/>
      <c r="AD604" s="246"/>
      <c r="AE604" s="246"/>
      <c r="AF604" s="246"/>
      <c r="AG604" s="246"/>
      <c r="AH604" s="246"/>
      <c r="AI604" s="246"/>
      <c r="AJ604" s="246"/>
      <c r="AK604" s="246"/>
      <c r="AL604" s="246"/>
      <c r="AM604" s="246"/>
      <c r="AN604" s="246"/>
      <c r="AO604" s="246"/>
      <c r="AP604" s="246"/>
      <c r="AQ604" s="246"/>
      <c r="AR604" s="246"/>
      <c r="AS604" s="246"/>
      <c r="AT604" s="246"/>
      <c r="AU604" s="246"/>
      <c r="AV604" s="246"/>
      <c r="AW604" s="246"/>
      <c r="AX604" s="246"/>
      <c r="AY604" s="246"/>
      <c r="AZ604" s="246"/>
      <c r="BA604" s="246"/>
      <c r="BB604" s="246"/>
      <c r="BC604" s="246"/>
      <c r="BD604" s="246"/>
      <c r="BE604" s="246"/>
      <c r="BF604" s="246"/>
      <c r="BG604" s="246"/>
      <c r="BH604" s="246"/>
      <c r="BI604" s="246"/>
      <c r="BJ604" s="246"/>
    </row>
    <row r="605" spans="2:62">
      <c r="B605" s="7"/>
      <c r="C605" s="334"/>
      <c r="D605" s="334"/>
      <c r="E605" s="334"/>
      <c r="F605" s="334"/>
      <c r="G605" s="334"/>
      <c r="H605" s="334"/>
      <c r="I605" s="334"/>
      <c r="J605" s="334"/>
      <c r="K605" s="334"/>
      <c r="L605" s="334"/>
      <c r="M605" s="334"/>
      <c r="N605" s="334"/>
      <c r="O605" s="334"/>
      <c r="P605" s="334"/>
      <c r="Q605" s="334"/>
      <c r="R605" s="334"/>
      <c r="S605" s="334"/>
      <c r="T605" s="334"/>
      <c r="U605" s="334"/>
      <c r="W605" s="334"/>
      <c r="X605" s="334"/>
      <c r="Y605" s="246"/>
      <c r="Z605" s="246"/>
      <c r="AA605" s="246"/>
      <c r="AB605" s="246"/>
      <c r="AC605" s="246"/>
      <c r="AD605" s="246"/>
      <c r="AE605" s="246"/>
      <c r="AF605" s="246"/>
      <c r="AG605" s="246"/>
      <c r="AH605" s="246"/>
      <c r="AI605" s="246"/>
      <c r="AJ605" s="246"/>
      <c r="AK605" s="246"/>
      <c r="AL605" s="246"/>
      <c r="AM605" s="246"/>
      <c r="AN605" s="246"/>
      <c r="AO605" s="246"/>
      <c r="AP605" s="246"/>
      <c r="AQ605" s="246"/>
      <c r="AR605" s="246"/>
      <c r="AS605" s="246"/>
      <c r="AT605" s="246"/>
      <c r="AU605" s="246"/>
      <c r="AV605" s="246"/>
      <c r="AW605" s="246"/>
      <c r="AX605" s="246"/>
      <c r="AY605" s="246"/>
      <c r="AZ605" s="246"/>
      <c r="BA605" s="246"/>
      <c r="BB605" s="246"/>
      <c r="BC605" s="246"/>
      <c r="BD605" s="246"/>
      <c r="BE605" s="246"/>
      <c r="BF605" s="246"/>
      <c r="BG605" s="246"/>
      <c r="BH605" s="246"/>
      <c r="BI605" s="246"/>
      <c r="BJ605" s="246"/>
    </row>
    <row r="606" spans="2:62">
      <c r="B606" s="7"/>
      <c r="C606" s="334"/>
      <c r="D606" s="334"/>
      <c r="E606" s="334"/>
      <c r="F606" s="334"/>
      <c r="G606" s="334"/>
      <c r="H606" s="334"/>
      <c r="I606" s="334"/>
      <c r="J606" s="334"/>
      <c r="K606" s="334"/>
      <c r="L606" s="334"/>
      <c r="M606" s="334"/>
      <c r="N606" s="334"/>
      <c r="O606" s="334"/>
      <c r="P606" s="334"/>
      <c r="Q606" s="334"/>
      <c r="R606" s="334"/>
      <c r="S606" s="334"/>
      <c r="T606" s="334"/>
      <c r="U606" s="334"/>
      <c r="W606" s="334"/>
      <c r="X606" s="334"/>
      <c r="Y606" s="246"/>
      <c r="Z606" s="246"/>
      <c r="AA606" s="246"/>
      <c r="AB606" s="246"/>
      <c r="AC606" s="246"/>
      <c r="AD606" s="246"/>
      <c r="AE606" s="246"/>
      <c r="AF606" s="246"/>
      <c r="AG606" s="246"/>
      <c r="AH606" s="246"/>
      <c r="AI606" s="246"/>
      <c r="AJ606" s="246"/>
      <c r="AK606" s="246"/>
      <c r="AL606" s="246"/>
      <c r="AM606" s="246"/>
      <c r="AN606" s="246"/>
      <c r="AO606" s="246"/>
      <c r="AP606" s="246"/>
      <c r="AQ606" s="246"/>
      <c r="AR606" s="246"/>
      <c r="AS606" s="246"/>
      <c r="AT606" s="246"/>
      <c r="AU606" s="246"/>
      <c r="AV606" s="246"/>
      <c r="AW606" s="246"/>
      <c r="AX606" s="246"/>
      <c r="AY606" s="246"/>
      <c r="AZ606" s="246"/>
      <c r="BA606" s="246"/>
      <c r="BB606" s="246"/>
      <c r="BC606" s="246"/>
      <c r="BD606" s="246"/>
      <c r="BE606" s="246"/>
      <c r="BF606" s="246"/>
      <c r="BG606" s="246"/>
      <c r="BH606" s="246"/>
      <c r="BI606" s="246"/>
      <c r="BJ606" s="246"/>
    </row>
    <row r="607" spans="2:62">
      <c r="B607" s="7"/>
      <c r="C607" s="334"/>
      <c r="D607" s="334"/>
      <c r="E607" s="334"/>
      <c r="F607" s="334"/>
      <c r="G607" s="334"/>
      <c r="H607" s="334"/>
      <c r="I607" s="334"/>
      <c r="J607" s="334"/>
      <c r="K607" s="334"/>
      <c r="L607" s="334"/>
      <c r="M607" s="334"/>
      <c r="N607" s="334"/>
      <c r="O607" s="334"/>
      <c r="P607" s="334"/>
      <c r="Q607" s="334"/>
      <c r="R607" s="334"/>
      <c r="S607" s="334"/>
      <c r="T607" s="334"/>
      <c r="U607" s="334"/>
      <c r="W607" s="334"/>
      <c r="X607" s="334"/>
      <c r="Y607" s="246"/>
      <c r="Z607" s="246"/>
      <c r="AA607" s="246"/>
      <c r="AB607" s="246"/>
      <c r="AC607" s="246"/>
      <c r="AD607" s="246"/>
      <c r="AE607" s="246"/>
      <c r="AF607" s="246"/>
      <c r="AG607" s="246"/>
      <c r="AH607" s="246"/>
      <c r="AI607" s="246"/>
      <c r="AJ607" s="246"/>
      <c r="AK607" s="246"/>
      <c r="AL607" s="246"/>
      <c r="AM607" s="246"/>
      <c r="AN607" s="246"/>
      <c r="AO607" s="246"/>
      <c r="AP607" s="246"/>
      <c r="AQ607" s="246"/>
      <c r="AR607" s="246"/>
      <c r="AS607" s="246"/>
      <c r="AT607" s="246"/>
      <c r="AU607" s="246"/>
      <c r="AV607" s="246"/>
      <c r="AW607" s="246"/>
      <c r="AX607" s="246"/>
      <c r="AY607" s="246"/>
      <c r="AZ607" s="246"/>
      <c r="BA607" s="246"/>
      <c r="BB607" s="246"/>
      <c r="BC607" s="246"/>
      <c r="BD607" s="246"/>
      <c r="BE607" s="246"/>
      <c r="BF607" s="246"/>
      <c r="BG607" s="246"/>
      <c r="BH607" s="246"/>
      <c r="BI607" s="246"/>
      <c r="BJ607" s="246"/>
    </row>
    <row r="608" spans="2:62">
      <c r="B608" s="7"/>
      <c r="C608" s="334"/>
      <c r="D608" s="334"/>
      <c r="E608" s="334"/>
      <c r="F608" s="334"/>
      <c r="G608" s="334"/>
      <c r="H608" s="334"/>
      <c r="I608" s="334"/>
      <c r="J608" s="334"/>
      <c r="K608" s="334"/>
      <c r="L608" s="334"/>
      <c r="M608" s="334"/>
      <c r="N608" s="334"/>
      <c r="O608" s="334"/>
      <c r="P608" s="334"/>
      <c r="Q608" s="334"/>
      <c r="R608" s="334"/>
      <c r="S608" s="334"/>
      <c r="T608" s="334"/>
      <c r="U608" s="334"/>
      <c r="W608" s="334"/>
      <c r="X608" s="334"/>
      <c r="Y608" s="246"/>
      <c r="Z608" s="246"/>
      <c r="AA608" s="246"/>
      <c r="AB608" s="246"/>
      <c r="AC608" s="246"/>
      <c r="AD608" s="246"/>
      <c r="AE608" s="246"/>
      <c r="AF608" s="246"/>
      <c r="AG608" s="246"/>
      <c r="AH608" s="246"/>
      <c r="AI608" s="246"/>
      <c r="AJ608" s="246"/>
      <c r="AK608" s="246"/>
      <c r="AL608" s="246"/>
      <c r="AM608" s="246"/>
      <c r="AN608" s="246"/>
      <c r="AO608" s="246"/>
      <c r="AP608" s="246"/>
      <c r="AQ608" s="246"/>
      <c r="AR608" s="246"/>
      <c r="AS608" s="246"/>
      <c r="AT608" s="246"/>
      <c r="AU608" s="246"/>
      <c r="AV608" s="246"/>
      <c r="AW608" s="246"/>
      <c r="AX608" s="246"/>
      <c r="AY608" s="246"/>
      <c r="AZ608" s="246"/>
      <c r="BA608" s="246"/>
      <c r="BB608" s="246"/>
      <c r="BC608" s="246"/>
      <c r="BD608" s="246"/>
      <c r="BE608" s="246"/>
      <c r="BF608" s="246"/>
      <c r="BG608" s="246"/>
      <c r="BH608" s="246"/>
      <c r="BI608" s="246"/>
      <c r="BJ608" s="246"/>
    </row>
    <row r="609" spans="2:62">
      <c r="B609" s="7"/>
      <c r="C609" s="334"/>
      <c r="D609" s="334"/>
      <c r="E609" s="334"/>
      <c r="F609" s="334"/>
      <c r="G609" s="334"/>
      <c r="H609" s="334"/>
      <c r="I609" s="334"/>
      <c r="J609" s="334"/>
      <c r="K609" s="334"/>
      <c r="L609" s="334"/>
      <c r="M609" s="334"/>
      <c r="N609" s="334"/>
      <c r="O609" s="334"/>
      <c r="P609" s="334"/>
      <c r="Q609" s="334"/>
      <c r="R609" s="334"/>
      <c r="S609" s="334"/>
      <c r="T609" s="334"/>
      <c r="U609" s="334"/>
      <c r="W609" s="334"/>
      <c r="X609" s="334"/>
      <c r="Y609" s="246"/>
      <c r="Z609" s="246"/>
      <c r="AA609" s="246"/>
      <c r="AB609" s="246"/>
      <c r="AC609" s="246"/>
      <c r="AD609" s="246"/>
      <c r="AE609" s="246"/>
      <c r="AF609" s="246"/>
      <c r="AG609" s="246"/>
      <c r="AH609" s="246"/>
      <c r="AI609" s="246"/>
      <c r="AJ609" s="246"/>
      <c r="AK609" s="246"/>
      <c r="AL609" s="246"/>
      <c r="AM609" s="246"/>
      <c r="AN609" s="246"/>
      <c r="AO609" s="246"/>
      <c r="AP609" s="246"/>
      <c r="AQ609" s="246"/>
      <c r="AR609" s="246"/>
      <c r="AS609" s="246"/>
      <c r="AT609" s="246"/>
      <c r="AU609" s="246"/>
      <c r="AV609" s="246"/>
      <c r="AW609" s="246"/>
      <c r="AX609" s="246"/>
      <c r="AY609" s="246"/>
      <c r="AZ609" s="246"/>
      <c r="BA609" s="246"/>
      <c r="BB609" s="246"/>
      <c r="BC609" s="246"/>
      <c r="BD609" s="246"/>
      <c r="BE609" s="246"/>
      <c r="BF609" s="246"/>
      <c r="BG609" s="246"/>
      <c r="BH609" s="246"/>
      <c r="BI609" s="246"/>
      <c r="BJ609" s="246"/>
    </row>
    <row r="610" spans="2:62">
      <c r="B610" s="7"/>
      <c r="C610" s="334"/>
      <c r="D610" s="334"/>
      <c r="E610" s="334"/>
      <c r="F610" s="334"/>
      <c r="G610" s="334"/>
      <c r="H610" s="334"/>
      <c r="I610" s="334"/>
      <c r="J610" s="334"/>
      <c r="K610" s="334"/>
      <c r="L610" s="334"/>
      <c r="M610" s="334"/>
      <c r="N610" s="334"/>
      <c r="O610" s="334"/>
      <c r="P610" s="334"/>
      <c r="Q610" s="334"/>
      <c r="R610" s="334"/>
      <c r="S610" s="334"/>
      <c r="T610" s="334"/>
      <c r="U610" s="334"/>
      <c r="W610" s="334"/>
      <c r="X610" s="334"/>
      <c r="Y610" s="246"/>
      <c r="Z610" s="246"/>
      <c r="AA610" s="246"/>
      <c r="AB610" s="246"/>
      <c r="AC610" s="246"/>
      <c r="AD610" s="246"/>
      <c r="AE610" s="246"/>
      <c r="AF610" s="246"/>
      <c r="AG610" s="246"/>
      <c r="AH610" s="246"/>
      <c r="AI610" s="246"/>
      <c r="AJ610" s="246"/>
      <c r="AK610" s="246"/>
      <c r="AL610" s="246"/>
      <c r="AM610" s="246"/>
      <c r="AN610" s="246"/>
      <c r="AO610" s="246"/>
      <c r="AP610" s="246"/>
      <c r="AQ610" s="246"/>
      <c r="AR610" s="246"/>
      <c r="AS610" s="246"/>
      <c r="AT610" s="246"/>
      <c r="AU610" s="246"/>
      <c r="AV610" s="246"/>
      <c r="AW610" s="246"/>
      <c r="AX610" s="246"/>
      <c r="AY610" s="246"/>
      <c r="AZ610" s="246"/>
      <c r="BA610" s="246"/>
      <c r="BB610" s="246"/>
      <c r="BC610" s="246"/>
      <c r="BD610" s="246"/>
      <c r="BE610" s="246"/>
      <c r="BF610" s="246"/>
      <c r="BG610" s="246"/>
      <c r="BH610" s="246"/>
      <c r="BI610" s="246"/>
      <c r="BJ610" s="246"/>
    </row>
    <row r="611" spans="2:62">
      <c r="B611" s="7"/>
      <c r="C611" s="334"/>
      <c r="D611" s="334"/>
      <c r="E611" s="334"/>
      <c r="F611" s="334"/>
      <c r="G611" s="334"/>
      <c r="H611" s="334"/>
      <c r="I611" s="334"/>
      <c r="J611" s="334"/>
      <c r="K611" s="334"/>
      <c r="L611" s="334"/>
      <c r="M611" s="334"/>
      <c r="N611" s="334"/>
      <c r="O611" s="334"/>
      <c r="P611" s="334"/>
      <c r="Q611" s="334"/>
      <c r="R611" s="334"/>
      <c r="S611" s="334"/>
      <c r="T611" s="334"/>
      <c r="U611" s="334"/>
      <c r="W611" s="334"/>
      <c r="X611" s="334"/>
      <c r="Y611" s="246"/>
      <c r="Z611" s="246"/>
      <c r="AA611" s="246"/>
      <c r="AB611" s="246"/>
      <c r="AC611" s="246"/>
      <c r="AD611" s="246"/>
      <c r="AE611" s="246"/>
      <c r="AF611" s="246"/>
      <c r="AG611" s="246"/>
      <c r="AH611" s="246"/>
      <c r="AI611" s="246"/>
      <c r="AJ611" s="246"/>
      <c r="AK611" s="246"/>
      <c r="AL611" s="246"/>
      <c r="AM611" s="246"/>
      <c r="AN611" s="246"/>
      <c r="AO611" s="246"/>
      <c r="AP611" s="246"/>
      <c r="AQ611" s="246"/>
      <c r="AR611" s="246"/>
      <c r="AS611" s="246"/>
      <c r="AT611" s="246"/>
      <c r="AU611" s="246"/>
      <c r="AV611" s="246"/>
      <c r="AW611" s="246"/>
      <c r="AX611" s="246"/>
      <c r="AY611" s="246"/>
      <c r="AZ611" s="246"/>
      <c r="BA611" s="246"/>
      <c r="BB611" s="246"/>
      <c r="BC611" s="246"/>
      <c r="BD611" s="246"/>
      <c r="BE611" s="246"/>
      <c r="BF611" s="246"/>
      <c r="BG611" s="246"/>
      <c r="BH611" s="246"/>
      <c r="BI611" s="246"/>
      <c r="BJ611" s="246"/>
    </row>
    <row r="612" spans="2:62">
      <c r="B612" s="7"/>
      <c r="C612" s="334"/>
      <c r="D612" s="334"/>
      <c r="E612" s="334"/>
      <c r="F612" s="334"/>
      <c r="G612" s="334"/>
      <c r="H612" s="334"/>
      <c r="I612" s="334"/>
      <c r="J612" s="334"/>
      <c r="K612" s="334"/>
      <c r="L612" s="334"/>
      <c r="M612" s="334"/>
      <c r="N612" s="334"/>
      <c r="O612" s="334"/>
      <c r="P612" s="334"/>
      <c r="Q612" s="334"/>
      <c r="R612" s="334"/>
      <c r="S612" s="334"/>
      <c r="T612" s="334"/>
      <c r="U612" s="334"/>
      <c r="W612" s="334"/>
      <c r="X612" s="334"/>
      <c r="Y612" s="246"/>
      <c r="Z612" s="246"/>
      <c r="AA612" s="246"/>
      <c r="AB612" s="246"/>
      <c r="AC612" s="246"/>
      <c r="AD612" s="246"/>
      <c r="AE612" s="246"/>
      <c r="AF612" s="246"/>
      <c r="AG612" s="246"/>
      <c r="AH612" s="246"/>
      <c r="AI612" s="246"/>
      <c r="AJ612" s="246"/>
      <c r="AK612" s="246"/>
      <c r="AL612" s="246"/>
      <c r="AM612" s="246"/>
      <c r="AN612" s="246"/>
      <c r="AO612" s="246"/>
      <c r="AP612" s="246"/>
      <c r="AQ612" s="246"/>
      <c r="AR612" s="246"/>
      <c r="AS612" s="246"/>
      <c r="AT612" s="246"/>
      <c r="AU612" s="246"/>
      <c r="AV612" s="246"/>
      <c r="AW612" s="246"/>
      <c r="AX612" s="246"/>
      <c r="AY612" s="246"/>
      <c r="AZ612" s="246"/>
      <c r="BA612" s="246"/>
      <c r="BB612" s="246"/>
      <c r="BC612" s="246"/>
      <c r="BD612" s="246"/>
      <c r="BE612" s="246"/>
      <c r="BF612" s="246"/>
      <c r="BG612" s="246"/>
      <c r="BH612" s="246"/>
      <c r="BI612" s="246"/>
      <c r="BJ612" s="246"/>
    </row>
    <row r="613" spans="2:62">
      <c r="B613" s="7"/>
      <c r="C613" s="334"/>
      <c r="D613" s="334"/>
      <c r="E613" s="334"/>
      <c r="F613" s="334"/>
      <c r="G613" s="334"/>
      <c r="H613" s="334"/>
      <c r="I613" s="334"/>
      <c r="J613" s="334"/>
      <c r="K613" s="334"/>
      <c r="L613" s="334"/>
      <c r="M613" s="334"/>
      <c r="N613" s="334"/>
      <c r="O613" s="334"/>
      <c r="P613" s="334"/>
      <c r="Q613" s="334"/>
      <c r="R613" s="334"/>
      <c r="S613" s="334"/>
      <c r="T613" s="334"/>
      <c r="U613" s="334"/>
      <c r="W613" s="334"/>
      <c r="X613" s="334"/>
      <c r="Y613" s="246"/>
      <c r="Z613" s="246"/>
      <c r="AA613" s="246"/>
      <c r="AB613" s="246"/>
      <c r="AC613" s="246"/>
      <c r="AD613" s="246"/>
      <c r="AE613" s="246"/>
      <c r="AF613" s="246"/>
      <c r="AG613" s="246"/>
      <c r="AH613" s="246"/>
      <c r="AI613" s="246"/>
      <c r="AJ613" s="246"/>
      <c r="AK613" s="246"/>
      <c r="AL613" s="246"/>
      <c r="AM613" s="246"/>
      <c r="AN613" s="246"/>
      <c r="AO613" s="246"/>
      <c r="AP613" s="246"/>
      <c r="AQ613" s="246"/>
      <c r="AR613" s="246"/>
      <c r="AS613" s="246"/>
      <c r="AT613" s="246"/>
      <c r="AU613" s="246"/>
      <c r="AV613" s="246"/>
      <c r="AW613" s="246"/>
      <c r="AX613" s="246"/>
      <c r="AY613" s="246"/>
      <c r="AZ613" s="246"/>
      <c r="BA613" s="246"/>
      <c r="BB613" s="246"/>
      <c r="BC613" s="246"/>
      <c r="BD613" s="246"/>
      <c r="BE613" s="246"/>
      <c r="BF613" s="246"/>
      <c r="BG613" s="246"/>
      <c r="BH613" s="246"/>
      <c r="BI613" s="246"/>
      <c r="BJ613" s="246"/>
    </row>
    <row r="614" spans="2:62">
      <c r="B614" s="7"/>
      <c r="C614" s="334"/>
      <c r="D614" s="334"/>
      <c r="E614" s="334"/>
      <c r="F614" s="334"/>
      <c r="G614" s="334"/>
      <c r="H614" s="334"/>
      <c r="I614" s="334"/>
      <c r="J614" s="334"/>
      <c r="K614" s="334"/>
      <c r="L614" s="334"/>
      <c r="M614" s="334"/>
      <c r="N614" s="334"/>
      <c r="O614" s="334"/>
      <c r="P614" s="334"/>
      <c r="Q614" s="334"/>
      <c r="R614" s="334"/>
      <c r="S614" s="334"/>
      <c r="T614" s="334"/>
      <c r="U614" s="334"/>
      <c r="W614" s="334"/>
      <c r="X614" s="334"/>
      <c r="Y614" s="246"/>
      <c r="Z614" s="246"/>
      <c r="AA614" s="246"/>
      <c r="AB614" s="246"/>
      <c r="AC614" s="246"/>
      <c r="AD614" s="246"/>
      <c r="AE614" s="246"/>
      <c r="AF614" s="246"/>
      <c r="AG614" s="246"/>
      <c r="AH614" s="246"/>
      <c r="AI614" s="246"/>
      <c r="AJ614" s="246"/>
      <c r="AK614" s="246"/>
      <c r="AL614" s="246"/>
      <c r="AM614" s="246"/>
      <c r="AN614" s="246"/>
      <c r="AO614" s="246"/>
      <c r="AP614" s="246"/>
      <c r="AQ614" s="246"/>
      <c r="AR614" s="246"/>
      <c r="AS614" s="246"/>
      <c r="AT614" s="246"/>
      <c r="AU614" s="246"/>
      <c r="AV614" s="246"/>
      <c r="AW614" s="246"/>
      <c r="AX614" s="246"/>
      <c r="AY614" s="246"/>
      <c r="AZ614" s="246"/>
      <c r="BA614" s="246"/>
      <c r="BB614" s="246"/>
      <c r="BC614" s="246"/>
      <c r="BD614" s="246"/>
      <c r="BE614" s="246"/>
      <c r="BF614" s="246"/>
      <c r="BG614" s="246"/>
      <c r="BH614" s="246"/>
      <c r="BI614" s="246"/>
      <c r="BJ614" s="246"/>
    </row>
    <row r="615" spans="2:62">
      <c r="B615" s="7"/>
      <c r="C615" s="334"/>
      <c r="D615" s="334"/>
      <c r="E615" s="334"/>
      <c r="F615" s="334"/>
      <c r="G615" s="334"/>
      <c r="H615" s="334"/>
      <c r="I615" s="334"/>
      <c r="J615" s="334"/>
      <c r="K615" s="334"/>
      <c r="L615" s="334"/>
      <c r="M615" s="334"/>
      <c r="N615" s="334"/>
      <c r="O615" s="334"/>
      <c r="P615" s="334"/>
      <c r="Q615" s="334"/>
      <c r="R615" s="334"/>
      <c r="S615" s="334"/>
      <c r="T615" s="334"/>
      <c r="U615" s="334"/>
      <c r="W615" s="334"/>
      <c r="X615" s="334"/>
      <c r="Y615" s="246"/>
      <c r="Z615" s="246"/>
      <c r="AA615" s="246"/>
      <c r="AB615" s="246"/>
      <c r="AC615" s="246"/>
      <c r="AD615" s="246"/>
      <c r="AE615" s="246"/>
      <c r="AF615" s="246"/>
      <c r="AG615" s="246"/>
      <c r="AH615" s="246"/>
      <c r="AI615" s="246"/>
      <c r="AJ615" s="246"/>
      <c r="AK615" s="246"/>
      <c r="AL615" s="246"/>
      <c r="AM615" s="246"/>
      <c r="AN615" s="246"/>
      <c r="AO615" s="246"/>
      <c r="AP615" s="246"/>
      <c r="AQ615" s="246"/>
      <c r="AR615" s="246"/>
      <c r="AS615" s="246"/>
      <c r="AT615" s="246"/>
      <c r="AU615" s="246"/>
      <c r="AV615" s="246"/>
      <c r="AW615" s="246"/>
      <c r="AX615" s="246"/>
      <c r="AY615" s="246"/>
      <c r="AZ615" s="246"/>
      <c r="BA615" s="246"/>
      <c r="BB615" s="246"/>
      <c r="BC615" s="246"/>
      <c r="BD615" s="246"/>
      <c r="BE615" s="246"/>
      <c r="BF615" s="246"/>
      <c r="BG615" s="246"/>
      <c r="BH615" s="246"/>
      <c r="BI615" s="246"/>
      <c r="BJ615" s="246"/>
    </row>
    <row r="616" spans="2:62">
      <c r="B616" s="7"/>
      <c r="C616" s="334"/>
      <c r="D616" s="334"/>
      <c r="E616" s="334"/>
      <c r="F616" s="334"/>
      <c r="G616" s="334"/>
      <c r="H616" s="334"/>
      <c r="I616" s="334"/>
      <c r="J616" s="334"/>
      <c r="K616" s="334"/>
      <c r="L616" s="334"/>
      <c r="M616" s="334"/>
      <c r="N616" s="334"/>
      <c r="O616" s="334"/>
      <c r="P616" s="334"/>
      <c r="Q616" s="334"/>
      <c r="R616" s="334"/>
      <c r="S616" s="334"/>
      <c r="T616" s="334"/>
      <c r="U616" s="334"/>
      <c r="W616" s="334"/>
      <c r="X616" s="334"/>
      <c r="Y616" s="246"/>
      <c r="Z616" s="246"/>
      <c r="AA616" s="246"/>
      <c r="AB616" s="246"/>
      <c r="AC616" s="246"/>
      <c r="AD616" s="246"/>
      <c r="AE616" s="246"/>
      <c r="AF616" s="246"/>
      <c r="AG616" s="246"/>
      <c r="AH616" s="246"/>
      <c r="AI616" s="246"/>
      <c r="AJ616" s="246"/>
      <c r="AK616" s="246"/>
      <c r="AL616" s="246"/>
      <c r="AM616" s="246"/>
      <c r="AN616" s="246"/>
      <c r="AO616" s="246"/>
      <c r="AP616" s="246"/>
      <c r="AQ616" s="246"/>
      <c r="AR616" s="246"/>
      <c r="AS616" s="246"/>
      <c r="AT616" s="246"/>
      <c r="AU616" s="246"/>
      <c r="AV616" s="246"/>
      <c r="AW616" s="246"/>
      <c r="AX616" s="246"/>
      <c r="AY616" s="246"/>
      <c r="AZ616" s="246"/>
      <c r="BA616" s="246"/>
      <c r="BB616" s="246"/>
      <c r="BC616" s="246"/>
      <c r="BD616" s="246"/>
      <c r="BE616" s="246"/>
      <c r="BF616" s="246"/>
      <c r="BG616" s="246"/>
      <c r="BH616" s="246"/>
      <c r="BI616" s="246"/>
      <c r="BJ616" s="246"/>
    </row>
    <row r="617" spans="2:62">
      <c r="B617" s="7"/>
      <c r="C617" s="334"/>
      <c r="D617" s="334"/>
      <c r="E617" s="334"/>
      <c r="F617" s="334"/>
      <c r="G617" s="334"/>
      <c r="H617" s="334"/>
      <c r="I617" s="334"/>
      <c r="J617" s="334"/>
      <c r="K617" s="334"/>
      <c r="L617" s="334"/>
      <c r="M617" s="334"/>
      <c r="N617" s="334"/>
      <c r="O617" s="334"/>
      <c r="P617" s="334"/>
      <c r="Q617" s="334"/>
      <c r="R617" s="334"/>
      <c r="S617" s="334"/>
      <c r="T617" s="334"/>
      <c r="U617" s="334"/>
      <c r="W617" s="334"/>
      <c r="X617" s="334"/>
      <c r="Y617" s="246"/>
      <c r="Z617" s="246"/>
      <c r="AA617" s="246"/>
      <c r="AB617" s="246"/>
      <c r="AC617" s="246"/>
      <c r="AD617" s="246"/>
      <c r="AE617" s="246"/>
      <c r="AF617" s="246"/>
      <c r="AG617" s="246"/>
      <c r="AH617" s="246"/>
      <c r="AI617" s="246"/>
      <c r="AJ617" s="246"/>
      <c r="AK617" s="246"/>
      <c r="AL617" s="246"/>
      <c r="AM617" s="246"/>
      <c r="AN617" s="246"/>
      <c r="AO617" s="246"/>
      <c r="AP617" s="246"/>
      <c r="AQ617" s="246"/>
      <c r="AR617" s="246"/>
      <c r="AS617" s="246"/>
      <c r="AT617" s="246"/>
      <c r="AU617" s="246"/>
      <c r="AV617" s="246"/>
      <c r="AW617" s="246"/>
      <c r="AX617" s="246"/>
      <c r="AY617" s="246"/>
      <c r="AZ617" s="246"/>
      <c r="BA617" s="246"/>
      <c r="BB617" s="246"/>
      <c r="BC617" s="246"/>
      <c r="BD617" s="246"/>
      <c r="BE617" s="246"/>
      <c r="BF617" s="246"/>
      <c r="BG617" s="246"/>
      <c r="BH617" s="246"/>
      <c r="BI617" s="246"/>
      <c r="BJ617" s="246"/>
    </row>
    <row r="618" spans="2:62">
      <c r="B618" s="7"/>
      <c r="C618" s="334"/>
      <c r="D618" s="334"/>
      <c r="E618" s="334"/>
      <c r="F618" s="334"/>
      <c r="G618" s="334"/>
      <c r="H618" s="334"/>
      <c r="I618" s="334"/>
      <c r="J618" s="334"/>
      <c r="K618" s="334"/>
      <c r="L618" s="334"/>
      <c r="M618" s="334"/>
      <c r="N618" s="334"/>
      <c r="O618" s="334"/>
      <c r="P618" s="334"/>
      <c r="Q618" s="334"/>
      <c r="R618" s="334"/>
      <c r="S618" s="334"/>
      <c r="T618" s="334"/>
      <c r="U618" s="334"/>
      <c r="W618" s="334"/>
      <c r="X618" s="334"/>
      <c r="Y618" s="246"/>
      <c r="Z618" s="246"/>
      <c r="AA618" s="246"/>
      <c r="AB618" s="246"/>
      <c r="AC618" s="246"/>
      <c r="AD618" s="246"/>
      <c r="AE618" s="246"/>
      <c r="AF618" s="246"/>
      <c r="AG618" s="246"/>
      <c r="AH618" s="246"/>
      <c r="AI618" s="246"/>
      <c r="AJ618" s="246"/>
      <c r="AK618" s="246"/>
      <c r="AL618" s="246"/>
      <c r="AM618" s="246"/>
      <c r="AN618" s="246"/>
      <c r="AO618" s="246"/>
      <c r="AP618" s="246"/>
      <c r="AQ618" s="246"/>
      <c r="AR618" s="246"/>
      <c r="AS618" s="246"/>
      <c r="AT618" s="246"/>
      <c r="AU618" s="246"/>
      <c r="AV618" s="246"/>
      <c r="AW618" s="246"/>
      <c r="AX618" s="246"/>
      <c r="AY618" s="246"/>
      <c r="AZ618" s="246"/>
      <c r="BA618" s="246"/>
      <c r="BB618" s="246"/>
      <c r="BC618" s="246"/>
      <c r="BD618" s="246"/>
      <c r="BE618" s="246"/>
      <c r="BF618" s="246"/>
      <c r="BG618" s="246"/>
      <c r="BH618" s="246"/>
      <c r="BI618" s="246"/>
      <c r="BJ618" s="246"/>
    </row>
    <row r="619" spans="2:62">
      <c r="B619" s="7"/>
      <c r="C619" s="334"/>
      <c r="D619" s="334"/>
      <c r="E619" s="334"/>
      <c r="F619" s="334"/>
      <c r="G619" s="334"/>
      <c r="H619" s="334"/>
      <c r="I619" s="334"/>
      <c r="J619" s="334"/>
      <c r="K619" s="334"/>
      <c r="L619" s="334"/>
      <c r="M619" s="334"/>
      <c r="N619" s="334"/>
      <c r="O619" s="334"/>
      <c r="P619" s="334"/>
      <c r="Q619" s="334"/>
      <c r="R619" s="334"/>
      <c r="S619" s="334"/>
      <c r="T619" s="334"/>
      <c r="U619" s="334"/>
      <c r="W619" s="334"/>
      <c r="X619" s="334"/>
      <c r="Y619" s="246"/>
      <c r="Z619" s="246"/>
      <c r="AA619" s="246"/>
      <c r="AB619" s="246"/>
      <c r="AC619" s="246"/>
      <c r="AD619" s="246"/>
      <c r="AE619" s="246"/>
      <c r="AF619" s="246"/>
      <c r="AG619" s="246"/>
      <c r="AH619" s="246"/>
      <c r="AI619" s="246"/>
      <c r="AJ619" s="246"/>
      <c r="AK619" s="246"/>
      <c r="AL619" s="246"/>
      <c r="AM619" s="246"/>
      <c r="AN619" s="246"/>
      <c r="AO619" s="246"/>
      <c r="AP619" s="246"/>
      <c r="AQ619" s="246"/>
      <c r="AR619" s="246"/>
      <c r="AS619" s="246"/>
      <c r="AT619" s="246"/>
      <c r="AU619" s="246"/>
      <c r="AV619" s="246"/>
      <c r="AW619" s="246"/>
      <c r="AX619" s="246"/>
      <c r="AY619" s="246"/>
      <c r="AZ619" s="246"/>
      <c r="BA619" s="246"/>
      <c r="BB619" s="246"/>
      <c r="BC619" s="246"/>
      <c r="BD619" s="246"/>
      <c r="BE619" s="246"/>
      <c r="BF619" s="246"/>
      <c r="BG619" s="246"/>
      <c r="BH619" s="246"/>
      <c r="BI619" s="246"/>
      <c r="BJ619" s="246"/>
    </row>
    <row r="620" spans="2:62">
      <c r="B620" s="7"/>
      <c r="C620" s="334"/>
      <c r="D620" s="334"/>
      <c r="E620" s="334"/>
      <c r="F620" s="334"/>
      <c r="G620" s="334"/>
      <c r="H620" s="334"/>
      <c r="I620" s="334"/>
      <c r="J620" s="334"/>
      <c r="K620" s="334"/>
      <c r="L620" s="334"/>
      <c r="M620" s="334"/>
      <c r="N620" s="334"/>
      <c r="O620" s="334"/>
      <c r="P620" s="334"/>
      <c r="Q620" s="334"/>
      <c r="R620" s="334"/>
      <c r="S620" s="334"/>
      <c r="T620" s="334"/>
      <c r="U620" s="334"/>
      <c r="W620" s="334"/>
      <c r="X620" s="334"/>
      <c r="Y620" s="246"/>
      <c r="Z620" s="246"/>
      <c r="AA620" s="246"/>
      <c r="AB620" s="246"/>
      <c r="AC620" s="246"/>
      <c r="AD620" s="246"/>
      <c r="AE620" s="246"/>
      <c r="AF620" s="246"/>
      <c r="AG620" s="246"/>
      <c r="AH620" s="246"/>
      <c r="AI620" s="246"/>
      <c r="AJ620" s="246"/>
      <c r="AK620" s="246"/>
      <c r="AL620" s="246"/>
      <c r="AM620" s="246"/>
      <c r="AN620" s="246"/>
      <c r="AO620" s="246"/>
      <c r="AP620" s="246"/>
      <c r="AQ620" s="246"/>
      <c r="AR620" s="246"/>
      <c r="AS620" s="246"/>
      <c r="AT620" s="246"/>
      <c r="AU620" s="246"/>
      <c r="AV620" s="246"/>
      <c r="AW620" s="246"/>
      <c r="AX620" s="246"/>
      <c r="AY620" s="246"/>
      <c r="AZ620" s="246"/>
      <c r="BA620" s="246"/>
      <c r="BB620" s="246"/>
      <c r="BC620" s="246"/>
      <c r="BD620" s="246"/>
      <c r="BE620" s="246"/>
      <c r="BF620" s="246"/>
      <c r="BG620" s="246"/>
      <c r="BH620" s="246"/>
      <c r="BI620" s="246"/>
      <c r="BJ620" s="246"/>
    </row>
    <row r="621" spans="2:62">
      <c r="B621" s="7"/>
      <c r="C621" s="334"/>
      <c r="D621" s="334"/>
      <c r="E621" s="334"/>
      <c r="F621" s="334"/>
      <c r="G621" s="334"/>
      <c r="H621" s="334"/>
      <c r="I621" s="334"/>
      <c r="J621" s="334"/>
      <c r="K621" s="334"/>
      <c r="L621" s="334"/>
      <c r="M621" s="334"/>
      <c r="N621" s="334"/>
      <c r="O621" s="334"/>
      <c r="P621" s="334"/>
      <c r="Q621" s="334"/>
      <c r="R621" s="334"/>
      <c r="S621" s="334"/>
      <c r="T621" s="334"/>
      <c r="U621" s="334"/>
      <c r="W621" s="334"/>
      <c r="X621" s="334"/>
      <c r="Y621" s="246"/>
      <c r="Z621" s="246"/>
      <c r="AA621" s="246"/>
      <c r="AB621" s="246"/>
      <c r="AC621" s="246"/>
      <c r="AD621" s="246"/>
      <c r="AE621" s="246"/>
      <c r="AF621" s="246"/>
      <c r="AG621" s="246"/>
      <c r="AH621" s="246"/>
      <c r="AI621" s="246"/>
      <c r="AJ621" s="246"/>
      <c r="AK621" s="246"/>
      <c r="AL621" s="246"/>
      <c r="AM621" s="246"/>
      <c r="AN621" s="246"/>
      <c r="AO621" s="246"/>
      <c r="AP621" s="246"/>
      <c r="AQ621" s="246"/>
      <c r="AR621" s="246"/>
      <c r="AS621" s="246"/>
      <c r="AT621" s="246"/>
      <c r="AU621" s="246"/>
      <c r="AV621" s="246"/>
      <c r="AW621" s="246"/>
      <c r="AX621" s="246"/>
      <c r="AY621" s="246"/>
      <c r="AZ621" s="246"/>
      <c r="BA621" s="246"/>
      <c r="BB621" s="246"/>
      <c r="BC621" s="246"/>
      <c r="BD621" s="246"/>
      <c r="BE621" s="246"/>
      <c r="BF621" s="246"/>
      <c r="BG621" s="246"/>
      <c r="BH621" s="246"/>
      <c r="BI621" s="246"/>
      <c r="BJ621" s="246"/>
    </row>
    <row r="622" spans="2:62">
      <c r="B622" s="7"/>
      <c r="C622" s="334"/>
      <c r="D622" s="334"/>
      <c r="E622" s="334"/>
      <c r="F622" s="334"/>
      <c r="G622" s="334"/>
      <c r="H622" s="334"/>
      <c r="I622" s="334"/>
      <c r="J622" s="334"/>
      <c r="K622" s="334"/>
      <c r="L622" s="334"/>
      <c r="M622" s="334"/>
      <c r="N622" s="334"/>
      <c r="O622" s="334"/>
      <c r="P622" s="334"/>
      <c r="Q622" s="334"/>
      <c r="R622" s="334"/>
      <c r="S622" s="334"/>
      <c r="T622" s="334"/>
      <c r="U622" s="334"/>
      <c r="W622" s="334"/>
      <c r="X622" s="334"/>
      <c r="Y622" s="246"/>
      <c r="Z622" s="246"/>
      <c r="AA622" s="246"/>
      <c r="AB622" s="246"/>
      <c r="AC622" s="246"/>
      <c r="AD622" s="246"/>
      <c r="AE622" s="246"/>
      <c r="AF622" s="246"/>
      <c r="AG622" s="246"/>
      <c r="AH622" s="246"/>
      <c r="AI622" s="246"/>
      <c r="AJ622" s="246"/>
      <c r="AK622" s="246"/>
      <c r="AL622" s="246"/>
      <c r="AM622" s="246"/>
      <c r="AN622" s="246"/>
      <c r="AO622" s="246"/>
      <c r="AP622" s="246"/>
      <c r="AQ622" s="246"/>
      <c r="AR622" s="246"/>
      <c r="AS622" s="246"/>
      <c r="AT622" s="246"/>
      <c r="AU622" s="246"/>
      <c r="AV622" s="246"/>
      <c r="AW622" s="246"/>
      <c r="AX622" s="246"/>
      <c r="AY622" s="246"/>
      <c r="AZ622" s="246"/>
      <c r="BA622" s="246"/>
      <c r="BB622" s="246"/>
      <c r="BC622" s="246"/>
      <c r="BD622" s="246"/>
      <c r="BE622" s="246"/>
      <c r="BF622" s="246"/>
      <c r="BG622" s="246"/>
      <c r="BH622" s="246"/>
      <c r="BI622" s="246"/>
      <c r="BJ622" s="246"/>
    </row>
    <row r="623" spans="2:62">
      <c r="B623" s="7"/>
      <c r="C623" s="334"/>
      <c r="D623" s="334"/>
      <c r="E623" s="334"/>
      <c r="F623" s="334"/>
      <c r="G623" s="334"/>
      <c r="H623" s="334"/>
      <c r="I623" s="334"/>
      <c r="J623" s="334"/>
      <c r="K623" s="334"/>
      <c r="L623" s="334"/>
      <c r="M623" s="334"/>
      <c r="N623" s="334"/>
      <c r="O623" s="334"/>
      <c r="P623" s="334"/>
      <c r="Q623" s="334"/>
      <c r="R623" s="334"/>
      <c r="S623" s="334"/>
      <c r="T623" s="334"/>
      <c r="U623" s="334"/>
      <c r="W623" s="334"/>
      <c r="X623" s="334"/>
      <c r="Y623" s="246"/>
      <c r="Z623" s="246"/>
      <c r="AA623" s="246"/>
      <c r="AB623" s="246"/>
      <c r="AC623" s="246"/>
      <c r="AD623" s="246"/>
      <c r="AE623" s="246"/>
      <c r="AF623" s="246"/>
      <c r="AG623" s="246"/>
      <c r="AH623" s="246"/>
      <c r="AI623" s="246"/>
      <c r="AJ623" s="246"/>
      <c r="AK623" s="246"/>
      <c r="AL623" s="246"/>
      <c r="AM623" s="246"/>
      <c r="AN623" s="246"/>
      <c r="AO623" s="246"/>
      <c r="AP623" s="246"/>
      <c r="AQ623" s="246"/>
      <c r="AR623" s="246"/>
      <c r="AS623" s="246"/>
      <c r="AT623" s="246"/>
      <c r="AU623" s="246"/>
      <c r="AV623" s="246"/>
      <c r="AW623" s="246"/>
      <c r="AX623" s="246"/>
      <c r="AY623" s="246"/>
      <c r="AZ623" s="246"/>
      <c r="BA623" s="246"/>
      <c r="BB623" s="246"/>
      <c r="BC623" s="246"/>
      <c r="BD623" s="246"/>
      <c r="BE623" s="246"/>
      <c r="BF623" s="246"/>
      <c r="BG623" s="246"/>
      <c r="BH623" s="246"/>
      <c r="BI623" s="246"/>
      <c r="BJ623" s="246"/>
    </row>
    <row r="624" spans="2:62">
      <c r="B624" s="7"/>
      <c r="C624" s="334"/>
      <c r="D624" s="334"/>
      <c r="E624" s="334"/>
      <c r="F624" s="334"/>
      <c r="G624" s="334"/>
      <c r="H624" s="334"/>
      <c r="I624" s="334"/>
      <c r="J624" s="334"/>
      <c r="K624" s="334"/>
      <c r="L624" s="334"/>
      <c r="M624" s="334"/>
      <c r="N624" s="334"/>
      <c r="O624" s="334"/>
      <c r="P624" s="334"/>
      <c r="Q624" s="334"/>
      <c r="R624" s="334"/>
      <c r="S624" s="334"/>
      <c r="T624" s="334"/>
      <c r="U624" s="334"/>
      <c r="W624" s="334"/>
      <c r="X624" s="334"/>
      <c r="Y624" s="246"/>
      <c r="Z624" s="246"/>
      <c r="AA624" s="246"/>
      <c r="AB624" s="246"/>
      <c r="AC624" s="246"/>
      <c r="AD624" s="246"/>
      <c r="AE624" s="246"/>
      <c r="AF624" s="246"/>
      <c r="AG624" s="246"/>
      <c r="AH624" s="246"/>
      <c r="AI624" s="246"/>
      <c r="AJ624" s="246"/>
      <c r="AK624" s="246"/>
      <c r="AL624" s="246"/>
      <c r="AM624" s="246"/>
      <c r="AN624" s="246"/>
      <c r="AO624" s="246"/>
      <c r="AP624" s="246"/>
      <c r="AQ624" s="246"/>
      <c r="AR624" s="246"/>
      <c r="AS624" s="246"/>
      <c r="AT624" s="246"/>
      <c r="AU624" s="246"/>
      <c r="AV624" s="246"/>
      <c r="AW624" s="246"/>
      <c r="AX624" s="246"/>
      <c r="AY624" s="246"/>
      <c r="AZ624" s="246"/>
      <c r="BA624" s="246"/>
      <c r="BB624" s="246"/>
      <c r="BC624" s="246"/>
      <c r="BD624" s="246"/>
      <c r="BE624" s="246"/>
      <c r="BF624" s="246"/>
      <c r="BG624" s="246"/>
      <c r="BH624" s="246"/>
      <c r="BI624" s="246"/>
      <c r="BJ624" s="246"/>
    </row>
    <row r="625" spans="2:62">
      <c r="B625" s="7"/>
      <c r="C625" s="334"/>
      <c r="D625" s="334"/>
      <c r="E625" s="334"/>
      <c r="F625" s="334"/>
      <c r="G625" s="334"/>
      <c r="H625" s="334"/>
      <c r="I625" s="334"/>
      <c r="J625" s="334"/>
      <c r="K625" s="334"/>
      <c r="L625" s="334"/>
      <c r="M625" s="334"/>
      <c r="N625" s="334"/>
      <c r="O625" s="334"/>
      <c r="P625" s="334"/>
      <c r="Q625" s="334"/>
      <c r="R625" s="334"/>
      <c r="S625" s="334"/>
      <c r="T625" s="334"/>
      <c r="U625" s="334"/>
      <c r="W625" s="334"/>
      <c r="X625" s="334"/>
      <c r="Y625" s="246"/>
      <c r="Z625" s="246"/>
      <c r="AA625" s="246"/>
      <c r="AB625" s="246"/>
      <c r="AC625" s="246"/>
      <c r="AD625" s="246"/>
      <c r="AE625" s="246"/>
      <c r="AF625" s="246"/>
      <c r="AG625" s="246"/>
      <c r="AH625" s="246"/>
      <c r="AI625" s="246"/>
      <c r="AJ625" s="246"/>
      <c r="AK625" s="246"/>
      <c r="AL625" s="246"/>
      <c r="AM625" s="246"/>
      <c r="AN625" s="246"/>
      <c r="AO625" s="246"/>
      <c r="AP625" s="246"/>
      <c r="AQ625" s="246"/>
      <c r="AR625" s="246"/>
      <c r="AS625" s="246"/>
      <c r="AT625" s="246"/>
      <c r="AU625" s="246"/>
      <c r="AV625" s="246"/>
      <c r="AW625" s="246"/>
      <c r="AX625" s="246"/>
      <c r="AY625" s="246"/>
      <c r="AZ625" s="246"/>
      <c r="BA625" s="246"/>
      <c r="BB625" s="246"/>
      <c r="BC625" s="246"/>
      <c r="BD625" s="246"/>
      <c r="BE625" s="246"/>
      <c r="BF625" s="246"/>
      <c r="BG625" s="246"/>
      <c r="BH625" s="246"/>
      <c r="BI625" s="246"/>
      <c r="BJ625" s="246"/>
    </row>
    <row r="626" spans="2:62">
      <c r="B626" s="7"/>
      <c r="C626" s="334"/>
      <c r="D626" s="334"/>
      <c r="E626" s="334"/>
      <c r="F626" s="334"/>
      <c r="G626" s="334"/>
      <c r="H626" s="334"/>
      <c r="I626" s="334"/>
      <c r="J626" s="334"/>
      <c r="K626" s="334"/>
      <c r="L626" s="334"/>
      <c r="M626" s="334"/>
      <c r="N626" s="334"/>
      <c r="O626" s="334"/>
      <c r="P626" s="334"/>
      <c r="Q626" s="334"/>
      <c r="R626" s="334"/>
      <c r="S626" s="334"/>
      <c r="T626" s="334"/>
      <c r="U626" s="334"/>
      <c r="W626" s="334"/>
      <c r="X626" s="334"/>
      <c r="Y626" s="246"/>
      <c r="Z626" s="246"/>
      <c r="AA626" s="246"/>
      <c r="AB626" s="246"/>
      <c r="AC626" s="246"/>
      <c r="AD626" s="246"/>
      <c r="AE626" s="246"/>
      <c r="AF626" s="246"/>
      <c r="AG626" s="246"/>
      <c r="AH626" s="246"/>
      <c r="AI626" s="246"/>
      <c r="AJ626" s="246"/>
      <c r="AK626" s="246"/>
      <c r="AL626" s="246"/>
      <c r="AM626" s="246"/>
      <c r="AN626" s="246"/>
      <c r="AO626" s="246"/>
      <c r="AP626" s="246"/>
      <c r="AQ626" s="246"/>
      <c r="AR626" s="246"/>
      <c r="AS626" s="246"/>
      <c r="AT626" s="246"/>
      <c r="AU626" s="246"/>
      <c r="AV626" s="246"/>
      <c r="AW626" s="246"/>
      <c r="AX626" s="246"/>
      <c r="AY626" s="246"/>
      <c r="AZ626" s="246"/>
      <c r="BA626" s="246"/>
      <c r="BB626" s="246"/>
      <c r="BC626" s="246"/>
      <c r="BD626" s="246"/>
      <c r="BE626" s="246"/>
      <c r="BF626" s="246"/>
      <c r="BG626" s="246"/>
      <c r="BH626" s="246"/>
      <c r="BI626" s="246"/>
      <c r="BJ626" s="246"/>
    </row>
    <row r="627" spans="2:62">
      <c r="B627" s="7"/>
      <c r="C627" s="334"/>
      <c r="D627" s="334"/>
      <c r="E627" s="334"/>
      <c r="F627" s="334"/>
      <c r="G627" s="334"/>
      <c r="H627" s="334"/>
      <c r="I627" s="334"/>
      <c r="J627" s="334"/>
      <c r="K627" s="334"/>
      <c r="L627" s="334"/>
      <c r="M627" s="334"/>
      <c r="N627" s="334"/>
      <c r="O627" s="334"/>
      <c r="P627" s="334"/>
      <c r="Q627" s="334"/>
      <c r="R627" s="334"/>
      <c r="S627" s="334"/>
      <c r="T627" s="334"/>
      <c r="U627" s="334"/>
      <c r="W627" s="334"/>
      <c r="X627" s="334"/>
      <c r="Y627" s="246"/>
      <c r="Z627" s="246"/>
      <c r="AA627" s="246"/>
      <c r="AB627" s="246"/>
      <c r="AC627" s="246"/>
      <c r="AD627" s="246"/>
      <c r="AE627" s="246"/>
      <c r="AF627" s="246"/>
      <c r="AG627" s="246"/>
      <c r="AH627" s="246"/>
      <c r="AI627" s="246"/>
      <c r="AJ627" s="246"/>
      <c r="AK627" s="246"/>
      <c r="AL627" s="246"/>
      <c r="AM627" s="246"/>
      <c r="AN627" s="246"/>
      <c r="AO627" s="246"/>
      <c r="AP627" s="246"/>
      <c r="AQ627" s="246"/>
      <c r="AR627" s="246"/>
      <c r="AS627" s="246"/>
      <c r="AT627" s="246"/>
      <c r="AU627" s="246"/>
      <c r="AV627" s="246"/>
      <c r="AW627" s="246"/>
      <c r="AX627" s="246"/>
      <c r="AY627" s="246"/>
      <c r="AZ627" s="246"/>
      <c r="BA627" s="246"/>
      <c r="BB627" s="246"/>
      <c r="BC627" s="246"/>
      <c r="BD627" s="246"/>
      <c r="BE627" s="246"/>
      <c r="BF627" s="246"/>
      <c r="BG627" s="246"/>
      <c r="BH627" s="246"/>
      <c r="BI627" s="246"/>
      <c r="BJ627" s="246"/>
    </row>
    <row r="628" spans="2:62">
      <c r="B628" s="7"/>
      <c r="C628" s="334"/>
      <c r="D628" s="334"/>
      <c r="E628" s="334"/>
      <c r="F628" s="334"/>
      <c r="G628" s="334"/>
      <c r="H628" s="334"/>
      <c r="I628" s="334"/>
      <c r="J628" s="334"/>
      <c r="K628" s="334"/>
      <c r="L628" s="334"/>
      <c r="M628" s="334"/>
      <c r="N628" s="334"/>
      <c r="O628" s="334"/>
      <c r="P628" s="334"/>
      <c r="Q628" s="334"/>
      <c r="R628" s="334"/>
      <c r="S628" s="334"/>
      <c r="T628" s="334"/>
      <c r="U628" s="334"/>
      <c r="W628" s="334"/>
      <c r="X628" s="334"/>
      <c r="Y628" s="246"/>
      <c r="Z628" s="246"/>
      <c r="AA628" s="246"/>
      <c r="AB628" s="246"/>
      <c r="AC628" s="246"/>
      <c r="AD628" s="246"/>
      <c r="AE628" s="246"/>
      <c r="AF628" s="246"/>
      <c r="AG628" s="246"/>
      <c r="AH628" s="246"/>
      <c r="AI628" s="246"/>
      <c r="AJ628" s="246"/>
      <c r="AK628" s="246"/>
      <c r="AL628" s="246"/>
      <c r="AM628" s="246"/>
      <c r="AN628" s="246"/>
      <c r="AO628" s="246"/>
      <c r="AP628" s="246"/>
      <c r="AQ628" s="246"/>
      <c r="AR628" s="246"/>
      <c r="AS628" s="246"/>
      <c r="AT628" s="246"/>
      <c r="AU628" s="246"/>
      <c r="AV628" s="246"/>
      <c r="AW628" s="246"/>
      <c r="AX628" s="246"/>
      <c r="AY628" s="246"/>
      <c r="AZ628" s="246"/>
      <c r="BA628" s="246"/>
      <c r="BB628" s="246"/>
      <c r="BC628" s="246"/>
      <c r="BD628" s="246"/>
      <c r="BE628" s="246"/>
      <c r="BF628" s="246"/>
      <c r="BG628" s="246"/>
      <c r="BH628" s="246"/>
      <c r="BI628" s="246"/>
      <c r="BJ628" s="246"/>
    </row>
    <row r="629" spans="2:62">
      <c r="B629" s="7"/>
      <c r="C629" s="334"/>
      <c r="D629" s="334"/>
      <c r="E629" s="334"/>
      <c r="F629" s="334"/>
      <c r="G629" s="334"/>
      <c r="H629" s="334"/>
      <c r="I629" s="334"/>
      <c r="J629" s="334"/>
      <c r="K629" s="334"/>
      <c r="L629" s="334"/>
      <c r="M629" s="334"/>
      <c r="N629" s="334"/>
      <c r="O629" s="334"/>
      <c r="P629" s="334"/>
      <c r="Q629" s="334"/>
      <c r="R629" s="334"/>
      <c r="S629" s="334"/>
      <c r="T629" s="334"/>
      <c r="U629" s="334"/>
      <c r="W629" s="334"/>
      <c r="X629" s="334"/>
      <c r="Y629" s="246"/>
      <c r="Z629" s="246"/>
      <c r="AA629" s="246"/>
      <c r="AB629" s="246"/>
      <c r="AC629" s="246"/>
      <c r="AD629" s="246"/>
      <c r="AE629" s="246"/>
      <c r="AF629" s="246"/>
      <c r="AG629" s="246"/>
      <c r="AH629" s="246"/>
      <c r="AI629" s="246"/>
      <c r="AJ629" s="246"/>
      <c r="AK629" s="246"/>
      <c r="AL629" s="246"/>
      <c r="AM629" s="246"/>
      <c r="AN629" s="246"/>
      <c r="AO629" s="246"/>
      <c r="AP629" s="246"/>
      <c r="AQ629" s="246"/>
      <c r="AR629" s="246"/>
      <c r="AS629" s="246"/>
      <c r="AT629" s="246"/>
      <c r="AU629" s="246"/>
      <c r="AV629" s="246"/>
      <c r="AW629" s="246"/>
      <c r="AX629" s="246"/>
      <c r="AY629" s="246"/>
      <c r="AZ629" s="246"/>
      <c r="BA629" s="246"/>
      <c r="BB629" s="246"/>
      <c r="BC629" s="246"/>
      <c r="BD629" s="246"/>
      <c r="BE629" s="246"/>
      <c r="BF629" s="246"/>
      <c r="BG629" s="246"/>
      <c r="BH629" s="246"/>
      <c r="BI629" s="246"/>
      <c r="BJ629" s="246"/>
    </row>
    <row r="630" spans="2:62">
      <c r="B630" s="7"/>
      <c r="C630" s="334"/>
      <c r="D630" s="334"/>
      <c r="E630" s="334"/>
      <c r="F630" s="334"/>
      <c r="G630" s="334"/>
      <c r="H630" s="334"/>
      <c r="I630" s="334"/>
      <c r="J630" s="334"/>
      <c r="K630" s="334"/>
      <c r="L630" s="334"/>
      <c r="M630" s="334"/>
      <c r="N630" s="334"/>
      <c r="O630" s="334"/>
      <c r="P630" s="334"/>
      <c r="Q630" s="334"/>
      <c r="R630" s="334"/>
      <c r="S630" s="334"/>
      <c r="T630" s="334"/>
      <c r="U630" s="334"/>
      <c r="W630" s="334"/>
      <c r="X630" s="334"/>
      <c r="Y630" s="246"/>
      <c r="Z630" s="246"/>
      <c r="AA630" s="246"/>
      <c r="AB630" s="246"/>
      <c r="AC630" s="246"/>
      <c r="AD630" s="246"/>
      <c r="AE630" s="246"/>
      <c r="AF630" s="246"/>
      <c r="AG630" s="246"/>
      <c r="AH630" s="246"/>
      <c r="AI630" s="246"/>
      <c r="AJ630" s="246"/>
      <c r="AK630" s="246"/>
      <c r="AL630" s="246"/>
      <c r="AM630" s="246"/>
      <c r="AN630" s="246"/>
      <c r="AO630" s="246"/>
      <c r="AP630" s="246"/>
      <c r="AQ630" s="246"/>
      <c r="AR630" s="246"/>
      <c r="AS630" s="246"/>
      <c r="AT630" s="246"/>
      <c r="AU630" s="246"/>
      <c r="AV630" s="246"/>
      <c r="AW630" s="246"/>
      <c r="AX630" s="246"/>
      <c r="AY630" s="246"/>
      <c r="AZ630" s="246"/>
      <c r="BA630" s="246"/>
      <c r="BB630" s="246"/>
      <c r="BC630" s="246"/>
      <c r="BD630" s="246"/>
      <c r="BE630" s="246"/>
      <c r="BF630" s="246"/>
      <c r="BG630" s="246"/>
      <c r="BH630" s="246"/>
      <c r="BI630" s="246"/>
      <c r="BJ630" s="246"/>
    </row>
    <row r="631" spans="2:62">
      <c r="B631" s="7"/>
      <c r="C631" s="334"/>
      <c r="D631" s="334"/>
      <c r="E631" s="334"/>
      <c r="F631" s="334"/>
      <c r="G631" s="334"/>
      <c r="H631" s="334"/>
      <c r="I631" s="334"/>
      <c r="J631" s="334"/>
      <c r="K631" s="334"/>
      <c r="L631" s="334"/>
      <c r="M631" s="334"/>
      <c r="N631" s="334"/>
      <c r="O631" s="334"/>
      <c r="P631" s="334"/>
      <c r="Q631" s="334"/>
      <c r="R631" s="334"/>
      <c r="S631" s="334"/>
      <c r="T631" s="334"/>
      <c r="U631" s="334"/>
      <c r="W631" s="334"/>
      <c r="X631" s="334"/>
      <c r="Y631" s="246"/>
      <c r="Z631" s="246"/>
      <c r="AA631" s="246"/>
      <c r="AB631" s="246"/>
      <c r="AC631" s="246"/>
      <c r="AD631" s="246"/>
      <c r="AE631" s="246"/>
      <c r="AF631" s="246"/>
      <c r="AG631" s="246"/>
      <c r="AH631" s="246"/>
      <c r="AI631" s="246"/>
      <c r="AJ631" s="246"/>
      <c r="AK631" s="246"/>
      <c r="AL631" s="246"/>
      <c r="AM631" s="246"/>
      <c r="AN631" s="246"/>
      <c r="AO631" s="246"/>
      <c r="AP631" s="246"/>
      <c r="AQ631" s="246"/>
      <c r="AR631" s="246"/>
      <c r="AS631" s="246"/>
      <c r="AT631" s="246"/>
      <c r="AU631" s="246"/>
      <c r="AV631" s="246"/>
      <c r="AW631" s="246"/>
      <c r="AX631" s="246"/>
      <c r="AY631" s="246"/>
      <c r="AZ631" s="246"/>
      <c r="BA631" s="246"/>
      <c r="BB631" s="246"/>
      <c r="BC631" s="246"/>
      <c r="BD631" s="246"/>
      <c r="BE631" s="246"/>
      <c r="BF631" s="246"/>
      <c r="BG631" s="246"/>
      <c r="BH631" s="246"/>
      <c r="BI631" s="246"/>
      <c r="BJ631" s="246"/>
    </row>
    <row r="632" spans="2:62">
      <c r="B632" s="7"/>
      <c r="C632" s="334"/>
      <c r="D632" s="334"/>
      <c r="E632" s="334"/>
      <c r="F632" s="334"/>
      <c r="G632" s="334"/>
      <c r="H632" s="334"/>
      <c r="I632" s="334"/>
      <c r="J632" s="334"/>
      <c r="K632" s="334"/>
      <c r="L632" s="334"/>
      <c r="M632" s="334"/>
      <c r="N632" s="334"/>
      <c r="O632" s="334"/>
      <c r="P632" s="334"/>
      <c r="Q632" s="334"/>
      <c r="R632" s="334"/>
      <c r="S632" s="334"/>
      <c r="T632" s="334"/>
      <c r="U632" s="334"/>
      <c r="W632" s="334"/>
      <c r="X632" s="334"/>
      <c r="Y632" s="246"/>
      <c r="Z632" s="246"/>
      <c r="AA632" s="246"/>
      <c r="AB632" s="246"/>
      <c r="AC632" s="246"/>
      <c r="AD632" s="246"/>
      <c r="AE632" s="246"/>
      <c r="AF632" s="246"/>
      <c r="AG632" s="246"/>
      <c r="AH632" s="246"/>
      <c r="AI632" s="246"/>
      <c r="AJ632" s="246"/>
      <c r="AK632" s="246"/>
      <c r="AL632" s="246"/>
      <c r="AM632" s="246"/>
      <c r="AN632" s="246"/>
      <c r="AO632" s="246"/>
      <c r="AP632" s="246"/>
      <c r="AQ632" s="246"/>
      <c r="AR632" s="246"/>
      <c r="AS632" s="246"/>
      <c r="AT632" s="246"/>
      <c r="AU632" s="246"/>
      <c r="AV632" s="246"/>
      <c r="AW632" s="246"/>
      <c r="AX632" s="246"/>
      <c r="AY632" s="246"/>
      <c r="AZ632" s="246"/>
      <c r="BA632" s="246"/>
      <c r="BB632" s="246"/>
      <c r="BC632" s="246"/>
      <c r="BD632" s="246"/>
      <c r="BE632" s="246"/>
      <c r="BF632" s="246"/>
      <c r="BG632" s="246"/>
      <c r="BH632" s="246"/>
      <c r="BI632" s="246"/>
      <c r="BJ632" s="246"/>
    </row>
    <row r="633" spans="2:62">
      <c r="B633" s="7"/>
      <c r="C633" s="334"/>
      <c r="D633" s="334"/>
      <c r="E633" s="334"/>
      <c r="F633" s="334"/>
      <c r="G633" s="334"/>
      <c r="H633" s="334"/>
      <c r="I633" s="334"/>
      <c r="J633" s="334"/>
      <c r="K633" s="334"/>
      <c r="L633" s="334"/>
      <c r="M633" s="334"/>
      <c r="N633" s="334"/>
      <c r="O633" s="334"/>
      <c r="P633" s="334"/>
      <c r="Q633" s="334"/>
      <c r="R633" s="334"/>
      <c r="S633" s="334"/>
      <c r="T633" s="334"/>
      <c r="U633" s="334"/>
      <c r="W633" s="334"/>
      <c r="X633" s="334"/>
      <c r="Y633" s="246"/>
      <c r="Z633" s="246"/>
      <c r="AA633" s="246"/>
      <c r="AB633" s="246"/>
      <c r="AC633" s="246"/>
      <c r="AD633" s="246"/>
      <c r="AE633" s="246"/>
      <c r="AF633" s="246"/>
      <c r="AG633" s="246"/>
      <c r="AH633" s="246"/>
      <c r="AI633" s="246"/>
      <c r="AJ633" s="246"/>
      <c r="AK633" s="246"/>
      <c r="AL633" s="246"/>
      <c r="AM633" s="246"/>
      <c r="AN633" s="246"/>
      <c r="AO633" s="246"/>
      <c r="AP633" s="246"/>
      <c r="AQ633" s="246"/>
      <c r="AR633" s="246"/>
      <c r="AS633" s="246"/>
      <c r="AT633" s="246"/>
      <c r="AU633" s="246"/>
      <c r="AV633" s="246"/>
      <c r="AW633" s="246"/>
      <c r="AX633" s="246"/>
      <c r="AY633" s="246"/>
      <c r="AZ633" s="246"/>
      <c r="BA633" s="246"/>
      <c r="BB633" s="246"/>
      <c r="BC633" s="246"/>
      <c r="BD633" s="246"/>
      <c r="BE633" s="246"/>
      <c r="BF633" s="246"/>
      <c r="BG633" s="246"/>
      <c r="BH633" s="246"/>
      <c r="BI633" s="246"/>
      <c r="BJ633" s="246"/>
    </row>
    <row r="634" spans="2:62">
      <c r="B634" s="7"/>
      <c r="C634" s="334"/>
      <c r="D634" s="334"/>
      <c r="E634" s="334"/>
      <c r="F634" s="334"/>
      <c r="G634" s="334"/>
      <c r="H634" s="334"/>
      <c r="I634" s="334"/>
      <c r="J634" s="334"/>
      <c r="K634" s="334"/>
      <c r="L634" s="334"/>
      <c r="M634" s="334"/>
      <c r="N634" s="334"/>
      <c r="O634" s="334"/>
      <c r="P634" s="334"/>
      <c r="Q634" s="334"/>
      <c r="R634" s="334"/>
      <c r="S634" s="334"/>
      <c r="T634" s="334"/>
      <c r="U634" s="334"/>
      <c r="W634" s="334"/>
      <c r="X634" s="334"/>
      <c r="Y634" s="246"/>
      <c r="Z634" s="246"/>
      <c r="AA634" s="246"/>
      <c r="AB634" s="246"/>
      <c r="AC634" s="246"/>
      <c r="AD634" s="246"/>
      <c r="AE634" s="246"/>
      <c r="AF634" s="246"/>
      <c r="AG634" s="246"/>
      <c r="AH634" s="246"/>
      <c r="AI634" s="246"/>
      <c r="AJ634" s="246"/>
      <c r="AK634" s="246"/>
      <c r="AL634" s="246"/>
      <c r="AM634" s="246"/>
      <c r="AN634" s="246"/>
      <c r="AO634" s="246"/>
      <c r="AP634" s="246"/>
      <c r="AQ634" s="246"/>
      <c r="AR634" s="246"/>
      <c r="AS634" s="246"/>
      <c r="AT634" s="246"/>
      <c r="AU634" s="246"/>
      <c r="AV634" s="246"/>
      <c r="AW634" s="246"/>
      <c r="AX634" s="246"/>
      <c r="AY634" s="246"/>
      <c r="AZ634" s="246"/>
      <c r="BA634" s="246"/>
      <c r="BB634" s="246"/>
      <c r="BC634" s="246"/>
      <c r="BD634" s="246"/>
      <c r="BE634" s="246"/>
      <c r="BF634" s="246"/>
      <c r="BG634" s="246"/>
      <c r="BH634" s="246"/>
      <c r="BI634" s="246"/>
      <c r="BJ634" s="246"/>
    </row>
    <row r="635" spans="2:62">
      <c r="B635" s="7"/>
      <c r="C635" s="334"/>
      <c r="D635" s="334"/>
      <c r="E635" s="334"/>
      <c r="F635" s="334"/>
      <c r="G635" s="334"/>
      <c r="H635" s="334"/>
      <c r="I635" s="334"/>
      <c r="J635" s="334"/>
      <c r="K635" s="334"/>
      <c r="L635" s="334"/>
      <c r="M635" s="334"/>
      <c r="N635" s="334"/>
      <c r="O635" s="334"/>
      <c r="P635" s="334"/>
      <c r="Q635" s="334"/>
      <c r="R635" s="334"/>
      <c r="S635" s="334"/>
      <c r="T635" s="334"/>
      <c r="U635" s="334"/>
      <c r="W635" s="334"/>
      <c r="X635" s="334"/>
      <c r="Y635" s="246"/>
      <c r="Z635" s="246"/>
      <c r="AA635" s="246"/>
      <c r="AB635" s="246"/>
      <c r="AC635" s="246"/>
      <c r="AD635" s="246"/>
      <c r="AE635" s="246"/>
      <c r="AF635" s="246"/>
      <c r="AG635" s="246"/>
      <c r="AH635" s="246"/>
      <c r="AI635" s="246"/>
      <c r="AJ635" s="246"/>
      <c r="AK635" s="246"/>
      <c r="AL635" s="246"/>
      <c r="AM635" s="246"/>
      <c r="AN635" s="246"/>
      <c r="AO635" s="246"/>
      <c r="AP635" s="246"/>
      <c r="AQ635" s="246"/>
      <c r="AR635" s="246"/>
      <c r="AS635" s="246"/>
      <c r="AT635" s="246"/>
      <c r="AU635" s="246"/>
      <c r="AV635" s="246"/>
      <c r="AW635" s="246"/>
      <c r="AX635" s="246"/>
      <c r="AY635" s="246"/>
      <c r="AZ635" s="246"/>
      <c r="BA635" s="246"/>
      <c r="BB635" s="246"/>
      <c r="BC635" s="246"/>
      <c r="BD635" s="246"/>
      <c r="BE635" s="246"/>
      <c r="BF635" s="246"/>
      <c r="BG635" s="246"/>
      <c r="BH635" s="246"/>
      <c r="BI635" s="246"/>
      <c r="BJ635" s="246"/>
    </row>
    <row r="636" spans="2:62">
      <c r="B636" s="7"/>
      <c r="C636" s="334"/>
      <c r="D636" s="334"/>
      <c r="E636" s="334"/>
      <c r="F636" s="334"/>
      <c r="G636" s="334"/>
      <c r="H636" s="334"/>
      <c r="I636" s="334"/>
      <c r="J636" s="334"/>
      <c r="K636" s="334"/>
      <c r="L636" s="334"/>
      <c r="M636" s="334"/>
      <c r="N636" s="334"/>
      <c r="O636" s="334"/>
      <c r="P636" s="334"/>
      <c r="Q636" s="334"/>
      <c r="R636" s="334"/>
      <c r="S636" s="334"/>
      <c r="T636" s="334"/>
      <c r="U636" s="334"/>
      <c r="W636" s="334"/>
      <c r="X636" s="334"/>
      <c r="Y636" s="246"/>
      <c r="Z636" s="246"/>
      <c r="AA636" s="246"/>
      <c r="AB636" s="246"/>
      <c r="AC636" s="246"/>
      <c r="AD636" s="246"/>
      <c r="AE636" s="246"/>
      <c r="AF636" s="246"/>
      <c r="AG636" s="246"/>
      <c r="AH636" s="246"/>
      <c r="AI636" s="246"/>
      <c r="AJ636" s="246"/>
      <c r="AK636" s="246"/>
      <c r="AL636" s="246"/>
      <c r="AM636" s="246"/>
      <c r="AN636" s="246"/>
      <c r="AO636" s="246"/>
      <c r="AP636" s="246"/>
      <c r="AQ636" s="246"/>
      <c r="AR636" s="246"/>
      <c r="AS636" s="246"/>
      <c r="AT636" s="246"/>
      <c r="AU636" s="246"/>
      <c r="AV636" s="246"/>
      <c r="AW636" s="246"/>
      <c r="AX636" s="246"/>
      <c r="AY636" s="246"/>
      <c r="AZ636" s="246"/>
      <c r="BA636" s="246"/>
      <c r="BB636" s="246"/>
      <c r="BC636" s="246"/>
      <c r="BD636" s="246"/>
      <c r="BE636" s="246"/>
      <c r="BF636" s="246"/>
      <c r="BG636" s="246"/>
      <c r="BH636" s="246"/>
      <c r="BI636" s="246"/>
      <c r="BJ636" s="246"/>
    </row>
    <row r="637" spans="2:62">
      <c r="B637" s="7"/>
      <c r="C637" s="334"/>
      <c r="D637" s="334"/>
      <c r="E637" s="334"/>
      <c r="F637" s="334"/>
      <c r="G637" s="334"/>
      <c r="H637" s="334"/>
      <c r="I637" s="334"/>
      <c r="J637" s="334"/>
      <c r="K637" s="334"/>
      <c r="L637" s="334"/>
      <c r="M637" s="334"/>
      <c r="N637" s="334"/>
      <c r="O637" s="334"/>
      <c r="P637" s="334"/>
      <c r="Q637" s="334"/>
      <c r="R637" s="334"/>
      <c r="S637" s="334"/>
      <c r="T637" s="334"/>
      <c r="U637" s="334"/>
      <c r="W637" s="334"/>
      <c r="X637" s="334"/>
      <c r="Y637" s="246"/>
      <c r="Z637" s="246"/>
      <c r="AA637" s="246"/>
      <c r="AB637" s="246"/>
      <c r="AC637" s="246"/>
      <c r="AD637" s="246"/>
      <c r="AE637" s="246"/>
      <c r="AF637" s="246"/>
      <c r="AG637" s="246"/>
      <c r="AH637" s="246"/>
      <c r="AI637" s="246"/>
      <c r="AJ637" s="246"/>
      <c r="AK637" s="246"/>
      <c r="AL637" s="246"/>
      <c r="AM637" s="246"/>
      <c r="AN637" s="246"/>
      <c r="AO637" s="246"/>
      <c r="AP637" s="246"/>
      <c r="AQ637" s="246"/>
      <c r="AR637" s="246"/>
      <c r="AS637" s="246"/>
      <c r="AT637" s="246"/>
      <c r="AU637" s="246"/>
      <c r="AV637" s="246"/>
      <c r="AW637" s="246"/>
      <c r="AX637" s="246"/>
      <c r="AY637" s="246"/>
      <c r="AZ637" s="246"/>
      <c r="BA637" s="246"/>
      <c r="BB637" s="246"/>
      <c r="BC637" s="246"/>
      <c r="BD637" s="246"/>
      <c r="BE637" s="246"/>
      <c r="BF637" s="246"/>
      <c r="BG637" s="246"/>
      <c r="BH637" s="246"/>
      <c r="BI637" s="246"/>
      <c r="BJ637" s="246"/>
    </row>
    <row r="638" spans="2:62">
      <c r="B638" s="7"/>
      <c r="C638" s="334"/>
      <c r="D638" s="334"/>
      <c r="E638" s="334"/>
      <c r="F638" s="334"/>
      <c r="G638" s="334"/>
      <c r="H638" s="334"/>
      <c r="I638" s="334"/>
      <c r="J638" s="334"/>
      <c r="K638" s="334"/>
      <c r="L638" s="334"/>
      <c r="M638" s="334"/>
      <c r="N638" s="334"/>
      <c r="O638" s="334"/>
      <c r="P638" s="334"/>
      <c r="Q638" s="334"/>
      <c r="R638" s="334"/>
      <c r="S638" s="334"/>
      <c r="T638" s="334"/>
      <c r="U638" s="334"/>
      <c r="W638" s="334"/>
      <c r="X638" s="334"/>
      <c r="Y638" s="246"/>
      <c r="Z638" s="246"/>
      <c r="AA638" s="246"/>
      <c r="AB638" s="246"/>
      <c r="AC638" s="246"/>
      <c r="AD638" s="246"/>
      <c r="AE638" s="246"/>
      <c r="AF638" s="246"/>
      <c r="AG638" s="246"/>
      <c r="AH638" s="246"/>
      <c r="AI638" s="246"/>
      <c r="AJ638" s="246"/>
      <c r="AK638" s="246"/>
      <c r="AL638" s="246"/>
      <c r="AM638" s="246"/>
      <c r="AN638" s="246"/>
      <c r="AO638" s="246"/>
      <c r="AP638" s="246"/>
      <c r="AQ638" s="246"/>
      <c r="AR638" s="246"/>
      <c r="AS638" s="246"/>
      <c r="AT638" s="246"/>
      <c r="AU638" s="246"/>
      <c r="AV638" s="246"/>
      <c r="AW638" s="246"/>
      <c r="AX638" s="246"/>
      <c r="AY638" s="246"/>
      <c r="AZ638" s="246"/>
      <c r="BA638" s="246"/>
      <c r="BB638" s="246"/>
      <c r="BC638" s="246"/>
      <c r="BD638" s="246"/>
      <c r="BE638" s="246"/>
      <c r="BF638" s="246"/>
      <c r="BG638" s="246"/>
      <c r="BH638" s="246"/>
      <c r="BI638" s="246"/>
      <c r="BJ638" s="246"/>
    </row>
    <row r="639" spans="2:62">
      <c r="B639" s="7"/>
      <c r="C639" s="334"/>
      <c r="D639" s="334"/>
      <c r="E639" s="334"/>
      <c r="F639" s="334"/>
      <c r="G639" s="334"/>
      <c r="H639" s="334"/>
      <c r="I639" s="334"/>
      <c r="J639" s="334"/>
      <c r="K639" s="334"/>
      <c r="L639" s="334"/>
      <c r="M639" s="334"/>
      <c r="N639" s="334"/>
      <c r="O639" s="334"/>
      <c r="P639" s="334"/>
      <c r="Q639" s="334"/>
      <c r="R639" s="334"/>
      <c r="S639" s="334"/>
      <c r="T639" s="334"/>
      <c r="U639" s="334"/>
      <c r="W639" s="334"/>
      <c r="X639" s="334"/>
      <c r="Y639" s="246"/>
      <c r="Z639" s="246"/>
      <c r="AA639" s="246"/>
      <c r="AB639" s="246"/>
      <c r="AC639" s="246"/>
      <c r="AD639" s="246"/>
      <c r="AE639" s="246"/>
      <c r="AF639" s="246"/>
      <c r="AG639" s="246"/>
      <c r="AH639" s="246"/>
      <c r="AI639" s="246"/>
      <c r="AJ639" s="246"/>
      <c r="AK639" s="246"/>
      <c r="AL639" s="246"/>
      <c r="AM639" s="246"/>
      <c r="AN639" s="246"/>
      <c r="AO639" s="246"/>
      <c r="AP639" s="246"/>
      <c r="AQ639" s="246"/>
      <c r="AR639" s="246"/>
      <c r="AS639" s="246"/>
      <c r="AT639" s="246"/>
      <c r="AU639" s="246"/>
      <c r="AV639" s="246"/>
      <c r="AW639" s="246"/>
      <c r="AX639" s="246"/>
      <c r="AY639" s="246"/>
      <c r="AZ639" s="246"/>
      <c r="BA639" s="246"/>
      <c r="BB639" s="246"/>
      <c r="BC639" s="246"/>
      <c r="BD639" s="246"/>
      <c r="BE639" s="246"/>
      <c r="BF639" s="246"/>
      <c r="BG639" s="246"/>
      <c r="BH639" s="246"/>
      <c r="BI639" s="246"/>
      <c r="BJ639" s="246"/>
    </row>
    <row r="640" spans="2:62">
      <c r="B640" s="7"/>
      <c r="C640" s="334"/>
      <c r="D640" s="334"/>
      <c r="E640" s="334"/>
      <c r="F640" s="334"/>
      <c r="G640" s="334"/>
      <c r="H640" s="334"/>
      <c r="I640" s="334"/>
      <c r="J640" s="334"/>
      <c r="K640" s="334"/>
      <c r="L640" s="334"/>
      <c r="M640" s="334"/>
      <c r="N640" s="334"/>
      <c r="O640" s="334"/>
      <c r="P640" s="334"/>
      <c r="Q640" s="334"/>
      <c r="R640" s="334"/>
      <c r="S640" s="334"/>
      <c r="T640" s="334"/>
      <c r="U640" s="334"/>
      <c r="W640" s="334"/>
      <c r="X640" s="334"/>
      <c r="Y640" s="246"/>
      <c r="Z640" s="246"/>
      <c r="AA640" s="246"/>
      <c r="AB640" s="246"/>
      <c r="AC640" s="246"/>
      <c r="AD640" s="246"/>
      <c r="AE640" s="246"/>
      <c r="AF640" s="246"/>
      <c r="AG640" s="246"/>
      <c r="AH640" s="246"/>
      <c r="AI640" s="246"/>
      <c r="AJ640" s="246"/>
      <c r="AK640" s="246"/>
      <c r="AL640" s="246"/>
      <c r="AM640" s="246"/>
      <c r="AN640" s="246"/>
      <c r="AO640" s="246"/>
      <c r="AP640" s="246"/>
      <c r="AQ640" s="246"/>
      <c r="AR640" s="246"/>
      <c r="AS640" s="246"/>
      <c r="AT640" s="246"/>
      <c r="AU640" s="246"/>
      <c r="AV640" s="246"/>
      <c r="AW640" s="246"/>
      <c r="AX640" s="246"/>
      <c r="AY640" s="246"/>
      <c r="AZ640" s="246"/>
      <c r="BA640" s="246"/>
      <c r="BB640" s="246"/>
      <c r="BC640" s="246"/>
      <c r="BD640" s="246"/>
      <c r="BE640" s="246"/>
      <c r="BF640" s="246"/>
      <c r="BG640" s="246"/>
      <c r="BH640" s="246"/>
      <c r="BI640" s="246"/>
      <c r="BJ640" s="246"/>
    </row>
    <row r="641" spans="2:62">
      <c r="B641" s="7"/>
      <c r="C641" s="334"/>
      <c r="D641" s="334"/>
      <c r="E641" s="334"/>
      <c r="F641" s="334"/>
      <c r="G641" s="334"/>
      <c r="H641" s="334"/>
      <c r="I641" s="334"/>
      <c r="J641" s="334"/>
      <c r="K641" s="334"/>
      <c r="L641" s="334"/>
      <c r="M641" s="334"/>
      <c r="N641" s="334"/>
      <c r="O641" s="334"/>
      <c r="P641" s="334"/>
      <c r="Q641" s="334"/>
      <c r="R641" s="334"/>
      <c r="S641" s="334"/>
      <c r="T641" s="334"/>
      <c r="U641" s="334"/>
      <c r="W641" s="334"/>
      <c r="X641" s="334"/>
      <c r="Y641" s="246"/>
      <c r="Z641" s="246"/>
      <c r="AA641" s="246"/>
      <c r="AB641" s="246"/>
      <c r="AC641" s="246"/>
      <c r="AD641" s="246"/>
      <c r="AE641" s="246"/>
      <c r="AF641" s="246"/>
      <c r="AG641" s="246"/>
      <c r="AH641" s="246"/>
      <c r="AI641" s="246"/>
      <c r="AJ641" s="246"/>
      <c r="AK641" s="246"/>
      <c r="AL641" s="246"/>
      <c r="AM641" s="246"/>
      <c r="AN641" s="246"/>
      <c r="AO641" s="246"/>
      <c r="AP641" s="246"/>
      <c r="AQ641" s="246"/>
      <c r="AR641" s="246"/>
      <c r="AS641" s="246"/>
      <c r="AT641" s="246"/>
      <c r="AU641" s="246"/>
      <c r="AV641" s="246"/>
      <c r="AW641" s="246"/>
      <c r="AX641" s="246"/>
      <c r="AY641" s="246"/>
      <c r="AZ641" s="246"/>
      <c r="BA641" s="246"/>
      <c r="BB641" s="246"/>
      <c r="BC641" s="246"/>
      <c r="BD641" s="246"/>
      <c r="BE641" s="246"/>
      <c r="BF641" s="246"/>
      <c r="BG641" s="246"/>
      <c r="BH641" s="246"/>
      <c r="BI641" s="246"/>
      <c r="BJ641" s="246"/>
    </row>
    <row r="642" spans="2:62">
      <c r="B642" s="7"/>
      <c r="C642" s="334"/>
      <c r="D642" s="334"/>
      <c r="E642" s="334"/>
      <c r="F642" s="334"/>
      <c r="G642" s="334"/>
      <c r="H642" s="334"/>
      <c r="I642" s="334"/>
      <c r="J642" s="334"/>
      <c r="K642" s="334"/>
      <c r="L642" s="334"/>
      <c r="M642" s="334"/>
      <c r="N642" s="334"/>
      <c r="O642" s="334"/>
      <c r="P642" s="334"/>
      <c r="Q642" s="334"/>
      <c r="R642" s="334"/>
      <c r="S642" s="334"/>
      <c r="T642" s="334"/>
      <c r="U642" s="334"/>
      <c r="W642" s="334"/>
      <c r="X642" s="334"/>
      <c r="Y642" s="246"/>
      <c r="Z642" s="246"/>
      <c r="AA642" s="246"/>
      <c r="AB642" s="246"/>
      <c r="AC642" s="246"/>
      <c r="AD642" s="246"/>
      <c r="AE642" s="246"/>
      <c r="AF642" s="246"/>
      <c r="AG642" s="246"/>
      <c r="AH642" s="246"/>
      <c r="AI642" s="246"/>
      <c r="AJ642" s="246"/>
      <c r="AK642" s="246"/>
      <c r="AL642" s="246"/>
      <c r="AM642" s="246"/>
      <c r="AN642" s="246"/>
      <c r="AO642" s="246"/>
      <c r="AP642" s="246"/>
      <c r="AQ642" s="246"/>
      <c r="AR642" s="246"/>
      <c r="AS642" s="246"/>
      <c r="AT642" s="246"/>
      <c r="AU642" s="246"/>
      <c r="AV642" s="246"/>
      <c r="AW642" s="246"/>
      <c r="AX642" s="246"/>
      <c r="AY642" s="246"/>
      <c r="AZ642" s="246"/>
      <c r="BA642" s="246"/>
      <c r="BB642" s="246"/>
      <c r="BC642" s="246"/>
      <c r="BD642" s="246"/>
      <c r="BE642" s="246"/>
      <c r="BF642" s="246"/>
      <c r="BG642" s="246"/>
      <c r="BH642" s="246"/>
      <c r="BI642" s="246"/>
      <c r="BJ642" s="246"/>
    </row>
    <row r="643" spans="2:62">
      <c r="B643" s="7"/>
      <c r="C643" s="334"/>
      <c r="D643" s="334"/>
      <c r="E643" s="334"/>
      <c r="F643" s="334"/>
      <c r="G643" s="334"/>
      <c r="H643" s="334"/>
      <c r="I643" s="334"/>
      <c r="J643" s="334"/>
      <c r="K643" s="334"/>
      <c r="L643" s="334"/>
      <c r="M643" s="334"/>
      <c r="N643" s="334"/>
      <c r="O643" s="334"/>
      <c r="P643" s="334"/>
      <c r="Q643" s="334"/>
      <c r="R643" s="334"/>
      <c r="S643" s="334"/>
      <c r="T643" s="334"/>
      <c r="U643" s="334"/>
      <c r="W643" s="334"/>
      <c r="X643" s="334"/>
      <c r="Y643" s="246"/>
      <c r="Z643" s="246"/>
      <c r="AA643" s="246"/>
      <c r="AB643" s="246"/>
      <c r="AC643" s="246"/>
      <c r="AD643" s="246"/>
      <c r="AE643" s="246"/>
      <c r="AF643" s="246"/>
      <c r="AG643" s="246"/>
      <c r="AH643" s="246"/>
      <c r="AI643" s="246"/>
      <c r="AJ643" s="246"/>
      <c r="AK643" s="246"/>
      <c r="AL643" s="246"/>
      <c r="AM643" s="246"/>
      <c r="AN643" s="246"/>
      <c r="AO643" s="246"/>
      <c r="AP643" s="246"/>
      <c r="AQ643" s="246"/>
      <c r="AR643" s="246"/>
      <c r="AS643" s="246"/>
      <c r="AT643" s="246"/>
      <c r="AU643" s="246"/>
      <c r="AV643" s="246"/>
      <c r="AW643" s="246"/>
      <c r="AX643" s="246"/>
      <c r="AY643" s="246"/>
      <c r="AZ643" s="246"/>
      <c r="BA643" s="246"/>
      <c r="BB643" s="246"/>
      <c r="BC643" s="246"/>
      <c r="BD643" s="246"/>
      <c r="BE643" s="246"/>
      <c r="BF643" s="246"/>
      <c r="BG643" s="246"/>
      <c r="BH643" s="246"/>
      <c r="BI643" s="246"/>
      <c r="BJ643" s="246"/>
    </row>
    <row r="644" spans="2:62">
      <c r="B644" s="7"/>
      <c r="C644" s="334"/>
      <c r="D644" s="334"/>
      <c r="E644" s="334"/>
      <c r="F644" s="334"/>
      <c r="G644" s="334"/>
      <c r="H644" s="334"/>
      <c r="I644" s="334"/>
      <c r="J644" s="334"/>
      <c r="K644" s="334"/>
      <c r="L644" s="334"/>
      <c r="M644" s="334"/>
      <c r="N644" s="334"/>
      <c r="O644" s="334"/>
      <c r="P644" s="334"/>
      <c r="Q644" s="334"/>
      <c r="R644" s="334"/>
      <c r="S644" s="334"/>
      <c r="T644" s="334"/>
      <c r="U644" s="334"/>
      <c r="W644" s="334"/>
      <c r="X644" s="334"/>
      <c r="Y644" s="246"/>
      <c r="Z644" s="246"/>
      <c r="AA644" s="246"/>
      <c r="AB644" s="246"/>
      <c r="AC644" s="246"/>
      <c r="AD644" s="246"/>
      <c r="AE644" s="246"/>
      <c r="AF644" s="246"/>
      <c r="AG644" s="246"/>
      <c r="AH644" s="246"/>
      <c r="AI644" s="246"/>
      <c r="AJ644" s="246"/>
      <c r="AK644" s="246"/>
      <c r="AL644" s="246"/>
      <c r="AM644" s="246"/>
      <c r="AN644" s="246"/>
      <c r="AO644" s="246"/>
      <c r="AP644" s="246"/>
      <c r="AQ644" s="246"/>
      <c r="AR644" s="246"/>
      <c r="AS644" s="246"/>
      <c r="AT644" s="246"/>
      <c r="AU644" s="246"/>
      <c r="AV644" s="246"/>
      <c r="AW644" s="246"/>
      <c r="AX644" s="246"/>
      <c r="AY644" s="246"/>
      <c r="AZ644" s="246"/>
      <c r="BA644" s="246"/>
      <c r="BB644" s="246"/>
      <c r="BC644" s="246"/>
      <c r="BD644" s="246"/>
      <c r="BE644" s="246"/>
      <c r="BF644" s="246"/>
      <c r="BG644" s="246"/>
      <c r="BH644" s="246"/>
      <c r="BI644" s="246"/>
      <c r="BJ644" s="246"/>
    </row>
    <row r="645" spans="2:62">
      <c r="B645" s="7"/>
      <c r="C645" s="334"/>
      <c r="D645" s="334"/>
      <c r="E645" s="334"/>
      <c r="F645" s="334"/>
      <c r="G645" s="334"/>
      <c r="H645" s="334"/>
      <c r="I645" s="334"/>
      <c r="J645" s="334"/>
      <c r="K645" s="334"/>
      <c r="L645" s="334"/>
      <c r="M645" s="334"/>
      <c r="N645" s="334"/>
      <c r="O645" s="334"/>
      <c r="P645" s="334"/>
      <c r="Q645" s="334"/>
      <c r="R645" s="334"/>
      <c r="S645" s="334"/>
      <c r="T645" s="334"/>
      <c r="U645" s="334"/>
      <c r="W645" s="334"/>
      <c r="X645" s="334"/>
      <c r="Y645" s="246"/>
      <c r="Z645" s="246"/>
      <c r="AA645" s="246"/>
      <c r="AB645" s="246"/>
      <c r="AC645" s="246"/>
      <c r="AD645" s="246"/>
      <c r="AE645" s="246"/>
      <c r="AF645" s="246"/>
      <c r="AG645" s="246"/>
      <c r="AH645" s="246"/>
      <c r="AI645" s="246"/>
      <c r="AJ645" s="246"/>
      <c r="AK645" s="246"/>
      <c r="AL645" s="246"/>
      <c r="AM645" s="246"/>
      <c r="AN645" s="246"/>
      <c r="AO645" s="246"/>
      <c r="AP645" s="246"/>
      <c r="AQ645" s="246"/>
      <c r="AR645" s="246"/>
      <c r="AS645" s="246"/>
      <c r="AT645" s="246"/>
      <c r="AU645" s="246"/>
      <c r="AV645" s="246"/>
      <c r="AW645" s="246"/>
      <c r="AX645" s="246"/>
      <c r="AY645" s="246"/>
      <c r="AZ645" s="246"/>
      <c r="BA645" s="246"/>
      <c r="BB645" s="246"/>
      <c r="BC645" s="246"/>
      <c r="BD645" s="246"/>
      <c r="BE645" s="246"/>
      <c r="BF645" s="246"/>
      <c r="BG645" s="246"/>
      <c r="BH645" s="246"/>
      <c r="BI645" s="246"/>
      <c r="BJ645" s="246"/>
    </row>
    <row r="646" spans="2:62">
      <c r="B646" s="7"/>
      <c r="C646" s="334"/>
      <c r="D646" s="334"/>
      <c r="E646" s="334"/>
      <c r="F646" s="334"/>
      <c r="G646" s="334"/>
      <c r="H646" s="334"/>
      <c r="I646" s="334"/>
      <c r="J646" s="334"/>
      <c r="K646" s="334"/>
      <c r="L646" s="334"/>
      <c r="M646" s="334"/>
      <c r="N646" s="334"/>
      <c r="O646" s="334"/>
      <c r="P646" s="334"/>
      <c r="Q646" s="334"/>
      <c r="R646" s="334"/>
      <c r="S646" s="334"/>
      <c r="T646" s="334"/>
      <c r="U646" s="334"/>
      <c r="W646" s="334"/>
      <c r="X646" s="334"/>
      <c r="Y646" s="246"/>
      <c r="Z646" s="246"/>
      <c r="AA646" s="246"/>
      <c r="AB646" s="246"/>
      <c r="AC646" s="246"/>
      <c r="AD646" s="246"/>
      <c r="AE646" s="246"/>
      <c r="AF646" s="246"/>
      <c r="AG646" s="246"/>
      <c r="AH646" s="246"/>
      <c r="AI646" s="246"/>
      <c r="AJ646" s="246"/>
      <c r="AK646" s="246"/>
      <c r="AL646" s="246"/>
      <c r="AM646" s="246"/>
      <c r="AN646" s="246"/>
      <c r="AO646" s="246"/>
      <c r="AP646" s="246"/>
      <c r="AQ646" s="246"/>
      <c r="AR646" s="246"/>
      <c r="AS646" s="246"/>
      <c r="AT646" s="246"/>
      <c r="AU646" s="246"/>
      <c r="AV646" s="246"/>
      <c r="AW646" s="246"/>
      <c r="AX646" s="246"/>
      <c r="AY646" s="246"/>
      <c r="AZ646" s="246"/>
      <c r="BA646" s="246"/>
      <c r="BB646" s="246"/>
      <c r="BC646" s="246"/>
      <c r="BD646" s="246"/>
      <c r="BE646" s="246"/>
      <c r="BF646" s="246"/>
      <c r="BG646" s="246"/>
      <c r="BH646" s="246"/>
      <c r="BI646" s="246"/>
      <c r="BJ646" s="246"/>
    </row>
    <row r="647" spans="2:62">
      <c r="B647" s="7"/>
      <c r="C647" s="334"/>
      <c r="D647" s="334"/>
      <c r="E647" s="334"/>
      <c r="F647" s="334"/>
      <c r="G647" s="334"/>
      <c r="H647" s="334"/>
      <c r="I647" s="334"/>
      <c r="J647" s="334"/>
      <c r="K647" s="334"/>
      <c r="L647" s="334"/>
      <c r="M647" s="334"/>
      <c r="N647" s="334"/>
      <c r="O647" s="334"/>
      <c r="P647" s="334"/>
      <c r="Q647" s="334"/>
      <c r="R647" s="334"/>
      <c r="S647" s="334"/>
      <c r="T647" s="334"/>
      <c r="U647" s="334"/>
      <c r="W647" s="334"/>
      <c r="X647" s="334"/>
      <c r="Y647" s="246"/>
      <c r="Z647" s="246"/>
      <c r="AA647" s="246"/>
      <c r="AB647" s="246"/>
      <c r="AC647" s="246"/>
      <c r="AD647" s="246"/>
      <c r="AE647" s="246"/>
      <c r="AF647" s="246"/>
      <c r="AG647" s="246"/>
      <c r="AH647" s="246"/>
      <c r="AI647" s="246"/>
      <c r="AJ647" s="246"/>
      <c r="AK647" s="246"/>
      <c r="AL647" s="246"/>
      <c r="AM647" s="246"/>
      <c r="AN647" s="246"/>
      <c r="AO647" s="246"/>
      <c r="AP647" s="246"/>
      <c r="AQ647" s="246"/>
      <c r="AR647" s="246"/>
      <c r="AS647" s="246"/>
      <c r="AT647" s="246"/>
      <c r="AU647" s="246"/>
      <c r="AV647" s="246"/>
      <c r="AW647" s="246"/>
      <c r="AX647" s="246"/>
      <c r="AY647" s="246"/>
      <c r="AZ647" s="246"/>
      <c r="BA647" s="246"/>
      <c r="BB647" s="246"/>
      <c r="BC647" s="246"/>
      <c r="BD647" s="246"/>
      <c r="BE647" s="246"/>
      <c r="BF647" s="246"/>
      <c r="BG647" s="246"/>
      <c r="BH647" s="246"/>
      <c r="BI647" s="246"/>
      <c r="BJ647" s="246"/>
    </row>
    <row r="648" spans="2:62">
      <c r="B648" s="7"/>
      <c r="C648" s="334"/>
      <c r="D648" s="334"/>
      <c r="E648" s="334"/>
      <c r="F648" s="334"/>
      <c r="G648" s="334"/>
      <c r="H648" s="334"/>
      <c r="I648" s="334"/>
      <c r="J648" s="334"/>
      <c r="K648" s="334"/>
      <c r="L648" s="334"/>
      <c r="M648" s="334"/>
      <c r="N648" s="334"/>
      <c r="O648" s="334"/>
      <c r="P648" s="334"/>
      <c r="Q648" s="334"/>
      <c r="R648" s="334"/>
      <c r="S648" s="334"/>
      <c r="T648" s="334"/>
      <c r="U648" s="334"/>
      <c r="W648" s="334"/>
      <c r="X648" s="334"/>
      <c r="Y648" s="246"/>
      <c r="Z648" s="246"/>
      <c r="AA648" s="246"/>
      <c r="AB648" s="246"/>
      <c r="AC648" s="246"/>
      <c r="AD648" s="246"/>
      <c r="AE648" s="246"/>
      <c r="AF648" s="246"/>
      <c r="AG648" s="246"/>
      <c r="AH648" s="246"/>
      <c r="AI648" s="246"/>
      <c r="AJ648" s="246"/>
      <c r="AK648" s="246"/>
      <c r="AL648" s="246"/>
      <c r="AM648" s="246"/>
      <c r="AN648" s="246"/>
      <c r="AO648" s="246"/>
      <c r="AP648" s="246"/>
      <c r="AQ648" s="246"/>
      <c r="AR648" s="246"/>
      <c r="AS648" s="246"/>
      <c r="AT648" s="246"/>
      <c r="AU648" s="246"/>
      <c r="AV648" s="246"/>
      <c r="AW648" s="246"/>
      <c r="AX648" s="246"/>
      <c r="AY648" s="246"/>
      <c r="AZ648" s="246"/>
      <c r="BA648" s="246"/>
      <c r="BB648" s="246"/>
      <c r="BC648" s="246"/>
      <c r="BD648" s="246"/>
      <c r="BE648" s="246"/>
      <c r="BF648" s="246"/>
      <c r="BG648" s="246"/>
      <c r="BH648" s="246"/>
      <c r="BI648" s="246"/>
      <c r="BJ648" s="246"/>
    </row>
    <row r="649" spans="2:62">
      <c r="B649" s="7"/>
      <c r="C649" s="334"/>
      <c r="D649" s="334"/>
      <c r="E649" s="334"/>
      <c r="F649" s="334"/>
      <c r="G649" s="334"/>
      <c r="H649" s="334"/>
      <c r="I649" s="334"/>
      <c r="J649" s="334"/>
      <c r="K649" s="334"/>
      <c r="L649" s="334"/>
      <c r="M649" s="334"/>
      <c r="N649" s="334"/>
      <c r="O649" s="334"/>
      <c r="P649" s="334"/>
      <c r="Q649" s="334"/>
      <c r="R649" s="334"/>
      <c r="S649" s="334"/>
      <c r="T649" s="334"/>
      <c r="U649" s="334"/>
      <c r="W649" s="334"/>
      <c r="X649" s="334"/>
      <c r="Y649" s="246"/>
      <c r="Z649" s="246"/>
      <c r="AA649" s="246"/>
      <c r="AB649" s="246"/>
      <c r="AC649" s="246"/>
      <c r="AD649" s="246"/>
      <c r="AE649" s="246"/>
      <c r="AF649" s="246"/>
      <c r="AG649" s="246"/>
      <c r="AH649" s="246"/>
      <c r="AI649" s="246"/>
      <c r="AJ649" s="246"/>
      <c r="AK649" s="246"/>
      <c r="AL649" s="246"/>
      <c r="AM649" s="246"/>
      <c r="AN649" s="246"/>
      <c r="AO649" s="246"/>
      <c r="AP649" s="246"/>
      <c r="AQ649" s="246"/>
      <c r="AR649" s="246"/>
      <c r="AS649" s="246"/>
      <c r="AT649" s="246"/>
      <c r="AU649" s="246"/>
      <c r="AV649" s="246"/>
      <c r="AW649" s="246"/>
      <c r="AX649" s="246"/>
      <c r="AY649" s="246"/>
      <c r="AZ649" s="246"/>
      <c r="BA649" s="246"/>
      <c r="BB649" s="246"/>
      <c r="BC649" s="246"/>
      <c r="BD649" s="246"/>
      <c r="BE649" s="246"/>
      <c r="BF649" s="246"/>
      <c r="BG649" s="246"/>
      <c r="BH649" s="246"/>
      <c r="BI649" s="246"/>
      <c r="BJ649" s="246"/>
    </row>
    <row r="650" spans="2:62">
      <c r="B650" s="7"/>
      <c r="C650" s="334"/>
      <c r="D650" s="334"/>
      <c r="E650" s="334"/>
      <c r="F650" s="334"/>
      <c r="G650" s="334"/>
      <c r="H650" s="334"/>
      <c r="I650" s="334"/>
      <c r="J650" s="334"/>
      <c r="K650" s="334"/>
      <c r="L650" s="334"/>
      <c r="M650" s="334"/>
      <c r="N650" s="334"/>
      <c r="O650" s="334"/>
      <c r="P650" s="334"/>
      <c r="Q650" s="334"/>
      <c r="R650" s="334"/>
      <c r="S650" s="334"/>
      <c r="T650" s="334"/>
      <c r="U650" s="334"/>
      <c r="W650" s="334"/>
      <c r="X650" s="334"/>
      <c r="Y650" s="246"/>
      <c r="Z650" s="246"/>
      <c r="AA650" s="246"/>
      <c r="AB650" s="246"/>
      <c r="AC650" s="246"/>
      <c r="AD650" s="246"/>
      <c r="AE650" s="246"/>
      <c r="AF650" s="246"/>
      <c r="AG650" s="246"/>
      <c r="AH650" s="246"/>
      <c r="AI650" s="246"/>
      <c r="AJ650" s="246"/>
      <c r="AK650" s="246"/>
      <c r="AL650" s="246"/>
      <c r="AM650" s="246"/>
      <c r="AN650" s="246"/>
      <c r="AO650" s="246"/>
      <c r="AP650" s="246"/>
      <c r="AQ650" s="246"/>
      <c r="AR650" s="246"/>
      <c r="AS650" s="246"/>
      <c r="AT650" s="246"/>
      <c r="AU650" s="246"/>
      <c r="AV650" s="246"/>
      <c r="AW650" s="246"/>
      <c r="AX650" s="246"/>
      <c r="AY650" s="246"/>
      <c r="AZ650" s="246"/>
      <c r="BA650" s="246"/>
      <c r="BB650" s="246"/>
      <c r="BC650" s="246"/>
      <c r="BD650" s="246"/>
      <c r="BE650" s="246"/>
      <c r="BF650" s="246"/>
      <c r="BG650" s="246"/>
      <c r="BH650" s="246"/>
      <c r="BI650" s="246"/>
      <c r="BJ650" s="246"/>
    </row>
    <row r="651" spans="2:62">
      <c r="B651" s="7"/>
      <c r="C651" s="334"/>
      <c r="D651" s="334"/>
      <c r="E651" s="334"/>
      <c r="F651" s="334"/>
      <c r="G651" s="334"/>
      <c r="H651" s="334"/>
      <c r="I651" s="334"/>
      <c r="J651" s="334"/>
      <c r="K651" s="334"/>
      <c r="L651" s="334"/>
      <c r="M651" s="334"/>
      <c r="N651" s="334"/>
      <c r="O651" s="334"/>
      <c r="P651" s="334"/>
      <c r="Q651" s="334"/>
      <c r="R651" s="334"/>
      <c r="S651" s="334"/>
      <c r="T651" s="334"/>
      <c r="U651" s="334"/>
      <c r="W651" s="334"/>
      <c r="X651" s="334"/>
      <c r="Y651" s="246"/>
      <c r="Z651" s="246"/>
      <c r="AA651" s="246"/>
      <c r="AB651" s="246"/>
      <c r="AC651" s="246"/>
      <c r="AD651" s="246"/>
      <c r="AE651" s="246"/>
      <c r="AF651" s="246"/>
      <c r="AG651" s="246"/>
      <c r="AH651" s="246"/>
      <c r="AI651" s="246"/>
      <c r="AJ651" s="246"/>
      <c r="AK651" s="246"/>
      <c r="AL651" s="246"/>
      <c r="AM651" s="246"/>
      <c r="AN651" s="246"/>
      <c r="AO651" s="246"/>
      <c r="AP651" s="246"/>
      <c r="AQ651" s="246"/>
      <c r="AR651" s="246"/>
      <c r="AS651" s="246"/>
      <c r="AT651" s="246"/>
      <c r="AU651" s="246"/>
      <c r="AV651" s="246"/>
      <c r="AW651" s="246"/>
      <c r="AX651" s="246"/>
      <c r="AY651" s="246"/>
      <c r="AZ651" s="246"/>
      <c r="BA651" s="246"/>
      <c r="BB651" s="246"/>
      <c r="BC651" s="246"/>
      <c r="BD651" s="246"/>
      <c r="BE651" s="246"/>
      <c r="BF651" s="246"/>
      <c r="BG651" s="246"/>
      <c r="BH651" s="246"/>
      <c r="BI651" s="246"/>
      <c r="BJ651" s="246"/>
    </row>
    <row r="652" spans="2:62" ht="30">
      <c r="B652" s="7"/>
      <c r="C652" s="412"/>
      <c r="D652" s="334"/>
      <c r="E652" s="334"/>
      <c r="F652" s="334"/>
      <c r="G652" s="334"/>
      <c r="H652" s="334"/>
      <c r="I652" s="334"/>
      <c r="J652" s="334"/>
      <c r="K652" s="334"/>
      <c r="L652" s="334"/>
      <c r="M652" s="334"/>
      <c r="N652" s="334"/>
      <c r="O652" s="413"/>
      <c r="P652" s="334"/>
      <c r="Q652" s="334"/>
      <c r="R652" s="334"/>
      <c r="S652" s="334"/>
      <c r="T652" s="334"/>
      <c r="U652" s="334"/>
      <c r="W652" s="334"/>
      <c r="X652" s="334"/>
      <c r="Y652" s="246"/>
      <c r="Z652" s="246"/>
      <c r="AA652" s="246"/>
      <c r="AB652" s="246"/>
      <c r="AC652" s="246"/>
      <c r="AD652" s="246"/>
      <c r="AE652" s="246"/>
      <c r="AF652" s="246"/>
      <c r="AG652" s="246"/>
      <c r="AH652" s="246"/>
      <c r="AI652" s="246"/>
      <c r="AJ652" s="246"/>
      <c r="AK652" s="246"/>
      <c r="AL652" s="246"/>
      <c r="AM652" s="246"/>
      <c r="AN652" s="246"/>
      <c r="AO652" s="246"/>
      <c r="AP652" s="246"/>
      <c r="AQ652" s="246"/>
      <c r="AR652" s="246"/>
      <c r="AS652" s="246"/>
      <c r="AT652" s="246"/>
      <c r="AU652" s="246"/>
      <c r="AV652" s="246"/>
      <c r="AW652" s="246"/>
      <c r="AX652" s="246"/>
      <c r="AY652" s="246"/>
      <c r="AZ652" s="246"/>
      <c r="BA652" s="246"/>
      <c r="BB652" s="246"/>
      <c r="BC652" s="246"/>
      <c r="BD652" s="246"/>
      <c r="BE652" s="246"/>
      <c r="BF652" s="246"/>
      <c r="BG652" s="246"/>
      <c r="BH652" s="246"/>
      <c r="BI652" s="246"/>
      <c r="BJ652" s="246"/>
    </row>
    <row r="653" spans="2:62" ht="18.75">
      <c r="B653" s="7"/>
      <c r="C653" s="402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14"/>
      <c r="R653" s="406"/>
      <c r="S653" s="406"/>
      <c r="T653" s="334"/>
      <c r="U653" s="334"/>
      <c r="W653" s="334"/>
      <c r="X653" s="334"/>
      <c r="Y653" s="246"/>
      <c r="Z653" s="246"/>
      <c r="AA653" s="246"/>
      <c r="AB653" s="246"/>
      <c r="AC653" s="246"/>
      <c r="AD653" s="246"/>
      <c r="AE653" s="246"/>
      <c r="AF653" s="246"/>
      <c r="AG653" s="246"/>
      <c r="AH653" s="246"/>
      <c r="AI653" s="246"/>
      <c r="AJ653" s="246"/>
      <c r="AK653" s="246"/>
      <c r="AL653" s="246"/>
      <c r="AM653" s="246"/>
      <c r="AN653" s="246"/>
      <c r="AO653" s="246"/>
      <c r="AP653" s="246"/>
      <c r="AQ653" s="246"/>
      <c r="AR653" s="246"/>
      <c r="AS653" s="246"/>
      <c r="AT653" s="246"/>
      <c r="AU653" s="246"/>
      <c r="AV653" s="246"/>
      <c r="AW653" s="246"/>
      <c r="AX653" s="246"/>
      <c r="AY653" s="246"/>
      <c r="AZ653" s="246"/>
      <c r="BA653" s="246"/>
      <c r="BB653" s="246"/>
      <c r="BC653" s="246"/>
      <c r="BD653" s="246"/>
      <c r="BE653" s="246"/>
      <c r="BF653" s="246"/>
      <c r="BG653" s="246"/>
      <c r="BH653" s="246"/>
      <c r="BI653" s="246"/>
      <c r="BJ653" s="246"/>
    </row>
    <row r="654" spans="2:62">
      <c r="B654" s="7"/>
      <c r="C654" s="334"/>
      <c r="D654" s="403"/>
      <c r="E654" s="403"/>
      <c r="F654" s="415"/>
      <c r="G654" s="403"/>
      <c r="H654" s="403"/>
      <c r="I654" s="415"/>
      <c r="J654" s="407"/>
      <c r="K654" s="407"/>
      <c r="L654" s="416"/>
      <c r="M654" s="407"/>
      <c r="N654" s="407"/>
      <c r="O654" s="407"/>
      <c r="P654" s="407"/>
      <c r="Q654" s="404"/>
      <c r="R654" s="403"/>
      <c r="S654" s="415"/>
      <c r="T654" s="334"/>
      <c r="U654" s="334"/>
      <c r="W654" s="334"/>
      <c r="X654" s="334"/>
      <c r="Y654" s="246"/>
      <c r="Z654" s="246"/>
      <c r="AA654" s="246"/>
      <c r="AB654" s="246"/>
      <c r="AC654" s="246"/>
      <c r="AD654" s="246"/>
      <c r="AE654" s="246"/>
      <c r="AF654" s="246"/>
      <c r="AG654" s="246"/>
      <c r="AH654" s="246"/>
      <c r="AI654" s="246"/>
      <c r="AJ654" s="246"/>
      <c r="AK654" s="246"/>
      <c r="AL654" s="246"/>
      <c r="AM654" s="246"/>
      <c r="AN654" s="246"/>
      <c r="AO654" s="246"/>
      <c r="AP654" s="246"/>
      <c r="AQ654" s="246"/>
      <c r="AR654" s="246"/>
      <c r="AS654" s="246"/>
      <c r="AT654" s="246"/>
      <c r="AU654" s="246"/>
      <c r="AV654" s="246"/>
      <c r="AW654" s="246"/>
      <c r="AX654" s="246"/>
      <c r="AY654" s="246"/>
      <c r="AZ654" s="246"/>
      <c r="BA654" s="246"/>
      <c r="BB654" s="246"/>
      <c r="BC654" s="246"/>
      <c r="BD654" s="246"/>
      <c r="BE654" s="246"/>
      <c r="BF654" s="246"/>
      <c r="BG654" s="246"/>
      <c r="BH654" s="246"/>
      <c r="BI654" s="246"/>
      <c r="BJ654" s="246"/>
    </row>
    <row r="655" spans="2:62">
      <c r="B655" s="7"/>
      <c r="C655" s="417"/>
      <c r="D655" s="334"/>
      <c r="E655" s="334"/>
      <c r="F655" s="406"/>
      <c r="G655" s="334"/>
      <c r="H655" s="334"/>
      <c r="I655" s="406"/>
      <c r="J655" s="406"/>
      <c r="K655" s="406"/>
      <c r="L655" s="334"/>
      <c r="M655" s="406"/>
      <c r="N655" s="406"/>
      <c r="O655" s="334"/>
      <c r="P655" s="406"/>
      <c r="Q655" s="406"/>
      <c r="R655" s="334"/>
      <c r="S655" s="406"/>
      <c r="T655" s="334"/>
      <c r="U655" s="334"/>
      <c r="W655" s="334"/>
      <c r="X655" s="334"/>
      <c r="Y655" s="246"/>
      <c r="Z655" s="246"/>
      <c r="AA655" s="246"/>
      <c r="AB655" s="246"/>
      <c r="AC655" s="246"/>
      <c r="AD655" s="246"/>
      <c r="AE655" s="246"/>
      <c r="AF655" s="246"/>
      <c r="AG655" s="246"/>
      <c r="AH655" s="246"/>
      <c r="AI655" s="246"/>
      <c r="AJ655" s="246"/>
      <c r="AK655" s="246"/>
      <c r="AL655" s="246"/>
      <c r="AM655" s="246"/>
      <c r="AN655" s="246"/>
      <c r="AO655" s="246"/>
      <c r="AP655" s="246"/>
      <c r="AQ655" s="246"/>
      <c r="AR655" s="246"/>
      <c r="AS655" s="246"/>
      <c r="AT655" s="246"/>
      <c r="AU655" s="246"/>
      <c r="AV655" s="246"/>
      <c r="AW655" s="246"/>
      <c r="AX655" s="246"/>
      <c r="AY655" s="246"/>
      <c r="AZ655" s="246"/>
      <c r="BA655" s="246"/>
      <c r="BB655" s="246"/>
      <c r="BC655" s="246"/>
      <c r="BD655" s="246"/>
      <c r="BE655" s="246"/>
      <c r="BF655" s="246"/>
      <c r="BG655" s="246"/>
      <c r="BH655" s="246"/>
      <c r="BI655" s="246"/>
      <c r="BJ655" s="246"/>
    </row>
    <row r="656" spans="2:62">
      <c r="B656" s="7"/>
      <c r="C656" s="334"/>
      <c r="D656" s="334"/>
      <c r="E656" s="334"/>
      <c r="F656" s="399"/>
      <c r="G656" s="334"/>
      <c r="H656" s="334"/>
      <c r="I656" s="399"/>
      <c r="J656" s="399"/>
      <c r="K656" s="399"/>
      <c r="L656" s="399"/>
      <c r="M656" s="399"/>
      <c r="N656" s="399"/>
      <c r="O656" s="399"/>
      <c r="P656" s="399"/>
      <c r="Q656" s="399"/>
      <c r="R656" s="399"/>
      <c r="S656" s="399"/>
      <c r="T656" s="334"/>
      <c r="U656" s="334"/>
      <c r="W656" s="334"/>
      <c r="X656" s="334"/>
      <c r="Y656" s="246"/>
      <c r="Z656" s="246"/>
      <c r="AA656" s="246"/>
      <c r="AB656" s="246"/>
      <c r="AC656" s="246"/>
      <c r="AD656" s="246"/>
      <c r="AE656" s="246"/>
      <c r="AF656" s="246"/>
      <c r="AG656" s="246"/>
      <c r="AH656" s="246"/>
      <c r="AI656" s="246"/>
      <c r="AJ656" s="246"/>
      <c r="AK656" s="246"/>
      <c r="AL656" s="246"/>
      <c r="AM656" s="246"/>
      <c r="AN656" s="246"/>
      <c r="AO656" s="246"/>
      <c r="AP656" s="246"/>
      <c r="AQ656" s="246"/>
      <c r="AR656" s="246"/>
      <c r="AS656" s="246"/>
      <c r="AT656" s="246"/>
      <c r="AU656" s="246"/>
      <c r="AV656" s="246"/>
      <c r="AW656" s="246"/>
      <c r="AX656" s="246"/>
      <c r="AY656" s="246"/>
      <c r="AZ656" s="246"/>
      <c r="BA656" s="246"/>
      <c r="BB656" s="246"/>
      <c r="BC656" s="246"/>
      <c r="BD656" s="246"/>
      <c r="BE656" s="246"/>
      <c r="BF656" s="246"/>
      <c r="BG656" s="246"/>
      <c r="BH656" s="246"/>
      <c r="BI656" s="246"/>
      <c r="BJ656" s="246"/>
    </row>
    <row r="657" spans="2:62">
      <c r="B657" s="7"/>
      <c r="C657" s="398"/>
      <c r="D657" s="398"/>
      <c r="E657" s="398"/>
      <c r="F657" s="401"/>
      <c r="G657" s="398"/>
      <c r="H657" s="398"/>
      <c r="I657" s="401"/>
      <c r="J657" s="401"/>
      <c r="K657" s="401"/>
      <c r="L657" s="401"/>
      <c r="M657" s="401"/>
      <c r="N657" s="401"/>
      <c r="O657" s="401"/>
      <c r="P657" s="401"/>
      <c r="Q657" s="401"/>
      <c r="R657" s="401"/>
      <c r="S657" s="401"/>
      <c r="T657" s="334"/>
      <c r="U657" s="334"/>
      <c r="W657" s="334"/>
      <c r="X657" s="334"/>
      <c r="Y657" s="246"/>
      <c r="Z657" s="246"/>
      <c r="AA657" s="246"/>
      <c r="AB657" s="246"/>
      <c r="AC657" s="246"/>
      <c r="AD657" s="246"/>
      <c r="AE657" s="246"/>
      <c r="AF657" s="246"/>
      <c r="AG657" s="246"/>
      <c r="AH657" s="246"/>
      <c r="AI657" s="246"/>
      <c r="AJ657" s="246"/>
      <c r="AK657" s="246"/>
      <c r="AL657" s="246"/>
      <c r="AM657" s="246"/>
      <c r="AN657" s="246"/>
      <c r="AO657" s="246"/>
      <c r="AP657" s="246"/>
      <c r="AQ657" s="246"/>
      <c r="AR657" s="246"/>
      <c r="AS657" s="246"/>
      <c r="AT657" s="246"/>
      <c r="AU657" s="246"/>
      <c r="AV657" s="246"/>
      <c r="AW657" s="246"/>
      <c r="AX657" s="246"/>
      <c r="AY657" s="246"/>
      <c r="AZ657" s="246"/>
      <c r="BA657" s="246"/>
      <c r="BB657" s="246"/>
      <c r="BC657" s="246"/>
      <c r="BD657" s="246"/>
      <c r="BE657" s="246"/>
      <c r="BF657" s="246"/>
      <c r="BG657" s="246"/>
      <c r="BH657" s="246"/>
      <c r="BI657" s="246"/>
      <c r="BJ657" s="246"/>
    </row>
    <row r="658" spans="2:62">
      <c r="B658" s="7"/>
      <c r="C658" s="334"/>
      <c r="D658" s="334"/>
      <c r="E658" s="334"/>
      <c r="F658" s="334"/>
      <c r="G658" s="334"/>
      <c r="H658" s="334"/>
      <c r="I658" s="334"/>
      <c r="J658" s="399"/>
      <c r="K658" s="399"/>
      <c r="L658" s="399"/>
      <c r="M658" s="399"/>
      <c r="N658" s="399"/>
      <c r="O658" s="399"/>
      <c r="P658" s="399"/>
      <c r="Q658" s="399"/>
      <c r="R658" s="399"/>
      <c r="S658" s="399"/>
      <c r="T658" s="334"/>
      <c r="U658" s="334"/>
      <c r="W658" s="334"/>
      <c r="X658" s="334"/>
      <c r="Y658" s="246"/>
      <c r="Z658" s="246"/>
      <c r="AA658" s="246"/>
      <c r="AB658" s="246"/>
      <c r="AC658" s="246"/>
      <c r="AD658" s="246"/>
      <c r="AE658" s="246"/>
      <c r="AF658" s="246"/>
      <c r="AG658" s="246"/>
      <c r="AH658" s="246"/>
      <c r="AI658" s="246"/>
      <c r="AJ658" s="246"/>
      <c r="AK658" s="246"/>
      <c r="AL658" s="246"/>
      <c r="AM658" s="246"/>
      <c r="AN658" s="246"/>
      <c r="AO658" s="246"/>
      <c r="AP658" s="246"/>
      <c r="AQ658" s="246"/>
      <c r="AR658" s="246"/>
      <c r="AS658" s="246"/>
      <c r="AT658" s="246"/>
      <c r="AU658" s="246"/>
      <c r="AV658" s="246"/>
      <c r="AW658" s="246"/>
      <c r="AX658" s="246"/>
      <c r="AY658" s="246"/>
      <c r="AZ658" s="246"/>
      <c r="BA658" s="246"/>
      <c r="BB658" s="246"/>
      <c r="BC658" s="246"/>
      <c r="BD658" s="246"/>
      <c r="BE658" s="246"/>
      <c r="BF658" s="246"/>
      <c r="BG658" s="246"/>
      <c r="BH658" s="246"/>
      <c r="BI658" s="246"/>
      <c r="BJ658" s="246"/>
    </row>
    <row r="659" spans="2:62">
      <c r="B659" s="7"/>
      <c r="C659" s="334"/>
      <c r="D659" s="334"/>
      <c r="E659" s="334"/>
      <c r="F659" s="334"/>
      <c r="G659" s="334"/>
      <c r="H659" s="334"/>
      <c r="I659" s="334"/>
      <c r="J659" s="334"/>
      <c r="K659" s="399"/>
      <c r="L659" s="399"/>
      <c r="M659" s="334"/>
      <c r="N659" s="399"/>
      <c r="O659" s="399"/>
      <c r="P659" s="334"/>
      <c r="Q659" s="399"/>
      <c r="R659" s="399"/>
      <c r="S659" s="334"/>
      <c r="T659" s="334"/>
      <c r="U659" s="334"/>
      <c r="W659" s="334"/>
      <c r="X659" s="334"/>
      <c r="Y659" s="246"/>
      <c r="Z659" s="246"/>
      <c r="AA659" s="246"/>
      <c r="AB659" s="246"/>
      <c r="AC659" s="246"/>
      <c r="AD659" s="246"/>
      <c r="AE659" s="246"/>
      <c r="AF659" s="246"/>
      <c r="AG659" s="246"/>
      <c r="AH659" s="246"/>
      <c r="AI659" s="246"/>
      <c r="AJ659" s="246"/>
      <c r="AK659" s="246"/>
      <c r="AL659" s="246"/>
      <c r="AM659" s="246"/>
      <c r="AN659" s="246"/>
      <c r="AO659" s="246"/>
      <c r="AP659" s="246"/>
      <c r="AQ659" s="246"/>
      <c r="AR659" s="246"/>
      <c r="AS659" s="246"/>
      <c r="AT659" s="246"/>
      <c r="AU659" s="246"/>
      <c r="AV659" s="246"/>
      <c r="AW659" s="246"/>
      <c r="AX659" s="246"/>
      <c r="AY659" s="246"/>
      <c r="AZ659" s="246"/>
      <c r="BA659" s="246"/>
      <c r="BB659" s="246"/>
      <c r="BC659" s="246"/>
      <c r="BD659" s="246"/>
      <c r="BE659" s="246"/>
      <c r="BF659" s="246"/>
      <c r="BG659" s="246"/>
      <c r="BH659" s="246"/>
      <c r="BI659" s="246"/>
      <c r="BJ659" s="246"/>
    </row>
    <row r="660" spans="2:62">
      <c r="B660" s="7"/>
      <c r="C660" s="334"/>
      <c r="D660" s="334"/>
      <c r="E660" s="334"/>
      <c r="F660" s="334"/>
      <c r="G660" s="334"/>
      <c r="H660" s="334"/>
      <c r="I660" s="334"/>
      <c r="J660" s="334"/>
      <c r="K660" s="399"/>
      <c r="L660" s="399"/>
      <c r="M660" s="334"/>
      <c r="N660" s="399"/>
      <c r="O660" s="399"/>
      <c r="P660" s="334"/>
      <c r="Q660" s="399"/>
      <c r="R660" s="399"/>
      <c r="S660" s="334"/>
      <c r="T660" s="334"/>
      <c r="U660" s="334"/>
      <c r="W660" s="334"/>
      <c r="X660" s="334"/>
      <c r="Y660" s="246"/>
      <c r="Z660" s="246"/>
      <c r="AA660" s="246"/>
      <c r="AB660" s="246"/>
      <c r="AC660" s="246"/>
      <c r="AD660" s="246"/>
      <c r="AE660" s="246"/>
      <c r="AF660" s="246"/>
      <c r="AG660" s="246"/>
      <c r="AH660" s="246"/>
      <c r="AI660" s="246"/>
      <c r="AJ660" s="246"/>
      <c r="AK660" s="246"/>
      <c r="AL660" s="246"/>
      <c r="AM660" s="246"/>
      <c r="AN660" s="246"/>
      <c r="AO660" s="246"/>
      <c r="AP660" s="246"/>
      <c r="AQ660" s="246"/>
      <c r="AR660" s="246"/>
      <c r="AS660" s="246"/>
      <c r="AT660" s="246"/>
      <c r="AU660" s="246"/>
      <c r="AV660" s="246"/>
      <c r="AW660" s="246"/>
      <c r="AX660" s="246"/>
      <c r="AY660" s="246"/>
      <c r="AZ660" s="246"/>
      <c r="BA660" s="246"/>
      <c r="BB660" s="246"/>
      <c r="BC660" s="246"/>
      <c r="BD660" s="246"/>
      <c r="BE660" s="246"/>
      <c r="BF660" s="246"/>
      <c r="BG660" s="246"/>
      <c r="BH660" s="246"/>
      <c r="BI660" s="246"/>
      <c r="BJ660" s="246"/>
    </row>
    <row r="661" spans="2:62">
      <c r="B661" s="7"/>
      <c r="C661" s="334"/>
      <c r="D661" s="334"/>
      <c r="E661" s="334"/>
      <c r="F661" s="334"/>
      <c r="G661" s="334"/>
      <c r="H661" s="334"/>
      <c r="I661" s="334"/>
      <c r="J661" s="334"/>
      <c r="K661" s="399"/>
      <c r="L661" s="399"/>
      <c r="M661" s="334"/>
      <c r="N661" s="399"/>
      <c r="O661" s="399"/>
      <c r="P661" s="334"/>
      <c r="Q661" s="399"/>
      <c r="R661" s="399"/>
      <c r="S661" s="334"/>
      <c r="T661" s="334"/>
      <c r="U661" s="334"/>
      <c r="W661" s="334"/>
      <c r="X661" s="334"/>
      <c r="Y661" s="246"/>
      <c r="Z661" s="246"/>
      <c r="AA661" s="246"/>
      <c r="AB661" s="246"/>
      <c r="AC661" s="246"/>
      <c r="AD661" s="246"/>
      <c r="AE661" s="246"/>
      <c r="AF661" s="246"/>
      <c r="AG661" s="246"/>
      <c r="AH661" s="246"/>
      <c r="AI661" s="246"/>
      <c r="AJ661" s="246"/>
      <c r="AK661" s="246"/>
      <c r="AL661" s="246"/>
      <c r="AM661" s="246"/>
      <c r="AN661" s="246"/>
      <c r="AO661" s="246"/>
      <c r="AP661" s="246"/>
      <c r="AQ661" s="246"/>
      <c r="AR661" s="246"/>
      <c r="AS661" s="246"/>
      <c r="AT661" s="246"/>
      <c r="AU661" s="246"/>
      <c r="AV661" s="246"/>
      <c r="AW661" s="246"/>
      <c r="AX661" s="246"/>
      <c r="AY661" s="246"/>
      <c r="AZ661" s="246"/>
      <c r="BA661" s="246"/>
      <c r="BB661" s="246"/>
      <c r="BC661" s="246"/>
      <c r="BD661" s="246"/>
      <c r="BE661" s="246"/>
      <c r="BF661" s="246"/>
      <c r="BG661" s="246"/>
      <c r="BH661" s="246"/>
      <c r="BI661" s="246"/>
      <c r="BJ661" s="246"/>
    </row>
    <row r="662" spans="2:62">
      <c r="B662" s="7"/>
      <c r="C662" s="334"/>
      <c r="D662" s="334"/>
      <c r="E662" s="334"/>
      <c r="F662" s="334"/>
      <c r="G662" s="334"/>
      <c r="H662" s="334"/>
      <c r="I662" s="334"/>
      <c r="J662" s="334"/>
      <c r="K662" s="399"/>
      <c r="L662" s="399"/>
      <c r="M662" s="334"/>
      <c r="N662" s="399"/>
      <c r="O662" s="399"/>
      <c r="P662" s="334"/>
      <c r="Q662" s="399"/>
      <c r="R662" s="399"/>
      <c r="S662" s="334"/>
      <c r="T662" s="334"/>
      <c r="U662" s="334"/>
      <c r="W662" s="334"/>
      <c r="X662" s="334"/>
      <c r="Y662" s="246"/>
      <c r="Z662" s="246"/>
      <c r="AA662" s="246"/>
      <c r="AB662" s="246"/>
      <c r="AC662" s="246"/>
      <c r="AD662" s="246"/>
      <c r="AE662" s="246"/>
      <c r="AF662" s="246"/>
      <c r="AG662" s="246"/>
      <c r="AH662" s="246"/>
      <c r="AI662" s="246"/>
      <c r="AJ662" s="246"/>
      <c r="AK662" s="246"/>
      <c r="AL662" s="246"/>
      <c r="AM662" s="246"/>
      <c r="AN662" s="246"/>
      <c r="AO662" s="246"/>
      <c r="AP662" s="246"/>
      <c r="AQ662" s="246"/>
      <c r="AR662" s="246"/>
      <c r="AS662" s="246"/>
      <c r="AT662" s="246"/>
      <c r="AU662" s="246"/>
      <c r="AV662" s="246"/>
      <c r="AW662" s="246"/>
      <c r="AX662" s="246"/>
      <c r="AY662" s="246"/>
      <c r="AZ662" s="246"/>
      <c r="BA662" s="246"/>
      <c r="BB662" s="246"/>
      <c r="BC662" s="246"/>
      <c r="BD662" s="246"/>
      <c r="BE662" s="246"/>
      <c r="BF662" s="246"/>
      <c r="BG662" s="246"/>
      <c r="BH662" s="246"/>
      <c r="BI662" s="246"/>
      <c r="BJ662" s="246"/>
    </row>
    <row r="663" spans="2:62">
      <c r="B663" s="7"/>
      <c r="C663" s="334"/>
      <c r="D663" s="334"/>
      <c r="E663" s="334"/>
      <c r="F663" s="334"/>
      <c r="G663" s="334"/>
      <c r="H663" s="334"/>
      <c r="I663" s="334"/>
      <c r="J663" s="334"/>
      <c r="K663" s="399"/>
      <c r="L663" s="399"/>
      <c r="M663" s="334"/>
      <c r="N663" s="399"/>
      <c r="O663" s="399"/>
      <c r="P663" s="334"/>
      <c r="Q663" s="399"/>
      <c r="R663" s="399"/>
      <c r="S663" s="334"/>
      <c r="T663" s="334"/>
      <c r="U663" s="334"/>
      <c r="W663" s="334"/>
      <c r="X663" s="334"/>
      <c r="Y663" s="246"/>
      <c r="Z663" s="246"/>
      <c r="AA663" s="246"/>
      <c r="AB663" s="246"/>
      <c r="AC663" s="246"/>
      <c r="AD663" s="246"/>
      <c r="AE663" s="246"/>
      <c r="AF663" s="246"/>
      <c r="AG663" s="246"/>
      <c r="AH663" s="246"/>
      <c r="AI663" s="246"/>
      <c r="AJ663" s="246"/>
      <c r="AK663" s="246"/>
      <c r="AL663" s="246"/>
      <c r="AM663" s="246"/>
      <c r="AN663" s="246"/>
      <c r="AO663" s="246"/>
      <c r="AP663" s="246"/>
      <c r="AQ663" s="246"/>
      <c r="AR663" s="246"/>
      <c r="AS663" s="246"/>
      <c r="AT663" s="246"/>
      <c r="AU663" s="246"/>
      <c r="AV663" s="246"/>
      <c r="AW663" s="246"/>
      <c r="AX663" s="246"/>
      <c r="AY663" s="246"/>
      <c r="AZ663" s="246"/>
      <c r="BA663" s="246"/>
      <c r="BB663" s="246"/>
      <c r="BC663" s="246"/>
      <c r="BD663" s="246"/>
      <c r="BE663" s="246"/>
      <c r="BF663" s="246"/>
      <c r="BG663" s="246"/>
      <c r="BH663" s="246"/>
      <c r="BI663" s="246"/>
      <c r="BJ663" s="246"/>
    </row>
    <row r="664" spans="2:62">
      <c r="B664" s="7"/>
      <c r="C664" s="334"/>
      <c r="D664" s="334"/>
      <c r="E664" s="334"/>
      <c r="F664" s="334"/>
      <c r="G664" s="334"/>
      <c r="H664" s="334"/>
      <c r="I664" s="334"/>
      <c r="J664" s="334"/>
      <c r="K664" s="399"/>
      <c r="L664" s="401"/>
      <c r="M664" s="334"/>
      <c r="N664" s="399"/>
      <c r="O664" s="399"/>
      <c r="P664" s="334"/>
      <c r="Q664" s="399"/>
      <c r="R664" s="401"/>
      <c r="S664" s="334"/>
      <c r="T664" s="334"/>
      <c r="U664" s="334"/>
      <c r="W664" s="334"/>
      <c r="X664" s="334"/>
      <c r="Y664" s="246"/>
      <c r="Z664" s="246"/>
      <c r="AA664" s="246"/>
      <c r="AB664" s="246"/>
      <c r="AC664" s="246"/>
      <c r="AD664" s="246"/>
      <c r="AE664" s="246"/>
      <c r="AF664" s="246"/>
      <c r="AG664" s="246"/>
      <c r="AH664" s="246"/>
      <c r="AI664" s="246"/>
      <c r="AJ664" s="246"/>
      <c r="AK664" s="246"/>
      <c r="AL664" s="246"/>
      <c r="AM664" s="246"/>
      <c r="AN664" s="246"/>
      <c r="AO664" s="246"/>
      <c r="AP664" s="246"/>
      <c r="AQ664" s="246"/>
      <c r="AR664" s="246"/>
      <c r="AS664" s="246"/>
      <c r="AT664" s="246"/>
      <c r="AU664" s="246"/>
      <c r="AV664" s="246"/>
      <c r="AW664" s="246"/>
      <c r="AX664" s="246"/>
      <c r="AY664" s="246"/>
      <c r="AZ664" s="246"/>
      <c r="BA664" s="246"/>
      <c r="BB664" s="246"/>
      <c r="BC664" s="246"/>
      <c r="BD664" s="246"/>
      <c r="BE664" s="246"/>
      <c r="BF664" s="246"/>
      <c r="BG664" s="246"/>
      <c r="BH664" s="246"/>
      <c r="BI664" s="246"/>
      <c r="BJ664" s="246"/>
    </row>
    <row r="665" spans="2:62">
      <c r="B665" s="7"/>
      <c r="C665" s="334"/>
      <c r="D665" s="334"/>
      <c r="E665" s="334"/>
      <c r="F665" s="334"/>
      <c r="G665" s="334"/>
      <c r="H665" s="334"/>
      <c r="I665" s="334"/>
      <c r="J665" s="334"/>
      <c r="K665" s="399"/>
      <c r="L665" s="399"/>
      <c r="M665" s="334"/>
      <c r="N665" s="399"/>
      <c r="O665" s="399"/>
      <c r="P665" s="334"/>
      <c r="Q665" s="399"/>
      <c r="R665" s="399"/>
      <c r="S665" s="334"/>
      <c r="T665" s="334"/>
      <c r="U665" s="334"/>
      <c r="W665" s="334"/>
      <c r="X665" s="334"/>
      <c r="Y665" s="246"/>
      <c r="Z665" s="246"/>
      <c r="AA665" s="246"/>
      <c r="AB665" s="246"/>
      <c r="AC665" s="246"/>
      <c r="AD665" s="246"/>
      <c r="AE665" s="246"/>
      <c r="AF665" s="246"/>
      <c r="AG665" s="246"/>
      <c r="AH665" s="246"/>
      <c r="AI665" s="246"/>
      <c r="AJ665" s="246"/>
      <c r="AK665" s="246"/>
      <c r="AL665" s="246"/>
      <c r="AM665" s="246"/>
      <c r="AN665" s="246"/>
      <c r="AO665" s="246"/>
      <c r="AP665" s="246"/>
      <c r="AQ665" s="246"/>
      <c r="AR665" s="246"/>
      <c r="AS665" s="246"/>
      <c r="AT665" s="246"/>
      <c r="AU665" s="246"/>
      <c r="AV665" s="246"/>
      <c r="AW665" s="246"/>
      <c r="AX665" s="246"/>
      <c r="AY665" s="246"/>
      <c r="AZ665" s="246"/>
      <c r="BA665" s="246"/>
      <c r="BB665" s="246"/>
      <c r="BC665" s="246"/>
      <c r="BD665" s="246"/>
      <c r="BE665" s="246"/>
      <c r="BF665" s="246"/>
      <c r="BG665" s="246"/>
      <c r="BH665" s="246"/>
      <c r="BI665" s="246"/>
      <c r="BJ665" s="246"/>
    </row>
    <row r="666" spans="2:62">
      <c r="B666" s="7"/>
      <c r="C666" s="334"/>
      <c r="D666" s="334"/>
      <c r="E666" s="334"/>
      <c r="F666" s="334"/>
      <c r="G666" s="334"/>
      <c r="H666" s="334"/>
      <c r="I666" s="334"/>
      <c r="J666" s="334"/>
      <c r="K666" s="334"/>
      <c r="L666" s="334"/>
      <c r="M666" s="334"/>
      <c r="N666" s="401"/>
      <c r="O666" s="401"/>
      <c r="P666" s="334"/>
      <c r="Q666" s="401"/>
      <c r="R666" s="334"/>
      <c r="S666" s="334"/>
      <c r="T666" s="334"/>
      <c r="U666" s="334"/>
      <c r="W666" s="334"/>
      <c r="X666" s="334"/>
      <c r="Y666" s="246"/>
      <c r="Z666" s="246"/>
      <c r="AA666" s="246"/>
      <c r="AB666" s="246"/>
      <c r="AC666" s="246"/>
      <c r="AD666" s="246"/>
      <c r="AE666" s="246"/>
      <c r="AF666" s="246"/>
      <c r="AG666" s="246"/>
      <c r="AH666" s="246"/>
      <c r="AI666" s="246"/>
      <c r="AJ666" s="246"/>
      <c r="AK666" s="246"/>
      <c r="AL666" s="246"/>
      <c r="AM666" s="246"/>
      <c r="AN666" s="246"/>
      <c r="AO666" s="246"/>
      <c r="AP666" s="246"/>
      <c r="AQ666" s="246"/>
      <c r="AR666" s="246"/>
      <c r="AS666" s="246"/>
      <c r="AT666" s="246"/>
      <c r="AU666" s="246"/>
      <c r="AV666" s="246"/>
      <c r="AW666" s="246"/>
      <c r="AX666" s="246"/>
      <c r="AY666" s="246"/>
      <c r="AZ666" s="246"/>
      <c r="BA666" s="246"/>
      <c r="BB666" s="246"/>
      <c r="BC666" s="246"/>
      <c r="BD666" s="246"/>
      <c r="BE666" s="246"/>
      <c r="BF666" s="246"/>
      <c r="BG666" s="246"/>
      <c r="BH666" s="246"/>
      <c r="BI666" s="246"/>
      <c r="BJ666" s="246"/>
    </row>
    <row r="667" spans="2:62">
      <c r="B667" s="7"/>
      <c r="C667" s="334"/>
      <c r="D667" s="334"/>
      <c r="E667" s="334"/>
      <c r="F667" s="334"/>
      <c r="G667" s="334"/>
      <c r="H667" s="334"/>
      <c r="I667" s="334"/>
      <c r="J667" s="334"/>
      <c r="K667" s="401"/>
      <c r="L667" s="401"/>
      <c r="M667" s="334"/>
      <c r="N667" s="399"/>
      <c r="O667" s="399"/>
      <c r="P667" s="334"/>
      <c r="Q667" s="399"/>
      <c r="R667" s="401"/>
      <c r="S667" s="334"/>
      <c r="T667" s="334"/>
      <c r="U667" s="334"/>
      <c r="W667" s="334"/>
      <c r="X667" s="334"/>
      <c r="Y667" s="246"/>
      <c r="Z667" s="246"/>
      <c r="AA667" s="246"/>
      <c r="AB667" s="246"/>
      <c r="AC667" s="246"/>
      <c r="AD667" s="246"/>
      <c r="AE667" s="246"/>
      <c r="AF667" s="246"/>
      <c r="AG667" s="246"/>
      <c r="AH667" s="246"/>
      <c r="AI667" s="246"/>
      <c r="AJ667" s="246"/>
      <c r="AK667" s="246"/>
      <c r="AL667" s="246"/>
      <c r="AM667" s="246"/>
      <c r="AN667" s="246"/>
      <c r="AO667" s="246"/>
      <c r="AP667" s="246"/>
      <c r="AQ667" s="246"/>
      <c r="AR667" s="246"/>
      <c r="AS667" s="246"/>
      <c r="AT667" s="246"/>
      <c r="AU667" s="246"/>
      <c r="AV667" s="246"/>
      <c r="AW667" s="246"/>
      <c r="AX667" s="246"/>
      <c r="AY667" s="246"/>
      <c r="AZ667" s="246"/>
      <c r="BA667" s="246"/>
      <c r="BB667" s="246"/>
      <c r="BC667" s="246"/>
      <c r="BD667" s="246"/>
      <c r="BE667" s="246"/>
      <c r="BF667" s="246"/>
      <c r="BG667" s="246"/>
      <c r="BH667" s="246"/>
      <c r="BI667" s="246"/>
      <c r="BJ667" s="246"/>
    </row>
    <row r="668" spans="2:62">
      <c r="B668" s="7"/>
      <c r="C668" s="334"/>
      <c r="D668" s="334"/>
      <c r="E668" s="334"/>
      <c r="F668" s="334"/>
      <c r="G668" s="334"/>
      <c r="H668" s="334"/>
      <c r="I668" s="334"/>
      <c r="J668" s="334"/>
      <c r="K668" s="399"/>
      <c r="L668" s="399"/>
      <c r="M668" s="334"/>
      <c r="N668" s="399"/>
      <c r="O668" s="399"/>
      <c r="P668" s="334"/>
      <c r="Q668" s="399"/>
      <c r="R668" s="399"/>
      <c r="S668" s="334"/>
      <c r="T668" s="334"/>
      <c r="U668" s="334"/>
      <c r="W668" s="334"/>
      <c r="X668" s="334"/>
      <c r="Y668" s="246"/>
      <c r="Z668" s="246"/>
      <c r="AA668" s="246"/>
      <c r="AB668" s="246"/>
      <c r="AC668" s="246"/>
      <c r="AD668" s="246"/>
      <c r="AE668" s="246"/>
      <c r="AF668" s="246"/>
      <c r="AG668" s="246"/>
      <c r="AH668" s="246"/>
      <c r="AI668" s="246"/>
      <c r="AJ668" s="246"/>
      <c r="AK668" s="246"/>
      <c r="AL668" s="246"/>
      <c r="AM668" s="246"/>
      <c r="AN668" s="246"/>
      <c r="AO668" s="246"/>
      <c r="AP668" s="246"/>
      <c r="AQ668" s="246"/>
      <c r="AR668" s="246"/>
      <c r="AS668" s="246"/>
      <c r="AT668" s="246"/>
      <c r="AU668" s="246"/>
      <c r="AV668" s="246"/>
      <c r="AW668" s="246"/>
      <c r="AX668" s="246"/>
      <c r="AY668" s="246"/>
      <c r="AZ668" s="246"/>
      <c r="BA668" s="246"/>
      <c r="BB668" s="246"/>
      <c r="BC668" s="246"/>
      <c r="BD668" s="246"/>
      <c r="BE668" s="246"/>
      <c r="BF668" s="246"/>
      <c r="BG668" s="246"/>
      <c r="BH668" s="246"/>
      <c r="BI668" s="246"/>
      <c r="BJ668" s="246"/>
    </row>
    <row r="669" spans="2:62">
      <c r="B669" s="7"/>
      <c r="C669" s="334"/>
      <c r="D669" s="334"/>
      <c r="E669" s="334"/>
      <c r="F669" s="334"/>
      <c r="G669" s="334"/>
      <c r="H669" s="334"/>
      <c r="I669" s="334"/>
      <c r="J669" s="334"/>
      <c r="K669" s="399"/>
      <c r="L669" s="399"/>
      <c r="M669" s="334"/>
      <c r="N669" s="399"/>
      <c r="O669" s="399"/>
      <c r="P669" s="334"/>
      <c r="Q669" s="399"/>
      <c r="R669" s="399"/>
      <c r="S669" s="334"/>
      <c r="T669" s="334"/>
      <c r="U669" s="334"/>
      <c r="W669" s="334"/>
      <c r="X669" s="334"/>
      <c r="Y669" s="246"/>
      <c r="Z669" s="246"/>
      <c r="AA669" s="246"/>
      <c r="AB669" s="246"/>
      <c r="AC669" s="246"/>
      <c r="AD669" s="246"/>
      <c r="AE669" s="246"/>
      <c r="AF669" s="246"/>
      <c r="AG669" s="246"/>
      <c r="AH669" s="246"/>
      <c r="AI669" s="246"/>
      <c r="AJ669" s="246"/>
      <c r="AK669" s="246"/>
      <c r="AL669" s="246"/>
      <c r="AM669" s="246"/>
      <c r="AN669" s="246"/>
      <c r="AO669" s="246"/>
      <c r="AP669" s="246"/>
      <c r="AQ669" s="246"/>
      <c r="AR669" s="246"/>
      <c r="AS669" s="246"/>
      <c r="AT669" s="246"/>
      <c r="AU669" s="246"/>
      <c r="AV669" s="246"/>
      <c r="AW669" s="246"/>
      <c r="AX669" s="246"/>
      <c r="AY669" s="246"/>
      <c r="AZ669" s="246"/>
      <c r="BA669" s="246"/>
      <c r="BB669" s="246"/>
      <c r="BC669" s="246"/>
      <c r="BD669" s="246"/>
      <c r="BE669" s="246"/>
      <c r="BF669" s="246"/>
      <c r="BG669" s="246"/>
      <c r="BH669" s="246"/>
      <c r="BI669" s="246"/>
      <c r="BJ669" s="246"/>
    </row>
    <row r="670" spans="2:62">
      <c r="B670" s="7"/>
      <c r="C670" s="334"/>
      <c r="D670" s="334"/>
      <c r="E670" s="334"/>
      <c r="F670" s="334"/>
      <c r="G670" s="334"/>
      <c r="H670" s="334"/>
      <c r="I670" s="334"/>
      <c r="J670" s="334"/>
      <c r="K670" s="399"/>
      <c r="L670" s="399"/>
      <c r="M670" s="334"/>
      <c r="N670" s="399"/>
      <c r="O670" s="399"/>
      <c r="P670" s="334"/>
      <c r="Q670" s="399"/>
      <c r="R670" s="399"/>
      <c r="S670" s="334"/>
      <c r="T670" s="334"/>
      <c r="U670" s="334"/>
      <c r="W670" s="334"/>
      <c r="X670" s="334"/>
      <c r="Y670" s="246"/>
      <c r="Z670" s="246"/>
      <c r="AA670" s="246"/>
      <c r="AB670" s="246"/>
      <c r="AC670" s="246"/>
      <c r="AD670" s="246"/>
      <c r="AE670" s="246"/>
      <c r="AF670" s="246"/>
      <c r="AG670" s="246"/>
      <c r="AH670" s="246"/>
      <c r="AI670" s="246"/>
      <c r="AJ670" s="246"/>
      <c r="AK670" s="246"/>
      <c r="AL670" s="246"/>
      <c r="AM670" s="246"/>
      <c r="AN670" s="246"/>
      <c r="AO670" s="246"/>
      <c r="AP670" s="246"/>
      <c r="AQ670" s="246"/>
      <c r="AR670" s="246"/>
      <c r="AS670" s="246"/>
      <c r="AT670" s="246"/>
      <c r="AU670" s="246"/>
      <c r="AV670" s="246"/>
      <c r="AW670" s="246"/>
      <c r="AX670" s="246"/>
      <c r="AY670" s="246"/>
      <c r="AZ670" s="246"/>
      <c r="BA670" s="246"/>
      <c r="BB670" s="246"/>
      <c r="BC670" s="246"/>
      <c r="BD670" s="246"/>
      <c r="BE670" s="246"/>
      <c r="BF670" s="246"/>
      <c r="BG670" s="246"/>
      <c r="BH670" s="246"/>
      <c r="BI670" s="246"/>
      <c r="BJ670" s="246"/>
    </row>
    <row r="671" spans="2:62">
      <c r="B671" s="7"/>
      <c r="C671" s="334"/>
      <c r="D671" s="334"/>
      <c r="E671" s="334"/>
      <c r="F671" s="334"/>
      <c r="G671" s="334"/>
      <c r="H671" s="334"/>
      <c r="I671" s="334"/>
      <c r="J671" s="334"/>
      <c r="K671" s="399"/>
      <c r="L671" s="399"/>
      <c r="M671" s="334"/>
      <c r="N671" s="399"/>
      <c r="O671" s="399"/>
      <c r="P671" s="334"/>
      <c r="Q671" s="399"/>
      <c r="R671" s="399"/>
      <c r="S671" s="334"/>
      <c r="T671" s="334"/>
      <c r="U671" s="334"/>
      <c r="W671" s="334"/>
      <c r="X671" s="334"/>
      <c r="Y671" s="246"/>
      <c r="Z671" s="246"/>
      <c r="AA671" s="246"/>
      <c r="AB671" s="246"/>
      <c r="AC671" s="246"/>
      <c r="AD671" s="246"/>
      <c r="AE671" s="246"/>
      <c r="AF671" s="246"/>
      <c r="AG671" s="246"/>
      <c r="AH671" s="246"/>
      <c r="AI671" s="246"/>
      <c r="AJ671" s="246"/>
      <c r="AK671" s="246"/>
      <c r="AL671" s="246"/>
      <c r="AM671" s="246"/>
      <c r="AN671" s="246"/>
      <c r="AO671" s="246"/>
      <c r="AP671" s="246"/>
      <c r="AQ671" s="246"/>
      <c r="AR671" s="246"/>
      <c r="AS671" s="246"/>
      <c r="AT671" s="246"/>
      <c r="AU671" s="246"/>
      <c r="AV671" s="246"/>
      <c r="AW671" s="246"/>
      <c r="AX671" s="246"/>
      <c r="AY671" s="246"/>
      <c r="AZ671" s="246"/>
      <c r="BA671" s="246"/>
      <c r="BB671" s="246"/>
      <c r="BC671" s="246"/>
      <c r="BD671" s="246"/>
      <c r="BE671" s="246"/>
      <c r="BF671" s="246"/>
      <c r="BG671" s="246"/>
      <c r="BH671" s="246"/>
      <c r="BI671" s="246"/>
      <c r="BJ671" s="246"/>
    </row>
    <row r="672" spans="2:62">
      <c r="B672" s="7"/>
      <c r="C672" s="334"/>
      <c r="D672" s="334"/>
      <c r="E672" s="334"/>
      <c r="F672" s="334"/>
      <c r="G672" s="334"/>
      <c r="H672" s="334"/>
      <c r="I672" s="334"/>
      <c r="J672" s="334"/>
      <c r="K672" s="399"/>
      <c r="L672" s="399"/>
      <c r="M672" s="334"/>
      <c r="N672" s="399"/>
      <c r="O672" s="399"/>
      <c r="P672" s="334"/>
      <c r="Q672" s="399"/>
      <c r="R672" s="399"/>
      <c r="S672" s="334"/>
      <c r="T672" s="334"/>
      <c r="U672" s="334"/>
      <c r="W672" s="334"/>
      <c r="X672" s="334"/>
      <c r="Y672" s="246"/>
      <c r="Z672" s="246"/>
      <c r="AA672" s="246"/>
      <c r="AB672" s="246"/>
      <c r="AC672" s="246"/>
      <c r="AD672" s="246"/>
      <c r="AE672" s="246"/>
      <c r="AF672" s="246"/>
      <c r="AG672" s="246"/>
      <c r="AH672" s="246"/>
      <c r="AI672" s="246"/>
      <c r="AJ672" s="246"/>
      <c r="AK672" s="246"/>
      <c r="AL672" s="246"/>
      <c r="AM672" s="246"/>
      <c r="AN672" s="246"/>
      <c r="AO672" s="246"/>
      <c r="AP672" s="246"/>
      <c r="AQ672" s="246"/>
      <c r="AR672" s="246"/>
      <c r="AS672" s="246"/>
      <c r="AT672" s="246"/>
      <c r="AU672" s="246"/>
      <c r="AV672" s="246"/>
      <c r="AW672" s="246"/>
      <c r="AX672" s="246"/>
      <c r="AY672" s="246"/>
      <c r="AZ672" s="246"/>
      <c r="BA672" s="246"/>
      <c r="BB672" s="246"/>
      <c r="BC672" s="246"/>
      <c r="BD672" s="246"/>
      <c r="BE672" s="246"/>
      <c r="BF672" s="246"/>
      <c r="BG672" s="246"/>
      <c r="BH672" s="246"/>
      <c r="BI672" s="246"/>
      <c r="BJ672" s="246"/>
    </row>
    <row r="673" spans="2:62">
      <c r="B673" s="7"/>
      <c r="C673" s="334"/>
      <c r="D673" s="334"/>
      <c r="E673" s="334"/>
      <c r="F673" s="334"/>
      <c r="G673" s="334"/>
      <c r="H673" s="334"/>
      <c r="I673" s="334"/>
      <c r="J673" s="334"/>
      <c r="K673" s="399"/>
      <c r="L673" s="399"/>
      <c r="M673" s="334"/>
      <c r="N673" s="399"/>
      <c r="O673" s="399"/>
      <c r="P673" s="334"/>
      <c r="Q673" s="399"/>
      <c r="R673" s="399"/>
      <c r="S673" s="334"/>
      <c r="T673" s="334"/>
      <c r="U673" s="334"/>
      <c r="W673" s="334"/>
      <c r="X673" s="334"/>
      <c r="Y673" s="246"/>
      <c r="Z673" s="246"/>
      <c r="AA673" s="246"/>
      <c r="AB673" s="246"/>
      <c r="AC673" s="246"/>
      <c r="AD673" s="246"/>
      <c r="AE673" s="246"/>
      <c r="AF673" s="246"/>
      <c r="AG673" s="246"/>
      <c r="AH673" s="246"/>
      <c r="AI673" s="246"/>
      <c r="AJ673" s="246"/>
      <c r="AK673" s="246"/>
      <c r="AL673" s="246"/>
      <c r="AM673" s="246"/>
      <c r="AN673" s="246"/>
      <c r="AO673" s="246"/>
      <c r="AP673" s="246"/>
      <c r="AQ673" s="246"/>
      <c r="AR673" s="246"/>
      <c r="AS673" s="246"/>
      <c r="AT673" s="246"/>
      <c r="AU673" s="246"/>
      <c r="AV673" s="246"/>
      <c r="AW673" s="246"/>
      <c r="AX673" s="246"/>
      <c r="AY673" s="246"/>
      <c r="AZ673" s="246"/>
      <c r="BA673" s="246"/>
      <c r="BB673" s="246"/>
      <c r="BC673" s="246"/>
      <c r="BD673" s="246"/>
      <c r="BE673" s="246"/>
      <c r="BF673" s="246"/>
      <c r="BG673" s="246"/>
      <c r="BH673" s="246"/>
      <c r="BI673" s="246"/>
      <c r="BJ673" s="246"/>
    </row>
    <row r="674" spans="2:62">
      <c r="B674" s="7"/>
      <c r="C674" s="334"/>
      <c r="D674" s="334"/>
      <c r="E674" s="334"/>
      <c r="F674" s="334"/>
      <c r="G674" s="334"/>
      <c r="H674" s="334"/>
      <c r="I674" s="334"/>
      <c r="J674" s="334"/>
      <c r="K674" s="399"/>
      <c r="L674" s="399"/>
      <c r="M674" s="334"/>
      <c r="N674" s="399"/>
      <c r="O674" s="399"/>
      <c r="P674" s="334"/>
      <c r="Q674" s="399"/>
      <c r="R674" s="399"/>
      <c r="S674" s="334"/>
      <c r="T674" s="334"/>
      <c r="U674" s="334"/>
      <c r="W674" s="334"/>
      <c r="X674" s="334"/>
      <c r="Y674" s="246"/>
      <c r="Z674" s="246"/>
      <c r="AA674" s="246"/>
      <c r="AB674" s="246"/>
      <c r="AC674" s="246"/>
      <c r="AD674" s="246"/>
      <c r="AE674" s="246"/>
      <c r="AF674" s="246"/>
      <c r="AG674" s="246"/>
      <c r="AH674" s="246"/>
      <c r="AI674" s="246"/>
      <c r="AJ674" s="246"/>
      <c r="AK674" s="246"/>
      <c r="AL674" s="246"/>
      <c r="AM674" s="246"/>
      <c r="AN674" s="246"/>
      <c r="AO674" s="246"/>
      <c r="AP674" s="246"/>
      <c r="AQ674" s="246"/>
      <c r="AR674" s="246"/>
      <c r="AS674" s="246"/>
      <c r="AT674" s="246"/>
      <c r="AU674" s="246"/>
      <c r="AV674" s="246"/>
      <c r="AW674" s="246"/>
      <c r="AX674" s="246"/>
      <c r="AY674" s="246"/>
      <c r="AZ674" s="246"/>
      <c r="BA674" s="246"/>
      <c r="BB674" s="246"/>
      <c r="BC674" s="246"/>
      <c r="BD674" s="246"/>
      <c r="BE674" s="246"/>
      <c r="BF674" s="246"/>
      <c r="BG674" s="246"/>
      <c r="BH674" s="246"/>
      <c r="BI674" s="246"/>
      <c r="BJ674" s="246"/>
    </row>
    <row r="675" spans="2:62">
      <c r="B675" s="7"/>
      <c r="C675" s="334"/>
      <c r="D675" s="334"/>
      <c r="E675" s="334"/>
      <c r="F675" s="334"/>
      <c r="G675" s="334"/>
      <c r="H675" s="334"/>
      <c r="I675" s="334"/>
      <c r="J675" s="334"/>
      <c r="K675" s="399"/>
      <c r="L675" s="399"/>
      <c r="M675" s="334"/>
      <c r="N675" s="399"/>
      <c r="O675" s="399"/>
      <c r="P675" s="334"/>
      <c r="Q675" s="399"/>
      <c r="R675" s="399"/>
      <c r="S675" s="334"/>
      <c r="T675" s="334"/>
      <c r="U675" s="334"/>
      <c r="W675" s="334"/>
      <c r="X675" s="334"/>
      <c r="Y675" s="246"/>
      <c r="Z675" s="246"/>
      <c r="AA675" s="246"/>
      <c r="AB675" s="246"/>
      <c r="AC675" s="246"/>
      <c r="AD675" s="246"/>
      <c r="AE675" s="246"/>
      <c r="AF675" s="246"/>
      <c r="AG675" s="246"/>
      <c r="AH675" s="246"/>
      <c r="AI675" s="246"/>
      <c r="AJ675" s="246"/>
      <c r="AK675" s="246"/>
      <c r="AL675" s="246"/>
      <c r="AM675" s="246"/>
      <c r="AN675" s="246"/>
      <c r="AO675" s="246"/>
      <c r="AP675" s="246"/>
      <c r="AQ675" s="246"/>
      <c r="AR675" s="246"/>
      <c r="AS675" s="246"/>
      <c r="AT675" s="246"/>
      <c r="AU675" s="246"/>
      <c r="AV675" s="246"/>
      <c r="AW675" s="246"/>
      <c r="AX675" s="246"/>
      <c r="AY675" s="246"/>
      <c r="AZ675" s="246"/>
      <c r="BA675" s="246"/>
      <c r="BB675" s="246"/>
      <c r="BC675" s="246"/>
      <c r="BD675" s="246"/>
      <c r="BE675" s="246"/>
      <c r="BF675" s="246"/>
      <c r="BG675" s="246"/>
      <c r="BH675" s="246"/>
      <c r="BI675" s="246"/>
      <c r="BJ675" s="246"/>
    </row>
    <row r="676" spans="2:62">
      <c r="B676" s="7"/>
      <c r="C676" s="334"/>
      <c r="D676" s="334"/>
      <c r="E676" s="334"/>
      <c r="F676" s="334"/>
      <c r="G676" s="334"/>
      <c r="H676" s="334"/>
      <c r="I676" s="334"/>
      <c r="J676" s="334"/>
      <c r="K676" s="399"/>
      <c r="L676" s="399"/>
      <c r="M676" s="334"/>
      <c r="N676" s="401"/>
      <c r="O676" s="401"/>
      <c r="P676" s="334"/>
      <c r="Q676" s="401"/>
      <c r="R676" s="399"/>
      <c r="S676" s="334"/>
      <c r="T676" s="334"/>
      <c r="U676" s="334"/>
      <c r="W676" s="334"/>
      <c r="X676" s="334"/>
      <c r="Y676" s="246"/>
      <c r="Z676" s="246"/>
      <c r="AA676" s="246"/>
      <c r="AB676" s="246"/>
      <c r="AC676" s="246"/>
      <c r="AD676" s="246"/>
      <c r="AE676" s="246"/>
      <c r="AF676" s="246"/>
      <c r="AG676" s="246"/>
      <c r="AH676" s="246"/>
      <c r="AI676" s="246"/>
      <c r="AJ676" s="246"/>
      <c r="AK676" s="246"/>
      <c r="AL676" s="246"/>
      <c r="AM676" s="246"/>
      <c r="AN676" s="246"/>
      <c r="AO676" s="246"/>
      <c r="AP676" s="246"/>
      <c r="AQ676" s="246"/>
      <c r="AR676" s="246"/>
      <c r="AS676" s="246"/>
      <c r="AT676" s="246"/>
      <c r="AU676" s="246"/>
      <c r="AV676" s="246"/>
      <c r="AW676" s="246"/>
      <c r="AX676" s="246"/>
      <c r="AY676" s="246"/>
      <c r="AZ676" s="246"/>
      <c r="BA676" s="246"/>
      <c r="BB676" s="246"/>
      <c r="BC676" s="246"/>
      <c r="BD676" s="246"/>
      <c r="BE676" s="246"/>
      <c r="BF676" s="246"/>
      <c r="BG676" s="246"/>
      <c r="BH676" s="246"/>
      <c r="BI676" s="246"/>
      <c r="BJ676" s="246"/>
    </row>
    <row r="677" spans="2:62">
      <c r="B677" s="7"/>
      <c r="C677" s="334"/>
      <c r="D677" s="334"/>
      <c r="E677" s="334"/>
      <c r="F677" s="334"/>
      <c r="G677" s="334"/>
      <c r="H677" s="334"/>
      <c r="I677" s="334"/>
      <c r="J677" s="334"/>
      <c r="K677" s="401"/>
      <c r="L677" s="401"/>
      <c r="M677" s="334"/>
      <c r="N677" s="399"/>
      <c r="O677" s="399"/>
      <c r="P677" s="334"/>
      <c r="Q677" s="399"/>
      <c r="R677" s="401"/>
      <c r="S677" s="334"/>
      <c r="T677" s="334"/>
      <c r="U677" s="334"/>
      <c r="W677" s="334"/>
      <c r="X677" s="334"/>
      <c r="Y677" s="246"/>
      <c r="Z677" s="246"/>
      <c r="AA677" s="246"/>
      <c r="AB677" s="246"/>
      <c r="AC677" s="246"/>
      <c r="AD677" s="246"/>
      <c r="AE677" s="246"/>
      <c r="AF677" s="246"/>
      <c r="AG677" s="246"/>
      <c r="AH677" s="246"/>
      <c r="AI677" s="246"/>
      <c r="AJ677" s="246"/>
      <c r="AK677" s="246"/>
      <c r="AL677" s="246"/>
      <c r="AM677" s="246"/>
      <c r="AN677" s="246"/>
      <c r="AO677" s="246"/>
      <c r="AP677" s="246"/>
      <c r="AQ677" s="246"/>
      <c r="AR677" s="246"/>
      <c r="AS677" s="246"/>
      <c r="AT677" s="246"/>
      <c r="AU677" s="246"/>
      <c r="AV677" s="246"/>
      <c r="AW677" s="246"/>
      <c r="AX677" s="246"/>
      <c r="AY677" s="246"/>
      <c r="AZ677" s="246"/>
      <c r="BA677" s="246"/>
      <c r="BB677" s="246"/>
      <c r="BC677" s="246"/>
      <c r="BD677" s="246"/>
      <c r="BE677" s="246"/>
      <c r="BF677" s="246"/>
      <c r="BG677" s="246"/>
      <c r="BH677" s="246"/>
      <c r="BI677" s="246"/>
      <c r="BJ677" s="246"/>
    </row>
    <row r="678" spans="2:62">
      <c r="B678" s="7"/>
      <c r="C678" s="334"/>
      <c r="D678" s="334"/>
      <c r="E678" s="334"/>
      <c r="F678" s="334"/>
      <c r="G678" s="334"/>
      <c r="H678" s="334"/>
      <c r="I678" s="334"/>
      <c r="J678" s="334"/>
      <c r="K678" s="399"/>
      <c r="L678" s="399"/>
      <c r="M678" s="334"/>
      <c r="N678" s="399"/>
      <c r="O678" s="399"/>
      <c r="P678" s="334"/>
      <c r="Q678" s="399"/>
      <c r="R678" s="399"/>
      <c r="S678" s="334"/>
      <c r="T678" s="334"/>
      <c r="U678" s="334"/>
      <c r="W678" s="334"/>
      <c r="X678" s="334"/>
      <c r="Y678" s="246"/>
      <c r="Z678" s="246"/>
      <c r="AA678" s="246"/>
      <c r="AB678" s="246"/>
      <c r="AC678" s="246"/>
      <c r="AD678" s="246"/>
      <c r="AE678" s="246"/>
      <c r="AF678" s="246"/>
      <c r="AG678" s="246"/>
      <c r="AH678" s="246"/>
      <c r="AI678" s="246"/>
      <c r="AJ678" s="246"/>
      <c r="AK678" s="246"/>
      <c r="AL678" s="246"/>
      <c r="AM678" s="246"/>
      <c r="AN678" s="246"/>
      <c r="AO678" s="246"/>
      <c r="AP678" s="246"/>
      <c r="AQ678" s="246"/>
      <c r="AR678" s="246"/>
      <c r="AS678" s="246"/>
      <c r="AT678" s="246"/>
      <c r="AU678" s="246"/>
      <c r="AV678" s="246"/>
      <c r="AW678" s="246"/>
      <c r="AX678" s="246"/>
      <c r="AY678" s="246"/>
      <c r="AZ678" s="246"/>
      <c r="BA678" s="246"/>
      <c r="BB678" s="246"/>
      <c r="BC678" s="246"/>
      <c r="BD678" s="246"/>
      <c r="BE678" s="246"/>
      <c r="BF678" s="246"/>
      <c r="BG678" s="246"/>
      <c r="BH678" s="246"/>
      <c r="BI678" s="246"/>
      <c r="BJ678" s="246"/>
    </row>
    <row r="679" spans="2:62">
      <c r="B679" s="7"/>
      <c r="C679" s="334"/>
      <c r="D679" s="334"/>
      <c r="E679" s="334"/>
      <c r="F679" s="334"/>
      <c r="G679" s="334"/>
      <c r="H679" s="334"/>
      <c r="I679" s="334"/>
      <c r="J679" s="334"/>
      <c r="K679" s="399"/>
      <c r="L679" s="399"/>
      <c r="M679" s="334"/>
      <c r="N679" s="399"/>
      <c r="O679" s="399"/>
      <c r="P679" s="334"/>
      <c r="Q679" s="399"/>
      <c r="R679" s="399"/>
      <c r="S679" s="334"/>
      <c r="T679" s="334"/>
      <c r="U679" s="334"/>
      <c r="W679" s="334"/>
      <c r="X679" s="334"/>
      <c r="Y679" s="246"/>
      <c r="Z679" s="246"/>
      <c r="AA679" s="246"/>
      <c r="AB679" s="246"/>
      <c r="AC679" s="246"/>
      <c r="AD679" s="246"/>
      <c r="AE679" s="246"/>
      <c r="AF679" s="246"/>
      <c r="AG679" s="246"/>
      <c r="AH679" s="246"/>
      <c r="AI679" s="246"/>
      <c r="AJ679" s="246"/>
      <c r="AK679" s="246"/>
      <c r="AL679" s="246"/>
      <c r="AM679" s="246"/>
      <c r="AN679" s="246"/>
      <c r="AO679" s="246"/>
      <c r="AP679" s="246"/>
      <c r="AQ679" s="246"/>
      <c r="AR679" s="246"/>
      <c r="AS679" s="246"/>
      <c r="AT679" s="246"/>
      <c r="AU679" s="246"/>
      <c r="AV679" s="246"/>
      <c r="AW679" s="246"/>
      <c r="AX679" s="246"/>
      <c r="AY679" s="246"/>
      <c r="AZ679" s="246"/>
      <c r="BA679" s="246"/>
      <c r="BB679" s="246"/>
      <c r="BC679" s="246"/>
      <c r="BD679" s="246"/>
      <c r="BE679" s="246"/>
      <c r="BF679" s="246"/>
      <c r="BG679" s="246"/>
      <c r="BH679" s="246"/>
      <c r="BI679" s="246"/>
      <c r="BJ679" s="246"/>
    </row>
    <row r="680" spans="2:62">
      <c r="B680" s="7"/>
      <c r="C680" s="334"/>
      <c r="D680" s="334"/>
      <c r="E680" s="334"/>
      <c r="F680" s="334"/>
      <c r="G680" s="334"/>
      <c r="H680" s="334"/>
      <c r="I680" s="334"/>
      <c r="J680" s="334"/>
      <c r="K680" s="399"/>
      <c r="L680" s="399"/>
      <c r="M680" s="334"/>
      <c r="N680" s="399"/>
      <c r="O680" s="399"/>
      <c r="P680" s="334"/>
      <c r="Q680" s="399"/>
      <c r="R680" s="399"/>
      <c r="S680" s="334"/>
      <c r="T680" s="334"/>
      <c r="U680" s="334"/>
      <c r="W680" s="334"/>
      <c r="X680" s="334"/>
      <c r="Y680" s="246"/>
      <c r="Z680" s="246"/>
      <c r="AA680" s="246"/>
      <c r="AB680" s="246"/>
      <c r="AC680" s="246"/>
      <c r="AD680" s="246"/>
      <c r="AE680" s="246"/>
      <c r="AF680" s="246"/>
      <c r="AG680" s="246"/>
      <c r="AH680" s="246"/>
      <c r="AI680" s="246"/>
      <c r="AJ680" s="246"/>
      <c r="AK680" s="246"/>
      <c r="AL680" s="246"/>
      <c r="AM680" s="246"/>
      <c r="AN680" s="246"/>
      <c r="AO680" s="246"/>
      <c r="AP680" s="246"/>
      <c r="AQ680" s="246"/>
      <c r="AR680" s="246"/>
      <c r="AS680" s="246"/>
      <c r="AT680" s="246"/>
      <c r="AU680" s="246"/>
      <c r="AV680" s="246"/>
      <c r="AW680" s="246"/>
      <c r="AX680" s="246"/>
      <c r="AY680" s="246"/>
      <c r="AZ680" s="246"/>
      <c r="BA680" s="246"/>
      <c r="BB680" s="246"/>
      <c r="BC680" s="246"/>
      <c r="BD680" s="246"/>
      <c r="BE680" s="246"/>
      <c r="BF680" s="246"/>
      <c r="BG680" s="246"/>
      <c r="BH680" s="246"/>
      <c r="BI680" s="246"/>
      <c r="BJ680" s="246"/>
    </row>
    <row r="681" spans="2:62">
      <c r="B681" s="7"/>
      <c r="C681" s="334"/>
      <c r="D681" s="334"/>
      <c r="E681" s="334"/>
      <c r="F681" s="334"/>
      <c r="G681" s="334"/>
      <c r="H681" s="334"/>
      <c r="I681" s="334"/>
      <c r="J681" s="334"/>
      <c r="K681" s="399"/>
      <c r="L681" s="399"/>
      <c r="M681" s="334"/>
      <c r="N681" s="399"/>
      <c r="O681" s="399"/>
      <c r="P681" s="334"/>
      <c r="Q681" s="399"/>
      <c r="R681" s="399"/>
      <c r="S681" s="334"/>
      <c r="T681" s="334"/>
      <c r="U681" s="334"/>
      <c r="W681" s="334"/>
      <c r="X681" s="334"/>
      <c r="Y681" s="246"/>
      <c r="Z681" s="246"/>
      <c r="AA681" s="246"/>
      <c r="AB681" s="246"/>
      <c r="AC681" s="246"/>
      <c r="AD681" s="246"/>
      <c r="AE681" s="246"/>
      <c r="AF681" s="246"/>
      <c r="AG681" s="246"/>
      <c r="AH681" s="246"/>
      <c r="AI681" s="246"/>
      <c r="AJ681" s="246"/>
      <c r="AK681" s="246"/>
      <c r="AL681" s="246"/>
      <c r="AM681" s="246"/>
      <c r="AN681" s="246"/>
      <c r="AO681" s="246"/>
      <c r="AP681" s="246"/>
      <c r="AQ681" s="246"/>
      <c r="AR681" s="246"/>
      <c r="AS681" s="246"/>
      <c r="AT681" s="246"/>
      <c r="AU681" s="246"/>
      <c r="AV681" s="246"/>
      <c r="AW681" s="246"/>
      <c r="AX681" s="246"/>
      <c r="AY681" s="246"/>
      <c r="AZ681" s="246"/>
      <c r="BA681" s="246"/>
      <c r="BB681" s="246"/>
      <c r="BC681" s="246"/>
      <c r="BD681" s="246"/>
      <c r="BE681" s="246"/>
      <c r="BF681" s="246"/>
      <c r="BG681" s="246"/>
      <c r="BH681" s="246"/>
      <c r="BI681" s="246"/>
      <c r="BJ681" s="246"/>
    </row>
    <row r="682" spans="2:62">
      <c r="B682" s="7"/>
      <c r="C682" s="334"/>
      <c r="D682" s="334"/>
      <c r="E682" s="334"/>
      <c r="F682" s="334"/>
      <c r="G682" s="334"/>
      <c r="H682" s="334"/>
      <c r="I682" s="334"/>
      <c r="J682" s="334"/>
      <c r="K682" s="399"/>
      <c r="L682" s="399"/>
      <c r="M682" s="334"/>
      <c r="N682" s="399"/>
      <c r="O682" s="399"/>
      <c r="P682" s="334"/>
      <c r="Q682" s="399"/>
      <c r="R682" s="399"/>
      <c r="S682" s="334"/>
      <c r="T682" s="334"/>
      <c r="U682" s="334"/>
      <c r="W682" s="334"/>
      <c r="X682" s="334"/>
      <c r="Y682" s="246"/>
      <c r="Z682" s="246"/>
      <c r="AA682" s="246"/>
      <c r="AB682" s="246"/>
      <c r="AC682" s="246"/>
      <c r="AD682" s="246"/>
      <c r="AE682" s="246"/>
      <c r="AF682" s="246"/>
      <c r="AG682" s="246"/>
      <c r="AH682" s="246"/>
      <c r="AI682" s="246"/>
      <c r="AJ682" s="246"/>
      <c r="AK682" s="246"/>
      <c r="AL682" s="246"/>
      <c r="AM682" s="246"/>
      <c r="AN682" s="246"/>
      <c r="AO682" s="246"/>
      <c r="AP682" s="246"/>
      <c r="AQ682" s="246"/>
      <c r="AR682" s="246"/>
      <c r="AS682" s="246"/>
      <c r="AT682" s="246"/>
      <c r="AU682" s="246"/>
      <c r="AV682" s="246"/>
      <c r="AW682" s="246"/>
      <c r="AX682" s="246"/>
      <c r="AY682" s="246"/>
      <c r="AZ682" s="246"/>
      <c r="BA682" s="246"/>
      <c r="BB682" s="246"/>
      <c r="BC682" s="246"/>
      <c r="BD682" s="246"/>
      <c r="BE682" s="246"/>
      <c r="BF682" s="246"/>
      <c r="BG682" s="246"/>
      <c r="BH682" s="246"/>
      <c r="BI682" s="246"/>
      <c r="BJ682" s="246"/>
    </row>
    <row r="683" spans="2:62">
      <c r="B683" s="7"/>
      <c r="C683" s="334"/>
      <c r="D683" s="334"/>
      <c r="E683" s="334"/>
      <c r="F683" s="334"/>
      <c r="G683" s="334"/>
      <c r="H683" s="334"/>
      <c r="I683" s="334"/>
      <c r="J683" s="334"/>
      <c r="K683" s="399"/>
      <c r="L683" s="399"/>
      <c r="M683" s="334"/>
      <c r="N683" s="399"/>
      <c r="O683" s="399"/>
      <c r="P683" s="334"/>
      <c r="Q683" s="399"/>
      <c r="R683" s="399"/>
      <c r="S683" s="334"/>
      <c r="T683" s="334"/>
      <c r="U683" s="334"/>
      <c r="W683" s="334"/>
      <c r="X683" s="334"/>
      <c r="Y683" s="246"/>
      <c r="Z683" s="246"/>
      <c r="AA683" s="246"/>
      <c r="AB683" s="246"/>
      <c r="AC683" s="246"/>
      <c r="AD683" s="246"/>
      <c r="AE683" s="246"/>
      <c r="AF683" s="246"/>
      <c r="AG683" s="246"/>
      <c r="AH683" s="246"/>
      <c r="AI683" s="246"/>
      <c r="AJ683" s="246"/>
      <c r="AK683" s="246"/>
      <c r="AL683" s="246"/>
      <c r="AM683" s="246"/>
      <c r="AN683" s="246"/>
      <c r="AO683" s="246"/>
      <c r="AP683" s="246"/>
      <c r="AQ683" s="246"/>
      <c r="AR683" s="246"/>
      <c r="AS683" s="246"/>
      <c r="AT683" s="246"/>
      <c r="AU683" s="246"/>
      <c r="AV683" s="246"/>
      <c r="AW683" s="246"/>
      <c r="AX683" s="246"/>
      <c r="AY683" s="246"/>
      <c r="AZ683" s="246"/>
      <c r="BA683" s="246"/>
      <c r="BB683" s="246"/>
      <c r="BC683" s="246"/>
      <c r="BD683" s="246"/>
      <c r="BE683" s="246"/>
      <c r="BF683" s="246"/>
      <c r="BG683" s="246"/>
      <c r="BH683" s="246"/>
      <c r="BI683" s="246"/>
      <c r="BJ683" s="246"/>
    </row>
    <row r="684" spans="2:62">
      <c r="B684" s="7"/>
      <c r="C684" s="334"/>
      <c r="D684" s="334"/>
      <c r="E684" s="334"/>
      <c r="F684" s="334"/>
      <c r="G684" s="334"/>
      <c r="H684" s="334"/>
      <c r="I684" s="334"/>
      <c r="J684" s="334"/>
      <c r="K684" s="399"/>
      <c r="L684" s="399"/>
      <c r="M684" s="334"/>
      <c r="N684" s="399"/>
      <c r="O684" s="399"/>
      <c r="P684" s="334"/>
      <c r="Q684" s="399"/>
      <c r="R684" s="399"/>
      <c r="S684" s="334"/>
      <c r="T684" s="334"/>
      <c r="U684" s="334"/>
      <c r="W684" s="334"/>
      <c r="X684" s="334"/>
      <c r="Y684" s="246"/>
      <c r="Z684" s="246"/>
      <c r="AA684" s="246"/>
      <c r="AB684" s="246"/>
      <c r="AC684" s="246"/>
      <c r="AD684" s="246"/>
      <c r="AE684" s="246"/>
      <c r="AF684" s="246"/>
      <c r="AG684" s="246"/>
      <c r="AH684" s="246"/>
      <c r="AI684" s="246"/>
      <c r="AJ684" s="246"/>
      <c r="AK684" s="246"/>
      <c r="AL684" s="246"/>
      <c r="AM684" s="246"/>
      <c r="AN684" s="246"/>
      <c r="AO684" s="246"/>
      <c r="AP684" s="246"/>
      <c r="AQ684" s="246"/>
      <c r="AR684" s="246"/>
      <c r="AS684" s="246"/>
      <c r="AT684" s="246"/>
      <c r="AU684" s="246"/>
      <c r="AV684" s="246"/>
      <c r="AW684" s="246"/>
      <c r="AX684" s="246"/>
      <c r="AY684" s="246"/>
      <c r="AZ684" s="246"/>
      <c r="BA684" s="246"/>
      <c r="BB684" s="246"/>
      <c r="BC684" s="246"/>
      <c r="BD684" s="246"/>
      <c r="BE684" s="246"/>
      <c r="BF684" s="246"/>
      <c r="BG684" s="246"/>
      <c r="BH684" s="246"/>
      <c r="BI684" s="246"/>
      <c r="BJ684" s="246"/>
    </row>
    <row r="685" spans="2:62">
      <c r="B685" s="7"/>
      <c r="C685" s="334"/>
      <c r="D685" s="334"/>
      <c r="E685" s="334"/>
      <c r="F685" s="334"/>
      <c r="G685" s="334"/>
      <c r="H685" s="334"/>
      <c r="I685" s="334"/>
      <c r="J685" s="334"/>
      <c r="K685" s="399"/>
      <c r="L685" s="399"/>
      <c r="M685" s="334"/>
      <c r="N685" s="399"/>
      <c r="O685" s="399"/>
      <c r="P685" s="334"/>
      <c r="Q685" s="399"/>
      <c r="R685" s="399"/>
      <c r="S685" s="334"/>
      <c r="T685" s="334"/>
      <c r="U685" s="334"/>
      <c r="W685" s="334"/>
      <c r="X685" s="334"/>
      <c r="Y685" s="246"/>
      <c r="Z685" s="246"/>
      <c r="AA685" s="246"/>
      <c r="AB685" s="246"/>
      <c r="AC685" s="246"/>
      <c r="AD685" s="246"/>
      <c r="AE685" s="246"/>
      <c r="AF685" s="246"/>
      <c r="AG685" s="246"/>
      <c r="AH685" s="246"/>
      <c r="AI685" s="246"/>
      <c r="AJ685" s="246"/>
      <c r="AK685" s="246"/>
      <c r="AL685" s="246"/>
      <c r="AM685" s="246"/>
      <c r="AN685" s="246"/>
      <c r="AO685" s="246"/>
      <c r="AP685" s="246"/>
      <c r="AQ685" s="246"/>
      <c r="AR685" s="246"/>
      <c r="AS685" s="246"/>
      <c r="AT685" s="246"/>
      <c r="AU685" s="246"/>
      <c r="AV685" s="246"/>
      <c r="AW685" s="246"/>
      <c r="AX685" s="246"/>
      <c r="AY685" s="246"/>
      <c r="AZ685" s="246"/>
      <c r="BA685" s="246"/>
      <c r="BB685" s="246"/>
      <c r="BC685" s="246"/>
      <c r="BD685" s="246"/>
      <c r="BE685" s="246"/>
      <c r="BF685" s="246"/>
      <c r="BG685" s="246"/>
      <c r="BH685" s="246"/>
      <c r="BI685" s="246"/>
      <c r="BJ685" s="246"/>
    </row>
    <row r="686" spans="2:62">
      <c r="B686" s="7"/>
      <c r="C686" s="334"/>
      <c r="D686" s="334"/>
      <c r="E686" s="334"/>
      <c r="F686" s="334"/>
      <c r="G686" s="334"/>
      <c r="H686" s="334"/>
      <c r="I686" s="334"/>
      <c r="J686" s="334"/>
      <c r="K686" s="399"/>
      <c r="L686" s="399"/>
      <c r="M686" s="334"/>
      <c r="N686" s="399"/>
      <c r="O686" s="399"/>
      <c r="P686" s="334"/>
      <c r="Q686" s="399"/>
      <c r="R686" s="399"/>
      <c r="S686" s="334"/>
      <c r="T686" s="334"/>
      <c r="U686" s="334"/>
      <c r="W686" s="334"/>
      <c r="X686" s="334"/>
      <c r="Y686" s="246"/>
      <c r="Z686" s="246"/>
      <c r="AA686" s="246"/>
      <c r="AB686" s="246"/>
      <c r="AC686" s="246"/>
      <c r="AD686" s="246"/>
      <c r="AE686" s="246"/>
      <c r="AF686" s="246"/>
      <c r="AG686" s="246"/>
      <c r="AH686" s="246"/>
      <c r="AI686" s="246"/>
      <c r="AJ686" s="246"/>
      <c r="AK686" s="246"/>
      <c r="AL686" s="246"/>
      <c r="AM686" s="246"/>
      <c r="AN686" s="246"/>
      <c r="AO686" s="246"/>
      <c r="AP686" s="246"/>
      <c r="AQ686" s="246"/>
      <c r="AR686" s="246"/>
      <c r="AS686" s="246"/>
      <c r="AT686" s="246"/>
      <c r="AU686" s="246"/>
      <c r="AV686" s="246"/>
      <c r="AW686" s="246"/>
      <c r="AX686" s="246"/>
      <c r="AY686" s="246"/>
      <c r="AZ686" s="246"/>
      <c r="BA686" s="246"/>
      <c r="BB686" s="246"/>
      <c r="BC686" s="246"/>
      <c r="BD686" s="246"/>
      <c r="BE686" s="246"/>
      <c r="BF686" s="246"/>
      <c r="BG686" s="246"/>
      <c r="BH686" s="246"/>
      <c r="BI686" s="246"/>
      <c r="BJ686" s="246"/>
    </row>
    <row r="687" spans="2:62">
      <c r="B687" s="7"/>
      <c r="C687" s="334"/>
      <c r="D687" s="334"/>
      <c r="E687" s="334"/>
      <c r="F687" s="334"/>
      <c r="G687" s="334"/>
      <c r="H687" s="334"/>
      <c r="I687" s="334"/>
      <c r="J687" s="334"/>
      <c r="K687" s="399"/>
      <c r="L687" s="399"/>
      <c r="M687" s="334"/>
      <c r="N687" s="399"/>
      <c r="O687" s="399"/>
      <c r="P687" s="334"/>
      <c r="Q687" s="399"/>
      <c r="R687" s="399"/>
      <c r="S687" s="334"/>
      <c r="T687" s="334"/>
      <c r="U687" s="334"/>
      <c r="W687" s="334"/>
      <c r="X687" s="334"/>
      <c r="Y687" s="246"/>
      <c r="Z687" s="246"/>
      <c r="AA687" s="246"/>
      <c r="AB687" s="246"/>
      <c r="AC687" s="246"/>
      <c r="AD687" s="246"/>
      <c r="AE687" s="246"/>
      <c r="AF687" s="246"/>
      <c r="AG687" s="246"/>
      <c r="AH687" s="246"/>
      <c r="AI687" s="246"/>
      <c r="AJ687" s="246"/>
      <c r="AK687" s="246"/>
      <c r="AL687" s="246"/>
      <c r="AM687" s="246"/>
      <c r="AN687" s="246"/>
      <c r="AO687" s="246"/>
      <c r="AP687" s="246"/>
      <c r="AQ687" s="246"/>
      <c r="AR687" s="246"/>
      <c r="AS687" s="246"/>
      <c r="AT687" s="246"/>
      <c r="AU687" s="246"/>
      <c r="AV687" s="246"/>
      <c r="AW687" s="246"/>
      <c r="AX687" s="246"/>
      <c r="AY687" s="246"/>
      <c r="AZ687" s="246"/>
      <c r="BA687" s="246"/>
      <c r="BB687" s="246"/>
      <c r="BC687" s="246"/>
      <c r="BD687" s="246"/>
      <c r="BE687" s="246"/>
      <c r="BF687" s="246"/>
      <c r="BG687" s="246"/>
      <c r="BH687" s="246"/>
      <c r="BI687" s="246"/>
      <c r="BJ687" s="246"/>
    </row>
    <row r="688" spans="2:62">
      <c r="B688" s="7"/>
      <c r="C688" s="334"/>
      <c r="D688" s="334"/>
      <c r="E688" s="334"/>
      <c r="F688" s="334"/>
      <c r="G688" s="334"/>
      <c r="H688" s="334"/>
      <c r="I688" s="334"/>
      <c r="J688" s="334"/>
      <c r="K688" s="399"/>
      <c r="L688" s="399"/>
      <c r="M688" s="334"/>
      <c r="N688" s="399"/>
      <c r="O688" s="399"/>
      <c r="P688" s="334"/>
      <c r="Q688" s="399"/>
      <c r="R688" s="399"/>
      <c r="S688" s="334"/>
      <c r="T688" s="334"/>
      <c r="U688" s="334"/>
      <c r="W688" s="334"/>
      <c r="X688" s="334"/>
      <c r="Y688" s="246"/>
      <c r="Z688" s="246"/>
      <c r="AA688" s="246"/>
      <c r="AB688" s="246"/>
      <c r="AC688" s="246"/>
      <c r="AD688" s="246"/>
      <c r="AE688" s="246"/>
      <c r="AF688" s="246"/>
      <c r="AG688" s="246"/>
      <c r="AH688" s="246"/>
      <c r="AI688" s="246"/>
      <c r="AJ688" s="246"/>
      <c r="AK688" s="246"/>
      <c r="AL688" s="246"/>
      <c r="AM688" s="246"/>
      <c r="AN688" s="246"/>
      <c r="AO688" s="246"/>
      <c r="AP688" s="246"/>
      <c r="AQ688" s="246"/>
      <c r="AR688" s="246"/>
      <c r="AS688" s="246"/>
      <c r="AT688" s="246"/>
      <c r="AU688" s="246"/>
      <c r="AV688" s="246"/>
      <c r="AW688" s="246"/>
      <c r="AX688" s="246"/>
      <c r="AY688" s="246"/>
      <c r="AZ688" s="246"/>
      <c r="BA688" s="246"/>
      <c r="BB688" s="246"/>
      <c r="BC688" s="246"/>
      <c r="BD688" s="246"/>
      <c r="BE688" s="246"/>
      <c r="BF688" s="246"/>
      <c r="BG688" s="246"/>
      <c r="BH688" s="246"/>
      <c r="BI688" s="246"/>
      <c r="BJ688" s="246"/>
    </row>
    <row r="689" spans="2:62">
      <c r="B689" s="7"/>
      <c r="C689" s="334"/>
      <c r="D689" s="334"/>
      <c r="E689" s="334"/>
      <c r="F689" s="334"/>
      <c r="G689" s="334"/>
      <c r="H689" s="334"/>
      <c r="I689" s="334"/>
      <c r="J689" s="334"/>
      <c r="K689" s="399"/>
      <c r="L689" s="399"/>
      <c r="M689" s="334"/>
      <c r="N689" s="399"/>
      <c r="O689" s="399"/>
      <c r="P689" s="334"/>
      <c r="Q689" s="399"/>
      <c r="R689" s="399"/>
      <c r="S689" s="334"/>
      <c r="T689" s="334"/>
      <c r="U689" s="334"/>
      <c r="W689" s="334"/>
      <c r="X689" s="334"/>
      <c r="Y689" s="246"/>
      <c r="Z689" s="246"/>
      <c r="AA689" s="246"/>
      <c r="AB689" s="246"/>
      <c r="AC689" s="246"/>
      <c r="AD689" s="246"/>
      <c r="AE689" s="246"/>
      <c r="AF689" s="246"/>
      <c r="AG689" s="246"/>
      <c r="AH689" s="246"/>
      <c r="AI689" s="246"/>
      <c r="AJ689" s="246"/>
      <c r="AK689" s="246"/>
      <c r="AL689" s="246"/>
      <c r="AM689" s="246"/>
      <c r="AN689" s="246"/>
      <c r="AO689" s="246"/>
      <c r="AP689" s="246"/>
      <c r="AQ689" s="246"/>
      <c r="AR689" s="246"/>
      <c r="AS689" s="246"/>
      <c r="AT689" s="246"/>
      <c r="AU689" s="246"/>
      <c r="AV689" s="246"/>
      <c r="AW689" s="246"/>
      <c r="AX689" s="246"/>
      <c r="AY689" s="246"/>
      <c r="AZ689" s="246"/>
      <c r="BA689" s="246"/>
      <c r="BB689" s="246"/>
      <c r="BC689" s="246"/>
      <c r="BD689" s="246"/>
      <c r="BE689" s="246"/>
      <c r="BF689" s="246"/>
      <c r="BG689" s="246"/>
      <c r="BH689" s="246"/>
      <c r="BI689" s="246"/>
      <c r="BJ689" s="246"/>
    </row>
    <row r="690" spans="2:62">
      <c r="B690" s="7"/>
      <c r="C690" s="334"/>
      <c r="D690" s="334"/>
      <c r="E690" s="334"/>
      <c r="F690" s="334"/>
      <c r="G690" s="334"/>
      <c r="H690" s="334"/>
      <c r="I690" s="334"/>
      <c r="J690" s="334"/>
      <c r="K690" s="399"/>
      <c r="L690" s="399"/>
      <c r="M690" s="334"/>
      <c r="N690" s="399"/>
      <c r="O690" s="399"/>
      <c r="P690" s="334"/>
      <c r="Q690" s="399"/>
      <c r="R690" s="399"/>
      <c r="S690" s="334"/>
      <c r="T690" s="334"/>
      <c r="U690" s="334"/>
      <c r="W690" s="334"/>
      <c r="X690" s="334"/>
      <c r="Y690" s="246"/>
      <c r="Z690" s="246"/>
      <c r="AA690" s="246"/>
      <c r="AB690" s="246"/>
      <c r="AC690" s="246"/>
      <c r="AD690" s="246"/>
      <c r="AE690" s="246"/>
      <c r="AF690" s="246"/>
      <c r="AG690" s="246"/>
      <c r="AH690" s="246"/>
      <c r="AI690" s="246"/>
      <c r="AJ690" s="246"/>
      <c r="AK690" s="246"/>
      <c r="AL690" s="246"/>
      <c r="AM690" s="246"/>
      <c r="AN690" s="246"/>
      <c r="AO690" s="246"/>
      <c r="AP690" s="246"/>
      <c r="AQ690" s="246"/>
      <c r="AR690" s="246"/>
      <c r="AS690" s="246"/>
      <c r="AT690" s="246"/>
      <c r="AU690" s="246"/>
      <c r="AV690" s="246"/>
      <c r="AW690" s="246"/>
      <c r="AX690" s="246"/>
      <c r="AY690" s="246"/>
      <c r="AZ690" s="246"/>
      <c r="BA690" s="246"/>
      <c r="BB690" s="246"/>
      <c r="BC690" s="246"/>
      <c r="BD690" s="246"/>
      <c r="BE690" s="246"/>
      <c r="BF690" s="246"/>
      <c r="BG690" s="246"/>
      <c r="BH690" s="246"/>
      <c r="BI690" s="246"/>
      <c r="BJ690" s="246"/>
    </row>
    <row r="691" spans="2:62">
      <c r="B691" s="7"/>
      <c r="C691" s="334"/>
      <c r="D691" s="334"/>
      <c r="E691" s="334"/>
      <c r="F691" s="334"/>
      <c r="G691" s="334"/>
      <c r="H691" s="334"/>
      <c r="I691" s="334"/>
      <c r="J691" s="334"/>
      <c r="K691" s="399"/>
      <c r="L691" s="399"/>
      <c r="M691" s="334"/>
      <c r="N691" s="334"/>
      <c r="O691" s="334"/>
      <c r="P691" s="334"/>
      <c r="Q691" s="334"/>
      <c r="R691" s="399"/>
      <c r="S691" s="334"/>
      <c r="T691" s="334"/>
      <c r="U691" s="334"/>
      <c r="W691" s="334"/>
      <c r="X691" s="334"/>
      <c r="Y691" s="246"/>
      <c r="Z691" s="246"/>
      <c r="AA691" s="246"/>
      <c r="AB691" s="246"/>
      <c r="AC691" s="246"/>
      <c r="AD691" s="246"/>
      <c r="AE691" s="246"/>
      <c r="AF691" s="246"/>
      <c r="AG691" s="246"/>
      <c r="AH691" s="246"/>
      <c r="AI691" s="246"/>
      <c r="AJ691" s="246"/>
      <c r="AK691" s="246"/>
      <c r="AL691" s="246"/>
      <c r="AM691" s="246"/>
      <c r="AN691" s="246"/>
      <c r="AO691" s="246"/>
      <c r="AP691" s="246"/>
      <c r="AQ691" s="246"/>
      <c r="AR691" s="246"/>
      <c r="AS691" s="246"/>
      <c r="AT691" s="246"/>
      <c r="AU691" s="246"/>
      <c r="AV691" s="246"/>
      <c r="AW691" s="246"/>
      <c r="AX691" s="246"/>
      <c r="AY691" s="246"/>
      <c r="AZ691" s="246"/>
      <c r="BA691" s="246"/>
      <c r="BB691" s="246"/>
      <c r="BC691" s="246"/>
      <c r="BD691" s="246"/>
      <c r="BE691" s="246"/>
      <c r="BF691" s="246"/>
      <c r="BG691" s="246"/>
      <c r="BH691" s="246"/>
      <c r="BI691" s="246"/>
      <c r="BJ691" s="246"/>
    </row>
    <row r="692" spans="2:62">
      <c r="B692" s="7"/>
      <c r="C692" s="334"/>
      <c r="D692" s="334"/>
      <c r="E692" s="334"/>
      <c r="F692" s="334"/>
      <c r="G692" s="334"/>
      <c r="H692" s="334"/>
      <c r="I692" s="334"/>
      <c r="J692" s="334"/>
      <c r="K692" s="399"/>
      <c r="L692" s="399"/>
      <c r="M692" s="334"/>
      <c r="N692" s="401"/>
      <c r="O692" s="401"/>
      <c r="P692" s="334"/>
      <c r="Q692" s="401"/>
      <c r="R692" s="399"/>
      <c r="S692" s="334"/>
      <c r="T692" s="334"/>
      <c r="U692" s="334"/>
      <c r="W692" s="334"/>
      <c r="X692" s="334"/>
      <c r="Y692" s="246"/>
      <c r="Z692" s="246"/>
      <c r="AA692" s="246"/>
      <c r="AB692" s="246"/>
      <c r="AC692" s="246"/>
      <c r="AD692" s="246"/>
      <c r="AE692" s="246"/>
      <c r="AF692" s="246"/>
      <c r="AG692" s="246"/>
      <c r="AH692" s="246"/>
      <c r="AI692" s="246"/>
      <c r="AJ692" s="246"/>
      <c r="AK692" s="246"/>
      <c r="AL692" s="246"/>
      <c r="AM692" s="246"/>
      <c r="AN692" s="246"/>
      <c r="AO692" s="246"/>
      <c r="AP692" s="246"/>
      <c r="AQ692" s="246"/>
      <c r="AR692" s="246"/>
      <c r="AS692" s="246"/>
      <c r="AT692" s="246"/>
      <c r="AU692" s="246"/>
      <c r="AV692" s="246"/>
      <c r="AW692" s="246"/>
      <c r="AX692" s="246"/>
      <c r="AY692" s="246"/>
      <c r="AZ692" s="246"/>
      <c r="BA692" s="246"/>
      <c r="BB692" s="246"/>
      <c r="BC692" s="246"/>
      <c r="BD692" s="246"/>
      <c r="BE692" s="246"/>
      <c r="BF692" s="246"/>
      <c r="BG692" s="246"/>
      <c r="BH692" s="246"/>
      <c r="BI692" s="246"/>
      <c r="BJ692" s="246"/>
    </row>
    <row r="693" spans="2:62">
      <c r="B693" s="7"/>
      <c r="C693" s="334"/>
      <c r="D693" s="334"/>
      <c r="E693" s="334"/>
      <c r="F693" s="334"/>
      <c r="G693" s="334"/>
      <c r="H693" s="334"/>
      <c r="I693" s="334"/>
      <c r="J693" s="334"/>
      <c r="K693" s="334"/>
      <c r="L693" s="334"/>
      <c r="M693" s="334"/>
      <c r="N693" s="399"/>
      <c r="O693" s="399"/>
      <c r="P693" s="334"/>
      <c r="Q693" s="399"/>
      <c r="R693" s="334"/>
      <c r="S693" s="334"/>
      <c r="T693" s="334"/>
      <c r="U693" s="334"/>
      <c r="W693" s="334"/>
      <c r="X693" s="334"/>
      <c r="Y693" s="246"/>
      <c r="Z693" s="246"/>
      <c r="AA693" s="246"/>
      <c r="AB693" s="246"/>
      <c r="AC693" s="246"/>
      <c r="AD693" s="246"/>
      <c r="AE693" s="246"/>
      <c r="AF693" s="246"/>
      <c r="AG693" s="246"/>
      <c r="AH693" s="246"/>
      <c r="AI693" s="246"/>
      <c r="AJ693" s="246"/>
      <c r="AK693" s="246"/>
      <c r="AL693" s="246"/>
      <c r="AM693" s="246"/>
      <c r="AN693" s="246"/>
      <c r="AO693" s="246"/>
      <c r="AP693" s="246"/>
      <c r="AQ693" s="246"/>
      <c r="AR693" s="246"/>
      <c r="AS693" s="246"/>
      <c r="AT693" s="246"/>
      <c r="AU693" s="246"/>
      <c r="AV693" s="246"/>
      <c r="AW693" s="246"/>
      <c r="AX693" s="246"/>
      <c r="AY693" s="246"/>
      <c r="AZ693" s="246"/>
      <c r="BA693" s="246"/>
      <c r="BB693" s="246"/>
      <c r="BC693" s="246"/>
      <c r="BD693" s="246"/>
      <c r="BE693" s="246"/>
      <c r="BF693" s="246"/>
      <c r="BG693" s="246"/>
      <c r="BH693" s="246"/>
      <c r="BI693" s="246"/>
      <c r="BJ693" s="246"/>
    </row>
    <row r="694" spans="2:62">
      <c r="B694" s="7"/>
      <c r="C694" s="334"/>
      <c r="D694" s="334"/>
      <c r="E694" s="334"/>
      <c r="F694" s="334"/>
      <c r="G694" s="334"/>
      <c r="H694" s="334"/>
      <c r="I694" s="334"/>
      <c r="J694" s="334"/>
      <c r="K694" s="401"/>
      <c r="L694" s="401"/>
      <c r="M694" s="334"/>
      <c r="N694" s="399"/>
      <c r="O694" s="399"/>
      <c r="P694" s="334"/>
      <c r="Q694" s="399"/>
      <c r="R694" s="401"/>
      <c r="S694" s="334"/>
      <c r="T694" s="334"/>
      <c r="U694" s="334"/>
      <c r="W694" s="334"/>
      <c r="X694" s="334"/>
      <c r="Y694" s="246"/>
      <c r="Z694" s="246"/>
      <c r="AA694" s="246"/>
      <c r="AB694" s="246"/>
      <c r="AC694" s="246"/>
      <c r="AD694" s="246"/>
      <c r="AE694" s="246"/>
      <c r="AF694" s="246"/>
      <c r="AG694" s="246"/>
      <c r="AH694" s="246"/>
      <c r="AI694" s="246"/>
      <c r="AJ694" s="246"/>
      <c r="AK694" s="246"/>
      <c r="AL694" s="246"/>
      <c r="AM694" s="246"/>
      <c r="AN694" s="246"/>
      <c r="AO694" s="246"/>
      <c r="AP694" s="246"/>
      <c r="AQ694" s="246"/>
      <c r="AR694" s="246"/>
      <c r="AS694" s="246"/>
      <c r="AT694" s="246"/>
      <c r="AU694" s="246"/>
      <c r="AV694" s="246"/>
      <c r="AW694" s="246"/>
      <c r="AX694" s="246"/>
      <c r="AY694" s="246"/>
      <c r="AZ694" s="246"/>
      <c r="BA694" s="246"/>
      <c r="BB694" s="246"/>
      <c r="BC694" s="246"/>
      <c r="BD694" s="246"/>
      <c r="BE694" s="246"/>
      <c r="BF694" s="246"/>
      <c r="BG694" s="246"/>
      <c r="BH694" s="246"/>
      <c r="BI694" s="246"/>
      <c r="BJ694" s="246"/>
    </row>
    <row r="695" spans="2:62">
      <c r="B695" s="7"/>
      <c r="C695" s="334"/>
      <c r="D695" s="334"/>
      <c r="E695" s="334"/>
      <c r="F695" s="334"/>
      <c r="G695" s="334"/>
      <c r="H695" s="334"/>
      <c r="I695" s="334"/>
      <c r="J695" s="334"/>
      <c r="K695" s="399"/>
      <c r="L695" s="399"/>
      <c r="M695" s="334"/>
      <c r="N695" s="399"/>
      <c r="O695" s="399"/>
      <c r="P695" s="334"/>
      <c r="Q695" s="399"/>
      <c r="R695" s="399"/>
      <c r="S695" s="334"/>
      <c r="T695" s="334"/>
      <c r="U695" s="334"/>
      <c r="W695" s="334"/>
      <c r="X695" s="334"/>
      <c r="Y695" s="246"/>
      <c r="Z695" s="246"/>
      <c r="AA695" s="246"/>
      <c r="AB695" s="246"/>
      <c r="AC695" s="246"/>
      <c r="AD695" s="246"/>
      <c r="AE695" s="246"/>
      <c r="AF695" s="246"/>
      <c r="AG695" s="246"/>
      <c r="AH695" s="246"/>
      <c r="AI695" s="246"/>
      <c r="AJ695" s="246"/>
      <c r="AK695" s="246"/>
      <c r="AL695" s="246"/>
      <c r="AM695" s="246"/>
      <c r="AN695" s="246"/>
      <c r="AO695" s="246"/>
      <c r="AP695" s="246"/>
      <c r="AQ695" s="246"/>
      <c r="AR695" s="246"/>
      <c r="AS695" s="246"/>
      <c r="AT695" s="246"/>
      <c r="AU695" s="246"/>
      <c r="AV695" s="246"/>
      <c r="AW695" s="246"/>
      <c r="AX695" s="246"/>
      <c r="AY695" s="246"/>
      <c r="AZ695" s="246"/>
      <c r="BA695" s="246"/>
      <c r="BB695" s="246"/>
      <c r="BC695" s="246"/>
      <c r="BD695" s="246"/>
      <c r="BE695" s="246"/>
      <c r="BF695" s="246"/>
      <c r="BG695" s="246"/>
      <c r="BH695" s="246"/>
      <c r="BI695" s="246"/>
      <c r="BJ695" s="246"/>
    </row>
    <row r="696" spans="2:62">
      <c r="B696" s="7"/>
      <c r="C696" s="334"/>
      <c r="D696" s="334"/>
      <c r="E696" s="334"/>
      <c r="F696" s="334"/>
      <c r="G696" s="334"/>
      <c r="H696" s="334"/>
      <c r="I696" s="334"/>
      <c r="J696" s="334"/>
      <c r="K696" s="399"/>
      <c r="L696" s="399"/>
      <c r="M696" s="334"/>
      <c r="N696" s="399"/>
      <c r="O696" s="399"/>
      <c r="P696" s="334"/>
      <c r="Q696" s="399"/>
      <c r="R696" s="399"/>
      <c r="S696" s="334"/>
      <c r="T696" s="334"/>
      <c r="U696" s="334"/>
      <c r="W696" s="334"/>
      <c r="X696" s="334"/>
      <c r="Y696" s="246"/>
      <c r="Z696" s="246"/>
      <c r="AA696" s="246"/>
      <c r="AB696" s="246"/>
      <c r="AC696" s="246"/>
      <c r="AD696" s="246"/>
      <c r="AE696" s="246"/>
      <c r="AF696" s="246"/>
      <c r="AG696" s="246"/>
      <c r="AH696" s="246"/>
      <c r="AI696" s="246"/>
      <c r="AJ696" s="246"/>
      <c r="AK696" s="246"/>
      <c r="AL696" s="246"/>
      <c r="AM696" s="246"/>
      <c r="AN696" s="246"/>
      <c r="AO696" s="246"/>
      <c r="AP696" s="246"/>
      <c r="AQ696" s="246"/>
      <c r="AR696" s="246"/>
      <c r="AS696" s="246"/>
      <c r="AT696" s="246"/>
      <c r="AU696" s="246"/>
      <c r="AV696" s="246"/>
      <c r="AW696" s="246"/>
      <c r="AX696" s="246"/>
      <c r="AY696" s="246"/>
      <c r="AZ696" s="246"/>
      <c r="BA696" s="246"/>
      <c r="BB696" s="246"/>
      <c r="BC696" s="246"/>
      <c r="BD696" s="246"/>
      <c r="BE696" s="246"/>
      <c r="BF696" s="246"/>
      <c r="BG696" s="246"/>
      <c r="BH696" s="246"/>
      <c r="BI696" s="246"/>
      <c r="BJ696" s="246"/>
    </row>
    <row r="697" spans="2:62">
      <c r="B697" s="7"/>
      <c r="C697" s="334"/>
      <c r="D697" s="334"/>
      <c r="E697" s="334"/>
      <c r="F697" s="334"/>
      <c r="G697" s="334"/>
      <c r="H697" s="334"/>
      <c r="I697" s="334"/>
      <c r="J697" s="334"/>
      <c r="K697" s="399"/>
      <c r="L697" s="399"/>
      <c r="M697" s="334"/>
      <c r="N697" s="399"/>
      <c r="O697" s="399"/>
      <c r="P697" s="334"/>
      <c r="Q697" s="399"/>
      <c r="R697" s="399"/>
      <c r="S697" s="334"/>
      <c r="T697" s="334"/>
      <c r="U697" s="334"/>
      <c r="W697" s="334"/>
      <c r="X697" s="334"/>
      <c r="Y697" s="246"/>
      <c r="Z697" s="246"/>
      <c r="AA697" s="246"/>
      <c r="AB697" s="246"/>
      <c r="AC697" s="246"/>
      <c r="AD697" s="246"/>
      <c r="AE697" s="246"/>
      <c r="AF697" s="246"/>
      <c r="AG697" s="246"/>
      <c r="AH697" s="246"/>
      <c r="AI697" s="246"/>
      <c r="AJ697" s="246"/>
      <c r="AK697" s="246"/>
      <c r="AL697" s="246"/>
      <c r="AM697" s="246"/>
      <c r="AN697" s="246"/>
      <c r="AO697" s="246"/>
      <c r="AP697" s="246"/>
      <c r="AQ697" s="246"/>
      <c r="AR697" s="246"/>
      <c r="AS697" s="246"/>
      <c r="AT697" s="246"/>
      <c r="AU697" s="246"/>
      <c r="AV697" s="246"/>
      <c r="AW697" s="246"/>
      <c r="AX697" s="246"/>
      <c r="AY697" s="246"/>
      <c r="AZ697" s="246"/>
      <c r="BA697" s="246"/>
      <c r="BB697" s="246"/>
      <c r="BC697" s="246"/>
      <c r="BD697" s="246"/>
      <c r="BE697" s="246"/>
      <c r="BF697" s="246"/>
      <c r="BG697" s="246"/>
      <c r="BH697" s="246"/>
      <c r="BI697" s="246"/>
      <c r="BJ697" s="246"/>
    </row>
    <row r="698" spans="2:62">
      <c r="B698" s="7"/>
      <c r="C698" s="334"/>
      <c r="D698" s="334"/>
      <c r="E698" s="334"/>
      <c r="F698" s="334"/>
      <c r="G698" s="334"/>
      <c r="H698" s="334"/>
      <c r="I698" s="334"/>
      <c r="J698" s="334"/>
      <c r="K698" s="399"/>
      <c r="L698" s="399"/>
      <c r="M698" s="334"/>
      <c r="N698" s="399"/>
      <c r="O698" s="399"/>
      <c r="P698" s="334"/>
      <c r="Q698" s="399"/>
      <c r="R698" s="399"/>
      <c r="S698" s="334"/>
      <c r="T698" s="334"/>
      <c r="U698" s="334"/>
      <c r="W698" s="334"/>
      <c r="X698" s="334"/>
      <c r="Y698" s="246"/>
      <c r="Z698" s="246"/>
      <c r="AA698" s="246"/>
      <c r="AB698" s="246"/>
      <c r="AC698" s="246"/>
      <c r="AD698" s="246"/>
      <c r="AE698" s="246"/>
      <c r="AF698" s="246"/>
      <c r="AG698" s="246"/>
      <c r="AH698" s="246"/>
      <c r="AI698" s="246"/>
      <c r="AJ698" s="246"/>
      <c r="AK698" s="246"/>
      <c r="AL698" s="246"/>
      <c r="AM698" s="246"/>
      <c r="AN698" s="246"/>
      <c r="AO698" s="246"/>
      <c r="AP698" s="246"/>
      <c r="AQ698" s="246"/>
      <c r="AR698" s="246"/>
      <c r="AS698" s="246"/>
      <c r="AT698" s="246"/>
      <c r="AU698" s="246"/>
      <c r="AV698" s="246"/>
      <c r="AW698" s="246"/>
      <c r="AX698" s="246"/>
      <c r="AY698" s="246"/>
      <c r="AZ698" s="246"/>
      <c r="BA698" s="246"/>
      <c r="BB698" s="246"/>
      <c r="BC698" s="246"/>
      <c r="BD698" s="246"/>
      <c r="BE698" s="246"/>
      <c r="BF698" s="246"/>
      <c r="BG698" s="246"/>
      <c r="BH698" s="246"/>
      <c r="BI698" s="246"/>
      <c r="BJ698" s="246"/>
    </row>
    <row r="699" spans="2:62">
      <c r="B699" s="7"/>
      <c r="C699" s="334"/>
      <c r="D699" s="334"/>
      <c r="E699" s="334"/>
      <c r="F699" s="334"/>
      <c r="G699" s="334"/>
      <c r="H699" s="334"/>
      <c r="I699" s="334"/>
      <c r="J699" s="334"/>
      <c r="K699" s="399"/>
      <c r="L699" s="399"/>
      <c r="M699" s="334"/>
      <c r="N699" s="399"/>
      <c r="O699" s="399"/>
      <c r="P699" s="334"/>
      <c r="Q699" s="399"/>
      <c r="R699" s="399"/>
      <c r="S699" s="334"/>
      <c r="T699" s="334"/>
      <c r="U699" s="334"/>
      <c r="W699" s="334"/>
      <c r="X699" s="334"/>
      <c r="Y699" s="246"/>
      <c r="Z699" s="246"/>
      <c r="AA699" s="246"/>
      <c r="AB699" s="246"/>
      <c r="AC699" s="246"/>
      <c r="AD699" s="246"/>
      <c r="AE699" s="246"/>
      <c r="AF699" s="246"/>
      <c r="AG699" s="246"/>
      <c r="AH699" s="246"/>
      <c r="AI699" s="246"/>
      <c r="AJ699" s="246"/>
      <c r="AK699" s="246"/>
      <c r="AL699" s="246"/>
      <c r="AM699" s="246"/>
      <c r="AN699" s="246"/>
      <c r="AO699" s="246"/>
      <c r="AP699" s="246"/>
      <c r="AQ699" s="246"/>
      <c r="AR699" s="246"/>
      <c r="AS699" s="246"/>
      <c r="AT699" s="246"/>
      <c r="AU699" s="246"/>
      <c r="AV699" s="246"/>
      <c r="AW699" s="246"/>
      <c r="AX699" s="246"/>
      <c r="AY699" s="246"/>
      <c r="AZ699" s="246"/>
      <c r="BA699" s="246"/>
      <c r="BB699" s="246"/>
      <c r="BC699" s="246"/>
      <c r="BD699" s="246"/>
      <c r="BE699" s="246"/>
      <c r="BF699" s="246"/>
      <c r="BG699" s="246"/>
      <c r="BH699" s="246"/>
      <c r="BI699" s="246"/>
      <c r="BJ699" s="246"/>
    </row>
    <row r="700" spans="2:62">
      <c r="B700" s="7"/>
      <c r="C700" s="334"/>
      <c r="D700" s="334"/>
      <c r="E700" s="334"/>
      <c r="F700" s="334"/>
      <c r="G700" s="334"/>
      <c r="H700" s="334"/>
      <c r="I700" s="334"/>
      <c r="J700" s="334"/>
      <c r="K700" s="399"/>
      <c r="L700" s="399"/>
      <c r="M700" s="334"/>
      <c r="N700" s="399"/>
      <c r="O700" s="399"/>
      <c r="P700" s="334"/>
      <c r="Q700" s="399"/>
      <c r="R700" s="399"/>
      <c r="S700" s="334"/>
      <c r="T700" s="334"/>
      <c r="U700" s="334"/>
      <c r="W700" s="334"/>
      <c r="X700" s="334"/>
      <c r="Y700" s="246"/>
      <c r="Z700" s="246"/>
      <c r="AA700" s="246"/>
      <c r="AB700" s="246"/>
      <c r="AC700" s="246"/>
      <c r="AD700" s="246"/>
      <c r="AE700" s="246"/>
      <c r="AF700" s="246"/>
      <c r="AG700" s="246"/>
      <c r="AH700" s="246"/>
      <c r="AI700" s="246"/>
      <c r="AJ700" s="246"/>
      <c r="AK700" s="246"/>
      <c r="AL700" s="246"/>
      <c r="AM700" s="246"/>
      <c r="AN700" s="246"/>
      <c r="AO700" s="246"/>
      <c r="AP700" s="246"/>
      <c r="AQ700" s="246"/>
      <c r="AR700" s="246"/>
      <c r="AS700" s="246"/>
      <c r="AT700" s="246"/>
      <c r="AU700" s="246"/>
      <c r="AV700" s="246"/>
      <c r="AW700" s="246"/>
      <c r="AX700" s="246"/>
      <c r="AY700" s="246"/>
      <c r="AZ700" s="246"/>
      <c r="BA700" s="246"/>
      <c r="BB700" s="246"/>
      <c r="BC700" s="246"/>
      <c r="BD700" s="246"/>
      <c r="BE700" s="246"/>
      <c r="BF700" s="246"/>
      <c r="BG700" s="246"/>
      <c r="BH700" s="246"/>
      <c r="BI700" s="246"/>
      <c r="BJ700" s="246"/>
    </row>
    <row r="701" spans="2:62">
      <c r="B701" s="7"/>
      <c r="C701" s="334"/>
      <c r="D701" s="334"/>
      <c r="E701" s="334"/>
      <c r="F701" s="334"/>
      <c r="G701" s="334"/>
      <c r="H701" s="334"/>
      <c r="I701" s="334"/>
      <c r="J701" s="334"/>
      <c r="K701" s="399"/>
      <c r="L701" s="401"/>
      <c r="M701" s="334"/>
      <c r="N701" s="399"/>
      <c r="O701" s="399"/>
      <c r="P701" s="334"/>
      <c r="Q701" s="399"/>
      <c r="R701" s="401"/>
      <c r="S701" s="334"/>
      <c r="T701" s="334"/>
      <c r="U701" s="334"/>
      <c r="W701" s="334"/>
      <c r="X701" s="334"/>
      <c r="Y701" s="246"/>
      <c r="Z701" s="246"/>
      <c r="AA701" s="246"/>
      <c r="AB701" s="246"/>
      <c r="AC701" s="246"/>
      <c r="AD701" s="246"/>
      <c r="AE701" s="246"/>
      <c r="AF701" s="246"/>
      <c r="AG701" s="246"/>
      <c r="AH701" s="246"/>
      <c r="AI701" s="246"/>
      <c r="AJ701" s="246"/>
      <c r="AK701" s="246"/>
      <c r="AL701" s="246"/>
      <c r="AM701" s="246"/>
      <c r="AN701" s="246"/>
      <c r="AO701" s="246"/>
      <c r="AP701" s="246"/>
      <c r="AQ701" s="246"/>
      <c r="AR701" s="246"/>
      <c r="AS701" s="246"/>
      <c r="AT701" s="246"/>
      <c r="AU701" s="246"/>
      <c r="AV701" s="246"/>
      <c r="AW701" s="246"/>
      <c r="AX701" s="246"/>
      <c r="AY701" s="246"/>
      <c r="AZ701" s="246"/>
      <c r="BA701" s="246"/>
      <c r="BB701" s="246"/>
      <c r="BC701" s="246"/>
      <c r="BD701" s="246"/>
      <c r="BE701" s="246"/>
      <c r="BF701" s="246"/>
      <c r="BG701" s="246"/>
      <c r="BH701" s="246"/>
      <c r="BI701" s="246"/>
      <c r="BJ701" s="246"/>
    </row>
    <row r="702" spans="2:62">
      <c r="B702" s="7"/>
      <c r="C702" s="334"/>
      <c r="D702" s="334"/>
      <c r="E702" s="334"/>
      <c r="F702" s="334"/>
      <c r="G702" s="334"/>
      <c r="H702" s="334"/>
      <c r="I702" s="334"/>
      <c r="J702" s="334"/>
      <c r="K702" s="399"/>
      <c r="L702" s="399"/>
      <c r="M702" s="334"/>
      <c r="N702" s="399"/>
      <c r="O702" s="399"/>
      <c r="P702" s="334"/>
      <c r="Q702" s="399"/>
      <c r="R702" s="399"/>
      <c r="S702" s="334"/>
      <c r="T702" s="334"/>
      <c r="U702" s="334"/>
      <c r="W702" s="334"/>
      <c r="X702" s="334"/>
      <c r="Y702" s="246"/>
      <c r="Z702" s="246"/>
      <c r="AA702" s="246"/>
      <c r="AB702" s="246"/>
      <c r="AC702" s="246"/>
      <c r="AD702" s="246"/>
      <c r="AE702" s="246"/>
      <c r="AF702" s="246"/>
      <c r="AG702" s="246"/>
      <c r="AH702" s="246"/>
      <c r="AI702" s="246"/>
      <c r="AJ702" s="246"/>
      <c r="AK702" s="246"/>
      <c r="AL702" s="246"/>
      <c r="AM702" s="246"/>
      <c r="AN702" s="246"/>
      <c r="AO702" s="246"/>
      <c r="AP702" s="246"/>
      <c r="AQ702" s="246"/>
      <c r="AR702" s="246"/>
      <c r="AS702" s="246"/>
      <c r="AT702" s="246"/>
      <c r="AU702" s="246"/>
      <c r="AV702" s="246"/>
      <c r="AW702" s="246"/>
      <c r="AX702" s="246"/>
      <c r="AY702" s="246"/>
      <c r="AZ702" s="246"/>
      <c r="BA702" s="246"/>
      <c r="BB702" s="246"/>
      <c r="BC702" s="246"/>
      <c r="BD702" s="246"/>
      <c r="BE702" s="246"/>
      <c r="BF702" s="246"/>
      <c r="BG702" s="246"/>
      <c r="BH702" s="246"/>
      <c r="BI702" s="246"/>
      <c r="BJ702" s="246"/>
    </row>
    <row r="703" spans="2:62">
      <c r="B703" s="7"/>
      <c r="C703" s="334"/>
      <c r="D703" s="334"/>
      <c r="E703" s="334"/>
      <c r="F703" s="334"/>
      <c r="G703" s="334"/>
      <c r="H703" s="334"/>
      <c r="I703" s="334"/>
      <c r="J703" s="334"/>
      <c r="K703" s="399"/>
      <c r="L703" s="399"/>
      <c r="M703" s="334"/>
      <c r="N703" s="399"/>
      <c r="O703" s="399"/>
      <c r="P703" s="334"/>
      <c r="Q703" s="399"/>
      <c r="R703" s="399"/>
      <c r="S703" s="334"/>
      <c r="T703" s="334"/>
      <c r="U703" s="334"/>
      <c r="W703" s="334"/>
      <c r="X703" s="334"/>
      <c r="Y703" s="246"/>
      <c r="Z703" s="246"/>
      <c r="AA703" s="246"/>
      <c r="AB703" s="246"/>
      <c r="AC703" s="246"/>
      <c r="AD703" s="246"/>
      <c r="AE703" s="246"/>
      <c r="AF703" s="246"/>
      <c r="AG703" s="246"/>
      <c r="AH703" s="246"/>
      <c r="AI703" s="246"/>
      <c r="AJ703" s="246"/>
      <c r="AK703" s="246"/>
      <c r="AL703" s="246"/>
      <c r="AM703" s="246"/>
      <c r="AN703" s="246"/>
      <c r="AO703" s="246"/>
      <c r="AP703" s="246"/>
      <c r="AQ703" s="246"/>
      <c r="AR703" s="246"/>
      <c r="AS703" s="246"/>
      <c r="AT703" s="246"/>
      <c r="AU703" s="246"/>
      <c r="AV703" s="246"/>
      <c r="AW703" s="246"/>
      <c r="AX703" s="246"/>
      <c r="AY703" s="246"/>
      <c r="AZ703" s="246"/>
      <c r="BA703" s="246"/>
      <c r="BB703" s="246"/>
      <c r="BC703" s="246"/>
      <c r="BD703" s="246"/>
      <c r="BE703" s="246"/>
      <c r="BF703" s="246"/>
      <c r="BG703" s="246"/>
      <c r="BH703" s="246"/>
      <c r="BI703" s="246"/>
      <c r="BJ703" s="246"/>
    </row>
    <row r="704" spans="2:62">
      <c r="B704" s="7"/>
      <c r="C704" s="334"/>
      <c r="D704" s="334"/>
      <c r="E704" s="334"/>
      <c r="F704" s="334"/>
      <c r="G704" s="334"/>
      <c r="H704" s="334"/>
      <c r="I704" s="334"/>
      <c r="J704" s="334"/>
      <c r="K704" s="399"/>
      <c r="L704" s="399"/>
      <c r="M704" s="334"/>
      <c r="N704" s="401"/>
      <c r="O704" s="401"/>
      <c r="P704" s="334"/>
      <c r="Q704" s="401"/>
      <c r="R704" s="399"/>
      <c r="S704" s="334"/>
      <c r="T704" s="334"/>
      <c r="U704" s="334"/>
      <c r="W704" s="334"/>
      <c r="X704" s="334"/>
      <c r="Y704" s="246"/>
      <c r="Z704" s="246"/>
      <c r="AA704" s="246"/>
      <c r="AB704" s="246"/>
      <c r="AC704" s="246"/>
      <c r="AD704" s="246"/>
      <c r="AE704" s="246"/>
      <c r="AF704" s="246"/>
      <c r="AG704" s="246"/>
      <c r="AH704" s="246"/>
      <c r="AI704" s="246"/>
      <c r="AJ704" s="246"/>
      <c r="AK704" s="246"/>
      <c r="AL704" s="246"/>
      <c r="AM704" s="246"/>
      <c r="AN704" s="246"/>
      <c r="AO704" s="246"/>
      <c r="AP704" s="246"/>
      <c r="AQ704" s="246"/>
      <c r="AR704" s="246"/>
      <c r="AS704" s="246"/>
      <c r="AT704" s="246"/>
      <c r="AU704" s="246"/>
      <c r="AV704" s="246"/>
      <c r="AW704" s="246"/>
      <c r="AX704" s="246"/>
      <c r="AY704" s="246"/>
      <c r="AZ704" s="246"/>
      <c r="BA704" s="246"/>
      <c r="BB704" s="246"/>
      <c r="BC704" s="246"/>
      <c r="BD704" s="246"/>
      <c r="BE704" s="246"/>
      <c r="BF704" s="246"/>
      <c r="BG704" s="246"/>
      <c r="BH704" s="246"/>
      <c r="BI704" s="246"/>
      <c r="BJ704" s="246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R238:S238"/>
    <mergeCell ref="R170:S170"/>
    <mergeCell ref="D238:F238"/>
    <mergeCell ref="G238:I238"/>
    <mergeCell ref="J238:L238"/>
    <mergeCell ref="M238:N238"/>
    <mergeCell ref="O238:Q238"/>
    <mergeCell ref="D293:F293"/>
    <mergeCell ref="G293:I293"/>
    <mergeCell ref="J293:L293"/>
    <mergeCell ref="M293:N293"/>
    <mergeCell ref="O293:Q293"/>
    <mergeCell ref="R3:S3"/>
    <mergeCell ref="D3:F3"/>
    <mergeCell ref="G3:I3"/>
    <mergeCell ref="J3:L3"/>
    <mergeCell ref="M3:N3"/>
    <mergeCell ref="O3:Q3"/>
    <mergeCell ref="R91:S91"/>
    <mergeCell ref="D170:F170"/>
    <mergeCell ref="D91:F91"/>
    <mergeCell ref="G91:I91"/>
    <mergeCell ref="J91:L91"/>
    <mergeCell ref="M91:N91"/>
    <mergeCell ref="O91:Q91"/>
    <mergeCell ref="G170:I170"/>
    <mergeCell ref="J170:L170"/>
    <mergeCell ref="M170:N170"/>
    <mergeCell ref="O170:Q170"/>
  </mergeCells>
  <conditionalFormatting sqref="D31:D32">
    <cfRule type="expression" dxfId="332" priority="29" stopIfTrue="1">
      <formula>"esterreur(reference)"</formula>
    </cfRule>
  </conditionalFormatting>
  <conditionalFormatting sqref="D112:D113">
    <cfRule type="expression" dxfId="331" priority="24" stopIfTrue="1">
      <formula>"esterreur(reference)"</formula>
    </cfRule>
  </conditionalFormatting>
  <conditionalFormatting sqref="F5">
    <cfRule type="expression" dxfId="330" priority="69" stopIfTrue="1">
      <formula>"esterreur(reference)"</formula>
    </cfRule>
  </conditionalFormatting>
  <conditionalFormatting sqref="F184">
    <cfRule type="expression" dxfId="329" priority="78" stopIfTrue="1">
      <formula>"esterreur(reference)"</formula>
    </cfRule>
  </conditionalFormatting>
  <conditionalFormatting sqref="G31:G32">
    <cfRule type="expression" dxfId="328" priority="28" stopIfTrue="1">
      <formula>"esterreur(reference)"</formula>
    </cfRule>
  </conditionalFormatting>
  <conditionalFormatting sqref="G112:G113">
    <cfRule type="expression" dxfId="327" priority="25" stopIfTrue="1">
      <formula>"esterreur(reference)"</formula>
    </cfRule>
  </conditionalFormatting>
  <conditionalFormatting sqref="H136:H152">
    <cfRule type="expression" dxfId="326" priority="33" stopIfTrue="1">
      <formula>"esterreur(reference)"</formula>
    </cfRule>
  </conditionalFormatting>
  <conditionalFormatting sqref="H360">
    <cfRule type="expression" dxfId="325" priority="109" stopIfTrue="1">
      <formula>"esterreur(reference)"</formula>
    </cfRule>
  </conditionalFormatting>
  <conditionalFormatting sqref="H197:L197">
    <cfRule type="expression" dxfId="324" priority="111" stopIfTrue="1">
      <formula>"esterreur(reference)"</formula>
    </cfRule>
  </conditionalFormatting>
  <conditionalFormatting sqref="H396:L399">
    <cfRule type="expression" dxfId="323" priority="107" stopIfTrue="1">
      <formula>"esterreur(reference)"</formula>
    </cfRule>
  </conditionalFormatting>
  <conditionalFormatting sqref="I377:L377 H378:H395">
    <cfRule type="expression" dxfId="322" priority="108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1" priority="103" stopIfTrue="1">
      <formula>"esterreur(reference)"</formula>
    </cfRule>
  </conditionalFormatting>
  <conditionalFormatting sqref="J49:L72">
    <cfRule type="expression" dxfId="320" priority="34" stopIfTrue="1">
      <formula>"esterreur(reference)"</formula>
    </cfRule>
  </conditionalFormatting>
  <conditionalFormatting sqref="J102:L104">
    <cfRule type="expression" dxfId="319" priority="99" stopIfTrue="1">
      <formula>"esterreur(reference)"</formula>
    </cfRule>
  </conditionalFormatting>
  <conditionalFormatting sqref="J149:L152">
    <cfRule type="expression" dxfId="318" priority="32" stopIfTrue="1">
      <formula>"esterreur(reference)"</formula>
    </cfRule>
  </conditionalFormatting>
  <conditionalFormatting sqref="J295:L303">
    <cfRule type="expression" dxfId="317" priority="95" stopIfTrue="1">
      <formula>"esterreur(reference)"</formula>
    </cfRule>
  </conditionalFormatting>
  <conditionalFormatting sqref="J307:L308">
    <cfRule type="expression" dxfId="316" priority="85" stopIfTrue="1">
      <formula>"esterreur(reference)"</formula>
    </cfRule>
  </conditionalFormatting>
  <conditionalFormatting sqref="J360:L360">
    <cfRule type="expression" dxfId="315" priority="77" stopIfTrue="1">
      <formula>"esterreur(reference)"</formula>
    </cfRule>
  </conditionalFormatting>
  <conditionalFormatting sqref="J365:L376">
    <cfRule type="expression" dxfId="314" priority="82" stopIfTrue="1">
      <formula>"esterreur(reference)"</formula>
    </cfRule>
  </conditionalFormatting>
  <conditionalFormatting sqref="J378:L394">
    <cfRule type="expression" dxfId="313" priority="81" stopIfTrue="1">
      <formula>"esterreur(reference)"</formula>
    </cfRule>
  </conditionalFormatting>
  <conditionalFormatting sqref="J312:M312">
    <cfRule type="expression" dxfId="312" priority="83" stopIfTrue="1">
      <formula>"esterreur(reference)"</formula>
    </cfRule>
  </conditionalFormatting>
  <conditionalFormatting sqref="J112:Q121">
    <cfRule type="expression" dxfId="311" priority="26" stopIfTrue="1">
      <formula>"esterreur(reference)"</formula>
    </cfRule>
  </conditionalFormatting>
  <conditionalFormatting sqref="J123:Q134">
    <cfRule type="expression" dxfId="310" priority="59" stopIfTrue="1">
      <formula>"esterreur(reference)"</formula>
    </cfRule>
  </conditionalFormatting>
  <conditionalFormatting sqref="K5">
    <cfRule type="expression" dxfId="309" priority="92" stopIfTrue="1">
      <formula>"esterreur(reference)"</formula>
    </cfRule>
  </conditionalFormatting>
  <conditionalFormatting sqref="K175">
    <cfRule type="expression" dxfId="308" priority="89" stopIfTrue="1">
      <formula>"esterreur(reference)"</formula>
    </cfRule>
  </conditionalFormatting>
  <conditionalFormatting sqref="K183:K184">
    <cfRule type="expression" dxfId="307" priority="91" stopIfTrue="1">
      <formula>"esterreur(reference)"</formula>
    </cfRule>
  </conditionalFormatting>
  <conditionalFormatting sqref="K287">
    <cfRule type="expression" dxfId="306" priority="75" stopIfTrue="1">
      <formula>"esterreur(reference)"</formula>
    </cfRule>
  </conditionalFormatting>
  <conditionalFormatting sqref="K395">
    <cfRule type="expression" dxfId="305" priority="110" stopIfTrue="1">
      <formula>"esterreur(reference)"</formula>
    </cfRule>
  </conditionalFormatting>
  <conditionalFormatting sqref="K93:L96">
    <cfRule type="expression" dxfId="304" priority="80" stopIfTrue="1">
      <formula>"esterreur(reference)"</formula>
    </cfRule>
  </conditionalFormatting>
  <conditionalFormatting sqref="K99:L100">
    <cfRule type="expression" dxfId="303" priority="100" stopIfTrue="1">
      <formula>"esterreur(reference)"</formula>
    </cfRule>
  </conditionalFormatting>
  <conditionalFormatting sqref="K171:L173">
    <cfRule type="expression" dxfId="302" priority="90" stopIfTrue="1">
      <formula>"esterreur(reference)"</formula>
    </cfRule>
  </conditionalFormatting>
  <conditionalFormatting sqref="K176:L182">
    <cfRule type="expression" dxfId="301" priority="88" stopIfTrue="1">
      <formula>"esterreur(reference)"</formula>
    </cfRule>
  </conditionalFormatting>
  <conditionalFormatting sqref="K185:L196">
    <cfRule type="expression" dxfId="300" priority="84" stopIfTrue="1">
      <formula>"esterreur(reference)"</formula>
    </cfRule>
  </conditionalFormatting>
  <conditionalFormatting sqref="K239:L241">
    <cfRule type="expression" dxfId="299" priority="79" stopIfTrue="1">
      <formula>"esterreur(reference)"</formula>
    </cfRule>
  </conditionalFormatting>
  <conditionalFormatting sqref="K244:L244">
    <cfRule type="expression" dxfId="298" priority="87" stopIfTrue="1">
      <formula>"esterreur(reference)"</formula>
    </cfRule>
  </conditionalFormatting>
  <conditionalFormatting sqref="K247:L247">
    <cfRule type="expression" dxfId="297" priority="86" stopIfTrue="1">
      <formula>"esterreur(reference)"</formula>
    </cfRule>
  </conditionalFormatting>
  <conditionalFormatting sqref="L16:L24">
    <cfRule type="expression" dxfId="296" priority="102" stopIfTrue="1">
      <formula>"esterreur(reference)"</formula>
    </cfRule>
  </conditionalFormatting>
  <conditionalFormatting sqref="L42:L48">
    <cfRule type="expression" dxfId="295" priority="101" stopIfTrue="1">
      <formula>"esterreur(reference)"</formula>
    </cfRule>
  </conditionalFormatting>
  <conditionalFormatting sqref="L75:L82">
    <cfRule type="expression" dxfId="294" priority="70" stopIfTrue="1">
      <formula>"esterreur(reference)"</formula>
    </cfRule>
  </conditionalFormatting>
  <conditionalFormatting sqref="L136:L147">
    <cfRule type="expression" dxfId="293" priority="74" stopIfTrue="1">
      <formula>"esterreur(reference)"</formula>
    </cfRule>
  </conditionalFormatting>
  <conditionalFormatting sqref="L174:L175">
    <cfRule type="expression" dxfId="292" priority="98" stopIfTrue="1">
      <formula>"esterreur(reference)"</formula>
    </cfRule>
  </conditionalFormatting>
  <conditionalFormatting sqref="L198:L209">
    <cfRule type="expression" dxfId="291" priority="97" stopIfTrue="1">
      <formula>"esterreur(reference)"</formula>
    </cfRule>
  </conditionalFormatting>
  <conditionalFormatting sqref="L211:L228">
    <cfRule type="expression" dxfId="290" priority="73" stopIfTrue="1">
      <formula>"esterreur(reference)"</formula>
    </cfRule>
  </conditionalFormatting>
  <conditionalFormatting sqref="L254:L265">
    <cfRule type="expression" dxfId="289" priority="96" stopIfTrue="1">
      <formula>"esterreur(reference)"</formula>
    </cfRule>
  </conditionalFormatting>
  <conditionalFormatting sqref="L267:L284">
    <cfRule type="expression" dxfId="288" priority="72" stopIfTrue="1">
      <formula>"esterreur(reference)"</formula>
    </cfRule>
  </conditionalFormatting>
  <conditionalFormatting sqref="L318:L329">
    <cfRule type="expression" dxfId="287" priority="94" stopIfTrue="1">
      <formula>"esterreur(reference)"</formula>
    </cfRule>
  </conditionalFormatting>
  <conditionalFormatting sqref="L331">
    <cfRule type="expression" dxfId="286" priority="71" stopIfTrue="1">
      <formula>"esterreur(reference)"</formula>
    </cfRule>
  </conditionalFormatting>
  <conditionalFormatting sqref="L334:L343 L345:L348">
    <cfRule type="expression" dxfId="285" priority="93" stopIfTrue="1">
      <formula>"esterreur(reference)"</formula>
    </cfRule>
  </conditionalFormatting>
  <conditionalFormatting sqref="L356:L357 H357:I357 K357 J357:J358 H359:L359">
    <cfRule type="expression" dxfId="284" priority="106" stopIfTrue="1">
      <formula>"esterreur(reference)"</formula>
    </cfRule>
  </conditionalFormatting>
  <conditionalFormatting sqref="L5:Q14">
    <cfRule type="expression" dxfId="283" priority="64" stopIfTrue="1">
      <formula>"esterreur(reference)"</formula>
    </cfRule>
  </conditionalFormatting>
  <conditionalFormatting sqref="L156:Q162">
    <cfRule type="expression" dxfId="282" priority="30" stopIfTrue="1">
      <formula>"esterreur(reference)"</formula>
    </cfRule>
  </conditionalFormatting>
  <conditionalFormatting sqref="M95:M97">
    <cfRule type="expression" dxfId="281" priority="104" stopIfTrue="1">
      <formula>"esterreur(reference)"</formula>
    </cfRule>
  </conditionalFormatting>
  <conditionalFormatting sqref="O13:O14 O16 O18:O24 O83:Q85">
    <cfRule type="expression" dxfId="280" priority="68" stopIfTrue="1">
      <formula>"esterreur(reference)"</formula>
    </cfRule>
  </conditionalFormatting>
  <conditionalFormatting sqref="O172:O196 Q183 O198:P229 O232:Q232 O233:P233">
    <cfRule type="expression" dxfId="279" priority="57" stopIfTrue="1">
      <formula>"esterreur(reference)"</formula>
    </cfRule>
  </conditionalFormatting>
  <conditionalFormatting sqref="O318:P348 O349:Q349 O352:Q352 O353:P353">
    <cfRule type="expression" dxfId="278" priority="41" stopIfTrue="1">
      <formula>"esterreur(reference)"</formula>
    </cfRule>
  </conditionalFormatting>
  <conditionalFormatting sqref="O25:Q72">
    <cfRule type="expression" dxfId="277" priority="27" stopIfTrue="1">
      <formula>"esterreur(reference)"</formula>
    </cfRule>
  </conditionalFormatting>
  <conditionalFormatting sqref="O97:Q98 O122:Q122 O156:P157 O164:Q164 O165:P165">
    <cfRule type="expression" dxfId="276" priority="63" stopIfTrue="1">
      <formula>"esterreur(reference)"</formula>
    </cfRule>
  </conditionalFormatting>
  <conditionalFormatting sqref="O101:Q111">
    <cfRule type="expression" dxfId="275" priority="61" stopIfTrue="1">
      <formula>"esterreur(reference)"</formula>
    </cfRule>
  </conditionalFormatting>
  <conditionalFormatting sqref="O135:Q153">
    <cfRule type="expression" dxfId="274" priority="31" stopIfTrue="1">
      <formula>"esterreur(reference)"</formula>
    </cfRule>
  </conditionalFormatting>
  <conditionalFormatting sqref="O197:Q197">
    <cfRule type="expression" dxfId="273" priority="58" stopIfTrue="1">
      <formula>"esterreur(reference)"</formula>
    </cfRule>
  </conditionalFormatting>
  <conditionalFormatting sqref="O243:Q243 O252:Q253 O254:P284 O285:Q285 O288:Q288 O289:P289">
    <cfRule type="expression" dxfId="272" priority="48" stopIfTrue="1">
      <formula>"esterreur(reference)"</formula>
    </cfRule>
  </conditionalFormatting>
  <conditionalFormatting sqref="O295:Q317">
    <cfRule type="expression" dxfId="271" priority="39" stopIfTrue="1">
      <formula>"esterreur(reference)"</formula>
    </cfRule>
  </conditionalFormatting>
  <conditionalFormatting sqref="O359:Q394">
    <cfRule type="expression" dxfId="270" priority="35" stopIfTrue="1">
      <formula>"esterreur(reference)"</formula>
    </cfRule>
  </conditionalFormatting>
  <conditionalFormatting sqref="O396:Q399">
    <cfRule type="expression" dxfId="269" priority="36" stopIfTrue="1">
      <formula>"esterreur(reference)"</formula>
    </cfRule>
  </conditionalFormatting>
  <conditionalFormatting sqref="P5">
    <cfRule type="expression" dxfId="268" priority="65" stopIfTrue="1">
      <formula>"esterreur(reference)"</formula>
    </cfRule>
  </conditionalFormatting>
  <conditionalFormatting sqref="P175">
    <cfRule type="expression" dxfId="267" priority="52" stopIfTrue="1">
      <formula>"esterreur(reference)"</formula>
    </cfRule>
  </conditionalFormatting>
  <conditionalFormatting sqref="P183:P184">
    <cfRule type="expression" dxfId="266" priority="54" stopIfTrue="1">
      <formula>"esterreur(reference)"</formula>
    </cfRule>
  </conditionalFormatting>
  <conditionalFormatting sqref="P287">
    <cfRule type="expression" dxfId="265" priority="43" stopIfTrue="1">
      <formula>"esterreur(reference)"</formula>
    </cfRule>
  </conditionalFormatting>
  <conditionalFormatting sqref="P395">
    <cfRule type="expression" dxfId="264" priority="37" stopIfTrue="1">
      <formula>"esterreur(reference)"</formula>
    </cfRule>
  </conditionalFormatting>
  <conditionalFormatting sqref="P93:Q96">
    <cfRule type="expression" dxfId="263" priority="60" stopIfTrue="1">
      <formula>"esterreur(reference)"</formula>
    </cfRule>
  </conditionalFormatting>
  <conditionalFormatting sqref="P99:Q100">
    <cfRule type="expression" dxfId="262" priority="62" stopIfTrue="1">
      <formula>"esterreur(reference)"</formula>
    </cfRule>
  </conditionalFormatting>
  <conditionalFormatting sqref="P172:Q173">
    <cfRule type="expression" dxfId="261" priority="53" stopIfTrue="1">
      <formula>"esterreur(reference)"</formula>
    </cfRule>
  </conditionalFormatting>
  <conditionalFormatting sqref="P176:Q182">
    <cfRule type="expression" dxfId="260" priority="51" stopIfTrue="1">
      <formula>"esterreur(reference)"</formula>
    </cfRule>
  </conditionalFormatting>
  <conditionalFormatting sqref="P185:Q196">
    <cfRule type="expression" dxfId="259" priority="50" stopIfTrue="1">
      <formula>"esterreur(reference)"</formula>
    </cfRule>
  </conditionalFormatting>
  <conditionalFormatting sqref="P241:Q241">
    <cfRule type="expression" dxfId="258" priority="44" stopIfTrue="1">
      <formula>"esterreur(reference)"</formula>
    </cfRule>
  </conditionalFormatting>
  <conditionalFormatting sqref="P244:Q244">
    <cfRule type="expression" dxfId="257" priority="46" stopIfTrue="1">
      <formula>"esterreur(reference)"</formula>
    </cfRule>
  </conditionalFormatting>
  <conditionalFormatting sqref="P247:Q247">
    <cfRule type="expression" dxfId="256" priority="45" stopIfTrue="1">
      <formula>"esterreur(reference)"</formula>
    </cfRule>
  </conditionalFormatting>
  <conditionalFormatting sqref="Q16:Q24">
    <cfRule type="expression" dxfId="255" priority="67" stopIfTrue="1">
      <formula>"esterreur(reference)"</formula>
    </cfRule>
  </conditionalFormatting>
  <conditionalFormatting sqref="Q75:Q82">
    <cfRule type="expression" dxfId="254" priority="66" stopIfTrue="1">
      <formula>"esterreur(reference)"</formula>
    </cfRule>
  </conditionalFormatting>
  <conditionalFormatting sqref="Q174:Q175">
    <cfRule type="expression" dxfId="253" priority="56" stopIfTrue="1">
      <formula>"esterreur(reference)"</formula>
    </cfRule>
  </conditionalFormatting>
  <conditionalFormatting sqref="Q198:Q209">
    <cfRule type="expression" dxfId="252" priority="55" stopIfTrue="1">
      <formula>"esterreur(reference)"</formula>
    </cfRule>
  </conditionalFormatting>
  <conditionalFormatting sqref="Q211:Q228">
    <cfRule type="expression" dxfId="251" priority="49" stopIfTrue="1">
      <formula>"esterreur(reference)"</formula>
    </cfRule>
  </conditionalFormatting>
  <conditionalFormatting sqref="Q254:Q265">
    <cfRule type="expression" dxfId="250" priority="47" stopIfTrue="1">
      <formula>"esterreur(reference)"</formula>
    </cfRule>
  </conditionalFormatting>
  <conditionalFormatting sqref="Q267:Q284">
    <cfRule type="expression" dxfId="249" priority="42" stopIfTrue="1">
      <formula>"esterreur(reference)"</formula>
    </cfRule>
  </conditionalFormatting>
  <conditionalFormatting sqref="Q318:Q329">
    <cfRule type="expression" dxfId="248" priority="40" stopIfTrue="1">
      <formula>"esterreur(reference)"</formula>
    </cfRule>
  </conditionalFormatting>
  <conditionalFormatting sqref="Q331:Q348">
    <cfRule type="expression" dxfId="247" priority="38" stopIfTrue="1">
      <formula>"esterreur(reference)"</formula>
    </cfRule>
  </conditionalFormatting>
  <conditionalFormatting sqref="R312">
    <cfRule type="expression" dxfId="246" priority="105" stopIfTrue="1">
      <formula>"esterreur(reference)"</formula>
    </cfRule>
  </conditionalFormatting>
  <conditionalFormatting sqref="S186">
    <cfRule type="expression" dxfId="245" priority="76" stopIfTrue="1">
      <formula>"esterreur(reference)"</formula>
    </cfRule>
  </conditionalFormatting>
  <conditionalFormatting sqref="Z425:Z427">
    <cfRule type="cellIs" dxfId="244" priority="18" operator="greaterThan">
      <formula>0</formula>
    </cfRule>
  </conditionalFormatting>
  <conditionalFormatting sqref="Z432">
    <cfRule type="cellIs" dxfId="243" priority="15" operator="greaterThan">
      <formula>0</formula>
    </cfRule>
  </conditionalFormatting>
  <conditionalFormatting sqref="Z449:Z451">
    <cfRule type="cellIs" dxfId="242" priority="11" operator="greaterThan">
      <formula>0</formula>
    </cfRule>
  </conditionalFormatting>
  <conditionalFormatting sqref="Z463:Z465">
    <cfRule type="cellIs" dxfId="241" priority="7" operator="greaterThan">
      <formula>0</formula>
    </cfRule>
  </conditionalFormatting>
  <conditionalFormatting sqref="Z478:Z479">
    <cfRule type="cellIs" dxfId="240" priority="4" operator="greaterThan">
      <formula>0</formula>
    </cfRule>
  </conditionalFormatting>
  <conditionalFormatting sqref="Z495:Z497">
    <cfRule type="cellIs" dxfId="239" priority="1" operator="greaterThan">
      <formula>0</formula>
    </cfRule>
  </conditionalFormatting>
  <conditionalFormatting sqref="AC425:AC427">
    <cfRule type="cellIs" dxfId="238" priority="19" operator="greaterThan">
      <formula>0</formula>
    </cfRule>
  </conditionalFormatting>
  <conditionalFormatting sqref="AC432">
    <cfRule type="cellIs" dxfId="237" priority="16" operator="greaterThan">
      <formula>0</formula>
    </cfRule>
  </conditionalFormatting>
  <conditionalFormatting sqref="AC449:AC451">
    <cfRule type="cellIs" dxfId="236" priority="12" operator="greaterThan">
      <formula>0</formula>
    </cfRule>
  </conditionalFormatting>
  <conditionalFormatting sqref="AC463:AC465">
    <cfRule type="cellIs" dxfId="235" priority="8" operator="greaterThan">
      <formula>0</formula>
    </cfRule>
  </conditionalFormatting>
  <conditionalFormatting sqref="AC478:AC479">
    <cfRule type="cellIs" dxfId="234" priority="5" operator="greaterThan">
      <formula>0</formula>
    </cfRule>
  </conditionalFormatting>
  <conditionalFormatting sqref="AC495:AC497">
    <cfRule type="cellIs" dxfId="233" priority="2" operator="greaterThan">
      <formula>0</formula>
    </cfRule>
  </conditionalFormatting>
  <conditionalFormatting sqref="AG409:AI418">
    <cfRule type="cellIs" dxfId="232" priority="21" operator="greaterThan">
      <formula>0</formula>
    </cfRule>
  </conditionalFormatting>
  <conditionalFormatting sqref="AH449:AH452">
    <cfRule type="cellIs" dxfId="231" priority="13" operator="greaterThan">
      <formula>0</formula>
    </cfRule>
  </conditionalFormatting>
  <conditionalFormatting sqref="AH461:AH466">
    <cfRule type="cellIs" dxfId="230" priority="9" operator="greaterThan">
      <formula>0</formula>
    </cfRule>
  </conditionalFormatting>
  <conditionalFormatting sqref="AH420:AI448">
    <cfRule type="cellIs" dxfId="229" priority="17" operator="greaterThan">
      <formula>0</formula>
    </cfRule>
  </conditionalFormatting>
  <conditionalFormatting sqref="AH453:AI460 AH467:AI468">
    <cfRule type="cellIs" dxfId="228" priority="22" operator="greaterThan">
      <formula>0</formula>
    </cfRule>
  </conditionalFormatting>
  <conditionalFormatting sqref="AH469:AI477 AH480:AI480">
    <cfRule type="cellIs" dxfId="227" priority="23" operator="lessThan">
      <formula>0</formula>
    </cfRule>
  </conditionalFormatting>
  <conditionalFormatting sqref="AH478:AI479">
    <cfRule type="cellIs" dxfId="226" priority="6" operator="greaterThan">
      <formula>0</formula>
    </cfRule>
  </conditionalFormatting>
  <conditionalFormatting sqref="AH491:AI497">
    <cfRule type="cellIs" dxfId="225" priority="3" operator="greaterThan">
      <formula>0</formula>
    </cfRule>
  </conditionalFormatting>
  <conditionalFormatting sqref="AI449:AI451">
    <cfRule type="cellIs" dxfId="224" priority="14" operator="greaterThan">
      <formula>0</formula>
    </cfRule>
  </conditionalFormatting>
  <conditionalFormatting sqref="AI463:AI465">
    <cfRule type="cellIs" dxfId="223" priority="10" operator="greaterThan">
      <formula>0</formula>
    </cfRule>
  </conditionalFormatting>
  <conditionalFormatting sqref="AO409:AO418">
    <cfRule type="cellIs" dxfId="222" priority="20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2025-07-10T16:06:56Z</cp:lastPrinted>
  <dcterms:created xsi:type="dcterms:W3CDTF">2021-02-12T03:12:48Z</dcterms:created>
  <dcterms:modified xsi:type="dcterms:W3CDTF">2026-01-21T21:03:50Z</dcterms:modified>
</cp:coreProperties>
</file>